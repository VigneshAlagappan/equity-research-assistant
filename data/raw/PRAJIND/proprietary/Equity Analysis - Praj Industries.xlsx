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O177" i="18" l="1"/>
  <c r="N177" i="18"/>
  <c r="M177" i="18"/>
  <c r="L177" i="18"/>
  <c r="K177" i="18"/>
  <c r="J177" i="18"/>
  <c r="I177" i="18"/>
  <c r="H177" i="18"/>
  <c r="G177" i="18"/>
  <c r="F177" i="18"/>
  <c r="E177" i="18"/>
  <c r="D177" i="18"/>
  <c r="C177" i="18"/>
  <c r="P43" i="18" l="1"/>
  <c r="O43" i="18"/>
  <c r="N43" i="18"/>
  <c r="M43" i="18"/>
  <c r="L43" i="18"/>
  <c r="K43" i="18"/>
  <c r="J43" i="18"/>
  <c r="I43" i="18"/>
  <c r="H43" i="18"/>
  <c r="G43" i="18"/>
  <c r="P41" i="18"/>
  <c r="O41" i="18"/>
  <c r="N41" i="18"/>
  <c r="M41" i="18"/>
  <c r="L41" i="18"/>
  <c r="K41" i="18"/>
  <c r="J41" i="18"/>
  <c r="I41" i="18"/>
  <c r="H41" i="18"/>
  <c r="G41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R44" i="18" l="1"/>
  <c r="R42" i="18"/>
  <c r="S42" i="18" l="1"/>
  <c r="K185" i="18" l="1"/>
  <c r="K184" i="18"/>
  <c r="K183" i="18"/>
  <c r="K182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AE38" i="18" l="1"/>
  <c r="AC38" i="18"/>
  <c r="K189" i="18" l="1"/>
  <c r="K188" i="18"/>
  <c r="T203" i="18" l="1"/>
  <c r="T204" i="18" s="1"/>
  <c r="D201" i="18"/>
  <c r="G211" i="18" s="1"/>
  <c r="H201" i="18"/>
  <c r="L104" i="18"/>
  <c r="J104" i="18"/>
  <c r="H104" i="18"/>
  <c r="F104" i="18"/>
  <c r="G104" i="18"/>
  <c r="I104" i="18"/>
  <c r="K104" i="18"/>
  <c r="M104" i="18"/>
  <c r="N104" i="18"/>
  <c r="O104" i="18"/>
  <c r="P104" i="18"/>
  <c r="H135" i="18"/>
  <c r="I135" i="18"/>
  <c r="J135" i="18"/>
  <c r="K135" i="18"/>
  <c r="L135" i="18"/>
  <c r="M135" i="18"/>
  <c r="N135" i="18"/>
  <c r="O135" i="18"/>
  <c r="P135" i="18"/>
  <c r="H134" i="18"/>
  <c r="I134" i="18"/>
  <c r="J134" i="18"/>
  <c r="K134" i="18"/>
  <c r="L134" i="18"/>
  <c r="M134" i="18"/>
  <c r="N134" i="18"/>
  <c r="O134" i="18"/>
  <c r="P134" i="18"/>
  <c r="G215" i="18"/>
  <c r="G216" i="18" s="1"/>
  <c r="AD54" i="18"/>
  <c r="C54" i="18"/>
  <c r="D54" i="18"/>
  <c r="E54" i="18"/>
  <c r="F54" i="18"/>
  <c r="H54" i="18"/>
  <c r="I54" i="18"/>
  <c r="J54" i="18"/>
  <c r="K54" i="18"/>
  <c r="L54" i="18"/>
  <c r="M54" i="18"/>
  <c r="N54" i="18"/>
  <c r="O54" i="18"/>
  <c r="P54" i="18"/>
  <c r="G54" i="18"/>
  <c r="H206" i="18"/>
  <c r="D205" i="18"/>
  <c r="G212" i="18" s="1"/>
  <c r="K212" i="18" s="1"/>
  <c r="H204" i="18"/>
  <c r="I204" i="18" s="1"/>
  <c r="J204" i="18" s="1"/>
  <c r="J205" i="18" s="1"/>
  <c r="H202" i="18"/>
  <c r="H200" i="18"/>
  <c r="H199" i="18"/>
  <c r="I199" i="18" s="1"/>
  <c r="J199" i="18" s="1"/>
  <c r="G214" i="18" l="1"/>
  <c r="K211" i="18"/>
  <c r="G217" i="18"/>
  <c r="D207" i="18"/>
  <c r="K215" i="18"/>
  <c r="Q54" i="18"/>
  <c r="K214" i="18"/>
  <c r="I200" i="18"/>
  <c r="J200" i="18" s="1"/>
  <c r="I206" i="18"/>
  <c r="J206" i="18" s="1"/>
  <c r="J207" i="18" s="1"/>
  <c r="H89" i="18"/>
  <c r="I89" i="18"/>
  <c r="J89" i="18"/>
  <c r="K89" i="18"/>
  <c r="L89" i="18"/>
  <c r="M89" i="18"/>
  <c r="N89" i="18"/>
  <c r="O89" i="18"/>
  <c r="P89" i="18"/>
  <c r="G89" i="18"/>
  <c r="G135" i="18"/>
  <c r="G134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200" i="18"/>
  <c r="T199" i="18"/>
  <c r="O200" i="18"/>
  <c r="O203" i="18" s="1"/>
  <c r="O199" i="18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Q98" i="18" s="1"/>
  <c r="G92" i="18"/>
  <c r="G98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Q99" i="18" s="1"/>
  <c r="H130" i="18"/>
  <c r="H131" i="18" s="1"/>
  <c r="I130" i="18"/>
  <c r="I131" i="18" s="1"/>
  <c r="J130" i="18"/>
  <c r="J131" i="18" s="1"/>
  <c r="K130" i="18"/>
  <c r="K131" i="18" s="1"/>
  <c r="L130" i="18"/>
  <c r="L131" i="18" s="1"/>
  <c r="M130" i="18"/>
  <c r="M131" i="18" s="1"/>
  <c r="N130" i="18"/>
  <c r="N131" i="18" s="1"/>
  <c r="O130" i="18"/>
  <c r="O131" i="18" s="1"/>
  <c r="P130" i="18"/>
  <c r="P131" i="18" s="1"/>
  <c r="G130" i="18"/>
  <c r="G131" i="18" s="1"/>
  <c r="Q101" i="18" l="1"/>
  <c r="I201" i="18"/>
  <c r="J201" i="18" s="1"/>
  <c r="I202" i="18" s="1"/>
  <c r="J202" i="18" s="1"/>
  <c r="J203" i="18" s="1"/>
  <c r="Q134" i="18"/>
  <c r="Q135" i="18"/>
  <c r="Q89" i="18"/>
  <c r="Q95" i="18"/>
  <c r="AC14" i="18"/>
  <c r="AE14" i="18"/>
  <c r="Q92" i="18"/>
  <c r="Q131" i="18"/>
  <c r="Q130" i="18"/>
  <c r="Q93" i="18"/>
  <c r="P88" i="18"/>
  <c r="P87" i="18"/>
  <c r="E88" i="18"/>
  <c r="F88" i="18"/>
  <c r="H88" i="18"/>
  <c r="I88" i="18"/>
  <c r="J88" i="18"/>
  <c r="K88" i="18"/>
  <c r="L88" i="18"/>
  <c r="M88" i="18"/>
  <c r="N88" i="18"/>
  <c r="O88" i="18"/>
  <c r="G88" i="18"/>
  <c r="G87" i="18"/>
  <c r="H128" i="18"/>
  <c r="I128" i="18"/>
  <c r="J128" i="18"/>
  <c r="K128" i="18"/>
  <c r="L128" i="18"/>
  <c r="M128" i="18"/>
  <c r="N128" i="18"/>
  <c r="O128" i="18"/>
  <c r="P128" i="18"/>
  <c r="G128" i="18"/>
  <c r="H127" i="18"/>
  <c r="I127" i="18"/>
  <c r="J127" i="18"/>
  <c r="K127" i="18"/>
  <c r="L127" i="18"/>
  <c r="M127" i="18"/>
  <c r="N127" i="18"/>
  <c r="O127" i="18"/>
  <c r="P127" i="18"/>
  <c r="G127" i="18"/>
  <c r="H124" i="18"/>
  <c r="I124" i="18"/>
  <c r="J124" i="18"/>
  <c r="K124" i="18"/>
  <c r="L124" i="18"/>
  <c r="M124" i="18"/>
  <c r="N124" i="18"/>
  <c r="O124" i="18"/>
  <c r="P124" i="18"/>
  <c r="G124" i="18"/>
  <c r="H125" i="18"/>
  <c r="I125" i="18"/>
  <c r="J125" i="18"/>
  <c r="K125" i="18"/>
  <c r="L125" i="18"/>
  <c r="M125" i="18"/>
  <c r="N125" i="18"/>
  <c r="O125" i="18"/>
  <c r="P125" i="18"/>
  <c r="G125" i="18"/>
  <c r="H123" i="18"/>
  <c r="I123" i="18"/>
  <c r="J123" i="18"/>
  <c r="K123" i="18"/>
  <c r="L123" i="18"/>
  <c r="M123" i="18"/>
  <c r="N123" i="18"/>
  <c r="O123" i="18"/>
  <c r="P123" i="18"/>
  <c r="G123" i="18"/>
  <c r="H122" i="18"/>
  <c r="I122" i="18"/>
  <c r="J122" i="18"/>
  <c r="K122" i="18"/>
  <c r="L122" i="18"/>
  <c r="M122" i="18"/>
  <c r="N122" i="18"/>
  <c r="O122" i="18"/>
  <c r="P122" i="18"/>
  <c r="G122" i="18"/>
  <c r="R168" i="18"/>
  <c r="H119" i="18"/>
  <c r="I119" i="18"/>
  <c r="J119" i="18"/>
  <c r="K119" i="18"/>
  <c r="L119" i="18"/>
  <c r="M119" i="18"/>
  <c r="N119" i="18"/>
  <c r="O119" i="18"/>
  <c r="P119" i="18"/>
  <c r="G119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B119" i="18"/>
  <c r="B118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7" i="18"/>
  <c r="H107" i="18"/>
  <c r="I107" i="18"/>
  <c r="J107" i="18"/>
  <c r="K107" i="18"/>
  <c r="L107" i="18"/>
  <c r="M107" i="18"/>
  <c r="N107" i="18"/>
  <c r="O107" i="18"/>
  <c r="P107" i="18"/>
  <c r="S204" i="18"/>
  <c r="N203" i="18"/>
  <c r="S201" i="18"/>
  <c r="T201" i="18" s="1"/>
  <c r="T206" i="18" s="1"/>
  <c r="N201" i="18"/>
  <c r="O201" i="18" s="1"/>
  <c r="O206" i="18" s="1"/>
  <c r="F115" i="18"/>
  <c r="H115" i="18"/>
  <c r="I115" i="18"/>
  <c r="J115" i="18"/>
  <c r="K115" i="18"/>
  <c r="L115" i="18"/>
  <c r="M115" i="18"/>
  <c r="N115" i="18"/>
  <c r="O115" i="18"/>
  <c r="P115" i="18"/>
  <c r="G115" i="18"/>
  <c r="F114" i="18"/>
  <c r="H114" i="18"/>
  <c r="I114" i="18"/>
  <c r="J114" i="18"/>
  <c r="K114" i="18"/>
  <c r="L114" i="18"/>
  <c r="M114" i="18"/>
  <c r="N114" i="18"/>
  <c r="O114" i="18"/>
  <c r="P114" i="18"/>
  <c r="G114" i="18"/>
  <c r="Q125" i="18" l="1"/>
  <c r="Q88" i="18"/>
  <c r="Q122" i="18"/>
  <c r="Q128" i="18"/>
  <c r="Q127" i="18"/>
  <c r="Q123" i="18"/>
  <c r="Q124" i="18"/>
  <c r="Q117" i="18"/>
  <c r="Q118" i="18"/>
  <c r="Q119" i="18"/>
  <c r="Q107" i="18"/>
  <c r="AC32" i="18"/>
  <c r="AE32" i="18"/>
  <c r="N206" i="18"/>
  <c r="S206" i="18"/>
  <c r="Q115" i="18"/>
  <c r="Q114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4" i="18"/>
  <c r="AD50" i="18"/>
  <c r="AD51" i="18"/>
  <c r="AD53" i="18"/>
  <c r="AD55" i="18"/>
  <c r="AD56" i="18"/>
  <c r="AD57" i="18"/>
  <c r="AD59" i="18"/>
  <c r="AD60" i="18"/>
  <c r="AD61" i="18"/>
  <c r="AD63" i="18"/>
  <c r="AD64" i="18"/>
  <c r="AD65" i="18"/>
  <c r="AD66" i="18"/>
  <c r="AD68" i="18"/>
  <c r="AD69" i="18"/>
  <c r="AD71" i="18"/>
  <c r="AD73" i="18"/>
  <c r="AD74" i="18"/>
  <c r="AD75" i="18"/>
  <c r="AD76" i="18"/>
  <c r="AD77" i="18"/>
  <c r="AD79" i="18"/>
  <c r="AD80" i="18"/>
  <c r="AD81" i="18"/>
  <c r="AD7" i="18"/>
  <c r="AD6" i="18"/>
  <c r="Q104" i="18" l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G91" i="18"/>
  <c r="G97" i="18" s="1"/>
  <c r="S29" i="18"/>
  <c r="Q29" i="18"/>
  <c r="Q100" i="18" l="1"/>
  <c r="Q97" i="18"/>
  <c r="T29" i="18"/>
  <c r="Q94" i="18"/>
  <c r="Q91" i="18"/>
  <c r="H106" i="18"/>
  <c r="I106" i="18"/>
  <c r="J106" i="18"/>
  <c r="K106" i="18"/>
  <c r="L106" i="18"/>
  <c r="M106" i="18"/>
  <c r="N106" i="18"/>
  <c r="O106" i="18"/>
  <c r="P106" i="18"/>
  <c r="G106" i="18"/>
  <c r="H105" i="18"/>
  <c r="I105" i="18"/>
  <c r="J105" i="18"/>
  <c r="K105" i="18"/>
  <c r="L105" i="18"/>
  <c r="M105" i="18"/>
  <c r="N105" i="18"/>
  <c r="O105" i="18"/>
  <c r="P105" i="18"/>
  <c r="G105" i="18"/>
  <c r="U29" i="18" l="1"/>
  <c r="Q105" i="18"/>
  <c r="Q106" i="18"/>
  <c r="AE68" i="18"/>
  <c r="V29" i="18" l="1"/>
  <c r="C176" i="18"/>
  <c r="D176" i="18"/>
  <c r="E176" i="18"/>
  <c r="F176" i="18"/>
  <c r="G176" i="18"/>
  <c r="H176" i="18"/>
  <c r="I176" i="18"/>
  <c r="J176" i="18"/>
  <c r="K176" i="18"/>
  <c r="L176" i="18"/>
  <c r="M176" i="18"/>
  <c r="N176" i="18"/>
  <c r="O176" i="18"/>
  <c r="P176" i="18"/>
  <c r="C9" i="15"/>
  <c r="D69" i="18"/>
  <c r="E69" i="18"/>
  <c r="E109" i="18" s="1"/>
  <c r="E110" i="18" s="1"/>
  <c r="F69" i="18"/>
  <c r="F109" i="18" s="1"/>
  <c r="F110" i="18" s="1"/>
  <c r="G69" i="18"/>
  <c r="G109" i="18" s="1"/>
  <c r="G110" i="18" s="1"/>
  <c r="H69" i="18"/>
  <c r="H109" i="18" s="1"/>
  <c r="H110" i="18" s="1"/>
  <c r="I69" i="18"/>
  <c r="I109" i="18" s="1"/>
  <c r="I110" i="18" s="1"/>
  <c r="J69" i="18"/>
  <c r="J109" i="18" s="1"/>
  <c r="J110" i="18" s="1"/>
  <c r="K69" i="18"/>
  <c r="K109" i="18" s="1"/>
  <c r="K110" i="18" s="1"/>
  <c r="L69" i="18"/>
  <c r="L109" i="18" s="1"/>
  <c r="L110" i="18" s="1"/>
  <c r="M69" i="18"/>
  <c r="M109" i="18" s="1"/>
  <c r="M110" i="18" s="1"/>
  <c r="N69" i="18"/>
  <c r="N109" i="18" s="1"/>
  <c r="N110" i="18" s="1"/>
  <c r="O69" i="18"/>
  <c r="O109" i="18" s="1"/>
  <c r="O110" i="18" s="1"/>
  <c r="P69" i="18"/>
  <c r="P109" i="18" s="1"/>
  <c r="C69" i="18"/>
  <c r="S44" i="18"/>
  <c r="Q44" i="18"/>
  <c r="S69" i="18" l="1"/>
  <c r="S109" i="18" s="1"/>
  <c r="S110" i="18" s="1"/>
  <c r="W29" i="18"/>
  <c r="Q176" i="18"/>
  <c r="N111" i="18"/>
  <c r="N112" i="18" s="1"/>
  <c r="J111" i="18"/>
  <c r="J112" i="18" s="1"/>
  <c r="L111" i="18"/>
  <c r="L112" i="18" s="1"/>
  <c r="H111" i="18"/>
  <c r="H112" i="18" s="1"/>
  <c r="M111" i="18"/>
  <c r="M112" i="18" s="1"/>
  <c r="I111" i="18"/>
  <c r="I112" i="18" s="1"/>
  <c r="F111" i="18"/>
  <c r="F112" i="18" s="1"/>
  <c r="O111" i="18"/>
  <c r="O112" i="18" s="1"/>
  <c r="K111" i="18"/>
  <c r="K112" i="18" s="1"/>
  <c r="G111" i="18"/>
  <c r="G112" i="18" s="1"/>
  <c r="P110" i="18"/>
  <c r="Q109" i="18"/>
  <c r="T44" i="18"/>
  <c r="U44" i="18" l="1"/>
  <c r="X29" i="18"/>
  <c r="P111" i="18"/>
  <c r="Q110" i="18"/>
  <c r="T69" i="18"/>
  <c r="C79" i="18"/>
  <c r="D79" i="18"/>
  <c r="E79" i="18"/>
  <c r="F79" i="18"/>
  <c r="G79" i="18"/>
  <c r="G132" i="18" s="1"/>
  <c r="H79" i="18"/>
  <c r="H132" i="18" s="1"/>
  <c r="I79" i="18"/>
  <c r="I132" i="18" s="1"/>
  <c r="J79" i="18"/>
  <c r="J132" i="18" s="1"/>
  <c r="K79" i="18"/>
  <c r="K132" i="18" s="1"/>
  <c r="L79" i="18"/>
  <c r="L132" i="18" s="1"/>
  <c r="M79" i="18"/>
  <c r="M132" i="18" s="1"/>
  <c r="N79" i="18"/>
  <c r="N132" i="18" s="1"/>
  <c r="O79" i="18"/>
  <c r="O132" i="18" s="1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P80" i="18"/>
  <c r="P79" i="18"/>
  <c r="P132" i="18" s="1"/>
  <c r="E87" i="18"/>
  <c r="F87" i="18"/>
  <c r="H87" i="18"/>
  <c r="I87" i="18"/>
  <c r="J87" i="18"/>
  <c r="K87" i="18"/>
  <c r="L87" i="18"/>
  <c r="M87" i="18"/>
  <c r="N87" i="18"/>
  <c r="O87" i="18"/>
  <c r="E85" i="18"/>
  <c r="E86" i="18"/>
  <c r="F86" i="18"/>
  <c r="G86" i="18"/>
  <c r="H86" i="18"/>
  <c r="I86" i="18"/>
  <c r="J86" i="18"/>
  <c r="K86" i="18"/>
  <c r="L86" i="18"/>
  <c r="M86" i="18"/>
  <c r="N86" i="18"/>
  <c r="O86" i="18"/>
  <c r="F85" i="18"/>
  <c r="G85" i="18"/>
  <c r="H85" i="18"/>
  <c r="I85" i="18"/>
  <c r="J85" i="18"/>
  <c r="K85" i="18"/>
  <c r="L85" i="18"/>
  <c r="M85" i="18"/>
  <c r="N85" i="18"/>
  <c r="O85" i="18"/>
  <c r="P86" i="18"/>
  <c r="V44" i="18" l="1"/>
  <c r="U69" i="18"/>
  <c r="Q132" i="18"/>
  <c r="Y29" i="18"/>
  <c r="Q81" i="18"/>
  <c r="Q79" i="18"/>
  <c r="Q80" i="18"/>
  <c r="Q86" i="18"/>
  <c r="Q87" i="18"/>
  <c r="P85" i="18"/>
  <c r="Q85" i="18" s="1"/>
  <c r="C192" i="18"/>
  <c r="D192" i="18"/>
  <c r="E192" i="18"/>
  <c r="F192" i="18"/>
  <c r="C193" i="18"/>
  <c r="D193" i="18"/>
  <c r="E193" i="18"/>
  <c r="F193" i="18"/>
  <c r="C194" i="18"/>
  <c r="D194" i="18"/>
  <c r="E194" i="18"/>
  <c r="F194" i="18"/>
  <c r="H194" i="18"/>
  <c r="I194" i="18"/>
  <c r="J194" i="18"/>
  <c r="K194" i="18"/>
  <c r="L194" i="18"/>
  <c r="M194" i="18"/>
  <c r="N194" i="18"/>
  <c r="O194" i="18"/>
  <c r="P194" i="18"/>
  <c r="G194" i="18"/>
  <c r="H193" i="18"/>
  <c r="I193" i="18"/>
  <c r="J193" i="18"/>
  <c r="K193" i="18"/>
  <c r="L193" i="18"/>
  <c r="M193" i="18"/>
  <c r="N193" i="18"/>
  <c r="O193" i="18"/>
  <c r="P193" i="18"/>
  <c r="G193" i="18"/>
  <c r="H192" i="18"/>
  <c r="I192" i="18"/>
  <c r="J192" i="18"/>
  <c r="K192" i="18"/>
  <c r="L192" i="18"/>
  <c r="M192" i="18"/>
  <c r="N192" i="18"/>
  <c r="O192" i="18"/>
  <c r="P192" i="18"/>
  <c r="G192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3" i="18"/>
  <c r="G175" i="18" s="1"/>
  <c r="H50" i="18"/>
  <c r="H169" i="18" s="1"/>
  <c r="I50" i="18"/>
  <c r="I169" i="18" s="1"/>
  <c r="J50" i="18"/>
  <c r="J169" i="18" s="1"/>
  <c r="K50" i="18"/>
  <c r="K169" i="18" s="1"/>
  <c r="L50" i="18"/>
  <c r="L169" i="18" s="1"/>
  <c r="M50" i="18"/>
  <c r="M169" i="18" s="1"/>
  <c r="N50" i="18"/>
  <c r="N169" i="18" s="1"/>
  <c r="O50" i="18"/>
  <c r="O169" i="18" s="1"/>
  <c r="P50" i="18"/>
  <c r="P169" i="18" s="1"/>
  <c r="C50" i="18"/>
  <c r="C169" i="18" s="1"/>
  <c r="D50" i="18"/>
  <c r="D169" i="18" s="1"/>
  <c r="E50" i="18"/>
  <c r="E169" i="18" s="1"/>
  <c r="F50" i="18"/>
  <c r="F169" i="18" s="1"/>
  <c r="G50" i="18"/>
  <c r="G169" i="18" s="1"/>
  <c r="Q42" i="18"/>
  <c r="S36" i="18"/>
  <c r="S92" i="18" s="1"/>
  <c r="S98" i="18" s="1"/>
  <c r="Q36" i="18"/>
  <c r="W44" i="18" l="1"/>
  <c r="V69" i="18"/>
  <c r="Q169" i="18"/>
  <c r="Z29" i="18"/>
  <c r="T36" i="18"/>
  <c r="T92" i="18" s="1"/>
  <c r="T98" i="18" s="1"/>
  <c r="Q194" i="18"/>
  <c r="Q51" i="18"/>
  <c r="Q50" i="18"/>
  <c r="Q193" i="18"/>
  <c r="Q192" i="18"/>
  <c r="Q31" i="18"/>
  <c r="Q34" i="18"/>
  <c r="X44" i="18" l="1"/>
  <c r="W69" i="18"/>
  <c r="AA29" i="18"/>
  <c r="U36" i="18"/>
  <c r="U92" i="18" s="1"/>
  <c r="U98" i="18" s="1"/>
  <c r="I76" i="18"/>
  <c r="J76" i="18"/>
  <c r="K76" i="18"/>
  <c r="L76" i="18"/>
  <c r="M76" i="18"/>
  <c r="N76" i="18"/>
  <c r="O76" i="18"/>
  <c r="P76" i="18"/>
  <c r="I77" i="18"/>
  <c r="J77" i="18"/>
  <c r="K77" i="18"/>
  <c r="L77" i="18"/>
  <c r="M77" i="18"/>
  <c r="N77" i="18"/>
  <c r="O77" i="18"/>
  <c r="P77" i="18"/>
  <c r="I71" i="18"/>
  <c r="I73" i="18" s="1"/>
  <c r="J71" i="18"/>
  <c r="J73" i="18" s="1"/>
  <c r="K71" i="18"/>
  <c r="K73" i="18" s="1"/>
  <c r="L71" i="18"/>
  <c r="L73" i="18" s="1"/>
  <c r="M71" i="18"/>
  <c r="M73" i="18" s="1"/>
  <c r="N71" i="18"/>
  <c r="N73" i="18" s="1"/>
  <c r="O71" i="18"/>
  <c r="O73" i="18" s="1"/>
  <c r="P71" i="18"/>
  <c r="P73" i="18" s="1"/>
  <c r="I74" i="18"/>
  <c r="J74" i="18"/>
  <c r="K74" i="18"/>
  <c r="L74" i="18"/>
  <c r="M74" i="18"/>
  <c r="N74" i="18"/>
  <c r="O74" i="18"/>
  <c r="P74" i="18"/>
  <c r="I75" i="18"/>
  <c r="J75" i="18"/>
  <c r="K75" i="18"/>
  <c r="L75" i="18"/>
  <c r="M75" i="18"/>
  <c r="N75" i="18"/>
  <c r="O75" i="18"/>
  <c r="P75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H77" i="18"/>
  <c r="H76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1" i="18"/>
  <c r="C73" i="18" s="1"/>
  <c r="D71" i="18"/>
  <c r="D73" i="18" s="1"/>
  <c r="E71" i="18"/>
  <c r="E73" i="18" s="1"/>
  <c r="F71" i="18"/>
  <c r="F73" i="18" s="1"/>
  <c r="G71" i="18"/>
  <c r="G73" i="18" s="1"/>
  <c r="H71" i="18"/>
  <c r="H73" i="18" s="1"/>
  <c r="H75" i="18"/>
  <c r="H74" i="18"/>
  <c r="Y44" i="18" l="1"/>
  <c r="X69" i="18"/>
  <c r="T23" i="18"/>
  <c r="S95" i="18"/>
  <c r="S101" i="18" s="1"/>
  <c r="AB29" i="18"/>
  <c r="AE31" i="18"/>
  <c r="AC31" i="18"/>
  <c r="AC22" i="18"/>
  <c r="AE22" i="18"/>
  <c r="V36" i="18"/>
  <c r="V92" i="18" s="1"/>
  <c r="V98" i="18" s="1"/>
  <c r="Q76" i="18"/>
  <c r="Q77" i="18"/>
  <c r="Q75" i="18"/>
  <c r="Q73" i="18"/>
  <c r="Q74" i="18"/>
  <c r="Q22" i="18"/>
  <c r="Q21" i="18"/>
  <c r="Q71" i="18"/>
  <c r="S20" i="18"/>
  <c r="S54" i="18" s="1"/>
  <c r="T21" i="18"/>
  <c r="Q69" i="18"/>
  <c r="Q168" i="18"/>
  <c r="Y69" i="18" l="1"/>
  <c r="Z44" i="18"/>
  <c r="U23" i="18"/>
  <c r="T95" i="18"/>
  <c r="T101" i="18" s="1"/>
  <c r="AE29" i="18"/>
  <c r="AC29" i="18"/>
  <c r="T20" i="18"/>
  <c r="S71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9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2" i="18" s="1"/>
  <c r="W98" i="18" s="1"/>
  <c r="O67" i="18"/>
  <c r="O173" i="18" s="1"/>
  <c r="O66" i="18"/>
  <c r="O64" i="18"/>
  <c r="O63" i="18"/>
  <c r="O61" i="18"/>
  <c r="O174" i="18" s="1"/>
  <c r="O60" i="18"/>
  <c r="O59" i="18"/>
  <c r="O57" i="18"/>
  <c r="O56" i="18"/>
  <c r="O171" i="18" s="1"/>
  <c r="O55" i="18"/>
  <c r="O53" i="18"/>
  <c r="Z69" i="18" l="1"/>
  <c r="AA44" i="18"/>
  <c r="T71" i="18"/>
  <c r="S124" i="18"/>
  <c r="S134" i="18"/>
  <c r="S125" i="18"/>
  <c r="S135" i="18"/>
  <c r="V23" i="18"/>
  <c r="U95" i="18"/>
  <c r="U101" i="18" s="1"/>
  <c r="S118" i="18"/>
  <c r="S119" i="18"/>
  <c r="S117" i="18"/>
  <c r="S107" i="18"/>
  <c r="P112" i="18"/>
  <c r="Q112" i="18" s="1"/>
  <c r="Q111" i="18"/>
  <c r="S91" i="18"/>
  <c r="S97" i="18" s="1"/>
  <c r="S115" i="18"/>
  <c r="S114" i="18"/>
  <c r="T18" i="18"/>
  <c r="O170" i="18"/>
  <c r="O175" i="18"/>
  <c r="U20" i="18"/>
  <c r="T27" i="18"/>
  <c r="X36" i="18"/>
  <c r="X92" i="18" s="1"/>
  <c r="X98" i="18" s="1"/>
  <c r="T25" i="18"/>
  <c r="T89" i="18" s="1"/>
  <c r="S85" i="18"/>
  <c r="V21" i="18"/>
  <c r="AC33" i="18"/>
  <c r="AC34" i="18"/>
  <c r="AC9" i="18"/>
  <c r="O65" i="18"/>
  <c r="O172" i="18" s="1"/>
  <c r="D61" i="18"/>
  <c r="E61" i="18"/>
  <c r="F61" i="18"/>
  <c r="G61" i="18"/>
  <c r="G174" i="18" s="1"/>
  <c r="H61" i="18"/>
  <c r="H174" i="18" s="1"/>
  <c r="I61" i="18"/>
  <c r="I174" i="18" s="1"/>
  <c r="J61" i="18"/>
  <c r="J174" i="18" s="1"/>
  <c r="K61" i="18"/>
  <c r="K174" i="18" s="1"/>
  <c r="L61" i="18"/>
  <c r="L174" i="18" s="1"/>
  <c r="M61" i="18"/>
  <c r="M174" i="18" s="1"/>
  <c r="N61" i="18"/>
  <c r="N174" i="18" s="1"/>
  <c r="P61" i="18"/>
  <c r="C61" i="18"/>
  <c r="C60" i="18"/>
  <c r="AB44" i="18" l="1"/>
  <c r="AA69" i="18"/>
  <c r="T125" i="18"/>
  <c r="T135" i="18"/>
  <c r="T124" i="18"/>
  <c r="T134" i="18"/>
  <c r="W23" i="18"/>
  <c r="V95" i="18"/>
  <c r="V101" i="18" s="1"/>
  <c r="T117" i="18"/>
  <c r="T119" i="18"/>
  <c r="T118" i="18"/>
  <c r="T107" i="18"/>
  <c r="T91" i="18"/>
  <c r="T97" i="18" s="1"/>
  <c r="T115" i="18"/>
  <c r="T114" i="18"/>
  <c r="U18" i="18"/>
  <c r="V20" i="18"/>
  <c r="U71" i="18"/>
  <c r="U27" i="18"/>
  <c r="U25" i="18"/>
  <c r="T85" i="18"/>
  <c r="Y36" i="18"/>
  <c r="Y92" i="18" s="1"/>
  <c r="Y98" i="18" s="1"/>
  <c r="W21" i="18"/>
  <c r="P174" i="18"/>
  <c r="Q174" i="18" s="1"/>
  <c r="Q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C59" i="18"/>
  <c r="AE44" i="18" l="1"/>
  <c r="AB69" i="18"/>
  <c r="AC44" i="18"/>
  <c r="U124" i="18"/>
  <c r="U134" i="18"/>
  <c r="U125" i="18"/>
  <c r="U135" i="18"/>
  <c r="U89" i="18"/>
  <c r="X23" i="18"/>
  <c r="W95" i="18"/>
  <c r="W101" i="18" s="1"/>
  <c r="U119" i="18"/>
  <c r="U118" i="18"/>
  <c r="U117" i="18"/>
  <c r="U107" i="18"/>
  <c r="U91" i="18"/>
  <c r="U97" i="18" s="1"/>
  <c r="U115" i="18"/>
  <c r="U114" i="18"/>
  <c r="V18" i="18"/>
  <c r="W20" i="18"/>
  <c r="V71" i="18"/>
  <c r="V27" i="18"/>
  <c r="V25" i="18"/>
  <c r="V89" i="18" s="1"/>
  <c r="U85" i="18"/>
  <c r="Z36" i="18"/>
  <c r="Z92" i="18" s="1"/>
  <c r="Z98" i="18" s="1"/>
  <c r="X21" i="18"/>
  <c r="Q59" i="18"/>
  <c r="Q60" i="18"/>
  <c r="C46" i="15"/>
  <c r="S156" i="18" l="1"/>
  <c r="AE69" i="18"/>
  <c r="T156" i="18" s="1"/>
  <c r="AC69" i="18"/>
  <c r="V125" i="18"/>
  <c r="V135" i="18"/>
  <c r="V124" i="18"/>
  <c r="V134" i="18"/>
  <c r="Y23" i="18"/>
  <c r="X95" i="18"/>
  <c r="X101" i="18" s="1"/>
  <c r="V107" i="18"/>
  <c r="V119" i="18"/>
  <c r="V118" i="18"/>
  <c r="V117" i="18"/>
  <c r="V91" i="18"/>
  <c r="V97" i="18" s="1"/>
  <c r="V115" i="18"/>
  <c r="V114" i="18"/>
  <c r="W18" i="18"/>
  <c r="X20" i="18"/>
  <c r="W71" i="18"/>
  <c r="W27" i="18"/>
  <c r="W25" i="18"/>
  <c r="V85" i="18"/>
  <c r="AA36" i="18"/>
  <c r="AA92" i="18" s="1"/>
  <c r="AA98" i="18" s="1"/>
  <c r="Y21" i="18"/>
  <c r="S168" i="18"/>
  <c r="S176" i="18" s="1"/>
  <c r="C53" i="18"/>
  <c r="D53" i="18"/>
  <c r="E53" i="18"/>
  <c r="F53" i="18"/>
  <c r="H53" i="18"/>
  <c r="I53" i="18"/>
  <c r="J53" i="18"/>
  <c r="K53" i="18"/>
  <c r="L53" i="18"/>
  <c r="L175" i="18" s="1"/>
  <c r="M53" i="18"/>
  <c r="N53" i="18"/>
  <c r="N175" i="18" s="1"/>
  <c r="P53" i="18"/>
  <c r="D67" i="18"/>
  <c r="D173" i="18" s="1"/>
  <c r="E67" i="18"/>
  <c r="E173" i="18" s="1"/>
  <c r="F67" i="18"/>
  <c r="F173" i="18" s="1"/>
  <c r="G67" i="18"/>
  <c r="H67" i="18"/>
  <c r="H173" i="18" s="1"/>
  <c r="I67" i="18"/>
  <c r="I173" i="18" s="1"/>
  <c r="J67" i="18"/>
  <c r="J173" i="18" s="1"/>
  <c r="K67" i="18"/>
  <c r="K173" i="18" s="1"/>
  <c r="L67" i="18"/>
  <c r="L173" i="18" s="1"/>
  <c r="M67" i="18"/>
  <c r="M173" i="18" s="1"/>
  <c r="N67" i="18"/>
  <c r="P67" i="18"/>
  <c r="D66" i="18"/>
  <c r="E66" i="18"/>
  <c r="F66" i="18"/>
  <c r="G66" i="18"/>
  <c r="H66" i="18"/>
  <c r="I66" i="18"/>
  <c r="J66" i="18"/>
  <c r="K66" i="18"/>
  <c r="L66" i="18"/>
  <c r="M66" i="18"/>
  <c r="N66" i="18"/>
  <c r="P66" i="18"/>
  <c r="D64" i="18"/>
  <c r="E64" i="18"/>
  <c r="F64" i="18"/>
  <c r="G64" i="18"/>
  <c r="H64" i="18"/>
  <c r="I64" i="18"/>
  <c r="J64" i="18"/>
  <c r="K64" i="18"/>
  <c r="L64" i="18"/>
  <c r="M64" i="18"/>
  <c r="N64" i="18"/>
  <c r="P64" i="18"/>
  <c r="D63" i="18"/>
  <c r="D65" i="18" s="1"/>
  <c r="D172" i="18" s="1"/>
  <c r="E63" i="18"/>
  <c r="E65" i="18" s="1"/>
  <c r="E172" i="18" s="1"/>
  <c r="F63" i="18"/>
  <c r="G63" i="18"/>
  <c r="H63" i="18"/>
  <c r="I63" i="18"/>
  <c r="J63" i="18"/>
  <c r="K63" i="18"/>
  <c r="L63" i="18"/>
  <c r="M63" i="18"/>
  <c r="N63" i="18"/>
  <c r="P63" i="18"/>
  <c r="D57" i="18"/>
  <c r="E57" i="18"/>
  <c r="F57" i="18"/>
  <c r="G57" i="18"/>
  <c r="H57" i="18"/>
  <c r="I57" i="18"/>
  <c r="J57" i="18"/>
  <c r="K57" i="18"/>
  <c r="L57" i="18"/>
  <c r="M57" i="18"/>
  <c r="N57" i="18"/>
  <c r="P57" i="18"/>
  <c r="D56" i="18"/>
  <c r="D171" i="18" s="1"/>
  <c r="E56" i="18"/>
  <c r="E171" i="18" s="1"/>
  <c r="F56" i="18"/>
  <c r="F171" i="18" s="1"/>
  <c r="G56" i="18"/>
  <c r="H56" i="18"/>
  <c r="H171" i="18" s="1"/>
  <c r="I56" i="18"/>
  <c r="I171" i="18" s="1"/>
  <c r="J56" i="18"/>
  <c r="J171" i="18" s="1"/>
  <c r="K56" i="18"/>
  <c r="K171" i="18" s="1"/>
  <c r="L56" i="18"/>
  <c r="L171" i="18" s="1"/>
  <c r="M56" i="18"/>
  <c r="M171" i="18" s="1"/>
  <c r="N56" i="18"/>
  <c r="P56" i="18"/>
  <c r="C67" i="18"/>
  <c r="C173" i="18" s="1"/>
  <c r="C66" i="18"/>
  <c r="C64" i="18"/>
  <c r="C63" i="18"/>
  <c r="C57" i="18"/>
  <c r="C56" i="18"/>
  <c r="C171" i="18" s="1"/>
  <c r="D55" i="18"/>
  <c r="E55" i="18"/>
  <c r="F55" i="18"/>
  <c r="G55" i="18"/>
  <c r="H55" i="18"/>
  <c r="I55" i="18"/>
  <c r="J55" i="18"/>
  <c r="K55" i="18"/>
  <c r="L55" i="18"/>
  <c r="M55" i="18"/>
  <c r="N55" i="18"/>
  <c r="P55" i="18"/>
  <c r="C55" i="18"/>
  <c r="S15" i="18"/>
  <c r="S122" i="18" s="1"/>
  <c r="S16" i="18"/>
  <c r="S130" i="18" s="1"/>
  <c r="S131" i="18" s="1"/>
  <c r="S40" i="18"/>
  <c r="S93" i="18" s="1"/>
  <c r="S99" i="18" s="1"/>
  <c r="S10" i="18"/>
  <c r="S12" i="18"/>
  <c r="S13" i="18"/>
  <c r="S7" i="18"/>
  <c r="S6" i="18"/>
  <c r="P189" i="18" l="1"/>
  <c r="S189" i="18"/>
  <c r="S104" i="18"/>
  <c r="R156" i="18"/>
  <c r="P181" i="18" s="1"/>
  <c r="W124" i="18"/>
  <c r="W134" i="18"/>
  <c r="W89" i="18"/>
  <c r="W125" i="18"/>
  <c r="W135" i="18"/>
  <c r="Z23" i="18"/>
  <c r="Y95" i="18"/>
  <c r="Y101" i="18" s="1"/>
  <c r="S87" i="18"/>
  <c r="S88" i="18"/>
  <c r="S128" i="18"/>
  <c r="S127" i="18"/>
  <c r="S94" i="18"/>
  <c r="S100" i="18" s="1"/>
  <c r="S123" i="18"/>
  <c r="H175" i="18"/>
  <c r="H170" i="18"/>
  <c r="W107" i="18"/>
  <c r="W118" i="18"/>
  <c r="W117" i="18"/>
  <c r="W119" i="18"/>
  <c r="S106" i="18"/>
  <c r="S111" i="18"/>
  <c r="S112" i="18" s="1"/>
  <c r="W91" i="18"/>
  <c r="W97" i="18" s="1"/>
  <c r="W115" i="18"/>
  <c r="W114" i="18"/>
  <c r="S105" i="18"/>
  <c r="X18" i="18"/>
  <c r="D170" i="18"/>
  <c r="D174" i="18" s="1"/>
  <c r="D175" i="18"/>
  <c r="E170" i="18"/>
  <c r="E174" i="18" s="1"/>
  <c r="E175" i="18"/>
  <c r="C170" i="18"/>
  <c r="C174" i="18" s="1"/>
  <c r="C175" i="18"/>
  <c r="P170" i="18"/>
  <c r="P177" i="18" s="1"/>
  <c r="Q177" i="18" s="1"/>
  <c r="P175" i="18"/>
  <c r="Q175" i="18" s="1"/>
  <c r="K170" i="18"/>
  <c r="K175" i="18"/>
  <c r="F170" i="18"/>
  <c r="F174" i="18" s="1"/>
  <c r="F175" i="18"/>
  <c r="J170" i="18"/>
  <c r="J175" i="18"/>
  <c r="M170" i="18"/>
  <c r="M175" i="18"/>
  <c r="I170" i="18"/>
  <c r="I175" i="18"/>
  <c r="Q138" i="18"/>
  <c r="Y20" i="18"/>
  <c r="X71" i="18"/>
  <c r="H65" i="18"/>
  <c r="H172" i="18" s="1"/>
  <c r="X27" i="18"/>
  <c r="T12" i="18"/>
  <c r="T15" i="18"/>
  <c r="T122" i="18" s="1"/>
  <c r="T13" i="18"/>
  <c r="T10" i="18"/>
  <c r="T16" i="18"/>
  <c r="T130" i="18" s="1"/>
  <c r="T131" i="18" s="1"/>
  <c r="T6" i="18"/>
  <c r="T7" i="18"/>
  <c r="X25" i="18"/>
  <c r="X89" i="18" s="1"/>
  <c r="W85" i="18"/>
  <c r="T40" i="18"/>
  <c r="T93" i="18" s="1"/>
  <c r="T99" i="18" s="1"/>
  <c r="S86" i="18"/>
  <c r="AB36" i="18"/>
  <c r="F65" i="18"/>
  <c r="F172" i="18" s="1"/>
  <c r="L65" i="18"/>
  <c r="L172" i="18" s="1"/>
  <c r="K65" i="18"/>
  <c r="K172" i="18" s="1"/>
  <c r="J65" i="18"/>
  <c r="J172" i="18" s="1"/>
  <c r="Z21" i="18"/>
  <c r="C65" i="18"/>
  <c r="C172" i="18" s="1"/>
  <c r="T168" i="18"/>
  <c r="T176" i="18" s="1"/>
  <c r="I65" i="18"/>
  <c r="I172" i="18" s="1"/>
  <c r="Q55" i="18"/>
  <c r="G171" i="18"/>
  <c r="Q56" i="18"/>
  <c r="Q57" i="18"/>
  <c r="Q64" i="18"/>
  <c r="Q66" i="18"/>
  <c r="G170" i="18"/>
  <c r="Q53" i="18"/>
  <c r="G173" i="18"/>
  <c r="Q67" i="18"/>
  <c r="G65" i="18"/>
  <c r="Q63" i="18"/>
  <c r="N171" i="18"/>
  <c r="N170" i="18"/>
  <c r="N173" i="18"/>
  <c r="P171" i="18"/>
  <c r="L170" i="18"/>
  <c r="N65" i="18"/>
  <c r="M65" i="18"/>
  <c r="M172" i="18" s="1"/>
  <c r="P173" i="18"/>
  <c r="P65" i="18"/>
  <c r="S64" i="18"/>
  <c r="C6" i="12"/>
  <c r="C26" i="15"/>
  <c r="C58" i="15"/>
  <c r="C57" i="15"/>
  <c r="C54" i="15"/>
  <c r="C53" i="15"/>
  <c r="C50" i="15"/>
  <c r="C49" i="15"/>
  <c r="C45" i="15"/>
  <c r="T189" i="18" l="1"/>
  <c r="U189" i="18" s="1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89" i="18" s="1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S190" i="18"/>
  <c r="T190" i="18" s="1"/>
  <c r="U190" i="18" s="1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P188" i="18"/>
  <c r="S188" i="18"/>
  <c r="T104" i="18"/>
  <c r="X124" i="18"/>
  <c r="X134" i="18"/>
  <c r="X125" i="18"/>
  <c r="X135" i="18"/>
  <c r="AE36" i="18"/>
  <c r="AB92" i="18"/>
  <c r="AA23" i="18"/>
  <c r="Z95" i="18"/>
  <c r="Z101" i="18" s="1"/>
  <c r="T128" i="18"/>
  <c r="T127" i="18"/>
  <c r="T94" i="18"/>
  <c r="T100" i="18" s="1"/>
  <c r="T123" i="18"/>
  <c r="T88" i="18"/>
  <c r="X117" i="18"/>
  <c r="X118" i="18"/>
  <c r="X119" i="18"/>
  <c r="X107" i="18"/>
  <c r="X91" i="18"/>
  <c r="X97" i="18" s="1"/>
  <c r="X115" i="18"/>
  <c r="X114" i="18"/>
  <c r="T105" i="18"/>
  <c r="T106" i="18"/>
  <c r="Y18" i="18"/>
  <c r="Z20" i="18"/>
  <c r="Y71" i="18"/>
  <c r="S63" i="18"/>
  <c r="S80" i="18"/>
  <c r="S59" i="18"/>
  <c r="S61" i="18"/>
  <c r="S174" i="18" s="1"/>
  <c r="S67" i="18"/>
  <c r="S173" i="18" s="1"/>
  <c r="S77" i="18"/>
  <c r="S79" i="18"/>
  <c r="S132" i="18" s="1"/>
  <c r="S51" i="18"/>
  <c r="S50" i="18"/>
  <c r="S169" i="18" s="1"/>
  <c r="S60" i="18"/>
  <c r="S56" i="18"/>
  <c r="S57" i="18"/>
  <c r="S66" i="18"/>
  <c r="S55" i="18"/>
  <c r="S81" i="18"/>
  <c r="S53" i="18"/>
  <c r="S175" i="18" s="1"/>
  <c r="Y27" i="18"/>
  <c r="U15" i="18"/>
  <c r="U122" i="18" s="1"/>
  <c r="U13" i="18"/>
  <c r="U12" i="18"/>
  <c r="S65" i="18"/>
  <c r="U16" i="18"/>
  <c r="U130" i="18" s="1"/>
  <c r="U131" i="18" s="1"/>
  <c r="U10" i="18"/>
  <c r="U7" i="18"/>
  <c r="U6" i="18"/>
  <c r="AC36" i="18"/>
  <c r="Y25" i="18"/>
  <c r="Y89" i="18" s="1"/>
  <c r="X85" i="18"/>
  <c r="U40" i="18"/>
  <c r="U93" i="18" s="1"/>
  <c r="U99" i="18" s="1"/>
  <c r="T87" i="18"/>
  <c r="T86" i="18"/>
  <c r="T42" i="18"/>
  <c r="S74" i="18"/>
  <c r="S75" i="18"/>
  <c r="S76" i="18"/>
  <c r="S73" i="18"/>
  <c r="AA21" i="18"/>
  <c r="U168" i="18"/>
  <c r="U176" i="18" s="1"/>
  <c r="Q171" i="18"/>
  <c r="Q170" i="18"/>
  <c r="Q173" i="18"/>
  <c r="G172" i="18"/>
  <c r="Q65" i="18"/>
  <c r="N172" i="18"/>
  <c r="P172" i="18"/>
  <c r="C16" i="15"/>
  <c r="C21" i="15"/>
  <c r="C10" i="15"/>
  <c r="AC92" i="18" l="1"/>
  <c r="AB98" i="18"/>
  <c r="AC98" i="18" s="1"/>
  <c r="T188" i="18"/>
  <c r="U188" i="18" s="1"/>
  <c r="V188" i="18" s="1"/>
  <c r="W188" i="18" s="1"/>
  <c r="X188" i="18" s="1"/>
  <c r="Y188" i="18" s="1"/>
  <c r="Z188" i="18" s="1"/>
  <c r="AA188" i="18" s="1"/>
  <c r="AB188" i="18" s="1"/>
  <c r="AC188" i="18" s="1"/>
  <c r="S187" i="18"/>
  <c r="U104" i="18"/>
  <c r="T109" i="18"/>
  <c r="T110" i="18" s="1"/>
  <c r="T111" i="18" s="1"/>
  <c r="T112" i="18" s="1"/>
  <c r="T54" i="18"/>
  <c r="Y124" i="18"/>
  <c r="Y134" i="18"/>
  <c r="Y125" i="18"/>
  <c r="Y135" i="18"/>
  <c r="AB23" i="18"/>
  <c r="AA95" i="18"/>
  <c r="AA101" i="18" s="1"/>
  <c r="U94" i="18"/>
  <c r="U100" i="18" s="1"/>
  <c r="U123" i="18"/>
  <c r="U128" i="18"/>
  <c r="U127" i="18"/>
  <c r="U88" i="18"/>
  <c r="Y119" i="18"/>
  <c r="Y118" i="18"/>
  <c r="Y117" i="18"/>
  <c r="Y107" i="18"/>
  <c r="T63" i="18"/>
  <c r="Y91" i="18"/>
  <c r="Y97" i="18" s="1"/>
  <c r="Y115" i="18"/>
  <c r="Y114" i="18"/>
  <c r="U105" i="18"/>
  <c r="U106" i="18"/>
  <c r="T59" i="18"/>
  <c r="Z18" i="18"/>
  <c r="AA20" i="18"/>
  <c r="Z71" i="18"/>
  <c r="T61" i="18"/>
  <c r="T174" i="18" s="1"/>
  <c r="T67" i="18"/>
  <c r="T173" i="18" s="1"/>
  <c r="T77" i="18"/>
  <c r="T79" i="18"/>
  <c r="T132" i="18" s="1"/>
  <c r="T50" i="18"/>
  <c r="T169" i="18" s="1"/>
  <c r="T51" i="18"/>
  <c r="T56" i="18"/>
  <c r="T55" i="18"/>
  <c r="T66" i="18"/>
  <c r="T81" i="18"/>
  <c r="T60" i="18"/>
  <c r="T57" i="18"/>
  <c r="T53" i="18"/>
  <c r="T175" i="18" s="1"/>
  <c r="T64" i="18"/>
  <c r="T80" i="18"/>
  <c r="Z27" i="18"/>
  <c r="V13" i="18"/>
  <c r="V12" i="18"/>
  <c r="V15" i="18"/>
  <c r="V122" i="18" s="1"/>
  <c r="V10" i="18"/>
  <c r="V16" i="18"/>
  <c r="V130" i="18" s="1"/>
  <c r="V131" i="18" s="1"/>
  <c r="V6" i="18"/>
  <c r="V7" i="18"/>
  <c r="V40" i="18"/>
  <c r="V93" i="18" s="1"/>
  <c r="V99" i="18" s="1"/>
  <c r="U87" i="18"/>
  <c r="U86" i="18"/>
  <c r="Z25" i="18"/>
  <c r="Z89" i="18" s="1"/>
  <c r="Y85" i="18"/>
  <c r="U42" i="18"/>
  <c r="T76" i="18"/>
  <c r="T75" i="18"/>
  <c r="T74" i="18"/>
  <c r="T73" i="18"/>
  <c r="AB21" i="18"/>
  <c r="AE21" i="18" s="1"/>
  <c r="S172" i="18"/>
  <c r="V168" i="18"/>
  <c r="V176" i="18" s="1"/>
  <c r="S170" i="18"/>
  <c r="S171" i="18"/>
  <c r="Q172" i="18"/>
  <c r="D31" i="8"/>
  <c r="D29" i="8"/>
  <c r="D28" i="8"/>
  <c r="D13" i="8"/>
  <c r="D30" i="8" s="1"/>
  <c r="E14" i="8"/>
  <c r="F14" i="8" s="1"/>
  <c r="G14" i="8" s="1"/>
  <c r="H14" i="8" s="1"/>
  <c r="I14" i="8" s="1"/>
  <c r="AD188" i="18" l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T187" i="18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V104" i="18"/>
  <c r="U109" i="18"/>
  <c r="U110" i="18" s="1"/>
  <c r="U111" i="18" s="1"/>
  <c r="U112" i="18" s="1"/>
  <c r="U54" i="18"/>
  <c r="Z124" i="18"/>
  <c r="Z134" i="18"/>
  <c r="Z125" i="18"/>
  <c r="Z135" i="18"/>
  <c r="AE23" i="18"/>
  <c r="AB95" i="18"/>
  <c r="AC23" i="18"/>
  <c r="V88" i="18"/>
  <c r="V127" i="18"/>
  <c r="V128" i="18"/>
  <c r="V94" i="18"/>
  <c r="V100" i="18" s="1"/>
  <c r="V123" i="18"/>
  <c r="Z119" i="18"/>
  <c r="Z118" i="18"/>
  <c r="Z117" i="18"/>
  <c r="Z107" i="18"/>
  <c r="U63" i="18"/>
  <c r="T65" i="18"/>
  <c r="T172" i="18" s="1"/>
  <c r="Z91" i="18"/>
  <c r="Z97" i="18" s="1"/>
  <c r="Z115" i="18"/>
  <c r="Z114" i="18"/>
  <c r="V106" i="18"/>
  <c r="V105" i="18"/>
  <c r="AA18" i="18"/>
  <c r="AB20" i="18"/>
  <c r="AA71" i="18"/>
  <c r="U81" i="18"/>
  <c r="U80" i="18"/>
  <c r="U59" i="18"/>
  <c r="U67" i="18"/>
  <c r="U173" i="18" s="1"/>
  <c r="U66" i="18"/>
  <c r="U61" i="18"/>
  <c r="U174" i="18" s="1"/>
  <c r="U64" i="18"/>
  <c r="U55" i="18"/>
  <c r="U77" i="18"/>
  <c r="U79" i="18"/>
  <c r="U132" i="18" s="1"/>
  <c r="U51" i="18"/>
  <c r="U50" i="18"/>
  <c r="U169" i="18" s="1"/>
  <c r="U60" i="18"/>
  <c r="U56" i="18"/>
  <c r="U57" i="18"/>
  <c r="U53" i="18"/>
  <c r="U175" i="18" s="1"/>
  <c r="AA27" i="18"/>
  <c r="W12" i="18"/>
  <c r="W15" i="18"/>
  <c r="W122" i="18" s="1"/>
  <c r="W13" i="18"/>
  <c r="W16" i="18"/>
  <c r="W130" i="18" s="1"/>
  <c r="W131" i="18" s="1"/>
  <c r="W10" i="18"/>
  <c r="W7" i="18"/>
  <c r="W6" i="18"/>
  <c r="AA25" i="18"/>
  <c r="Z85" i="18"/>
  <c r="W40" i="18"/>
  <c r="W93" i="18" s="1"/>
  <c r="W99" i="18" s="1"/>
  <c r="V86" i="18"/>
  <c r="V87" i="18"/>
  <c r="V42" i="18"/>
  <c r="U76" i="18"/>
  <c r="U74" i="18"/>
  <c r="U75" i="18"/>
  <c r="U73" i="18"/>
  <c r="AC21" i="18"/>
  <c r="W168" i="18"/>
  <c r="W176" i="18" s="1"/>
  <c r="T170" i="18"/>
  <c r="T171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5" i="18" l="1"/>
  <c r="AB101" i="18"/>
  <c r="AC101" i="18" s="1"/>
  <c r="W104" i="18"/>
  <c r="V109" i="18"/>
  <c r="V110" i="18" s="1"/>
  <c r="V111" i="18" s="1"/>
  <c r="V112" i="18" s="1"/>
  <c r="V54" i="18"/>
  <c r="AA124" i="18"/>
  <c r="AA134" i="18"/>
  <c r="AA125" i="18"/>
  <c r="AA135" i="18"/>
  <c r="AE20" i="18"/>
  <c r="AA89" i="18"/>
  <c r="W128" i="18"/>
  <c r="W127" i="18"/>
  <c r="W94" i="18"/>
  <c r="W100" i="18" s="1"/>
  <c r="W123" i="18"/>
  <c r="W88" i="18"/>
  <c r="AA118" i="18"/>
  <c r="AA117" i="18"/>
  <c r="AA119" i="18"/>
  <c r="AA107" i="18"/>
  <c r="U65" i="18"/>
  <c r="U172" i="18" s="1"/>
  <c r="AA91" i="18"/>
  <c r="AA97" i="18" s="1"/>
  <c r="AA115" i="18"/>
  <c r="AA114" i="18"/>
  <c r="V66" i="18"/>
  <c r="W106" i="18"/>
  <c r="W105" i="18"/>
  <c r="AB18" i="18"/>
  <c r="V81" i="18"/>
  <c r="V57" i="18"/>
  <c r="V64" i="18"/>
  <c r="AC20" i="18"/>
  <c r="AB71" i="18"/>
  <c r="V55" i="18"/>
  <c r="V63" i="18"/>
  <c r="V60" i="18"/>
  <c r="V80" i="18"/>
  <c r="V56" i="18"/>
  <c r="V61" i="18"/>
  <c r="V174" i="18" s="1"/>
  <c r="V77" i="18"/>
  <c r="V79" i="18"/>
  <c r="V132" i="18" s="1"/>
  <c r="V50" i="18"/>
  <c r="V169" i="18" s="1"/>
  <c r="V51" i="18"/>
  <c r="V59" i="18"/>
  <c r="V67" i="18"/>
  <c r="V173" i="18" s="1"/>
  <c r="V53" i="18"/>
  <c r="V175" i="18" s="1"/>
  <c r="AB27" i="18"/>
  <c r="AB135" i="18" s="1"/>
  <c r="AC135" i="18" s="1"/>
  <c r="X15" i="18"/>
  <c r="X122" i="18" s="1"/>
  <c r="X13" i="18"/>
  <c r="X12" i="18"/>
  <c r="X10" i="18"/>
  <c r="X16" i="18"/>
  <c r="X130" i="18" s="1"/>
  <c r="X131" i="18" s="1"/>
  <c r="X6" i="18"/>
  <c r="X7" i="18"/>
  <c r="X40" i="18"/>
  <c r="X93" i="18" s="1"/>
  <c r="X99" i="18" s="1"/>
  <c r="W87" i="18"/>
  <c r="W86" i="18"/>
  <c r="AB25" i="18"/>
  <c r="AB89" i="18" s="1"/>
  <c r="AC89" i="18" s="1"/>
  <c r="AA85" i="18"/>
  <c r="W42" i="18"/>
  <c r="V76" i="18"/>
  <c r="V74" i="18"/>
  <c r="V75" i="18"/>
  <c r="V73" i="18"/>
  <c r="X168" i="18"/>
  <c r="X176" i="18" s="1"/>
  <c r="U170" i="18"/>
  <c r="U171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4" i="18" l="1"/>
  <c r="W109" i="18"/>
  <c r="W110" i="18" s="1"/>
  <c r="W111" i="18" s="1"/>
  <c r="W112" i="18" s="1"/>
  <c r="W54" i="18"/>
  <c r="AB124" i="18"/>
  <c r="AC124" i="18" s="1"/>
  <c r="AB134" i="18"/>
  <c r="AC134" i="18" s="1"/>
  <c r="X94" i="18"/>
  <c r="X100" i="18" s="1"/>
  <c r="X123" i="18"/>
  <c r="X128" i="18"/>
  <c r="X127" i="18"/>
  <c r="AE27" i="18"/>
  <c r="AB125" i="18"/>
  <c r="AC125" i="18" s="1"/>
  <c r="X88" i="18"/>
  <c r="AB117" i="18"/>
  <c r="AC117" i="18" s="1"/>
  <c r="AB119" i="18"/>
  <c r="AC119" i="18" s="1"/>
  <c r="AB118" i="18"/>
  <c r="AC118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7" i="18"/>
  <c r="AC107" i="18" s="1"/>
  <c r="V65" i="18"/>
  <c r="V172" i="18" s="1"/>
  <c r="W64" i="18"/>
  <c r="AB91" i="18"/>
  <c r="AB115" i="18"/>
  <c r="AC115" i="18" s="1"/>
  <c r="AB114" i="18"/>
  <c r="AC114" i="18" s="1"/>
  <c r="X106" i="18"/>
  <c r="X105" i="18"/>
  <c r="AE25" i="18"/>
  <c r="AE18" i="18"/>
  <c r="AC18" i="18"/>
  <c r="S158" i="18"/>
  <c r="AE71" i="18"/>
  <c r="AC71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7" i="18"/>
  <c r="W173" i="18" s="1"/>
  <c r="W66" i="18"/>
  <c r="W61" i="18"/>
  <c r="W174" i="18" s="1"/>
  <c r="W63" i="18"/>
  <c r="W60" i="18"/>
  <c r="W80" i="18"/>
  <c r="W59" i="18"/>
  <c r="W81" i="18"/>
  <c r="W77" i="18"/>
  <c r="W79" i="18"/>
  <c r="W132" i="18" s="1"/>
  <c r="W51" i="18"/>
  <c r="W50" i="18"/>
  <c r="W169" i="18" s="1"/>
  <c r="W55" i="18"/>
  <c r="W56" i="18"/>
  <c r="W57" i="18"/>
  <c r="W53" i="18"/>
  <c r="W175" i="18" s="1"/>
  <c r="AC27" i="18"/>
  <c r="Y12" i="18"/>
  <c r="Y15" i="18"/>
  <c r="Y122" i="18" s="1"/>
  <c r="Y13" i="18"/>
  <c r="Y10" i="18"/>
  <c r="Y16" i="18"/>
  <c r="Y130" i="18" s="1"/>
  <c r="Y131" i="18" s="1"/>
  <c r="Y7" i="18"/>
  <c r="Y6" i="18"/>
  <c r="AC25" i="18"/>
  <c r="AB85" i="18"/>
  <c r="AC85" i="18" s="1"/>
  <c r="Y40" i="18"/>
  <c r="Y93" i="18" s="1"/>
  <c r="Y99" i="18" s="1"/>
  <c r="X87" i="18"/>
  <c r="X86" i="18"/>
  <c r="O31" i="9"/>
  <c r="O32" i="9" s="1"/>
  <c r="X42" i="18"/>
  <c r="W76" i="18"/>
  <c r="W74" i="18"/>
  <c r="W75" i="18"/>
  <c r="W73" i="18"/>
  <c r="Y168" i="18"/>
  <c r="Y176" i="18" s="1"/>
  <c r="V170" i="18"/>
  <c r="V171" i="18"/>
  <c r="P31" i="11"/>
  <c r="N32" i="11"/>
  <c r="T19" i="9"/>
  <c r="D22" i="9"/>
  <c r="AC91" i="18" l="1"/>
  <c r="AB97" i="18"/>
  <c r="AC97" i="18" s="1"/>
  <c r="Y104" i="18"/>
  <c r="X109" i="18"/>
  <c r="X110" i="18" s="1"/>
  <c r="X111" i="18" s="1"/>
  <c r="X112" i="18" s="1"/>
  <c r="X54" i="18"/>
  <c r="Y128" i="18"/>
  <c r="Y127" i="18"/>
  <c r="Y94" i="18"/>
  <c r="Y100" i="18" s="1"/>
  <c r="Y123" i="18"/>
  <c r="Y88" i="18"/>
  <c r="W65" i="18"/>
  <c r="W172" i="18" s="1"/>
  <c r="X57" i="18"/>
  <c r="Y105" i="18"/>
  <c r="Y106" i="18"/>
  <c r="T158" i="18"/>
  <c r="R158" i="18" s="1"/>
  <c r="X59" i="18"/>
  <c r="X66" i="18"/>
  <c r="X53" i="18"/>
  <c r="X175" i="18" s="1"/>
  <c r="X61" i="18"/>
  <c r="X174" i="18" s="1"/>
  <c r="X56" i="18"/>
  <c r="X55" i="18"/>
  <c r="X77" i="18"/>
  <c r="X79" i="18"/>
  <c r="X132" i="18" s="1"/>
  <c r="X51" i="18"/>
  <c r="X50" i="18"/>
  <c r="X169" i="18" s="1"/>
  <c r="X81" i="18"/>
  <c r="X60" i="18"/>
  <c r="X67" i="18"/>
  <c r="X173" i="18" s="1"/>
  <c r="X64" i="18"/>
  <c r="X63" i="18"/>
  <c r="X80" i="18"/>
  <c r="Z13" i="18"/>
  <c r="Z12" i="18"/>
  <c r="Z15" i="18"/>
  <c r="Z122" i="18" s="1"/>
  <c r="Z10" i="18"/>
  <c r="Z16" i="18"/>
  <c r="Z130" i="18" s="1"/>
  <c r="Z131" i="18" s="1"/>
  <c r="Z6" i="18"/>
  <c r="Z7" i="18"/>
  <c r="Z40" i="18"/>
  <c r="Z93" i="18" s="1"/>
  <c r="Z99" i="18" s="1"/>
  <c r="Y87" i="18"/>
  <c r="Y86" i="18"/>
  <c r="Y42" i="18"/>
  <c r="X76" i="18"/>
  <c r="X74" i="18"/>
  <c r="X75" i="18"/>
  <c r="X73" i="18"/>
  <c r="Z168" i="18"/>
  <c r="Z176" i="18" s="1"/>
  <c r="W170" i="18"/>
  <c r="W171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4" i="18" l="1"/>
  <c r="Y109" i="18"/>
  <c r="Y110" i="18" s="1"/>
  <c r="Y111" i="18" s="1"/>
  <c r="Y112" i="18" s="1"/>
  <c r="Y54" i="18"/>
  <c r="Z94" i="18"/>
  <c r="Z100" i="18" s="1"/>
  <c r="Z123" i="18"/>
  <c r="Z127" i="18"/>
  <c r="Z128" i="18"/>
  <c r="Z88" i="18"/>
  <c r="Z105" i="18"/>
  <c r="Z106" i="18"/>
  <c r="X65" i="18"/>
  <c r="X172" i="18" s="1"/>
  <c r="Y77" i="18"/>
  <c r="Y79" i="18"/>
  <c r="Y132" i="18" s="1"/>
  <c r="Y50" i="18"/>
  <c r="Y169" i="18" s="1"/>
  <c r="Y51" i="18"/>
  <c r="Y61" i="18"/>
  <c r="Y174" i="18" s="1"/>
  <c r="Y67" i="18"/>
  <c r="Y173" i="18" s="1"/>
  <c r="Y66" i="18"/>
  <c r="Y64" i="18"/>
  <c r="Y55" i="18"/>
  <c r="Y53" i="18"/>
  <c r="Y175" i="18" s="1"/>
  <c r="Y60" i="18"/>
  <c r="Y56" i="18"/>
  <c r="Y57" i="18"/>
  <c r="Y63" i="18"/>
  <c r="Y80" i="18"/>
  <c r="Y59" i="18"/>
  <c r="Y81" i="18"/>
  <c r="AA12" i="18"/>
  <c r="AA15" i="18"/>
  <c r="AA122" i="18" s="1"/>
  <c r="AA13" i="18"/>
  <c r="AA10" i="18"/>
  <c r="AA16" i="18"/>
  <c r="AA130" i="18" s="1"/>
  <c r="AA131" i="18" s="1"/>
  <c r="AA7" i="18"/>
  <c r="AA6" i="18"/>
  <c r="AA40" i="18"/>
  <c r="AA93" i="18" s="1"/>
  <c r="AA99" i="18" s="1"/>
  <c r="Z86" i="18"/>
  <c r="Z87" i="18"/>
  <c r="Z42" i="18"/>
  <c r="Y76" i="18"/>
  <c r="Y74" i="18"/>
  <c r="Y75" i="18"/>
  <c r="Y73" i="18"/>
  <c r="AA168" i="18"/>
  <c r="AA176" i="18" s="1"/>
  <c r="X170" i="18"/>
  <c r="X171" i="18"/>
  <c r="N34" i="11"/>
  <c r="O33" i="11"/>
  <c r="D25" i="8"/>
  <c r="D23" i="8"/>
  <c r="AA104" i="18" l="1"/>
  <c r="Z109" i="18"/>
  <c r="Z110" i="18" s="1"/>
  <c r="Z111" i="18" s="1"/>
  <c r="Z112" i="18" s="1"/>
  <c r="Z54" i="18"/>
  <c r="AA88" i="18"/>
  <c r="AA127" i="18"/>
  <c r="AA128" i="18"/>
  <c r="AA94" i="18"/>
  <c r="AA100" i="18" s="1"/>
  <c r="AA123" i="18"/>
  <c r="AA105" i="18"/>
  <c r="AA106" i="18"/>
  <c r="Y65" i="18"/>
  <c r="Y172" i="18" s="1"/>
  <c r="Z77" i="18"/>
  <c r="Z79" i="18"/>
  <c r="Z132" i="18" s="1"/>
  <c r="Z51" i="18"/>
  <c r="Z50" i="18"/>
  <c r="Z169" i="18" s="1"/>
  <c r="Z55" i="18"/>
  <c r="Z66" i="18"/>
  <c r="Z56" i="18"/>
  <c r="Z61" i="18"/>
  <c r="Z174" i="18" s="1"/>
  <c r="Z64" i="18"/>
  <c r="Z63" i="18"/>
  <c r="Z81" i="18"/>
  <c r="Z67" i="18"/>
  <c r="Z173" i="18" s="1"/>
  <c r="Z53" i="18"/>
  <c r="Z175" i="18" s="1"/>
  <c r="Z60" i="18"/>
  <c r="Z80" i="18"/>
  <c r="Z59" i="18"/>
  <c r="Z57" i="18"/>
  <c r="AB15" i="18"/>
  <c r="AB13" i="18"/>
  <c r="AE13" i="18" s="1"/>
  <c r="AB12" i="18"/>
  <c r="AB123" i="18" s="1"/>
  <c r="AC123" i="18" s="1"/>
  <c r="AB10" i="18"/>
  <c r="AB16" i="18"/>
  <c r="AB6" i="18"/>
  <c r="AE6" i="18" s="1"/>
  <c r="AB7" i="18"/>
  <c r="AE7" i="18" s="1"/>
  <c r="AB40" i="18"/>
  <c r="AB93" i="18" s="1"/>
  <c r="AA87" i="18"/>
  <c r="AA86" i="18"/>
  <c r="AA42" i="18"/>
  <c r="Z76" i="18"/>
  <c r="Z74" i="18"/>
  <c r="Z75" i="18"/>
  <c r="Z73" i="18"/>
  <c r="AB168" i="18"/>
  <c r="AB176" i="18" s="1"/>
  <c r="Y170" i="18"/>
  <c r="Y171" i="18"/>
  <c r="N35" i="11"/>
  <c r="O34" i="11"/>
  <c r="D35" i="8"/>
  <c r="E5" i="8"/>
  <c r="E18" i="8" s="1"/>
  <c r="D18" i="8"/>
  <c r="D19" i="8"/>
  <c r="D21" i="8"/>
  <c r="D20" i="8"/>
  <c r="AC93" i="18" l="1"/>
  <c r="AB99" i="18"/>
  <c r="AC99" i="18" s="1"/>
  <c r="AB104" i="18"/>
  <c r="AC176" i="18"/>
  <c r="AE176" i="18" s="1"/>
  <c r="AA109" i="18"/>
  <c r="AA110" i="18" s="1"/>
  <c r="AA111" i="18" s="1"/>
  <c r="AA112" i="18" s="1"/>
  <c r="AA54" i="18"/>
  <c r="AE16" i="18"/>
  <c r="AB130" i="18"/>
  <c r="AB128" i="18"/>
  <c r="AC128" i="18" s="1"/>
  <c r="AB127" i="18"/>
  <c r="AC127" i="18" s="1"/>
  <c r="AE15" i="18"/>
  <c r="AB122" i="18"/>
  <c r="AC122" i="18" s="1"/>
  <c r="AB88" i="18"/>
  <c r="AC88" i="18" s="1"/>
  <c r="AE10" i="18"/>
  <c r="AC104" i="18"/>
  <c r="AE12" i="18"/>
  <c r="AB94" i="18"/>
  <c r="AE40" i="18"/>
  <c r="AB105" i="18"/>
  <c r="AC105" i="18" s="1"/>
  <c r="AB106" i="18"/>
  <c r="AC106" i="18" s="1"/>
  <c r="Z65" i="18"/>
  <c r="Z172" i="18" s="1"/>
  <c r="AA77" i="18"/>
  <c r="AA79" i="18"/>
  <c r="AA132" i="18" s="1"/>
  <c r="AA50" i="18"/>
  <c r="AA169" i="18" s="1"/>
  <c r="AA51" i="18"/>
  <c r="AA59" i="18"/>
  <c r="AA67" i="18"/>
  <c r="AA173" i="18" s="1"/>
  <c r="AA53" i="18"/>
  <c r="AA175" i="18" s="1"/>
  <c r="AA61" i="18"/>
  <c r="AA174" i="18" s="1"/>
  <c r="AA64" i="18"/>
  <c r="AA80" i="18"/>
  <c r="AA55" i="18"/>
  <c r="AA56" i="18"/>
  <c r="AA57" i="18"/>
  <c r="AA60" i="18"/>
  <c r="AA81" i="18"/>
  <c r="AA63" i="18"/>
  <c r="AA66" i="18"/>
  <c r="AC15" i="18"/>
  <c r="AC13" i="18"/>
  <c r="S152" i="18"/>
  <c r="AC12" i="18"/>
  <c r="AC10" i="18"/>
  <c r="AC16" i="18"/>
  <c r="AC7" i="18"/>
  <c r="AC6" i="18"/>
  <c r="AB87" i="18"/>
  <c r="AC87" i="18" s="1"/>
  <c r="AB86" i="18"/>
  <c r="AC86" i="18" s="1"/>
  <c r="AC40" i="18"/>
  <c r="AB42" i="18"/>
  <c r="AA76" i="18"/>
  <c r="AA74" i="18"/>
  <c r="AA75" i="18"/>
  <c r="AA73" i="18"/>
  <c r="AC168" i="18"/>
  <c r="AE168" i="18" s="1"/>
  <c r="Z170" i="18"/>
  <c r="Z171" i="18"/>
  <c r="N36" i="11"/>
  <c r="O35" i="11"/>
  <c r="F5" i="8"/>
  <c r="G5" i="8" s="1"/>
  <c r="H5" i="8" s="1"/>
  <c r="I5" i="8" s="1"/>
  <c r="AC94" i="18" l="1"/>
  <c r="AB100" i="18"/>
  <c r="AC100" i="18" s="1"/>
  <c r="AB109" i="18"/>
  <c r="AB110" i="18" s="1"/>
  <c r="AB111" i="18" s="1"/>
  <c r="AB112" i="18" s="1"/>
  <c r="AB54" i="18"/>
  <c r="AC130" i="18"/>
  <c r="AB131" i="18"/>
  <c r="AC131" i="18" s="1"/>
  <c r="AE42" i="18"/>
  <c r="T152" i="18"/>
  <c r="T153" i="18" s="1"/>
  <c r="AA65" i="18"/>
  <c r="AA172" i="18" s="1"/>
  <c r="AB77" i="18"/>
  <c r="AB79" i="18"/>
  <c r="AB50" i="18"/>
  <c r="AB169" i="18" s="1"/>
  <c r="AC169" i="18" s="1"/>
  <c r="AE169" i="18" s="1"/>
  <c r="AB51" i="18"/>
  <c r="AB59" i="18"/>
  <c r="AB64" i="18"/>
  <c r="AB53" i="18"/>
  <c r="AB61" i="18"/>
  <c r="AB57" i="18"/>
  <c r="AB80" i="18"/>
  <c r="AB56" i="18"/>
  <c r="AE56" i="18" s="1"/>
  <c r="AB55" i="18"/>
  <c r="AB66" i="18"/>
  <c r="AB81" i="18"/>
  <c r="AB60" i="18"/>
  <c r="AB67" i="18"/>
  <c r="AB63" i="18"/>
  <c r="S153" i="18"/>
  <c r="AB76" i="18"/>
  <c r="AB74" i="18"/>
  <c r="AC42" i="18"/>
  <c r="AB75" i="18"/>
  <c r="AB73" i="18"/>
  <c r="AA170" i="18"/>
  <c r="AA171" i="18"/>
  <c r="N37" i="11"/>
  <c r="O36" i="11"/>
  <c r="F18" i="8"/>
  <c r="G18" i="8"/>
  <c r="AE53" i="18" l="1"/>
  <c r="AB175" i="18"/>
  <c r="AE54" i="18"/>
  <c r="AC54" i="18"/>
  <c r="AE79" i="18"/>
  <c r="AB132" i="18"/>
  <c r="AC132" i="18" s="1"/>
  <c r="AC109" i="18"/>
  <c r="R152" i="18"/>
  <c r="R153" i="18"/>
  <c r="M184" i="18" s="1"/>
  <c r="AC80" i="18"/>
  <c r="AE80" i="18"/>
  <c r="AC51" i="18"/>
  <c r="AE51" i="18"/>
  <c r="S149" i="18"/>
  <c r="AE66" i="18"/>
  <c r="AB173" i="18"/>
  <c r="AC173" i="18" s="1"/>
  <c r="AE173" i="18" s="1"/>
  <c r="AE67" i="18"/>
  <c r="AC50" i="18"/>
  <c r="AE50" i="18"/>
  <c r="AC64" i="18"/>
  <c r="AE64" i="18"/>
  <c r="S143" i="18"/>
  <c r="AE63" i="18"/>
  <c r="S142" i="18"/>
  <c r="AE57" i="18"/>
  <c r="AB174" i="18"/>
  <c r="AC174" i="18" s="1"/>
  <c r="AE174" i="18" s="1"/>
  <c r="AE61" i="18"/>
  <c r="AC60" i="18"/>
  <c r="AE60" i="18"/>
  <c r="S140" i="18"/>
  <c r="AE55" i="18"/>
  <c r="S145" i="18"/>
  <c r="AE59" i="18"/>
  <c r="AC81" i="18"/>
  <c r="AE81" i="18"/>
  <c r="S165" i="18"/>
  <c r="AE77" i="18"/>
  <c r="S163" i="18"/>
  <c r="AE76" i="18"/>
  <c r="S162" i="18"/>
  <c r="AE75" i="18"/>
  <c r="S160" i="18"/>
  <c r="AE73" i="18"/>
  <c r="S161" i="18"/>
  <c r="AE74" i="18"/>
  <c r="AC66" i="18"/>
  <c r="S146" i="18"/>
  <c r="AC55" i="18"/>
  <c r="AC57" i="18"/>
  <c r="T142" i="18" s="1"/>
  <c r="AC59" i="18"/>
  <c r="S147" i="18"/>
  <c r="AC77" i="18"/>
  <c r="AC63" i="18"/>
  <c r="S150" i="18"/>
  <c r="AB65" i="18"/>
  <c r="AC61" i="18"/>
  <c r="AC67" i="18"/>
  <c r="AC79" i="18"/>
  <c r="AC75" i="18"/>
  <c r="AC74" i="18"/>
  <c r="AC73" i="18"/>
  <c r="AC76" i="18"/>
  <c r="S139" i="18"/>
  <c r="AC53" i="18"/>
  <c r="AB170" i="18"/>
  <c r="AC56" i="18"/>
  <c r="T141" i="18" s="1"/>
  <c r="AB171" i="18"/>
  <c r="S141" i="18"/>
  <c r="N38" i="11"/>
  <c r="O37" i="11"/>
  <c r="H18" i="8"/>
  <c r="AC175" i="18" l="1"/>
  <c r="AE175" i="18" s="1"/>
  <c r="T139" i="18"/>
  <c r="P184" i="18"/>
  <c r="AC110" i="18"/>
  <c r="T150" i="18"/>
  <c r="R150" i="18" s="1"/>
  <c r="T140" i="18"/>
  <c r="R140" i="18" s="1"/>
  <c r="M183" i="18" s="1"/>
  <c r="T149" i="18"/>
  <c r="R149" i="18" s="1"/>
  <c r="T145" i="18"/>
  <c r="R145" i="18" s="1"/>
  <c r="T147" i="18"/>
  <c r="R147" i="18" s="1"/>
  <c r="T165" i="18"/>
  <c r="R165" i="18" s="1"/>
  <c r="T162" i="18"/>
  <c r="R162" i="18" s="1"/>
  <c r="AC65" i="18"/>
  <c r="AE65" i="18"/>
  <c r="T143" i="18"/>
  <c r="R143" i="18" s="1"/>
  <c r="R142" i="18"/>
  <c r="T146" i="18"/>
  <c r="R146" i="18" s="1"/>
  <c r="T160" i="18"/>
  <c r="R160" i="18" s="1"/>
  <c r="AB172" i="18"/>
  <c r="AC172" i="18" s="1"/>
  <c r="AE172" i="18" s="1"/>
  <c r="T163" i="18"/>
  <c r="R163" i="18" s="1"/>
  <c r="T161" i="18"/>
  <c r="R161" i="18" s="1"/>
  <c r="R139" i="18"/>
  <c r="P186" i="18" s="1"/>
  <c r="P187" i="18" s="1"/>
  <c r="AC171" i="18"/>
  <c r="AE171" i="18" s="1"/>
  <c r="AC170" i="18"/>
  <c r="AE170" i="18" s="1"/>
  <c r="R141" i="18"/>
  <c r="N39" i="11"/>
  <c r="O38" i="11"/>
  <c r="I18" i="8"/>
  <c r="P185" i="18" l="1"/>
  <c r="M185" i="18"/>
  <c r="P183" i="18"/>
  <c r="P182" i="18"/>
  <c r="M182" i="18"/>
  <c r="AC112" i="18"/>
  <c r="AC111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7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<sst xmlns="http://schemas.openxmlformats.org/spreadsheetml/2006/main" count="620" uniqueCount="430">
  <si>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</si>
  <si>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</si>
  <si>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</si>
  <si>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</si>
  <si>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</si>
  <si>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</si>
  <si>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</si>
  <si>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</si>
  <si>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</si>
  <si>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</si>
  <si>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</si>
  <si>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</si>
  <si>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</si>
  <si>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</si>
  <si>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</si>
  <si>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</si>
  <si>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</si>
  <si>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</si>
  <si>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</si>
  <si>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</si>
  <si>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</si>
  <si>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</si>
  <si>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</si>
  <si>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</si>
  <si>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</si>
  <si>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</si>
  <si>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</si>
  <si>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</si>
  <si>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</si>
  <si>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</si>
  <si>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</si>
  <si>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</si>
  <si>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</si>
  <si>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</si>
  <si>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</si>
  <si>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</si>
  <si>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</si>
  <si>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</si>
  <si>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</si>
  <si>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</si>
  <si>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</si>
  <si>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</si>
  <si>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</si>
  <si>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</si>
  <si>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</si>
  <si>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</si>
  <si>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</si>
  <si>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</si>
  <si>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</si>
  <si>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</si>
  <si>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</si>
  <si>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</si>
  <si>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</si>
  <si>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</si>
  <si>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</si>
  <si>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</si>
  <si>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</si>
  <si>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</si>
  <si>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</si>
  <si>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</si>
  <si>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</si>
  <si>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</si>
  <si>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</si>
  <si>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</si>
  <si>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</si>
  <si>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</si>
  <si>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</si>
  <si>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</si>
  <si>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</si>
  <si>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</si>
  <si>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</si>
  <si>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</si>
  <si>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</si>
  <si>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</si>
  <si>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</si>
  <si>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</si>
  <si>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</si>
  <si>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</si>
  <si>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</si>
  <si>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</si>
  <si>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</si>
  <si>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</si>
  <si>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</si>
  <si>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</si>
  <si>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</si>
  <si>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</si>
  <si>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</si>
  <si>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</si>
  <si>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</si>
  <si>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</si>
  <si>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</si>
  <si>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</si>
  <si>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</si>
  <si>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</si>
  <si>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</si>
  <si>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</si>
  <si>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</si>
  <si>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</si>
  <si>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</si>
  <si>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</si>
  <si>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</si>
  <si>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</si>
  <si>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</si>
  <si>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</si>
  <si>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</si>
  <si>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</si>
  <si>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</si>
  <si>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</si>
  <si>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</si>
  <si>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</si>
  <si>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</si>
  <si>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</si>
  <si>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</si>
  <si>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</si>
  <si>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</si>
  <si>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</si>
  <si>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</si>
  <si>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</si>
  <si>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</si>
  <si>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</si>
  <si>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</si>
  <si>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</si>
  <si>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</si>
  <si>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</si>
  <si>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</si>
  <si>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</si>
  <si>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</si>
  <si>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</si>
  <si>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</si>
  <si>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</si>
  <si>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</si>
  <si>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</si>
  <si>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</si>
  <si>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</si>
  <si>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</si>
  <si>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</si>
  <si>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</si>
  <si>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</si>
  <si>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</si>
  <si>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</si>
  <si>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</si>
  <si>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</si>
  <si>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</si>
  <si>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</si>
  <si>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</si>
  <si>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</si>
  <si>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</si>
  <si>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</si>
  <si>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</si>
  <si>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</si>
  <si>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</si>
  <si>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</si>
  <si>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</si>
  <si>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</si>
  <si>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</si>
  <si>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</si>
  <si>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</si>
  <si>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</si>
  <si>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</si>
  <si>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</si>
  <si>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</si>
  <si>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</si>
  <si>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</si>
  <si>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</si>
  <si>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</si>
  <si>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</si>
  <si>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</si>
  <si>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</si>
  <si>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</si>
  <si>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</si>
  <si>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</si>
  <si>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</si>
  <si>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</si>
  <si>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</si>
  <si>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</si>
  <si>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</si>
  <si>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</si>
  <si>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</si>
  <si>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</si>
  <si>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</si>
  <si>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</si>
  <si>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</si>
  <si>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</si>
  <si>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</si>
  <si>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</si>
  <si>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</si>
  <si>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</si>
  <si>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</si>
  <si>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</si>
  <si>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</si>
  <si>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</si>
  <si>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</si>
  <si>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</si>
  <si>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</si>
  <si>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</si>
  <si>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</si>
  <si>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</si>
  <si>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</si>
  <si>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</si>
  <si>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</si>
  <si>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</si>
  <si>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</si>
  <si>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</si>
  <si>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</si>
  <si>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</si>
  <si>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</si>
  <si>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</si>
  <si>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</si>
  <si>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</si>
  <si>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</si>
  <si>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</si>
  <si>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</si>
  <si>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</si>
  <si>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</si>
  <si>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</si>
  <si>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</si>
  <si>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</si>
  <si>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</si>
  <si>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</si>
  <si>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</si>
  <si>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</si>
  <si>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</si>
  <si>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</si>
  <si>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</si>
  <si>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</si>
  <si>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</si>
  <si>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</si>
  <si>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</si>
  <si>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</si>
  <si>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</si>
  <si>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</si>
  <si>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</si>
  <si>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</si>
  <si>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</si>
  <si>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</si>
  <si>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</si>
  <si>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</si>
  <si>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</si>
  <si>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</si>
  <si>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</si>
  <si>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</si>
  <si>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</si>
  <si>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</si>
  <si>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</si>
  <si>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</si>
  <si>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</si>
  <si>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</si>
  <si>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</si>
  <si>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</si>
  <si>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</si>
  <si>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</si>
  <si>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</si>
  <si>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</si>
  <si>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</si>
  <si>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</si>
  <si>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</si>
  <si>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</si>
  <si>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</si>
  <si>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</si>
  <si>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</si>
  <si>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</si>
  <si>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</si>
  <si>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</si>
  <si>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</si>
  <si>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</si>
  <si>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</si>
  <si>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</si>
  <si>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</si>
  <si>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</si>
  <si>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</si>
  <si>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</si>
  <si>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</si>
  <si>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</si>
  <si>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</si>
  <si>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</si>
  <si>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</si>
  <si>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</si>
  <si>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</si>
  <si>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</si>
  <si>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</si>
  <si>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</si>
  <si>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</si>
  <si>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</si>
  <si>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</si>
  <si>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</si>
  <si>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</si>
  <si>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</si>
  <si>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</si>
  <si>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</si>
  <si>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</si>
  <si>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</si>
  <si>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</si>
  <si>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</si>
  <si>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</si>
  <si>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</si>
  <si>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</si>
  <si>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</si>
  <si>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</si>
  <si>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</si>
  <si>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</si>
  <si>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</si>
  <si>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</si>
  <si>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</si>
  <si>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</si>
  <si>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</si>
  <si>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</si>
  <si>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</si>
  <si>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</si>
  <si>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</si>
  <si>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</si>
  <si>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</si>
  <si>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</si>
  <si>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</si>
  <si>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</si>
  <si>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</si>
  <si>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</si>
  <si>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</si>
  <si>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</si>
  <si>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</si>
  <si>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</si>
  <si>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</si>
  <si>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</si>
  <si>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</si>
  <si>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</si>
  <si>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</si>
  <si>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</si>
  <si>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</si>
  <si>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</si>
  <si>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</si>
  <si>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</si>
  <si>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</si>
  <si>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</si>
  <si>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</si>
  <si>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</si>
  <si>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</si>
  <si>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</si>
  <si>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</si>
  <si>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</si>
  <si>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</si>
  <si>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</si>
  <si>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</si>
  <si>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</si>
  <si>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</si>
  <si>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</si>
  <si>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</si>
  <si>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</si>
  <si>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</si>
  <si>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</si>
  <si>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</si>
  <si>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</si>
  <si>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</si>
  <si>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</si>
  <si>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</si>
  <si>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</si>
  <si>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</si>
  <si>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</si>
  <si>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</si>
  <si>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</si>
  <si>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</si>
  <si>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</si>
  <si>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</si>
  <si>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</si>
  <si>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</si>
  <si>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</si>
  <si>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</si>
  <si>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</si>
  <si>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</si>
  <si>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</si>
  <si>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</si>
  <si>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</si>
  <si>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</si>
  <si>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</si>
  <si>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</si>
  <si>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</si>
  <si>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</si>
  <si>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</si>
  <si>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</si>
  <si>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</si>
  <si>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</si>
  <si>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</si>
  <si>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</si>
  <si>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</si>
  <si>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</si>
  <si>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</si>
  <si>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</si>
  <si>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</si>
  <si>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</si>
  <si>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</si>
  <si>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</si>
  <si>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</si>
  <si>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</si>
  <si>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</si>
  <si>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</si>
  <si>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</si>
  <si>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</si>
  <si>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</si>
  <si>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</si>
  <si>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</si>
  <si>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</si>
  <si>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</si>
  <si>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</si>
  <si>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</si>
  <si>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</si>
  <si>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</si>
  <si>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</si>
  <si>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</si>
  <si>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</si>
  <si>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</si>
  <si>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</si>
  <si>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</si>
  <si>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</si>
  <si>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</si>
  <si>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</si>
  <si>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</si>
  <si>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</si>
  <si>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</si>
  <si>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</si>
  <si>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</si>
  <si>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</si>
  <si>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</si>
  <si>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</si>
  <si>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</si>
  <si>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</si>
  <si>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</si>
  <si>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</si>
  <si>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</si>
  <si>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</si>
  <si>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1x1</t>
  </si>
  <si>
    <t>10x2</t>
  </si>
  <si>
    <t>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</si>
</sst>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174" fontId="8" fillId="5" borderId="1" xfId="2" applyNumberFormat="1" applyFont="1" applyFill="1" applyBorder="1"/>
    <xf numFmtId="0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66080"/>
        <c:axId val="105030016"/>
      </c:lineChart>
      <c:catAx>
        <c:axId val="104766080"/>
        <c:scaling>
          <c:orientation val="minMax"/>
        </c:scaling>
        <c:delete val="0"/>
        <c:axPos val="b"/>
        <c:majorTickMark val="out"/>
        <c:minorTickMark val="none"/>
        <c:tickLblPos val="nextTo"/>
        <c:crossAx val="105030016"/>
        <c:crosses val="autoZero"/>
        <c:auto val="1"/>
        <c:lblAlgn val="ctr"/>
        <c:lblOffset val="100"/>
        <c:noMultiLvlLbl val="0"/>
      </c:catAx>
      <c:valAx>
        <c:axId val="105030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76608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9"/>
  <sheetViews>
    <sheetView tabSelected="1" zoomScale="80" zoomScaleNormal="80" workbookViewId="0">
      <pane xSplit="2" ySplit="3" topLeftCell="C154" activePane="bottomRight" state="frozen"/>
      <selection pane="topRight" activeCell="C1" sqref="C1"/>
      <selection pane="bottomLeft" activeCell="A5" sqref="A5"/>
      <selection pane="bottomRight" activeCell="P168" sqref="P168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3" t="s">
        <v>291</v>
      </c>
      <c r="AE2" s="194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5" t="s">
        <v>292</v>
      </c>
      <c r="AE3" s="196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3">
        <v>23</v>
      </c>
      <c r="H6" s="143">
        <v>34</v>
      </c>
      <c r="I6" s="143">
        <v>38</v>
      </c>
      <c r="J6" s="143">
        <v>130</v>
      </c>
      <c r="K6" s="143">
        <v>313</v>
      </c>
      <c r="L6" s="143">
        <v>398</v>
      </c>
      <c r="M6" s="143">
        <v>490</v>
      </c>
      <c r="N6" s="143">
        <v>521</v>
      </c>
      <c r="O6" s="143">
        <v>517</v>
      </c>
      <c r="P6" s="143">
        <v>535</v>
      </c>
      <c r="Q6" s="118">
        <f>((P6/G6)^(1/($H$2-$H$1) ))-1</f>
        <v>0.41855875132034304</v>
      </c>
      <c r="R6" s="31">
        <f>$L$2</f>
        <v>0.15</v>
      </c>
      <c r="S6" s="154">
        <f>P6*(1+$R6)</f>
        <v>615.25</v>
      </c>
      <c r="T6" s="154">
        <f>S6*(1+$R6)</f>
        <v>707.53749999999991</v>
      </c>
      <c r="U6" s="154">
        <f t="shared" ref="U6:AB6" si="0">T6*(1+$R6)</f>
        <v>813.6681249999998</v>
      </c>
      <c r="V6" s="154">
        <f t="shared" si="0"/>
        <v>935.71834374999969</v>
      </c>
      <c r="W6" s="154">
        <f t="shared" si="0"/>
        <v>1076.0760953124995</v>
      </c>
      <c r="X6" s="154">
        <f t="shared" si="0"/>
        <v>1237.4875096093745</v>
      </c>
      <c r="Y6" s="154">
        <f t="shared" si="0"/>
        <v>1423.1106360507806</v>
      </c>
      <c r="Z6" s="154">
        <f t="shared" si="0"/>
        <v>1636.5772314583976</v>
      </c>
      <c r="AA6" s="154">
        <f t="shared" si="0"/>
        <v>1882.0638161771572</v>
      </c>
      <c r="AB6" s="154">
        <f t="shared" si="0"/>
        <v>2164.3733886037307</v>
      </c>
      <c r="AC6" s="138">
        <f>((AB6/G6)^(1/($AB$3-$H$1) ))-1</f>
        <v>0.27020527838525799</v>
      </c>
      <c r="AD6" s="31">
        <f>$L$1</f>
        <v>0.05</v>
      </c>
      <c r="AE6" s="146">
        <f t="shared" ref="AE6:AE44" si="1">(AB6*(1+AD6))/($C$1-AD6)</f>
        <v>13368.188576670103</v>
      </c>
    </row>
    <row r="7" spans="2:31" x14ac:dyDescent="0.2">
      <c r="B7" s="20" t="s">
        <v>240</v>
      </c>
      <c r="C7" s="141"/>
      <c r="D7" s="141"/>
      <c r="E7" s="147"/>
      <c r="F7" s="147"/>
      <c r="G7" s="143">
        <v>31</v>
      </c>
      <c r="H7" s="143">
        <v>42</v>
      </c>
      <c r="I7" s="143">
        <v>54</v>
      </c>
      <c r="J7" s="143">
        <v>156</v>
      </c>
      <c r="K7" s="143">
        <v>349</v>
      </c>
      <c r="L7" s="143">
        <v>434</v>
      </c>
      <c r="M7" s="143">
        <v>527</v>
      </c>
      <c r="N7" s="143">
        <v>559</v>
      </c>
      <c r="O7" s="143">
        <v>553</v>
      </c>
      <c r="P7" s="143">
        <v>570</v>
      </c>
      <c r="Q7" s="118">
        <f>((P7/G7)^(1/($H$2-$H$1) ))-1</f>
        <v>0.38197905951638211</v>
      </c>
      <c r="R7" s="31">
        <f>$L$2</f>
        <v>0.15</v>
      </c>
      <c r="S7" s="154">
        <f t="shared" ref="S7:S16" si="2">P7*(1+$R7)</f>
        <v>655.5</v>
      </c>
      <c r="T7" s="154">
        <f t="shared" ref="T7:AB7" si="3">S7*(1+$R7)</f>
        <v>753.82499999999993</v>
      </c>
      <c r="U7" s="154">
        <f t="shared" si="3"/>
        <v>866.89874999999984</v>
      </c>
      <c r="V7" s="154">
        <f t="shared" si="3"/>
        <v>996.93356249999977</v>
      </c>
      <c r="W7" s="154">
        <f t="shared" si="3"/>
        <v>1146.4735968749997</v>
      </c>
      <c r="X7" s="154">
        <f t="shared" si="3"/>
        <v>1318.4446364062494</v>
      </c>
      <c r="Y7" s="154">
        <f t="shared" si="3"/>
        <v>1516.2113318671868</v>
      </c>
      <c r="Z7" s="154">
        <f t="shared" si="3"/>
        <v>1743.6430316472647</v>
      </c>
      <c r="AA7" s="154">
        <f t="shared" si="3"/>
        <v>2005.1894863943542</v>
      </c>
      <c r="AB7" s="154">
        <f t="shared" si="3"/>
        <v>2305.9679093535069</v>
      </c>
      <c r="AC7" s="138">
        <f>((AB7/G7)^(1/($AB$3-$H$1) ))-1</f>
        <v>0.25458345544568539</v>
      </c>
      <c r="AD7" s="31">
        <f>$L$1</f>
        <v>0.05</v>
      </c>
      <c r="AE7" s="146">
        <f t="shared" si="1"/>
        <v>14242.74296953637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0.26190476190476192</v>
      </c>
      <c r="I8" s="151">
        <f t="shared" ref="I8:P8" si="4">(I7-H7)/I7</f>
        <v>0.22222222222222221</v>
      </c>
      <c r="J8" s="151">
        <f t="shared" si="4"/>
        <v>0.65384615384615385</v>
      </c>
      <c r="K8" s="151">
        <f t="shared" si="4"/>
        <v>0.55300859598853869</v>
      </c>
      <c r="L8" s="151">
        <f t="shared" si="4"/>
        <v>0.19585253456221199</v>
      </c>
      <c r="M8" s="151">
        <f t="shared" si="4"/>
        <v>0.17647058823529413</v>
      </c>
      <c r="N8" s="151">
        <f t="shared" si="4"/>
        <v>5.7245080500894455E-2</v>
      </c>
      <c r="O8" s="151">
        <f t="shared" si="4"/>
        <v>-1.0849909584086799E-2</v>
      </c>
      <c r="P8" s="151">
        <f t="shared" si="4"/>
        <v>2.9824561403508771E-2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46</v>
      </c>
      <c r="H9" s="147">
        <v>75</v>
      </c>
      <c r="I9" s="147">
        <v>119</v>
      </c>
      <c r="J9" s="147">
        <v>394</v>
      </c>
      <c r="K9" s="147">
        <v>344</v>
      </c>
      <c r="L9" s="147">
        <v>400</v>
      </c>
      <c r="M9" s="147">
        <v>282</v>
      </c>
      <c r="N9" s="147">
        <v>388</v>
      </c>
      <c r="O9" s="147">
        <v>478</v>
      </c>
      <c r="P9" s="147">
        <v>648</v>
      </c>
      <c r="Q9" s="118">
        <f t="shared" ref="Q9:Q16" si="5">((P9/G9)^(1/($H$2-$H$1) ))-1</f>
        <v>0.34167198862784187</v>
      </c>
      <c r="R9" s="31">
        <f t="shared" ref="R9:R40" si="6">$L$2</f>
        <v>0.15</v>
      </c>
      <c r="S9" s="154">
        <f t="shared" ref="S9" si="7">P9*(1+$R9)</f>
        <v>745.19999999999993</v>
      </c>
      <c r="T9" s="154">
        <f t="shared" ref="T9" si="8">S9*(1+$R9)</f>
        <v>856.9799999999999</v>
      </c>
      <c r="U9" s="154">
        <f t="shared" ref="U9" si="9">T9*(1+$R9)</f>
        <v>985.52699999999982</v>
      </c>
      <c r="V9" s="154">
        <f t="shared" ref="V9" si="10">U9*(1+$R9)</f>
        <v>1133.3560499999996</v>
      </c>
      <c r="W9" s="154">
        <f t="shared" ref="W9" si="11">V9*(1+$R9)</f>
        <v>1303.3594574999995</v>
      </c>
      <c r="X9" s="154">
        <f t="shared" ref="X9" si="12">W9*(1+$R9)</f>
        <v>1498.8633761249994</v>
      </c>
      <c r="Y9" s="154">
        <f t="shared" ref="Y9" si="13">X9*(1+$R9)</f>
        <v>1723.6928825437492</v>
      </c>
      <c r="Z9" s="154">
        <f t="shared" ref="Z9" si="14">Y9*(1+$R9)</f>
        <v>1982.2468149253114</v>
      </c>
      <c r="AA9" s="154">
        <f t="shared" ref="AA9" si="15">Z9*(1+$R9)</f>
        <v>2279.583837164108</v>
      </c>
      <c r="AB9" s="154">
        <f t="shared" ref="AB9" si="16">AA9*(1+$R9)</f>
        <v>2621.5214127387239</v>
      </c>
      <c r="AC9" s="138">
        <f>((AB9/G9)^(1/($AB$3-$H$1) ))-1</f>
        <v>0.23711562901905259</v>
      </c>
      <c r="AD9" s="31">
        <f t="shared" ref="AD9:AD80" si="17">$L$1</f>
        <v>0.05</v>
      </c>
      <c r="AE9" s="146">
        <f t="shared" si="1"/>
        <v>16191.749902209769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4.8</v>
      </c>
      <c r="H10" s="147">
        <v>0</v>
      </c>
      <c r="I10" s="147">
        <v>0.53</v>
      </c>
      <c r="J10" s="147">
        <v>0.06</v>
      </c>
      <c r="K10" s="147">
        <v>1.63</v>
      </c>
      <c r="L10" s="147">
        <v>18.16</v>
      </c>
      <c r="M10" s="147">
        <v>0</v>
      </c>
      <c r="N10" s="147">
        <v>0</v>
      </c>
      <c r="O10" s="147">
        <v>21.35</v>
      </c>
      <c r="P10" s="147">
        <v>13.89</v>
      </c>
      <c r="Q10" s="118">
        <f t="shared" si="5"/>
        <v>0.12531328335567227</v>
      </c>
      <c r="R10" s="31">
        <f t="shared" si="6"/>
        <v>0.15</v>
      </c>
      <c r="S10" s="154">
        <f t="shared" si="2"/>
        <v>15.9735</v>
      </c>
      <c r="T10" s="154">
        <f t="shared" ref="T10:AB10" si="18">S10*(1+$R10)</f>
        <v>18.369524999999999</v>
      </c>
      <c r="U10" s="154">
        <f t="shared" si="18"/>
        <v>21.124953749999996</v>
      </c>
      <c r="V10" s="154">
        <f t="shared" si="18"/>
        <v>24.293696812499995</v>
      </c>
      <c r="W10" s="154">
        <f t="shared" si="18"/>
        <v>27.93775133437499</v>
      </c>
      <c r="X10" s="154">
        <f t="shared" si="18"/>
        <v>32.128414034531239</v>
      </c>
      <c r="Y10" s="154">
        <f t="shared" si="18"/>
        <v>36.947676139710921</v>
      </c>
      <c r="Z10" s="154">
        <f t="shared" si="18"/>
        <v>42.489827560667557</v>
      </c>
      <c r="AA10" s="154">
        <f t="shared" si="18"/>
        <v>48.863301694767685</v>
      </c>
      <c r="AB10" s="154">
        <f t="shared" si="18"/>
        <v>56.192796948982831</v>
      </c>
      <c r="AC10" s="138">
        <f t="shared" ref="AC10:AC42" si="19">((AB10/G10)^(1/($AB$3-$H$1) ))-1</f>
        <v>0.13823950138047114</v>
      </c>
      <c r="AD10" s="31">
        <f t="shared" si="17"/>
        <v>0.05</v>
      </c>
      <c r="AE10" s="146">
        <f t="shared" si="1"/>
        <v>347.07315762607044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 t="e">
        <f t="shared" ref="H11:P11" si="20">(H10-G10)/H10</f>
        <v>#DIV/0!</v>
      </c>
      <c r="I11" s="148">
        <f t="shared" si="20"/>
        <v>1</v>
      </c>
      <c r="J11" s="148">
        <f t="shared" si="20"/>
        <v>-7.8333333333333339</v>
      </c>
      <c r="K11" s="148">
        <f t="shared" si="20"/>
        <v>0.96319018404907975</v>
      </c>
      <c r="L11" s="148">
        <f t="shared" si="20"/>
        <v>0.91024229074889873</v>
      </c>
      <c r="M11" s="148" t="e">
        <f t="shared" si="20"/>
        <v>#DIV/0!</v>
      </c>
      <c r="N11" s="148" t="e">
        <f t="shared" si="20"/>
        <v>#DIV/0!</v>
      </c>
      <c r="O11" s="148">
        <f t="shared" si="20"/>
        <v>1</v>
      </c>
      <c r="P11" s="148">
        <f t="shared" si="20"/>
        <v>-0.53707703383729311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17</v>
      </c>
      <c r="H12" s="147">
        <v>12</v>
      </c>
      <c r="I12" s="147">
        <v>16</v>
      </c>
      <c r="J12" s="147">
        <v>30</v>
      </c>
      <c r="K12" s="147">
        <v>28</v>
      </c>
      <c r="L12" s="147">
        <v>40</v>
      </c>
      <c r="M12" s="147">
        <v>40</v>
      </c>
      <c r="N12" s="147">
        <v>78</v>
      </c>
      <c r="O12" s="147">
        <v>162</v>
      </c>
      <c r="P12" s="147">
        <v>75</v>
      </c>
      <c r="Q12" s="118">
        <f t="shared" si="5"/>
        <v>0.17929808566430605</v>
      </c>
      <c r="R12" s="31">
        <f t="shared" si="6"/>
        <v>0.15</v>
      </c>
      <c r="S12" s="154">
        <f t="shared" si="2"/>
        <v>86.25</v>
      </c>
      <c r="T12" s="154">
        <f t="shared" ref="T12:AB12" si="21">S12*(1+$R12)</f>
        <v>99.187499999999986</v>
      </c>
      <c r="U12" s="154">
        <f t="shared" si="21"/>
        <v>114.06562499999997</v>
      </c>
      <c r="V12" s="154">
        <f t="shared" si="21"/>
        <v>131.17546874999996</v>
      </c>
      <c r="W12" s="154">
        <f t="shared" si="21"/>
        <v>150.85178906249996</v>
      </c>
      <c r="X12" s="154">
        <f t="shared" si="21"/>
        <v>173.47955742187494</v>
      </c>
      <c r="Y12" s="154">
        <f t="shared" si="21"/>
        <v>199.50149103515616</v>
      </c>
      <c r="Z12" s="154">
        <f t="shared" si="21"/>
        <v>229.42671469042958</v>
      </c>
      <c r="AA12" s="154">
        <f t="shared" si="21"/>
        <v>263.84072189399399</v>
      </c>
      <c r="AB12" s="154">
        <f t="shared" si="21"/>
        <v>303.41683017809305</v>
      </c>
      <c r="AC12" s="138">
        <f t="shared" si="19"/>
        <v>0.16378618404032075</v>
      </c>
      <c r="AD12" s="31">
        <f t="shared" si="17"/>
        <v>0.05</v>
      </c>
      <c r="AE12" s="146">
        <f t="shared" si="1"/>
        <v>1874.045127570575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0.01</v>
      </c>
      <c r="H13" s="147">
        <v>10</v>
      </c>
      <c r="I13" s="147">
        <v>37</v>
      </c>
      <c r="J13" s="147">
        <v>158</v>
      </c>
      <c r="K13" s="147">
        <v>240</v>
      </c>
      <c r="L13" s="147">
        <v>195</v>
      </c>
      <c r="M13" s="147">
        <v>266</v>
      </c>
      <c r="N13" s="147">
        <v>258</v>
      </c>
      <c r="O13" s="147">
        <v>155</v>
      </c>
      <c r="P13" s="147">
        <v>15</v>
      </c>
      <c r="Q13" s="118">
        <f t="shared" si="5"/>
        <v>1.2537151741400518</v>
      </c>
      <c r="R13" s="31">
        <f t="shared" si="6"/>
        <v>0.15</v>
      </c>
      <c r="S13" s="154">
        <f t="shared" si="2"/>
        <v>17.25</v>
      </c>
      <c r="T13" s="154">
        <f t="shared" ref="T13:AB13" si="22">S13*(1+$R13)</f>
        <v>19.837499999999999</v>
      </c>
      <c r="U13" s="154">
        <f t="shared" si="22"/>
        <v>22.813124999999996</v>
      </c>
      <c r="V13" s="154">
        <f t="shared" si="22"/>
        <v>26.235093749999994</v>
      </c>
      <c r="W13" s="154">
        <f t="shared" si="22"/>
        <v>30.17035781249999</v>
      </c>
      <c r="X13" s="154">
        <f t="shared" si="22"/>
        <v>34.695911484374989</v>
      </c>
      <c r="Y13" s="154">
        <f t="shared" si="22"/>
        <v>39.900298207031234</v>
      </c>
      <c r="Z13" s="154">
        <f t="shared" si="22"/>
        <v>45.885342938085913</v>
      </c>
      <c r="AA13" s="154">
        <f t="shared" si="22"/>
        <v>52.768144378798794</v>
      </c>
      <c r="AB13" s="154">
        <f t="shared" si="22"/>
        <v>60.683366035618612</v>
      </c>
      <c r="AC13" s="138">
        <f t="shared" si="19"/>
        <v>0.58164469716623657</v>
      </c>
      <c r="AD13" s="31">
        <f t="shared" si="17"/>
        <v>0.05</v>
      </c>
      <c r="AE13" s="146">
        <f t="shared" si="1"/>
        <v>374.80902551411498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8.01</v>
      </c>
      <c r="H14" s="147">
        <v>35.67</v>
      </c>
      <c r="I14" s="147">
        <v>31.26</v>
      </c>
      <c r="J14" s="147">
        <v>127.42</v>
      </c>
      <c r="K14" s="147">
        <v>105.91</v>
      </c>
      <c r="L14" s="147">
        <v>177.13</v>
      </c>
      <c r="M14" s="147">
        <v>75.099999999999994</v>
      </c>
      <c r="N14" s="147">
        <v>91</v>
      </c>
      <c r="O14" s="147">
        <v>163</v>
      </c>
      <c r="P14" s="147">
        <v>95.8</v>
      </c>
      <c r="Q14" s="118">
        <f t="shared" ref="Q14" si="23">((P14/G14)^(1/($H$2-$H$1) ))-1</f>
        <v>0.3174923747706655</v>
      </c>
      <c r="R14" s="31">
        <f t="shared" si="6"/>
        <v>0.15</v>
      </c>
      <c r="S14" s="154">
        <f t="shared" ref="S14" si="24">P14*(1+$R14)</f>
        <v>110.16999999999999</v>
      </c>
      <c r="T14" s="154">
        <f t="shared" ref="T14" si="25">S14*(1+$R14)</f>
        <v>126.69549999999998</v>
      </c>
      <c r="U14" s="154">
        <f t="shared" ref="U14" si="26">T14*(1+$R14)</f>
        <v>145.69982499999998</v>
      </c>
      <c r="V14" s="154">
        <f t="shared" ref="V14" si="27">U14*(1+$R14)</f>
        <v>167.55479874999995</v>
      </c>
      <c r="W14" s="154">
        <f t="shared" ref="W14" si="28">V14*(1+$R14)</f>
        <v>192.68801856249993</v>
      </c>
      <c r="X14" s="154">
        <f t="shared" ref="X14" si="29">W14*(1+$R14)</f>
        <v>221.5912213468749</v>
      </c>
      <c r="Y14" s="154">
        <f t="shared" ref="Y14" si="30">X14*(1+$R14)</f>
        <v>254.82990454890611</v>
      </c>
      <c r="Z14" s="154">
        <f t="shared" ref="Z14" si="31">Y14*(1+$R14)</f>
        <v>293.054390231242</v>
      </c>
      <c r="AA14" s="154">
        <f t="shared" ref="AA14" si="32">Z14*(1+$R14)</f>
        <v>337.01254876592827</v>
      </c>
      <c r="AB14" s="154">
        <f t="shared" ref="AB14" si="33">AA14*(1+$R14)</f>
        <v>387.56443108081749</v>
      </c>
      <c r="AC14" s="138">
        <f t="shared" ref="AC14" si="34">((AB14/G14)^(1/($AB$3-$H$1) ))-1</f>
        <v>0.22650414674130714</v>
      </c>
      <c r="AD14" s="31">
        <f t="shared" si="17"/>
        <v>0.05</v>
      </c>
      <c r="AE14" s="146">
        <f t="shared" ref="AE14" si="35">(AB14*(1+AD14))/($C$1-AD14)</f>
        <v>2393.7803096168145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69</v>
      </c>
      <c r="H15" s="147">
        <v>102</v>
      </c>
      <c r="I15" s="147">
        <v>132</v>
      </c>
      <c r="J15" s="147">
        <v>331</v>
      </c>
      <c r="K15" s="147">
        <v>355</v>
      </c>
      <c r="L15" s="147">
        <v>484</v>
      </c>
      <c r="M15" s="147">
        <v>366</v>
      </c>
      <c r="N15" s="147">
        <v>478</v>
      </c>
      <c r="O15" s="147">
        <v>654</v>
      </c>
      <c r="P15" s="147">
        <v>916</v>
      </c>
      <c r="Q15" s="118">
        <f t="shared" si="5"/>
        <v>0.33285507957239746</v>
      </c>
      <c r="R15" s="31">
        <f t="shared" si="6"/>
        <v>0.15</v>
      </c>
      <c r="S15" s="154">
        <f t="shared" si="2"/>
        <v>1053.3999999999999</v>
      </c>
      <c r="T15" s="154">
        <f t="shared" ref="T15:AB15" si="36">S15*(1+$R15)</f>
        <v>1211.4099999999999</v>
      </c>
      <c r="U15" s="154">
        <f t="shared" si="36"/>
        <v>1393.1214999999997</v>
      </c>
      <c r="V15" s="154">
        <f t="shared" si="36"/>
        <v>1602.0897249999996</v>
      </c>
      <c r="W15" s="154">
        <f t="shared" si="36"/>
        <v>1842.4031837499995</v>
      </c>
      <c r="X15" s="154">
        <f t="shared" si="36"/>
        <v>2118.7636613124992</v>
      </c>
      <c r="Y15" s="154">
        <f t="shared" si="36"/>
        <v>2436.578210509374</v>
      </c>
      <c r="Z15" s="154">
        <f t="shared" si="36"/>
        <v>2802.0649420857799</v>
      </c>
      <c r="AA15" s="154">
        <f t="shared" si="36"/>
        <v>3222.3746833986465</v>
      </c>
      <c r="AB15" s="154">
        <f t="shared" si="36"/>
        <v>3705.7308859084433</v>
      </c>
      <c r="AC15" s="138">
        <f t="shared" si="19"/>
        <v>0.2332579851460348</v>
      </c>
      <c r="AD15" s="31">
        <f t="shared" si="17"/>
        <v>0.05</v>
      </c>
      <c r="AE15" s="146">
        <f t="shared" si="1"/>
        <v>22888.337824728624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23</v>
      </c>
      <c r="H16" s="147">
        <v>11</v>
      </c>
      <c r="I16" s="147">
        <v>-12.8</v>
      </c>
      <c r="J16" s="147">
        <v>-67</v>
      </c>
      <c r="K16" s="147">
        <v>-11</v>
      </c>
      <c r="L16" s="147">
        <v>107</v>
      </c>
      <c r="M16" s="147">
        <v>120</v>
      </c>
      <c r="N16" s="147">
        <v>143</v>
      </c>
      <c r="O16" s="147">
        <v>194</v>
      </c>
      <c r="P16" s="147">
        <v>300</v>
      </c>
      <c r="Q16" s="118">
        <f t="shared" si="5"/>
        <v>0.33024796150842617</v>
      </c>
      <c r="R16" s="31">
        <f t="shared" si="6"/>
        <v>0.15</v>
      </c>
      <c r="S16" s="154">
        <f t="shared" si="2"/>
        <v>345</v>
      </c>
      <c r="T16" s="154">
        <f t="shared" ref="T16:AB16" si="37">S16*(1+$R16)</f>
        <v>396.74999999999994</v>
      </c>
      <c r="U16" s="154">
        <f t="shared" si="37"/>
        <v>456.26249999999987</v>
      </c>
      <c r="V16" s="154">
        <f t="shared" si="37"/>
        <v>524.70187499999986</v>
      </c>
      <c r="W16" s="154">
        <f t="shared" si="37"/>
        <v>603.40715624999984</v>
      </c>
      <c r="X16" s="154">
        <f t="shared" si="37"/>
        <v>693.91822968749977</v>
      </c>
      <c r="Y16" s="154">
        <f t="shared" si="37"/>
        <v>798.00596414062466</v>
      </c>
      <c r="Z16" s="154">
        <f t="shared" si="37"/>
        <v>917.70685876171831</v>
      </c>
      <c r="AA16" s="154">
        <f t="shared" si="37"/>
        <v>1055.3628875759759</v>
      </c>
      <c r="AB16" s="154">
        <f t="shared" si="37"/>
        <v>1213.6673207123722</v>
      </c>
      <c r="AC16" s="138">
        <f t="shared" si="19"/>
        <v>0.23211472693558899</v>
      </c>
      <c r="AD16" s="31">
        <f t="shared" si="17"/>
        <v>0.05</v>
      </c>
      <c r="AE16" s="146">
        <f t="shared" si="1"/>
        <v>7496.1805102823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17</v>
      </c>
      <c r="H18" s="147">
        <v>21</v>
      </c>
      <c r="I18" s="147">
        <v>28</v>
      </c>
      <c r="J18" s="147">
        <v>55</v>
      </c>
      <c r="K18" s="147">
        <v>104</v>
      </c>
      <c r="L18" s="147">
        <v>140</v>
      </c>
      <c r="M18" s="147">
        <v>138</v>
      </c>
      <c r="N18" s="147">
        <v>142</v>
      </c>
      <c r="O18" s="147">
        <v>240</v>
      </c>
      <c r="P18" s="147">
        <v>294</v>
      </c>
      <c r="Q18" s="118">
        <f>((P18/G18)^(1/($H$2-$H$1) ))-1</f>
        <v>0.37260086319041941</v>
      </c>
      <c r="R18" s="31">
        <f t="shared" si="6"/>
        <v>0.15</v>
      </c>
      <c r="S18" s="154">
        <f t="shared" ref="S18:S34" si="38">P18*(1+$R18)</f>
        <v>338.09999999999997</v>
      </c>
      <c r="T18" s="154">
        <f t="shared" ref="T18:T34" si="39">S18*(1+$R18)</f>
        <v>388.81499999999994</v>
      </c>
      <c r="U18" s="154">
        <f t="shared" ref="U18:U34" si="40">T18*(1+$R18)</f>
        <v>447.13724999999988</v>
      </c>
      <c r="V18" s="154">
        <f t="shared" ref="V18:V34" si="41">U18*(1+$R18)</f>
        <v>514.20783749999987</v>
      </c>
      <c r="W18" s="154">
        <f t="shared" ref="W18:W36" si="42">V18*(1+$R18)</f>
        <v>591.33901312499984</v>
      </c>
      <c r="X18" s="154">
        <f t="shared" ref="X18:X36" si="43">W18*(1+$R18)</f>
        <v>680.03986509374977</v>
      </c>
      <c r="Y18" s="154">
        <f t="shared" ref="Y18:Y36" si="44">X18*(1+$R18)</f>
        <v>782.0458448578122</v>
      </c>
      <c r="Z18" s="154">
        <f t="shared" ref="Z18:Z36" si="45">Y18*(1+$R18)</f>
        <v>899.35272158648399</v>
      </c>
      <c r="AA18" s="154">
        <f t="shared" ref="AA18:AA36" si="46">Z18*(1+$R18)</f>
        <v>1034.2556298244565</v>
      </c>
      <c r="AB18" s="154">
        <f t="shared" ref="AB18:AB36" si="47">AA18*(1+$R18)</f>
        <v>1189.3939742981249</v>
      </c>
      <c r="AC18" s="138">
        <f t="shared" si="19"/>
        <v>0.25054343204471241</v>
      </c>
      <c r="AD18" s="31">
        <f t="shared" si="17"/>
        <v>0.05</v>
      </c>
      <c r="AE18" s="146">
        <f t="shared" si="1"/>
        <v>7346.2569000766553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v>11.27</v>
      </c>
      <c r="H20" s="147">
        <v>29.6</v>
      </c>
      <c r="I20" s="147">
        <v>52.33</v>
      </c>
      <c r="J20" s="147">
        <v>165.9</v>
      </c>
      <c r="K20" s="147">
        <v>95.42</v>
      </c>
      <c r="L20" s="147">
        <v>101.43</v>
      </c>
      <c r="M20" s="147">
        <v>109.44</v>
      </c>
      <c r="N20" s="147">
        <v>11.92</v>
      </c>
      <c r="O20" s="147">
        <v>18.420000000000002</v>
      </c>
      <c r="P20" s="147">
        <v>20.27</v>
      </c>
      <c r="Q20" s="118">
        <f>((P20/G20)^(1/($H$2-$H$1) ))-1</f>
        <v>6.7395916390740274E-2</v>
      </c>
      <c r="R20" s="31">
        <f t="shared" si="6"/>
        <v>0.15</v>
      </c>
      <c r="S20" s="154">
        <f t="shared" ref="S20:S22" si="48">P20*(1+$R20)</f>
        <v>23.310499999999998</v>
      </c>
      <c r="T20" s="154">
        <f t="shared" ref="T20:T22" si="49">S20*(1+$R20)</f>
        <v>26.807074999999994</v>
      </c>
      <c r="U20" s="154">
        <f t="shared" ref="U20:U22" si="50">T20*(1+$R20)</f>
        <v>30.828136249999989</v>
      </c>
      <c r="V20" s="154">
        <f t="shared" ref="V20:V22" si="51">U20*(1+$R20)</f>
        <v>35.452356687499986</v>
      </c>
      <c r="W20" s="154">
        <f t="shared" ref="W20:W22" si="52">V20*(1+$R20)</f>
        <v>40.770210190624979</v>
      </c>
      <c r="X20" s="154">
        <f t="shared" ref="X20:X22" si="53">W20*(1+$R20)</f>
        <v>46.885741719218721</v>
      </c>
      <c r="Y20" s="154">
        <f t="shared" ref="Y20:Y22" si="54">X20*(1+$R20)</f>
        <v>53.918602977101528</v>
      </c>
      <c r="Z20" s="154">
        <f t="shared" ref="Z20:Z22" si="55">Y20*(1+$R20)</f>
        <v>62.006393423666751</v>
      </c>
      <c r="AA20" s="154">
        <f t="shared" ref="AA20:AA22" si="56">Z20*(1+$R20)</f>
        <v>71.307352437216764</v>
      </c>
      <c r="AB20" s="154">
        <f t="shared" ref="AB20:AB22" si="57">AA20*(1+$R20)</f>
        <v>82.003455302799267</v>
      </c>
      <c r="AC20" s="138">
        <f t="shared" ref="AC20:AC22" si="58">((AB20/G20)^(1/($AB$3-$H$1) ))-1</f>
        <v>0.11010380533531339</v>
      </c>
      <c r="AD20" s="31">
        <f t="shared" si="17"/>
        <v>0.05</v>
      </c>
      <c r="AE20" s="146">
        <f t="shared" si="1"/>
        <v>506.49192981140732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v>-0.69</v>
      </c>
      <c r="H21" s="147">
        <v>-15.2</v>
      </c>
      <c r="I21" s="147">
        <v>-36</v>
      </c>
      <c r="J21" s="147">
        <v>-155</v>
      </c>
      <c r="K21" s="147">
        <v>-140</v>
      </c>
      <c r="L21" s="147">
        <v>-72</v>
      </c>
      <c r="M21" s="147">
        <v>-83</v>
      </c>
      <c r="N21" s="147">
        <v>22</v>
      </c>
      <c r="O21" s="147">
        <v>37</v>
      </c>
      <c r="P21" s="147">
        <v>20.2</v>
      </c>
      <c r="Q21" s="118">
        <f>((P21/G21)^(1/($H$2-$H$1) ))-1</f>
        <v>-2.4552737565471374</v>
      </c>
      <c r="R21" s="31">
        <f t="shared" si="6"/>
        <v>0.15</v>
      </c>
      <c r="S21" s="154">
        <f t="shared" si="48"/>
        <v>23.229999999999997</v>
      </c>
      <c r="T21" s="154">
        <f t="shared" si="49"/>
        <v>26.714499999999994</v>
      </c>
      <c r="U21" s="154">
        <f t="shared" si="50"/>
        <v>30.721674999999991</v>
      </c>
      <c r="V21" s="154">
        <f t="shared" si="51"/>
        <v>35.329926249999986</v>
      </c>
      <c r="W21" s="154">
        <f t="shared" si="52"/>
        <v>40.62941518749998</v>
      </c>
      <c r="X21" s="154">
        <f t="shared" si="53"/>
        <v>46.723827465624971</v>
      </c>
      <c r="Y21" s="154">
        <f t="shared" si="54"/>
        <v>53.732401585468715</v>
      </c>
      <c r="Z21" s="154">
        <f t="shared" si="55"/>
        <v>61.792261823289017</v>
      </c>
      <c r="AA21" s="154">
        <f t="shared" si="56"/>
        <v>71.061101096782366</v>
      </c>
      <c r="AB21" s="154">
        <f t="shared" si="57"/>
        <v>81.720266261299713</v>
      </c>
      <c r="AC21" s="138">
        <f t="shared" si="58"/>
        <v>-2.2856731145683122</v>
      </c>
      <c r="AD21" s="31">
        <f t="shared" si="17"/>
        <v>0.05</v>
      </c>
      <c r="AE21" s="146">
        <f t="shared" si="1"/>
        <v>504.7428210256748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v>-6.4</v>
      </c>
      <c r="H22" s="147">
        <v>-10</v>
      </c>
      <c r="I22" s="147">
        <v>-7.1</v>
      </c>
      <c r="J22" s="147">
        <v>3.9</v>
      </c>
      <c r="K22" s="147">
        <v>40</v>
      </c>
      <c r="L22" s="147">
        <v>-25</v>
      </c>
      <c r="M22" s="147">
        <v>-38</v>
      </c>
      <c r="N22" s="147">
        <v>0.2</v>
      </c>
      <c r="O22" s="147">
        <v>-68</v>
      </c>
      <c r="P22" s="147">
        <v>-49</v>
      </c>
      <c r="Q22" s="118">
        <f>((P22/G22)^(1/($H$2-$H$1) ))-1</f>
        <v>0.25378771964992608</v>
      </c>
      <c r="R22" s="31">
        <f t="shared" si="6"/>
        <v>0.15</v>
      </c>
      <c r="S22" s="154">
        <f t="shared" si="48"/>
        <v>-56.349999999999994</v>
      </c>
      <c r="T22" s="154">
        <f t="shared" si="49"/>
        <v>-64.802499999999995</v>
      </c>
      <c r="U22" s="154">
        <f t="shared" si="50"/>
        <v>-74.522874999999985</v>
      </c>
      <c r="V22" s="154">
        <f t="shared" si="51"/>
        <v>-85.701306249999973</v>
      </c>
      <c r="W22" s="154">
        <f t="shared" si="52"/>
        <v>-98.556502187499959</v>
      </c>
      <c r="X22" s="154">
        <f t="shared" si="53"/>
        <v>-113.33997751562494</v>
      </c>
      <c r="Y22" s="154">
        <f t="shared" si="54"/>
        <v>-130.34097414296866</v>
      </c>
      <c r="Z22" s="154">
        <f t="shared" si="55"/>
        <v>-149.89212026441396</v>
      </c>
      <c r="AA22" s="154">
        <f t="shared" si="56"/>
        <v>-172.37593830407604</v>
      </c>
      <c r="AB22" s="154">
        <f t="shared" si="57"/>
        <v>-198.23232904968742</v>
      </c>
      <c r="AC22" s="138">
        <f t="shared" si="58"/>
        <v>0.19804572899458228</v>
      </c>
      <c r="AD22" s="31">
        <f t="shared" si="17"/>
        <v>0.05</v>
      </c>
      <c r="AE22" s="146">
        <f t="shared" si="1"/>
        <v>-1224.3761500127753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v>16.100000000000001</v>
      </c>
      <c r="H23" s="147">
        <v>20.100000000000001</v>
      </c>
      <c r="I23" s="147">
        <v>29.48</v>
      </c>
      <c r="J23" s="147">
        <v>28.49</v>
      </c>
      <c r="K23" s="147">
        <v>24</v>
      </c>
      <c r="L23" s="147">
        <v>28.07</v>
      </c>
      <c r="M23" s="147">
        <v>16.7</v>
      </c>
      <c r="N23" s="147">
        <v>51.1</v>
      </c>
      <c r="O23" s="147">
        <v>42.1</v>
      </c>
      <c r="P23" s="147">
        <v>27.22</v>
      </c>
      <c r="Q23" s="118">
        <f>((P23/G23)^(1/($H$2-$H$1) ))-1</f>
        <v>6.0083926127180387E-2</v>
      </c>
      <c r="R23" s="31">
        <f t="shared" si="6"/>
        <v>0.15</v>
      </c>
      <c r="S23" s="154">
        <f t="shared" ref="S23" si="59">P23*(1+$R23)</f>
        <v>31.302999999999997</v>
      </c>
      <c r="T23" s="154">
        <f t="shared" ref="T23" si="60">S23*(1+$R23)</f>
        <v>35.998449999999991</v>
      </c>
      <c r="U23" s="154">
        <f t="shared" ref="U23" si="61">T23*(1+$R23)</f>
        <v>41.398217499999987</v>
      </c>
      <c r="V23" s="154">
        <f t="shared" ref="V23" si="62">U23*(1+$R23)</f>
        <v>47.607950124999981</v>
      </c>
      <c r="W23" s="154">
        <f t="shared" ref="W23" si="63">V23*(1+$R23)</f>
        <v>54.749142643749977</v>
      </c>
      <c r="X23" s="154">
        <f t="shared" ref="X23" si="64">W23*(1+$R23)</f>
        <v>62.961514040312466</v>
      </c>
      <c r="Y23" s="154">
        <f t="shared" ref="Y23" si="65">X23*(1+$R23)</f>
        <v>72.405741146359333</v>
      </c>
      <c r="Z23" s="154">
        <f t="shared" ref="Z23" si="66">Y23*(1+$R23)</f>
        <v>83.266602318313232</v>
      </c>
      <c r="AA23" s="154">
        <f t="shared" ref="AA23" si="67">Z23*(1+$R23)</f>
        <v>95.756592666060214</v>
      </c>
      <c r="AB23" s="154">
        <f t="shared" ref="AB23" si="68">AA23*(1+$R23)</f>
        <v>110.12008156596924</v>
      </c>
      <c r="AC23" s="138">
        <f t="shared" ref="AC23" si="69">((AB23/G23)^(1/($AB$3-$H$1) ))-1</f>
        <v>0.1064951325354988</v>
      </c>
      <c r="AD23" s="31">
        <f t="shared" si="17"/>
        <v>0.05</v>
      </c>
      <c r="AE23" s="146">
        <f t="shared" si="1"/>
        <v>680.15344496628063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113</v>
      </c>
      <c r="H25" s="147">
        <v>249</v>
      </c>
      <c r="I25" s="147">
        <v>265</v>
      </c>
      <c r="J25" s="147">
        <v>650</v>
      </c>
      <c r="K25" s="147">
        <v>760</v>
      </c>
      <c r="L25" s="147">
        <v>944</v>
      </c>
      <c r="M25" s="147">
        <v>763</v>
      </c>
      <c r="N25" s="147">
        <v>692</v>
      </c>
      <c r="O25" s="147">
        <v>1050</v>
      </c>
      <c r="P25" s="147">
        <v>922</v>
      </c>
      <c r="Q25" s="118">
        <f>((P25/G25)^(1/($H$2-$H$1) ))-1</f>
        <v>0.26268412314596956</v>
      </c>
      <c r="R25" s="31">
        <f t="shared" si="6"/>
        <v>0.15</v>
      </c>
      <c r="S25" s="154">
        <f t="shared" si="38"/>
        <v>1060.3</v>
      </c>
      <c r="T25" s="154">
        <f t="shared" si="39"/>
        <v>1219.3449999999998</v>
      </c>
      <c r="U25" s="154">
        <f t="shared" si="40"/>
        <v>1402.2467499999996</v>
      </c>
      <c r="V25" s="154">
        <f t="shared" si="41"/>
        <v>1612.5837624999995</v>
      </c>
      <c r="W25" s="154">
        <f t="shared" si="42"/>
        <v>1854.4713268749992</v>
      </c>
      <c r="X25" s="154">
        <f t="shared" si="43"/>
        <v>2132.6420259062488</v>
      </c>
      <c r="Y25" s="154">
        <f t="shared" si="44"/>
        <v>2452.5383297921858</v>
      </c>
      <c r="Z25" s="154">
        <f t="shared" si="45"/>
        <v>2820.4190792610134</v>
      </c>
      <c r="AA25" s="154">
        <f t="shared" si="46"/>
        <v>3243.4819411501653</v>
      </c>
      <c r="AB25" s="154">
        <f t="shared" si="47"/>
        <v>3730.0042323226899</v>
      </c>
      <c r="AC25" s="138">
        <f t="shared" si="19"/>
        <v>0.20206496937803942</v>
      </c>
      <c r="AD25" s="31">
        <f t="shared" si="17"/>
        <v>0.05</v>
      </c>
      <c r="AE25" s="146">
        <f t="shared" si="1"/>
        <v>23038.261434934262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0.54618473895582331</v>
      </c>
      <c r="I26" s="148">
        <f t="shared" ref="I26:P26" si="70">(I25-H25)/I25</f>
        <v>6.0377358490566038E-2</v>
      </c>
      <c r="J26" s="148">
        <f t="shared" si="70"/>
        <v>0.59230769230769231</v>
      </c>
      <c r="K26" s="148">
        <f t="shared" si="70"/>
        <v>0.14473684210526316</v>
      </c>
      <c r="L26" s="148">
        <f t="shared" si="70"/>
        <v>0.19491525423728814</v>
      </c>
      <c r="M26" s="148">
        <f t="shared" si="70"/>
        <v>-0.23722149410222804</v>
      </c>
      <c r="N26" s="148">
        <f t="shared" si="70"/>
        <v>-0.10260115606936417</v>
      </c>
      <c r="O26" s="148">
        <f t="shared" si="70"/>
        <v>0.34095238095238095</v>
      </c>
      <c r="P26" s="148">
        <f t="shared" si="70"/>
        <v>-0.13882863340563992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100</v>
      </c>
      <c r="H27" s="147">
        <v>217</v>
      </c>
      <c r="I27" s="147">
        <v>228</v>
      </c>
      <c r="J27" s="147">
        <v>535</v>
      </c>
      <c r="K27" s="147">
        <v>580</v>
      </c>
      <c r="L27" s="147">
        <v>790</v>
      </c>
      <c r="M27" s="147">
        <v>624</v>
      </c>
      <c r="N27" s="147">
        <v>616</v>
      </c>
      <c r="O27" s="147">
        <v>912</v>
      </c>
      <c r="P27" s="147">
        <v>523</v>
      </c>
      <c r="Q27" s="118">
        <f>((P27/G27)^(1/($H$2-$H$1) ))-1</f>
        <v>0.20180365639094133</v>
      </c>
      <c r="R27" s="31">
        <f t="shared" si="6"/>
        <v>0.15</v>
      </c>
      <c r="S27" s="154">
        <f t="shared" si="38"/>
        <v>601.44999999999993</v>
      </c>
      <c r="T27" s="154">
        <f t="shared" si="39"/>
        <v>691.6674999999999</v>
      </c>
      <c r="U27" s="154">
        <f t="shared" si="40"/>
        <v>795.41762499999982</v>
      </c>
      <c r="V27" s="154">
        <f t="shared" si="41"/>
        <v>914.73026874999971</v>
      </c>
      <c r="W27" s="154">
        <f t="shared" si="42"/>
        <v>1051.9398090624995</v>
      </c>
      <c r="X27" s="154">
        <f t="shared" si="43"/>
        <v>1209.7307804218744</v>
      </c>
      <c r="Y27" s="154">
        <f t="shared" si="44"/>
        <v>1391.1903974851555</v>
      </c>
      <c r="Z27" s="154">
        <f t="shared" si="45"/>
        <v>1599.8689571079287</v>
      </c>
      <c r="AA27" s="154">
        <f t="shared" si="46"/>
        <v>1839.849300674118</v>
      </c>
      <c r="AB27" s="154">
        <f t="shared" si="47"/>
        <v>2115.8266957752357</v>
      </c>
      <c r="AC27" s="138">
        <f t="shared" si="19"/>
        <v>0.17425416731273957</v>
      </c>
      <c r="AD27" s="31">
        <f t="shared" si="17"/>
        <v>0.05</v>
      </c>
      <c r="AE27" s="146">
        <f t="shared" si="1"/>
        <v>13068.341356258812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P28" si="71">(G27-F27)/G27</f>
        <v>1</v>
      </c>
      <c r="H28" s="148">
        <f t="shared" si="71"/>
        <v>0.53917050691244239</v>
      </c>
      <c r="I28" s="148">
        <f t="shared" si="71"/>
        <v>4.8245614035087717E-2</v>
      </c>
      <c r="J28" s="148">
        <f t="shared" si="71"/>
        <v>0.57383177570093458</v>
      </c>
      <c r="K28" s="148">
        <f t="shared" si="71"/>
        <v>7.7586206896551727E-2</v>
      </c>
      <c r="L28" s="148">
        <f t="shared" si="71"/>
        <v>0.26582278481012656</v>
      </c>
      <c r="M28" s="148">
        <f t="shared" si="71"/>
        <v>-0.26602564102564102</v>
      </c>
      <c r="N28" s="148">
        <f t="shared" si="71"/>
        <v>-1.2987012987012988E-2</v>
      </c>
      <c r="O28" s="148">
        <f t="shared" si="71"/>
        <v>0.32456140350877194</v>
      </c>
      <c r="P28" s="148">
        <f t="shared" si="71"/>
        <v>-0.74378585086042071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0.59</v>
      </c>
      <c r="H29" s="147">
        <v>2.48</v>
      </c>
      <c r="I29" s="147">
        <v>3.01</v>
      </c>
      <c r="J29" s="147">
        <v>0.33</v>
      </c>
      <c r="K29" s="147">
        <v>0.08</v>
      </c>
      <c r="L29" s="147">
        <v>0.56000000000000005</v>
      </c>
      <c r="M29" s="147">
        <v>0.36</v>
      </c>
      <c r="N29" s="147">
        <v>0.01</v>
      </c>
      <c r="O29" s="147">
        <v>1.1499999999999999</v>
      </c>
      <c r="P29" s="147">
        <v>2.31</v>
      </c>
      <c r="Q29" s="118">
        <f>((P29/G29)^(1/($H$2-$H$1) ))-1</f>
        <v>0.16375676530363448</v>
      </c>
      <c r="R29" s="31">
        <f t="shared" si="6"/>
        <v>0.15</v>
      </c>
      <c r="S29" s="154">
        <f t="shared" ref="S29" si="72">P29*(1+$R29)</f>
        <v>2.6564999999999999</v>
      </c>
      <c r="T29" s="154">
        <f t="shared" ref="T29" si="73">S29*(1+$R29)</f>
        <v>3.0549749999999998</v>
      </c>
      <c r="U29" s="154">
        <f t="shared" ref="U29" si="74">T29*(1+$R29)</f>
        <v>3.5132212499999995</v>
      </c>
      <c r="V29" s="154">
        <f t="shared" ref="V29" si="75">U29*(1+$R29)</f>
        <v>4.040204437499999</v>
      </c>
      <c r="W29" s="154">
        <f t="shared" ref="W29" si="76">V29*(1+$R29)</f>
        <v>4.6462351031249982</v>
      </c>
      <c r="X29" s="154">
        <f t="shared" ref="X29" si="77">W29*(1+$R29)</f>
        <v>5.3431703685937473</v>
      </c>
      <c r="Y29" s="154">
        <f t="shared" ref="Y29" si="78">X29*(1+$R29)</f>
        <v>6.1446459238828091</v>
      </c>
      <c r="Z29" s="154">
        <f t="shared" ref="Z29" si="79">Y29*(1+$R29)</f>
        <v>7.0663428124652299</v>
      </c>
      <c r="AA29" s="154">
        <f t="shared" ref="AA29" si="80">Z29*(1+$R29)</f>
        <v>8.1262942343350133</v>
      </c>
      <c r="AB29" s="154">
        <f t="shared" ref="AB29" si="81">AA29*(1+$R29)</f>
        <v>9.3452383694852639</v>
      </c>
      <c r="AC29" s="138">
        <f t="shared" ref="AC29" si="82">((AB29/G29)^(1/($AB$3-$H$1) ))-1</f>
        <v>0.15649597290783346</v>
      </c>
      <c r="AD29" s="31">
        <f t="shared" si="17"/>
        <v>0.05</v>
      </c>
      <c r="AE29" s="146">
        <f t="shared" ref="AE29" si="83">(AB29*(1+AD29))/($C$1-AD29)</f>
        <v>57.720589929173698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P30" si="84">(G29-F29)/G29</f>
        <v>1</v>
      </c>
      <c r="H30" s="148">
        <f t="shared" si="84"/>
        <v>0.76209677419354849</v>
      </c>
      <c r="I30" s="148">
        <f t="shared" si="84"/>
        <v>0.17607973421926906</v>
      </c>
      <c r="J30" s="148">
        <f t="shared" si="84"/>
        <v>-8.1212121212121193</v>
      </c>
      <c r="K30" s="148">
        <f t="shared" si="84"/>
        <v>-3.125</v>
      </c>
      <c r="L30" s="148">
        <f t="shared" si="84"/>
        <v>0.8571428571428571</v>
      </c>
      <c r="M30" s="148">
        <f t="shared" si="84"/>
        <v>-0.5555555555555558</v>
      </c>
      <c r="N30" s="148">
        <f t="shared" si="84"/>
        <v>-35</v>
      </c>
      <c r="O30" s="148">
        <f t="shared" si="84"/>
        <v>0.9913043478260869</v>
      </c>
      <c r="P30" s="148">
        <f t="shared" si="84"/>
        <v>0.50216450216450226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0.15</v>
      </c>
      <c r="S31" s="154">
        <f>P31*(1+$R31)</f>
        <v>0</v>
      </c>
      <c r="T31" s="154">
        <f>S31*(1+$R31)</f>
        <v>0</v>
      </c>
      <c r="U31" s="154">
        <f t="shared" ref="U31:AB32" si="85">T31*(1+$R31)</f>
        <v>0</v>
      </c>
      <c r="V31" s="154">
        <f t="shared" si="85"/>
        <v>0</v>
      </c>
      <c r="W31" s="154">
        <f t="shared" si="85"/>
        <v>0</v>
      </c>
      <c r="X31" s="154">
        <f t="shared" si="85"/>
        <v>0</v>
      </c>
      <c r="Y31" s="154">
        <f t="shared" si="85"/>
        <v>0</v>
      </c>
      <c r="Z31" s="154">
        <f t="shared" si="85"/>
        <v>0</v>
      </c>
      <c r="AA31" s="154">
        <f t="shared" si="85"/>
        <v>0</v>
      </c>
      <c r="AB31" s="154">
        <f t="shared" si="85"/>
        <v>0</v>
      </c>
      <c r="AC31" s="138" t="e">
        <f t="shared" ref="AC31" si="86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0.15</v>
      </c>
      <c r="S32" s="154">
        <f>P32*(1+$R32)</f>
        <v>0</v>
      </c>
      <c r="T32" s="154">
        <f>S32*(1+$R32)</f>
        <v>0</v>
      </c>
      <c r="U32" s="154">
        <f t="shared" si="85"/>
        <v>0</v>
      </c>
      <c r="V32" s="154">
        <f t="shared" si="85"/>
        <v>0</v>
      </c>
      <c r="W32" s="154">
        <f t="shared" si="85"/>
        <v>0</v>
      </c>
      <c r="X32" s="154">
        <f t="shared" si="85"/>
        <v>0</v>
      </c>
      <c r="Y32" s="154">
        <f t="shared" si="85"/>
        <v>0</v>
      </c>
      <c r="Z32" s="154">
        <f t="shared" si="85"/>
        <v>0</v>
      </c>
      <c r="AA32" s="154">
        <f t="shared" si="85"/>
        <v>0</v>
      </c>
      <c r="AB32" s="154">
        <f t="shared" si="85"/>
        <v>0</v>
      </c>
      <c r="AC32" s="138" t="e">
        <f t="shared" ref="AC32" si="87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64</v>
      </c>
      <c r="H33" s="147">
        <v>168</v>
      </c>
      <c r="I33" s="147">
        <v>171</v>
      </c>
      <c r="J33" s="147">
        <v>412</v>
      </c>
      <c r="K33" s="147">
        <v>392</v>
      </c>
      <c r="L33" s="147">
        <v>410</v>
      </c>
      <c r="M33" s="147">
        <v>315</v>
      </c>
      <c r="N33" s="147">
        <v>395</v>
      </c>
      <c r="O33" s="147">
        <v>581</v>
      </c>
      <c r="P33" s="147">
        <v>855</v>
      </c>
      <c r="Q33" s="118">
        <f>((P33/G33)^(1/($H$2-$H$1) ))-1</f>
        <v>0.33378966822254763</v>
      </c>
      <c r="R33" s="31">
        <f t="shared" si="6"/>
        <v>0.15</v>
      </c>
      <c r="S33" s="154">
        <f t="shared" si="38"/>
        <v>983.24999999999989</v>
      </c>
      <c r="T33" s="154">
        <f t="shared" si="39"/>
        <v>1130.7374999999997</v>
      </c>
      <c r="U33" s="154">
        <f t="shared" si="40"/>
        <v>1300.3481249999995</v>
      </c>
      <c r="V33" s="154">
        <f t="shared" si="41"/>
        <v>1495.4003437499994</v>
      </c>
      <c r="W33" s="154">
        <f t="shared" si="42"/>
        <v>1719.710395312499</v>
      </c>
      <c r="X33" s="154">
        <f t="shared" si="43"/>
        <v>1977.6669546093738</v>
      </c>
      <c r="Y33" s="154">
        <f t="shared" si="44"/>
        <v>2274.3169978007795</v>
      </c>
      <c r="Z33" s="154">
        <f t="shared" si="45"/>
        <v>2615.4645474708964</v>
      </c>
      <c r="AA33" s="154">
        <f t="shared" si="46"/>
        <v>3007.7842295915307</v>
      </c>
      <c r="AB33" s="154">
        <f t="shared" si="47"/>
        <v>3458.9518640302599</v>
      </c>
      <c r="AC33" s="138">
        <f t="shared" si="19"/>
        <v>0.23366752889260001</v>
      </c>
      <c r="AD33" s="31">
        <f t="shared" si="17"/>
        <v>0.05</v>
      </c>
      <c r="AE33" s="146">
        <f t="shared" si="1"/>
        <v>21364.114454304548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8</v>
      </c>
      <c r="H34" s="147">
        <v>13</v>
      </c>
      <c r="I34" s="147">
        <v>18</v>
      </c>
      <c r="J34" s="147">
        <v>35</v>
      </c>
      <c r="K34" s="147">
        <v>61</v>
      </c>
      <c r="L34" s="147">
        <v>85</v>
      </c>
      <c r="M34" s="147">
        <v>70</v>
      </c>
      <c r="N34" s="147">
        <v>76</v>
      </c>
      <c r="O34" s="147">
        <v>96</v>
      </c>
      <c r="P34" s="147">
        <v>113</v>
      </c>
      <c r="Q34" s="118">
        <f>((P34/G34)^(1/($H$2-$H$1) ))-1</f>
        <v>0.34207409984310355</v>
      </c>
      <c r="R34" s="31">
        <f t="shared" si="6"/>
        <v>0.15</v>
      </c>
      <c r="S34" s="154">
        <f t="shared" si="38"/>
        <v>129.94999999999999</v>
      </c>
      <c r="T34" s="154">
        <f t="shared" si="39"/>
        <v>149.44249999999997</v>
      </c>
      <c r="U34" s="154">
        <f t="shared" si="40"/>
        <v>171.85887499999995</v>
      </c>
      <c r="V34" s="154">
        <f t="shared" si="41"/>
        <v>197.63770624999992</v>
      </c>
      <c r="W34" s="154">
        <f t="shared" si="42"/>
        <v>227.2833621874999</v>
      </c>
      <c r="X34" s="154">
        <f t="shared" si="43"/>
        <v>261.37586651562486</v>
      </c>
      <c r="Y34" s="154">
        <f t="shared" si="44"/>
        <v>300.58224649296858</v>
      </c>
      <c r="Z34" s="154">
        <f t="shared" si="45"/>
        <v>345.66958346691382</v>
      </c>
      <c r="AA34" s="154">
        <f t="shared" si="46"/>
        <v>397.52002098695084</v>
      </c>
      <c r="AB34" s="154">
        <f t="shared" si="47"/>
        <v>457.14802413499342</v>
      </c>
      <c r="AC34" s="138">
        <f t="shared" si="19"/>
        <v>0.23729124530422285</v>
      </c>
      <c r="AD34" s="31">
        <f t="shared" si="17"/>
        <v>0.05</v>
      </c>
      <c r="AE34" s="146">
        <f t="shared" si="1"/>
        <v>2823.5613255396656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19</v>
      </c>
      <c r="H36" s="147">
        <v>29</v>
      </c>
      <c r="I36" s="147">
        <v>35</v>
      </c>
      <c r="J36" s="147">
        <v>106</v>
      </c>
      <c r="K36" s="147">
        <v>143</v>
      </c>
      <c r="L36" s="147">
        <v>164</v>
      </c>
      <c r="M36" s="147">
        <v>110</v>
      </c>
      <c r="N36" s="147">
        <v>48</v>
      </c>
      <c r="O36" s="147">
        <v>92</v>
      </c>
      <c r="P36" s="147">
        <v>95</v>
      </c>
      <c r="Q36" s="118">
        <f>((P36/G36)^(1/($H$2-$H$1) ))-1</f>
        <v>0.19581317450040192</v>
      </c>
      <c r="R36" s="31">
        <f t="shared" si="6"/>
        <v>0.15</v>
      </c>
      <c r="S36" s="154">
        <f t="shared" ref="S36" si="88">P36*(1+$R36)</f>
        <v>109.24999999999999</v>
      </c>
      <c r="T36" s="154">
        <f t="shared" ref="T36" si="89">S36*(1+$R36)</f>
        <v>125.63749999999997</v>
      </c>
      <c r="U36" s="154">
        <f t="shared" ref="U36" si="90">T36*(1+$R36)</f>
        <v>144.48312499999997</v>
      </c>
      <c r="V36" s="154">
        <f t="shared" ref="V36" si="91">U36*(1+$R36)</f>
        <v>166.15559374999995</v>
      </c>
      <c r="W36" s="154">
        <f t="shared" si="42"/>
        <v>191.07893281249994</v>
      </c>
      <c r="X36" s="154">
        <f t="shared" si="43"/>
        <v>219.74077273437493</v>
      </c>
      <c r="Y36" s="154">
        <f t="shared" si="44"/>
        <v>252.70188864453115</v>
      </c>
      <c r="Z36" s="154">
        <f t="shared" si="45"/>
        <v>290.60717194121082</v>
      </c>
      <c r="AA36" s="154">
        <f t="shared" si="46"/>
        <v>334.19824773239242</v>
      </c>
      <c r="AB36" s="154">
        <f t="shared" si="47"/>
        <v>384.32798489225127</v>
      </c>
      <c r="AC36" s="138">
        <f t="shared" si="19"/>
        <v>0.17147797205095339</v>
      </c>
      <c r="AD36" s="31">
        <f t="shared" si="17"/>
        <v>0.05</v>
      </c>
      <c r="AE36" s="146">
        <f t="shared" si="1"/>
        <v>2373.7904949227291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:P37" si="92">(G36-F36)/G36</f>
        <v>1</v>
      </c>
      <c r="H37" s="148">
        <f t="shared" si="92"/>
        <v>0.34482758620689657</v>
      </c>
      <c r="I37" s="148">
        <f t="shared" si="92"/>
        <v>0.17142857142857143</v>
      </c>
      <c r="J37" s="148">
        <f t="shared" si="92"/>
        <v>0.66981132075471694</v>
      </c>
      <c r="K37" s="148">
        <f t="shared" si="92"/>
        <v>0.25874125874125875</v>
      </c>
      <c r="L37" s="148">
        <f t="shared" si="92"/>
        <v>0.12804878048780488</v>
      </c>
      <c r="M37" s="148">
        <f t="shared" si="92"/>
        <v>-0.49090909090909091</v>
      </c>
      <c r="N37" s="148">
        <f t="shared" si="92"/>
        <v>-1.2916666666666667</v>
      </c>
      <c r="O37" s="148">
        <f t="shared" si="92"/>
        <v>0.47826086956521741</v>
      </c>
      <c r="P37" s="148">
        <f t="shared" si="92"/>
        <v>3.1578947368421054E-2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400</v>
      </c>
      <c r="C38" s="149"/>
      <c r="D38" s="149"/>
      <c r="E38" s="150"/>
      <c r="F38" s="150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18" t="e">
        <f>((P38/G38)^(1/($H$2-$H$1) ))-1</f>
        <v>#DIV/0!</v>
      </c>
      <c r="R38" s="31">
        <f t="shared" si="6"/>
        <v>0.15</v>
      </c>
      <c r="S38" s="154">
        <f t="shared" ref="S38" si="93">P38*(1+$R38)</f>
        <v>0</v>
      </c>
      <c r="T38" s="154">
        <f t="shared" ref="T38" si="94">S38*(1+$R38)</f>
        <v>0</v>
      </c>
      <c r="U38" s="154">
        <f t="shared" ref="U38" si="95">T38*(1+$R38)</f>
        <v>0</v>
      </c>
      <c r="V38" s="154">
        <f t="shared" ref="V38" si="96">U38*(1+$R38)</f>
        <v>0</v>
      </c>
      <c r="W38" s="154">
        <f t="shared" ref="W38" si="97">V38*(1+$R38)</f>
        <v>0</v>
      </c>
      <c r="X38" s="154">
        <f t="shared" ref="X38" si="98">W38*(1+$R38)</f>
        <v>0</v>
      </c>
      <c r="Y38" s="154">
        <f t="shared" ref="Y38" si="99">X38*(1+$R38)</f>
        <v>0</v>
      </c>
      <c r="Z38" s="154">
        <f t="shared" ref="Z38" si="100">Y38*(1+$R38)</f>
        <v>0</v>
      </c>
      <c r="AA38" s="154">
        <f t="shared" ref="AA38" si="101">Z38*(1+$R38)</f>
        <v>0</v>
      </c>
      <c r="AB38" s="154">
        <f t="shared" ref="AB38" si="102">AA38*(1+$R38)</f>
        <v>0</v>
      </c>
      <c r="AC38" s="138" t="e">
        <f t="shared" ref="AC38" si="103">((AB38/G38)^(1/($AB$3-$H$1) ))-1</f>
        <v>#DIV/0!</v>
      </c>
      <c r="AD38" s="31">
        <f t="shared" si="17"/>
        <v>0.05</v>
      </c>
      <c r="AE38" s="146">
        <f t="shared" ref="AE38" si="104">(AB38*(1+AD38))/($C$1-AD38)</f>
        <v>0</v>
      </c>
    </row>
    <row r="39" spans="2:31" s="123" customFormat="1" x14ac:dyDescent="0.2">
      <c r="B39" s="23"/>
      <c r="C39" s="149"/>
      <c r="D39" s="149"/>
      <c r="E39" s="150"/>
      <c r="F39" s="150"/>
      <c r="G39" s="148" t="e">
        <f t="shared" ref="G39:P39" si="105">(G38-F38)/G38</f>
        <v>#DIV/0!</v>
      </c>
      <c r="H39" s="148" t="e">
        <f t="shared" si="105"/>
        <v>#DIV/0!</v>
      </c>
      <c r="I39" s="148" t="e">
        <f t="shared" si="105"/>
        <v>#DIV/0!</v>
      </c>
      <c r="J39" s="148" t="e">
        <f t="shared" si="105"/>
        <v>#DIV/0!</v>
      </c>
      <c r="K39" s="148" t="e">
        <f t="shared" si="105"/>
        <v>#DIV/0!</v>
      </c>
      <c r="L39" s="148" t="e">
        <f t="shared" si="105"/>
        <v>#DIV/0!</v>
      </c>
      <c r="M39" s="148" t="e">
        <f t="shared" si="105"/>
        <v>#DIV/0!</v>
      </c>
      <c r="N39" s="148" t="e">
        <f t="shared" si="105"/>
        <v>#DIV/0!</v>
      </c>
      <c r="O39" s="148" t="e">
        <f t="shared" si="105"/>
        <v>#DIV/0!</v>
      </c>
      <c r="P39" s="148" t="e">
        <f t="shared" si="105"/>
        <v>#DIV/0!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401</v>
      </c>
      <c r="C40" s="141"/>
      <c r="D40" s="141"/>
      <c r="E40" s="147"/>
      <c r="F40" s="147"/>
      <c r="G40" s="147">
        <v>7</v>
      </c>
      <c r="H40" s="147">
        <v>21</v>
      </c>
      <c r="I40" s="147">
        <v>23</v>
      </c>
      <c r="J40" s="147">
        <v>86</v>
      </c>
      <c r="K40" s="147">
        <v>151</v>
      </c>
      <c r="L40" s="147">
        <v>117</v>
      </c>
      <c r="M40" s="147">
        <v>119</v>
      </c>
      <c r="N40" s="147">
        <v>57</v>
      </c>
      <c r="O40" s="147">
        <v>70</v>
      </c>
      <c r="P40" s="147">
        <v>71</v>
      </c>
      <c r="Q40" s="118">
        <f>((P40/G40)^(1/($H$2-$H$1) ))-1</f>
        <v>0.29358684335850249</v>
      </c>
      <c r="R40" s="31">
        <f t="shared" si="6"/>
        <v>0.15</v>
      </c>
      <c r="S40" s="154">
        <f>P40*(1+$R40)</f>
        <v>81.649999999999991</v>
      </c>
      <c r="T40" s="154">
        <f t="shared" ref="T40:AB40" si="106">S40*(1+$R40)</f>
        <v>93.89749999999998</v>
      </c>
      <c r="U40" s="154">
        <f t="shared" si="106"/>
        <v>107.98212499999997</v>
      </c>
      <c r="V40" s="154">
        <f t="shared" si="106"/>
        <v>124.17944374999995</v>
      </c>
      <c r="W40" s="154">
        <f t="shared" si="106"/>
        <v>142.80636031249992</v>
      </c>
      <c r="X40" s="154">
        <f t="shared" si="106"/>
        <v>164.2273143593749</v>
      </c>
      <c r="Y40" s="154">
        <f t="shared" si="106"/>
        <v>188.86141151328113</v>
      </c>
      <c r="Z40" s="154">
        <f t="shared" si="106"/>
        <v>217.19062324027328</v>
      </c>
      <c r="AA40" s="154">
        <f t="shared" si="106"/>
        <v>249.76921672631426</v>
      </c>
      <c r="AB40" s="154">
        <f t="shared" si="106"/>
        <v>287.23459923526138</v>
      </c>
      <c r="AC40" s="138">
        <f t="shared" si="19"/>
        <v>0.21591170012783567</v>
      </c>
      <c r="AD40" s="31">
        <f t="shared" si="17"/>
        <v>0.05</v>
      </c>
      <c r="AE40" s="146">
        <f t="shared" si="1"/>
        <v>1774.0960541001441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07">(H40-G40)/H40</f>
        <v>0.66666666666666663</v>
      </c>
      <c r="I41" s="148">
        <f t="shared" si="107"/>
        <v>8.6956521739130432E-2</v>
      </c>
      <c r="J41" s="148">
        <f t="shared" si="107"/>
        <v>0.73255813953488369</v>
      </c>
      <c r="K41" s="148">
        <f t="shared" si="107"/>
        <v>0.43046357615894038</v>
      </c>
      <c r="L41" s="148">
        <f t="shared" si="107"/>
        <v>-0.29059829059829062</v>
      </c>
      <c r="M41" s="148">
        <f t="shared" si="107"/>
        <v>1.680672268907563E-2</v>
      </c>
      <c r="N41" s="148">
        <f t="shared" si="107"/>
        <v>-1.0877192982456141</v>
      </c>
      <c r="O41" s="148">
        <f t="shared" si="107"/>
        <v>0.18571428571428572</v>
      </c>
      <c r="P41" s="148">
        <f t="shared" si="107"/>
        <v>1.4084507042253521E-2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/>
      <c r="D42" s="142"/>
      <c r="E42" s="143"/>
      <c r="F42" s="147"/>
      <c r="G42" s="188">
        <v>0.81</v>
      </c>
      <c r="H42" s="188">
        <v>0.81</v>
      </c>
      <c r="I42" s="188">
        <v>8.11</v>
      </c>
      <c r="J42" s="188">
        <v>8.39</v>
      </c>
      <c r="K42" s="188">
        <v>18.309999999999999</v>
      </c>
      <c r="L42" s="188">
        <v>18.34</v>
      </c>
      <c r="M42" s="188">
        <v>18.47</v>
      </c>
      <c r="N42" s="188">
        <v>18.47</v>
      </c>
      <c r="O42" s="188">
        <v>17.95</v>
      </c>
      <c r="P42" s="188">
        <v>17.739999999999998</v>
      </c>
      <c r="Q42" s="118">
        <f>((P42/G42)^(1/($H$2-$H$1) ))-1</f>
        <v>0.40909721056825155</v>
      </c>
      <c r="R42" s="31">
        <f>P1</f>
        <v>0.05</v>
      </c>
      <c r="S42" s="154">
        <f t="shared" ref="S42:S44" si="108">P42*(1+$R42)</f>
        <v>18.626999999999999</v>
      </c>
      <c r="T42" s="154">
        <f t="shared" ref="T42:AB42" si="109">S42*(1+$R42)</f>
        <v>19.558350000000001</v>
      </c>
      <c r="U42" s="154">
        <f t="shared" si="109"/>
        <v>20.536267500000001</v>
      </c>
      <c r="V42" s="154">
        <f t="shared" si="109"/>
        <v>21.563080875000001</v>
      </c>
      <c r="W42" s="154">
        <f t="shared" si="109"/>
        <v>22.641234918750001</v>
      </c>
      <c r="X42" s="154">
        <f t="shared" si="109"/>
        <v>23.773296664687503</v>
      </c>
      <c r="Y42" s="154">
        <f t="shared" si="109"/>
        <v>24.96196149792188</v>
      </c>
      <c r="Z42" s="154">
        <f t="shared" si="109"/>
        <v>26.210059572817975</v>
      </c>
      <c r="AA42" s="154">
        <f t="shared" si="109"/>
        <v>27.520562551458877</v>
      </c>
      <c r="AB42" s="154">
        <f t="shared" si="109"/>
        <v>28.896590679031821</v>
      </c>
      <c r="AC42" s="138">
        <f t="shared" si="19"/>
        <v>0.20698880351964632</v>
      </c>
      <c r="AD42" s="31">
        <f t="shared" si="17"/>
        <v>0.05</v>
      </c>
      <c r="AE42" s="146">
        <f t="shared" si="1"/>
        <v>178.4789424293142</v>
      </c>
    </row>
    <row r="43" spans="2:31" x14ac:dyDescent="0.2">
      <c r="B43" s="20"/>
      <c r="C43" s="142"/>
      <c r="D43" s="142"/>
      <c r="E43" s="143"/>
      <c r="F43" s="147"/>
      <c r="G43" s="148">
        <f>(G42-F42)/G42</f>
        <v>1</v>
      </c>
      <c r="H43" s="148">
        <f t="shared" ref="H43" si="110">(H42-G42)/H42</f>
        <v>0</v>
      </c>
      <c r="I43" s="148">
        <f t="shared" ref="I43" si="111">(I42-H42)/I42</f>
        <v>0.90012330456226874</v>
      </c>
      <c r="J43" s="148">
        <f t="shared" ref="J43" si="112">(J42-I42)/J42</f>
        <v>3.3373063170441135E-2</v>
      </c>
      <c r="K43" s="148">
        <f t="shared" ref="K43" si="113">(K42-J42)/K42</f>
        <v>0.54178044784270885</v>
      </c>
      <c r="L43" s="148">
        <f t="shared" ref="L43" si="114">(L42-K42)/L42</f>
        <v>1.6357688113413924E-3</v>
      </c>
      <c r="M43" s="148">
        <f t="shared" ref="M43" si="115">(M42-L42)/M42</f>
        <v>7.0384407146723881E-3</v>
      </c>
      <c r="N43" s="148">
        <f t="shared" ref="N43" si="116">(N42-M42)/N42</f>
        <v>0</v>
      </c>
      <c r="O43" s="148">
        <f t="shared" ref="O43" si="117">(O42-N42)/O42</f>
        <v>-2.8969359331476301E-2</v>
      </c>
      <c r="P43" s="148">
        <f t="shared" ref="P43" si="118">(P42-O42)/P42</f>
        <v>-1.1837655016910986E-2</v>
      </c>
      <c r="Q43" s="128"/>
      <c r="R43" s="20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8"/>
      <c r="AD43" s="31"/>
      <c r="AE43" s="146"/>
    </row>
    <row r="44" spans="2:31" x14ac:dyDescent="0.2">
      <c r="B44" s="20" t="s">
        <v>282</v>
      </c>
      <c r="C44" s="145"/>
      <c r="D44" s="145"/>
      <c r="E44" s="145"/>
      <c r="F44" s="147"/>
      <c r="G44" s="147">
        <v>4.5</v>
      </c>
      <c r="H44" s="147">
        <v>10.8</v>
      </c>
      <c r="I44" s="147">
        <v>1.26</v>
      </c>
      <c r="J44" s="147">
        <v>2.7</v>
      </c>
      <c r="K44" s="189">
        <v>1.98</v>
      </c>
      <c r="L44" s="189">
        <v>1.8</v>
      </c>
      <c r="M44" s="189">
        <v>1.44</v>
      </c>
      <c r="N44" s="189">
        <v>1.26</v>
      </c>
      <c r="O44" s="189">
        <v>1.62</v>
      </c>
      <c r="P44" s="147">
        <v>1.62</v>
      </c>
      <c r="Q44" s="118">
        <f>((P44/G44)^(1/($H$2-$H$1) ))-1</f>
        <v>-0.10731080560792428</v>
      </c>
      <c r="R44" s="31">
        <f>P1</f>
        <v>0.05</v>
      </c>
      <c r="S44" s="154">
        <f t="shared" si="108"/>
        <v>1.7010000000000003</v>
      </c>
      <c r="T44" s="154">
        <f t="shared" ref="T44" si="119">S44*(1+$R44)</f>
        <v>1.7860500000000004</v>
      </c>
      <c r="U44" s="154">
        <f t="shared" ref="U44" si="120">T44*(1+$R44)</f>
        <v>1.8753525000000004</v>
      </c>
      <c r="V44" s="154">
        <f t="shared" ref="V44" si="121">U44*(1+$R44)</f>
        <v>1.9691201250000006</v>
      </c>
      <c r="W44" s="154">
        <f t="shared" ref="W44" si="122">V44*(1+$R44)</f>
        <v>2.0675761312500005</v>
      </c>
      <c r="X44" s="154">
        <f t="shared" ref="X44" si="123">W44*(1+$R44)</f>
        <v>2.1709549378125006</v>
      </c>
      <c r="Y44" s="154">
        <f t="shared" ref="Y44" si="124">X44*(1+$R44)</f>
        <v>2.2795026847031257</v>
      </c>
      <c r="Z44" s="154">
        <f t="shared" ref="Z44" si="125">Y44*(1+$R44)</f>
        <v>2.3934778189382819</v>
      </c>
      <c r="AA44" s="154">
        <f t="shared" ref="AA44" si="126">Z44*(1+$R44)</f>
        <v>2.5131517098851961</v>
      </c>
      <c r="AB44" s="154">
        <f t="shared" ref="AB44" si="127">AA44*(1+$R44)</f>
        <v>2.6388092953794562</v>
      </c>
      <c r="AC44" s="138">
        <f t="shared" ref="AC44" si="128">((AB44/G44)^(1/($AB$3-$H$1) ))-1</f>
        <v>-2.7701170990011348E-2</v>
      </c>
      <c r="AD44" s="31">
        <f t="shared" si="17"/>
        <v>0.05</v>
      </c>
      <c r="AE44" s="146">
        <f t="shared" si="1"/>
        <v>16.298528000873112</v>
      </c>
    </row>
    <row r="45" spans="2:31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 t="s">
        <v>428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 t="s">
        <v>427</v>
      </c>
      <c r="J46" s="147">
        <v>0</v>
      </c>
      <c r="K46" s="147" t="s">
        <v>427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128"/>
      <c r="R49" s="128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39"/>
      <c r="AD49" s="137"/>
      <c r="AE49" s="154"/>
    </row>
    <row r="50" spans="2:31" x14ac:dyDescent="0.2">
      <c r="B50" s="20" t="s">
        <v>303</v>
      </c>
      <c r="C50" s="133" t="e">
        <f t="shared" ref="C50:P50" si="129">C25/C42</f>
        <v>#DIV/0!</v>
      </c>
      <c r="D50" s="133" t="e">
        <f t="shared" si="129"/>
        <v>#DIV/0!</v>
      </c>
      <c r="E50" s="133" t="e">
        <f t="shared" si="129"/>
        <v>#DIV/0!</v>
      </c>
      <c r="F50" s="133" t="e">
        <f t="shared" si="129"/>
        <v>#DIV/0!</v>
      </c>
      <c r="G50" s="133">
        <f t="shared" si="129"/>
        <v>139.50617283950618</v>
      </c>
      <c r="H50" s="133">
        <f t="shared" si="129"/>
        <v>307.40740740740739</v>
      </c>
      <c r="I50" s="133">
        <f t="shared" si="129"/>
        <v>32.675709001233045</v>
      </c>
      <c r="J50" s="133">
        <f t="shared" si="129"/>
        <v>77.473182359952318</v>
      </c>
      <c r="K50" s="133">
        <f t="shared" si="129"/>
        <v>41.507373020207538</v>
      </c>
      <c r="L50" s="133">
        <f t="shared" si="129"/>
        <v>51.472191930207195</v>
      </c>
      <c r="M50" s="133">
        <f t="shared" si="129"/>
        <v>41.310232809962102</v>
      </c>
      <c r="N50" s="133">
        <f t="shared" si="129"/>
        <v>37.466161342717925</v>
      </c>
      <c r="O50" s="133">
        <f t="shared" si="129"/>
        <v>58.495821727019504</v>
      </c>
      <c r="P50" s="133">
        <f t="shared" si="129"/>
        <v>51.972942502818491</v>
      </c>
      <c r="Q50" s="118">
        <f>((P50/G50)^(1/($H$2-$H$1) ))-1</f>
        <v>-0.10390559737410709</v>
      </c>
      <c r="R50" s="128"/>
      <c r="S50" s="158">
        <f t="shared" ref="S50:AB50" si="130">S25/S42</f>
        <v>56.922746550705966</v>
      </c>
      <c r="T50" s="158">
        <f t="shared" si="130"/>
        <v>62.343960507916044</v>
      </c>
      <c r="U50" s="158">
        <f t="shared" si="130"/>
        <v>68.281480556288983</v>
      </c>
      <c r="V50" s="158">
        <f t="shared" si="130"/>
        <v>74.784478704506995</v>
      </c>
      <c r="W50" s="158">
        <f t="shared" si="130"/>
        <v>81.90681000969812</v>
      </c>
      <c r="X50" s="158">
        <f t="shared" si="130"/>
        <v>89.707458582050307</v>
      </c>
      <c r="Y50" s="158">
        <f t="shared" si="130"/>
        <v>98.251026066055076</v>
      </c>
      <c r="Z50" s="158">
        <f t="shared" si="130"/>
        <v>107.60826664377458</v>
      </c>
      <c r="AA50" s="158">
        <f t="shared" si="130"/>
        <v>117.85667299080073</v>
      </c>
      <c r="AB50" s="158">
        <f t="shared" si="130"/>
        <v>129.08111803754363</v>
      </c>
      <c r="AC50" s="138">
        <f t="shared" ref="AC50" si="131">((AB50/G50)^(1/($AB$3-$H$1) ))-1</f>
        <v>-4.0794364680506456E-3</v>
      </c>
      <c r="AD50" s="31">
        <f t="shared" si="17"/>
        <v>0.05</v>
      </c>
      <c r="AE50" s="146">
        <f t="shared" ref="AE50:AE51" si="132">(AB50*(1+AD50))/($C$1-AD50)</f>
        <v>797.26572905541661</v>
      </c>
    </row>
    <row r="51" spans="2:31" x14ac:dyDescent="0.2">
      <c r="B51" s="20" t="s">
        <v>304</v>
      </c>
      <c r="C51" s="133" t="e">
        <f t="shared" ref="C51:P51" si="133">C27/C42</f>
        <v>#DIV/0!</v>
      </c>
      <c r="D51" s="133" t="e">
        <f t="shared" si="133"/>
        <v>#DIV/0!</v>
      </c>
      <c r="E51" s="133" t="e">
        <f t="shared" si="133"/>
        <v>#DIV/0!</v>
      </c>
      <c r="F51" s="133" t="e">
        <f t="shared" si="133"/>
        <v>#DIV/0!</v>
      </c>
      <c r="G51" s="133">
        <f t="shared" si="133"/>
        <v>123.45679012345678</v>
      </c>
      <c r="H51" s="133">
        <f t="shared" si="133"/>
        <v>267.90123456790121</v>
      </c>
      <c r="I51" s="133">
        <f t="shared" si="133"/>
        <v>28.1134401972873</v>
      </c>
      <c r="J51" s="133">
        <f t="shared" si="133"/>
        <v>63.766388557806906</v>
      </c>
      <c r="K51" s="133">
        <f t="shared" si="133"/>
        <v>31.676679410158386</v>
      </c>
      <c r="L51" s="133">
        <f t="shared" si="133"/>
        <v>43.075245365321699</v>
      </c>
      <c r="M51" s="133">
        <f t="shared" si="133"/>
        <v>33.784515430427724</v>
      </c>
      <c r="N51" s="133">
        <f t="shared" si="133"/>
        <v>33.35138061721711</v>
      </c>
      <c r="O51" s="133">
        <f t="shared" si="133"/>
        <v>50.807799442896936</v>
      </c>
      <c r="P51" s="133">
        <f t="shared" si="133"/>
        <v>29.481397970687713</v>
      </c>
      <c r="Q51" s="118">
        <f>((P51/G51)^(1/($H$2-$H$1) ))-1</f>
        <v>-0.147110896695136</v>
      </c>
      <c r="R51" s="128"/>
      <c r="S51" s="158">
        <f t="shared" ref="S51:AB51" si="134">S27/S42</f>
        <v>32.289150158372252</v>
      </c>
      <c r="T51" s="158">
        <f t="shared" si="134"/>
        <v>35.364307316312463</v>
      </c>
      <c r="U51" s="158">
        <f t="shared" si="134"/>
        <v>38.732336584532696</v>
      </c>
      <c r="V51" s="158">
        <f t="shared" si="134"/>
        <v>42.421130544964377</v>
      </c>
      <c r="W51" s="158">
        <f t="shared" si="134"/>
        <v>46.461238215913355</v>
      </c>
      <c r="X51" s="158">
        <f t="shared" si="134"/>
        <v>50.886118046000341</v>
      </c>
      <c r="Y51" s="158">
        <f t="shared" si="134"/>
        <v>55.732415002762266</v>
      </c>
      <c r="Z51" s="158">
        <f t="shared" si="134"/>
        <v>61.040264050644382</v>
      </c>
      <c r="AA51" s="158">
        <f t="shared" si="134"/>
        <v>66.853622531658132</v>
      </c>
      <c r="AB51" s="158">
        <f t="shared" si="134"/>
        <v>73.220634201339848</v>
      </c>
      <c r="AC51" s="138">
        <f t="shared" ref="AC51" si="135">((AB51/G51)^(1/($AB$3-$H$1) ))-1</f>
        <v>-2.7120911239152057E-2</v>
      </c>
      <c r="AD51" s="31">
        <f t="shared" si="17"/>
        <v>0.05</v>
      </c>
      <c r="AE51" s="146">
        <f t="shared" si="132"/>
        <v>452.24509359651086</v>
      </c>
    </row>
    <row r="52" spans="2:31" x14ac:dyDescent="0.2">
      <c r="B52" s="20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28"/>
      <c r="R52" s="12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19"/>
      <c r="AD52" s="137"/>
      <c r="AE52" s="146"/>
    </row>
    <row r="53" spans="2:31" x14ac:dyDescent="0.2">
      <c r="B53" s="20" t="s">
        <v>257</v>
      </c>
      <c r="C53" s="25" t="e">
        <f t="shared" ref="C53:P53" si="136">C40/C42</f>
        <v>#DIV/0!</v>
      </c>
      <c r="D53" s="25" t="e">
        <f t="shared" si="136"/>
        <v>#DIV/0!</v>
      </c>
      <c r="E53" s="25" t="e">
        <f t="shared" si="136"/>
        <v>#DIV/0!</v>
      </c>
      <c r="F53" s="133" t="e">
        <f t="shared" si="136"/>
        <v>#DIV/0!</v>
      </c>
      <c r="G53" s="133">
        <f t="shared" si="136"/>
        <v>8.6419753086419746</v>
      </c>
      <c r="H53" s="133">
        <f t="shared" si="136"/>
        <v>25.925925925925924</v>
      </c>
      <c r="I53" s="133">
        <f t="shared" si="136"/>
        <v>2.8360049321824912</v>
      </c>
      <c r="J53" s="133">
        <f t="shared" si="136"/>
        <v>10.250297973778308</v>
      </c>
      <c r="K53" s="133">
        <f t="shared" si="136"/>
        <v>8.2468596395412348</v>
      </c>
      <c r="L53" s="133">
        <f t="shared" si="136"/>
        <v>6.3794983642311891</v>
      </c>
      <c r="M53" s="133">
        <f t="shared" si="136"/>
        <v>6.4428803465078506</v>
      </c>
      <c r="N53" s="133">
        <f t="shared" si="136"/>
        <v>3.0860855441256092</v>
      </c>
      <c r="O53" s="133">
        <f t="shared" si="136"/>
        <v>3.8997214484679668</v>
      </c>
      <c r="P53" s="133">
        <f t="shared" si="136"/>
        <v>4.0022547914317927</v>
      </c>
      <c r="Q53" s="118">
        <f>((P53/G53)^(1/($H$2-$H$1) ))-1</f>
        <v>-8.1974732717813636E-2</v>
      </c>
      <c r="R53" s="128"/>
      <c r="S53" s="158">
        <f t="shared" ref="S53:AB53" si="137">S40/S42</f>
        <v>4.3834219144252966</v>
      </c>
      <c r="T53" s="158">
        <f t="shared" si="137"/>
        <v>4.8008906681800854</v>
      </c>
      <c r="U53" s="158">
        <f t="shared" si="137"/>
        <v>5.2581183508639029</v>
      </c>
      <c r="V53" s="158">
        <f t="shared" si="137"/>
        <v>5.7588915271366545</v>
      </c>
      <c r="W53" s="158">
        <f t="shared" si="137"/>
        <v>6.3073573868639539</v>
      </c>
      <c r="X53" s="158">
        <f t="shared" si="137"/>
        <v>6.9080580903748059</v>
      </c>
      <c r="Y53" s="158">
        <f t="shared" si="137"/>
        <v>7.5659683846962151</v>
      </c>
      <c r="Z53" s="158">
        <f t="shared" si="137"/>
        <v>8.2865368022863297</v>
      </c>
      <c r="AA53" s="158">
        <f t="shared" si="137"/>
        <v>9.0757307834564553</v>
      </c>
      <c r="AB53" s="158">
        <f t="shared" si="137"/>
        <v>9.9400860961665938</v>
      </c>
      <c r="AC53" s="138">
        <f t="shared" ref="AC53:AC67" si="138">((AB53/G53)^(1/($AB$3-$H$1) ))-1</f>
        <v>7.3926921129423562E-3</v>
      </c>
      <c r="AD53" s="31">
        <f t="shared" si="17"/>
        <v>0.05</v>
      </c>
      <c r="AE53" s="146">
        <f t="shared" ref="AE53:AE81" si="139">(AB53*(1+AD53))/($C$1-AD53)</f>
        <v>61.394649417499558</v>
      </c>
    </row>
    <row r="54" spans="2:31" x14ac:dyDescent="0.2">
      <c r="B54" s="20" t="s">
        <v>388</v>
      </c>
      <c r="C54" s="133" t="e">
        <f t="shared" ref="C54:F54" si="140">C20/C42</f>
        <v>#DIV/0!</v>
      </c>
      <c r="D54" s="133" t="e">
        <f t="shared" si="140"/>
        <v>#DIV/0!</v>
      </c>
      <c r="E54" s="133" t="e">
        <f t="shared" si="140"/>
        <v>#DIV/0!</v>
      </c>
      <c r="F54" s="133" t="e">
        <f t="shared" si="140"/>
        <v>#DIV/0!</v>
      </c>
      <c r="G54" s="133">
        <f>G20/G42</f>
        <v>13.913580246913579</v>
      </c>
      <c r="H54" s="133">
        <f t="shared" ref="H54:P54" si="141">H20/H42</f>
        <v>36.543209876543209</v>
      </c>
      <c r="I54" s="133">
        <f t="shared" si="141"/>
        <v>6.4525277435265105</v>
      </c>
      <c r="J54" s="133">
        <f t="shared" si="141"/>
        <v>19.773539928486294</v>
      </c>
      <c r="K54" s="133">
        <f t="shared" si="141"/>
        <v>5.2113599126160572</v>
      </c>
      <c r="L54" s="133">
        <f t="shared" si="141"/>
        <v>5.5305343511450387</v>
      </c>
      <c r="M54" s="133">
        <f t="shared" si="141"/>
        <v>5.92528424472117</v>
      </c>
      <c r="N54" s="133">
        <f t="shared" si="141"/>
        <v>0.64537087168381158</v>
      </c>
      <c r="O54" s="133">
        <f t="shared" si="141"/>
        <v>1.0261838440111422</v>
      </c>
      <c r="P54" s="133">
        <f t="shared" si="141"/>
        <v>1.1426155580608794</v>
      </c>
      <c r="Q54" s="118">
        <f>((P54/G54)^(1/($H$2-$H$1) ))-1</f>
        <v>-0.24249660819334973</v>
      </c>
      <c r="R54" s="128"/>
      <c r="S54" s="133">
        <f t="shared" ref="S54:AB54" si="142">S20/S42</f>
        <v>1.2514360874000108</v>
      </c>
      <c r="T54" s="133">
        <f t="shared" si="142"/>
        <v>1.3706204766762018</v>
      </c>
      <c r="U54" s="133">
        <f t="shared" si="142"/>
        <v>1.5011557601691732</v>
      </c>
      <c r="V54" s="133">
        <f t="shared" si="142"/>
        <v>1.6441229754233802</v>
      </c>
      <c r="W54" s="133">
        <f t="shared" si="142"/>
        <v>1.8007061159398923</v>
      </c>
      <c r="X54" s="133">
        <f t="shared" si="142"/>
        <v>1.9722019365055961</v>
      </c>
      <c r="Y54" s="133">
        <f t="shared" si="142"/>
        <v>2.1600306923632715</v>
      </c>
      <c r="Z54" s="133">
        <f t="shared" si="142"/>
        <v>2.3657479011597733</v>
      </c>
      <c r="AA54" s="133">
        <f t="shared" si="142"/>
        <v>2.5910572250797514</v>
      </c>
      <c r="AB54" s="133">
        <f t="shared" si="142"/>
        <v>2.8378245798492512</v>
      </c>
      <c r="AC54" s="138">
        <f t="shared" ref="AC54" si="143">((AB54/G54)^(1/($AB$3-$H$1) ))-1</f>
        <v>-8.02700057380904E-2</v>
      </c>
      <c r="AD54" s="31">
        <f t="shared" si="17"/>
        <v>0.05</v>
      </c>
      <c r="AE54" s="146">
        <f t="shared" si="139"/>
        <v>17.527740052010081</v>
      </c>
    </row>
    <row r="55" spans="2:31" x14ac:dyDescent="0.2">
      <c r="B55" s="20" t="s">
        <v>245</v>
      </c>
      <c r="C55" s="25" t="e">
        <f t="shared" ref="C55:P55" si="144">C7/C42</f>
        <v>#DIV/0!</v>
      </c>
      <c r="D55" s="25" t="e">
        <f t="shared" si="144"/>
        <v>#DIV/0!</v>
      </c>
      <c r="E55" s="25" t="e">
        <f t="shared" si="144"/>
        <v>#DIV/0!</v>
      </c>
      <c r="F55" s="133" t="e">
        <f t="shared" si="144"/>
        <v>#DIV/0!</v>
      </c>
      <c r="G55" s="133">
        <f t="shared" si="144"/>
        <v>38.271604938271601</v>
      </c>
      <c r="H55" s="133">
        <f t="shared" si="144"/>
        <v>51.851851851851848</v>
      </c>
      <c r="I55" s="133">
        <f t="shared" si="144"/>
        <v>6.6584463625154138</v>
      </c>
      <c r="J55" s="133">
        <f t="shared" si="144"/>
        <v>18.593563766388556</v>
      </c>
      <c r="K55" s="133">
        <f t="shared" si="144"/>
        <v>19.060622610595303</v>
      </c>
      <c r="L55" s="133">
        <f t="shared" si="144"/>
        <v>23.664122137404579</v>
      </c>
      <c r="M55" s="133">
        <f t="shared" si="144"/>
        <v>28.532755820249054</v>
      </c>
      <c r="N55" s="133">
        <f t="shared" si="144"/>
        <v>30.265295073091501</v>
      </c>
      <c r="O55" s="133">
        <f t="shared" si="144"/>
        <v>30.807799442896936</v>
      </c>
      <c r="P55" s="133">
        <f t="shared" si="144"/>
        <v>32.13077790304397</v>
      </c>
      <c r="Q55" s="118">
        <f>((P55/G55)^(1/($H$2-$H$1) ))-1</f>
        <v>-1.9245053391975353E-2</v>
      </c>
      <c r="R55" s="128"/>
      <c r="S55" s="158">
        <f t="shared" ref="S55:AB55" si="145">S7/S42</f>
        <v>35.190851989048156</v>
      </c>
      <c r="T55" s="158">
        <f t="shared" si="145"/>
        <v>38.542361702290833</v>
      </c>
      <c r="U55" s="158">
        <f t="shared" si="145"/>
        <v>42.213062816794718</v>
      </c>
      <c r="V55" s="158">
        <f t="shared" si="145"/>
        <v>46.233354513632307</v>
      </c>
      <c r="W55" s="158">
        <f t="shared" si="145"/>
        <v>50.636531133978238</v>
      </c>
      <c r="X55" s="158">
        <f t="shared" si="145"/>
        <v>55.459057908642819</v>
      </c>
      <c r="Y55" s="158">
        <f t="shared" si="145"/>
        <v>60.740872947561179</v>
      </c>
      <c r="Z55" s="158">
        <f t="shared" si="145"/>
        <v>66.525717990186038</v>
      </c>
      <c r="AA55" s="158">
        <f t="shared" si="145"/>
        <v>72.861500655918036</v>
      </c>
      <c r="AB55" s="158">
        <f t="shared" si="145"/>
        <v>79.800691194576885</v>
      </c>
      <c r="AC55" s="138">
        <f t="shared" si="138"/>
        <v>3.9432554624575067E-2</v>
      </c>
      <c r="AD55" s="31">
        <f t="shared" si="17"/>
        <v>0.05</v>
      </c>
      <c r="AE55" s="146">
        <f t="shared" si="139"/>
        <v>492.88662208415138</v>
      </c>
    </row>
    <row r="56" spans="2:31" x14ac:dyDescent="0.2">
      <c r="B56" s="20" t="s">
        <v>246</v>
      </c>
      <c r="C56" s="127" t="e">
        <f t="shared" ref="C56:P56" si="146">C6/C42</f>
        <v>#DIV/0!</v>
      </c>
      <c r="D56" s="127" t="e">
        <f t="shared" si="146"/>
        <v>#DIV/0!</v>
      </c>
      <c r="E56" s="127" t="e">
        <f t="shared" si="146"/>
        <v>#DIV/0!</v>
      </c>
      <c r="F56" s="144" t="e">
        <f t="shared" si="146"/>
        <v>#DIV/0!</v>
      </c>
      <c r="G56" s="144">
        <f t="shared" si="146"/>
        <v>28.39506172839506</v>
      </c>
      <c r="H56" s="144">
        <f t="shared" si="146"/>
        <v>41.975308641975303</v>
      </c>
      <c r="I56" s="144">
        <f t="shared" si="146"/>
        <v>4.68557336621455</v>
      </c>
      <c r="J56" s="144">
        <f t="shared" si="146"/>
        <v>15.494636471990464</v>
      </c>
      <c r="K56" s="144">
        <f t="shared" si="146"/>
        <v>17.094483888585472</v>
      </c>
      <c r="L56" s="144">
        <f t="shared" si="146"/>
        <v>21.701199563794983</v>
      </c>
      <c r="M56" s="144">
        <f t="shared" si="146"/>
        <v>26.529507309149974</v>
      </c>
      <c r="N56" s="144">
        <f t="shared" si="146"/>
        <v>28.207904710341097</v>
      </c>
      <c r="O56" s="144">
        <f t="shared" si="146"/>
        <v>28.80222841225627</v>
      </c>
      <c r="P56" s="144">
        <f t="shared" si="146"/>
        <v>30.157835400225483</v>
      </c>
      <c r="Q56" s="118">
        <f>((P56/G56)^(1/($H$2-$H$1) ))-1</f>
        <v>6.7146117962122442E-3</v>
      </c>
      <c r="R56" s="128"/>
      <c r="S56" s="157">
        <f t="shared" ref="S56:AB56" si="147">S6/S42</f>
        <v>33.030010200246956</v>
      </c>
      <c r="T56" s="157">
        <f t="shared" si="147"/>
        <v>36.175725457413321</v>
      </c>
      <c r="U56" s="157">
        <f t="shared" si="147"/>
        <v>39.621032643833637</v>
      </c>
      <c r="V56" s="157">
        <f t="shared" si="147"/>
        <v>43.394464324198744</v>
      </c>
      <c r="W56" s="157">
        <f t="shared" si="147"/>
        <v>47.527270450312898</v>
      </c>
      <c r="X56" s="157">
        <f t="shared" si="147"/>
        <v>52.053677159866503</v>
      </c>
      <c r="Y56" s="157">
        <f t="shared" si="147"/>
        <v>57.01117022271093</v>
      </c>
      <c r="Z56" s="157">
        <f t="shared" si="147"/>
        <v>62.440805482016728</v>
      </c>
      <c r="AA56" s="157">
        <f t="shared" si="147"/>
        <v>68.387548861256406</v>
      </c>
      <c r="AB56" s="157">
        <f t="shared" si="147"/>
        <v>74.900648752804628</v>
      </c>
      <c r="AC56" s="138">
        <f t="shared" si="138"/>
        <v>5.2375361462566161E-2</v>
      </c>
      <c r="AD56" s="31">
        <f t="shared" si="17"/>
        <v>0.05</v>
      </c>
      <c r="AE56" s="146">
        <f t="shared" si="139"/>
        <v>462.62165406144038</v>
      </c>
    </row>
    <row r="57" spans="2:31" x14ac:dyDescent="0.2">
      <c r="B57" s="20" t="s">
        <v>247</v>
      </c>
      <c r="C57" s="127" t="e">
        <f t="shared" ref="C57:P57" si="148">C10/C42</f>
        <v>#DIV/0!</v>
      </c>
      <c r="D57" s="127" t="e">
        <f t="shared" si="148"/>
        <v>#DIV/0!</v>
      </c>
      <c r="E57" s="127" t="e">
        <f t="shared" si="148"/>
        <v>#DIV/0!</v>
      </c>
      <c r="F57" s="144" t="e">
        <f t="shared" si="148"/>
        <v>#DIV/0!</v>
      </c>
      <c r="G57" s="144">
        <f t="shared" si="148"/>
        <v>5.9259259259259256</v>
      </c>
      <c r="H57" s="144">
        <f t="shared" si="148"/>
        <v>0</v>
      </c>
      <c r="I57" s="144">
        <f t="shared" si="148"/>
        <v>6.5351418002466105E-2</v>
      </c>
      <c r="J57" s="144">
        <f t="shared" si="148"/>
        <v>7.1513706793802142E-3</v>
      </c>
      <c r="K57" s="144">
        <f t="shared" si="148"/>
        <v>8.9022392135445119E-2</v>
      </c>
      <c r="L57" s="144">
        <f t="shared" si="148"/>
        <v>0.99018538713195203</v>
      </c>
      <c r="M57" s="144">
        <f t="shared" si="148"/>
        <v>0</v>
      </c>
      <c r="N57" s="144">
        <f t="shared" si="148"/>
        <v>0</v>
      </c>
      <c r="O57" s="144">
        <f t="shared" si="148"/>
        <v>1.1894150417827298</v>
      </c>
      <c r="P57" s="144">
        <f t="shared" si="148"/>
        <v>0.78297632468996625</v>
      </c>
      <c r="Q57" s="118">
        <f>((P57/G57)^(1/($H$2-$H$1) ))-1</f>
        <v>-0.20139414448073223</v>
      </c>
      <c r="R57" s="128"/>
      <c r="S57" s="157">
        <f t="shared" ref="S57:AB57" si="149">S10/S42</f>
        <v>0.85754549846996297</v>
      </c>
      <c r="T57" s="157">
        <f t="shared" si="149"/>
        <v>0.93921649832424503</v>
      </c>
      <c r="U57" s="157">
        <f t="shared" si="149"/>
        <v>1.0286656886408396</v>
      </c>
      <c r="V57" s="157">
        <f t="shared" si="149"/>
        <v>1.1266338494637769</v>
      </c>
      <c r="W57" s="157">
        <f t="shared" si="149"/>
        <v>1.2339323113174696</v>
      </c>
      <c r="X57" s="157">
        <f t="shared" si="149"/>
        <v>1.3514496743000857</v>
      </c>
      <c r="Y57" s="157">
        <f t="shared" si="149"/>
        <v>1.4801591670905698</v>
      </c>
      <c r="Z57" s="157">
        <f t="shared" si="149"/>
        <v>1.6211267068134809</v>
      </c>
      <c r="AA57" s="157">
        <f t="shared" si="149"/>
        <v>1.7755197265100027</v>
      </c>
      <c r="AB57" s="157">
        <f t="shared" si="149"/>
        <v>1.9446168433204789</v>
      </c>
      <c r="AC57" s="138">
        <f t="shared" si="138"/>
        <v>-5.6959353673123103E-2</v>
      </c>
      <c r="AD57" s="31">
        <f t="shared" si="17"/>
        <v>0.05</v>
      </c>
      <c r="AE57" s="146">
        <f t="shared" si="139"/>
        <v>12.010868738155901</v>
      </c>
    </row>
    <row r="58" spans="2:31" x14ac:dyDescent="0.2">
      <c r="B58" s="20"/>
      <c r="C58" s="127"/>
      <c r="D58" s="127"/>
      <c r="E58" s="127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28"/>
      <c r="R58" s="128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39"/>
      <c r="AD58" s="137"/>
      <c r="AE58" s="146"/>
    </row>
    <row r="59" spans="2:31" x14ac:dyDescent="0.2">
      <c r="B59" s="20" t="s">
        <v>270</v>
      </c>
      <c r="C59" s="127" t="e">
        <f t="shared" ref="C59:P59" si="150">(C7-C10)/C42</f>
        <v>#DIV/0!</v>
      </c>
      <c r="D59" s="127" t="e">
        <f t="shared" si="150"/>
        <v>#DIV/0!</v>
      </c>
      <c r="E59" s="127" t="e">
        <f t="shared" si="150"/>
        <v>#DIV/0!</v>
      </c>
      <c r="F59" s="144" t="e">
        <f t="shared" si="150"/>
        <v>#DIV/0!</v>
      </c>
      <c r="G59" s="144">
        <f t="shared" si="150"/>
        <v>32.345679012345677</v>
      </c>
      <c r="H59" s="144">
        <f t="shared" si="150"/>
        <v>51.851851851851848</v>
      </c>
      <c r="I59" s="144">
        <f t="shared" si="150"/>
        <v>6.5930949445129476</v>
      </c>
      <c r="J59" s="144">
        <f t="shared" si="150"/>
        <v>18.586412395709175</v>
      </c>
      <c r="K59" s="144">
        <f t="shared" si="150"/>
        <v>18.971600218459859</v>
      </c>
      <c r="L59" s="144">
        <f t="shared" si="150"/>
        <v>22.673936750272627</v>
      </c>
      <c r="M59" s="144">
        <f t="shared" si="150"/>
        <v>28.532755820249054</v>
      </c>
      <c r="N59" s="144">
        <f t="shared" si="150"/>
        <v>30.265295073091501</v>
      </c>
      <c r="O59" s="144">
        <f t="shared" si="150"/>
        <v>29.618384401114206</v>
      </c>
      <c r="P59" s="144">
        <f t="shared" si="150"/>
        <v>31.347801578354005</v>
      </c>
      <c r="Q59" s="118">
        <f>((P59/G59)^(1/($H$2-$H$1) ))-1</f>
        <v>-3.4757569185948078E-3</v>
      </c>
      <c r="R59" s="128"/>
      <c r="S59" s="157">
        <f t="shared" ref="S59:AB59" si="151">(S7-S10)/S42</f>
        <v>34.333306490578195</v>
      </c>
      <c r="T59" s="157">
        <f t="shared" si="151"/>
        <v>37.603145203966591</v>
      </c>
      <c r="U59" s="157">
        <f t="shared" si="151"/>
        <v>41.184397128153876</v>
      </c>
      <c r="V59" s="157">
        <f t="shared" si="151"/>
        <v>45.106720664168527</v>
      </c>
      <c r="W59" s="157">
        <f t="shared" si="151"/>
        <v>49.402598822660771</v>
      </c>
      <c r="X59" s="157">
        <f t="shared" si="151"/>
        <v>54.107608234342727</v>
      </c>
      <c r="Y59" s="157">
        <f t="shared" si="151"/>
        <v>59.26071378047061</v>
      </c>
      <c r="Z59" s="157">
        <f t="shared" si="151"/>
        <v>64.904591283372554</v>
      </c>
      <c r="AA59" s="157">
        <f t="shared" si="151"/>
        <v>71.085980929408024</v>
      </c>
      <c r="AB59" s="157">
        <f t="shared" si="151"/>
        <v>77.856074351256396</v>
      </c>
      <c r="AC59" s="138">
        <f t="shared" si="138"/>
        <v>4.7315898540360335E-2</v>
      </c>
      <c r="AD59" s="31">
        <f t="shared" si="17"/>
        <v>0.05</v>
      </c>
      <c r="AE59" s="146">
        <f t="shared" si="139"/>
        <v>480.87575334599546</v>
      </c>
    </row>
    <row r="60" spans="2:31" x14ac:dyDescent="0.2">
      <c r="B60" s="20" t="s">
        <v>271</v>
      </c>
      <c r="C60" s="127" t="e">
        <f t="shared" ref="C60:P60" si="152">(C7-C10-C9)/C42</f>
        <v>#DIV/0!</v>
      </c>
      <c r="D60" s="127" t="e">
        <f t="shared" si="152"/>
        <v>#DIV/0!</v>
      </c>
      <c r="E60" s="127" t="e">
        <f t="shared" si="152"/>
        <v>#DIV/0!</v>
      </c>
      <c r="F60" s="144" t="e">
        <f t="shared" si="152"/>
        <v>#DIV/0!</v>
      </c>
      <c r="G60" s="144">
        <f t="shared" si="152"/>
        <v>-24.444444444444443</v>
      </c>
      <c r="H60" s="144">
        <f t="shared" si="152"/>
        <v>-40.74074074074074</v>
      </c>
      <c r="I60" s="144">
        <f t="shared" si="152"/>
        <v>-8.0801479654747226</v>
      </c>
      <c r="J60" s="144">
        <f t="shared" si="152"/>
        <v>-28.37425506555423</v>
      </c>
      <c r="K60" s="144">
        <f t="shared" si="152"/>
        <v>0.18405243036592053</v>
      </c>
      <c r="L60" s="144">
        <f t="shared" si="152"/>
        <v>0.86368593238822111</v>
      </c>
      <c r="M60" s="144">
        <f t="shared" si="152"/>
        <v>13.264753654574987</v>
      </c>
      <c r="N60" s="144">
        <f t="shared" si="152"/>
        <v>9.2582566323768276</v>
      </c>
      <c r="O60" s="144">
        <f t="shared" si="152"/>
        <v>2.9888579387186618</v>
      </c>
      <c r="P60" s="144">
        <f t="shared" si="152"/>
        <v>-5.1798196166854567</v>
      </c>
      <c r="Q60" s="118">
        <f>((P60/G60)^(1/($H$2-$H$1) ))-1</f>
        <v>-0.15836061251596334</v>
      </c>
      <c r="R60" s="128"/>
      <c r="S60" s="157">
        <f t="shared" ref="S60:AB60" si="153">(S7-S10-S9)/S42</f>
        <v>-5.6731357706554935</v>
      </c>
      <c r="T60" s="157">
        <f t="shared" si="153"/>
        <v>-6.2134344154798296</v>
      </c>
      <c r="U60" s="157">
        <f t="shared" si="153"/>
        <v>-6.8051900740969611</v>
      </c>
      <c r="V60" s="157">
        <f t="shared" si="153"/>
        <v>-7.4533034144871415</v>
      </c>
      <c r="W60" s="157">
        <f t="shared" si="153"/>
        <v>-8.1631418349144873</v>
      </c>
      <c r="X60" s="157">
        <f t="shared" si="153"/>
        <v>-8.9405839144301584</v>
      </c>
      <c r="Y60" s="157">
        <f t="shared" si="153"/>
        <v>-9.7920680967568341</v>
      </c>
      <c r="Z60" s="157">
        <f t="shared" si="153"/>
        <v>-10.724646010733677</v>
      </c>
      <c r="AA60" s="157">
        <f t="shared" si="153"/>
        <v>-11.746040868898788</v>
      </c>
      <c r="AB60" s="157">
        <f t="shared" si="153"/>
        <v>-12.86471142784154</v>
      </c>
      <c r="AC60" s="138">
        <f t="shared" si="138"/>
        <v>-3.3220657823552546E-2</v>
      </c>
      <c r="AD60" s="31">
        <f t="shared" si="17"/>
        <v>0.05</v>
      </c>
      <c r="AE60" s="146">
        <f t="shared" si="139"/>
        <v>-79.458511760197752</v>
      </c>
    </row>
    <row r="61" spans="2:31" x14ac:dyDescent="0.2">
      <c r="B61" s="20" t="s">
        <v>276</v>
      </c>
      <c r="C61" s="127" t="e">
        <f t="shared" ref="C61:P61" si="154">(C7+C15-C10-C9)/C42</f>
        <v>#DIV/0!</v>
      </c>
      <c r="D61" s="127" t="e">
        <f t="shared" si="154"/>
        <v>#DIV/0!</v>
      </c>
      <c r="E61" s="127" t="e">
        <f t="shared" si="154"/>
        <v>#DIV/0!</v>
      </c>
      <c r="F61" s="144" t="e">
        <f t="shared" si="154"/>
        <v>#DIV/0!</v>
      </c>
      <c r="G61" s="144">
        <f t="shared" si="154"/>
        <v>60.74074074074074</v>
      </c>
      <c r="H61" s="144">
        <f t="shared" si="154"/>
        <v>85.185185185185176</v>
      </c>
      <c r="I61" s="144">
        <f t="shared" si="154"/>
        <v>8.1960542540073984</v>
      </c>
      <c r="J61" s="144">
        <f t="shared" si="154"/>
        <v>11.077473182359951</v>
      </c>
      <c r="K61" s="144">
        <f t="shared" si="154"/>
        <v>19.572364827962865</v>
      </c>
      <c r="L61" s="144">
        <f t="shared" si="154"/>
        <v>27.254089422028354</v>
      </c>
      <c r="M61" s="144">
        <f t="shared" si="154"/>
        <v>33.08067135896048</v>
      </c>
      <c r="N61" s="144">
        <f t="shared" si="154"/>
        <v>35.138061721710883</v>
      </c>
      <c r="O61" s="144">
        <f t="shared" si="154"/>
        <v>39.423398328690816</v>
      </c>
      <c r="P61" s="144">
        <f t="shared" si="154"/>
        <v>46.454904171364149</v>
      </c>
      <c r="Q61" s="118">
        <f>((P61/G61)^(1/($H$2-$H$1) ))-1</f>
        <v>-2.9353090571982987E-2</v>
      </c>
      <c r="R61" s="128"/>
      <c r="S61" s="157">
        <f t="shared" ref="S61:AB61" si="155">(S7+S15-S10-S9)/S42</f>
        <v>50.879180759113112</v>
      </c>
      <c r="T61" s="157">
        <f t="shared" si="155"/>
        <v>55.724817021885769</v>
      </c>
      <c r="U61" s="157">
        <f t="shared" si="155"/>
        <v>61.031942452541578</v>
      </c>
      <c r="V61" s="157">
        <f t="shared" si="155"/>
        <v>66.84450840040266</v>
      </c>
      <c r="W61" s="157">
        <f t="shared" si="155"/>
        <v>73.210652057583857</v>
      </c>
      <c r="X61" s="157">
        <f t="shared" si="155"/>
        <v>80.183095110687077</v>
      </c>
      <c r="Y61" s="157">
        <f t="shared" si="155"/>
        <v>87.819580359323936</v>
      </c>
      <c r="Z61" s="157">
        <f t="shared" si="155"/>
        <v>96.183349917354761</v>
      </c>
      <c r="AA61" s="157">
        <f t="shared" si="155"/>
        <v>105.34366895710281</v>
      </c>
      <c r="AB61" s="157">
        <f t="shared" si="155"/>
        <v>115.37639933396976</v>
      </c>
      <c r="AC61" s="138">
        <f t="shared" si="138"/>
        <v>3.4344238930205995E-2</v>
      </c>
      <c r="AD61" s="31">
        <f t="shared" si="17"/>
        <v>0.05</v>
      </c>
      <c r="AE61" s="146">
        <f t="shared" si="139"/>
        <v>712.61893706275441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137"/>
      <c r="AE62" s="154"/>
    </row>
    <row r="63" spans="2:31" x14ac:dyDescent="0.2">
      <c r="B63" s="20" t="s">
        <v>248</v>
      </c>
      <c r="C63" s="127" t="e">
        <f t="shared" ref="C63:P63" si="156">C12/C42</f>
        <v>#DIV/0!</v>
      </c>
      <c r="D63" s="127" t="e">
        <f t="shared" si="156"/>
        <v>#DIV/0!</v>
      </c>
      <c r="E63" s="127" t="e">
        <f t="shared" si="156"/>
        <v>#DIV/0!</v>
      </c>
      <c r="F63" s="144" t="e">
        <f t="shared" si="156"/>
        <v>#DIV/0!</v>
      </c>
      <c r="G63" s="144">
        <f t="shared" si="156"/>
        <v>20.987654320987652</v>
      </c>
      <c r="H63" s="144">
        <f t="shared" si="156"/>
        <v>14.814814814814813</v>
      </c>
      <c r="I63" s="144">
        <f t="shared" si="156"/>
        <v>1.9728729963008633</v>
      </c>
      <c r="J63" s="144">
        <f t="shared" si="156"/>
        <v>3.5756853396901072</v>
      </c>
      <c r="K63" s="144">
        <f t="shared" si="156"/>
        <v>1.5292190060076463</v>
      </c>
      <c r="L63" s="144">
        <f t="shared" si="156"/>
        <v>2.1810250817884405</v>
      </c>
      <c r="M63" s="144">
        <f t="shared" si="156"/>
        <v>2.1656740660530591</v>
      </c>
      <c r="N63" s="144">
        <f t="shared" si="156"/>
        <v>4.2230644288034656</v>
      </c>
      <c r="O63" s="144">
        <f t="shared" si="156"/>
        <v>9.0250696378830089</v>
      </c>
      <c r="P63" s="144">
        <f t="shared" si="156"/>
        <v>4.2277339346110487</v>
      </c>
      <c r="Q63" s="118">
        <f>((P63/G63)^(1/($H$2-$H$1) ))-1</f>
        <v>-0.16308252062416162</v>
      </c>
      <c r="R63" s="128"/>
      <c r="S63" s="157">
        <f t="shared" ref="S63:AB63" si="157">S12/S42</f>
        <v>4.6303752617168632</v>
      </c>
      <c r="T63" s="157">
        <f t="shared" si="157"/>
        <v>5.0713633818803725</v>
      </c>
      <c r="U63" s="157">
        <f t="shared" si="157"/>
        <v>5.5543503706308837</v>
      </c>
      <c r="V63" s="157">
        <f t="shared" si="157"/>
        <v>6.0833361202147769</v>
      </c>
      <c r="W63" s="157">
        <f t="shared" si="157"/>
        <v>6.662701464997137</v>
      </c>
      <c r="X63" s="157">
        <f t="shared" si="157"/>
        <v>7.2972444616635297</v>
      </c>
      <c r="Y63" s="157">
        <f t="shared" si="157"/>
        <v>7.9922201246791023</v>
      </c>
      <c r="Z63" s="157">
        <f t="shared" si="157"/>
        <v>8.7533839460771112</v>
      </c>
      <c r="AA63" s="157">
        <f t="shared" si="157"/>
        <v>9.5870395599892149</v>
      </c>
      <c r="AB63" s="157">
        <f t="shared" si="157"/>
        <v>10.500090946654854</v>
      </c>
      <c r="AC63" s="138">
        <f t="shared" si="138"/>
        <v>-3.5793720168194043E-2</v>
      </c>
      <c r="AD63" s="31">
        <f t="shared" si="17"/>
        <v>0.05</v>
      </c>
      <c r="AE63" s="146">
        <f t="shared" si="139"/>
        <v>64.853502905809407</v>
      </c>
    </row>
    <row r="64" spans="2:31" x14ac:dyDescent="0.2">
      <c r="B64" s="20" t="s">
        <v>255</v>
      </c>
      <c r="C64" s="127" t="e">
        <f t="shared" ref="C64:P64" si="158">C13/C42</f>
        <v>#DIV/0!</v>
      </c>
      <c r="D64" s="127" t="e">
        <f t="shared" si="158"/>
        <v>#DIV/0!</v>
      </c>
      <c r="E64" s="127" t="e">
        <f t="shared" si="158"/>
        <v>#DIV/0!</v>
      </c>
      <c r="F64" s="144" t="e">
        <f t="shared" si="158"/>
        <v>#DIV/0!</v>
      </c>
      <c r="G64" s="144">
        <f t="shared" si="158"/>
        <v>1.2345679012345678E-2</v>
      </c>
      <c r="H64" s="144">
        <f t="shared" si="158"/>
        <v>12.345679012345679</v>
      </c>
      <c r="I64" s="144">
        <f t="shared" si="158"/>
        <v>4.562268803945746</v>
      </c>
      <c r="J64" s="144">
        <f t="shared" si="158"/>
        <v>18.831942789034564</v>
      </c>
      <c r="K64" s="144">
        <f t="shared" si="158"/>
        <v>13.107591480065539</v>
      </c>
      <c r="L64" s="144">
        <f t="shared" si="158"/>
        <v>10.632497273718649</v>
      </c>
      <c r="M64" s="144">
        <f t="shared" si="158"/>
        <v>14.401732539252844</v>
      </c>
      <c r="N64" s="144">
        <f t="shared" si="158"/>
        <v>13.968597726042232</v>
      </c>
      <c r="O64" s="144">
        <f t="shared" si="158"/>
        <v>8.6350974930362128</v>
      </c>
      <c r="P64" s="144">
        <f t="shared" si="158"/>
        <v>0.84554678692220975</v>
      </c>
      <c r="Q64" s="118">
        <f>((P64/G64)^(1/($H$2-$H$1) ))-1</f>
        <v>0.5994036161857057</v>
      </c>
      <c r="R64" s="128"/>
      <c r="S64" s="157">
        <f t="shared" ref="S64:AB64" si="159">S13/S42</f>
        <v>0.92607505234337262</v>
      </c>
      <c r="T64" s="157">
        <f t="shared" si="159"/>
        <v>1.0142726763760745</v>
      </c>
      <c r="U64" s="157">
        <f t="shared" si="159"/>
        <v>1.1108700741261768</v>
      </c>
      <c r="V64" s="157">
        <f t="shared" si="159"/>
        <v>1.2166672240429555</v>
      </c>
      <c r="W64" s="157">
        <f t="shared" si="159"/>
        <v>1.3325402929994272</v>
      </c>
      <c r="X64" s="157">
        <f t="shared" si="159"/>
        <v>1.4594488923327058</v>
      </c>
      <c r="Y64" s="157">
        <f t="shared" si="159"/>
        <v>1.5984440249358205</v>
      </c>
      <c r="Z64" s="157">
        <f t="shared" si="159"/>
        <v>1.7506767892154222</v>
      </c>
      <c r="AA64" s="157">
        <f t="shared" si="159"/>
        <v>1.9174079119978429</v>
      </c>
      <c r="AB64" s="157">
        <f t="shared" si="159"/>
        <v>2.1000181893309708</v>
      </c>
      <c r="AC64" s="138">
        <f t="shared" si="138"/>
        <v>0.31040544249795277</v>
      </c>
      <c r="AD64" s="31">
        <f t="shared" si="17"/>
        <v>0.05</v>
      </c>
      <c r="AE64" s="146">
        <f t="shared" si="139"/>
        <v>12.97070058116188</v>
      </c>
    </row>
    <row r="65" spans="2:31" x14ac:dyDescent="0.2">
      <c r="B65" s="20" t="s">
        <v>256</v>
      </c>
      <c r="C65" s="127" t="e">
        <f>(C63+C64)</f>
        <v>#DIV/0!</v>
      </c>
      <c r="D65" s="127" t="e">
        <f t="shared" ref="D65:P65" si="160">(D63+D64)</f>
        <v>#DIV/0!</v>
      </c>
      <c r="E65" s="127" t="e">
        <f t="shared" si="160"/>
        <v>#DIV/0!</v>
      </c>
      <c r="F65" s="144" t="e">
        <f t="shared" si="160"/>
        <v>#DIV/0!</v>
      </c>
      <c r="G65" s="144">
        <f t="shared" si="160"/>
        <v>20.999999999999996</v>
      </c>
      <c r="H65" s="144">
        <f t="shared" si="160"/>
        <v>27.160493827160494</v>
      </c>
      <c r="I65" s="144">
        <f t="shared" si="160"/>
        <v>6.5351418002466097</v>
      </c>
      <c r="J65" s="144">
        <f t="shared" si="160"/>
        <v>22.407628128724671</v>
      </c>
      <c r="K65" s="144">
        <f t="shared" si="160"/>
        <v>14.636810486073184</v>
      </c>
      <c r="L65" s="144">
        <f t="shared" si="160"/>
        <v>12.813522355507089</v>
      </c>
      <c r="M65" s="144">
        <f t="shared" si="160"/>
        <v>16.567406605305905</v>
      </c>
      <c r="N65" s="144">
        <f t="shared" si="160"/>
        <v>18.191662154845698</v>
      </c>
      <c r="O65" s="144">
        <f t="shared" ref="O65" si="161">(O63+O64)</f>
        <v>17.66016713091922</v>
      </c>
      <c r="P65" s="144">
        <f t="shared" si="160"/>
        <v>5.0732807215332585</v>
      </c>
      <c r="Q65" s="118">
        <f>((P65/G65)^(1/($H$2-$H$1) ))-1</f>
        <v>-0.14601119468359791</v>
      </c>
      <c r="R65" s="128"/>
      <c r="S65" s="157">
        <f t="shared" ref="S65:AB65" si="162">(S63+S64)</f>
        <v>5.5564503140602355</v>
      </c>
      <c r="T65" s="157">
        <f t="shared" si="162"/>
        <v>6.0856360582564468</v>
      </c>
      <c r="U65" s="157">
        <f t="shared" si="162"/>
        <v>6.6652204447570602</v>
      </c>
      <c r="V65" s="157">
        <f t="shared" si="162"/>
        <v>7.3000033442577319</v>
      </c>
      <c r="W65" s="157">
        <f t="shared" si="162"/>
        <v>7.9952417579965642</v>
      </c>
      <c r="X65" s="157">
        <f t="shared" si="162"/>
        <v>8.7566933539962353</v>
      </c>
      <c r="Y65" s="157">
        <f t="shared" si="162"/>
        <v>9.5906641496149234</v>
      </c>
      <c r="Z65" s="157">
        <f t="shared" si="162"/>
        <v>10.504060735292533</v>
      </c>
      <c r="AA65" s="157">
        <f t="shared" si="162"/>
        <v>11.504447471987058</v>
      </c>
      <c r="AB65" s="157">
        <f t="shared" si="162"/>
        <v>12.600109135985825</v>
      </c>
      <c r="AC65" s="138">
        <f t="shared" si="138"/>
        <v>-2.6526916031334724E-2</v>
      </c>
      <c r="AD65" s="31">
        <f t="shared" si="17"/>
        <v>0.05</v>
      </c>
      <c r="AE65" s="146">
        <f t="shared" si="139"/>
        <v>77.824203486971285</v>
      </c>
    </row>
    <row r="66" spans="2:31" x14ac:dyDescent="0.2">
      <c r="B66" s="20" t="s">
        <v>249</v>
      </c>
      <c r="C66" s="127" t="e">
        <f t="shared" ref="C66:P66" si="163">C15/C42</f>
        <v>#DIV/0!</v>
      </c>
      <c r="D66" s="127" t="e">
        <f t="shared" si="163"/>
        <v>#DIV/0!</v>
      </c>
      <c r="E66" s="127" t="e">
        <f t="shared" si="163"/>
        <v>#DIV/0!</v>
      </c>
      <c r="F66" s="144" t="e">
        <f t="shared" si="163"/>
        <v>#DIV/0!</v>
      </c>
      <c r="G66" s="144">
        <f t="shared" si="163"/>
        <v>85.185185185185176</v>
      </c>
      <c r="H66" s="144">
        <f t="shared" si="163"/>
        <v>125.92592592592592</v>
      </c>
      <c r="I66" s="144">
        <f t="shared" si="163"/>
        <v>16.276202219482123</v>
      </c>
      <c r="J66" s="144">
        <f t="shared" si="163"/>
        <v>39.451728247914183</v>
      </c>
      <c r="K66" s="144">
        <f t="shared" si="163"/>
        <v>19.388312397596945</v>
      </c>
      <c r="L66" s="144">
        <f t="shared" si="163"/>
        <v>26.390403489640132</v>
      </c>
      <c r="M66" s="144">
        <f t="shared" si="163"/>
        <v>19.815917704385491</v>
      </c>
      <c r="N66" s="144">
        <f t="shared" si="163"/>
        <v>25.879805089334056</v>
      </c>
      <c r="O66" s="144">
        <f t="shared" si="163"/>
        <v>36.434540389972149</v>
      </c>
      <c r="P66" s="144">
        <f t="shared" si="163"/>
        <v>51.634723788049612</v>
      </c>
      <c r="Q66" s="118">
        <f>((P66/G66)^(1/($H$2-$H$1) ))-1</f>
        <v>-5.4107076803528442E-2</v>
      </c>
      <c r="R66" s="128"/>
      <c r="S66" s="157">
        <f t="shared" ref="S66:AB66" si="164">S15/S42</f>
        <v>56.552316529768611</v>
      </c>
      <c r="T66" s="157">
        <f t="shared" si="164"/>
        <v>61.938251437365615</v>
      </c>
      <c r="U66" s="157">
        <f t="shared" si="164"/>
        <v>67.837132526638527</v>
      </c>
      <c r="V66" s="157">
        <f t="shared" si="164"/>
        <v>74.297811814889812</v>
      </c>
      <c r="W66" s="157">
        <f t="shared" si="164"/>
        <v>81.373793892498355</v>
      </c>
      <c r="X66" s="157">
        <f t="shared" si="164"/>
        <v>89.123679025117241</v>
      </c>
      <c r="Y66" s="157">
        <f t="shared" si="164"/>
        <v>97.611648456080772</v>
      </c>
      <c r="Z66" s="157">
        <f t="shared" si="164"/>
        <v>106.90799592808845</v>
      </c>
      <c r="AA66" s="157">
        <f t="shared" si="164"/>
        <v>117.08970982600161</v>
      </c>
      <c r="AB66" s="157">
        <f t="shared" si="164"/>
        <v>128.24111076181129</v>
      </c>
      <c r="AC66" s="138">
        <f t="shared" si="138"/>
        <v>2.1764229750753428E-2</v>
      </c>
      <c r="AD66" s="31">
        <f t="shared" si="17"/>
        <v>0.05</v>
      </c>
      <c r="AE66" s="146">
        <f t="shared" si="139"/>
        <v>792.07744882295219</v>
      </c>
    </row>
    <row r="67" spans="2:31" x14ac:dyDescent="0.2">
      <c r="B67" s="20" t="s">
        <v>250</v>
      </c>
      <c r="C67" s="127" t="e">
        <f t="shared" ref="C67:P67" si="165">C16/C42</f>
        <v>#DIV/0!</v>
      </c>
      <c r="D67" s="127" t="e">
        <f t="shared" si="165"/>
        <v>#DIV/0!</v>
      </c>
      <c r="E67" s="127" t="e">
        <f t="shared" si="165"/>
        <v>#DIV/0!</v>
      </c>
      <c r="F67" s="144" t="e">
        <f t="shared" si="165"/>
        <v>#DIV/0!</v>
      </c>
      <c r="G67" s="144">
        <f t="shared" si="165"/>
        <v>28.39506172839506</v>
      </c>
      <c r="H67" s="144">
        <f t="shared" si="165"/>
        <v>13.580246913580247</v>
      </c>
      <c r="I67" s="144">
        <f t="shared" si="165"/>
        <v>-1.5782983970406907</v>
      </c>
      <c r="J67" s="144">
        <f t="shared" si="165"/>
        <v>-7.9856972586412391</v>
      </c>
      <c r="K67" s="144">
        <f t="shared" si="165"/>
        <v>-0.60076460950300381</v>
      </c>
      <c r="L67" s="144">
        <f t="shared" si="165"/>
        <v>5.8342420937840789</v>
      </c>
      <c r="M67" s="144">
        <f t="shared" si="165"/>
        <v>6.4970221981591774</v>
      </c>
      <c r="N67" s="144">
        <f t="shared" si="165"/>
        <v>7.7422847861396864</v>
      </c>
      <c r="O67" s="144">
        <f t="shared" si="165"/>
        <v>10.807799442896936</v>
      </c>
      <c r="P67" s="144">
        <f t="shared" si="165"/>
        <v>16.910935738444195</v>
      </c>
      <c r="Q67" s="118">
        <f>((P67/G67)^(1/($H$2-$H$1) ))-1</f>
        <v>-5.5957281348976373E-2</v>
      </c>
      <c r="R67" s="128"/>
      <c r="S67" s="157">
        <f t="shared" ref="S67:AB67" si="166">S16/S42</f>
        <v>18.521501046867453</v>
      </c>
      <c r="T67" s="157">
        <f t="shared" si="166"/>
        <v>20.28545352752149</v>
      </c>
      <c r="U67" s="157">
        <f t="shared" si="166"/>
        <v>22.217401482523535</v>
      </c>
      <c r="V67" s="157">
        <f t="shared" si="166"/>
        <v>24.333344480859108</v>
      </c>
      <c r="W67" s="157">
        <f t="shared" si="166"/>
        <v>26.650805859988548</v>
      </c>
      <c r="X67" s="157">
        <f t="shared" si="166"/>
        <v>29.188977846654119</v>
      </c>
      <c r="Y67" s="157">
        <f t="shared" si="166"/>
        <v>31.968880498716409</v>
      </c>
      <c r="Z67" s="157">
        <f t="shared" si="166"/>
        <v>35.013535784308445</v>
      </c>
      <c r="AA67" s="157">
        <f t="shared" si="166"/>
        <v>38.348158239956859</v>
      </c>
      <c r="AB67" s="157">
        <f t="shared" si="166"/>
        <v>42.000363786619417</v>
      </c>
      <c r="AC67" s="138">
        <f t="shared" si="138"/>
        <v>2.0817031063315561E-2</v>
      </c>
      <c r="AD67" s="137"/>
      <c r="AE67" s="146">
        <f t="shared" si="139"/>
        <v>190.91074448463371</v>
      </c>
    </row>
    <row r="68" spans="2:31" x14ac:dyDescent="0.2">
      <c r="B68" s="20"/>
      <c r="C68" s="127"/>
      <c r="D68" s="127"/>
      <c r="E68" s="127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28"/>
      <c r="R68" s="128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39"/>
      <c r="AD68" s="31">
        <f t="shared" si="17"/>
        <v>0.05</v>
      </c>
      <c r="AE68" s="146">
        <f t="shared" si="139"/>
        <v>0</v>
      </c>
    </row>
    <row r="69" spans="2:31" x14ac:dyDescent="0.2">
      <c r="B69" s="20" t="s">
        <v>282</v>
      </c>
      <c r="C69" s="159">
        <f>C44</f>
        <v>0</v>
      </c>
      <c r="D69" s="159">
        <f t="shared" ref="D69:P69" si="167">D44</f>
        <v>0</v>
      </c>
      <c r="E69" s="159">
        <f t="shared" si="167"/>
        <v>0</v>
      </c>
      <c r="F69" s="159">
        <f t="shared" si="167"/>
        <v>0</v>
      </c>
      <c r="G69" s="159">
        <f t="shared" si="167"/>
        <v>4.5</v>
      </c>
      <c r="H69" s="159">
        <f t="shared" si="167"/>
        <v>10.8</v>
      </c>
      <c r="I69" s="159">
        <f t="shared" si="167"/>
        <v>1.26</v>
      </c>
      <c r="J69" s="159">
        <f t="shared" si="167"/>
        <v>2.7</v>
      </c>
      <c r="K69" s="159">
        <f t="shared" si="167"/>
        <v>1.98</v>
      </c>
      <c r="L69" s="159">
        <f t="shared" si="167"/>
        <v>1.8</v>
      </c>
      <c r="M69" s="159">
        <f t="shared" si="167"/>
        <v>1.44</v>
      </c>
      <c r="N69" s="159">
        <f t="shared" si="167"/>
        <v>1.26</v>
      </c>
      <c r="O69" s="159">
        <f t="shared" si="167"/>
        <v>1.62</v>
      </c>
      <c r="P69" s="159">
        <f t="shared" si="167"/>
        <v>1.62</v>
      </c>
      <c r="Q69" s="118">
        <f>((P69/G69)^(1/($H$2-$H$1) ))-1</f>
        <v>-0.10731080560792428</v>
      </c>
      <c r="R69" s="128"/>
      <c r="S69" s="159">
        <f t="shared" ref="S69:AB69" si="168">S44</f>
        <v>1.7010000000000003</v>
      </c>
      <c r="T69" s="159">
        <f t="shared" si="168"/>
        <v>1.7860500000000004</v>
      </c>
      <c r="U69" s="159">
        <f t="shared" si="168"/>
        <v>1.8753525000000004</v>
      </c>
      <c r="V69" s="159">
        <f t="shared" si="168"/>
        <v>1.9691201250000006</v>
      </c>
      <c r="W69" s="159">
        <f t="shared" si="168"/>
        <v>2.0675761312500005</v>
      </c>
      <c r="X69" s="159">
        <f t="shared" si="168"/>
        <v>2.1709549378125006</v>
      </c>
      <c r="Y69" s="159">
        <f t="shared" si="168"/>
        <v>2.2795026847031257</v>
      </c>
      <c r="Z69" s="159">
        <f t="shared" si="168"/>
        <v>2.3934778189382819</v>
      </c>
      <c r="AA69" s="159">
        <f t="shared" si="168"/>
        <v>2.5131517098851961</v>
      </c>
      <c r="AB69" s="159">
        <f t="shared" si="168"/>
        <v>2.6388092953794562</v>
      </c>
      <c r="AC69" s="138">
        <f t="shared" ref="AC69" si="169">((AB69/G69)^(1/($AB$3-$H$1) ))-1</f>
        <v>-2.7701170990011348E-2</v>
      </c>
      <c r="AD69" s="31">
        <f t="shared" si="17"/>
        <v>0.05</v>
      </c>
      <c r="AE69" s="146">
        <f t="shared" si="139"/>
        <v>16.298528000873112</v>
      </c>
    </row>
    <row r="70" spans="2:31" x14ac:dyDescent="0.2">
      <c r="B70" s="20"/>
      <c r="C70" s="127"/>
      <c r="D70" s="127"/>
      <c r="E70" s="127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28"/>
      <c r="R70" s="128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39"/>
      <c r="AD70" s="137"/>
      <c r="AE70" s="154"/>
    </row>
    <row r="71" spans="2:31" x14ac:dyDescent="0.2">
      <c r="B71" s="20" t="s">
        <v>317</v>
      </c>
      <c r="C71" s="127">
        <f t="shared" ref="C71:P71" si="170">C20+C21</f>
        <v>0</v>
      </c>
      <c r="D71" s="127">
        <f t="shared" si="170"/>
        <v>0</v>
      </c>
      <c r="E71" s="127">
        <f t="shared" si="170"/>
        <v>0</v>
      </c>
      <c r="F71" s="144">
        <f t="shared" si="170"/>
        <v>0</v>
      </c>
      <c r="G71" s="144">
        <f t="shared" si="170"/>
        <v>10.58</v>
      </c>
      <c r="H71" s="144">
        <f t="shared" si="170"/>
        <v>14.400000000000002</v>
      </c>
      <c r="I71" s="144">
        <f t="shared" si="170"/>
        <v>16.329999999999998</v>
      </c>
      <c r="J71" s="144">
        <f t="shared" si="170"/>
        <v>10.900000000000006</v>
      </c>
      <c r="K71" s="144">
        <f t="shared" si="170"/>
        <v>-44.58</v>
      </c>
      <c r="L71" s="144">
        <f t="shared" si="170"/>
        <v>29.430000000000007</v>
      </c>
      <c r="M71" s="144">
        <f t="shared" si="170"/>
        <v>26.439999999999998</v>
      </c>
      <c r="N71" s="144">
        <f t="shared" si="170"/>
        <v>33.92</v>
      </c>
      <c r="O71" s="144">
        <f t="shared" si="170"/>
        <v>55.42</v>
      </c>
      <c r="P71" s="144">
        <f t="shared" si="170"/>
        <v>40.47</v>
      </c>
      <c r="Q71" s="118">
        <f>((P71/G71)^(1/($H$2-$H$1) ))-1</f>
        <v>0.16074979379878762</v>
      </c>
      <c r="R71" s="128"/>
      <c r="S71" s="144">
        <f t="shared" ref="S71:AB71" si="171">S20+S21</f>
        <v>46.540499999999994</v>
      </c>
      <c r="T71" s="144">
        <f t="shared" si="171"/>
        <v>53.521574999999984</v>
      </c>
      <c r="U71" s="144">
        <f t="shared" si="171"/>
        <v>61.549811249999976</v>
      </c>
      <c r="V71" s="144">
        <f t="shared" si="171"/>
        <v>70.782282937499971</v>
      </c>
      <c r="W71" s="144">
        <f t="shared" si="171"/>
        <v>81.399625378124966</v>
      </c>
      <c r="X71" s="144">
        <f t="shared" si="171"/>
        <v>93.609569184843693</v>
      </c>
      <c r="Y71" s="144">
        <f t="shared" si="171"/>
        <v>107.65100456257025</v>
      </c>
      <c r="Z71" s="144">
        <f t="shared" si="171"/>
        <v>123.79865524695578</v>
      </c>
      <c r="AA71" s="144">
        <f t="shared" si="171"/>
        <v>142.36845353399912</v>
      </c>
      <c r="AB71" s="144">
        <f t="shared" si="171"/>
        <v>163.72372156409898</v>
      </c>
      <c r="AC71" s="138">
        <f t="shared" ref="AC71:AC76" si="172">((AB71/G71)^(1/($AB$3-$H$1) ))-1</f>
        <v>0.1550795409449186</v>
      </c>
      <c r="AD71" s="31">
        <f t="shared" si="17"/>
        <v>0.05</v>
      </c>
      <c r="AE71" s="146">
        <f t="shared" si="139"/>
        <v>1011.2347508370822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39"/>
      <c r="AD72" s="137"/>
      <c r="AE72" s="146"/>
    </row>
    <row r="73" spans="2:31" x14ac:dyDescent="0.2">
      <c r="B73" s="20" t="s">
        <v>318</v>
      </c>
      <c r="C73" s="127" t="e">
        <f t="shared" ref="C73:P73" si="173">C71/C42</f>
        <v>#DIV/0!</v>
      </c>
      <c r="D73" s="127" t="e">
        <f t="shared" si="173"/>
        <v>#DIV/0!</v>
      </c>
      <c r="E73" s="127" t="e">
        <f t="shared" si="173"/>
        <v>#DIV/0!</v>
      </c>
      <c r="F73" s="144" t="e">
        <f t="shared" si="173"/>
        <v>#DIV/0!</v>
      </c>
      <c r="G73" s="144">
        <f t="shared" si="173"/>
        <v>13.061728395061728</v>
      </c>
      <c r="H73" s="144">
        <f t="shared" si="173"/>
        <v>17.777777777777779</v>
      </c>
      <c r="I73" s="144">
        <f t="shared" si="173"/>
        <v>2.0135635018495686</v>
      </c>
      <c r="J73" s="144">
        <f t="shared" si="173"/>
        <v>1.2991656734207395</v>
      </c>
      <c r="K73" s="144">
        <f t="shared" si="173"/>
        <v>-2.4347351174221736</v>
      </c>
      <c r="L73" s="144">
        <f t="shared" si="173"/>
        <v>1.6046892039258456</v>
      </c>
      <c r="M73" s="144">
        <f t="shared" si="173"/>
        <v>1.431510557661072</v>
      </c>
      <c r="N73" s="144">
        <f t="shared" si="173"/>
        <v>1.8364916080129943</v>
      </c>
      <c r="O73" s="144">
        <f t="shared" si="173"/>
        <v>3.0874651810584961</v>
      </c>
      <c r="P73" s="144">
        <f t="shared" si="173"/>
        <v>2.2812852311161218</v>
      </c>
      <c r="Q73" s="118">
        <f>((P73/G73)^(1/($H$2-$H$1) ))-1</f>
        <v>-0.17624576566247829</v>
      </c>
      <c r="R73" s="128"/>
      <c r="S73" s="146">
        <f t="shared" ref="S73:AB73" si="174">S71/S42</f>
        <v>2.498550491222419</v>
      </c>
      <c r="T73" s="146">
        <f t="shared" si="174"/>
        <v>2.7365076808626485</v>
      </c>
      <c r="U73" s="146">
        <f t="shared" si="174"/>
        <v>2.9971274599924245</v>
      </c>
      <c r="V73" s="146">
        <f t="shared" si="174"/>
        <v>3.2825681704678931</v>
      </c>
      <c r="W73" s="146">
        <f t="shared" si="174"/>
        <v>3.5951937105124543</v>
      </c>
      <c r="X73" s="146">
        <f t="shared" si="174"/>
        <v>3.9375931115136393</v>
      </c>
      <c r="Y73" s="146">
        <f t="shared" si="174"/>
        <v>4.3126019792768426</v>
      </c>
      <c r="Z73" s="146">
        <f t="shared" si="174"/>
        <v>4.7233259773032081</v>
      </c>
      <c r="AA73" s="146">
        <f t="shared" si="174"/>
        <v>5.1731665465701795</v>
      </c>
      <c r="AB73" s="146">
        <f t="shared" si="174"/>
        <v>5.6658490748149584</v>
      </c>
      <c r="AC73" s="138">
        <f t="shared" si="172"/>
        <v>-4.3007244494197017E-2</v>
      </c>
      <c r="AD73" s="31">
        <f t="shared" si="17"/>
        <v>0.05</v>
      </c>
      <c r="AE73" s="146">
        <f t="shared" si="139"/>
        <v>34.99495016797475</v>
      </c>
    </row>
    <row r="74" spans="2:31" x14ac:dyDescent="0.2">
      <c r="B74" s="20" t="s">
        <v>287</v>
      </c>
      <c r="C74" s="127" t="e">
        <f t="shared" ref="C74:P74" si="175">C20/C42</f>
        <v>#DIV/0!</v>
      </c>
      <c r="D74" s="127" t="e">
        <f t="shared" si="175"/>
        <v>#DIV/0!</v>
      </c>
      <c r="E74" s="127" t="e">
        <f t="shared" si="175"/>
        <v>#DIV/0!</v>
      </c>
      <c r="F74" s="144" t="e">
        <f t="shared" si="175"/>
        <v>#DIV/0!</v>
      </c>
      <c r="G74" s="144">
        <f t="shared" si="175"/>
        <v>13.913580246913579</v>
      </c>
      <c r="H74" s="144">
        <f t="shared" si="175"/>
        <v>36.543209876543209</v>
      </c>
      <c r="I74" s="144">
        <f t="shared" si="175"/>
        <v>6.4525277435265105</v>
      </c>
      <c r="J74" s="144">
        <f t="shared" si="175"/>
        <v>19.773539928486294</v>
      </c>
      <c r="K74" s="144">
        <f t="shared" si="175"/>
        <v>5.2113599126160572</v>
      </c>
      <c r="L74" s="144">
        <f t="shared" si="175"/>
        <v>5.5305343511450387</v>
      </c>
      <c r="M74" s="144">
        <f t="shared" si="175"/>
        <v>5.92528424472117</v>
      </c>
      <c r="N74" s="144">
        <f t="shared" si="175"/>
        <v>0.64537087168381158</v>
      </c>
      <c r="O74" s="144">
        <f t="shared" si="175"/>
        <v>1.0261838440111422</v>
      </c>
      <c r="P74" s="144">
        <f t="shared" si="175"/>
        <v>1.1426155580608794</v>
      </c>
      <c r="Q74" s="118">
        <f>((P74/G74)^(1/($H$2-$H$1) ))-1</f>
        <v>-0.24249660819334973</v>
      </c>
      <c r="R74" s="128"/>
      <c r="S74" s="146">
        <f t="shared" ref="S74:AB74" si="176">S20/S42</f>
        <v>1.2514360874000108</v>
      </c>
      <c r="T74" s="146">
        <f t="shared" si="176"/>
        <v>1.3706204766762018</v>
      </c>
      <c r="U74" s="146">
        <f t="shared" si="176"/>
        <v>1.5011557601691732</v>
      </c>
      <c r="V74" s="146">
        <f t="shared" si="176"/>
        <v>1.6441229754233802</v>
      </c>
      <c r="W74" s="146">
        <f t="shared" si="176"/>
        <v>1.8007061159398923</v>
      </c>
      <c r="X74" s="146">
        <f t="shared" si="176"/>
        <v>1.9722019365055961</v>
      </c>
      <c r="Y74" s="146">
        <f t="shared" si="176"/>
        <v>2.1600306923632715</v>
      </c>
      <c r="Z74" s="146">
        <f t="shared" si="176"/>
        <v>2.3657479011597733</v>
      </c>
      <c r="AA74" s="146">
        <f t="shared" si="176"/>
        <v>2.5910572250797514</v>
      </c>
      <c r="AB74" s="146">
        <f t="shared" si="176"/>
        <v>2.8378245798492512</v>
      </c>
      <c r="AC74" s="138">
        <f t="shared" si="172"/>
        <v>-8.02700057380904E-2</v>
      </c>
      <c r="AD74" s="31">
        <f t="shared" si="17"/>
        <v>0.05</v>
      </c>
      <c r="AE74" s="146">
        <f t="shared" si="139"/>
        <v>17.527740052010081</v>
      </c>
    </row>
    <row r="75" spans="2:31" x14ac:dyDescent="0.2">
      <c r="B75" s="20" t="s">
        <v>288</v>
      </c>
      <c r="C75" s="127" t="e">
        <f t="shared" ref="C75:P75" si="177">C21/C42</f>
        <v>#DIV/0!</v>
      </c>
      <c r="D75" s="127" t="e">
        <f t="shared" si="177"/>
        <v>#DIV/0!</v>
      </c>
      <c r="E75" s="127" t="e">
        <f t="shared" si="177"/>
        <v>#DIV/0!</v>
      </c>
      <c r="F75" s="144" t="e">
        <f t="shared" si="177"/>
        <v>#DIV/0!</v>
      </c>
      <c r="G75" s="144">
        <f t="shared" si="177"/>
        <v>-0.85185185185185175</v>
      </c>
      <c r="H75" s="144">
        <f t="shared" si="177"/>
        <v>-18.76543209876543</v>
      </c>
      <c r="I75" s="144">
        <f t="shared" si="177"/>
        <v>-4.4389642416769419</v>
      </c>
      <c r="J75" s="144">
        <f t="shared" si="177"/>
        <v>-18.474374255065552</v>
      </c>
      <c r="K75" s="144">
        <f t="shared" si="177"/>
        <v>-7.6460950300382313</v>
      </c>
      <c r="L75" s="144">
        <f t="shared" si="177"/>
        <v>-3.9258451472191931</v>
      </c>
      <c r="M75" s="144">
        <f t="shared" si="177"/>
        <v>-4.4937736870600977</v>
      </c>
      <c r="N75" s="144">
        <f t="shared" si="177"/>
        <v>1.1911207363291825</v>
      </c>
      <c r="O75" s="144">
        <f t="shared" si="177"/>
        <v>2.0612813370473537</v>
      </c>
      <c r="P75" s="144">
        <f t="shared" si="177"/>
        <v>1.1386696730552424</v>
      </c>
      <c r="Q75" s="118">
        <f>((P75/G75)^(1/($H$2-$H$1) ))-1</f>
        <v>-2.0327703054356796</v>
      </c>
      <c r="R75" s="128"/>
      <c r="S75" s="146">
        <f t="shared" ref="S75:AB75" si="178">S21/S42</f>
        <v>1.2471144038224082</v>
      </c>
      <c r="T75" s="146">
        <f t="shared" si="178"/>
        <v>1.3658872041864469</v>
      </c>
      <c r="U75" s="146">
        <f t="shared" si="178"/>
        <v>1.4959716998232513</v>
      </c>
      <c r="V75" s="146">
        <f t="shared" si="178"/>
        <v>1.6384451950445131</v>
      </c>
      <c r="W75" s="146">
        <f t="shared" si="178"/>
        <v>1.7944875945725618</v>
      </c>
      <c r="X75" s="146">
        <f t="shared" si="178"/>
        <v>1.9653911750080435</v>
      </c>
      <c r="Y75" s="146">
        <f t="shared" si="178"/>
        <v>2.1525712869135711</v>
      </c>
      <c r="Z75" s="146">
        <f t="shared" si="178"/>
        <v>2.3575780761434348</v>
      </c>
      <c r="AA75" s="146">
        <f t="shared" si="178"/>
        <v>2.582109321490428</v>
      </c>
      <c r="AB75" s="146">
        <f t="shared" si="178"/>
        <v>2.8280244949657067</v>
      </c>
      <c r="AC75" s="138">
        <f t="shared" si="172"/>
        <v>-2.0651905890255309</v>
      </c>
      <c r="AD75" s="31">
        <f t="shared" si="17"/>
        <v>0.05</v>
      </c>
      <c r="AE75" s="146">
        <f t="shared" si="139"/>
        <v>17.467210115964662</v>
      </c>
    </row>
    <row r="76" spans="2:31" x14ac:dyDescent="0.2">
      <c r="B76" s="20" t="s">
        <v>289</v>
      </c>
      <c r="C76" s="127" t="e">
        <f t="shared" ref="C76:P76" si="179">C22/C42</f>
        <v>#DIV/0!</v>
      </c>
      <c r="D76" s="127" t="e">
        <f t="shared" si="179"/>
        <v>#DIV/0!</v>
      </c>
      <c r="E76" s="127" t="e">
        <f t="shared" si="179"/>
        <v>#DIV/0!</v>
      </c>
      <c r="F76" s="144" t="e">
        <f t="shared" si="179"/>
        <v>#DIV/0!</v>
      </c>
      <c r="G76" s="144">
        <f t="shared" si="179"/>
        <v>-7.9012345679012341</v>
      </c>
      <c r="H76" s="144">
        <f t="shared" si="179"/>
        <v>-12.345679012345679</v>
      </c>
      <c r="I76" s="144">
        <f t="shared" si="179"/>
        <v>-0.87546239210850807</v>
      </c>
      <c r="J76" s="144">
        <f t="shared" si="179"/>
        <v>0.46483909415971392</v>
      </c>
      <c r="K76" s="144">
        <f t="shared" si="179"/>
        <v>2.1845985800109231</v>
      </c>
      <c r="L76" s="144">
        <f t="shared" si="179"/>
        <v>-1.3631406761177753</v>
      </c>
      <c r="M76" s="144">
        <f t="shared" si="179"/>
        <v>-2.057390362750406</v>
      </c>
      <c r="N76" s="144">
        <f t="shared" si="179"/>
        <v>1.0828370330265296E-2</v>
      </c>
      <c r="O76" s="144">
        <f t="shared" si="179"/>
        <v>-3.7883008356545962</v>
      </c>
      <c r="P76" s="144">
        <f t="shared" si="179"/>
        <v>-2.7621195039458852</v>
      </c>
      <c r="Q76" s="118">
        <f>((P76/G76)^(1/($H$2-$H$1) ))-1</f>
        <v>-0.11021914581442771</v>
      </c>
      <c r="R76" s="128"/>
      <c r="S76" s="146">
        <f t="shared" ref="S76:AB76" si="180">S22/S42</f>
        <v>-3.0251785043216834</v>
      </c>
      <c r="T76" s="146">
        <f t="shared" si="180"/>
        <v>-3.3132907428285101</v>
      </c>
      <c r="U76" s="146">
        <f t="shared" si="180"/>
        <v>-3.6288422421455109</v>
      </c>
      <c r="V76" s="146">
        <f t="shared" si="180"/>
        <v>-3.9744462652069874</v>
      </c>
      <c r="W76" s="146">
        <f t="shared" si="180"/>
        <v>-4.3529649571314621</v>
      </c>
      <c r="X76" s="146">
        <f t="shared" si="180"/>
        <v>-4.7675330482868379</v>
      </c>
      <c r="Y76" s="146">
        <f t="shared" si="180"/>
        <v>-5.2215838147903453</v>
      </c>
      <c r="Z76" s="146">
        <f t="shared" si="180"/>
        <v>-5.7188775114370447</v>
      </c>
      <c r="AA76" s="146">
        <f t="shared" si="180"/>
        <v>-6.263532512526286</v>
      </c>
      <c r="AB76" s="146">
        <f t="shared" si="180"/>
        <v>-6.8600594184811694</v>
      </c>
      <c r="AC76" s="138">
        <f t="shared" si="172"/>
        <v>-7.4094096805087384E-3</v>
      </c>
      <c r="AD76" s="31">
        <f t="shared" si="17"/>
        <v>0.05</v>
      </c>
      <c r="AE76" s="146">
        <f t="shared" si="139"/>
        <v>-42.370955231795463</v>
      </c>
    </row>
    <row r="77" spans="2:31" x14ac:dyDescent="0.2">
      <c r="B77" s="20" t="s">
        <v>296</v>
      </c>
      <c r="C77" s="127" t="e">
        <f t="shared" ref="C77:P77" si="181">C23/C42</f>
        <v>#DIV/0!</v>
      </c>
      <c r="D77" s="127" t="e">
        <f t="shared" si="181"/>
        <v>#DIV/0!</v>
      </c>
      <c r="E77" s="127" t="e">
        <f t="shared" si="181"/>
        <v>#DIV/0!</v>
      </c>
      <c r="F77" s="144" t="e">
        <f t="shared" si="181"/>
        <v>#DIV/0!</v>
      </c>
      <c r="G77" s="144">
        <f t="shared" si="181"/>
        <v>19.876543209876544</v>
      </c>
      <c r="H77" s="144">
        <f t="shared" si="181"/>
        <v>24.814814814814817</v>
      </c>
      <c r="I77" s="144">
        <f t="shared" si="181"/>
        <v>3.6350184956843408</v>
      </c>
      <c r="J77" s="144">
        <f t="shared" si="181"/>
        <v>3.3957091775923716</v>
      </c>
      <c r="K77" s="144">
        <f t="shared" si="181"/>
        <v>1.3107591480065539</v>
      </c>
      <c r="L77" s="144">
        <f t="shared" si="181"/>
        <v>1.5305343511450382</v>
      </c>
      <c r="M77" s="144">
        <f t="shared" si="181"/>
        <v>0.9041689225771522</v>
      </c>
      <c r="N77" s="144">
        <f t="shared" si="181"/>
        <v>2.7666486193827833</v>
      </c>
      <c r="O77" s="144">
        <f t="shared" si="181"/>
        <v>2.3454038997214486</v>
      </c>
      <c r="P77" s="144">
        <f t="shared" si="181"/>
        <v>1.5343855693348365</v>
      </c>
      <c r="Q77" s="118">
        <f>((P77/G77)^(1/($H$2-$H$1) ))-1</f>
        <v>-0.24768573936806204</v>
      </c>
      <c r="R77" s="128"/>
      <c r="S77" s="146">
        <f t="shared" ref="S77:AB77" si="182">S23/S42</f>
        <v>1.6805175283191067</v>
      </c>
      <c r="T77" s="146">
        <f t="shared" si="182"/>
        <v>1.8405668167304496</v>
      </c>
      <c r="U77" s="146">
        <f t="shared" si="182"/>
        <v>2.0158588945143019</v>
      </c>
      <c r="V77" s="146">
        <f t="shared" si="182"/>
        <v>2.2078454558966163</v>
      </c>
      <c r="W77" s="146">
        <f t="shared" si="182"/>
        <v>2.4181164516962936</v>
      </c>
      <c r="X77" s="146">
        <f t="shared" si="182"/>
        <v>2.6484132566197496</v>
      </c>
      <c r="Y77" s="146">
        <f t="shared" si="182"/>
        <v>2.900643090583535</v>
      </c>
      <c r="Z77" s="146">
        <f t="shared" si="182"/>
        <v>3.1768948134962525</v>
      </c>
      <c r="AA77" s="146">
        <f t="shared" si="182"/>
        <v>3.479456224305419</v>
      </c>
      <c r="AB77" s="146">
        <f t="shared" si="182"/>
        <v>3.8108330075726018</v>
      </c>
      <c r="AC77" s="138">
        <f t="shared" ref="AC77" si="183">((AB77/G77)^(1/($AB$3-$H$1) ))-1</f>
        <v>-8.3259820382013849E-2</v>
      </c>
      <c r="AD77" s="31">
        <f t="shared" si="17"/>
        <v>0.05</v>
      </c>
      <c r="AE77" s="146">
        <f t="shared" si="139"/>
        <v>23.537497987948427</v>
      </c>
    </row>
    <row r="78" spans="2:31" x14ac:dyDescent="0.2">
      <c r="B78" s="20"/>
      <c r="C78" s="127"/>
      <c r="D78" s="127"/>
      <c r="E78" s="127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28"/>
      <c r="R78" s="128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39"/>
      <c r="AD78" s="137"/>
      <c r="AE78" s="154"/>
    </row>
    <row r="79" spans="2:31" x14ac:dyDescent="0.2">
      <c r="B79" s="20" t="s">
        <v>311</v>
      </c>
      <c r="C79" s="144" t="e">
        <f t="shared" ref="C79:P79" si="184">C36/C42</f>
        <v>#DIV/0!</v>
      </c>
      <c r="D79" s="144" t="e">
        <f t="shared" si="184"/>
        <v>#DIV/0!</v>
      </c>
      <c r="E79" s="144" t="e">
        <f t="shared" si="184"/>
        <v>#DIV/0!</v>
      </c>
      <c r="F79" s="144" t="e">
        <f t="shared" si="184"/>
        <v>#DIV/0!</v>
      </c>
      <c r="G79" s="144">
        <f t="shared" si="184"/>
        <v>23.456790123456788</v>
      </c>
      <c r="H79" s="144">
        <f t="shared" si="184"/>
        <v>35.802469135802468</v>
      </c>
      <c r="I79" s="144">
        <f t="shared" si="184"/>
        <v>4.3156596794081388</v>
      </c>
      <c r="J79" s="144">
        <f t="shared" si="184"/>
        <v>12.634088200238379</v>
      </c>
      <c r="K79" s="144">
        <f t="shared" si="184"/>
        <v>7.8099399235390505</v>
      </c>
      <c r="L79" s="144">
        <f t="shared" si="184"/>
        <v>8.9422028353326066</v>
      </c>
      <c r="M79" s="144">
        <f t="shared" si="184"/>
        <v>5.955603681645913</v>
      </c>
      <c r="N79" s="144">
        <f t="shared" si="184"/>
        <v>2.5988088792636708</v>
      </c>
      <c r="O79" s="144">
        <f t="shared" si="184"/>
        <v>5.1253481894150417</v>
      </c>
      <c r="P79" s="144">
        <f t="shared" si="184"/>
        <v>5.3551296505073287</v>
      </c>
      <c r="Q79" s="118">
        <f>((P79/G79)^(1/($H$2-$H$1) ))-1</f>
        <v>-0.15136218741206497</v>
      </c>
      <c r="R79" s="128"/>
      <c r="S79" s="144">
        <f t="shared" ref="S79:AB79" si="185">S36/S42</f>
        <v>5.8651419981746926</v>
      </c>
      <c r="T79" s="144">
        <f t="shared" si="185"/>
        <v>6.4237269503818046</v>
      </c>
      <c r="U79" s="144">
        <f t="shared" si="185"/>
        <v>7.0355104694657857</v>
      </c>
      <c r="V79" s="144">
        <f t="shared" si="185"/>
        <v>7.7055590856053842</v>
      </c>
      <c r="W79" s="144">
        <f t="shared" si="185"/>
        <v>8.4394218556630403</v>
      </c>
      <c r="X79" s="144">
        <f t="shared" si="185"/>
        <v>9.2431763181071371</v>
      </c>
      <c r="Y79" s="144">
        <f t="shared" si="185"/>
        <v>10.12347882459353</v>
      </c>
      <c r="Z79" s="144">
        <f t="shared" si="185"/>
        <v>11.087619665031008</v>
      </c>
      <c r="AA79" s="144">
        <f t="shared" si="185"/>
        <v>12.143583442653007</v>
      </c>
      <c r="AB79" s="144">
        <f t="shared" si="185"/>
        <v>13.300115199096151</v>
      </c>
      <c r="AC79" s="138">
        <f t="shared" ref="AC79:AC81" si="186">((AB79/G79)^(1/($AB$3-$H$1) ))-1</f>
        <v>-2.9421011499975336E-2</v>
      </c>
      <c r="AD79" s="31">
        <f t="shared" si="17"/>
        <v>0.05</v>
      </c>
      <c r="AE79" s="146">
        <f t="shared" si="139"/>
        <v>82.147770347358588</v>
      </c>
    </row>
    <row r="80" spans="2:31" x14ac:dyDescent="0.2">
      <c r="B80" s="20" t="s">
        <v>312</v>
      </c>
      <c r="C80" s="144" t="e">
        <f t="shared" ref="C80:P80" si="187">C40/C42</f>
        <v>#DIV/0!</v>
      </c>
      <c r="D80" s="144" t="e">
        <f t="shared" si="187"/>
        <v>#DIV/0!</v>
      </c>
      <c r="E80" s="144" t="e">
        <f t="shared" si="187"/>
        <v>#DIV/0!</v>
      </c>
      <c r="F80" s="144" t="e">
        <f t="shared" si="187"/>
        <v>#DIV/0!</v>
      </c>
      <c r="G80" s="144">
        <f t="shared" si="187"/>
        <v>8.6419753086419746</v>
      </c>
      <c r="H80" s="144">
        <f t="shared" si="187"/>
        <v>25.925925925925924</v>
      </c>
      <c r="I80" s="144">
        <f t="shared" si="187"/>
        <v>2.8360049321824912</v>
      </c>
      <c r="J80" s="144">
        <f t="shared" si="187"/>
        <v>10.250297973778308</v>
      </c>
      <c r="K80" s="144">
        <f t="shared" si="187"/>
        <v>8.2468596395412348</v>
      </c>
      <c r="L80" s="144">
        <f t="shared" si="187"/>
        <v>6.3794983642311891</v>
      </c>
      <c r="M80" s="144">
        <f t="shared" si="187"/>
        <v>6.4428803465078506</v>
      </c>
      <c r="N80" s="144">
        <f t="shared" si="187"/>
        <v>3.0860855441256092</v>
      </c>
      <c r="O80" s="144">
        <f t="shared" si="187"/>
        <v>3.8997214484679668</v>
      </c>
      <c r="P80" s="144">
        <f t="shared" si="187"/>
        <v>4.0022547914317927</v>
      </c>
      <c r="Q80" s="118">
        <f>((P80/G80)^(1/($H$2-$H$1) ))-1</f>
        <v>-8.1974732717813636E-2</v>
      </c>
      <c r="R80" s="128"/>
      <c r="S80" s="144">
        <f t="shared" ref="S80:AB80" si="188">S40/S42</f>
        <v>4.3834219144252966</v>
      </c>
      <c r="T80" s="144">
        <f t="shared" si="188"/>
        <v>4.8008906681800854</v>
      </c>
      <c r="U80" s="144">
        <f t="shared" si="188"/>
        <v>5.2581183508639029</v>
      </c>
      <c r="V80" s="144">
        <f t="shared" si="188"/>
        <v>5.7588915271366545</v>
      </c>
      <c r="W80" s="144">
        <f t="shared" si="188"/>
        <v>6.3073573868639539</v>
      </c>
      <c r="X80" s="144">
        <f t="shared" si="188"/>
        <v>6.9080580903748059</v>
      </c>
      <c r="Y80" s="144">
        <f t="shared" si="188"/>
        <v>7.5659683846962151</v>
      </c>
      <c r="Z80" s="144">
        <f t="shared" si="188"/>
        <v>8.2865368022863297</v>
      </c>
      <c r="AA80" s="144">
        <f t="shared" si="188"/>
        <v>9.0757307834564553</v>
      </c>
      <c r="AB80" s="144">
        <f t="shared" si="188"/>
        <v>9.9400860961665938</v>
      </c>
      <c r="AC80" s="138">
        <f t="shared" si="186"/>
        <v>7.3926921129423562E-3</v>
      </c>
      <c r="AD80" s="31">
        <f t="shared" si="17"/>
        <v>0.05</v>
      </c>
      <c r="AE80" s="146">
        <f t="shared" si="139"/>
        <v>61.394649417499558</v>
      </c>
    </row>
    <row r="81" spans="2:31" x14ac:dyDescent="0.2">
      <c r="B81" s="20" t="s">
        <v>313</v>
      </c>
      <c r="C81" s="144" t="e">
        <f t="shared" ref="C81:P81" si="189">C6/C42</f>
        <v>#DIV/0!</v>
      </c>
      <c r="D81" s="144" t="e">
        <f t="shared" si="189"/>
        <v>#DIV/0!</v>
      </c>
      <c r="E81" s="144" t="e">
        <f t="shared" si="189"/>
        <v>#DIV/0!</v>
      </c>
      <c r="F81" s="144" t="e">
        <f t="shared" si="189"/>
        <v>#DIV/0!</v>
      </c>
      <c r="G81" s="144">
        <f t="shared" si="189"/>
        <v>28.39506172839506</v>
      </c>
      <c r="H81" s="144">
        <f t="shared" si="189"/>
        <v>41.975308641975303</v>
      </c>
      <c r="I81" s="144">
        <f t="shared" si="189"/>
        <v>4.68557336621455</v>
      </c>
      <c r="J81" s="144">
        <f t="shared" si="189"/>
        <v>15.494636471990464</v>
      </c>
      <c r="K81" s="144">
        <f t="shared" si="189"/>
        <v>17.094483888585472</v>
      </c>
      <c r="L81" s="144">
        <f t="shared" si="189"/>
        <v>21.701199563794983</v>
      </c>
      <c r="M81" s="144">
        <f t="shared" si="189"/>
        <v>26.529507309149974</v>
      </c>
      <c r="N81" s="144">
        <f t="shared" si="189"/>
        <v>28.207904710341097</v>
      </c>
      <c r="O81" s="144">
        <f t="shared" si="189"/>
        <v>28.80222841225627</v>
      </c>
      <c r="P81" s="144">
        <f t="shared" si="189"/>
        <v>30.157835400225483</v>
      </c>
      <c r="Q81" s="118">
        <f>((P81/G81)^(1/($H$2-$H$1) ))-1</f>
        <v>6.7146117962122442E-3</v>
      </c>
      <c r="R81" s="128"/>
      <c r="S81" s="144">
        <f t="shared" ref="S81:AB81" si="190">S6/S42</f>
        <v>33.030010200246956</v>
      </c>
      <c r="T81" s="144">
        <f t="shared" si="190"/>
        <v>36.175725457413321</v>
      </c>
      <c r="U81" s="144">
        <f t="shared" si="190"/>
        <v>39.621032643833637</v>
      </c>
      <c r="V81" s="144">
        <f t="shared" si="190"/>
        <v>43.394464324198744</v>
      </c>
      <c r="W81" s="144">
        <f t="shared" si="190"/>
        <v>47.527270450312898</v>
      </c>
      <c r="X81" s="144">
        <f t="shared" si="190"/>
        <v>52.053677159866503</v>
      </c>
      <c r="Y81" s="144">
        <f t="shared" si="190"/>
        <v>57.01117022271093</v>
      </c>
      <c r="Z81" s="144">
        <f t="shared" si="190"/>
        <v>62.440805482016728</v>
      </c>
      <c r="AA81" s="144">
        <f t="shared" si="190"/>
        <v>68.387548861256406</v>
      </c>
      <c r="AB81" s="144">
        <f t="shared" si="190"/>
        <v>74.900648752804628</v>
      </c>
      <c r="AC81" s="138">
        <f t="shared" si="186"/>
        <v>5.2375361462566161E-2</v>
      </c>
      <c r="AD81" s="31">
        <f t="shared" ref="AD81" si="191">$L$1</f>
        <v>0.05</v>
      </c>
      <c r="AE81" s="146">
        <f t="shared" si="139"/>
        <v>462.62165406144038</v>
      </c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28"/>
      <c r="R83" s="128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39"/>
      <c r="AD83" s="20"/>
      <c r="AE83" s="154"/>
    </row>
    <row r="84" spans="2:31" x14ac:dyDescent="0.2">
      <c r="B84" s="108" t="s">
        <v>310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 spans="2:31" x14ac:dyDescent="0.2">
      <c r="B85" s="20" t="s">
        <v>309</v>
      </c>
      <c r="C85" s="152"/>
      <c r="D85" s="152"/>
      <c r="E85" s="152" t="e">
        <f t="shared" ref="E85:P85" si="192">E36/E25</f>
        <v>#DIV/0!</v>
      </c>
      <c r="F85" s="152" t="e">
        <f t="shared" si="192"/>
        <v>#DIV/0!</v>
      </c>
      <c r="G85" s="152">
        <f t="shared" si="192"/>
        <v>0.16814159292035399</v>
      </c>
      <c r="H85" s="152">
        <f t="shared" si="192"/>
        <v>0.11646586345381527</v>
      </c>
      <c r="I85" s="152">
        <f t="shared" si="192"/>
        <v>0.13207547169811321</v>
      </c>
      <c r="J85" s="152">
        <f t="shared" si="192"/>
        <v>0.16307692307692306</v>
      </c>
      <c r="K85" s="152">
        <f t="shared" si="192"/>
        <v>0.18815789473684211</v>
      </c>
      <c r="L85" s="152">
        <f t="shared" si="192"/>
        <v>0.17372881355932204</v>
      </c>
      <c r="M85" s="152">
        <f t="shared" si="192"/>
        <v>0.14416775884665792</v>
      </c>
      <c r="N85" s="152">
        <f t="shared" si="192"/>
        <v>6.9364161849710976E-2</v>
      </c>
      <c r="O85" s="152">
        <f t="shared" si="192"/>
        <v>8.7619047619047624E-2</v>
      </c>
      <c r="P85" s="152">
        <f t="shared" si="192"/>
        <v>0.10303687635574837</v>
      </c>
      <c r="Q85" s="118">
        <f t="shared" ref="Q85:Q135" si="193">((P85/G85)^(1/($H$2-$H$1) ))-1</f>
        <v>-5.2959364436260592E-2</v>
      </c>
      <c r="R85" s="152"/>
      <c r="S85" s="152">
        <f t="shared" ref="S85:AB85" si="194">S36/S25</f>
        <v>0.10303687635574836</v>
      </c>
      <c r="T85" s="152">
        <f t="shared" si="194"/>
        <v>0.10303687635574837</v>
      </c>
      <c r="U85" s="152">
        <f t="shared" si="194"/>
        <v>0.10303687635574839</v>
      </c>
      <c r="V85" s="152">
        <f t="shared" si="194"/>
        <v>0.10303687635574837</v>
      </c>
      <c r="W85" s="152">
        <f t="shared" si="194"/>
        <v>0.10303687635574839</v>
      </c>
      <c r="X85" s="152">
        <f t="shared" si="194"/>
        <v>0.1030368763557484</v>
      </c>
      <c r="Y85" s="152">
        <f t="shared" si="194"/>
        <v>0.1030368763557484</v>
      </c>
      <c r="Z85" s="152">
        <f t="shared" si="194"/>
        <v>0.10303687635574842</v>
      </c>
      <c r="AA85" s="152">
        <f t="shared" si="194"/>
        <v>0.1030368763557484</v>
      </c>
      <c r="AB85" s="152">
        <f t="shared" si="194"/>
        <v>0.10303687635574842</v>
      </c>
      <c r="AC85" s="138">
        <f t="shared" ref="AC85:AC122" si="195">((AB85/G85)^(1/($AB$3-$H$1) ))-1</f>
        <v>-2.5445377834204863E-2</v>
      </c>
      <c r="AD85" s="146"/>
      <c r="AE85" s="146"/>
    </row>
    <row r="86" spans="2:31" x14ac:dyDescent="0.2">
      <c r="B86" s="20" t="s">
        <v>266</v>
      </c>
      <c r="C86" s="152"/>
      <c r="D86" s="152"/>
      <c r="E86" s="152" t="e">
        <f t="shared" ref="E86:P86" si="196">E40/E25</f>
        <v>#DIV/0!</v>
      </c>
      <c r="F86" s="152" t="e">
        <f t="shared" si="196"/>
        <v>#DIV/0!</v>
      </c>
      <c r="G86" s="152">
        <f t="shared" si="196"/>
        <v>6.1946902654867256E-2</v>
      </c>
      <c r="H86" s="152">
        <f t="shared" si="196"/>
        <v>8.4337349397590355E-2</v>
      </c>
      <c r="I86" s="152">
        <f t="shared" si="196"/>
        <v>8.6792452830188674E-2</v>
      </c>
      <c r="J86" s="152">
        <f t="shared" si="196"/>
        <v>0.13230769230769232</v>
      </c>
      <c r="K86" s="152">
        <f t="shared" si="196"/>
        <v>0.1986842105263158</v>
      </c>
      <c r="L86" s="152">
        <f t="shared" si="196"/>
        <v>0.1239406779661017</v>
      </c>
      <c r="M86" s="152">
        <f t="shared" si="196"/>
        <v>0.15596330275229359</v>
      </c>
      <c r="N86" s="152">
        <f t="shared" si="196"/>
        <v>8.2369942196531792E-2</v>
      </c>
      <c r="O86" s="152">
        <f t="shared" si="196"/>
        <v>6.6666666666666666E-2</v>
      </c>
      <c r="P86" s="152">
        <f t="shared" si="196"/>
        <v>7.7006507592190895E-2</v>
      </c>
      <c r="Q86" s="118">
        <f t="shared" si="193"/>
        <v>2.447383288192384E-2</v>
      </c>
      <c r="R86" s="152"/>
      <c r="S86" s="152">
        <f t="shared" ref="S86:AB86" si="197">S40/S25</f>
        <v>7.7006507592190881E-2</v>
      </c>
      <c r="T86" s="152">
        <f t="shared" si="197"/>
        <v>7.7006507592190881E-2</v>
      </c>
      <c r="U86" s="152">
        <f t="shared" si="197"/>
        <v>7.7006507592190895E-2</v>
      </c>
      <c r="V86" s="152">
        <f t="shared" si="197"/>
        <v>7.7006507592190881E-2</v>
      </c>
      <c r="W86" s="152">
        <f t="shared" si="197"/>
        <v>7.7006507592190881E-2</v>
      </c>
      <c r="X86" s="152">
        <f t="shared" si="197"/>
        <v>7.7006507592190881E-2</v>
      </c>
      <c r="Y86" s="152">
        <f t="shared" si="197"/>
        <v>7.7006507592190895E-2</v>
      </c>
      <c r="Z86" s="152">
        <f t="shared" si="197"/>
        <v>7.7006507592190895E-2</v>
      </c>
      <c r="AA86" s="152">
        <f t="shared" si="197"/>
        <v>7.7006507592190895E-2</v>
      </c>
      <c r="AB86" s="152">
        <f t="shared" si="197"/>
        <v>7.7006507592190895E-2</v>
      </c>
      <c r="AC86" s="138">
        <f t="shared" si="195"/>
        <v>1.1519120099607205E-2</v>
      </c>
      <c r="AD86" s="146"/>
      <c r="AE86" s="146"/>
    </row>
    <row r="87" spans="2:31" x14ac:dyDescent="0.2">
      <c r="B87" s="20" t="s">
        <v>359</v>
      </c>
      <c r="C87" s="152"/>
      <c r="D87" s="152"/>
      <c r="E87" s="152" t="e">
        <f t="shared" ref="E87:O87" si="198">E40/E7</f>
        <v>#DIV/0!</v>
      </c>
      <c r="F87" s="152" t="e">
        <f t="shared" si="198"/>
        <v>#DIV/0!</v>
      </c>
      <c r="G87" s="152">
        <f>G40/G7</f>
        <v>0.22580645161290322</v>
      </c>
      <c r="H87" s="152">
        <f t="shared" si="198"/>
        <v>0.5</v>
      </c>
      <c r="I87" s="152">
        <f t="shared" si="198"/>
        <v>0.42592592592592593</v>
      </c>
      <c r="J87" s="152">
        <f t="shared" si="198"/>
        <v>0.55128205128205132</v>
      </c>
      <c r="K87" s="152">
        <f t="shared" si="198"/>
        <v>0.43266475644699143</v>
      </c>
      <c r="L87" s="152">
        <f t="shared" si="198"/>
        <v>0.2695852534562212</v>
      </c>
      <c r="M87" s="152">
        <f t="shared" si="198"/>
        <v>0.22580645161290322</v>
      </c>
      <c r="N87" s="152">
        <f t="shared" si="198"/>
        <v>0.10196779964221825</v>
      </c>
      <c r="O87" s="152">
        <f t="shared" si="198"/>
        <v>0.12658227848101267</v>
      </c>
      <c r="P87" s="152">
        <f t="shared" ref="P87" si="199">P40/P7</f>
        <v>0.12456140350877193</v>
      </c>
      <c r="Q87" s="118">
        <f t="shared" si="193"/>
        <v>-6.396060457588415E-2</v>
      </c>
      <c r="R87" s="20"/>
      <c r="S87" s="152">
        <f t="shared" ref="S87" si="200">S40/S7</f>
        <v>0.12456140350877191</v>
      </c>
      <c r="T87" s="152">
        <f t="shared" ref="T87:AB87" si="201">T40/T7</f>
        <v>0.12456140350877191</v>
      </c>
      <c r="U87" s="152">
        <f t="shared" si="201"/>
        <v>0.12456140350877191</v>
      </c>
      <c r="V87" s="152">
        <f t="shared" si="201"/>
        <v>0.1245614035087719</v>
      </c>
      <c r="W87" s="152">
        <f t="shared" si="201"/>
        <v>0.1245614035087719</v>
      </c>
      <c r="X87" s="152">
        <f t="shared" si="201"/>
        <v>0.12456140350877191</v>
      </c>
      <c r="Y87" s="152">
        <f t="shared" si="201"/>
        <v>0.1245614035087719</v>
      </c>
      <c r="Z87" s="152">
        <f t="shared" si="201"/>
        <v>0.1245614035087719</v>
      </c>
      <c r="AA87" s="152">
        <f t="shared" si="201"/>
        <v>0.12456140350877191</v>
      </c>
      <c r="AB87" s="152">
        <f t="shared" si="201"/>
        <v>0.12456140350877193</v>
      </c>
      <c r="AC87" s="138">
        <f t="shared" si="195"/>
        <v>-3.0824378521803197E-2</v>
      </c>
      <c r="AD87" s="146"/>
      <c r="AE87" s="146"/>
    </row>
    <row r="88" spans="2:31" x14ac:dyDescent="0.2">
      <c r="B88" s="20" t="s">
        <v>360</v>
      </c>
      <c r="C88" s="152"/>
      <c r="D88" s="152"/>
      <c r="E88" s="152" t="e">
        <f t="shared" ref="E88:F88" si="202">(E40)/(E7+E10)</f>
        <v>#DIV/0!</v>
      </c>
      <c r="F88" s="152" t="e">
        <f t="shared" si="202"/>
        <v>#DIV/0!</v>
      </c>
      <c r="G88" s="152">
        <f>(G40)/(G7+G10)</f>
        <v>0.19553072625698326</v>
      </c>
      <c r="H88" s="152">
        <f t="shared" ref="H88:O88" si="203">(H40)/(H7+H10)</f>
        <v>0.5</v>
      </c>
      <c r="I88" s="152">
        <f t="shared" si="203"/>
        <v>0.42178617274894553</v>
      </c>
      <c r="J88" s="152">
        <f t="shared" si="203"/>
        <v>0.55107010124311162</v>
      </c>
      <c r="K88" s="152">
        <f t="shared" si="203"/>
        <v>0.43065339531700081</v>
      </c>
      <c r="L88" s="152">
        <f t="shared" si="203"/>
        <v>0.25875796178343946</v>
      </c>
      <c r="M88" s="152">
        <f t="shared" si="203"/>
        <v>0.22580645161290322</v>
      </c>
      <c r="N88" s="152">
        <f t="shared" si="203"/>
        <v>0.10196779964221825</v>
      </c>
      <c r="O88" s="152">
        <f t="shared" si="203"/>
        <v>0.12187690432663009</v>
      </c>
      <c r="P88" s="152">
        <f t="shared" ref="P88" si="204">(P40)/(P7+P10)</f>
        <v>0.12159824624501191</v>
      </c>
      <c r="Q88" s="118">
        <f t="shared" si="193"/>
        <v>-5.1408684675931071E-2</v>
      </c>
      <c r="R88" s="20"/>
      <c r="S88" s="152">
        <f t="shared" ref="S88:AB88" si="205">(S40)/(S7+S10)</f>
        <v>0.12159824624501191</v>
      </c>
      <c r="T88" s="152">
        <f t="shared" si="205"/>
        <v>0.12159824624501189</v>
      </c>
      <c r="U88" s="152">
        <f t="shared" si="205"/>
        <v>0.12159824624501188</v>
      </c>
      <c r="V88" s="152">
        <f t="shared" si="205"/>
        <v>0.12159824624501188</v>
      </c>
      <c r="W88" s="152">
        <f t="shared" si="205"/>
        <v>0.12159824624501187</v>
      </c>
      <c r="X88" s="152">
        <f t="shared" si="205"/>
        <v>0.12159824624501188</v>
      </c>
      <c r="Y88" s="152">
        <f t="shared" si="205"/>
        <v>0.12159824624501188</v>
      </c>
      <c r="Z88" s="152">
        <f t="shared" si="205"/>
        <v>0.12159824624501188</v>
      </c>
      <c r="AA88" s="152">
        <f t="shared" si="205"/>
        <v>0.12159824624501189</v>
      </c>
      <c r="AB88" s="152">
        <f t="shared" si="205"/>
        <v>0.12159824624501189</v>
      </c>
      <c r="AC88" s="138">
        <f t="shared" si="195"/>
        <v>-2.4689830671015711E-2</v>
      </c>
      <c r="AD88" s="146"/>
      <c r="AE88" s="146"/>
    </row>
    <row r="89" spans="2:31" x14ac:dyDescent="0.2">
      <c r="B89" s="20" t="s">
        <v>376</v>
      </c>
      <c r="C89" s="152"/>
      <c r="D89" s="152"/>
      <c r="E89" s="152"/>
      <c r="F89" s="152"/>
      <c r="G89" s="152">
        <f>G20/G25</f>
        <v>9.9734513274336273E-2</v>
      </c>
      <c r="H89" s="152">
        <f t="shared" ref="H89:P89" si="206">H20/H25</f>
        <v>0.11887550200803214</v>
      </c>
      <c r="I89" s="152">
        <f t="shared" si="206"/>
        <v>0.19747169811320753</v>
      </c>
      <c r="J89" s="152">
        <f t="shared" si="206"/>
        <v>0.25523076923076926</v>
      </c>
      <c r="K89" s="152">
        <f t="shared" si="206"/>
        <v>0.12555263157894736</v>
      </c>
      <c r="L89" s="152">
        <f t="shared" si="206"/>
        <v>0.10744703389830509</v>
      </c>
      <c r="M89" s="152">
        <f t="shared" si="206"/>
        <v>0.14343381389252949</v>
      </c>
      <c r="N89" s="152">
        <f t="shared" si="206"/>
        <v>1.7225433526011559E-2</v>
      </c>
      <c r="O89" s="152">
        <f t="shared" si="206"/>
        <v>1.7542857142857145E-2</v>
      </c>
      <c r="P89" s="152">
        <f t="shared" si="206"/>
        <v>2.1984815618221257E-2</v>
      </c>
      <c r="Q89" s="118">
        <f t="shared" si="193"/>
        <v>-0.15466117231970089</v>
      </c>
      <c r="R89" s="20"/>
      <c r="S89" s="152">
        <f t="shared" ref="S89:AB89" si="207">S20/S25</f>
        <v>2.1984815618221257E-2</v>
      </c>
      <c r="T89" s="152">
        <f t="shared" si="207"/>
        <v>2.1984815618221257E-2</v>
      </c>
      <c r="U89" s="152">
        <f t="shared" si="207"/>
        <v>2.1984815618221257E-2</v>
      </c>
      <c r="V89" s="152">
        <f t="shared" si="207"/>
        <v>2.1984815618221257E-2</v>
      </c>
      <c r="W89" s="152">
        <f t="shared" si="207"/>
        <v>2.1984815618221257E-2</v>
      </c>
      <c r="X89" s="152">
        <f t="shared" si="207"/>
        <v>2.1984815618221257E-2</v>
      </c>
      <c r="Y89" s="152">
        <f t="shared" si="207"/>
        <v>2.198481561822126E-2</v>
      </c>
      <c r="Z89" s="152">
        <f t="shared" si="207"/>
        <v>2.198481561822126E-2</v>
      </c>
      <c r="AA89" s="152">
        <f t="shared" si="207"/>
        <v>2.198481561822126E-2</v>
      </c>
      <c r="AB89" s="152">
        <f t="shared" si="207"/>
        <v>2.1984815618221257E-2</v>
      </c>
      <c r="AC89" s="138">
        <f t="shared" si="195"/>
        <v>-7.6502656998903795E-2</v>
      </c>
      <c r="AD89" s="146"/>
      <c r="AE89" s="146"/>
    </row>
    <row r="90" spans="2:31" x14ac:dyDescent="0.2">
      <c r="B90" s="20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3"/>
      <c r="AD90" s="146"/>
      <c r="AE90" s="146"/>
    </row>
    <row r="91" spans="2:31" x14ac:dyDescent="0.2">
      <c r="B91" s="20" t="s">
        <v>323</v>
      </c>
      <c r="C91" s="152"/>
      <c r="D91" s="152"/>
      <c r="E91" s="152"/>
      <c r="F91" s="152"/>
      <c r="G91" s="152">
        <f>G29/G25</f>
        <v>5.2212389380530974E-3</v>
      </c>
      <c r="H91" s="152">
        <f t="shared" ref="H91:P91" si="208">H29/H25</f>
        <v>9.9598393574297193E-3</v>
      </c>
      <c r="I91" s="152">
        <f t="shared" si="208"/>
        <v>1.1358490566037735E-2</v>
      </c>
      <c r="J91" s="152">
        <f t="shared" si="208"/>
        <v>5.0769230769230774E-4</v>
      </c>
      <c r="K91" s="152">
        <f t="shared" si="208"/>
        <v>1.0526315789473685E-4</v>
      </c>
      <c r="L91" s="152">
        <f t="shared" si="208"/>
        <v>5.9322033898305093E-4</v>
      </c>
      <c r="M91" s="152">
        <f t="shared" si="208"/>
        <v>4.7182175622542596E-4</v>
      </c>
      <c r="N91" s="152">
        <f t="shared" si="208"/>
        <v>1.4450867052023121E-5</v>
      </c>
      <c r="O91" s="152">
        <f t="shared" si="208"/>
        <v>1.0952380952380951E-3</v>
      </c>
      <c r="P91" s="152">
        <f t="shared" si="208"/>
        <v>2.5054229934924079E-3</v>
      </c>
      <c r="Q91" s="118">
        <f t="shared" si="193"/>
        <v>-7.8346877123835479E-2</v>
      </c>
      <c r="R91" s="20"/>
      <c r="S91" s="152">
        <f t="shared" ref="S91:AB91" si="209">S29/S25</f>
        <v>2.5054229934924079E-3</v>
      </c>
      <c r="T91" s="152">
        <f t="shared" si="209"/>
        <v>2.5054229934924079E-3</v>
      </c>
      <c r="U91" s="152">
        <f t="shared" si="209"/>
        <v>2.5054229934924083E-3</v>
      </c>
      <c r="V91" s="152">
        <f t="shared" si="209"/>
        <v>2.5054229934924079E-3</v>
      </c>
      <c r="W91" s="152">
        <f t="shared" si="209"/>
        <v>2.5054229934924079E-3</v>
      </c>
      <c r="X91" s="152">
        <f t="shared" si="209"/>
        <v>2.5054229934924079E-3</v>
      </c>
      <c r="Y91" s="152">
        <f t="shared" si="209"/>
        <v>2.5054229934924083E-3</v>
      </c>
      <c r="Z91" s="152">
        <f t="shared" si="209"/>
        <v>2.5054229934924083E-3</v>
      </c>
      <c r="AA91" s="152">
        <f t="shared" si="209"/>
        <v>2.5054229934924079E-3</v>
      </c>
      <c r="AB91" s="152">
        <f t="shared" si="209"/>
        <v>2.5054229934924079E-3</v>
      </c>
      <c r="AC91" s="138">
        <f t="shared" si="195"/>
        <v>-3.7908929742611064E-2</v>
      </c>
      <c r="AD91" s="146"/>
      <c r="AE91" s="146"/>
    </row>
    <row r="92" spans="2:31" x14ac:dyDescent="0.2">
      <c r="B92" s="20" t="s">
        <v>369</v>
      </c>
      <c r="C92" s="152"/>
      <c r="D92" s="152"/>
      <c r="E92" s="152"/>
      <c r="F92" s="152"/>
      <c r="G92" s="152">
        <f>G29/G36</f>
        <v>3.1052631578947366E-2</v>
      </c>
      <c r="H92" s="152">
        <f t="shared" ref="H92:P92" si="210">H29/H36</f>
        <v>8.5517241379310341E-2</v>
      </c>
      <c r="I92" s="152">
        <f t="shared" si="210"/>
        <v>8.5999999999999993E-2</v>
      </c>
      <c r="J92" s="152">
        <f t="shared" si="210"/>
        <v>3.1132075471698114E-3</v>
      </c>
      <c r="K92" s="152">
        <f t="shared" si="210"/>
        <v>5.5944055944055944E-4</v>
      </c>
      <c r="L92" s="152">
        <f t="shared" si="210"/>
        <v>3.4146341463414638E-3</v>
      </c>
      <c r="M92" s="152">
        <f t="shared" si="210"/>
        <v>3.2727272727272726E-3</v>
      </c>
      <c r="N92" s="152">
        <f t="shared" si="210"/>
        <v>2.0833333333333335E-4</v>
      </c>
      <c r="O92" s="152">
        <f t="shared" si="210"/>
        <v>1.2499999999999999E-2</v>
      </c>
      <c r="P92" s="152">
        <f t="shared" si="210"/>
        <v>2.4315789473684211E-2</v>
      </c>
      <c r="Q92" s="118">
        <f t="shared" ref="Q92" si="211">((P92/G92)^(1/($H$2-$H$1) ))-1</f>
        <v>-2.6807205239363974E-2</v>
      </c>
      <c r="R92" s="20"/>
      <c r="S92" s="152">
        <f t="shared" ref="S92:AB92" si="212">S29/S36</f>
        <v>2.4315789473684211E-2</v>
      </c>
      <c r="T92" s="152">
        <f t="shared" si="212"/>
        <v>2.4315789473684214E-2</v>
      </c>
      <c r="U92" s="152">
        <f t="shared" si="212"/>
        <v>2.4315789473684211E-2</v>
      </c>
      <c r="V92" s="152">
        <f t="shared" si="212"/>
        <v>2.4315789473684211E-2</v>
      </c>
      <c r="W92" s="152">
        <f t="shared" si="212"/>
        <v>2.4315789473684207E-2</v>
      </c>
      <c r="X92" s="152">
        <f t="shared" si="212"/>
        <v>2.4315789473684207E-2</v>
      </c>
      <c r="Y92" s="152">
        <f t="shared" si="212"/>
        <v>2.4315789473684207E-2</v>
      </c>
      <c r="Z92" s="152">
        <f t="shared" si="212"/>
        <v>2.4315789473684204E-2</v>
      </c>
      <c r="AA92" s="152">
        <f t="shared" si="212"/>
        <v>2.4315789473684204E-2</v>
      </c>
      <c r="AB92" s="152">
        <f t="shared" si="212"/>
        <v>2.43157894736842E-2</v>
      </c>
      <c r="AC92" s="138">
        <f t="shared" ref="AC92" si="213">((AB92/G92)^(1/($AB$3-$H$1) ))-1</f>
        <v>-1.2788972136531407E-2</v>
      </c>
      <c r="AD92" s="146"/>
      <c r="AE92" s="146"/>
    </row>
    <row r="93" spans="2:31" ht="12" customHeight="1" x14ac:dyDescent="0.2">
      <c r="B93" s="20" t="s">
        <v>368</v>
      </c>
      <c r="C93" s="152"/>
      <c r="D93" s="152"/>
      <c r="E93" s="152"/>
      <c r="F93" s="152"/>
      <c r="G93" s="171">
        <f t="shared" ref="G93:P93" si="214">G29/G40</f>
        <v>8.4285714285714283E-2</v>
      </c>
      <c r="H93" s="171">
        <f t="shared" si="214"/>
        <v>0.1180952380952381</v>
      </c>
      <c r="I93" s="171">
        <f t="shared" si="214"/>
        <v>0.13086956521739129</v>
      </c>
      <c r="J93" s="171">
        <f t="shared" si="214"/>
        <v>3.8372093023255815E-3</v>
      </c>
      <c r="K93" s="171">
        <f t="shared" si="214"/>
        <v>5.2980132450331126E-4</v>
      </c>
      <c r="L93" s="171">
        <f t="shared" si="214"/>
        <v>4.7863247863247872E-3</v>
      </c>
      <c r="M93" s="171">
        <f t="shared" si="214"/>
        <v>3.0252100840336134E-3</v>
      </c>
      <c r="N93" s="171">
        <f t="shared" si="214"/>
        <v>1.7543859649122808E-4</v>
      </c>
      <c r="O93" s="171">
        <f t="shared" si="214"/>
        <v>1.6428571428571428E-2</v>
      </c>
      <c r="P93" s="171">
        <f t="shared" si="214"/>
        <v>3.2535211267605633E-2</v>
      </c>
      <c r="Q93" s="118">
        <f t="shared" ref="Q93" si="215">((P93/G93)^(1/($H$2-$H$1) ))-1</f>
        <v>-0.10036440825093274</v>
      </c>
      <c r="R93" s="20"/>
      <c r="S93" s="171">
        <f t="shared" ref="S93:AB93" si="216">S29/S40</f>
        <v>3.2535211267605633E-2</v>
      </c>
      <c r="T93" s="171">
        <f t="shared" si="216"/>
        <v>3.253521126760564E-2</v>
      </c>
      <c r="U93" s="171">
        <f t="shared" si="216"/>
        <v>3.253521126760564E-2</v>
      </c>
      <c r="V93" s="171">
        <f t="shared" si="216"/>
        <v>3.253521126760564E-2</v>
      </c>
      <c r="W93" s="171">
        <f t="shared" si="216"/>
        <v>3.253521126760564E-2</v>
      </c>
      <c r="X93" s="171">
        <f t="shared" si="216"/>
        <v>3.2535211267605633E-2</v>
      </c>
      <c r="Y93" s="171">
        <f t="shared" si="216"/>
        <v>3.2535211267605633E-2</v>
      </c>
      <c r="Z93" s="171">
        <f t="shared" si="216"/>
        <v>3.2535211267605633E-2</v>
      </c>
      <c r="AA93" s="171">
        <f t="shared" si="216"/>
        <v>3.2535211267605633E-2</v>
      </c>
      <c r="AB93" s="171">
        <f t="shared" si="216"/>
        <v>3.2535211267605633E-2</v>
      </c>
      <c r="AC93" s="138">
        <f t="shared" ref="AC93" si="217">((AB93/G93)^(1/($AB$3-$H$1) ))-1</f>
        <v>-4.8865166124937853E-2</v>
      </c>
      <c r="AD93" s="146"/>
      <c r="AE93" s="146"/>
    </row>
    <row r="94" spans="2:31" ht="12" customHeight="1" x14ac:dyDescent="0.2">
      <c r="B94" s="20" t="s">
        <v>325</v>
      </c>
      <c r="C94" s="152"/>
      <c r="D94" s="152"/>
      <c r="E94" s="152"/>
      <c r="F94" s="152"/>
      <c r="G94" s="171">
        <f t="shared" ref="G94:P94" si="218">G29/G12</f>
        <v>3.4705882352941177E-2</v>
      </c>
      <c r="H94" s="171">
        <f t="shared" si="218"/>
        <v>0.20666666666666667</v>
      </c>
      <c r="I94" s="171">
        <f t="shared" si="218"/>
        <v>0.18812499999999999</v>
      </c>
      <c r="J94" s="171">
        <f t="shared" si="218"/>
        <v>1.1000000000000001E-2</v>
      </c>
      <c r="K94" s="171">
        <f t="shared" si="218"/>
        <v>2.8571428571428571E-3</v>
      </c>
      <c r="L94" s="171">
        <f t="shared" si="218"/>
        <v>1.4000000000000002E-2</v>
      </c>
      <c r="M94" s="171">
        <f t="shared" si="218"/>
        <v>8.9999999999999993E-3</v>
      </c>
      <c r="N94" s="171">
        <f t="shared" si="218"/>
        <v>1.2820512820512821E-4</v>
      </c>
      <c r="O94" s="171">
        <f t="shared" si="218"/>
        <v>7.0987654320987647E-3</v>
      </c>
      <c r="P94" s="171">
        <f t="shared" si="218"/>
        <v>3.0800000000000001E-2</v>
      </c>
      <c r="Q94" s="118">
        <f t="shared" si="193"/>
        <v>-1.3178449579113183E-2</v>
      </c>
      <c r="R94" s="20"/>
      <c r="S94" s="152">
        <f t="shared" ref="S94:AB94" si="219">S29/S12</f>
        <v>3.0799999999999998E-2</v>
      </c>
      <c r="T94" s="152">
        <f t="shared" si="219"/>
        <v>3.0800000000000001E-2</v>
      </c>
      <c r="U94" s="152">
        <f t="shared" si="219"/>
        <v>3.0800000000000004E-2</v>
      </c>
      <c r="V94" s="152">
        <f t="shared" si="219"/>
        <v>3.0800000000000001E-2</v>
      </c>
      <c r="W94" s="152">
        <f t="shared" si="219"/>
        <v>3.0799999999999998E-2</v>
      </c>
      <c r="X94" s="152">
        <f t="shared" si="219"/>
        <v>3.0799999999999994E-2</v>
      </c>
      <c r="Y94" s="152">
        <f t="shared" si="219"/>
        <v>3.0799999999999998E-2</v>
      </c>
      <c r="Z94" s="152">
        <f t="shared" si="219"/>
        <v>3.0799999999999994E-2</v>
      </c>
      <c r="AA94" s="152">
        <f t="shared" si="219"/>
        <v>3.0799999999999994E-2</v>
      </c>
      <c r="AB94" s="152">
        <f t="shared" si="219"/>
        <v>3.0799999999999994E-2</v>
      </c>
      <c r="AC94" s="138">
        <f t="shared" si="195"/>
        <v>-6.2642186618661055E-3</v>
      </c>
      <c r="AD94" s="146"/>
      <c r="AE94" s="146"/>
    </row>
    <row r="95" spans="2:31" ht="12" customHeight="1" x14ac:dyDescent="0.2">
      <c r="B95" s="20" t="s">
        <v>370</v>
      </c>
      <c r="C95" s="152"/>
      <c r="D95" s="152"/>
      <c r="E95" s="152"/>
      <c r="F95" s="152"/>
      <c r="G95" s="171">
        <f>G29/G23</f>
        <v>3.664596273291925E-2</v>
      </c>
      <c r="H95" s="171">
        <f t="shared" ref="H95:P95" si="220">H29/H23</f>
        <v>0.12338308457711442</v>
      </c>
      <c r="I95" s="171">
        <f t="shared" si="220"/>
        <v>0.10210312075983717</v>
      </c>
      <c r="J95" s="171">
        <f t="shared" si="220"/>
        <v>1.1583011583011584E-2</v>
      </c>
      <c r="K95" s="171">
        <f t="shared" si="220"/>
        <v>3.3333333333333335E-3</v>
      </c>
      <c r="L95" s="171">
        <f t="shared" si="220"/>
        <v>1.9950124688279305E-2</v>
      </c>
      <c r="M95" s="171">
        <f t="shared" si="220"/>
        <v>2.1556886227544911E-2</v>
      </c>
      <c r="N95" s="171">
        <f t="shared" si="220"/>
        <v>1.9569471624266145E-4</v>
      </c>
      <c r="O95" s="171">
        <f t="shared" si="220"/>
        <v>2.7315914489311161E-2</v>
      </c>
      <c r="P95" s="171">
        <f t="shared" si="220"/>
        <v>8.4864070536370323E-2</v>
      </c>
      <c r="Q95" s="118">
        <f t="shared" ref="Q95" si="221">((P95/G95)^(1/($H$2-$H$1) ))-1</f>
        <v>9.7796822139548434E-2</v>
      </c>
      <c r="R95" s="20"/>
      <c r="S95" s="171">
        <f t="shared" ref="S95:AB95" si="222">S29/S23</f>
        <v>8.4864070536370323E-2</v>
      </c>
      <c r="T95" s="171">
        <f t="shared" si="222"/>
        <v>8.4864070536370337E-2</v>
      </c>
      <c r="U95" s="171">
        <f t="shared" si="222"/>
        <v>8.4864070536370337E-2</v>
      </c>
      <c r="V95" s="171">
        <f t="shared" si="222"/>
        <v>8.4864070536370323E-2</v>
      </c>
      <c r="W95" s="171">
        <f t="shared" si="222"/>
        <v>8.4864070536370323E-2</v>
      </c>
      <c r="X95" s="171">
        <f t="shared" si="222"/>
        <v>8.4864070536370323E-2</v>
      </c>
      <c r="Y95" s="171">
        <f t="shared" si="222"/>
        <v>8.4864070536370323E-2</v>
      </c>
      <c r="Z95" s="171">
        <f t="shared" si="222"/>
        <v>8.4864070536370309E-2</v>
      </c>
      <c r="AA95" s="171">
        <f t="shared" si="222"/>
        <v>8.4864070536370309E-2</v>
      </c>
      <c r="AB95" s="171">
        <f t="shared" si="222"/>
        <v>8.4864070536370295E-2</v>
      </c>
      <c r="AC95" s="138">
        <f t="shared" ref="AC95" si="223">((AB95/G95)^(1/($AB$3-$H$1) ))-1</f>
        <v>4.5188486512145243E-2</v>
      </c>
      <c r="AD95" s="146"/>
      <c r="AE95" s="146"/>
    </row>
    <row r="96" spans="2:31" ht="12" customHeight="1" x14ac:dyDescent="0.2">
      <c r="B96" s="20"/>
      <c r="C96" s="152"/>
      <c r="D96" s="152"/>
      <c r="E96" s="152"/>
      <c r="F96" s="152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20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46"/>
      <c r="AE96" s="146"/>
    </row>
    <row r="97" spans="2:31" ht="12" customHeight="1" x14ac:dyDescent="0.2">
      <c r="B97" s="20" t="s">
        <v>402</v>
      </c>
      <c r="C97" s="152"/>
      <c r="D97" s="152"/>
      <c r="E97" s="152"/>
      <c r="F97" s="152"/>
      <c r="G97" s="127">
        <f>1/G91</f>
        <v>191.52542372881356</v>
      </c>
      <c r="H97" s="127">
        <f t="shared" ref="H97:P97" si="224">1/H91</f>
        <v>100.4032258064516</v>
      </c>
      <c r="I97" s="127">
        <f t="shared" si="224"/>
        <v>88.039867109634557</v>
      </c>
      <c r="J97" s="127">
        <f t="shared" si="224"/>
        <v>1969.6969696969695</v>
      </c>
      <c r="K97" s="127">
        <f t="shared" si="224"/>
        <v>9500</v>
      </c>
      <c r="L97" s="127">
        <f t="shared" si="224"/>
        <v>1685.7142857142856</v>
      </c>
      <c r="M97" s="127">
        <f t="shared" si="224"/>
        <v>2119.4444444444443</v>
      </c>
      <c r="N97" s="127">
        <f t="shared" si="224"/>
        <v>69200</v>
      </c>
      <c r="O97" s="127">
        <f t="shared" si="224"/>
        <v>913.04347826086973</v>
      </c>
      <c r="P97" s="127">
        <f t="shared" si="224"/>
        <v>399.13419913419909</v>
      </c>
      <c r="Q97" s="118">
        <f t="shared" si="193"/>
        <v>8.5006902466018497E-2</v>
      </c>
      <c r="R97" s="20"/>
      <c r="S97" s="127">
        <f t="shared" ref="S97:AB97" si="225">1/S91</f>
        <v>399.13419913419909</v>
      </c>
      <c r="T97" s="127">
        <f t="shared" si="225"/>
        <v>399.13419913419909</v>
      </c>
      <c r="U97" s="127">
        <f t="shared" si="225"/>
        <v>399.13419913419904</v>
      </c>
      <c r="V97" s="127">
        <f t="shared" si="225"/>
        <v>399.13419913419909</v>
      </c>
      <c r="W97" s="127">
        <f t="shared" si="225"/>
        <v>399.13419913419909</v>
      </c>
      <c r="X97" s="127">
        <f t="shared" si="225"/>
        <v>399.13419913419909</v>
      </c>
      <c r="Y97" s="127">
        <f t="shared" si="225"/>
        <v>399.13419913419904</v>
      </c>
      <c r="Z97" s="127">
        <f t="shared" si="225"/>
        <v>399.13419913419904</v>
      </c>
      <c r="AA97" s="127">
        <f t="shared" si="225"/>
        <v>399.13419913419909</v>
      </c>
      <c r="AB97" s="127">
        <f t="shared" si="225"/>
        <v>399.13419913419909</v>
      </c>
      <c r="AC97" s="138">
        <f t="shared" si="195"/>
        <v>3.9402641719218146E-2</v>
      </c>
      <c r="AD97" s="146"/>
      <c r="AE97" s="146"/>
    </row>
    <row r="98" spans="2:31" ht="12" customHeight="1" x14ac:dyDescent="0.2">
      <c r="B98" s="20" t="s">
        <v>403</v>
      </c>
      <c r="C98" s="152"/>
      <c r="D98" s="152"/>
      <c r="E98" s="152"/>
      <c r="F98" s="152"/>
      <c r="G98" s="127">
        <f t="shared" ref="G98:P101" si="226">1/G92</f>
        <v>32.203389830508478</v>
      </c>
      <c r="H98" s="127">
        <f t="shared" si="226"/>
        <v>11.693548387096774</v>
      </c>
      <c r="I98" s="127">
        <f t="shared" si="226"/>
        <v>11.627906976744187</v>
      </c>
      <c r="J98" s="127">
        <f t="shared" si="226"/>
        <v>321.21212121212119</v>
      </c>
      <c r="K98" s="127">
        <f t="shared" si="226"/>
        <v>1787.5</v>
      </c>
      <c r="L98" s="127">
        <f t="shared" si="226"/>
        <v>292.85714285714283</v>
      </c>
      <c r="M98" s="127">
        <f t="shared" si="226"/>
        <v>305.55555555555554</v>
      </c>
      <c r="N98" s="127">
        <f t="shared" si="226"/>
        <v>4800</v>
      </c>
      <c r="O98" s="127">
        <f t="shared" si="226"/>
        <v>80</v>
      </c>
      <c r="P98" s="127">
        <f t="shared" si="226"/>
        <v>41.125541125541126</v>
      </c>
      <c r="Q98" s="118">
        <f t="shared" si="193"/>
        <v>2.7545626502462284E-2</v>
      </c>
      <c r="R98" s="20"/>
      <c r="S98" s="127">
        <f t="shared" ref="S98:AB98" si="227">1/S92</f>
        <v>41.125541125541126</v>
      </c>
      <c r="T98" s="127">
        <f t="shared" si="227"/>
        <v>41.125541125541119</v>
      </c>
      <c r="U98" s="127">
        <f t="shared" si="227"/>
        <v>41.125541125541126</v>
      </c>
      <c r="V98" s="127">
        <f t="shared" si="227"/>
        <v>41.125541125541126</v>
      </c>
      <c r="W98" s="127">
        <f t="shared" si="227"/>
        <v>41.125541125541133</v>
      </c>
      <c r="X98" s="127">
        <f t="shared" si="227"/>
        <v>41.125541125541133</v>
      </c>
      <c r="Y98" s="127">
        <f t="shared" si="227"/>
        <v>41.125541125541133</v>
      </c>
      <c r="Z98" s="127">
        <f t="shared" si="227"/>
        <v>41.12554112554114</v>
      </c>
      <c r="AA98" s="127">
        <f t="shared" si="227"/>
        <v>41.12554112554114</v>
      </c>
      <c r="AB98" s="127">
        <f t="shared" si="227"/>
        <v>41.12554112554114</v>
      </c>
      <c r="AC98" s="138">
        <f t="shared" si="195"/>
        <v>1.2954648778801925E-2</v>
      </c>
      <c r="AD98" s="146"/>
      <c r="AE98" s="146"/>
    </row>
    <row r="99" spans="2:31" ht="12" customHeight="1" x14ac:dyDescent="0.2">
      <c r="B99" s="20" t="s">
        <v>404</v>
      </c>
      <c r="C99" s="152"/>
      <c r="D99" s="152"/>
      <c r="E99" s="152"/>
      <c r="F99" s="152"/>
      <c r="G99" s="127">
        <f t="shared" si="226"/>
        <v>11.864406779661017</v>
      </c>
      <c r="H99" s="127">
        <f t="shared" si="226"/>
        <v>8.4677419354838701</v>
      </c>
      <c r="I99" s="127">
        <f t="shared" si="226"/>
        <v>7.6411960132890373</v>
      </c>
      <c r="J99" s="127">
        <f t="shared" si="226"/>
        <v>260.60606060606062</v>
      </c>
      <c r="K99" s="127">
        <f t="shared" si="226"/>
        <v>1887.5</v>
      </c>
      <c r="L99" s="127">
        <f t="shared" si="226"/>
        <v>208.92857142857139</v>
      </c>
      <c r="M99" s="127">
        <f t="shared" si="226"/>
        <v>330.55555555555554</v>
      </c>
      <c r="N99" s="127">
        <f t="shared" si="226"/>
        <v>5699.9999999999991</v>
      </c>
      <c r="O99" s="127">
        <f t="shared" si="226"/>
        <v>60.869565217391305</v>
      </c>
      <c r="P99" s="127">
        <f t="shared" si="226"/>
        <v>30.735930735930737</v>
      </c>
      <c r="Q99" s="118">
        <f t="shared" si="193"/>
        <v>0.11156118007270566</v>
      </c>
      <c r="R99" s="20"/>
      <c r="S99" s="127">
        <f t="shared" ref="S99:AB99" si="228">1/S93</f>
        <v>30.735930735930737</v>
      </c>
      <c r="T99" s="127">
        <f t="shared" si="228"/>
        <v>30.735930735930729</v>
      </c>
      <c r="U99" s="127">
        <f t="shared" si="228"/>
        <v>30.735930735930729</v>
      </c>
      <c r="V99" s="127">
        <f t="shared" si="228"/>
        <v>30.735930735930729</v>
      </c>
      <c r="W99" s="127">
        <f t="shared" si="228"/>
        <v>30.735930735930729</v>
      </c>
      <c r="X99" s="127">
        <f t="shared" si="228"/>
        <v>30.735930735930737</v>
      </c>
      <c r="Y99" s="127">
        <f t="shared" si="228"/>
        <v>30.735930735930737</v>
      </c>
      <c r="Z99" s="127">
        <f t="shared" si="228"/>
        <v>30.735930735930737</v>
      </c>
      <c r="AA99" s="127">
        <f t="shared" si="228"/>
        <v>30.735930735930737</v>
      </c>
      <c r="AB99" s="127">
        <f t="shared" si="228"/>
        <v>30.735930735930737</v>
      </c>
      <c r="AC99" s="138">
        <f t="shared" si="195"/>
        <v>5.1375645581030804E-2</v>
      </c>
      <c r="AD99" s="146"/>
      <c r="AE99" s="146"/>
    </row>
    <row r="100" spans="2:31" ht="12" customHeight="1" x14ac:dyDescent="0.2">
      <c r="B100" s="20" t="s">
        <v>405</v>
      </c>
      <c r="C100" s="152"/>
      <c r="D100" s="152"/>
      <c r="E100" s="152"/>
      <c r="F100" s="152"/>
      <c r="G100" s="127">
        <f t="shared" si="226"/>
        <v>28.8135593220339</v>
      </c>
      <c r="H100" s="127">
        <f t="shared" si="226"/>
        <v>4.838709677419355</v>
      </c>
      <c r="I100" s="127">
        <f t="shared" si="226"/>
        <v>5.3156146179401995</v>
      </c>
      <c r="J100" s="127">
        <f t="shared" si="226"/>
        <v>90.909090909090907</v>
      </c>
      <c r="K100" s="127">
        <f t="shared" si="226"/>
        <v>350</v>
      </c>
      <c r="L100" s="127">
        <f t="shared" si="226"/>
        <v>71.428571428571416</v>
      </c>
      <c r="M100" s="127">
        <f t="shared" si="226"/>
        <v>111.11111111111111</v>
      </c>
      <c r="N100" s="127">
        <f t="shared" si="226"/>
        <v>7800</v>
      </c>
      <c r="O100" s="127">
        <f t="shared" si="226"/>
        <v>140.86956521739131</v>
      </c>
      <c r="P100" s="127">
        <f t="shared" si="226"/>
        <v>32.467532467532465</v>
      </c>
      <c r="Q100" s="118">
        <f t="shared" si="193"/>
        <v>1.3354440398562817E-2</v>
      </c>
      <c r="R100" s="20"/>
      <c r="S100" s="127">
        <f t="shared" ref="S100:AB100" si="229">1/S94</f>
        <v>32.467532467532472</v>
      </c>
      <c r="T100" s="127">
        <f t="shared" si="229"/>
        <v>32.467532467532465</v>
      </c>
      <c r="U100" s="127">
        <f t="shared" si="229"/>
        <v>32.467532467532465</v>
      </c>
      <c r="V100" s="127">
        <f t="shared" si="229"/>
        <v>32.467532467532465</v>
      </c>
      <c r="W100" s="127">
        <f t="shared" si="229"/>
        <v>32.467532467532472</v>
      </c>
      <c r="X100" s="127">
        <f t="shared" si="229"/>
        <v>32.467532467532472</v>
      </c>
      <c r="Y100" s="127">
        <f t="shared" si="229"/>
        <v>32.467532467532472</v>
      </c>
      <c r="Z100" s="127">
        <f t="shared" si="229"/>
        <v>32.467532467532472</v>
      </c>
      <c r="AA100" s="127">
        <f t="shared" si="229"/>
        <v>32.467532467532472</v>
      </c>
      <c r="AB100" s="127">
        <f t="shared" si="229"/>
        <v>32.467532467532472</v>
      </c>
      <c r="AC100" s="138">
        <f t="shared" si="195"/>
        <v>6.3037064574960056E-3</v>
      </c>
      <c r="AD100" s="146"/>
      <c r="AE100" s="146"/>
    </row>
    <row r="101" spans="2:31" ht="12" customHeight="1" x14ac:dyDescent="0.2">
      <c r="B101" s="20" t="s">
        <v>406</v>
      </c>
      <c r="C101" s="152"/>
      <c r="D101" s="152"/>
      <c r="E101" s="152"/>
      <c r="F101" s="152"/>
      <c r="G101" s="127">
        <f t="shared" si="226"/>
        <v>27.288135593220343</v>
      </c>
      <c r="H101" s="127">
        <f t="shared" si="226"/>
        <v>8.1048387096774199</v>
      </c>
      <c r="I101" s="127">
        <f t="shared" si="226"/>
        <v>9.7940199335548179</v>
      </c>
      <c r="J101" s="127">
        <f t="shared" si="226"/>
        <v>86.333333333333329</v>
      </c>
      <c r="K101" s="127">
        <f t="shared" si="226"/>
        <v>300</v>
      </c>
      <c r="L101" s="127">
        <f t="shared" si="226"/>
        <v>50.124999999999993</v>
      </c>
      <c r="M101" s="127">
        <f t="shared" si="226"/>
        <v>46.388888888888886</v>
      </c>
      <c r="N101" s="127">
        <f t="shared" si="226"/>
        <v>5110</v>
      </c>
      <c r="O101" s="127">
        <f t="shared" si="226"/>
        <v>36.608695652173914</v>
      </c>
      <c r="P101" s="127">
        <f t="shared" si="226"/>
        <v>11.783549783549782</v>
      </c>
      <c r="Q101" s="118">
        <f t="shared" si="193"/>
        <v>-8.9084628564461976E-2</v>
      </c>
      <c r="R101" s="20"/>
      <c r="S101" s="127">
        <f t="shared" ref="S101:AB101" si="230">1/S95</f>
        <v>11.783549783549782</v>
      </c>
      <c r="T101" s="127">
        <f t="shared" si="230"/>
        <v>11.78354978354978</v>
      </c>
      <c r="U101" s="127">
        <f t="shared" si="230"/>
        <v>11.78354978354978</v>
      </c>
      <c r="V101" s="127">
        <f t="shared" si="230"/>
        <v>11.783549783549782</v>
      </c>
      <c r="W101" s="127">
        <f t="shared" si="230"/>
        <v>11.783549783549782</v>
      </c>
      <c r="X101" s="127">
        <f t="shared" si="230"/>
        <v>11.783549783549782</v>
      </c>
      <c r="Y101" s="127">
        <f t="shared" si="230"/>
        <v>11.783549783549782</v>
      </c>
      <c r="Z101" s="127">
        <f t="shared" si="230"/>
        <v>11.783549783549784</v>
      </c>
      <c r="AA101" s="127">
        <f t="shared" si="230"/>
        <v>11.783549783549784</v>
      </c>
      <c r="AB101" s="127">
        <f t="shared" si="230"/>
        <v>11.783549783549786</v>
      </c>
      <c r="AC101" s="138">
        <f t="shared" si="195"/>
        <v>-4.3234772574793467E-2</v>
      </c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ht="12" customHeight="1" x14ac:dyDescent="0.2">
      <c r="B103" s="20"/>
      <c r="C103" s="152"/>
      <c r="D103" s="152"/>
      <c r="E103" s="152"/>
      <c r="F103" s="152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46"/>
      <c r="AE103" s="146"/>
    </row>
    <row r="104" spans="2:31" x14ac:dyDescent="0.2">
      <c r="B104" s="20" t="s">
        <v>326</v>
      </c>
      <c r="C104" s="152"/>
      <c r="D104" s="152"/>
      <c r="E104" s="152"/>
      <c r="F104" s="163">
        <f t="shared" ref="F104:O104" si="231">F10-(F12+F13)</f>
        <v>0</v>
      </c>
      <c r="G104" s="163">
        <f t="shared" si="231"/>
        <v>-12.21</v>
      </c>
      <c r="H104" s="163">
        <f t="shared" si="231"/>
        <v>-22</v>
      </c>
      <c r="I104" s="163">
        <f t="shared" si="231"/>
        <v>-52.47</v>
      </c>
      <c r="J104" s="163">
        <f t="shared" si="231"/>
        <v>-187.94</v>
      </c>
      <c r="K104" s="163">
        <f t="shared" si="231"/>
        <v>-266.37</v>
      </c>
      <c r="L104" s="163">
        <f t="shared" si="231"/>
        <v>-216.84</v>
      </c>
      <c r="M104" s="163">
        <f t="shared" si="231"/>
        <v>-306</v>
      </c>
      <c r="N104" s="163">
        <f t="shared" si="231"/>
        <v>-336</v>
      </c>
      <c r="O104" s="163">
        <f t="shared" si="231"/>
        <v>-295.64999999999998</v>
      </c>
      <c r="P104" s="163">
        <f>P10-(P12+P13)</f>
        <v>-76.11</v>
      </c>
      <c r="Q104" s="118">
        <f t="shared" si="193"/>
        <v>0.22547059628887278</v>
      </c>
      <c r="R104" s="20"/>
      <c r="S104" s="163">
        <f>S10-(S12+S13)</f>
        <v>-87.526499999999999</v>
      </c>
      <c r="T104" s="163">
        <f t="shared" ref="T104:AB104" si="232">T10-(T12+T13)</f>
        <v>-100.65547499999998</v>
      </c>
      <c r="U104" s="163">
        <f t="shared" si="232"/>
        <v>-115.75379624999997</v>
      </c>
      <c r="V104" s="163">
        <f t="shared" si="232"/>
        <v>-133.11686568749997</v>
      </c>
      <c r="W104" s="163">
        <f t="shared" si="232"/>
        <v>-153.08439554062497</v>
      </c>
      <c r="X104" s="163">
        <f t="shared" si="232"/>
        <v>-176.0470548717187</v>
      </c>
      <c r="Y104" s="163">
        <f t="shared" si="232"/>
        <v>-202.45411310247647</v>
      </c>
      <c r="Z104" s="163">
        <f t="shared" si="232"/>
        <v>-232.82223006784795</v>
      </c>
      <c r="AA104" s="163">
        <f t="shared" si="232"/>
        <v>-267.7455645780251</v>
      </c>
      <c r="AB104" s="163">
        <f t="shared" si="232"/>
        <v>-307.90739926472884</v>
      </c>
      <c r="AC104" s="138">
        <f t="shared" si="195"/>
        <v>0.1851516323686424</v>
      </c>
      <c r="AD104" s="146"/>
      <c r="AE104" s="146"/>
    </row>
    <row r="105" spans="2:31" ht="12" customHeight="1" x14ac:dyDescent="0.2">
      <c r="B105" s="20" t="s">
        <v>321</v>
      </c>
      <c r="C105" s="20"/>
      <c r="D105" s="20"/>
      <c r="E105" s="20"/>
      <c r="F105" s="20"/>
      <c r="G105" s="152">
        <f t="shared" ref="G105:P105" si="233">G40/G18</f>
        <v>0.41176470588235292</v>
      </c>
      <c r="H105" s="152">
        <f t="shared" si="233"/>
        <v>1</v>
      </c>
      <c r="I105" s="152">
        <f t="shared" si="233"/>
        <v>0.8214285714285714</v>
      </c>
      <c r="J105" s="152">
        <f t="shared" si="233"/>
        <v>1.5636363636363637</v>
      </c>
      <c r="K105" s="152">
        <f t="shared" si="233"/>
        <v>1.4519230769230769</v>
      </c>
      <c r="L105" s="152">
        <f t="shared" si="233"/>
        <v>0.83571428571428574</v>
      </c>
      <c r="M105" s="152">
        <f t="shared" si="233"/>
        <v>0.8623188405797102</v>
      </c>
      <c r="N105" s="152">
        <f t="shared" si="233"/>
        <v>0.40140845070422537</v>
      </c>
      <c r="O105" s="152">
        <f t="shared" si="233"/>
        <v>0.29166666666666669</v>
      </c>
      <c r="P105" s="152">
        <f t="shared" si="233"/>
        <v>0.24149659863945577</v>
      </c>
      <c r="Q105" s="118">
        <f t="shared" si="193"/>
        <v>-5.7565182968237205E-2</v>
      </c>
      <c r="R105" s="20"/>
      <c r="S105" s="152">
        <f t="shared" ref="S105:AB105" si="234">S40/S18</f>
        <v>0.24149659863945577</v>
      </c>
      <c r="T105" s="152">
        <f t="shared" si="234"/>
        <v>0.24149659863945577</v>
      </c>
      <c r="U105" s="152">
        <f t="shared" si="234"/>
        <v>0.24149659863945577</v>
      </c>
      <c r="V105" s="152">
        <f t="shared" si="234"/>
        <v>0.24149659863945575</v>
      </c>
      <c r="W105" s="152">
        <f t="shared" si="234"/>
        <v>0.24149659863945572</v>
      </c>
      <c r="X105" s="152">
        <f t="shared" si="234"/>
        <v>0.24149659863945572</v>
      </c>
      <c r="Y105" s="152">
        <f t="shared" si="234"/>
        <v>0.24149659863945572</v>
      </c>
      <c r="Z105" s="152">
        <f t="shared" si="234"/>
        <v>0.24149659863945572</v>
      </c>
      <c r="AA105" s="152">
        <f t="shared" si="234"/>
        <v>0.24149659863945572</v>
      </c>
      <c r="AB105" s="152">
        <f t="shared" si="234"/>
        <v>0.24149659863945572</v>
      </c>
      <c r="AC105" s="138">
        <f t="shared" si="195"/>
        <v>-2.7693345972200079E-2</v>
      </c>
      <c r="AD105" s="20"/>
      <c r="AE105" s="20"/>
    </row>
    <row r="106" spans="2:31" x14ac:dyDescent="0.2">
      <c r="B106" s="20" t="s">
        <v>322</v>
      </c>
      <c r="C106" s="20"/>
      <c r="D106" s="20"/>
      <c r="E106" s="20"/>
      <c r="F106" s="20"/>
      <c r="G106" s="152">
        <f t="shared" ref="G106:P106" si="235">G40/G25</f>
        <v>6.1946902654867256E-2</v>
      </c>
      <c r="H106" s="152">
        <f t="shared" si="235"/>
        <v>8.4337349397590355E-2</v>
      </c>
      <c r="I106" s="152">
        <f t="shared" si="235"/>
        <v>8.6792452830188674E-2</v>
      </c>
      <c r="J106" s="152">
        <f t="shared" si="235"/>
        <v>0.13230769230769232</v>
      </c>
      <c r="K106" s="152">
        <f t="shared" si="235"/>
        <v>0.1986842105263158</v>
      </c>
      <c r="L106" s="152">
        <f t="shared" si="235"/>
        <v>0.1239406779661017</v>
      </c>
      <c r="M106" s="152">
        <f t="shared" si="235"/>
        <v>0.15596330275229359</v>
      </c>
      <c r="N106" s="152">
        <f t="shared" si="235"/>
        <v>8.2369942196531792E-2</v>
      </c>
      <c r="O106" s="152">
        <f t="shared" si="235"/>
        <v>6.6666666666666666E-2</v>
      </c>
      <c r="P106" s="152">
        <f t="shared" si="235"/>
        <v>7.7006507592190895E-2</v>
      </c>
      <c r="Q106" s="118">
        <f t="shared" si="193"/>
        <v>2.447383288192384E-2</v>
      </c>
      <c r="R106" s="20"/>
      <c r="S106" s="152">
        <f t="shared" ref="S106:AB106" si="236">S40/S25</f>
        <v>7.7006507592190881E-2</v>
      </c>
      <c r="T106" s="152">
        <f t="shared" si="236"/>
        <v>7.7006507592190881E-2</v>
      </c>
      <c r="U106" s="152">
        <f t="shared" si="236"/>
        <v>7.7006507592190895E-2</v>
      </c>
      <c r="V106" s="152">
        <f t="shared" si="236"/>
        <v>7.7006507592190881E-2</v>
      </c>
      <c r="W106" s="152">
        <f t="shared" si="236"/>
        <v>7.7006507592190881E-2</v>
      </c>
      <c r="X106" s="152">
        <f t="shared" si="236"/>
        <v>7.7006507592190881E-2</v>
      </c>
      <c r="Y106" s="152">
        <f t="shared" si="236"/>
        <v>7.7006507592190895E-2</v>
      </c>
      <c r="Z106" s="152">
        <f t="shared" si="236"/>
        <v>7.7006507592190895E-2</v>
      </c>
      <c r="AA106" s="152">
        <f t="shared" si="236"/>
        <v>7.7006507592190895E-2</v>
      </c>
      <c r="AB106" s="152">
        <f t="shared" si="236"/>
        <v>7.7006507592190895E-2</v>
      </c>
      <c r="AC106" s="138">
        <f t="shared" si="195"/>
        <v>1.1519120099607205E-2</v>
      </c>
      <c r="AD106" s="20"/>
      <c r="AE106" s="20"/>
    </row>
    <row r="107" spans="2:31" x14ac:dyDescent="0.2">
      <c r="B107" s="20" t="s">
        <v>348</v>
      </c>
      <c r="C107" s="20"/>
      <c r="D107" s="20"/>
      <c r="E107" s="152"/>
      <c r="F107" s="152"/>
      <c r="G107" s="152">
        <f t="shared" ref="G107:O107" si="237">G25/G18</f>
        <v>6.6470588235294121</v>
      </c>
      <c r="H107" s="152">
        <f t="shared" si="237"/>
        <v>11.857142857142858</v>
      </c>
      <c r="I107" s="152">
        <f t="shared" si="237"/>
        <v>9.4642857142857135</v>
      </c>
      <c r="J107" s="152">
        <f t="shared" si="237"/>
        <v>11.818181818181818</v>
      </c>
      <c r="K107" s="152">
        <f t="shared" si="237"/>
        <v>7.3076923076923075</v>
      </c>
      <c r="L107" s="152">
        <f t="shared" si="237"/>
        <v>6.7428571428571429</v>
      </c>
      <c r="M107" s="152">
        <f t="shared" si="237"/>
        <v>5.5289855072463769</v>
      </c>
      <c r="N107" s="152">
        <f t="shared" si="237"/>
        <v>4.873239436619718</v>
      </c>
      <c r="O107" s="152">
        <f t="shared" si="237"/>
        <v>4.375</v>
      </c>
      <c r="P107" s="152">
        <f>P25/P18</f>
        <v>3.1360544217687076</v>
      </c>
      <c r="Q107" s="118">
        <f t="shared" si="193"/>
        <v>-8.007917158740796E-2</v>
      </c>
      <c r="R107" s="20"/>
      <c r="S107" s="152">
        <f>S25/S18</f>
        <v>3.1360544217687076</v>
      </c>
      <c r="T107" s="152">
        <f t="shared" ref="T107:AB107" si="238">T25/T18</f>
        <v>3.1360544217687076</v>
      </c>
      <c r="U107" s="152">
        <f t="shared" si="238"/>
        <v>3.1360544217687072</v>
      </c>
      <c r="V107" s="152">
        <f t="shared" si="238"/>
        <v>3.1360544217687072</v>
      </c>
      <c r="W107" s="152">
        <f t="shared" si="238"/>
        <v>3.1360544217687072</v>
      </c>
      <c r="X107" s="152">
        <f t="shared" si="238"/>
        <v>3.1360544217687067</v>
      </c>
      <c r="Y107" s="152">
        <f t="shared" si="238"/>
        <v>3.1360544217687063</v>
      </c>
      <c r="Z107" s="152">
        <f t="shared" si="238"/>
        <v>3.1360544217687063</v>
      </c>
      <c r="AA107" s="152">
        <f t="shared" si="238"/>
        <v>3.1360544217687067</v>
      </c>
      <c r="AB107" s="152">
        <f t="shared" si="238"/>
        <v>3.1360544217687063</v>
      </c>
      <c r="AC107" s="138">
        <f t="shared" si="195"/>
        <v>-3.8765916820184265E-2</v>
      </c>
      <c r="AD107" s="20"/>
      <c r="AE107" s="20"/>
    </row>
    <row r="108" spans="2:31" x14ac:dyDescent="0.2">
      <c r="B108" s="20"/>
      <c r="C108" s="20"/>
      <c r="D108" s="20"/>
      <c r="E108" s="20"/>
      <c r="F108" s="20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28"/>
      <c r="R108" s="20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28"/>
      <c r="AD108" s="20"/>
      <c r="AE108" s="20"/>
    </row>
    <row r="109" spans="2:31" x14ac:dyDescent="0.2">
      <c r="B109" s="20" t="s">
        <v>334</v>
      </c>
      <c r="C109" s="20"/>
      <c r="D109" s="20"/>
      <c r="E109" s="165">
        <f t="shared" ref="E109:F109" si="239">E69*E42</f>
        <v>0</v>
      </c>
      <c r="F109" s="165">
        <f t="shared" si="239"/>
        <v>0</v>
      </c>
      <c r="G109" s="165">
        <f>G69*G42</f>
        <v>3.6450000000000005</v>
      </c>
      <c r="H109" s="165">
        <f t="shared" ref="H109:P109" si="240">H69*H42</f>
        <v>8.7480000000000011</v>
      </c>
      <c r="I109" s="165">
        <f t="shared" si="240"/>
        <v>10.218599999999999</v>
      </c>
      <c r="J109" s="165">
        <f t="shared" si="240"/>
        <v>22.653000000000002</v>
      </c>
      <c r="K109" s="165">
        <f t="shared" si="240"/>
        <v>36.253799999999998</v>
      </c>
      <c r="L109" s="165">
        <f t="shared" si="240"/>
        <v>33.012</v>
      </c>
      <c r="M109" s="165">
        <f t="shared" si="240"/>
        <v>26.596799999999998</v>
      </c>
      <c r="N109" s="165">
        <f t="shared" si="240"/>
        <v>23.272199999999998</v>
      </c>
      <c r="O109" s="165">
        <f t="shared" si="240"/>
        <v>29.079000000000001</v>
      </c>
      <c r="P109" s="165">
        <f t="shared" si="240"/>
        <v>28.738799999999998</v>
      </c>
      <c r="Q109" s="118">
        <f t="shared" si="193"/>
        <v>0.25788585372229367</v>
      </c>
      <c r="R109" s="20"/>
      <c r="S109" s="165">
        <f t="shared" ref="S109:AB109" si="241">S69*S42</f>
        <v>31.684527000000003</v>
      </c>
      <c r="T109" s="165">
        <f t="shared" si="241"/>
        <v>34.93219101750001</v>
      </c>
      <c r="U109" s="165">
        <f t="shared" si="241"/>
        <v>38.512740596793762</v>
      </c>
      <c r="V109" s="165">
        <f t="shared" si="241"/>
        <v>42.460296507965126</v>
      </c>
      <c r="W109" s="165">
        <f t="shared" si="241"/>
        <v>46.812476900031548</v>
      </c>
      <c r="X109" s="165">
        <f t="shared" si="241"/>
        <v>51.610755782284784</v>
      </c>
      <c r="Y109" s="165">
        <f t="shared" si="241"/>
        <v>56.900858249968984</v>
      </c>
      <c r="Z109" s="165">
        <f t="shared" si="241"/>
        <v>62.733196220590806</v>
      </c>
      <c r="AA109" s="165">
        <f t="shared" si="241"/>
        <v>69.163348833201368</v>
      </c>
      <c r="AB109" s="165">
        <f t="shared" si="241"/>
        <v>76.252592088604516</v>
      </c>
      <c r="AC109" s="138">
        <f t="shared" si="195"/>
        <v>0.17355380029031942</v>
      </c>
      <c r="AD109" s="20"/>
      <c r="AE109" s="20"/>
    </row>
    <row r="110" spans="2:31" x14ac:dyDescent="0.2">
      <c r="B110" s="20" t="s">
        <v>335</v>
      </c>
      <c r="C110" s="20"/>
      <c r="D110" s="20"/>
      <c r="E110" s="165">
        <f>(E109*0.17)+E109</f>
        <v>0</v>
      </c>
      <c r="F110" s="165">
        <f>(F109*0.17)+F109</f>
        <v>0</v>
      </c>
      <c r="G110" s="165">
        <f t="shared" ref="G110:P110" si="242">(G109*0.17)+G109</f>
        <v>4.2646500000000005</v>
      </c>
      <c r="H110" s="165">
        <f t="shared" si="242"/>
        <v>10.23516</v>
      </c>
      <c r="I110" s="165">
        <f t="shared" si="242"/>
        <v>11.955761999999998</v>
      </c>
      <c r="J110" s="165">
        <f t="shared" si="242"/>
        <v>26.504010000000001</v>
      </c>
      <c r="K110" s="165">
        <f t="shared" si="242"/>
        <v>42.416945999999996</v>
      </c>
      <c r="L110" s="165">
        <f t="shared" si="242"/>
        <v>38.624040000000001</v>
      </c>
      <c r="M110" s="165">
        <f t="shared" si="242"/>
        <v>31.118255999999999</v>
      </c>
      <c r="N110" s="165">
        <f t="shared" si="242"/>
        <v>27.228473999999999</v>
      </c>
      <c r="O110" s="165">
        <f t="shared" si="242"/>
        <v>34.02243</v>
      </c>
      <c r="P110" s="165">
        <f t="shared" si="242"/>
        <v>33.624395999999997</v>
      </c>
      <c r="Q110" s="118">
        <f t="shared" si="193"/>
        <v>0.25788585372229367</v>
      </c>
      <c r="R110" s="20"/>
      <c r="S110" s="165">
        <f t="shared" ref="S110:AB110" si="243">(S109*0.17)+S109</f>
        <v>37.070896590000004</v>
      </c>
      <c r="T110" s="165">
        <f t="shared" si="243"/>
        <v>40.87066349047501</v>
      </c>
      <c r="U110" s="165">
        <f t="shared" si="243"/>
        <v>45.059906498248701</v>
      </c>
      <c r="V110" s="165">
        <f t="shared" si="243"/>
        <v>49.678546914319199</v>
      </c>
      <c r="W110" s="165">
        <f t="shared" si="243"/>
        <v>54.770597973036914</v>
      </c>
      <c r="X110" s="165">
        <f t="shared" si="243"/>
        <v>60.384584265273197</v>
      </c>
      <c r="Y110" s="165">
        <f t="shared" si="243"/>
        <v>66.574004152463715</v>
      </c>
      <c r="Z110" s="165">
        <f t="shared" si="243"/>
        <v>73.397839578091236</v>
      </c>
      <c r="AA110" s="165">
        <f t="shared" si="243"/>
        <v>80.921118134845599</v>
      </c>
      <c r="AB110" s="165">
        <f t="shared" si="243"/>
        <v>89.215532743667282</v>
      </c>
      <c r="AC110" s="138">
        <f t="shared" si="195"/>
        <v>0.17355380029031942</v>
      </c>
      <c r="AD110" s="20"/>
      <c r="AE110" s="20"/>
    </row>
    <row r="111" spans="2:31" x14ac:dyDescent="0.2">
      <c r="B111" s="20" t="s">
        <v>336</v>
      </c>
      <c r="C111" s="20"/>
      <c r="D111" s="20"/>
      <c r="E111" s="20"/>
      <c r="F111" s="152" t="e">
        <f t="shared" ref="F111:P111" si="244">F110/F40</f>
        <v>#DIV/0!</v>
      </c>
      <c r="G111" s="152">
        <f t="shared" si="244"/>
        <v>0.60923571428571432</v>
      </c>
      <c r="H111" s="152">
        <f t="shared" si="244"/>
        <v>0.48738857142857145</v>
      </c>
      <c r="I111" s="152">
        <f t="shared" si="244"/>
        <v>0.51981573913043466</v>
      </c>
      <c r="J111" s="152">
        <f t="shared" si="244"/>
        <v>0.30818616279069766</v>
      </c>
      <c r="K111" s="152">
        <f t="shared" si="244"/>
        <v>0.28090692715231785</v>
      </c>
      <c r="L111" s="152">
        <f t="shared" si="244"/>
        <v>0.33012000000000002</v>
      </c>
      <c r="M111" s="152">
        <f t="shared" si="244"/>
        <v>0.26149794957983191</v>
      </c>
      <c r="N111" s="152">
        <f t="shared" si="244"/>
        <v>0.47769252631578946</v>
      </c>
      <c r="O111" s="152">
        <f t="shared" si="244"/>
        <v>0.48603471428571426</v>
      </c>
      <c r="P111" s="152">
        <f t="shared" si="244"/>
        <v>0.4735830422535211</v>
      </c>
      <c r="Q111" s="118">
        <f t="shared" si="193"/>
        <v>-2.7598448314084201E-2</v>
      </c>
      <c r="R111" s="20"/>
      <c r="S111" s="152">
        <f t="shared" ref="S111:AB111" si="245">S110/S40</f>
        <v>0.45402200355174532</v>
      </c>
      <c r="T111" s="152">
        <f t="shared" si="245"/>
        <v>0.43526892079634727</v>
      </c>
      <c r="U111" s="152">
        <f t="shared" si="245"/>
        <v>0.41729042189388954</v>
      </c>
      <c r="V111" s="152">
        <f t="shared" si="245"/>
        <v>0.40005451316348983</v>
      </c>
      <c r="W111" s="152">
        <f t="shared" si="245"/>
        <v>0.38353052240238922</v>
      </c>
      <c r="X111" s="152">
        <f t="shared" si="245"/>
        <v>0.36768904430316007</v>
      </c>
      <c r="Y111" s="152">
        <f t="shared" si="245"/>
        <v>0.35250188812542099</v>
      </c>
      <c r="Z111" s="152">
        <f t="shared" si="245"/>
        <v>0.33794202752893615</v>
      </c>
      <c r="AA111" s="152">
        <f t="shared" si="245"/>
        <v>0.32398355247882799</v>
      </c>
      <c r="AB111" s="152">
        <f t="shared" si="245"/>
        <v>0.31060162313731121</v>
      </c>
      <c r="AC111" s="138">
        <f t="shared" si="195"/>
        <v>-3.4836328849424669E-2</v>
      </c>
      <c r="AD111" s="20"/>
      <c r="AE111" s="20"/>
    </row>
    <row r="112" spans="2:31" x14ac:dyDescent="0.2">
      <c r="B112" s="20" t="s">
        <v>329</v>
      </c>
      <c r="C112" s="20"/>
      <c r="D112" s="20"/>
      <c r="E112" s="20"/>
      <c r="F112" s="152" t="e">
        <f>1-F111</f>
        <v>#DIV/0!</v>
      </c>
      <c r="G112" s="152">
        <f>1-G111</f>
        <v>0.39076428571428568</v>
      </c>
      <c r="H112" s="152">
        <f t="shared" ref="H112:P112" si="246">1-H111</f>
        <v>0.5126114285714285</v>
      </c>
      <c r="I112" s="152">
        <f t="shared" si="246"/>
        <v>0.48018426086956534</v>
      </c>
      <c r="J112" s="152">
        <f t="shared" si="246"/>
        <v>0.69181383720930234</v>
      </c>
      <c r="K112" s="152">
        <f t="shared" si="246"/>
        <v>0.71909307284768209</v>
      </c>
      <c r="L112" s="152">
        <f t="shared" si="246"/>
        <v>0.66988000000000003</v>
      </c>
      <c r="M112" s="152">
        <f t="shared" si="246"/>
        <v>0.73850205042016803</v>
      </c>
      <c r="N112" s="152">
        <f t="shared" si="246"/>
        <v>0.5223074736842106</v>
      </c>
      <c r="O112" s="152">
        <f t="shared" si="246"/>
        <v>0.51396528571428579</v>
      </c>
      <c r="P112" s="152">
        <f t="shared" si="246"/>
        <v>0.5264169577464789</v>
      </c>
      <c r="Q112" s="118">
        <f t="shared" si="193"/>
        <v>3.3664128747253219E-2</v>
      </c>
      <c r="R112" s="20"/>
      <c r="S112" s="152">
        <f t="shared" ref="S112:AB112" si="247">1-S111</f>
        <v>0.54597799644825473</v>
      </c>
      <c r="T112" s="152">
        <f t="shared" si="247"/>
        <v>0.56473107920365273</v>
      </c>
      <c r="U112" s="152">
        <f t="shared" si="247"/>
        <v>0.58270957810611046</v>
      </c>
      <c r="V112" s="152">
        <f t="shared" si="247"/>
        <v>0.59994548683651017</v>
      </c>
      <c r="W112" s="152">
        <f t="shared" si="247"/>
        <v>0.61646947759761073</v>
      </c>
      <c r="X112" s="152">
        <f t="shared" si="247"/>
        <v>0.63231095569683993</v>
      </c>
      <c r="Y112" s="152">
        <f t="shared" si="247"/>
        <v>0.64749811187457906</v>
      </c>
      <c r="Z112" s="152">
        <f t="shared" si="247"/>
        <v>0.66205797247106379</v>
      </c>
      <c r="AA112" s="152">
        <f t="shared" si="247"/>
        <v>0.67601644752117207</v>
      </c>
      <c r="AB112" s="152">
        <f t="shared" si="247"/>
        <v>0.68939837686268879</v>
      </c>
      <c r="AC112" s="138">
        <f t="shared" si="195"/>
        <v>3.0330603286657487E-2</v>
      </c>
      <c r="AD112" s="20"/>
      <c r="AE112" s="20"/>
    </row>
    <row r="113" spans="2:31" x14ac:dyDescent="0.2">
      <c r="B113" s="20"/>
      <c r="C113" s="20"/>
      <c r="D113" s="20"/>
      <c r="E113" s="20"/>
      <c r="F113" s="20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28"/>
      <c r="R113" s="20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28"/>
      <c r="AD113" s="20"/>
      <c r="AE113" s="20"/>
    </row>
    <row r="114" spans="2:31" x14ac:dyDescent="0.2">
      <c r="B114" s="20" t="s">
        <v>333</v>
      </c>
      <c r="C114" s="152"/>
      <c r="D114" s="152"/>
      <c r="E114" s="152"/>
      <c r="F114" s="152" t="e">
        <f>F31/F25</f>
        <v>#DIV/0!</v>
      </c>
      <c r="G114" s="152">
        <f>G31/G25</f>
        <v>0</v>
      </c>
      <c r="H114" s="152">
        <f t="shared" ref="H114:P114" si="248">H31/H25</f>
        <v>0</v>
      </c>
      <c r="I114" s="152">
        <f t="shared" si="248"/>
        <v>0</v>
      </c>
      <c r="J114" s="152">
        <f t="shared" si="248"/>
        <v>0</v>
      </c>
      <c r="K114" s="152">
        <f t="shared" si="248"/>
        <v>0</v>
      </c>
      <c r="L114" s="152">
        <f t="shared" si="248"/>
        <v>0</v>
      </c>
      <c r="M114" s="152">
        <f t="shared" si="248"/>
        <v>0</v>
      </c>
      <c r="N114" s="152">
        <f t="shared" si="248"/>
        <v>0</v>
      </c>
      <c r="O114" s="152">
        <f t="shared" si="248"/>
        <v>0</v>
      </c>
      <c r="P114" s="152">
        <f t="shared" si="248"/>
        <v>0</v>
      </c>
      <c r="Q114" s="118" t="e">
        <f t="shared" si="193"/>
        <v>#DIV/0!</v>
      </c>
      <c r="R114" s="20"/>
      <c r="S114" s="152">
        <f t="shared" ref="S114:AB114" si="249">S31/S25</f>
        <v>0</v>
      </c>
      <c r="T114" s="152">
        <f t="shared" si="249"/>
        <v>0</v>
      </c>
      <c r="U114" s="152">
        <f t="shared" si="249"/>
        <v>0</v>
      </c>
      <c r="V114" s="152">
        <f t="shared" si="249"/>
        <v>0</v>
      </c>
      <c r="W114" s="152">
        <f t="shared" si="249"/>
        <v>0</v>
      </c>
      <c r="X114" s="152">
        <f t="shared" si="249"/>
        <v>0</v>
      </c>
      <c r="Y114" s="152">
        <f t="shared" si="249"/>
        <v>0</v>
      </c>
      <c r="Z114" s="152">
        <f t="shared" si="249"/>
        <v>0</v>
      </c>
      <c r="AA114" s="152">
        <f t="shared" si="249"/>
        <v>0</v>
      </c>
      <c r="AB114" s="152">
        <f t="shared" si="249"/>
        <v>0</v>
      </c>
      <c r="AC114" s="138" t="e">
        <f t="shared" si="195"/>
        <v>#DIV/0!</v>
      </c>
      <c r="AD114" s="20"/>
      <c r="AE114" s="20"/>
    </row>
    <row r="115" spans="2:31" x14ac:dyDescent="0.2">
      <c r="B115" s="20" t="s">
        <v>330</v>
      </c>
      <c r="C115" s="152"/>
      <c r="D115" s="152"/>
      <c r="E115" s="152"/>
      <c r="F115" s="152" t="e">
        <f>F32/F25</f>
        <v>#DIV/0!</v>
      </c>
      <c r="G115" s="152">
        <f>G32/G25</f>
        <v>0</v>
      </c>
      <c r="H115" s="152">
        <f t="shared" ref="H115:P115" si="250">H32/H25</f>
        <v>0</v>
      </c>
      <c r="I115" s="152">
        <f t="shared" si="250"/>
        <v>0</v>
      </c>
      <c r="J115" s="152">
        <f t="shared" si="250"/>
        <v>0</v>
      </c>
      <c r="K115" s="152">
        <f t="shared" si="250"/>
        <v>0</v>
      </c>
      <c r="L115" s="152">
        <f t="shared" si="250"/>
        <v>0</v>
      </c>
      <c r="M115" s="152">
        <f t="shared" si="250"/>
        <v>0</v>
      </c>
      <c r="N115" s="152">
        <f t="shared" si="250"/>
        <v>0</v>
      </c>
      <c r="O115" s="152">
        <f t="shared" si="250"/>
        <v>0</v>
      </c>
      <c r="P115" s="152">
        <f t="shared" si="250"/>
        <v>0</v>
      </c>
      <c r="Q115" s="118" t="e">
        <f t="shared" si="193"/>
        <v>#DIV/0!</v>
      </c>
      <c r="R115" s="20"/>
      <c r="S115" s="152">
        <f t="shared" ref="S115:AB115" si="251">S32/S25</f>
        <v>0</v>
      </c>
      <c r="T115" s="152">
        <f t="shared" si="251"/>
        <v>0</v>
      </c>
      <c r="U115" s="152">
        <f t="shared" si="251"/>
        <v>0</v>
      </c>
      <c r="V115" s="152">
        <f t="shared" si="251"/>
        <v>0</v>
      </c>
      <c r="W115" s="152">
        <f t="shared" si="251"/>
        <v>0</v>
      </c>
      <c r="X115" s="152">
        <f t="shared" si="251"/>
        <v>0</v>
      </c>
      <c r="Y115" s="152">
        <f t="shared" si="251"/>
        <v>0</v>
      </c>
      <c r="Z115" s="152">
        <f t="shared" si="251"/>
        <v>0</v>
      </c>
      <c r="AA115" s="152">
        <f t="shared" si="251"/>
        <v>0</v>
      </c>
      <c r="AB115" s="152">
        <f t="shared" si="251"/>
        <v>0</v>
      </c>
      <c r="AC115" s="138" t="e">
        <f t="shared" si="195"/>
        <v>#DIV/0!</v>
      </c>
      <c r="AD115" s="20"/>
      <c r="AE115" s="20"/>
    </row>
    <row r="116" spans="2:31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28"/>
      <c r="R116" s="20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28"/>
      <c r="AD116" s="20"/>
      <c r="AE116" s="20"/>
    </row>
    <row r="117" spans="2:31" x14ac:dyDescent="0.2">
      <c r="B117" s="20" t="s">
        <v>354</v>
      </c>
      <c r="C117" s="20"/>
      <c r="D117" s="20"/>
      <c r="E117" s="20"/>
      <c r="F117" s="20"/>
      <c r="G117" s="152">
        <f>G27/G25</f>
        <v>0.88495575221238942</v>
      </c>
      <c r="H117" s="152">
        <f t="shared" ref="H117:P117" si="252">H27/H25</f>
        <v>0.87148594377510036</v>
      </c>
      <c r="I117" s="152">
        <f t="shared" si="252"/>
        <v>0.86037735849056607</v>
      </c>
      <c r="J117" s="152">
        <f t="shared" si="252"/>
        <v>0.82307692307692304</v>
      </c>
      <c r="K117" s="152">
        <f t="shared" si="252"/>
        <v>0.76315789473684215</v>
      </c>
      <c r="L117" s="152">
        <f t="shared" si="252"/>
        <v>0.83686440677966101</v>
      </c>
      <c r="M117" s="152">
        <f t="shared" si="252"/>
        <v>0.81782437745740499</v>
      </c>
      <c r="N117" s="152">
        <f t="shared" si="252"/>
        <v>0.89017341040462428</v>
      </c>
      <c r="O117" s="152">
        <f t="shared" si="252"/>
        <v>0.86857142857142855</v>
      </c>
      <c r="P117" s="152">
        <f t="shared" si="252"/>
        <v>0.56724511930585686</v>
      </c>
      <c r="Q117" s="118">
        <f t="shared" si="193"/>
        <v>-4.8215120186468341E-2</v>
      </c>
      <c r="R117" s="20"/>
      <c r="S117" s="152">
        <f t="shared" ref="S117:AB117" si="253">S27/S25</f>
        <v>0.56724511930585675</v>
      </c>
      <c r="T117" s="152">
        <f t="shared" si="253"/>
        <v>0.56724511930585686</v>
      </c>
      <c r="U117" s="152">
        <f t="shared" si="253"/>
        <v>0.56724511930585686</v>
      </c>
      <c r="V117" s="152">
        <f t="shared" si="253"/>
        <v>0.56724511930585686</v>
      </c>
      <c r="W117" s="152">
        <f t="shared" si="253"/>
        <v>0.56724511930585686</v>
      </c>
      <c r="X117" s="152">
        <f t="shared" si="253"/>
        <v>0.56724511930585686</v>
      </c>
      <c r="Y117" s="152">
        <f t="shared" si="253"/>
        <v>0.56724511930585686</v>
      </c>
      <c r="Z117" s="152">
        <f t="shared" si="253"/>
        <v>0.56724511930585697</v>
      </c>
      <c r="AA117" s="152">
        <f t="shared" si="253"/>
        <v>0.56724511930585697</v>
      </c>
      <c r="AB117" s="152">
        <f t="shared" si="253"/>
        <v>0.56724511930585697</v>
      </c>
      <c r="AC117" s="138">
        <f t="shared" si="195"/>
        <v>-2.3135856025893076E-2</v>
      </c>
      <c r="AD117" s="20"/>
      <c r="AE117" s="20"/>
    </row>
    <row r="118" spans="2:31" x14ac:dyDescent="0.2">
      <c r="B118" s="20" t="str">
        <f>B33</f>
        <v>Top Expenses ( Raw material )</v>
      </c>
      <c r="C118" s="20"/>
      <c r="D118" s="20"/>
      <c r="E118" s="20"/>
      <c r="F118" s="20"/>
      <c r="G118" s="152">
        <f>G33/G25</f>
        <v>0.5663716814159292</v>
      </c>
      <c r="H118" s="152">
        <f t="shared" ref="H118:P118" si="254">H33/H25</f>
        <v>0.67469879518072284</v>
      </c>
      <c r="I118" s="152">
        <f t="shared" si="254"/>
        <v>0.6452830188679245</v>
      </c>
      <c r="J118" s="152">
        <f t="shared" si="254"/>
        <v>0.63384615384615384</v>
      </c>
      <c r="K118" s="152">
        <f t="shared" si="254"/>
        <v>0.51578947368421058</v>
      </c>
      <c r="L118" s="152">
        <f t="shared" si="254"/>
        <v>0.43432203389830509</v>
      </c>
      <c r="M118" s="152">
        <f t="shared" si="254"/>
        <v>0.41284403669724773</v>
      </c>
      <c r="N118" s="152">
        <f t="shared" si="254"/>
        <v>0.57080924855491333</v>
      </c>
      <c r="O118" s="152">
        <f t="shared" si="254"/>
        <v>0.55333333333333334</v>
      </c>
      <c r="P118" s="152">
        <f t="shared" si="254"/>
        <v>0.92733188720173532</v>
      </c>
      <c r="Q118" s="118">
        <f t="shared" si="193"/>
        <v>5.6313011126978507E-2</v>
      </c>
      <c r="R118" s="20"/>
      <c r="S118" s="152">
        <f t="shared" ref="S118:AB118" si="255">S33/S25</f>
        <v>0.92733188720173532</v>
      </c>
      <c r="T118" s="152">
        <f t="shared" si="255"/>
        <v>0.92733188720173532</v>
      </c>
      <c r="U118" s="152">
        <f t="shared" si="255"/>
        <v>0.92733188720173532</v>
      </c>
      <c r="V118" s="152">
        <f t="shared" si="255"/>
        <v>0.92733188720173532</v>
      </c>
      <c r="W118" s="152">
        <f t="shared" si="255"/>
        <v>0.92733188720173521</v>
      </c>
      <c r="X118" s="152">
        <f t="shared" si="255"/>
        <v>0.92733188720173532</v>
      </c>
      <c r="Y118" s="152">
        <f t="shared" si="255"/>
        <v>0.92733188720173532</v>
      </c>
      <c r="Z118" s="152">
        <f t="shared" si="255"/>
        <v>0.92733188720173532</v>
      </c>
      <c r="AA118" s="152">
        <f t="shared" si="255"/>
        <v>0.92733188720173532</v>
      </c>
      <c r="AB118" s="152">
        <f t="shared" si="255"/>
        <v>0.92733188720173532</v>
      </c>
      <c r="AC118" s="138">
        <f t="shared" si="195"/>
        <v>2.6290225836056225E-2</v>
      </c>
      <c r="AD118" s="20"/>
      <c r="AE118" s="20"/>
    </row>
    <row r="119" spans="2:31" x14ac:dyDescent="0.2">
      <c r="B119" s="20" t="str">
        <f>B34</f>
        <v>2nd highest Expenses Comp. ( Empl )</v>
      </c>
      <c r="C119" s="20"/>
      <c r="D119" s="20"/>
      <c r="E119" s="20"/>
      <c r="F119" s="20"/>
      <c r="G119" s="152">
        <f>G34/G25</f>
        <v>7.0796460176991149E-2</v>
      </c>
      <c r="H119" s="152">
        <f t="shared" ref="H119:P119" si="256">H34/H25</f>
        <v>5.2208835341365459E-2</v>
      </c>
      <c r="I119" s="152">
        <f t="shared" si="256"/>
        <v>6.7924528301886791E-2</v>
      </c>
      <c r="J119" s="152">
        <f t="shared" si="256"/>
        <v>5.3846153846153849E-2</v>
      </c>
      <c r="K119" s="152">
        <f t="shared" si="256"/>
        <v>8.0263157894736842E-2</v>
      </c>
      <c r="L119" s="152">
        <f t="shared" si="256"/>
        <v>9.0042372881355928E-2</v>
      </c>
      <c r="M119" s="152">
        <f t="shared" si="256"/>
        <v>9.1743119266055051E-2</v>
      </c>
      <c r="N119" s="152">
        <f t="shared" si="256"/>
        <v>0.10982658959537572</v>
      </c>
      <c r="O119" s="152">
        <f t="shared" si="256"/>
        <v>9.1428571428571428E-2</v>
      </c>
      <c r="P119" s="152">
        <f t="shared" si="256"/>
        <v>0.12255965292841649</v>
      </c>
      <c r="Q119" s="118">
        <f t="shared" si="193"/>
        <v>6.287398031055802E-2</v>
      </c>
      <c r="R119" s="20"/>
      <c r="S119" s="152">
        <f t="shared" ref="S119:AB119" si="257">S34/S25</f>
        <v>0.12255965292841647</v>
      </c>
      <c r="T119" s="152">
        <f t="shared" si="257"/>
        <v>0.12255965292841647</v>
      </c>
      <c r="U119" s="152">
        <f t="shared" si="257"/>
        <v>0.12255965292841649</v>
      </c>
      <c r="V119" s="152">
        <f t="shared" si="257"/>
        <v>0.12255965292841647</v>
      </c>
      <c r="W119" s="152">
        <f t="shared" si="257"/>
        <v>0.12255965292841649</v>
      </c>
      <c r="X119" s="152">
        <f t="shared" si="257"/>
        <v>0.12255965292841649</v>
      </c>
      <c r="Y119" s="152">
        <f t="shared" si="257"/>
        <v>0.1225596529284165</v>
      </c>
      <c r="Z119" s="152">
        <f t="shared" si="257"/>
        <v>0.1225596529284165</v>
      </c>
      <c r="AA119" s="152">
        <f t="shared" si="257"/>
        <v>0.12255965292841649</v>
      </c>
      <c r="AB119" s="152">
        <f t="shared" si="257"/>
        <v>0.12255965292841647</v>
      </c>
      <c r="AC119" s="138">
        <f t="shared" si="195"/>
        <v>2.9304802006175912E-2</v>
      </c>
      <c r="AD119" s="20"/>
      <c r="AE119" s="20"/>
    </row>
    <row r="120" spans="2:31" x14ac:dyDescent="0.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39"/>
      <c r="AD120" s="20"/>
      <c r="AE120" s="20"/>
    </row>
    <row r="121" spans="2:31" x14ac:dyDescent="0.2">
      <c r="B121" s="108" t="s">
        <v>362</v>
      </c>
      <c r="C121" s="20"/>
      <c r="D121" s="20"/>
      <c r="E121" s="20"/>
      <c r="F121" s="20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118"/>
      <c r="R121" s="128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138"/>
      <c r="AD121" s="20"/>
      <c r="AE121" s="20"/>
    </row>
    <row r="122" spans="2:31" x14ac:dyDescent="0.2">
      <c r="B122" s="20" t="s">
        <v>365</v>
      </c>
      <c r="C122" s="20"/>
      <c r="D122" s="20"/>
      <c r="E122" s="20"/>
      <c r="F122" s="20"/>
      <c r="G122" s="25">
        <f>G15/G9</f>
        <v>1.5</v>
      </c>
      <c r="H122" s="25">
        <f t="shared" ref="H122:AB122" si="258">H15/H9</f>
        <v>1.36</v>
      </c>
      <c r="I122" s="25">
        <f t="shared" si="258"/>
        <v>1.1092436974789917</v>
      </c>
      <c r="J122" s="25">
        <f t="shared" si="258"/>
        <v>0.84010152284263961</v>
      </c>
      <c r="K122" s="25">
        <f t="shared" si="258"/>
        <v>1.0319767441860466</v>
      </c>
      <c r="L122" s="25">
        <f t="shared" si="258"/>
        <v>1.21</v>
      </c>
      <c r="M122" s="25">
        <f t="shared" si="258"/>
        <v>1.2978723404255319</v>
      </c>
      <c r="N122" s="25">
        <f t="shared" si="258"/>
        <v>1.231958762886598</v>
      </c>
      <c r="O122" s="25">
        <f t="shared" si="258"/>
        <v>1.3682008368200838</v>
      </c>
      <c r="P122" s="25">
        <f t="shared" si="258"/>
        <v>1.4135802469135803</v>
      </c>
      <c r="Q122" s="118">
        <f t="shared" si="193"/>
        <v>-6.5715831665097424E-3</v>
      </c>
      <c r="R122" s="20"/>
      <c r="S122" s="20">
        <f t="shared" si="258"/>
        <v>1.4135802469135801</v>
      </c>
      <c r="T122" s="20">
        <f t="shared" si="258"/>
        <v>1.4135802469135803</v>
      </c>
      <c r="U122" s="20">
        <f t="shared" si="258"/>
        <v>1.4135802469135803</v>
      </c>
      <c r="V122" s="20">
        <f t="shared" si="258"/>
        <v>1.4135802469135803</v>
      </c>
      <c r="W122" s="20">
        <f t="shared" si="258"/>
        <v>1.4135802469135803</v>
      </c>
      <c r="X122" s="20">
        <f t="shared" si="258"/>
        <v>1.4135802469135803</v>
      </c>
      <c r="Y122" s="20">
        <f t="shared" si="258"/>
        <v>1.4135802469135803</v>
      </c>
      <c r="Z122" s="20">
        <f t="shared" si="258"/>
        <v>1.4135802469135803</v>
      </c>
      <c r="AA122" s="20">
        <f t="shared" si="258"/>
        <v>1.4135802469135803</v>
      </c>
      <c r="AB122" s="20">
        <f t="shared" si="258"/>
        <v>1.4135802469135803</v>
      </c>
      <c r="AC122" s="138">
        <f t="shared" si="195"/>
        <v>-3.1182565174419086E-3</v>
      </c>
      <c r="AD122" s="20"/>
      <c r="AE122" s="20"/>
    </row>
    <row r="123" spans="2:31" x14ac:dyDescent="0.2">
      <c r="B123" s="20" t="s">
        <v>355</v>
      </c>
      <c r="C123" s="20"/>
      <c r="D123" s="20"/>
      <c r="E123" s="20"/>
      <c r="F123" s="20"/>
      <c r="G123" s="25">
        <f>G12/G9</f>
        <v>0.36956521739130432</v>
      </c>
      <c r="H123" s="25">
        <f t="shared" ref="H123:P123" si="259">H12/H9</f>
        <v>0.16</v>
      </c>
      <c r="I123" s="25">
        <f t="shared" si="259"/>
        <v>0.13445378151260504</v>
      </c>
      <c r="J123" s="25">
        <f t="shared" si="259"/>
        <v>7.6142131979695438E-2</v>
      </c>
      <c r="K123" s="25">
        <f t="shared" si="259"/>
        <v>8.1395348837209308E-2</v>
      </c>
      <c r="L123" s="25">
        <f t="shared" si="259"/>
        <v>0.1</v>
      </c>
      <c r="M123" s="25">
        <f t="shared" si="259"/>
        <v>0.14184397163120568</v>
      </c>
      <c r="N123" s="25">
        <f t="shared" si="259"/>
        <v>0.20103092783505155</v>
      </c>
      <c r="O123" s="25">
        <f t="shared" si="259"/>
        <v>0.33891213389121339</v>
      </c>
      <c r="P123" s="25">
        <f t="shared" si="259"/>
        <v>0.11574074074074074</v>
      </c>
      <c r="Q123" s="118">
        <f t="shared" si="193"/>
        <v>-0.12102354699198814</v>
      </c>
      <c r="R123" s="128"/>
      <c r="S123" s="20">
        <f t="shared" ref="S123:AB123" si="260">S12/S9</f>
        <v>0.11574074074074076</v>
      </c>
      <c r="T123" s="20">
        <f t="shared" si="260"/>
        <v>0.11574074074074074</v>
      </c>
      <c r="U123" s="20">
        <f t="shared" si="260"/>
        <v>0.11574074074074073</v>
      </c>
      <c r="V123" s="20">
        <f t="shared" si="260"/>
        <v>0.11574074074074074</v>
      </c>
      <c r="W123" s="20">
        <f t="shared" si="260"/>
        <v>0.11574074074074076</v>
      </c>
      <c r="X123" s="20">
        <f t="shared" si="260"/>
        <v>0.11574074074074076</v>
      </c>
      <c r="Y123" s="20">
        <f t="shared" si="260"/>
        <v>0.11574074074074074</v>
      </c>
      <c r="Z123" s="20">
        <f t="shared" si="260"/>
        <v>0.11574074074074076</v>
      </c>
      <c r="AA123" s="20">
        <f t="shared" si="260"/>
        <v>0.11574074074074074</v>
      </c>
      <c r="AB123" s="20">
        <f t="shared" si="260"/>
        <v>0.11574074074074074</v>
      </c>
      <c r="AC123" s="118">
        <f t="shared" ref="AC123" si="261">((AB123/S123)^(1/($H$2-$H$1) ))-1</f>
        <v>0</v>
      </c>
      <c r="AD123" s="20"/>
      <c r="AE123" s="20"/>
    </row>
    <row r="124" spans="2:31" x14ac:dyDescent="0.2">
      <c r="B124" s="20" t="s">
        <v>357</v>
      </c>
      <c r="C124" s="20"/>
      <c r="D124" s="20"/>
      <c r="E124" s="20"/>
      <c r="F124" s="20"/>
      <c r="G124" s="25">
        <f>G25/360</f>
        <v>0.31388888888888888</v>
      </c>
      <c r="H124" s="25">
        <f t="shared" ref="H124:P124" si="262">H25/360</f>
        <v>0.69166666666666665</v>
      </c>
      <c r="I124" s="25">
        <f t="shared" si="262"/>
        <v>0.73611111111111116</v>
      </c>
      <c r="J124" s="25">
        <f t="shared" si="262"/>
        <v>1.8055555555555556</v>
      </c>
      <c r="K124" s="25">
        <f t="shared" si="262"/>
        <v>2.1111111111111112</v>
      </c>
      <c r="L124" s="25">
        <f t="shared" si="262"/>
        <v>2.6222222222222222</v>
      </c>
      <c r="M124" s="25">
        <f t="shared" si="262"/>
        <v>2.1194444444444445</v>
      </c>
      <c r="N124" s="25">
        <f t="shared" si="262"/>
        <v>1.9222222222222223</v>
      </c>
      <c r="O124" s="25">
        <f t="shared" si="262"/>
        <v>2.9166666666666665</v>
      </c>
      <c r="P124" s="25">
        <f t="shared" si="262"/>
        <v>2.5611111111111109</v>
      </c>
      <c r="Q124" s="118">
        <f t="shared" si="193"/>
        <v>0.26268412314596956</v>
      </c>
      <c r="R124" s="128"/>
      <c r="S124" s="25">
        <f t="shared" ref="S124:AB124" si="263">S25/360</f>
        <v>2.9452777777777777</v>
      </c>
      <c r="T124" s="25">
        <f t="shared" si="263"/>
        <v>3.3870694444444438</v>
      </c>
      <c r="U124" s="25">
        <f t="shared" si="263"/>
        <v>3.8951298611111098</v>
      </c>
      <c r="V124" s="25">
        <f t="shared" si="263"/>
        <v>4.4793993402777765</v>
      </c>
      <c r="W124" s="25">
        <f t="shared" si="263"/>
        <v>5.1513092413194421</v>
      </c>
      <c r="X124" s="25">
        <f t="shared" si="263"/>
        <v>5.9240056275173583</v>
      </c>
      <c r="Y124" s="25">
        <f t="shared" si="263"/>
        <v>6.8126064716449601</v>
      </c>
      <c r="Z124" s="25">
        <f t="shared" si="263"/>
        <v>7.8344974423917035</v>
      </c>
      <c r="AA124" s="25">
        <f t="shared" si="263"/>
        <v>9.0096720587504588</v>
      </c>
      <c r="AB124" s="25">
        <f t="shared" si="263"/>
        <v>10.361122867563028</v>
      </c>
      <c r="AC124" s="118">
        <f t="shared" ref="AC124:AC135" si="264">((AB124/S124)^(1/($H$2-$H$1) ))-1</f>
        <v>0.14999999999999991</v>
      </c>
      <c r="AD124" s="20"/>
      <c r="AE124" s="20"/>
    </row>
    <row r="125" spans="2:31" x14ac:dyDescent="0.2">
      <c r="B125" s="20" t="s">
        <v>356</v>
      </c>
      <c r="C125" s="20"/>
      <c r="D125" s="20"/>
      <c r="E125" s="20"/>
      <c r="F125" s="20"/>
      <c r="G125" s="25">
        <f>G27/360</f>
        <v>0.27777777777777779</v>
      </c>
      <c r="H125" s="25">
        <f t="shared" ref="H125:P125" si="265">H27/360</f>
        <v>0.60277777777777775</v>
      </c>
      <c r="I125" s="25">
        <f t="shared" si="265"/>
        <v>0.6333333333333333</v>
      </c>
      <c r="J125" s="25">
        <f t="shared" si="265"/>
        <v>1.4861111111111112</v>
      </c>
      <c r="K125" s="25">
        <f t="shared" si="265"/>
        <v>1.6111111111111112</v>
      </c>
      <c r="L125" s="25">
        <f t="shared" si="265"/>
        <v>2.1944444444444446</v>
      </c>
      <c r="M125" s="25">
        <f t="shared" si="265"/>
        <v>1.7333333333333334</v>
      </c>
      <c r="N125" s="25">
        <f t="shared" si="265"/>
        <v>1.711111111111111</v>
      </c>
      <c r="O125" s="25">
        <f t="shared" si="265"/>
        <v>2.5333333333333332</v>
      </c>
      <c r="P125" s="25">
        <f t="shared" si="265"/>
        <v>1.4527777777777777</v>
      </c>
      <c r="Q125" s="118">
        <f t="shared" si="193"/>
        <v>0.20180365639094133</v>
      </c>
      <c r="R125" s="128"/>
      <c r="S125" s="25">
        <f t="shared" ref="S125:AB125" si="266">S27/360</f>
        <v>1.6706944444444443</v>
      </c>
      <c r="T125" s="25">
        <f t="shared" si="266"/>
        <v>1.9212986111111108</v>
      </c>
      <c r="U125" s="25">
        <f t="shared" si="266"/>
        <v>2.2094934027777771</v>
      </c>
      <c r="V125" s="25">
        <f t="shared" si="266"/>
        <v>2.5409174131944434</v>
      </c>
      <c r="W125" s="25">
        <f t="shared" si="266"/>
        <v>2.9220550251736097</v>
      </c>
      <c r="X125" s="25">
        <f t="shared" si="266"/>
        <v>3.3603632789496514</v>
      </c>
      <c r="Y125" s="25">
        <f t="shared" si="266"/>
        <v>3.8644177707920986</v>
      </c>
      <c r="Z125" s="25">
        <f t="shared" si="266"/>
        <v>4.4440804364109132</v>
      </c>
      <c r="AA125" s="25">
        <f t="shared" si="266"/>
        <v>5.11069250187255</v>
      </c>
      <c r="AB125" s="25">
        <f t="shared" si="266"/>
        <v>5.8772963771534323</v>
      </c>
      <c r="AC125" s="118">
        <f t="shared" si="264"/>
        <v>0.14999999999999991</v>
      </c>
      <c r="AD125" s="20"/>
      <c r="AE125" s="20"/>
    </row>
    <row r="126" spans="2:31" x14ac:dyDescent="0.2">
      <c r="B126" s="20"/>
      <c r="C126" s="20"/>
      <c r="D126" s="20"/>
      <c r="E126" s="20"/>
      <c r="F126" s="20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128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128"/>
      <c r="AD126" s="20"/>
      <c r="AE126" s="20"/>
    </row>
    <row r="127" spans="2:31" x14ac:dyDescent="0.2">
      <c r="B127" s="20" t="s">
        <v>366</v>
      </c>
      <c r="C127" s="20"/>
      <c r="D127" s="20"/>
      <c r="E127" s="20"/>
      <c r="F127" s="20"/>
      <c r="G127" s="25">
        <f>G10/G7</f>
        <v>0.15483870967741936</v>
      </c>
      <c r="H127" s="25">
        <f t="shared" ref="H127:P127" si="267">H10/H7</f>
        <v>0</v>
      </c>
      <c r="I127" s="25">
        <f t="shared" si="267"/>
        <v>9.8148148148148161E-3</v>
      </c>
      <c r="J127" s="25">
        <f t="shared" si="267"/>
        <v>3.8461538461538462E-4</v>
      </c>
      <c r="K127" s="25">
        <f t="shared" si="267"/>
        <v>4.6704871060171916E-3</v>
      </c>
      <c r="L127" s="25">
        <f t="shared" si="267"/>
        <v>4.1843317972350233E-2</v>
      </c>
      <c r="M127" s="25">
        <f t="shared" si="267"/>
        <v>0</v>
      </c>
      <c r="N127" s="25">
        <f t="shared" si="267"/>
        <v>0</v>
      </c>
      <c r="O127" s="25">
        <f t="shared" si="267"/>
        <v>3.8607594936708865E-2</v>
      </c>
      <c r="P127" s="25">
        <f t="shared" si="267"/>
        <v>2.4368421052631581E-2</v>
      </c>
      <c r="Q127" s="118">
        <f t="shared" si="193"/>
        <v>-0.18572334681433511</v>
      </c>
      <c r="R127" s="128"/>
      <c r="S127" s="25">
        <f t="shared" ref="S127:AB127" si="268">S10/S7</f>
        <v>2.4368421052631577E-2</v>
      </c>
      <c r="T127" s="25">
        <f t="shared" si="268"/>
        <v>2.4368421052631581E-2</v>
      </c>
      <c r="U127" s="25">
        <f t="shared" si="268"/>
        <v>2.4368421052631577E-2</v>
      </c>
      <c r="V127" s="25">
        <f t="shared" si="268"/>
        <v>2.4368421052631581E-2</v>
      </c>
      <c r="W127" s="25">
        <f t="shared" si="268"/>
        <v>2.4368421052631577E-2</v>
      </c>
      <c r="X127" s="25">
        <f t="shared" si="268"/>
        <v>2.4368421052631581E-2</v>
      </c>
      <c r="Y127" s="25">
        <f t="shared" si="268"/>
        <v>2.4368421052631581E-2</v>
      </c>
      <c r="Z127" s="25">
        <f t="shared" si="268"/>
        <v>2.4368421052631581E-2</v>
      </c>
      <c r="AA127" s="25">
        <f t="shared" si="268"/>
        <v>2.4368421052631581E-2</v>
      </c>
      <c r="AB127" s="25">
        <f t="shared" si="268"/>
        <v>2.4368421052631581E-2</v>
      </c>
      <c r="AC127" s="118">
        <f t="shared" si="264"/>
        <v>0</v>
      </c>
      <c r="AD127" s="20"/>
      <c r="AE127" s="20"/>
    </row>
    <row r="128" spans="2:31" x14ac:dyDescent="0.2">
      <c r="B128" s="20" t="s">
        <v>358</v>
      </c>
      <c r="C128" s="20"/>
      <c r="D128" s="20"/>
      <c r="E128" s="20"/>
      <c r="F128" s="20"/>
      <c r="G128" s="25">
        <f>G10/(G10+G7)</f>
        <v>0.13407821229050279</v>
      </c>
      <c r="H128" s="25">
        <f t="shared" ref="H128:P128" si="269">H10/(H10+H7)</f>
        <v>0</v>
      </c>
      <c r="I128" s="25">
        <f t="shared" si="269"/>
        <v>9.7194205024757011E-3</v>
      </c>
      <c r="J128" s="25">
        <f t="shared" si="269"/>
        <v>3.8446751249519411E-4</v>
      </c>
      <c r="K128" s="25">
        <f t="shared" si="269"/>
        <v>4.6487750620312004E-3</v>
      </c>
      <c r="L128" s="25">
        <f t="shared" si="269"/>
        <v>4.0162774239207361E-2</v>
      </c>
      <c r="M128" s="25">
        <f t="shared" si="269"/>
        <v>0</v>
      </c>
      <c r="N128" s="25">
        <f t="shared" si="269"/>
        <v>0</v>
      </c>
      <c r="O128" s="25">
        <f t="shared" si="269"/>
        <v>3.7172455819622183E-2</v>
      </c>
      <c r="P128" s="25">
        <f t="shared" si="269"/>
        <v>2.3788727328777681E-2</v>
      </c>
      <c r="Q128" s="118">
        <f t="shared" si="193"/>
        <v>-0.17480421736620189</v>
      </c>
      <c r="R128" s="128"/>
      <c r="S128" s="25">
        <f t="shared" ref="S128:AB128" si="270">S10/(S10+S7)</f>
        <v>2.3788727328777681E-2</v>
      </c>
      <c r="T128" s="25">
        <f t="shared" si="270"/>
        <v>2.3788727328777685E-2</v>
      </c>
      <c r="U128" s="25">
        <f t="shared" si="270"/>
        <v>2.3788727328777681E-2</v>
      </c>
      <c r="V128" s="25">
        <f t="shared" si="270"/>
        <v>2.3788727328777681E-2</v>
      </c>
      <c r="W128" s="25">
        <f t="shared" si="270"/>
        <v>2.3788727328777681E-2</v>
      </c>
      <c r="X128" s="25">
        <f t="shared" si="270"/>
        <v>2.3788727328777685E-2</v>
      </c>
      <c r="Y128" s="25">
        <f t="shared" si="270"/>
        <v>2.3788727328777681E-2</v>
      </c>
      <c r="Z128" s="25">
        <f t="shared" si="270"/>
        <v>2.3788727328777681E-2</v>
      </c>
      <c r="AA128" s="25">
        <f t="shared" si="270"/>
        <v>2.3788727328777681E-2</v>
      </c>
      <c r="AB128" s="25">
        <f t="shared" si="270"/>
        <v>2.3788727328777681E-2</v>
      </c>
      <c r="AC128" s="118">
        <f t="shared" si="264"/>
        <v>0</v>
      </c>
      <c r="AD128" s="20"/>
      <c r="AE128" s="20"/>
    </row>
    <row r="129" spans="2:31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128"/>
      <c r="R129" s="128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137"/>
      <c r="AD129" s="20"/>
      <c r="AE129" s="20"/>
    </row>
    <row r="130" spans="2:31" x14ac:dyDescent="0.2">
      <c r="B130" s="20" t="s">
        <v>363</v>
      </c>
      <c r="C130" s="20"/>
      <c r="D130" s="20"/>
      <c r="E130" s="20"/>
      <c r="F130" s="20"/>
      <c r="G130" s="25">
        <f>G16</f>
        <v>23</v>
      </c>
      <c r="H130" s="25">
        <f t="shared" ref="H130:P130" si="271">H16</f>
        <v>11</v>
      </c>
      <c r="I130" s="25">
        <f t="shared" si="271"/>
        <v>-12.8</v>
      </c>
      <c r="J130" s="25">
        <f t="shared" si="271"/>
        <v>-67</v>
      </c>
      <c r="K130" s="25">
        <f t="shared" si="271"/>
        <v>-11</v>
      </c>
      <c r="L130" s="25">
        <f t="shared" si="271"/>
        <v>107</v>
      </c>
      <c r="M130" s="25">
        <f t="shared" si="271"/>
        <v>120</v>
      </c>
      <c r="N130" s="25">
        <f t="shared" si="271"/>
        <v>143</v>
      </c>
      <c r="O130" s="25">
        <f t="shared" si="271"/>
        <v>194</v>
      </c>
      <c r="P130" s="25">
        <f t="shared" si="271"/>
        <v>300</v>
      </c>
      <c r="Q130" s="118">
        <f t="shared" si="193"/>
        <v>0.33024796150842617</v>
      </c>
      <c r="R130" s="128"/>
      <c r="S130" s="25">
        <f t="shared" ref="S130:AB130" si="272">S16</f>
        <v>345</v>
      </c>
      <c r="T130" s="25">
        <f t="shared" si="272"/>
        <v>396.74999999999994</v>
      </c>
      <c r="U130" s="25">
        <f t="shared" si="272"/>
        <v>456.26249999999987</v>
      </c>
      <c r="V130" s="25">
        <f t="shared" si="272"/>
        <v>524.70187499999986</v>
      </c>
      <c r="W130" s="25">
        <f t="shared" si="272"/>
        <v>603.40715624999984</v>
      </c>
      <c r="X130" s="25">
        <f t="shared" si="272"/>
        <v>693.91822968749977</v>
      </c>
      <c r="Y130" s="25">
        <f t="shared" si="272"/>
        <v>798.00596414062466</v>
      </c>
      <c r="Z130" s="25">
        <f t="shared" si="272"/>
        <v>917.70685876171831</v>
      </c>
      <c r="AA130" s="25">
        <f t="shared" si="272"/>
        <v>1055.3628875759759</v>
      </c>
      <c r="AB130" s="25">
        <f t="shared" si="272"/>
        <v>1213.6673207123722</v>
      </c>
      <c r="AC130" s="118">
        <f t="shared" si="264"/>
        <v>0.14999999999999991</v>
      </c>
      <c r="AD130" s="20"/>
      <c r="AE130" s="20"/>
    </row>
    <row r="131" spans="2:31" x14ac:dyDescent="0.2">
      <c r="B131" s="20" t="s">
        <v>364</v>
      </c>
      <c r="C131" s="20"/>
      <c r="D131" s="20"/>
      <c r="E131" s="20"/>
      <c r="F131" s="20"/>
      <c r="G131" s="119">
        <f t="shared" ref="G131:P131" si="273">G130*365/G25</f>
        <v>74.292035398230084</v>
      </c>
      <c r="H131" s="119">
        <f t="shared" si="273"/>
        <v>16.124497991967871</v>
      </c>
      <c r="I131" s="119">
        <f t="shared" si="273"/>
        <v>-17.630188679245283</v>
      </c>
      <c r="J131" s="119">
        <f t="shared" si="273"/>
        <v>-37.623076923076923</v>
      </c>
      <c r="K131" s="119">
        <f t="shared" si="273"/>
        <v>-5.2828947368421053</v>
      </c>
      <c r="L131" s="119">
        <f t="shared" si="273"/>
        <v>41.371822033898304</v>
      </c>
      <c r="M131" s="119">
        <f t="shared" si="273"/>
        <v>57.404980340760154</v>
      </c>
      <c r="N131" s="119">
        <f t="shared" si="273"/>
        <v>75.426300578034684</v>
      </c>
      <c r="O131" s="119">
        <f t="shared" si="273"/>
        <v>67.438095238095244</v>
      </c>
      <c r="P131" s="119">
        <f t="shared" si="273"/>
        <v>118.76355748373102</v>
      </c>
      <c r="Q131" s="118">
        <f t="shared" si="193"/>
        <v>5.3508107945573702E-2</v>
      </c>
      <c r="R131" s="128"/>
      <c r="S131" s="119">
        <f t="shared" ref="S131:AB131" si="274">S130*365/S25</f>
        <v>118.76355748373102</v>
      </c>
      <c r="T131" s="119">
        <f t="shared" si="274"/>
        <v>118.76355748373102</v>
      </c>
      <c r="U131" s="119">
        <f t="shared" si="274"/>
        <v>118.76355748373102</v>
      </c>
      <c r="V131" s="119">
        <f t="shared" si="274"/>
        <v>118.76355748373103</v>
      </c>
      <c r="W131" s="119">
        <f t="shared" si="274"/>
        <v>118.76355748373103</v>
      </c>
      <c r="X131" s="119">
        <f t="shared" si="274"/>
        <v>118.76355748373105</v>
      </c>
      <c r="Y131" s="119">
        <f t="shared" si="274"/>
        <v>118.76355748373105</v>
      </c>
      <c r="Z131" s="119">
        <f t="shared" si="274"/>
        <v>118.76355748373106</v>
      </c>
      <c r="AA131" s="119">
        <f t="shared" si="274"/>
        <v>118.76355748373103</v>
      </c>
      <c r="AB131" s="119">
        <f t="shared" si="274"/>
        <v>118.76355748373105</v>
      </c>
      <c r="AC131" s="118">
        <f t="shared" si="264"/>
        <v>0</v>
      </c>
      <c r="AD131" s="20"/>
      <c r="AE131" s="20"/>
    </row>
    <row r="132" spans="2:31" x14ac:dyDescent="0.2">
      <c r="B132" s="20" t="s">
        <v>367</v>
      </c>
      <c r="C132" s="20"/>
      <c r="D132" s="20"/>
      <c r="E132" s="20"/>
      <c r="F132" s="20"/>
      <c r="G132" s="133">
        <f>G79/G29</f>
        <v>39.757271395689472</v>
      </c>
      <c r="H132" s="133">
        <f t="shared" ref="H132:P132" si="275">H79/H29</f>
        <v>14.436479490242931</v>
      </c>
      <c r="I132" s="133">
        <f t="shared" si="275"/>
        <v>1.4337739798698137</v>
      </c>
      <c r="J132" s="133">
        <f t="shared" si="275"/>
        <v>38.285115758298119</v>
      </c>
      <c r="K132" s="133">
        <f t="shared" si="275"/>
        <v>97.624249044238127</v>
      </c>
      <c r="L132" s="133">
        <f t="shared" si="275"/>
        <v>15.968219348808224</v>
      </c>
      <c r="M132" s="133">
        <f t="shared" si="275"/>
        <v>16.543343560127536</v>
      </c>
      <c r="N132" s="133">
        <f t="shared" si="275"/>
        <v>259.88088792636705</v>
      </c>
      <c r="O132" s="133">
        <f t="shared" si="275"/>
        <v>4.4568245125348191</v>
      </c>
      <c r="P132" s="133">
        <f t="shared" si="275"/>
        <v>2.3182379439425667</v>
      </c>
      <c r="Q132" s="118">
        <f t="shared" si="193"/>
        <v>-0.27077733260994796</v>
      </c>
      <c r="R132" s="128"/>
      <c r="S132" s="133">
        <f t="shared" ref="S132:AB132" si="276">S79/S29</f>
        <v>2.2078456608976822</v>
      </c>
      <c r="T132" s="133">
        <f t="shared" si="276"/>
        <v>2.1027101532358876</v>
      </c>
      <c r="U132" s="133">
        <f t="shared" si="276"/>
        <v>2.0025810983198928</v>
      </c>
      <c r="V132" s="133">
        <f t="shared" si="276"/>
        <v>1.9072200936379933</v>
      </c>
      <c r="W132" s="133">
        <f t="shared" si="276"/>
        <v>1.8164000891790415</v>
      </c>
      <c r="X132" s="133">
        <f t="shared" si="276"/>
        <v>1.7299048468371823</v>
      </c>
      <c r="Y132" s="133">
        <f t="shared" si="276"/>
        <v>1.6475284255592211</v>
      </c>
      <c r="Z132" s="133">
        <f t="shared" si="276"/>
        <v>1.5690746910087821</v>
      </c>
      <c r="AA132" s="133">
        <f t="shared" si="276"/>
        <v>1.4943568485797925</v>
      </c>
      <c r="AB132" s="133">
        <f t="shared" si="276"/>
        <v>1.4231969986474216</v>
      </c>
      <c r="AC132" s="118">
        <f t="shared" si="264"/>
        <v>-4.7619047619047561E-2</v>
      </c>
      <c r="AD132" s="20"/>
      <c r="AE132" s="20"/>
    </row>
    <row r="133" spans="2:31" x14ac:dyDescent="0.2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128"/>
      <c r="R133" s="128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0" t="s">
        <v>374</v>
      </c>
      <c r="C134" s="20"/>
      <c r="D134" s="20"/>
      <c r="E134" s="20"/>
      <c r="F134" s="20"/>
      <c r="G134" s="180">
        <f>G25/G14</f>
        <v>14.107365792759051</v>
      </c>
      <c r="H134" s="180">
        <f t="shared" ref="H134:P134" si="277">H25/H14</f>
        <v>6.9806560134566862</v>
      </c>
      <c r="I134" s="180">
        <f t="shared" si="277"/>
        <v>8.4772872680742157</v>
      </c>
      <c r="J134" s="180">
        <f t="shared" si="277"/>
        <v>5.1012399937215509</v>
      </c>
      <c r="K134" s="180">
        <f t="shared" si="277"/>
        <v>7.1759040694929661</v>
      </c>
      <c r="L134" s="180">
        <f t="shared" si="277"/>
        <v>5.3294190707390054</v>
      </c>
      <c r="M134" s="180">
        <f t="shared" si="277"/>
        <v>10.159786950732357</v>
      </c>
      <c r="N134" s="180">
        <f t="shared" si="277"/>
        <v>7.604395604395604</v>
      </c>
      <c r="O134" s="180">
        <f t="shared" si="277"/>
        <v>6.4417177914110431</v>
      </c>
      <c r="P134" s="180">
        <f t="shared" si="277"/>
        <v>9.6242171189979118</v>
      </c>
      <c r="Q134" s="118">
        <f t="shared" si="193"/>
        <v>-4.1600431755239753E-2</v>
      </c>
      <c r="R134" s="128"/>
      <c r="S134" s="20">
        <f t="shared" ref="S134" si="278">S25/S14</f>
        <v>9.6242171189979135</v>
      </c>
      <c r="T134" s="20">
        <f t="shared" ref="T134:AB134" si="279">T25/T14</f>
        <v>9.6242171189979118</v>
      </c>
      <c r="U134" s="20">
        <f t="shared" si="279"/>
        <v>9.6242171189979118</v>
      </c>
      <c r="V134" s="20">
        <f t="shared" si="279"/>
        <v>9.6242171189979118</v>
      </c>
      <c r="W134" s="20">
        <f t="shared" si="279"/>
        <v>9.6242171189979118</v>
      </c>
      <c r="X134" s="20">
        <f t="shared" si="279"/>
        <v>9.6242171189979118</v>
      </c>
      <c r="Y134" s="20">
        <f t="shared" si="279"/>
        <v>9.62421711899791</v>
      </c>
      <c r="Z134" s="20">
        <f t="shared" si="279"/>
        <v>9.6242171189979118</v>
      </c>
      <c r="AA134" s="20">
        <f t="shared" si="279"/>
        <v>9.6242171189979118</v>
      </c>
      <c r="AB134" s="20">
        <f t="shared" si="279"/>
        <v>9.6242171189979118</v>
      </c>
      <c r="AC134" s="118">
        <f t="shared" si="264"/>
        <v>0</v>
      </c>
      <c r="AD134" s="20"/>
      <c r="AE134" s="20"/>
    </row>
    <row r="135" spans="2:31" x14ac:dyDescent="0.2">
      <c r="B135" s="20" t="s">
        <v>375</v>
      </c>
      <c r="C135" s="20"/>
      <c r="D135" s="20"/>
      <c r="E135" s="20"/>
      <c r="F135" s="20"/>
      <c r="G135" s="180">
        <f>G27/G14</f>
        <v>12.484394506866417</v>
      </c>
      <c r="H135" s="180">
        <f t="shared" ref="H135:P135" si="280">H27/H14</f>
        <v>6.0835435940566303</v>
      </c>
      <c r="I135" s="180">
        <f t="shared" si="280"/>
        <v>7.2936660268714011</v>
      </c>
      <c r="J135" s="180">
        <f t="shared" si="280"/>
        <v>4.1987129179092761</v>
      </c>
      <c r="K135" s="180">
        <f t="shared" si="280"/>
        <v>5.4763478425077894</v>
      </c>
      <c r="L135" s="180">
        <f t="shared" si="280"/>
        <v>4.4600011291142101</v>
      </c>
      <c r="M135" s="180">
        <f t="shared" si="280"/>
        <v>8.3089214380825567</v>
      </c>
      <c r="N135" s="180">
        <f t="shared" si="280"/>
        <v>6.7692307692307692</v>
      </c>
      <c r="O135" s="180">
        <f t="shared" si="280"/>
        <v>5.595092024539877</v>
      </c>
      <c r="P135" s="180">
        <f t="shared" si="280"/>
        <v>5.4592901878914404</v>
      </c>
      <c r="Q135" s="118">
        <f t="shared" si="193"/>
        <v>-8.7809782124820268E-2</v>
      </c>
      <c r="R135" s="128"/>
      <c r="S135" s="20">
        <f t="shared" ref="S135:AB135" si="281">S27/S14</f>
        <v>5.4592901878914404</v>
      </c>
      <c r="T135" s="20">
        <f t="shared" si="281"/>
        <v>5.4592901878914404</v>
      </c>
      <c r="U135" s="20">
        <f t="shared" si="281"/>
        <v>5.4592901878914404</v>
      </c>
      <c r="V135" s="20">
        <f t="shared" si="281"/>
        <v>5.4592901878914404</v>
      </c>
      <c r="W135" s="20">
        <f t="shared" si="281"/>
        <v>5.4592901878914404</v>
      </c>
      <c r="X135" s="20">
        <f t="shared" si="281"/>
        <v>5.4592901878914404</v>
      </c>
      <c r="Y135" s="20">
        <f t="shared" si="281"/>
        <v>5.4592901878914404</v>
      </c>
      <c r="Z135" s="20">
        <f t="shared" si="281"/>
        <v>5.4592901878914404</v>
      </c>
      <c r="AA135" s="20">
        <f t="shared" si="281"/>
        <v>5.4592901878914413</v>
      </c>
      <c r="AB135" s="20">
        <f t="shared" si="281"/>
        <v>5.4592901878914413</v>
      </c>
      <c r="AC135" s="118">
        <f t="shared" si="264"/>
        <v>0</v>
      </c>
      <c r="AD135" s="20"/>
      <c r="AE135" s="20"/>
    </row>
    <row r="136" spans="2:31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128"/>
      <c r="R136" s="128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37"/>
      <c r="AD136" s="20"/>
      <c r="AE136" s="20"/>
    </row>
    <row r="137" spans="2:31" x14ac:dyDescent="0.2">
      <c r="B137" s="108" t="s">
        <v>244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3"/>
      <c r="R137" s="23"/>
      <c r="S137" s="122" t="s">
        <v>66</v>
      </c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3" t="s">
        <v>280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5"/>
      <c r="Q138" s="160">
        <f>AVERAGE(G53:P53)</f>
        <v>7.9711504274834351</v>
      </c>
      <c r="R138" s="23"/>
      <c r="S138" s="134"/>
      <c r="T138" s="20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25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>S139+T139</f>
        <v>11.914136713710484</v>
      </c>
      <c r="S139" s="133">
        <f>PV($C$1, ($AB$3-$S$3), 0, -AB53)</f>
        <v>1.6601665912547394</v>
      </c>
      <c r="T139" s="133">
        <f>PV($C$1, ($AB$3-$S$3), 0, -AE53)</f>
        <v>10.253970122455744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272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ref="R140:R158" si="282">S140+T140</f>
        <v>95.648703194577138</v>
      </c>
      <c r="S140" s="133">
        <f>PV($C$1, ($AB$3-$S$3), 0, -AB55)</f>
        <v>13.328097986129599</v>
      </c>
      <c r="T140" s="133">
        <f>PV($C$1, ($AB$3-$S$3), 0, -AE55)</f>
        <v>82.320605208447532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273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282"/>
        <v>89.775537208945209</v>
      </c>
      <c r="S141" s="133">
        <f>PV($C$1, ($AB$3-$S$3), 0, -AB56)</f>
        <v>12.509706004525151</v>
      </c>
      <c r="T141" s="133">
        <f>PV($C$1, ($AB$3-$S$3), 0, -AE56)</f>
        <v>77.265831204420053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274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282"/>
        <v>2.3308078725836427</v>
      </c>
      <c r="S142" s="133">
        <f>PV($C$1, ($AB$3-$S$3), 0, -AB57)</f>
        <v>0.32478470355673705</v>
      </c>
      <c r="T142" s="133">
        <f>PV($C$1, ($AB$3-$S$3), 0, -AE57)</f>
        <v>2.0060231690269057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275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si="282"/>
        <v>12.585355683496992</v>
      </c>
      <c r="S143" s="133">
        <f>PV($C$1, ($AB$3-$S$3), 0, -AB63)</f>
        <v>1.7536971034381053</v>
      </c>
      <c r="T143" s="133">
        <f>PV($C$1, ($AB$3-$S$3), 0, -AE63)</f>
        <v>10.831658580058887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20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270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82"/>
        <v>93.317895321993475</v>
      </c>
      <c r="S145" s="133">
        <f>PV($C$1, ($AB$3-$S$3), 0, -AB59)</f>
        <v>13.00331328257286</v>
      </c>
      <c r="T145" s="133">
        <f>PV($C$1, ($AB$3-$S$3), 0, -$AE$59)</f>
        <v>80.314582039420614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271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282"/>
        <v>-15.419577783420529</v>
      </c>
      <c r="S146" s="133">
        <f>PV($C$1, ($AB$3-$S$3), 0, -AB60)</f>
        <v>-2.1486296911323688</v>
      </c>
      <c r="T146" s="133">
        <f>PV($C$1, ($AB$3-$S$3), 0, -$AE$60)</f>
        <v>-13.27094809228816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276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si="282"/>
        <v>138.28956629768939</v>
      </c>
      <c r="S147" s="133">
        <f>PV($C$1, ($AB$3-$S$3), 0, -AB61)</f>
        <v>19.269857598858358</v>
      </c>
      <c r="T147" s="133">
        <f>PV($C$1, ($AB$3-$S$3), 0, -$AE$61)</f>
        <v>119.01970869883104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/>
      <c r="S148" s="133"/>
      <c r="T148" s="20"/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249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82"/>
        <v>153.70914408110994</v>
      </c>
      <c r="S149" s="133">
        <f>PV($C$1, ($AB$3-$S$3), 0, -AB66)</f>
        <v>21.418487289990725</v>
      </c>
      <c r="T149" s="133">
        <f>PV($C$1, ($AB$3-$S$3), 0, -AE66)</f>
        <v>132.2906567911192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 t="s">
        <v>250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82"/>
        <v>38.900190294445245</v>
      </c>
      <c r="S150" s="133">
        <f>PV($C$1, ($AB$3-$S$3), 0, -AB67)</f>
        <v>7.014788413752421</v>
      </c>
      <c r="T150" s="133">
        <f>PV($C$1, ($AB$3-$S$3), 0, -AE67)</f>
        <v>31.885401880692822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 t="shared" ref="R152" si="283">S152+T152</f>
        <v>363.6738717360393</v>
      </c>
      <c r="S152" s="133">
        <f>PV($C$1, ($AB$3-$S$3), 0, -AB12)</f>
        <v>50.67586737305465</v>
      </c>
      <c r="T152" s="133">
        <f>PV($C$1, ($AB$3-$S$3), 0, -AE12)</f>
        <v>312.99800436298466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 t="s">
        <v>294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>
        <f>S153+T153</f>
        <v>20.500218248931191</v>
      </c>
      <c r="S153" s="140">
        <f>S152/P42</f>
        <v>2.8565877887854936</v>
      </c>
      <c r="T153" s="140">
        <f>T152/P42</f>
        <v>17.643630460145697</v>
      </c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40"/>
      <c r="T154" s="14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108" t="s">
        <v>297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/>
      <c r="S155" s="133"/>
      <c r="T155" s="133"/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0" t="s">
        <v>282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>
        <f t="shared" ref="R156" si="284">S156+T156</f>
        <v>15.352229597135009</v>
      </c>
      <c r="S156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12.630093047018558</v>
      </c>
      <c r="T156" s="133">
        <f>PV($C$1, ($AB$3-$S$3), 0, -AE69)</f>
        <v>2.7221365501164514</v>
      </c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3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/>
      <c r="S157" s="133"/>
      <c r="T157" s="133"/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 t="s">
        <v>290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>
        <f t="shared" si="282"/>
        <v>952.5220971256324</v>
      </c>
      <c r="S158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783.62837397136582</v>
      </c>
      <c r="T158" s="133">
        <f>PV($C$1, ($AB$3-$S$3), 0, -AE71)</f>
        <v>168.89372315426652</v>
      </c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/>
      <c r="S159" s="133"/>
      <c r="T159" s="133"/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286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ref="R160:R163" si="285">S160+T160</f>
        <v>32.963130761886362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27.118367792086584</v>
      </c>
      <c r="T160" s="133">
        <f>PV($C$1, ($AB$3-$S$3), 0, -AE73)</f>
        <v>5.8447629697997749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287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285"/>
        <v>16.510073154026106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13.582636895122191</v>
      </c>
      <c r="T161" s="133">
        <f>PV($C$1, ($AB$3-$S$3), 0, -AE74)</f>
        <v>2.927436258903914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288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285"/>
        <v>16.453057607860252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13.535730896964392</v>
      </c>
      <c r="T162" s="133">
        <f>PV($C$1, ($AB$3-$S$3), 0, -AE75)</f>
        <v>2.9173267108958596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 t="s">
        <v>289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>
        <f t="shared" si="285"/>
        <v>-39.910882316096654</v>
      </c>
      <c r="S163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-32.834198710458182</v>
      </c>
      <c r="T163" s="133">
        <f>PV($C$1, ($AB$3-$S$3), 0, -AE76)</f>
        <v>-7.076683605638471</v>
      </c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/>
      <c r="S164" s="133"/>
      <c r="T164" s="133"/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 t="s">
        <v>298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40">
        <f>S165+T165</f>
        <v>22.17090238049288</v>
      </c>
      <c r="S165" s="133">
        <f>PV($C$1, ($AB$3-$S$3), 0, -AB77)+PV($C$1, ($AA$3-$S$3), 0, -AB77)+PV($C$1, ($Z$3-$S$3), 0, -AB77)+PV($C$1, ($Y$3-$S$3), 0, -AB77)+PV($C$1, ($X$3-$S$3), 0, -AB77)+PV($C$1, ($W$3-$S$3), 0, -AB77)+PV($C$1, ($V$3-$S$3), 0, -AB77)+PV($C$1, ($U$3-$S$3), 0, -AB77)+PV($C$1, ($T$3-$S$3), 0, -AB77)+PV($C$1, ($S$3-$S$3), 0, -AB77)</f>
        <v>18.239732426503508</v>
      </c>
      <c r="T165" s="133">
        <f>PV($C$1, ($AB$3-$S$3), 0, -AE77)</f>
        <v>3.9311699539893721</v>
      </c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183">
        <v>41729</v>
      </c>
      <c r="P166" s="20">
        <v>35</v>
      </c>
      <c r="Q166" s="20"/>
      <c r="R166" s="20"/>
      <c r="S166" s="121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108" t="s">
        <v>251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3" t="s">
        <v>390</v>
      </c>
      <c r="P167" s="20">
        <v>55</v>
      </c>
      <c r="Q167" s="20">
        <v>35</v>
      </c>
      <c r="R167" s="23" t="s">
        <v>391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 t="s">
        <v>204</v>
      </c>
      <c r="C168" s="22">
        <v>0</v>
      </c>
      <c r="D168" s="22">
        <v>0</v>
      </c>
      <c r="E168" s="22">
        <v>0</v>
      </c>
      <c r="F168" s="22">
        <v>0</v>
      </c>
      <c r="G168" s="22">
        <v>98</v>
      </c>
      <c r="H168" s="22">
        <v>430</v>
      </c>
      <c r="I168" s="22">
        <v>150</v>
      </c>
      <c r="J168" s="22">
        <v>370</v>
      </c>
      <c r="K168" s="22">
        <v>120</v>
      </c>
      <c r="L168" s="22">
        <v>52</v>
      </c>
      <c r="M168" s="22">
        <v>85</v>
      </c>
      <c r="N168" s="22">
        <v>69</v>
      </c>
      <c r="O168" s="22">
        <v>75</v>
      </c>
      <c r="P168" s="22">
        <v>55</v>
      </c>
      <c r="Q168" s="118">
        <f t="shared" ref="Q168:Q173" si="286">((P168/G168)^(1/($H$2-$H$1) ))-1</f>
        <v>-6.2165315606933946E-2</v>
      </c>
      <c r="R168" s="31">
        <f>L2-3%</f>
        <v>0.12</v>
      </c>
      <c r="S168" s="119">
        <f t="shared" ref="S168" si="287">P168*(1+$R168)</f>
        <v>61.600000000000009</v>
      </c>
      <c r="T168" s="119">
        <f t="shared" ref="T168:AB168" si="288">S168*(1+$R168)</f>
        <v>68.992000000000019</v>
      </c>
      <c r="U168" s="119">
        <f t="shared" si="288"/>
        <v>77.271040000000028</v>
      </c>
      <c r="V168" s="119">
        <f t="shared" si="288"/>
        <v>86.543564800000041</v>
      </c>
      <c r="W168" s="119">
        <f t="shared" si="288"/>
        <v>96.928792576000049</v>
      </c>
      <c r="X168" s="119">
        <f t="shared" si="288"/>
        <v>108.56024768512006</v>
      </c>
      <c r="Y168" s="119">
        <f t="shared" si="288"/>
        <v>121.58747740733448</v>
      </c>
      <c r="Z168" s="119">
        <f t="shared" si="288"/>
        <v>136.17797469621462</v>
      </c>
      <c r="AA168" s="119">
        <f t="shared" si="288"/>
        <v>152.51933165976038</v>
      </c>
      <c r="AB168" s="119">
        <f t="shared" si="288"/>
        <v>170.82165145893165</v>
      </c>
      <c r="AC168" s="138">
        <f t="shared" ref="AC168:AC173" si="289">((AB168/G168)^(1/($AB$3-$H$1) ))-1</f>
        <v>2.967670214678475E-2</v>
      </c>
      <c r="AD168" s="31">
        <v>0.08</v>
      </c>
      <c r="AE168" s="127">
        <f t="shared" ref="AE168:AE176" si="290">(AB168*(1+AC168))/($C$1-AD168)</f>
        <v>1256.3648194964303</v>
      </c>
    </row>
    <row r="169" spans="2:31" x14ac:dyDescent="0.2">
      <c r="B169" s="20" t="s">
        <v>361</v>
      </c>
      <c r="C169" s="25" t="e">
        <f t="shared" ref="C169:P169" si="291">C168/C50</f>
        <v>#DIV/0!</v>
      </c>
      <c r="D169" s="25" t="e">
        <f t="shared" si="291"/>
        <v>#DIV/0!</v>
      </c>
      <c r="E169" s="25" t="e">
        <f t="shared" si="291"/>
        <v>#DIV/0!</v>
      </c>
      <c r="F169" s="25" t="e">
        <f t="shared" si="291"/>
        <v>#DIV/0!</v>
      </c>
      <c r="G169" s="25">
        <f t="shared" si="291"/>
        <v>0.70247787610619472</v>
      </c>
      <c r="H169" s="25">
        <f t="shared" si="291"/>
        <v>1.3987951807228916</v>
      </c>
      <c r="I169" s="25">
        <f t="shared" si="291"/>
        <v>4.590566037735849</v>
      </c>
      <c r="J169" s="25">
        <f t="shared" si="291"/>
        <v>4.7758461538461541</v>
      </c>
      <c r="K169" s="25">
        <f t="shared" si="291"/>
        <v>2.8910526315789471</v>
      </c>
      <c r="L169" s="25">
        <f t="shared" si="291"/>
        <v>1.0102542372881356</v>
      </c>
      <c r="M169" s="25">
        <f t="shared" si="291"/>
        <v>2.0576015727391872</v>
      </c>
      <c r="N169" s="25">
        <f t="shared" si="291"/>
        <v>1.8416618497109825</v>
      </c>
      <c r="O169" s="25">
        <f t="shared" si="291"/>
        <v>1.282142857142857</v>
      </c>
      <c r="P169" s="25">
        <f t="shared" si="291"/>
        <v>1.0582429501084598</v>
      </c>
      <c r="Q169" s="118">
        <f t="shared" ref="Q169" si="292">((P169/G169)^(1/($H$2-$H$1) ))-1</f>
        <v>4.6580228204593732E-2</v>
      </c>
      <c r="R169" s="128"/>
      <c r="S169" s="25">
        <f t="shared" ref="S169:AB169" si="293">S168/S50</f>
        <v>1.0821684428935208</v>
      </c>
      <c r="T169" s="25">
        <f t="shared" si="293"/>
        <v>1.1066348598632878</v>
      </c>
      <c r="U169" s="25">
        <f t="shared" si="293"/>
        <v>1.1316544306080234</v>
      </c>
      <c r="V169" s="25">
        <f t="shared" si="293"/>
        <v>1.1572396612130742</v>
      </c>
      <c r="W169" s="25">
        <f t="shared" si="293"/>
        <v>1.1834033405100657</v>
      </c>
      <c r="X169" s="25">
        <f t="shared" si="293"/>
        <v>1.210158546469424</v>
      </c>
      <c r="Y169" s="25">
        <f t="shared" si="293"/>
        <v>1.2375186527374289</v>
      </c>
      <c r="Z169" s="25">
        <f t="shared" si="293"/>
        <v>1.2654973353210579</v>
      </c>
      <c r="AA169" s="25">
        <f t="shared" si="293"/>
        <v>1.2941085794239688</v>
      </c>
      <c r="AB169" s="25">
        <f t="shared" si="293"/>
        <v>1.323366686437033</v>
      </c>
      <c r="AC169" s="138">
        <f t="shared" ref="AC169" si="294">((AB169/G169)^(1/($AB$3-$H$1) ))-1</f>
        <v>3.3894408701756307E-2</v>
      </c>
      <c r="AD169" s="31">
        <v>0.08</v>
      </c>
      <c r="AE169" s="127">
        <f t="shared" ref="AE169" si="295">(AB169*(1+AC169))/($C$1-AD169)</f>
        <v>9.7730101269244187</v>
      </c>
    </row>
    <row r="170" spans="2:31" x14ac:dyDescent="0.2">
      <c r="B170" s="20" t="s">
        <v>389</v>
      </c>
      <c r="C170" s="25" t="e">
        <f t="shared" ref="C170:P170" si="296">C168/C53</f>
        <v>#DIV/0!</v>
      </c>
      <c r="D170" s="25" t="e">
        <f t="shared" si="296"/>
        <v>#DIV/0!</v>
      </c>
      <c r="E170" s="25" t="e">
        <f t="shared" si="296"/>
        <v>#DIV/0!</v>
      </c>
      <c r="F170" s="25" t="e">
        <f t="shared" si="296"/>
        <v>#DIV/0!</v>
      </c>
      <c r="G170" s="25">
        <f t="shared" si="296"/>
        <v>11.340000000000002</v>
      </c>
      <c r="H170" s="25">
        <f t="shared" si="296"/>
        <v>16.585714285714285</v>
      </c>
      <c r="I170" s="25">
        <f t="shared" si="296"/>
        <v>52.891304347826079</v>
      </c>
      <c r="J170" s="25">
        <f t="shared" si="296"/>
        <v>36.096511627906978</v>
      </c>
      <c r="K170" s="25">
        <f t="shared" si="296"/>
        <v>14.550993377483444</v>
      </c>
      <c r="L170" s="25">
        <f t="shared" si="296"/>
        <v>8.1511111111111099</v>
      </c>
      <c r="M170" s="25">
        <f t="shared" si="296"/>
        <v>13.192857142857143</v>
      </c>
      <c r="N170" s="25">
        <f t="shared" si="296"/>
        <v>22.358421052631577</v>
      </c>
      <c r="O170" s="25">
        <f t="shared" si="296"/>
        <v>19.232142857142858</v>
      </c>
      <c r="P170" s="25">
        <f t="shared" si="296"/>
        <v>13.742253521126759</v>
      </c>
      <c r="Q170" s="118">
        <f t="shared" si="286"/>
        <v>2.1578291814914108E-2</v>
      </c>
      <c r="R170" s="128"/>
      <c r="S170" s="119">
        <f t="shared" ref="S170:AB170" si="297">S168/S53</f>
        <v>14.052947948560933</v>
      </c>
      <c r="T170" s="119">
        <f t="shared" si="297"/>
        <v>14.370666771745794</v>
      </c>
      <c r="U170" s="119">
        <f t="shared" si="297"/>
        <v>14.695568803107006</v>
      </c>
      <c r="V170" s="119">
        <f t="shared" si="297"/>
        <v>15.027816445612038</v>
      </c>
      <c r="W170" s="119">
        <f t="shared" si="297"/>
        <v>15.367575773947618</v>
      </c>
      <c r="X170" s="119">
        <f t="shared" si="297"/>
        <v>15.715016617532523</v>
      </c>
      <c r="Y170" s="119">
        <f t="shared" si="297"/>
        <v>16.070312645407174</v>
      </c>
      <c r="Z170" s="119">
        <f t="shared" si="297"/>
        <v>16.433641453042469</v>
      </c>
      <c r="AA170" s="119">
        <f t="shared" si="297"/>
        <v>16.805184651111258</v>
      </c>
      <c r="AB170" s="119">
        <f t="shared" si="297"/>
        <v>17.185127956266822</v>
      </c>
      <c r="AC170" s="138">
        <f t="shared" si="289"/>
        <v>2.2120480134815379E-2</v>
      </c>
      <c r="AD170" s="31">
        <v>0.08</v>
      </c>
      <c r="AE170" s="127">
        <f t="shared" si="290"/>
        <v>125.46622312741199</v>
      </c>
    </row>
    <row r="171" spans="2:31" x14ac:dyDescent="0.2">
      <c r="B171" s="20" t="s">
        <v>258</v>
      </c>
      <c r="C171" s="25" t="e">
        <f t="shared" ref="C171:P171" si="298">C168/C56</f>
        <v>#DIV/0!</v>
      </c>
      <c r="D171" s="25" t="e">
        <f t="shared" si="298"/>
        <v>#DIV/0!</v>
      </c>
      <c r="E171" s="25" t="e">
        <f t="shared" si="298"/>
        <v>#DIV/0!</v>
      </c>
      <c r="F171" s="25" t="e">
        <f t="shared" si="298"/>
        <v>#DIV/0!</v>
      </c>
      <c r="G171" s="25">
        <f t="shared" si="298"/>
        <v>3.451304347826087</v>
      </c>
      <c r="H171" s="25">
        <f t="shared" si="298"/>
        <v>10.244117647058825</v>
      </c>
      <c r="I171" s="25">
        <f t="shared" si="298"/>
        <v>32.013157894736842</v>
      </c>
      <c r="J171" s="25">
        <f t="shared" si="298"/>
        <v>23.879230769230769</v>
      </c>
      <c r="K171" s="25">
        <f t="shared" si="298"/>
        <v>7.0198083067092654</v>
      </c>
      <c r="L171" s="25">
        <f t="shared" si="298"/>
        <v>2.396180904522613</v>
      </c>
      <c r="M171" s="25">
        <f t="shared" si="298"/>
        <v>3.2039795918367346</v>
      </c>
      <c r="N171" s="25">
        <f t="shared" si="298"/>
        <v>2.4461228406909785</v>
      </c>
      <c r="O171" s="25">
        <f t="shared" si="298"/>
        <v>2.6039651837524178</v>
      </c>
      <c r="P171" s="25">
        <f t="shared" si="298"/>
        <v>1.823738317757009</v>
      </c>
      <c r="Q171" s="118">
        <f t="shared" si="286"/>
        <v>-6.8420510237999221E-2</v>
      </c>
      <c r="R171" s="128"/>
      <c r="S171" s="119">
        <f t="shared" ref="S171:AB171" si="299">S168/S56</f>
        <v>1.8649706623323854</v>
      </c>
      <c r="T171" s="119">
        <f t="shared" si="299"/>
        <v>1.9071352164372923</v>
      </c>
      <c r="U171" s="119">
        <f t="shared" si="299"/>
        <v>1.950253056113266</v>
      </c>
      <c r="V171" s="119">
        <f t="shared" si="299"/>
        <v>1.9943457339036532</v>
      </c>
      <c r="W171" s="119">
        <f t="shared" si="299"/>
        <v>2.039435289626693</v>
      </c>
      <c r="X171" s="119">
        <f t="shared" si="299"/>
        <v>2.0855442613921662</v>
      </c>
      <c r="Y171" s="119">
        <f t="shared" si="299"/>
        <v>2.1326956968671196</v>
      </c>
      <c r="Z171" s="119">
        <f t="shared" si="299"/>
        <v>2.1809131647962898</v>
      </c>
      <c r="AA171" s="119">
        <f t="shared" si="299"/>
        <v>2.2302207667829888</v>
      </c>
      <c r="AB171" s="119">
        <f t="shared" si="299"/>
        <v>2.2806431493363442</v>
      </c>
      <c r="AC171" s="138">
        <f t="shared" si="289"/>
        <v>-2.1568976381426519E-2</v>
      </c>
      <c r="AD171" s="31">
        <v>0.08</v>
      </c>
      <c r="AE171" s="127">
        <f t="shared" si="290"/>
        <v>15.938942936527472</v>
      </c>
    </row>
    <row r="172" spans="2:31" x14ac:dyDescent="0.2">
      <c r="B172" s="20" t="s">
        <v>259</v>
      </c>
      <c r="C172" s="25" t="e">
        <f t="shared" ref="C172:P172" si="300">C168/C65</f>
        <v>#DIV/0!</v>
      </c>
      <c r="D172" s="25" t="e">
        <f t="shared" si="300"/>
        <v>#DIV/0!</v>
      </c>
      <c r="E172" s="25" t="e">
        <f t="shared" si="300"/>
        <v>#DIV/0!</v>
      </c>
      <c r="F172" s="25" t="e">
        <f t="shared" si="300"/>
        <v>#DIV/0!</v>
      </c>
      <c r="G172" s="25">
        <f t="shared" si="300"/>
        <v>4.6666666666666679</v>
      </c>
      <c r="H172" s="25">
        <f t="shared" si="300"/>
        <v>15.831818181818182</v>
      </c>
      <c r="I172" s="25">
        <f t="shared" si="300"/>
        <v>22.952830188679243</v>
      </c>
      <c r="J172" s="25">
        <f t="shared" si="300"/>
        <v>16.512234042553192</v>
      </c>
      <c r="K172" s="25">
        <f t="shared" si="300"/>
        <v>8.1985074626865675</v>
      </c>
      <c r="L172" s="25">
        <f t="shared" si="300"/>
        <v>4.0582127659574461</v>
      </c>
      <c r="M172" s="25">
        <f t="shared" si="300"/>
        <v>5.1305555555555546</v>
      </c>
      <c r="N172" s="25">
        <f t="shared" si="300"/>
        <v>3.7929464285714283</v>
      </c>
      <c r="O172" s="25">
        <f t="shared" si="300"/>
        <v>4.2468454258675079</v>
      </c>
      <c r="P172" s="25">
        <f t="shared" si="300"/>
        <v>10.841111111111111</v>
      </c>
      <c r="Q172" s="118">
        <f t="shared" si="286"/>
        <v>9.8181473287110688E-2</v>
      </c>
      <c r="R172" s="128"/>
      <c r="S172" s="119">
        <f t="shared" ref="S172:AB172" si="301">S168/S65</f>
        <v>11.086214492753625</v>
      </c>
      <c r="T172" s="119">
        <f t="shared" si="301"/>
        <v>11.336859342155014</v>
      </c>
      <c r="U172" s="119">
        <f t="shared" si="301"/>
        <v>11.593170944673304</v>
      </c>
      <c r="V172" s="119">
        <f t="shared" si="301"/>
        <v>11.85527741820505</v>
      </c>
      <c r="W172" s="119">
        <f t="shared" si="301"/>
        <v>12.123309777225339</v>
      </c>
      <c r="X172" s="119">
        <f t="shared" si="301"/>
        <v>12.397401998275653</v>
      </c>
      <c r="Y172" s="119">
        <f t="shared" si="301"/>
        <v>12.677691086932322</v>
      </c>
      <c r="Z172" s="119">
        <f t="shared" si="301"/>
        <v>12.964317146289055</v>
      </c>
      <c r="AA172" s="119">
        <f t="shared" si="301"/>
        <v>13.257423446987769</v>
      </c>
      <c r="AB172" s="119">
        <f t="shared" si="301"/>
        <v>13.557156498832711</v>
      </c>
      <c r="AC172" s="138">
        <f t="shared" si="289"/>
        <v>5.7735153753802892E-2</v>
      </c>
      <c r="AD172" s="31">
        <v>0.08</v>
      </c>
      <c r="AE172" s="127">
        <f t="shared" si="290"/>
        <v>102.42772152683703</v>
      </c>
    </row>
    <row r="173" spans="2:31" x14ac:dyDescent="0.2">
      <c r="B173" s="20" t="s">
        <v>260</v>
      </c>
      <c r="C173" s="25" t="e">
        <f t="shared" ref="C173:P173" si="302">C168/C67</f>
        <v>#DIV/0!</v>
      </c>
      <c r="D173" s="25" t="e">
        <f t="shared" si="302"/>
        <v>#DIV/0!</v>
      </c>
      <c r="E173" s="25" t="e">
        <f t="shared" si="302"/>
        <v>#DIV/0!</v>
      </c>
      <c r="F173" s="25" t="e">
        <f t="shared" si="302"/>
        <v>#DIV/0!</v>
      </c>
      <c r="G173" s="25">
        <f t="shared" si="302"/>
        <v>3.451304347826087</v>
      </c>
      <c r="H173" s="25">
        <f t="shared" si="302"/>
        <v>31.663636363636364</v>
      </c>
      <c r="I173" s="25">
        <f t="shared" si="302"/>
        <v>-95.039062499999986</v>
      </c>
      <c r="J173" s="25">
        <f t="shared" si="302"/>
        <v>-46.332835820895525</v>
      </c>
      <c r="K173" s="25">
        <f t="shared" si="302"/>
        <v>-199.74545454545455</v>
      </c>
      <c r="L173" s="25">
        <f t="shared" si="302"/>
        <v>8.9128971962616816</v>
      </c>
      <c r="M173" s="25">
        <f t="shared" si="302"/>
        <v>13.082916666666666</v>
      </c>
      <c r="N173" s="25">
        <f t="shared" si="302"/>
        <v>8.9120979020979014</v>
      </c>
      <c r="O173" s="25">
        <f t="shared" si="302"/>
        <v>6.9394329896907214</v>
      </c>
      <c r="P173" s="25">
        <f t="shared" si="302"/>
        <v>3.2523333333333331</v>
      </c>
      <c r="Q173" s="118">
        <f t="shared" si="286"/>
        <v>-6.5760098937349687E-3</v>
      </c>
      <c r="R173" s="128"/>
      <c r="S173" s="119">
        <f t="shared" ref="S173:AB173" si="303">S168/S67</f>
        <v>3.3258643478260872</v>
      </c>
      <c r="T173" s="119">
        <f t="shared" si="303"/>
        <v>3.4010578026465041</v>
      </c>
      <c r="U173" s="119">
        <f t="shared" si="303"/>
        <v>3.4779512834019912</v>
      </c>
      <c r="V173" s="119">
        <f t="shared" si="303"/>
        <v>3.5565832254615151</v>
      </c>
      <c r="W173" s="119">
        <f t="shared" si="303"/>
        <v>3.6369929331676012</v>
      </c>
      <c r="X173" s="119">
        <f t="shared" si="303"/>
        <v>3.7192205994826959</v>
      </c>
      <c r="Y173" s="119">
        <f t="shared" si="303"/>
        <v>3.8033073260796968</v>
      </c>
      <c r="Z173" s="119">
        <f t="shared" si="303"/>
        <v>3.8892951438867169</v>
      </c>
      <c r="AA173" s="119">
        <f t="shared" si="303"/>
        <v>3.9772270340963307</v>
      </c>
      <c r="AB173" s="119">
        <f t="shared" si="303"/>
        <v>4.0671469496498132</v>
      </c>
      <c r="AC173" s="138">
        <f t="shared" si="289"/>
        <v>8.6790000694254577E-3</v>
      </c>
      <c r="AD173" s="31">
        <v>0.08</v>
      </c>
      <c r="AE173" s="127">
        <f t="shared" si="290"/>
        <v>29.303183702201338</v>
      </c>
    </row>
    <row r="174" spans="2:31" x14ac:dyDescent="0.2">
      <c r="B174" s="20" t="s">
        <v>281</v>
      </c>
      <c r="C174" s="25" t="e">
        <f>C170/C120</f>
        <v>#DIV/0!</v>
      </c>
      <c r="D174" s="25" t="e">
        <f>D170/D120</f>
        <v>#DIV/0!</v>
      </c>
      <c r="E174" s="25" t="e">
        <f>E170/E120</f>
        <v>#DIV/0!</v>
      </c>
      <c r="F174" s="25" t="e">
        <f>F170/F120</f>
        <v>#DIV/0!</v>
      </c>
      <c r="G174" s="182">
        <f t="shared" ref="G174:P174" si="304">G168/G61</f>
        <v>1.6134146341463416</v>
      </c>
      <c r="H174" s="182">
        <f t="shared" si="304"/>
        <v>5.0478260869565226</v>
      </c>
      <c r="I174" s="182">
        <f t="shared" si="304"/>
        <v>18.301489393711449</v>
      </c>
      <c r="J174" s="182">
        <f t="shared" si="304"/>
        <v>33.401119001506352</v>
      </c>
      <c r="K174" s="182">
        <f t="shared" si="304"/>
        <v>6.1310935625191831</v>
      </c>
      <c r="L174" s="182">
        <f t="shared" si="304"/>
        <v>1.9079705505761844</v>
      </c>
      <c r="M174" s="182">
        <f t="shared" si="304"/>
        <v>2.5694762684124384</v>
      </c>
      <c r="N174" s="182">
        <f t="shared" si="304"/>
        <v>1.9636825885978428</v>
      </c>
      <c r="O174" s="182">
        <f t="shared" si="304"/>
        <v>1.902423514449233</v>
      </c>
      <c r="P174" s="182">
        <f t="shared" si="304"/>
        <v>1.1839438909854267</v>
      </c>
      <c r="Q174" s="118">
        <f t="shared" ref="Q174:Q177" si="305">((P174/G174)^(1/($H$2-$H$1) ))-1</f>
        <v>-3.3804491330721498E-2</v>
      </c>
      <c r="R174" s="128"/>
      <c r="S174" s="135">
        <f t="shared" ref="S174:AB174" si="306">S168/S61</f>
        <v>1.210711318085967</v>
      </c>
      <c r="T174" s="135">
        <f t="shared" si="306"/>
        <v>1.2380839217992157</v>
      </c>
      <c r="U174" s="135">
        <f t="shared" si="306"/>
        <v>1.2660753843790236</v>
      </c>
      <c r="V174" s="135">
        <f t="shared" si="306"/>
        <v>1.2946996974171585</v>
      </c>
      <c r="W174" s="135">
        <f t="shared" si="306"/>
        <v>1.323971168837025</v>
      </c>
      <c r="X174" s="135">
        <f t="shared" si="306"/>
        <v>1.3539044300455143</v>
      </c>
      <c r="Y174" s="135">
        <f t="shared" si="306"/>
        <v>1.3845144432465437</v>
      </c>
      <c r="Z174" s="135">
        <f t="shared" si="306"/>
        <v>1.4158165089199441</v>
      </c>
      <c r="AA174" s="135">
        <f t="shared" si="306"/>
        <v>1.4478262734694389</v>
      </c>
      <c r="AB174" s="135">
        <f t="shared" si="306"/>
        <v>1.4805597370435306</v>
      </c>
      <c r="AC174" s="138">
        <f t="shared" ref="AC174" si="307">((AB174/G174)^(1/($AB$3-$H$1) ))-1</f>
        <v>-4.5125564659679318E-3</v>
      </c>
      <c r="AD174" s="31">
        <v>0.08</v>
      </c>
      <c r="AE174" s="127">
        <f t="shared" si="290"/>
        <v>10.527704483063451</v>
      </c>
    </row>
    <row r="175" spans="2:31" x14ac:dyDescent="0.2">
      <c r="B175" s="20" t="s">
        <v>371</v>
      </c>
      <c r="C175" s="161" t="e">
        <f t="shared" ref="C175:P175" si="308">C53/C168</f>
        <v>#DIV/0!</v>
      </c>
      <c r="D175" s="161" t="e">
        <f t="shared" si="308"/>
        <v>#DIV/0!</v>
      </c>
      <c r="E175" s="161" t="e">
        <f t="shared" si="308"/>
        <v>#DIV/0!</v>
      </c>
      <c r="F175" s="161" t="e">
        <f t="shared" si="308"/>
        <v>#DIV/0!</v>
      </c>
      <c r="G175" s="161">
        <f t="shared" si="308"/>
        <v>8.8183421516754845E-2</v>
      </c>
      <c r="H175" s="161">
        <f t="shared" si="308"/>
        <v>6.0292850990525407E-2</v>
      </c>
      <c r="I175" s="161">
        <f t="shared" si="308"/>
        <v>1.8906699547883276E-2</v>
      </c>
      <c r="J175" s="161">
        <f t="shared" si="308"/>
        <v>2.7703508037238669E-2</v>
      </c>
      <c r="K175" s="161">
        <f t="shared" si="308"/>
        <v>6.8723830329510294E-2</v>
      </c>
      <c r="L175" s="161">
        <f t="shared" si="308"/>
        <v>0.12268266085059978</v>
      </c>
      <c r="M175" s="161">
        <f t="shared" si="308"/>
        <v>7.5798592311857066E-2</v>
      </c>
      <c r="N175" s="161">
        <f t="shared" si="308"/>
        <v>4.4725877451095783E-2</v>
      </c>
      <c r="O175" s="161">
        <f t="shared" si="308"/>
        <v>5.1996285979572891E-2</v>
      </c>
      <c r="P175" s="161">
        <f t="shared" si="308"/>
        <v>7.2768268935123503E-2</v>
      </c>
      <c r="Q175" s="118">
        <f t="shared" si="305"/>
        <v>-2.1122504254254104E-2</v>
      </c>
      <c r="R175" s="128"/>
      <c r="S175" s="161">
        <f t="shared" ref="S175:AB175" si="309">S53/S168</f>
        <v>7.1159446662748316E-2</v>
      </c>
      <c r="T175" s="161">
        <f t="shared" si="309"/>
        <v>6.9586193590272558E-2</v>
      </c>
      <c r="U175" s="161">
        <f t="shared" si="309"/>
        <v>6.8047723323820947E-2</v>
      </c>
      <c r="V175" s="161">
        <f t="shared" si="309"/>
        <v>6.6543266855777258E-2</v>
      </c>
      <c r="W175" s="161">
        <f t="shared" si="309"/>
        <v>6.5072072180394416E-2</v>
      </c>
      <c r="X175" s="161">
        <f t="shared" si="309"/>
        <v>6.3633403917902689E-2</v>
      </c>
      <c r="Y175" s="161">
        <f t="shared" si="309"/>
        <v>6.2226542946928642E-2</v>
      </c>
      <c r="Z175" s="161">
        <f t="shared" si="309"/>
        <v>6.0850786045040753E-2</v>
      </c>
      <c r="AA175" s="161">
        <f t="shared" si="309"/>
        <v>5.9505445537242227E-2</v>
      </c>
      <c r="AB175" s="161">
        <f t="shared" si="309"/>
        <v>5.8189848952235161E-2</v>
      </c>
      <c r="AC175" s="138">
        <f t="shared" ref="AC175:AC176" si="310">((AB175/G175)^(1/($AB$3-$H$1) ))-1</f>
        <v>-2.1641754142229574E-2</v>
      </c>
      <c r="AD175" s="31">
        <v>0.08</v>
      </c>
      <c r="AE175" s="127">
        <f t="shared" si="290"/>
        <v>0.40664656105455294</v>
      </c>
    </row>
    <row r="176" spans="2:31" x14ac:dyDescent="0.2">
      <c r="B176" s="20" t="s">
        <v>320</v>
      </c>
      <c r="C176" s="152" t="e">
        <f t="shared" ref="C176:P176" si="311">C44/C168</f>
        <v>#DIV/0!</v>
      </c>
      <c r="D176" s="152" t="e">
        <f t="shared" si="311"/>
        <v>#DIV/0!</v>
      </c>
      <c r="E176" s="152" t="e">
        <f t="shared" si="311"/>
        <v>#DIV/0!</v>
      </c>
      <c r="F176" s="152" t="e">
        <f t="shared" si="311"/>
        <v>#DIV/0!</v>
      </c>
      <c r="G176" s="152">
        <f t="shared" si="311"/>
        <v>4.5918367346938778E-2</v>
      </c>
      <c r="H176" s="152">
        <f t="shared" si="311"/>
        <v>2.5116279069767444E-2</v>
      </c>
      <c r="I176" s="152">
        <f t="shared" si="311"/>
        <v>8.3999999999999995E-3</v>
      </c>
      <c r="J176" s="152">
        <f t="shared" si="311"/>
        <v>7.2972972972972974E-3</v>
      </c>
      <c r="K176" s="152">
        <f t="shared" si="311"/>
        <v>1.6500000000000001E-2</v>
      </c>
      <c r="L176" s="152">
        <f t="shared" si="311"/>
        <v>3.4615384615384617E-2</v>
      </c>
      <c r="M176" s="152">
        <f t="shared" si="311"/>
        <v>1.6941176470588234E-2</v>
      </c>
      <c r="N176" s="152">
        <f t="shared" si="311"/>
        <v>1.8260869565217393E-2</v>
      </c>
      <c r="O176" s="152">
        <f t="shared" si="311"/>
        <v>2.1600000000000001E-2</v>
      </c>
      <c r="P176" s="152">
        <f t="shared" si="311"/>
        <v>2.9454545454545455E-2</v>
      </c>
      <c r="Q176" s="118">
        <f t="shared" si="305"/>
        <v>-4.8138004226413234E-2</v>
      </c>
      <c r="R176" s="128"/>
      <c r="S176" s="152">
        <f t="shared" ref="S176:AB176" si="312">S44/S168</f>
        <v>2.7613636363636365E-2</v>
      </c>
      <c r="T176" s="152">
        <f t="shared" si="312"/>
        <v>2.588778409090909E-2</v>
      </c>
      <c r="U176" s="152">
        <f t="shared" si="312"/>
        <v>2.4269797585227269E-2</v>
      </c>
      <c r="V176" s="152">
        <f t="shared" si="312"/>
        <v>2.2752935236150563E-2</v>
      </c>
      <c r="W176" s="152">
        <f t="shared" si="312"/>
        <v>2.1330876783891152E-2</v>
      </c>
      <c r="X176" s="152">
        <f t="shared" si="312"/>
        <v>1.9997696984897954E-2</v>
      </c>
      <c r="Y176" s="152">
        <f t="shared" si="312"/>
        <v>1.8747840923341832E-2</v>
      </c>
      <c r="Z176" s="152">
        <f t="shared" si="312"/>
        <v>1.7576100865632965E-2</v>
      </c>
      <c r="AA176" s="152">
        <f t="shared" si="312"/>
        <v>1.6477594561530907E-2</v>
      </c>
      <c r="AB176" s="152">
        <f t="shared" si="312"/>
        <v>1.5447744901435223E-2</v>
      </c>
      <c r="AC176" s="138">
        <f t="shared" si="310"/>
        <v>-5.5724163727477127E-2</v>
      </c>
      <c r="AD176" s="31">
        <v>0.08</v>
      </c>
      <c r="AE176" s="127">
        <f t="shared" si="290"/>
        <v>0.10419237310948104</v>
      </c>
    </row>
    <row r="177" spans="2:45" x14ac:dyDescent="0.2">
      <c r="B177" s="20" t="s">
        <v>429</v>
      </c>
      <c r="C177" s="181" t="e">
        <f t="shared" ref="C177:O177" si="313">(C170)/($L$2*100)</f>
        <v>#DIV/0!</v>
      </c>
      <c r="D177" s="181" t="e">
        <f t="shared" si="313"/>
        <v>#DIV/0!</v>
      </c>
      <c r="E177" s="181" t="e">
        <f t="shared" si="313"/>
        <v>#DIV/0!</v>
      </c>
      <c r="F177" s="181" t="e">
        <f t="shared" si="313"/>
        <v>#DIV/0!</v>
      </c>
      <c r="G177" s="181">
        <f t="shared" si="313"/>
        <v>0.75600000000000012</v>
      </c>
      <c r="H177" s="181">
        <f t="shared" si="313"/>
        <v>1.1057142857142856</v>
      </c>
      <c r="I177" s="181">
        <f t="shared" si="313"/>
        <v>3.5260869565217385</v>
      </c>
      <c r="J177" s="181">
        <f t="shared" si="313"/>
        <v>2.4064341085271317</v>
      </c>
      <c r="K177" s="181">
        <f t="shared" si="313"/>
        <v>0.97006622516556296</v>
      </c>
      <c r="L177" s="181">
        <f t="shared" si="313"/>
        <v>0.54340740740740734</v>
      </c>
      <c r="M177" s="181">
        <f t="shared" si="313"/>
        <v>0.87952380952380949</v>
      </c>
      <c r="N177" s="181">
        <f t="shared" si="313"/>
        <v>1.4905614035087718</v>
      </c>
      <c r="O177" s="181">
        <f t="shared" si="313"/>
        <v>1.2821428571428573</v>
      </c>
      <c r="P177" s="181">
        <f>(P170)/($L$2*100)</f>
        <v>0.91615023474178392</v>
      </c>
      <c r="Q177" s="118">
        <f t="shared" si="305"/>
        <v>2.1578291814914108E-2</v>
      </c>
      <c r="R177" s="128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38"/>
      <c r="AD177" s="31"/>
      <c r="AE177" s="127"/>
    </row>
    <row r="178" spans="2:45" x14ac:dyDescent="0.2">
      <c r="B178" s="20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28"/>
      <c r="R178" s="128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7"/>
      <c r="AD178" s="20"/>
      <c r="AE178" s="127"/>
    </row>
    <row r="179" spans="2:45" x14ac:dyDescent="0.2">
      <c r="B179" s="20"/>
      <c r="C179" s="129"/>
      <c r="D179" s="129"/>
      <c r="E179" s="129"/>
      <c r="F179" s="129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28"/>
      <c r="R179" s="128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7"/>
      <c r="AD179" s="20"/>
      <c r="AE179" s="20"/>
    </row>
    <row r="180" spans="2:45" x14ac:dyDescent="0.2">
      <c r="B180" s="108" t="s">
        <v>301</v>
      </c>
      <c r="C180" s="20"/>
      <c r="D180" s="20"/>
      <c r="E180" s="20"/>
      <c r="F180" s="20"/>
      <c r="G180" s="20"/>
      <c r="H180" s="20"/>
      <c r="I180" s="20"/>
      <c r="J180" s="20"/>
      <c r="K180" s="200" t="s">
        <v>351</v>
      </c>
      <c r="L180" s="201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299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20" t="s">
        <v>352</v>
      </c>
      <c r="L181" s="22">
        <v>1</v>
      </c>
      <c r="M181" s="20"/>
      <c r="N181" s="20"/>
      <c r="O181" s="20"/>
      <c r="P181" s="128">
        <f>(P168-R156)/P168</f>
        <v>0.72086855277936346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349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$L$181</f>
        <v>1</v>
      </c>
      <c r="L182" s="20"/>
      <c r="M182" s="128">
        <f>(P168-(K182*R147))/P168</f>
        <v>-1.5143557508670797</v>
      </c>
      <c r="N182" s="20"/>
      <c r="O182" s="20"/>
      <c r="P182" s="128">
        <f>(P168-R147)/P168</f>
        <v>-1.5143557508670797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350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$L$181</f>
        <v>1</v>
      </c>
      <c r="L183" s="20"/>
      <c r="M183" s="128">
        <f>(P168-(K183*R140))/P168</f>
        <v>-0.73906733081049336</v>
      </c>
      <c r="N183" s="20"/>
      <c r="O183" s="20"/>
      <c r="P183" s="128">
        <f>(P168-R140)/P168</f>
        <v>-0.73906733081049336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353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$L$181</f>
        <v>1</v>
      </c>
      <c r="L184" s="20"/>
      <c r="M184" s="128">
        <f>(P168-(K184*R153))/P168</f>
        <v>0.62726875911034197</v>
      </c>
      <c r="N184" s="20"/>
      <c r="O184" s="20"/>
      <c r="P184" s="128">
        <f>(P168-R153)/P168</f>
        <v>0.62726875911034197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37"/>
      <c r="AD184" s="20"/>
      <c r="AE184" s="20"/>
    </row>
    <row r="185" spans="2:45" x14ac:dyDescent="0.2">
      <c r="B185" s="20" t="s">
        <v>399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$L$181</f>
        <v>1</v>
      </c>
      <c r="L185" s="20"/>
      <c r="M185" s="128">
        <f>(P168-(K185*R165))/P168</f>
        <v>0.59689268399103856</v>
      </c>
      <c r="N185" s="20"/>
      <c r="O185" s="20"/>
      <c r="P185" s="128">
        <f>(P168-R165)/P168</f>
        <v>0.59689268399103856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137"/>
      <c r="AD185" s="20"/>
      <c r="AE185" s="20"/>
    </row>
    <row r="186" spans="2:45" x14ac:dyDescent="0.2">
      <c r="B186" s="20" t="s">
        <v>300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5">
        <f>P168/R139</f>
        <v>4.6163646868939656</v>
      </c>
      <c r="Q186" s="20"/>
      <c r="R186" s="20"/>
      <c r="S186" s="115" t="s">
        <v>11</v>
      </c>
      <c r="T186" s="115" t="s">
        <v>12</v>
      </c>
      <c r="U186" s="115" t="s">
        <v>13</v>
      </c>
      <c r="V186" s="115" t="s">
        <v>14</v>
      </c>
      <c r="W186" s="115" t="s">
        <v>15</v>
      </c>
      <c r="X186" s="115" t="s">
        <v>234</v>
      </c>
      <c r="Y186" s="115" t="s">
        <v>235</v>
      </c>
      <c r="Z186" s="115" t="s">
        <v>236</v>
      </c>
      <c r="AA186" s="115" t="s">
        <v>237</v>
      </c>
      <c r="AB186" s="115" t="s">
        <v>238</v>
      </c>
      <c r="AC186" s="115" t="s">
        <v>407</v>
      </c>
      <c r="AD186" s="115" t="s">
        <v>408</v>
      </c>
      <c r="AE186" s="115" t="s">
        <v>409</v>
      </c>
      <c r="AF186" s="115" t="s">
        <v>410</v>
      </c>
      <c r="AG186" s="115" t="s">
        <v>411</v>
      </c>
      <c r="AH186" s="115" t="s">
        <v>412</v>
      </c>
      <c r="AI186" s="115" t="s">
        <v>413</v>
      </c>
      <c r="AJ186" s="115" t="s">
        <v>414</v>
      </c>
      <c r="AK186" s="115" t="s">
        <v>415</v>
      </c>
      <c r="AL186" s="115" t="s">
        <v>416</v>
      </c>
      <c r="AM186" s="115" t="s">
        <v>417</v>
      </c>
      <c r="AN186" s="115" t="s">
        <v>418</v>
      </c>
      <c r="AO186" s="115" t="s">
        <v>419</v>
      </c>
      <c r="AP186" s="115" t="s">
        <v>420</v>
      </c>
      <c r="AQ186" s="115" t="s">
        <v>421</v>
      </c>
      <c r="AR186" s="115" t="s">
        <v>422</v>
      </c>
      <c r="AS186" s="115" t="s">
        <v>423</v>
      </c>
    </row>
    <row r="187" spans="2:45" x14ac:dyDescent="0.2">
      <c r="B187" s="20" t="s">
        <v>371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152">
        <f>1/P186</f>
        <v>0.21662066752200881</v>
      </c>
      <c r="Q187" s="20"/>
      <c r="R187" s="20"/>
      <c r="S187" s="185">
        <f>P168-S188</f>
        <v>46.630292051142391</v>
      </c>
      <c r="T187" s="185">
        <f>S187-T188</f>
        <v>37.842098704841902</v>
      </c>
      <c r="U187" s="185">
        <f t="shared" ref="U187:W187" si="314">T187-U188</f>
        <v>28.614495691226388</v>
      </c>
      <c r="V187" s="185">
        <f t="shared" si="314"/>
        <v>18.925512526930099</v>
      </c>
      <c r="W187" s="185">
        <f t="shared" si="314"/>
        <v>8.7520802044189949</v>
      </c>
      <c r="X187" s="185">
        <f>W187-X188</f>
        <v>-1.9300237342176647</v>
      </c>
      <c r="Y187" s="185">
        <f t="shared" ref="Y187:AB187" si="315">X187-Y188</f>
        <v>-13.146232869786157</v>
      </c>
      <c r="Z187" s="185">
        <f t="shared" si="315"/>
        <v>-24.923252462133075</v>
      </c>
      <c r="AA187" s="185">
        <f t="shared" si="315"/>
        <v>-37.289123034097337</v>
      </c>
      <c r="AB187" s="185">
        <f t="shared" si="315"/>
        <v>-50.27328713465981</v>
      </c>
      <c r="AC187" s="185">
        <f t="shared" ref="AC187" si="316">AB187-AC188</f>
        <v>-63.906659440250408</v>
      </c>
      <c r="AD187" s="185">
        <f t="shared" ref="AD187" si="317">AC187-AD188</f>
        <v>-78.22170036112054</v>
      </c>
      <c r="AE187" s="185">
        <f t="shared" ref="AE187" si="318">AD187-AE188</f>
        <v>-93.252493328034177</v>
      </c>
      <c r="AF187" s="185">
        <f t="shared" ref="AF187" si="319">AE187-AF188</f>
        <v>-109.0348259432935</v>
      </c>
      <c r="AG187" s="185">
        <f t="shared" ref="AG187" si="320">AF187-AG188</f>
        <v>-125.60627518931578</v>
      </c>
      <c r="AH187" s="185">
        <f t="shared" ref="AH187" si="321">AG187-AH188</f>
        <v>-143.00629689763917</v>
      </c>
      <c r="AI187" s="185">
        <f t="shared" ref="AI187" si="322">AH187-AI188</f>
        <v>-161.27631969137875</v>
      </c>
      <c r="AJ187" s="185">
        <f t="shared" ref="AJ187" si="323">AI187-AJ188</f>
        <v>-180.4598436248053</v>
      </c>
      <c r="AK187" s="185">
        <f t="shared" ref="AK187" si="324">AJ187-AK188</f>
        <v>-200.60254375490319</v>
      </c>
      <c r="AL187" s="185">
        <f t="shared" ref="AL187" si="325">AK187-AL188</f>
        <v>-221.75237889150597</v>
      </c>
      <c r="AM187" s="185">
        <f t="shared" ref="AM187" si="326">AL187-AM188</f>
        <v>-243.95970578493888</v>
      </c>
      <c r="AN187" s="185">
        <f t="shared" ref="AN187" si="327">AM187-AN188</f>
        <v>-267.27739902304342</v>
      </c>
      <c r="AO187" s="185">
        <f t="shared" ref="AO187" si="328">AN187-AO188</f>
        <v>-291.76097692305319</v>
      </c>
      <c r="AP187" s="185">
        <f t="shared" ref="AP187" si="329">AO187-AP188</f>
        <v>-317.46873371806345</v>
      </c>
      <c r="AQ187" s="185">
        <f t="shared" ref="AQ187" si="330">AP187-AQ188</f>
        <v>-344.46187835282421</v>
      </c>
      <c r="AR187" s="185">
        <f t="shared" ref="AR187" si="331">AQ187-AR188</f>
        <v>-372.80468021932307</v>
      </c>
      <c r="AS187" s="185">
        <f t="shared" ref="AS187" si="332">AR187-AS188</f>
        <v>-402.56462217914685</v>
      </c>
    </row>
    <row r="188" spans="2:45" x14ac:dyDescent="0.2">
      <c r="B188" s="20" t="s">
        <v>396</v>
      </c>
      <c r="C188" s="20"/>
      <c r="D188" s="20"/>
      <c r="E188" s="20"/>
      <c r="F188" s="20"/>
      <c r="G188" s="20"/>
      <c r="H188" s="20"/>
      <c r="I188" s="20"/>
      <c r="J188" s="20"/>
      <c r="K188" s="184">
        <f>P1</f>
        <v>0.05</v>
      </c>
      <c r="L188" s="20"/>
      <c r="M188" s="187"/>
      <c r="N188" s="20"/>
      <c r="O188" s="20"/>
      <c r="P188" s="181">
        <f>P168/Q138</f>
        <v>6.8998823319614608</v>
      </c>
      <c r="Q188" s="20"/>
      <c r="R188" s="20"/>
      <c r="S188" s="186">
        <f>Q138*(1+$K$188)</f>
        <v>8.3697079488576076</v>
      </c>
      <c r="T188" s="186">
        <f>S188*(1+$K$188)</f>
        <v>8.7881933463004884</v>
      </c>
      <c r="U188" s="186">
        <f t="shared" ref="U188:AB188" si="333">T188*(1+$K$188)</f>
        <v>9.2276030136155125</v>
      </c>
      <c r="V188" s="186">
        <f t="shared" si="333"/>
        <v>9.6889831642962889</v>
      </c>
      <c r="W188" s="186">
        <f t="shared" si="333"/>
        <v>10.173432322511104</v>
      </c>
      <c r="X188" s="186">
        <f t="shared" si="333"/>
        <v>10.68210393863666</v>
      </c>
      <c r="Y188" s="186">
        <f t="shared" si="333"/>
        <v>11.216209135568493</v>
      </c>
      <c r="Z188" s="186">
        <f t="shared" si="333"/>
        <v>11.777019592346917</v>
      </c>
      <c r="AA188" s="186">
        <f t="shared" si="333"/>
        <v>12.365870571964264</v>
      </c>
      <c r="AB188" s="186">
        <f t="shared" si="333"/>
        <v>12.984164100562477</v>
      </c>
      <c r="AC188" s="186">
        <f t="shared" ref="AC188" si="334">AB188*(1+$K$188)</f>
        <v>13.633372305590601</v>
      </c>
      <c r="AD188" s="186">
        <f t="shared" ref="AD188" si="335">AC188*(1+$K$188)</f>
        <v>14.315040920870132</v>
      </c>
      <c r="AE188" s="186">
        <f t="shared" ref="AE188" si="336">AD188*(1+$K$188)</f>
        <v>15.030792966913639</v>
      </c>
      <c r="AF188" s="186">
        <f t="shared" ref="AF188" si="337">AE188*(1+$K$188)</f>
        <v>15.782332615259321</v>
      </c>
      <c r="AG188" s="186">
        <f t="shared" ref="AG188" si="338">AF188*(1+$K$188)</f>
        <v>16.571449246022286</v>
      </c>
      <c r="AH188" s="186">
        <f t="shared" ref="AH188" si="339">AG188*(1+$K$188)</f>
        <v>17.400021708323401</v>
      </c>
      <c r="AI188" s="186">
        <f t="shared" ref="AI188" si="340">AH188*(1+$K$188)</f>
        <v>18.270022793739571</v>
      </c>
      <c r="AJ188" s="186">
        <f t="shared" ref="AJ188" si="341">AI188*(1+$K$188)</f>
        <v>19.183523933426549</v>
      </c>
      <c r="AK188" s="186">
        <f t="shared" ref="AK188" si="342">AJ188*(1+$K$188)</f>
        <v>20.142700130097879</v>
      </c>
      <c r="AL188" s="186">
        <f t="shared" ref="AL188" si="343">AK188*(1+$K$188)</f>
        <v>21.149835136602775</v>
      </c>
      <c r="AM188" s="186">
        <f t="shared" ref="AM188" si="344">AL188*(1+$K$188)</f>
        <v>22.207326893432914</v>
      </c>
      <c r="AN188" s="186">
        <f t="shared" ref="AN188" si="345">AM188*(1+$K$188)</f>
        <v>23.31769323810456</v>
      </c>
      <c r="AO188" s="186">
        <f t="shared" ref="AO188" si="346">AN188*(1+$K$188)</f>
        <v>24.483577900009788</v>
      </c>
      <c r="AP188" s="186">
        <f t="shared" ref="AP188" si="347">AO188*(1+$K$188)</f>
        <v>25.70775679501028</v>
      </c>
      <c r="AQ188" s="186">
        <f t="shared" ref="AQ188" si="348">AP188*(1+$K$188)</f>
        <v>26.993144634760796</v>
      </c>
      <c r="AR188" s="186">
        <f t="shared" ref="AR188" si="349">AQ188*(1+$K$188)</f>
        <v>28.342801866498839</v>
      </c>
      <c r="AS188" s="186">
        <f t="shared" ref="AS188" si="350">AR188*(1+$K$188)</f>
        <v>29.759941959823781</v>
      </c>
    </row>
    <row r="189" spans="2:45" x14ac:dyDescent="0.2">
      <c r="B189" s="20" t="s">
        <v>395</v>
      </c>
      <c r="C189" s="20"/>
      <c r="D189" s="20"/>
      <c r="E189" s="20"/>
      <c r="F189" s="20"/>
      <c r="G189" s="20"/>
      <c r="H189" s="20"/>
      <c r="I189" s="20"/>
      <c r="J189" s="20"/>
      <c r="K189" s="184">
        <f>P1</f>
        <v>0.05</v>
      </c>
      <c r="L189" s="20"/>
      <c r="M189" s="187">
        <v>10</v>
      </c>
      <c r="N189" s="20"/>
      <c r="O189" s="20"/>
      <c r="P189" s="181">
        <f>P168/P53</f>
        <v>13.742253521126759</v>
      </c>
      <c r="Q189" s="20"/>
      <c r="R189" s="20"/>
      <c r="S189" s="186">
        <f>P53*(1+$K$189)</f>
        <v>4.2023675310033823</v>
      </c>
      <c r="T189" s="186">
        <f>S189*(1+$K$189)</f>
        <v>4.4124859075535516</v>
      </c>
      <c r="U189" s="186">
        <f t="shared" ref="U189:AB189" si="351">T189*(1+$K$189)</f>
        <v>4.6331102029312294</v>
      </c>
      <c r="V189" s="186">
        <f t="shared" si="351"/>
        <v>4.8647657130777908</v>
      </c>
      <c r="W189" s="186">
        <f t="shared" si="351"/>
        <v>5.1080039987316805</v>
      </c>
      <c r="X189" s="186">
        <f t="shared" si="351"/>
        <v>5.363404198668265</v>
      </c>
      <c r="Y189" s="186">
        <f t="shared" si="351"/>
        <v>5.6315744086016783</v>
      </c>
      <c r="Z189" s="186">
        <f t="shared" si="351"/>
        <v>5.9131531290317625</v>
      </c>
      <c r="AA189" s="186">
        <f t="shared" si="351"/>
        <v>6.208810785483351</v>
      </c>
      <c r="AB189" s="186">
        <f t="shared" si="351"/>
        <v>6.5192513247575192</v>
      </c>
      <c r="AC189" s="186">
        <f t="shared" ref="AC189" si="352">AB189*(1+$K$189)</f>
        <v>6.8452138909953959</v>
      </c>
      <c r="AD189" s="186">
        <f t="shared" ref="AD189" si="353">AC189*(1+$K$189)</f>
        <v>7.1874745855451661</v>
      </c>
      <c r="AE189" s="186">
        <f t="shared" ref="AE189" si="354">AD189*(1+$K$189)</f>
        <v>7.5468483148224248</v>
      </c>
      <c r="AF189" s="186">
        <f t="shared" ref="AF189" si="355">AE189*(1+$K$189)</f>
        <v>7.9241907305635459</v>
      </c>
      <c r="AG189" s="186">
        <f t="shared" ref="AG189" si="356">AF189*(1+$K$189)</f>
        <v>8.3204002670917241</v>
      </c>
      <c r="AH189" s="186">
        <f t="shared" ref="AH189" si="357">AG189*(1+$K$189)</f>
        <v>8.7364202804463105</v>
      </c>
      <c r="AI189" s="186">
        <f t="shared" ref="AI189" si="358">AH189*(1+$K$189)</f>
        <v>9.1732412944686264</v>
      </c>
      <c r="AJ189" s="186">
        <f t="shared" ref="AJ189" si="359">AI189*(1+$K$189)</f>
        <v>9.6319033591920586</v>
      </c>
      <c r="AK189" s="186">
        <f t="shared" ref="AK189" si="360">AJ189*(1+$K$189)</f>
        <v>10.113498527151663</v>
      </c>
      <c r="AL189" s="186">
        <f t="shared" ref="AL189" si="361">AK189*(1+$K$189)</f>
        <v>10.619173453509246</v>
      </c>
      <c r="AM189" s="186">
        <f t="shared" ref="AM189" si="362">AL189*(1+$K$189)</f>
        <v>11.150132126184708</v>
      </c>
      <c r="AN189" s="186">
        <f t="shared" ref="AN189" si="363">AM189*(1+$K$189)</f>
        <v>11.707638732493944</v>
      </c>
      <c r="AO189" s="186">
        <f t="shared" ref="AO189" si="364">AN189*(1+$K$189)</f>
        <v>12.293020669118642</v>
      </c>
      <c r="AP189" s="186">
        <f t="shared" ref="AP189" si="365">AO189*(1+$K$189)</f>
        <v>12.907671702574575</v>
      </c>
      <c r="AQ189" s="186">
        <f t="shared" ref="AQ189" si="366">AP189*(1+$K$189)</f>
        <v>13.553055287703305</v>
      </c>
      <c r="AR189" s="186">
        <f t="shared" ref="AR189" si="367">AQ189*(1+$K$189)</f>
        <v>14.23070805208847</v>
      </c>
      <c r="AS189" s="186">
        <f t="shared" ref="AS189" si="368">AR189*(1+$K$189)</f>
        <v>14.942243454692894</v>
      </c>
    </row>
    <row r="190" spans="2:45" x14ac:dyDescent="0.2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185">
        <f>P168-S189</f>
        <v>50.797632468996618</v>
      </c>
      <c r="T190" s="185">
        <f>S190-T189</f>
        <v>46.385146561443065</v>
      </c>
      <c r="U190" s="185">
        <f t="shared" ref="U190:Z190" si="369">T190-U189</f>
        <v>41.752036358511837</v>
      </c>
      <c r="V190" s="185">
        <f t="shared" si="369"/>
        <v>36.887270645434043</v>
      </c>
      <c r="W190" s="185">
        <f t="shared" si="369"/>
        <v>31.779266646702361</v>
      </c>
      <c r="X190" s="185">
        <f t="shared" si="369"/>
        <v>26.415862448034098</v>
      </c>
      <c r="Y190" s="185">
        <f t="shared" si="369"/>
        <v>20.784288039432418</v>
      </c>
      <c r="Z190" s="185">
        <f t="shared" si="369"/>
        <v>14.871134910400656</v>
      </c>
      <c r="AA190" s="185">
        <f>Z190-AA189</f>
        <v>8.6623241249173049</v>
      </c>
      <c r="AB190" s="185">
        <f t="shared" ref="AB190" si="370">AA190-AB189</f>
        <v>2.1430728001597856</v>
      </c>
      <c r="AC190" s="185">
        <f t="shared" ref="AC190" si="371">AB190-AC189</f>
        <v>-4.7021410908356103</v>
      </c>
      <c r="AD190" s="185">
        <f t="shared" ref="AD190" si="372">AC190-AD189</f>
        <v>-11.889615676380776</v>
      </c>
      <c r="AE190" s="185">
        <f t="shared" ref="AE190" si="373">AD190-AE189</f>
        <v>-19.436463991203201</v>
      </c>
      <c r="AF190" s="185">
        <f t="shared" ref="AF190" si="374">AE190-AF189</f>
        <v>-27.360654721766746</v>
      </c>
      <c r="AG190" s="185">
        <f t="shared" ref="AG190" si="375">AF190-AG189</f>
        <v>-35.68105498885847</v>
      </c>
      <c r="AH190" s="185">
        <f t="shared" ref="AH190" si="376">AG190-AH189</f>
        <v>-44.417475269304781</v>
      </c>
      <c r="AI190" s="185">
        <f t="shared" ref="AI190" si="377">AH190-AI189</f>
        <v>-53.590716563773405</v>
      </c>
      <c r="AJ190" s="185">
        <f t="shared" ref="AJ190" si="378">AI190-AJ189</f>
        <v>-63.222619922965464</v>
      </c>
      <c r="AK190" s="185">
        <f t="shared" ref="AK190" si="379">AJ190-AK189</f>
        <v>-73.336118450117127</v>
      </c>
      <c r="AL190" s="185">
        <f t="shared" ref="AL190" si="380">AK190-AL189</f>
        <v>-83.955291903626375</v>
      </c>
      <c r="AM190" s="185">
        <f t="shared" ref="AM190" si="381">AL190-AM189</f>
        <v>-95.105424029811076</v>
      </c>
      <c r="AN190" s="185">
        <f t="shared" ref="AN190" si="382">AM190-AN189</f>
        <v>-106.81306276230502</v>
      </c>
      <c r="AO190" s="185">
        <f t="shared" ref="AO190" si="383">AN190-AO189</f>
        <v>-119.10608343142367</v>
      </c>
      <c r="AP190" s="185">
        <f t="shared" ref="AP190" si="384">AO190-AP189</f>
        <v>-132.01375513399825</v>
      </c>
      <c r="AQ190" s="185">
        <f t="shared" ref="AQ190" si="385">AP190-AQ189</f>
        <v>-145.56681042170155</v>
      </c>
      <c r="AR190" s="185">
        <f t="shared" ref="AR190" si="386">AQ190-AR189</f>
        <v>-159.79751847379001</v>
      </c>
      <c r="AS190" s="185">
        <f t="shared" ref="AS190" si="387">AR190-AS189</f>
        <v>-174.73976192848289</v>
      </c>
    </row>
    <row r="191" spans="2:45" x14ac:dyDescent="0.2">
      <c r="B191" s="108" t="s">
        <v>302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305</v>
      </c>
      <c r="C192" s="25" t="e">
        <f t="shared" ref="C192:P192" si="388">C10/C7</f>
        <v>#DIV/0!</v>
      </c>
      <c r="D192" s="25" t="e">
        <f t="shared" si="388"/>
        <v>#DIV/0!</v>
      </c>
      <c r="E192" s="25" t="e">
        <f t="shared" si="388"/>
        <v>#DIV/0!</v>
      </c>
      <c r="F192" s="25" t="e">
        <f t="shared" si="388"/>
        <v>#DIV/0!</v>
      </c>
      <c r="G192" s="25">
        <f t="shared" si="388"/>
        <v>0.15483870967741936</v>
      </c>
      <c r="H192" s="25">
        <f t="shared" si="388"/>
        <v>0</v>
      </c>
      <c r="I192" s="25">
        <f t="shared" si="388"/>
        <v>9.8148148148148161E-3</v>
      </c>
      <c r="J192" s="25">
        <f t="shared" si="388"/>
        <v>3.8461538461538462E-4</v>
      </c>
      <c r="K192" s="25">
        <f t="shared" si="388"/>
        <v>4.6704871060171916E-3</v>
      </c>
      <c r="L192" s="25">
        <f t="shared" si="388"/>
        <v>4.1843317972350233E-2</v>
      </c>
      <c r="M192" s="25">
        <f t="shared" si="388"/>
        <v>0</v>
      </c>
      <c r="N192" s="25">
        <f t="shared" si="388"/>
        <v>0</v>
      </c>
      <c r="O192" s="25">
        <f t="shared" si="388"/>
        <v>3.8607594936708865E-2</v>
      </c>
      <c r="P192" s="25">
        <f t="shared" si="388"/>
        <v>2.4368421052631581E-2</v>
      </c>
      <c r="Q192" s="118">
        <f t="shared" ref="Q192:Q194" si="389">((P192/G192)^(1/($H$2-$H$1) ))-1</f>
        <v>-0.18572334681433511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 t="s">
        <v>306</v>
      </c>
      <c r="C193" s="112" t="e">
        <f>C10/C12</f>
        <v>#DIV/0!</v>
      </c>
      <c r="D193" s="112" t="e">
        <f>D10/D12</f>
        <v>#DIV/0!</v>
      </c>
      <c r="E193" s="112" t="e">
        <f>E10/E12</f>
        <v>#DIV/0!</v>
      </c>
      <c r="F193" s="112" t="e">
        <f>F10/F12</f>
        <v>#DIV/0!</v>
      </c>
      <c r="G193" s="112">
        <f>G10/G12</f>
        <v>0.28235294117647058</v>
      </c>
      <c r="H193" s="112">
        <f t="shared" ref="H193:P193" si="390">H10/H12</f>
        <v>0</v>
      </c>
      <c r="I193" s="112">
        <f t="shared" si="390"/>
        <v>3.3125000000000002E-2</v>
      </c>
      <c r="J193" s="112">
        <f t="shared" si="390"/>
        <v>2E-3</v>
      </c>
      <c r="K193" s="112">
        <f t="shared" si="390"/>
        <v>5.8214285714285711E-2</v>
      </c>
      <c r="L193" s="112">
        <f t="shared" si="390"/>
        <v>0.45400000000000001</v>
      </c>
      <c r="M193" s="112">
        <f t="shared" si="390"/>
        <v>0</v>
      </c>
      <c r="N193" s="112">
        <f t="shared" si="390"/>
        <v>0</v>
      </c>
      <c r="O193" s="112">
        <f t="shared" si="390"/>
        <v>0.13179012345679014</v>
      </c>
      <c r="P193" s="112">
        <f t="shared" si="390"/>
        <v>0.1852</v>
      </c>
      <c r="Q193" s="118">
        <f t="shared" si="389"/>
        <v>-4.5777062614515973E-2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 t="s">
        <v>307</v>
      </c>
      <c r="C194" s="25" t="e">
        <f>C10/(C12+C13)</f>
        <v>#DIV/0!</v>
      </c>
      <c r="D194" s="25" t="e">
        <f>D10/(D12+D13)</f>
        <v>#DIV/0!</v>
      </c>
      <c r="E194" s="25" t="e">
        <f>E10/(E12+E13)</f>
        <v>#DIV/0!</v>
      </c>
      <c r="F194" s="25" t="e">
        <f>F10/(F12+F13)</f>
        <v>#DIV/0!</v>
      </c>
      <c r="G194" s="25">
        <f>G10/(G12+G13)</f>
        <v>0.2821869488536155</v>
      </c>
      <c r="H194" s="25">
        <f t="shared" ref="H194:P194" si="391">H10/(H12+H13)</f>
        <v>0</v>
      </c>
      <c r="I194" s="25">
        <f t="shared" si="391"/>
        <v>0.01</v>
      </c>
      <c r="J194" s="25">
        <f t="shared" si="391"/>
        <v>3.1914893617021275E-4</v>
      </c>
      <c r="K194" s="25">
        <f t="shared" si="391"/>
        <v>6.0820895522388056E-3</v>
      </c>
      <c r="L194" s="25">
        <f t="shared" si="391"/>
        <v>7.7276595744680848E-2</v>
      </c>
      <c r="M194" s="25">
        <f t="shared" si="391"/>
        <v>0</v>
      </c>
      <c r="N194" s="25">
        <f t="shared" si="391"/>
        <v>0</v>
      </c>
      <c r="O194" s="25">
        <f t="shared" si="391"/>
        <v>6.7350157728706631E-2</v>
      </c>
      <c r="P194" s="25">
        <f t="shared" si="391"/>
        <v>0.15433333333333335</v>
      </c>
      <c r="Q194" s="118">
        <f t="shared" si="389"/>
        <v>-6.4852079385999684E-2</v>
      </c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74" t="s">
        <v>377</v>
      </c>
      <c r="D197" s="175"/>
      <c r="E197" s="175"/>
      <c r="F197" s="175"/>
      <c r="G197" s="175"/>
      <c r="H197" s="175"/>
      <c r="I197" s="175"/>
      <c r="J197" s="175"/>
      <c r="K197" s="20"/>
      <c r="L197" s="197" t="s">
        <v>337</v>
      </c>
      <c r="M197" s="198"/>
      <c r="N197" s="199"/>
      <c r="O197" s="23" t="s">
        <v>340</v>
      </c>
      <c r="P197" s="20"/>
      <c r="Q197" s="197" t="s">
        <v>338</v>
      </c>
      <c r="R197" s="198"/>
      <c r="S197" s="199"/>
      <c r="T197" s="23" t="s">
        <v>340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6" t="s">
        <v>339</v>
      </c>
      <c r="D198" s="166" t="s">
        <v>0</v>
      </c>
      <c r="E198" s="166" t="s">
        <v>378</v>
      </c>
      <c r="F198" s="166" t="s">
        <v>379</v>
      </c>
      <c r="G198" s="166" t="s">
        <v>380</v>
      </c>
      <c r="H198" s="166" t="s">
        <v>381</v>
      </c>
      <c r="I198" s="166" t="s">
        <v>382</v>
      </c>
      <c r="J198" s="166" t="s">
        <v>383</v>
      </c>
      <c r="K198" s="20"/>
      <c r="L198" s="166" t="s">
        <v>339</v>
      </c>
      <c r="M198" s="166"/>
      <c r="N198" s="166" t="s">
        <v>0</v>
      </c>
      <c r="O198" s="166" t="s">
        <v>372</v>
      </c>
      <c r="P198" s="20"/>
      <c r="Q198" s="166" t="s">
        <v>339</v>
      </c>
      <c r="R198" s="166"/>
      <c r="S198" s="166" t="s">
        <v>0</v>
      </c>
      <c r="T198" s="166" t="s">
        <v>372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341</v>
      </c>
      <c r="D199" s="21">
        <v>95</v>
      </c>
      <c r="E199" s="176" t="s">
        <v>384</v>
      </c>
      <c r="F199" s="22">
        <v>1</v>
      </c>
      <c r="G199" s="22">
        <v>1</v>
      </c>
      <c r="H199" s="167">
        <f>F199/G199</f>
        <v>1</v>
      </c>
      <c r="I199" s="167">
        <f>H199*D200</f>
        <v>1</v>
      </c>
      <c r="J199" s="177">
        <f>I199+D200</f>
        <v>2</v>
      </c>
      <c r="K199" s="20"/>
      <c r="L199" s="167" t="s">
        <v>341</v>
      </c>
      <c r="M199" s="167"/>
      <c r="N199" s="21">
        <v>5</v>
      </c>
      <c r="O199" s="173">
        <f>N199</f>
        <v>5</v>
      </c>
      <c r="P199" s="20"/>
      <c r="Q199" s="167" t="s">
        <v>341</v>
      </c>
      <c r="R199" s="167"/>
      <c r="S199" s="21">
        <v>95</v>
      </c>
      <c r="T199" s="173">
        <f>S199</f>
        <v>95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 t="s">
        <v>342</v>
      </c>
      <c r="D200" s="21">
        <v>1</v>
      </c>
      <c r="E200" s="176" t="s">
        <v>385</v>
      </c>
      <c r="F200" s="22">
        <v>1</v>
      </c>
      <c r="G200" s="22">
        <v>1</v>
      </c>
      <c r="H200" s="167">
        <f>F200/G200</f>
        <v>1</v>
      </c>
      <c r="I200" s="167">
        <f>H200*J199</f>
        <v>2</v>
      </c>
      <c r="J200" s="167">
        <f>I200+J199</f>
        <v>4</v>
      </c>
      <c r="K200" s="20"/>
      <c r="L200" s="167" t="s">
        <v>342</v>
      </c>
      <c r="M200" s="167"/>
      <c r="N200" s="21">
        <v>1</v>
      </c>
      <c r="O200" s="173">
        <f>N200</f>
        <v>1</v>
      </c>
      <c r="P200" s="20"/>
      <c r="Q200" s="167" t="s">
        <v>342</v>
      </c>
      <c r="R200" s="167"/>
      <c r="S200" s="21">
        <v>1</v>
      </c>
      <c r="T200" s="173">
        <f>S200</f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344</v>
      </c>
      <c r="D201" s="168">
        <f>D199*D200</f>
        <v>95</v>
      </c>
      <c r="E201" s="176" t="s">
        <v>397</v>
      </c>
      <c r="F201" s="22">
        <v>0</v>
      </c>
      <c r="G201" s="22">
        <v>1</v>
      </c>
      <c r="H201" s="167">
        <f>F201/G201</f>
        <v>0</v>
      </c>
      <c r="I201" s="167">
        <f>H201*J200</f>
        <v>0</v>
      </c>
      <c r="J201" s="167">
        <f>I201+J200</f>
        <v>4</v>
      </c>
      <c r="K201" s="20"/>
      <c r="L201" s="167" t="s">
        <v>343</v>
      </c>
      <c r="M201" s="167"/>
      <c r="N201" s="168">
        <f>N199*N200</f>
        <v>5</v>
      </c>
      <c r="O201" s="173">
        <f>N201</f>
        <v>5</v>
      </c>
      <c r="P201" s="20"/>
      <c r="Q201" s="167" t="s">
        <v>344</v>
      </c>
      <c r="R201" s="167"/>
      <c r="S201" s="168">
        <f>S199*S200</f>
        <v>95</v>
      </c>
      <c r="T201" s="173">
        <f>S201</f>
        <v>95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/>
      <c r="D202" s="168"/>
      <c r="E202" s="176" t="s">
        <v>386</v>
      </c>
      <c r="F202" s="22">
        <v>10</v>
      </c>
      <c r="G202" s="22">
        <v>2</v>
      </c>
      <c r="H202" s="167">
        <f>F202/G202</f>
        <v>5</v>
      </c>
      <c r="I202" s="167">
        <f>H202*J201</f>
        <v>20</v>
      </c>
      <c r="J202" s="167">
        <f>I202</f>
        <v>20</v>
      </c>
      <c r="K202" s="20"/>
      <c r="L202" s="167" t="s">
        <v>345</v>
      </c>
      <c r="M202" s="167"/>
      <c r="N202" s="21">
        <v>55</v>
      </c>
      <c r="O202" s="21">
        <v>270</v>
      </c>
      <c r="P202" s="20"/>
      <c r="Q202" s="167" t="s">
        <v>345</v>
      </c>
      <c r="R202" s="167"/>
      <c r="S202" s="21">
        <v>55</v>
      </c>
      <c r="T202" s="21">
        <v>100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345</v>
      </c>
      <c r="D203" s="21">
        <v>55</v>
      </c>
      <c r="E203" s="176"/>
      <c r="F203" s="167"/>
      <c r="G203" s="167"/>
      <c r="H203" s="169" t="s">
        <v>387</v>
      </c>
      <c r="I203" s="167"/>
      <c r="J203" s="167">
        <f>J202</f>
        <v>20</v>
      </c>
      <c r="K203" s="20"/>
      <c r="L203" s="167" t="s">
        <v>346</v>
      </c>
      <c r="M203" s="167"/>
      <c r="N203" s="168">
        <f>N202*N200</f>
        <v>55</v>
      </c>
      <c r="O203" s="168">
        <f>O202*O200</f>
        <v>270</v>
      </c>
      <c r="P203" s="20"/>
      <c r="Q203" s="167" t="s">
        <v>342</v>
      </c>
      <c r="R203" s="167"/>
      <c r="S203" s="21">
        <v>20</v>
      </c>
      <c r="T203" s="127">
        <f>S203</f>
        <v>20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 t="s">
        <v>342</v>
      </c>
      <c r="D204" s="21">
        <v>20</v>
      </c>
      <c r="E204" s="176" t="s">
        <v>386</v>
      </c>
      <c r="F204" s="22">
        <v>10</v>
      </c>
      <c r="G204" s="22">
        <v>2</v>
      </c>
      <c r="H204" s="167">
        <f>F204/G204</f>
        <v>5</v>
      </c>
      <c r="I204" s="177">
        <f>H204*D200</f>
        <v>5</v>
      </c>
      <c r="J204" s="177">
        <f>I204</f>
        <v>5</v>
      </c>
      <c r="K204" s="20"/>
      <c r="L204" s="167"/>
      <c r="M204" s="167"/>
      <c r="N204" s="168"/>
      <c r="O204" s="168"/>
      <c r="P204" s="20"/>
      <c r="Q204" s="167" t="s">
        <v>344</v>
      </c>
      <c r="R204" s="167"/>
      <c r="S204" s="168">
        <f>S203*S202</f>
        <v>1100</v>
      </c>
      <c r="T204" s="168">
        <f>T203*T202</f>
        <v>2000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7" t="s">
        <v>344</v>
      </c>
      <c r="D205" s="168">
        <f>D204*D203</f>
        <v>1100</v>
      </c>
      <c r="E205" s="167"/>
      <c r="F205" s="167"/>
      <c r="G205" s="167"/>
      <c r="H205" s="169" t="s">
        <v>387</v>
      </c>
      <c r="I205" s="167"/>
      <c r="J205" s="167">
        <f>J204</f>
        <v>5</v>
      </c>
      <c r="K205" s="20"/>
      <c r="L205" s="167"/>
      <c r="M205" s="167"/>
      <c r="N205" s="168"/>
      <c r="O205" s="168"/>
      <c r="P205" s="20"/>
      <c r="Q205" s="167"/>
      <c r="R205" s="167"/>
      <c r="S205" s="168"/>
      <c r="T205" s="168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167"/>
      <c r="D206" s="168"/>
      <c r="E206" s="176" t="s">
        <v>386</v>
      </c>
      <c r="F206" s="22">
        <v>10</v>
      </c>
      <c r="G206" s="22">
        <v>2</v>
      </c>
      <c r="H206" s="167">
        <f>F206/G206</f>
        <v>5</v>
      </c>
      <c r="I206" s="167">
        <f>H206*J205</f>
        <v>25</v>
      </c>
      <c r="J206" s="167">
        <f>I206</f>
        <v>25</v>
      </c>
      <c r="K206" s="20"/>
      <c r="L206" s="169" t="s">
        <v>347</v>
      </c>
      <c r="M206" s="169"/>
      <c r="N206" s="170">
        <f>N203/N201</f>
        <v>11</v>
      </c>
      <c r="O206" s="170">
        <f>O203/O201</f>
        <v>54</v>
      </c>
      <c r="P206" s="20"/>
      <c r="Q206" s="169" t="s">
        <v>347</v>
      </c>
      <c r="R206" s="169"/>
      <c r="S206" s="170">
        <f>S204/S201</f>
        <v>11.578947368421053</v>
      </c>
      <c r="T206" s="170">
        <f>T204/T201</f>
        <v>21.05263157894737</v>
      </c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169" t="s">
        <v>347</v>
      </c>
      <c r="D207" s="170">
        <f>D205/D201</f>
        <v>11.578947368421053</v>
      </c>
      <c r="E207" s="176"/>
      <c r="F207" s="167"/>
      <c r="G207" s="167"/>
      <c r="H207" s="169" t="s">
        <v>387</v>
      </c>
      <c r="I207" s="167"/>
      <c r="J207" s="167">
        <f>J206</f>
        <v>25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x14ac:dyDescent="0.2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137"/>
      <c r="E209" s="178"/>
      <c r="F209" s="178"/>
      <c r="G209" s="179"/>
      <c r="H209" s="20"/>
      <c r="I209" s="137"/>
      <c r="J209" s="178"/>
      <c r="K209" s="179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ht="14.25" x14ac:dyDescent="0.2">
      <c r="B210" s="20"/>
      <c r="C210" s="20"/>
      <c r="D210" s="190" t="s">
        <v>27</v>
      </c>
      <c r="E210" s="191"/>
      <c r="F210" s="191"/>
      <c r="G210" s="192"/>
      <c r="H210" s="20"/>
      <c r="I210" s="190" t="s">
        <v>392</v>
      </c>
      <c r="J210" s="191"/>
      <c r="K210" s="192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28</v>
      </c>
      <c r="E211" s="127"/>
      <c r="F211" s="127"/>
      <c r="G211" s="21">
        <f>D201</f>
        <v>95</v>
      </c>
      <c r="H211" s="20"/>
      <c r="I211" s="20" t="s">
        <v>28</v>
      </c>
      <c r="J211" s="127"/>
      <c r="K211" s="21">
        <f>G211</f>
        <v>95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0" t="s">
        <v>29</v>
      </c>
      <c r="E212" s="127"/>
      <c r="F212" s="127"/>
      <c r="G212" s="21">
        <f>D205</f>
        <v>1100</v>
      </c>
      <c r="H212" s="20"/>
      <c r="I212" s="20" t="s">
        <v>29</v>
      </c>
      <c r="J212" s="20"/>
      <c r="K212" s="21">
        <f>G212</f>
        <v>1100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0" t="s">
        <v>30</v>
      </c>
      <c r="E213" s="20"/>
      <c r="F213" s="20"/>
      <c r="G213" s="22">
        <v>1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3" t="s">
        <v>31</v>
      </c>
      <c r="E214" s="3"/>
      <c r="F214" s="3"/>
      <c r="G214" s="3">
        <f>((G212/G211)^(1/G213))-1</f>
        <v>10.578947368421053</v>
      </c>
      <c r="H214" s="20"/>
      <c r="I214" s="23" t="s">
        <v>393</v>
      </c>
      <c r="J214" s="23"/>
      <c r="K214" s="23">
        <f>(K212-K211)/K211</f>
        <v>10.578947368421053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32</v>
      </c>
      <c r="E215" s="165"/>
      <c r="F215" s="165"/>
      <c r="G215" s="24">
        <f>G213*12</f>
        <v>12</v>
      </c>
      <c r="H215" s="20"/>
      <c r="I215" s="23" t="s">
        <v>394</v>
      </c>
      <c r="J215" s="23"/>
      <c r="K215" s="23">
        <f>K212/K211</f>
        <v>11.578947368421053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 t="s">
        <v>30</v>
      </c>
      <c r="E216" s="25"/>
      <c r="F216" s="25"/>
      <c r="G216" s="25">
        <f>G215/12</f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B217" s="20"/>
      <c r="C217" s="20"/>
      <c r="D217" s="23" t="s">
        <v>33</v>
      </c>
      <c r="E217" s="3"/>
      <c r="F217" s="3"/>
      <c r="G217" s="3">
        <f>((G212/G211)^(1/G216))-1</f>
        <v>10.578947368421053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spans="2:31" x14ac:dyDescent="0.2"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</row>
    <row r="219" spans="2:31" x14ac:dyDescent="0.2">
      <c r="C219" s="20"/>
      <c r="D219" s="20"/>
      <c r="E219" s="20"/>
      <c r="F219" s="20"/>
      <c r="G219" s="20"/>
      <c r="H219" s="20"/>
      <c r="I219" s="20"/>
      <c r="J219" s="20"/>
      <c r="K219" s="20"/>
    </row>
  </sheetData>
  <mergeCells count="7">
    <mergeCell ref="D210:G210"/>
    <mergeCell ref="I210:K210"/>
    <mergeCell ref="AD2:AE2"/>
    <mergeCell ref="AD3:AE3"/>
    <mergeCell ref="L197:N197"/>
    <mergeCell ref="Q197:S197"/>
    <mergeCell ref="K180:L180"/>
  </mergeCells>
  <pageMargins left="0.7" right="0.7" top="0.75" bottom="0.75" header="0.3" footer="0.3"/>
  <pageSetup orientation="portrait" r:id="rId1"/>
  <ignoredErrors>
    <ignoredError sqref="C170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2" t="s">
        <v>27</v>
      </c>
      <c r="K5" s="202"/>
      <c r="M5" s="202" t="s">
        <v>65</v>
      </c>
      <c r="N5" s="202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2" t="s">
        <v>36</v>
      </c>
      <c r="K14" s="202"/>
      <c r="L14" s="202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2" t="s">
        <v>27</v>
      </c>
      <c r="S5" s="202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2" t="s">
        <v>36</v>
      </c>
      <c r="S14" s="202"/>
      <c r="T14" s="202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2" t="s">
        <v>27</v>
      </c>
      <c r="C2" s="202"/>
      <c r="E2" s="202" t="s">
        <v>65</v>
      </c>
      <c r="F2" s="202"/>
      <c r="H2" s="206" t="s">
        <v>36</v>
      </c>
      <c r="I2" s="207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3" t="s">
        <v>68</v>
      </c>
      <c r="E10" s="204"/>
      <c r="F10" s="204"/>
      <c r="G10" s="204"/>
      <c r="H10" s="205"/>
      <c r="I10" s="203" t="s">
        <v>72</v>
      </c>
      <c r="J10" s="204"/>
      <c r="K10" s="204"/>
      <c r="L10" s="205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2014-08-04T16:45:28Z</dcterms:modified>
</cp:coreProperties>
</file>
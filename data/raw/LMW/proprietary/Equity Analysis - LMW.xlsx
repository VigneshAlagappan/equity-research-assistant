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44525"/>
</workbook>
</file>

<file path=xl/calcChain.xml><?xml version="1.0" encoding="utf-8"?>
<calcChain xmlns="http://schemas.openxmlformats.org/spreadsheetml/2006/main">
  <c r="G12" i="18" l="1"/>
  <c r="K12" i="18"/>
  <c r="J12" i="18"/>
  <c r="I12" i="18"/>
  <c r="H12" i="18"/>
  <c r="L12" i="18"/>
  <c r="M12" i="18"/>
  <c r="AE55" i="18" l="1"/>
  <c r="AE54" i="18"/>
  <c r="AE52" i="18"/>
  <c r="G55" i="18"/>
  <c r="G179" i="18" s="1"/>
  <c r="H55" i="18"/>
  <c r="H179" i="18" s="1"/>
  <c r="I55" i="18"/>
  <c r="I179" i="18" s="1"/>
  <c r="J55" i="18"/>
  <c r="J179" i="18" s="1"/>
  <c r="K55" i="18"/>
  <c r="K179" i="18" s="1"/>
  <c r="L55" i="18"/>
  <c r="L179" i="18" s="1"/>
  <c r="M55" i="18"/>
  <c r="M179" i="18" s="1"/>
  <c r="N55" i="18"/>
  <c r="N179" i="18" s="1"/>
  <c r="O55" i="18"/>
  <c r="O179" i="18" s="1"/>
  <c r="P55" i="18"/>
  <c r="Q55" i="18"/>
  <c r="Q179" i="18" s="1"/>
  <c r="G54" i="18"/>
  <c r="G178" i="18" s="1"/>
  <c r="H54" i="18"/>
  <c r="H178" i="18" s="1"/>
  <c r="I54" i="18"/>
  <c r="I178" i="18" s="1"/>
  <c r="J54" i="18"/>
  <c r="J178" i="18" s="1"/>
  <c r="K54" i="18"/>
  <c r="K178" i="18" s="1"/>
  <c r="L54" i="18"/>
  <c r="L178" i="18" s="1"/>
  <c r="M54" i="18"/>
  <c r="M178" i="18" s="1"/>
  <c r="N54" i="18"/>
  <c r="N178" i="18" s="1"/>
  <c r="O54" i="18"/>
  <c r="O178" i="18" s="1"/>
  <c r="P54" i="18"/>
  <c r="P178" i="18" s="1"/>
  <c r="Q54" i="18"/>
  <c r="Q178" i="18" s="1"/>
  <c r="R178" i="18" l="1"/>
  <c r="R55" i="18"/>
  <c r="P179" i="18"/>
  <c r="R179" i="18" s="1"/>
  <c r="R54" i="18"/>
  <c r="G121" i="18" l="1"/>
  <c r="H121" i="18"/>
  <c r="I121" i="18"/>
  <c r="J121" i="18"/>
  <c r="K121" i="18"/>
  <c r="L121" i="18"/>
  <c r="M121" i="18"/>
  <c r="N121" i="18"/>
  <c r="O121" i="18"/>
  <c r="P121" i="18"/>
  <c r="Q121" i="18"/>
  <c r="Q120" i="18"/>
  <c r="R121" i="18" l="1"/>
  <c r="H214" i="18"/>
  <c r="H211" i="18"/>
  <c r="H212" i="18"/>
  <c r="H213" i="18"/>
  <c r="Q203" i="18" l="1"/>
  <c r="Q202" i="18"/>
  <c r="Q201" i="18"/>
  <c r="Q185" i="18"/>
  <c r="Q50" i="18"/>
  <c r="Q176" i="18" s="1"/>
  <c r="Q51" i="18"/>
  <c r="Q52" i="18"/>
  <c r="Q93" i="18" s="1"/>
  <c r="Q56" i="18"/>
  <c r="P198" i="18" s="1"/>
  <c r="Q57" i="18"/>
  <c r="Q58" i="18"/>
  <c r="Q59" i="18"/>
  <c r="Q180" i="18" s="1"/>
  <c r="Q60" i="18"/>
  <c r="Q62" i="18"/>
  <c r="Q63" i="18"/>
  <c r="Q64" i="18"/>
  <c r="Q183" i="18" s="1"/>
  <c r="Q66" i="18"/>
  <c r="Q67" i="18"/>
  <c r="Q69" i="18"/>
  <c r="Q70" i="18"/>
  <c r="Q182" i="18" s="1"/>
  <c r="Q72" i="18"/>
  <c r="Q74" i="18"/>
  <c r="Q76" i="18" s="1"/>
  <c r="Q77" i="18"/>
  <c r="Q78" i="18"/>
  <c r="Q79" i="18"/>
  <c r="Q80" i="18"/>
  <c r="Q82" i="18"/>
  <c r="Q138" i="18" s="1"/>
  <c r="Q83" i="18"/>
  <c r="Q84" i="18"/>
  <c r="Q88" i="18"/>
  <c r="Q89" i="18"/>
  <c r="Q90" i="18"/>
  <c r="Q91" i="18"/>
  <c r="Q92" i="18"/>
  <c r="Q95" i="18"/>
  <c r="Q101" i="18" s="1"/>
  <c r="Q96" i="18"/>
  <c r="Q97" i="18"/>
  <c r="Q103" i="18" s="1"/>
  <c r="Q98" i="18"/>
  <c r="Q104" i="18" s="1"/>
  <c r="Q99" i="18"/>
  <c r="Q105" i="18" s="1"/>
  <c r="Q102" i="18"/>
  <c r="Q108" i="18"/>
  <c r="Q109" i="18"/>
  <c r="Q110" i="18"/>
  <c r="Q111" i="18"/>
  <c r="Q113" i="18"/>
  <c r="Q114" i="18" s="1"/>
  <c r="Q119" i="18"/>
  <c r="Q123" i="18"/>
  <c r="Q124" i="18"/>
  <c r="Q125" i="18"/>
  <c r="Q128" i="18"/>
  <c r="Q129" i="18"/>
  <c r="Q130" i="18"/>
  <c r="Q131" i="18"/>
  <c r="Q133" i="18"/>
  <c r="Q134" i="18"/>
  <c r="Q136" i="18"/>
  <c r="Q137" i="18" s="1"/>
  <c r="Q140" i="18"/>
  <c r="Q141" i="18"/>
  <c r="T17" i="18"/>
  <c r="T19" i="18"/>
  <c r="T24" i="18"/>
  <c r="T35" i="18"/>
  <c r="R44" i="18"/>
  <c r="R42" i="18"/>
  <c r="R40" i="18"/>
  <c r="R38" i="18"/>
  <c r="R36" i="18"/>
  <c r="R34" i="18"/>
  <c r="R33" i="18"/>
  <c r="R32" i="18"/>
  <c r="R31" i="18"/>
  <c r="R29" i="18"/>
  <c r="R27" i="18"/>
  <c r="R25" i="18"/>
  <c r="R23" i="18"/>
  <c r="R22" i="18"/>
  <c r="R21" i="18"/>
  <c r="R20" i="18"/>
  <c r="R18" i="18"/>
  <c r="R16" i="18"/>
  <c r="R15" i="18"/>
  <c r="R14" i="18"/>
  <c r="R13" i="18"/>
  <c r="R12" i="18"/>
  <c r="R10" i="18"/>
  <c r="R9" i="18"/>
  <c r="R7" i="18"/>
  <c r="R6" i="18"/>
  <c r="Q8" i="18"/>
  <c r="Q11" i="18"/>
  <c r="Q26" i="18"/>
  <c r="Q28" i="18"/>
  <c r="Q30" i="18"/>
  <c r="Q37" i="18"/>
  <c r="Q39" i="18"/>
  <c r="Q41" i="18"/>
  <c r="Q43" i="18"/>
  <c r="Q198" i="18" l="1"/>
  <c r="Q177" i="18"/>
  <c r="Q186" i="18" s="1"/>
  <c r="Q187" i="18" s="1"/>
  <c r="Q68" i="18"/>
  <c r="Q181" i="18" s="1"/>
  <c r="Q115" i="18"/>
  <c r="Q116" i="18" s="1"/>
  <c r="Q117" i="18"/>
  <c r="Q184" i="18"/>
  <c r="H52" i="18"/>
  <c r="H93" i="18" s="1"/>
  <c r="I52" i="18"/>
  <c r="I93" i="18" s="1"/>
  <c r="J52" i="18"/>
  <c r="J93" i="18" s="1"/>
  <c r="K52" i="18"/>
  <c r="K93" i="18" s="1"/>
  <c r="L52" i="18"/>
  <c r="L93" i="18" s="1"/>
  <c r="M52" i="18"/>
  <c r="M93" i="18" s="1"/>
  <c r="N52" i="18"/>
  <c r="N93" i="18" s="1"/>
  <c r="O52" i="18"/>
  <c r="O93" i="18" s="1"/>
  <c r="P52" i="18"/>
  <c r="P93" i="18" s="1"/>
  <c r="G52" i="18"/>
  <c r="G93" i="18" s="1"/>
  <c r="P43" i="18"/>
  <c r="O43" i="18"/>
  <c r="N43" i="18"/>
  <c r="M43" i="18"/>
  <c r="L43" i="18"/>
  <c r="K43" i="18"/>
  <c r="J43" i="18"/>
  <c r="I43" i="18"/>
  <c r="H43" i="18"/>
  <c r="G43" i="18"/>
  <c r="H198" i="18" l="1"/>
  <c r="R93" i="18"/>
  <c r="R52" i="18"/>
  <c r="S44" i="18"/>
  <c r="T44" i="18" s="1"/>
  <c r="S42" i="18"/>
  <c r="T42" i="18" s="1"/>
  <c r="K194" i="18" l="1"/>
  <c r="K193" i="18"/>
  <c r="K192" i="18"/>
  <c r="K191" i="18"/>
  <c r="AE38" i="18" l="1"/>
  <c r="S38" i="18"/>
  <c r="P39" i="18"/>
  <c r="O39" i="18"/>
  <c r="N39" i="18"/>
  <c r="M39" i="18"/>
  <c r="L39" i="18"/>
  <c r="K39" i="18"/>
  <c r="J39" i="18"/>
  <c r="I39" i="18"/>
  <c r="H39" i="18"/>
  <c r="G39" i="18"/>
  <c r="T38" i="18" l="1"/>
  <c r="T55" i="18" s="1"/>
  <c r="U38" i="18" l="1"/>
  <c r="K198" i="18"/>
  <c r="T198" i="18" s="1"/>
  <c r="T199" i="18" s="1"/>
  <c r="K197" i="18"/>
  <c r="V38" i="18" l="1"/>
  <c r="U212" i="18"/>
  <c r="U213" i="18" s="1"/>
  <c r="D210" i="18"/>
  <c r="G224" i="18" s="1"/>
  <c r="K224" i="18" s="1"/>
  <c r="H210" i="18"/>
  <c r="L26" i="18"/>
  <c r="L108" i="18"/>
  <c r="J108" i="18"/>
  <c r="H108" i="18"/>
  <c r="G108" i="18"/>
  <c r="I108" i="18"/>
  <c r="K108" i="18"/>
  <c r="M108" i="18"/>
  <c r="N108" i="18"/>
  <c r="O108" i="18"/>
  <c r="P108" i="18"/>
  <c r="H141" i="18"/>
  <c r="I141" i="18"/>
  <c r="J141" i="18"/>
  <c r="K141" i="18"/>
  <c r="L141" i="18"/>
  <c r="M141" i="18"/>
  <c r="N141" i="18"/>
  <c r="O141" i="18"/>
  <c r="P141" i="18"/>
  <c r="H140" i="18"/>
  <c r="I140" i="18"/>
  <c r="J140" i="18"/>
  <c r="K140" i="18"/>
  <c r="L140" i="18"/>
  <c r="M140" i="18"/>
  <c r="N140" i="18"/>
  <c r="O140" i="18"/>
  <c r="P140" i="18"/>
  <c r="G228" i="18"/>
  <c r="G229" i="18" s="1"/>
  <c r="AE57" i="18"/>
  <c r="H57" i="18"/>
  <c r="I57" i="18"/>
  <c r="J57" i="18"/>
  <c r="K57" i="18"/>
  <c r="L57" i="18"/>
  <c r="M57" i="18"/>
  <c r="N57" i="18"/>
  <c r="O57" i="18"/>
  <c r="P57" i="18"/>
  <c r="G57" i="18"/>
  <c r="H219" i="18"/>
  <c r="D218" i="18"/>
  <c r="G225" i="18" s="1"/>
  <c r="K225" i="18" s="1"/>
  <c r="H217" i="18"/>
  <c r="I217" i="18" s="1"/>
  <c r="J217" i="18" s="1"/>
  <c r="J218" i="18" s="1"/>
  <c r="H215" i="18"/>
  <c r="H209" i="18"/>
  <c r="H208" i="18"/>
  <c r="I208" i="18" s="1"/>
  <c r="J208" i="18" s="1"/>
  <c r="W38" i="18" l="1"/>
  <c r="G230" i="18"/>
  <c r="G227" i="18"/>
  <c r="D220" i="18"/>
  <c r="K228" i="18"/>
  <c r="R57" i="18"/>
  <c r="K227" i="18"/>
  <c r="I209" i="18"/>
  <c r="J209" i="18" s="1"/>
  <c r="I219" i="18"/>
  <c r="J219" i="18" s="1"/>
  <c r="J220" i="18" s="1"/>
  <c r="H92" i="18"/>
  <c r="I92" i="18"/>
  <c r="J92" i="18"/>
  <c r="K92" i="18"/>
  <c r="L92" i="18"/>
  <c r="M92" i="18"/>
  <c r="N92" i="18"/>
  <c r="O92" i="18"/>
  <c r="P92" i="18"/>
  <c r="G92" i="18"/>
  <c r="H41" i="18"/>
  <c r="I41" i="18"/>
  <c r="J41" i="18"/>
  <c r="K41" i="18"/>
  <c r="L41" i="18"/>
  <c r="M41" i="18"/>
  <c r="N41" i="18"/>
  <c r="O41" i="18"/>
  <c r="P41" i="18"/>
  <c r="K37" i="18"/>
  <c r="L37" i="18"/>
  <c r="M37" i="18"/>
  <c r="J37" i="18"/>
  <c r="I37" i="18"/>
  <c r="H37" i="18"/>
  <c r="G37" i="18"/>
  <c r="P37" i="18"/>
  <c r="O37" i="18"/>
  <c r="N37" i="18"/>
  <c r="P30" i="18"/>
  <c r="O30" i="18"/>
  <c r="N30" i="18"/>
  <c r="M30" i="18"/>
  <c r="N28" i="18"/>
  <c r="O28" i="18"/>
  <c r="P28" i="18"/>
  <c r="N26" i="18"/>
  <c r="O26" i="18"/>
  <c r="P26" i="18"/>
  <c r="H11" i="18"/>
  <c r="I11" i="18"/>
  <c r="J11" i="18"/>
  <c r="K11" i="18"/>
  <c r="L11" i="18"/>
  <c r="M11" i="18"/>
  <c r="N11" i="18"/>
  <c r="O11" i="18"/>
  <c r="P11" i="18"/>
  <c r="G141" i="18"/>
  <c r="G140" i="18"/>
  <c r="AE14" i="18"/>
  <c r="S14" i="18"/>
  <c r="U209" i="18"/>
  <c r="U208" i="18"/>
  <c r="O209" i="18"/>
  <c r="O212" i="18" s="1"/>
  <c r="O208" i="18"/>
  <c r="H99" i="18"/>
  <c r="H105" i="18" s="1"/>
  <c r="I99" i="18"/>
  <c r="I105" i="18" s="1"/>
  <c r="J99" i="18"/>
  <c r="J105" i="18" s="1"/>
  <c r="K99" i="18"/>
  <c r="K105" i="18" s="1"/>
  <c r="L99" i="18"/>
  <c r="L105" i="18" s="1"/>
  <c r="M99" i="18"/>
  <c r="M105" i="18" s="1"/>
  <c r="N99" i="18"/>
  <c r="N105" i="18" s="1"/>
  <c r="O99" i="18"/>
  <c r="O105" i="18" s="1"/>
  <c r="P99" i="18"/>
  <c r="P105" i="18" s="1"/>
  <c r="G99" i="18"/>
  <c r="G105" i="18" s="1"/>
  <c r="H96" i="18"/>
  <c r="H102" i="18" s="1"/>
  <c r="I96" i="18"/>
  <c r="I102" i="18" s="1"/>
  <c r="J96" i="18"/>
  <c r="J102" i="18" s="1"/>
  <c r="K96" i="18"/>
  <c r="K102" i="18" s="1"/>
  <c r="L96" i="18"/>
  <c r="L102" i="18" s="1"/>
  <c r="M96" i="18"/>
  <c r="M102" i="18" s="1"/>
  <c r="N96" i="18"/>
  <c r="N102" i="18" s="1"/>
  <c r="O96" i="18"/>
  <c r="O102" i="18" s="1"/>
  <c r="P96" i="18"/>
  <c r="P102" i="18" s="1"/>
  <c r="G96" i="18"/>
  <c r="G102" i="18" s="1"/>
  <c r="H97" i="18"/>
  <c r="H103" i="18" s="1"/>
  <c r="I97" i="18"/>
  <c r="I103" i="18" s="1"/>
  <c r="J97" i="18"/>
  <c r="J103" i="18" s="1"/>
  <c r="K97" i="18"/>
  <c r="K103" i="18" s="1"/>
  <c r="L97" i="18"/>
  <c r="L103" i="18" s="1"/>
  <c r="M97" i="18"/>
  <c r="M103" i="18" s="1"/>
  <c r="N97" i="18"/>
  <c r="N103" i="18" s="1"/>
  <c r="O97" i="18"/>
  <c r="O103" i="18" s="1"/>
  <c r="P97" i="18"/>
  <c r="P103" i="18" s="1"/>
  <c r="G97" i="18"/>
  <c r="G103" i="18" s="1"/>
  <c r="H136" i="18"/>
  <c r="H137" i="18" s="1"/>
  <c r="I136" i="18"/>
  <c r="I137" i="18" s="1"/>
  <c r="J136" i="18"/>
  <c r="J137" i="18" s="1"/>
  <c r="K136" i="18"/>
  <c r="K137" i="18" s="1"/>
  <c r="L136" i="18"/>
  <c r="L137" i="18" s="1"/>
  <c r="M136" i="18"/>
  <c r="M137" i="18" s="1"/>
  <c r="N136" i="18"/>
  <c r="N137" i="18" s="1"/>
  <c r="O136" i="18"/>
  <c r="O137" i="18" s="1"/>
  <c r="P136" i="18"/>
  <c r="P137" i="18" s="1"/>
  <c r="G136" i="18"/>
  <c r="G137" i="18" s="1"/>
  <c r="X38" i="18" l="1"/>
  <c r="R105" i="18"/>
  <c r="R102" i="18"/>
  <c r="T14" i="18"/>
  <c r="U14" i="18" s="1"/>
  <c r="V14" i="18" s="1"/>
  <c r="W14" i="18" s="1"/>
  <c r="X14" i="18" s="1"/>
  <c r="Y14" i="18" s="1"/>
  <c r="Z14" i="18" s="1"/>
  <c r="AA14" i="18" s="1"/>
  <c r="AB14" i="18" s="1"/>
  <c r="AC14" i="18" s="1"/>
  <c r="R103" i="18"/>
  <c r="I210" i="18"/>
  <c r="J210" i="18" s="1"/>
  <c r="R140" i="18"/>
  <c r="R141" i="18"/>
  <c r="R92" i="18"/>
  <c r="R99" i="18"/>
  <c r="R96" i="18"/>
  <c r="R137" i="18"/>
  <c r="R136" i="18"/>
  <c r="R97" i="18"/>
  <c r="P91" i="18"/>
  <c r="P90" i="18"/>
  <c r="H91" i="18"/>
  <c r="I91" i="18"/>
  <c r="J91" i="18"/>
  <c r="K91" i="18"/>
  <c r="L91" i="18"/>
  <c r="M91" i="18"/>
  <c r="N91" i="18"/>
  <c r="O91" i="18"/>
  <c r="G91" i="18"/>
  <c r="G90" i="18"/>
  <c r="H134" i="18"/>
  <c r="I134" i="18"/>
  <c r="J134" i="18"/>
  <c r="K134" i="18"/>
  <c r="L134" i="18"/>
  <c r="M134" i="18"/>
  <c r="N134" i="18"/>
  <c r="O134" i="18"/>
  <c r="P134" i="18"/>
  <c r="G134" i="18"/>
  <c r="H133" i="18"/>
  <c r="I133" i="18"/>
  <c r="J133" i="18"/>
  <c r="K133" i="18"/>
  <c r="L133" i="18"/>
  <c r="M133" i="18"/>
  <c r="N133" i="18"/>
  <c r="O133" i="18"/>
  <c r="P133" i="18"/>
  <c r="G133" i="18"/>
  <c r="H130" i="18"/>
  <c r="I130" i="18"/>
  <c r="J130" i="18"/>
  <c r="K130" i="18"/>
  <c r="L130" i="18"/>
  <c r="M130" i="18"/>
  <c r="N130" i="18"/>
  <c r="O130" i="18"/>
  <c r="P130" i="18"/>
  <c r="G130" i="18"/>
  <c r="H131" i="18"/>
  <c r="I131" i="18"/>
  <c r="J131" i="18"/>
  <c r="K131" i="18"/>
  <c r="L131" i="18"/>
  <c r="M131" i="18"/>
  <c r="N131" i="18"/>
  <c r="O131" i="18"/>
  <c r="P131" i="18"/>
  <c r="G131" i="18"/>
  <c r="H129" i="18"/>
  <c r="I129" i="18"/>
  <c r="J129" i="18"/>
  <c r="K129" i="18"/>
  <c r="L129" i="18"/>
  <c r="M129" i="18"/>
  <c r="N129" i="18"/>
  <c r="O129" i="18"/>
  <c r="P129" i="18"/>
  <c r="G129" i="18"/>
  <c r="H128" i="18"/>
  <c r="I128" i="18"/>
  <c r="J128" i="18"/>
  <c r="K128" i="18"/>
  <c r="L128" i="18"/>
  <c r="M128" i="18"/>
  <c r="N128" i="18"/>
  <c r="O128" i="18"/>
  <c r="P128" i="18"/>
  <c r="G128" i="18"/>
  <c r="S175" i="18"/>
  <c r="H125" i="18"/>
  <c r="I125" i="18"/>
  <c r="J125" i="18"/>
  <c r="K125" i="18"/>
  <c r="L125" i="18"/>
  <c r="M125" i="18"/>
  <c r="N125" i="18"/>
  <c r="O125" i="18"/>
  <c r="P125" i="18"/>
  <c r="G125" i="18"/>
  <c r="H124" i="18"/>
  <c r="I124" i="18"/>
  <c r="J124" i="18"/>
  <c r="K124" i="18"/>
  <c r="L124" i="18"/>
  <c r="M124" i="18"/>
  <c r="N124" i="18"/>
  <c r="O124" i="18"/>
  <c r="P124" i="18"/>
  <c r="G124" i="18"/>
  <c r="H123" i="18"/>
  <c r="I123" i="18"/>
  <c r="J123" i="18"/>
  <c r="K123" i="18"/>
  <c r="L123" i="18"/>
  <c r="M123" i="18"/>
  <c r="N123" i="18"/>
  <c r="O123" i="18"/>
  <c r="P123" i="18"/>
  <c r="G123" i="18"/>
  <c r="B125" i="18"/>
  <c r="B124" i="18"/>
  <c r="AE32" i="18"/>
  <c r="S32" i="18"/>
  <c r="G111" i="18"/>
  <c r="H111" i="18"/>
  <c r="I111" i="18"/>
  <c r="J111" i="18"/>
  <c r="K111" i="18"/>
  <c r="L111" i="18"/>
  <c r="M111" i="18"/>
  <c r="N111" i="18"/>
  <c r="O111" i="18"/>
  <c r="P111" i="18"/>
  <c r="T213" i="18"/>
  <c r="N212" i="18"/>
  <c r="T210" i="18"/>
  <c r="U210" i="18" s="1"/>
  <c r="U215" i="18" s="1"/>
  <c r="N210" i="18"/>
  <c r="O210" i="18" s="1"/>
  <c r="O215" i="18" s="1"/>
  <c r="H120" i="18"/>
  <c r="I120" i="18"/>
  <c r="J120" i="18"/>
  <c r="K120" i="18"/>
  <c r="L120" i="18"/>
  <c r="M120" i="18"/>
  <c r="N120" i="18"/>
  <c r="O120" i="18"/>
  <c r="P120" i="18"/>
  <c r="G120" i="18"/>
  <c r="H119" i="18"/>
  <c r="I119" i="18"/>
  <c r="J119" i="18"/>
  <c r="K119" i="18"/>
  <c r="L119" i="18"/>
  <c r="M119" i="18"/>
  <c r="N119" i="18"/>
  <c r="O119" i="18"/>
  <c r="P119" i="18"/>
  <c r="G119" i="18"/>
  <c r="I211" i="18" l="1"/>
  <c r="J211" i="18" s="1"/>
  <c r="I212" i="18" s="1"/>
  <c r="J212" i="18" s="1"/>
  <c r="I213" i="18" s="1"/>
  <c r="J213" i="18" s="1"/>
  <c r="I214" i="18" s="1"/>
  <c r="J214" i="18" s="1"/>
  <c r="I215" i="18" s="1"/>
  <c r="J215" i="18" s="1"/>
  <c r="J216" i="18" s="1"/>
  <c r="Y38" i="18"/>
  <c r="AD14" i="18"/>
  <c r="AF14" i="18"/>
  <c r="T32" i="18"/>
  <c r="U32" i="18" s="1"/>
  <c r="V32" i="18" s="1"/>
  <c r="W32" i="18" s="1"/>
  <c r="X32" i="18" s="1"/>
  <c r="Y32" i="18" s="1"/>
  <c r="Z32" i="18" s="1"/>
  <c r="AA32" i="18" s="1"/>
  <c r="AB32" i="18" s="1"/>
  <c r="AC32" i="18" s="1"/>
  <c r="AD32" i="18" s="1"/>
  <c r="R131" i="18"/>
  <c r="R91" i="18"/>
  <c r="R128" i="18"/>
  <c r="R134" i="18"/>
  <c r="R133" i="18"/>
  <c r="R129" i="18"/>
  <c r="R130" i="18"/>
  <c r="R123" i="18"/>
  <c r="R124" i="18"/>
  <c r="R125" i="18"/>
  <c r="R111" i="18"/>
  <c r="N215" i="18"/>
  <c r="T215" i="18"/>
  <c r="R120" i="18"/>
  <c r="R119" i="18"/>
  <c r="S9" i="18"/>
  <c r="T9" i="18" s="1"/>
  <c r="S10" i="18"/>
  <c r="T10" i="18" s="1"/>
  <c r="S12" i="18"/>
  <c r="T12" i="18" s="1"/>
  <c r="S13" i="18"/>
  <c r="T13" i="18" s="1"/>
  <c r="S15" i="18"/>
  <c r="T15" i="18" s="1"/>
  <c r="S16" i="18"/>
  <c r="T16" i="18" s="1"/>
  <c r="S18" i="18"/>
  <c r="T18" i="18" s="1"/>
  <c r="S20" i="18"/>
  <c r="T20" i="18" s="1"/>
  <c r="S21" i="18"/>
  <c r="T21" i="18" s="1"/>
  <c r="S22" i="18"/>
  <c r="T22" i="18" s="1"/>
  <c r="S23" i="18"/>
  <c r="T23" i="18" s="1"/>
  <c r="S25" i="18"/>
  <c r="T25" i="18" s="1"/>
  <c r="S27" i="18"/>
  <c r="T27" i="18" s="1"/>
  <c r="S29" i="18"/>
  <c r="T29" i="18" s="1"/>
  <c r="S31" i="18"/>
  <c r="S33" i="18"/>
  <c r="T33" i="18" s="1"/>
  <c r="S34" i="18"/>
  <c r="T34" i="18" s="1"/>
  <c r="S36" i="18"/>
  <c r="T36" i="18" s="1"/>
  <c r="T54" i="18" s="1"/>
  <c r="S40" i="18"/>
  <c r="T40" i="18" s="1"/>
  <c r="T52" i="18" s="1"/>
  <c r="S7" i="18"/>
  <c r="T7" i="18" s="1"/>
  <c r="S6" i="18"/>
  <c r="T6" i="18" s="1"/>
  <c r="AE9" i="18"/>
  <c r="AE10" i="18"/>
  <c r="AE11" i="18"/>
  <c r="AE12" i="18"/>
  <c r="AE13" i="18"/>
  <c r="AE15" i="18"/>
  <c r="AE16" i="18"/>
  <c r="AE18" i="18"/>
  <c r="AE20" i="18"/>
  <c r="AE21" i="18"/>
  <c r="AE22" i="18"/>
  <c r="AE23" i="18"/>
  <c r="AE25" i="18"/>
  <c r="AE27" i="18"/>
  <c r="AE29" i="18"/>
  <c r="AE31" i="18"/>
  <c r="AE33" i="18"/>
  <c r="AE34" i="18"/>
  <c r="AE36" i="18"/>
  <c r="AE40" i="18"/>
  <c r="AE42" i="18"/>
  <c r="AE44" i="18"/>
  <c r="AE50" i="18"/>
  <c r="AE51" i="18"/>
  <c r="AE56" i="18"/>
  <c r="AE58" i="18"/>
  <c r="AE59" i="18"/>
  <c r="AE60" i="18"/>
  <c r="AE62" i="18"/>
  <c r="AE63" i="18"/>
  <c r="AE64" i="18"/>
  <c r="AE66" i="18"/>
  <c r="AE67" i="18"/>
  <c r="AE68" i="18"/>
  <c r="AE69" i="18"/>
  <c r="AE71" i="18"/>
  <c r="AE72" i="18"/>
  <c r="AE74" i="18"/>
  <c r="AE76" i="18"/>
  <c r="AE77" i="18"/>
  <c r="AE78" i="18"/>
  <c r="AE79" i="18"/>
  <c r="AE80" i="18"/>
  <c r="AE82" i="18"/>
  <c r="AE83" i="18"/>
  <c r="AE84" i="18"/>
  <c r="AE7" i="18"/>
  <c r="AE6" i="18"/>
  <c r="Z38" i="18" l="1"/>
  <c r="AF32" i="18"/>
  <c r="T93" i="18"/>
  <c r="T31" i="18"/>
  <c r="R108" i="18"/>
  <c r="H95" i="18"/>
  <c r="H101" i="18" s="1"/>
  <c r="I95" i="18"/>
  <c r="I101" i="18" s="1"/>
  <c r="J95" i="18"/>
  <c r="J101" i="18" s="1"/>
  <c r="K95" i="18"/>
  <c r="K101" i="18" s="1"/>
  <c r="L95" i="18"/>
  <c r="L101" i="18" s="1"/>
  <c r="M95" i="18"/>
  <c r="M101" i="18" s="1"/>
  <c r="N95" i="18"/>
  <c r="N101" i="18" s="1"/>
  <c r="O95" i="18"/>
  <c r="O101" i="18" s="1"/>
  <c r="P95" i="18"/>
  <c r="P101" i="18" s="1"/>
  <c r="H98" i="18"/>
  <c r="H104" i="18" s="1"/>
  <c r="I98" i="18"/>
  <c r="I104" i="18" s="1"/>
  <c r="J98" i="18"/>
  <c r="J104" i="18" s="1"/>
  <c r="K98" i="18"/>
  <c r="K104" i="18" s="1"/>
  <c r="L98" i="18"/>
  <c r="L104" i="18" s="1"/>
  <c r="M98" i="18"/>
  <c r="M104" i="18" s="1"/>
  <c r="N98" i="18"/>
  <c r="N104" i="18" s="1"/>
  <c r="O98" i="18"/>
  <c r="O104" i="18" s="1"/>
  <c r="P98" i="18"/>
  <c r="P104" i="18" s="1"/>
  <c r="G98" i="18"/>
  <c r="G104" i="18" s="1"/>
  <c r="G95" i="18"/>
  <c r="G101" i="18" s="1"/>
  <c r="L30" i="18"/>
  <c r="K30" i="18"/>
  <c r="J30" i="18"/>
  <c r="I30" i="18"/>
  <c r="H30" i="18"/>
  <c r="G30" i="18"/>
  <c r="AA38" i="18" l="1"/>
  <c r="U31" i="18"/>
  <c r="T121" i="18"/>
  <c r="R101" i="18"/>
  <c r="R104" i="18"/>
  <c r="U29" i="18"/>
  <c r="R98" i="18"/>
  <c r="R95" i="18"/>
  <c r="H110" i="18"/>
  <c r="I110" i="18"/>
  <c r="J110" i="18"/>
  <c r="K110" i="18"/>
  <c r="L110" i="18"/>
  <c r="M110" i="18"/>
  <c r="N110" i="18"/>
  <c r="O110" i="18"/>
  <c r="P110" i="18"/>
  <c r="G110" i="18"/>
  <c r="H109" i="18"/>
  <c r="I109" i="18"/>
  <c r="J109" i="18"/>
  <c r="K109" i="18"/>
  <c r="L109" i="18"/>
  <c r="M109" i="18"/>
  <c r="N109" i="18"/>
  <c r="O109" i="18"/>
  <c r="P109" i="18"/>
  <c r="G109" i="18"/>
  <c r="AB38" i="18" l="1"/>
  <c r="V31" i="18"/>
  <c r="V29" i="18"/>
  <c r="R109" i="18"/>
  <c r="R110" i="18"/>
  <c r="AF71" i="18"/>
  <c r="AC38" i="18" l="1"/>
  <c r="W31" i="18"/>
  <c r="W29" i="18"/>
  <c r="G185" i="18"/>
  <c r="H185" i="18"/>
  <c r="I185" i="18"/>
  <c r="J185" i="18"/>
  <c r="K185" i="18"/>
  <c r="L185" i="18"/>
  <c r="M185" i="18"/>
  <c r="N185" i="18"/>
  <c r="O185" i="18"/>
  <c r="P185" i="18"/>
  <c r="C9" i="15"/>
  <c r="G72" i="18"/>
  <c r="G113" i="18" s="1"/>
  <c r="G114" i="18" s="1"/>
  <c r="G117" i="18" s="1"/>
  <c r="H72" i="18"/>
  <c r="H113" i="18" s="1"/>
  <c r="H114" i="18" s="1"/>
  <c r="H117" i="18" s="1"/>
  <c r="I72" i="18"/>
  <c r="I113" i="18" s="1"/>
  <c r="I114" i="18" s="1"/>
  <c r="I117" i="18" s="1"/>
  <c r="J72" i="18"/>
  <c r="J113" i="18" s="1"/>
  <c r="J114" i="18" s="1"/>
  <c r="J117" i="18" s="1"/>
  <c r="K72" i="18"/>
  <c r="K113" i="18" s="1"/>
  <c r="K114" i="18" s="1"/>
  <c r="K117" i="18" s="1"/>
  <c r="L72" i="18"/>
  <c r="L113" i="18" s="1"/>
  <c r="L114" i="18" s="1"/>
  <c r="L117" i="18" s="1"/>
  <c r="M72" i="18"/>
  <c r="M113" i="18" s="1"/>
  <c r="M114" i="18" s="1"/>
  <c r="M117" i="18" s="1"/>
  <c r="N72" i="18"/>
  <c r="N113" i="18" s="1"/>
  <c r="N114" i="18" s="1"/>
  <c r="N117" i="18" s="1"/>
  <c r="O72" i="18"/>
  <c r="O113" i="18" s="1"/>
  <c r="O114" i="18" s="1"/>
  <c r="O117" i="18" s="1"/>
  <c r="P72" i="18"/>
  <c r="P113" i="18" s="1"/>
  <c r="AD38" i="18" l="1"/>
  <c r="AF38" i="18"/>
  <c r="X31" i="18"/>
  <c r="T72" i="18"/>
  <c r="T113" i="18" s="1"/>
  <c r="T114" i="18" s="1"/>
  <c r="T117" i="18" s="1"/>
  <c r="X29" i="18"/>
  <c r="R185" i="18"/>
  <c r="N115" i="18"/>
  <c r="N116" i="18" s="1"/>
  <c r="J115" i="18"/>
  <c r="J116" i="18" s="1"/>
  <c r="L115" i="18"/>
  <c r="L116" i="18" s="1"/>
  <c r="H115" i="18"/>
  <c r="H116" i="18" s="1"/>
  <c r="M115" i="18"/>
  <c r="M116" i="18" s="1"/>
  <c r="I115" i="18"/>
  <c r="I116" i="18" s="1"/>
  <c r="O115" i="18"/>
  <c r="O116" i="18" s="1"/>
  <c r="K115" i="18"/>
  <c r="K116" i="18" s="1"/>
  <c r="G115" i="18"/>
  <c r="G116" i="18" s="1"/>
  <c r="P114" i="18"/>
  <c r="P117" i="18" s="1"/>
  <c r="R117" i="18" s="1"/>
  <c r="R113" i="18"/>
  <c r="U44" i="18"/>
  <c r="Y31" i="18" l="1"/>
  <c r="V44" i="18"/>
  <c r="Y29" i="18"/>
  <c r="P115" i="18"/>
  <c r="R114" i="18"/>
  <c r="U72" i="18"/>
  <c r="G82" i="18"/>
  <c r="G138" i="18" s="1"/>
  <c r="H82" i="18"/>
  <c r="H138" i="18" s="1"/>
  <c r="I82" i="18"/>
  <c r="I138" i="18" s="1"/>
  <c r="J82" i="18"/>
  <c r="J138" i="18" s="1"/>
  <c r="K82" i="18"/>
  <c r="K138" i="18" s="1"/>
  <c r="L82" i="18"/>
  <c r="L138" i="18" s="1"/>
  <c r="M82" i="18"/>
  <c r="M138" i="18" s="1"/>
  <c r="N82" i="18"/>
  <c r="N138" i="18" s="1"/>
  <c r="O82" i="18"/>
  <c r="O138" i="18" s="1"/>
  <c r="G83" i="18"/>
  <c r="H83" i="18"/>
  <c r="I83" i="18"/>
  <c r="J83" i="18"/>
  <c r="K83" i="18"/>
  <c r="L83" i="18"/>
  <c r="M83" i="18"/>
  <c r="N83" i="18"/>
  <c r="O83" i="18"/>
  <c r="G84" i="18"/>
  <c r="H84" i="18"/>
  <c r="I84" i="18"/>
  <c r="J84" i="18"/>
  <c r="K84" i="18"/>
  <c r="L84" i="18"/>
  <c r="M84" i="18"/>
  <c r="N84" i="18"/>
  <c r="O84" i="18"/>
  <c r="P84" i="18"/>
  <c r="P83" i="18"/>
  <c r="P82" i="18"/>
  <c r="P138" i="18" s="1"/>
  <c r="H90" i="18"/>
  <c r="I90" i="18"/>
  <c r="J90" i="18"/>
  <c r="K90" i="18"/>
  <c r="L90" i="18"/>
  <c r="M90" i="18"/>
  <c r="N90" i="18"/>
  <c r="O90" i="18"/>
  <c r="G89" i="18"/>
  <c r="H89" i="18"/>
  <c r="I89" i="18"/>
  <c r="J89" i="18"/>
  <c r="K89" i="18"/>
  <c r="L89" i="18"/>
  <c r="M89" i="18"/>
  <c r="N89" i="18"/>
  <c r="O89" i="18"/>
  <c r="G88" i="18"/>
  <c r="H88" i="18"/>
  <c r="I88" i="18"/>
  <c r="J88" i="18"/>
  <c r="K88" i="18"/>
  <c r="L88" i="18"/>
  <c r="M88" i="18"/>
  <c r="N88" i="18"/>
  <c r="O88" i="18"/>
  <c r="P89" i="18"/>
  <c r="G41" i="18"/>
  <c r="G28" i="18"/>
  <c r="G11" i="18"/>
  <c r="G8" i="18"/>
  <c r="G26" i="18"/>
  <c r="Z31" i="18" l="1"/>
  <c r="W44" i="18"/>
  <c r="V72" i="18"/>
  <c r="R138" i="18"/>
  <c r="Z29" i="18"/>
  <c r="R84" i="18"/>
  <c r="R82" i="18"/>
  <c r="R83" i="18"/>
  <c r="R89" i="18"/>
  <c r="R90" i="18"/>
  <c r="P88" i="18"/>
  <c r="R88" i="18" s="1"/>
  <c r="H203" i="18"/>
  <c r="I203" i="18"/>
  <c r="J203" i="18"/>
  <c r="K203" i="18"/>
  <c r="L203" i="18"/>
  <c r="M203" i="18"/>
  <c r="N203" i="18"/>
  <c r="O203" i="18"/>
  <c r="P203" i="18"/>
  <c r="G203" i="18"/>
  <c r="H202" i="18"/>
  <c r="I202" i="18"/>
  <c r="J202" i="18"/>
  <c r="K202" i="18"/>
  <c r="L202" i="18"/>
  <c r="M202" i="18"/>
  <c r="N202" i="18"/>
  <c r="O202" i="18"/>
  <c r="P202" i="18"/>
  <c r="G202" i="18"/>
  <c r="H201" i="18"/>
  <c r="I201" i="18"/>
  <c r="J201" i="18"/>
  <c r="K201" i="18"/>
  <c r="L201" i="18"/>
  <c r="M201" i="18"/>
  <c r="N201" i="18"/>
  <c r="O201" i="18"/>
  <c r="P201" i="18"/>
  <c r="G201" i="18"/>
  <c r="H51" i="18"/>
  <c r="I51" i="18"/>
  <c r="J51" i="18"/>
  <c r="K51" i="18"/>
  <c r="L51" i="18"/>
  <c r="M51" i="18"/>
  <c r="N51" i="18"/>
  <c r="O51" i="18"/>
  <c r="P51" i="18"/>
  <c r="G51" i="18"/>
  <c r="G56" i="18"/>
  <c r="H50" i="18"/>
  <c r="H176" i="18" s="1"/>
  <c r="I50" i="18"/>
  <c r="I176" i="18" s="1"/>
  <c r="J50" i="18"/>
  <c r="J176" i="18" s="1"/>
  <c r="K50" i="18"/>
  <c r="K176" i="18" s="1"/>
  <c r="L50" i="18"/>
  <c r="L176" i="18" s="1"/>
  <c r="M50" i="18"/>
  <c r="M176" i="18" s="1"/>
  <c r="N50" i="18"/>
  <c r="N176" i="18" s="1"/>
  <c r="O50" i="18"/>
  <c r="O176" i="18" s="1"/>
  <c r="P50" i="18"/>
  <c r="P176" i="18" s="1"/>
  <c r="G50" i="18"/>
  <c r="G176" i="18" s="1"/>
  <c r="M28" i="18"/>
  <c r="L28" i="18"/>
  <c r="K28" i="18"/>
  <c r="J28" i="18"/>
  <c r="I28" i="18"/>
  <c r="H28" i="18"/>
  <c r="M26" i="18"/>
  <c r="K26" i="18"/>
  <c r="J26" i="18"/>
  <c r="I26" i="18"/>
  <c r="H26" i="18"/>
  <c r="I8" i="18"/>
  <c r="J8" i="18"/>
  <c r="K8" i="18"/>
  <c r="L8" i="18"/>
  <c r="M8" i="18"/>
  <c r="N8" i="18"/>
  <c r="O8" i="18"/>
  <c r="P8" i="18"/>
  <c r="H8" i="18"/>
  <c r="T96" i="18"/>
  <c r="T102" i="18" s="1"/>
  <c r="AA31" i="18" l="1"/>
  <c r="G184" i="18"/>
  <c r="R144" i="18"/>
  <c r="X44" i="18"/>
  <c r="W72" i="18"/>
  <c r="R176" i="18"/>
  <c r="AA29" i="18"/>
  <c r="U36" i="18"/>
  <c r="R203" i="18"/>
  <c r="R51" i="18"/>
  <c r="R50" i="18"/>
  <c r="R202" i="18"/>
  <c r="R201" i="18"/>
  <c r="U96" i="18" l="1"/>
  <c r="U102" i="18" s="1"/>
  <c r="AB31" i="18"/>
  <c r="Q197" i="18"/>
  <c r="P197" i="18"/>
  <c r="T197" i="18"/>
  <c r="T196" i="18" s="1"/>
  <c r="Y44" i="18"/>
  <c r="X72" i="18"/>
  <c r="AB29" i="18"/>
  <c r="V36" i="18"/>
  <c r="I79" i="18"/>
  <c r="J79" i="18"/>
  <c r="K79" i="18"/>
  <c r="L79" i="18"/>
  <c r="M79" i="18"/>
  <c r="N79" i="18"/>
  <c r="O79" i="18"/>
  <c r="P79" i="18"/>
  <c r="I80" i="18"/>
  <c r="J80" i="18"/>
  <c r="K80" i="18"/>
  <c r="L80" i="18"/>
  <c r="M80" i="18"/>
  <c r="N80" i="18"/>
  <c r="O80" i="18"/>
  <c r="P80" i="18"/>
  <c r="I74" i="18"/>
  <c r="I76" i="18" s="1"/>
  <c r="J74" i="18"/>
  <c r="J76" i="18" s="1"/>
  <c r="K74" i="18"/>
  <c r="K76" i="18" s="1"/>
  <c r="L74" i="18"/>
  <c r="L76" i="18" s="1"/>
  <c r="M74" i="18"/>
  <c r="M76" i="18" s="1"/>
  <c r="N74" i="18"/>
  <c r="N76" i="18" s="1"/>
  <c r="O74" i="18"/>
  <c r="O76" i="18" s="1"/>
  <c r="P74" i="18"/>
  <c r="P76" i="18" s="1"/>
  <c r="I77" i="18"/>
  <c r="J77" i="18"/>
  <c r="K77" i="18"/>
  <c r="L77" i="18"/>
  <c r="M77" i="18"/>
  <c r="N77" i="18"/>
  <c r="O77" i="18"/>
  <c r="P77" i="18"/>
  <c r="I78" i="18"/>
  <c r="J78" i="18"/>
  <c r="K78" i="18"/>
  <c r="L78" i="18"/>
  <c r="M78" i="18"/>
  <c r="N78" i="18"/>
  <c r="O78" i="18"/>
  <c r="P78" i="18"/>
  <c r="G77" i="18"/>
  <c r="G78" i="18"/>
  <c r="G79" i="18"/>
  <c r="G80" i="18"/>
  <c r="H80" i="18"/>
  <c r="H79" i="18"/>
  <c r="U22" i="18"/>
  <c r="V22" i="18" s="1"/>
  <c r="W22" i="18" s="1"/>
  <c r="X22" i="18" s="1"/>
  <c r="Y22" i="18" s="1"/>
  <c r="Z22" i="18" s="1"/>
  <c r="AA22" i="18" s="1"/>
  <c r="AB22" i="18" s="1"/>
  <c r="AC22" i="18" s="1"/>
  <c r="G74" i="18"/>
  <c r="G76" i="18" s="1"/>
  <c r="H74" i="18"/>
  <c r="H76" i="18" s="1"/>
  <c r="H78" i="18"/>
  <c r="H77" i="18"/>
  <c r="V96" i="18" l="1"/>
  <c r="V102" i="18" s="1"/>
  <c r="AC31" i="18"/>
  <c r="AD31" i="18" s="1"/>
  <c r="Z44" i="18"/>
  <c r="Y72" i="18"/>
  <c r="U23" i="18"/>
  <c r="T99" i="18"/>
  <c r="T105" i="18" s="1"/>
  <c r="AC29" i="18"/>
  <c r="AD22" i="18"/>
  <c r="AF22" i="18"/>
  <c r="W36" i="18"/>
  <c r="R79" i="18"/>
  <c r="R80" i="18"/>
  <c r="R78" i="18"/>
  <c r="R76" i="18"/>
  <c r="R77" i="18"/>
  <c r="R74" i="18"/>
  <c r="T57" i="18"/>
  <c r="U21" i="18"/>
  <c r="R72" i="18"/>
  <c r="R175" i="18"/>
  <c r="AF31" i="18" l="1"/>
  <c r="W96" i="18"/>
  <c r="W102" i="18" s="1"/>
  <c r="Z72" i="18"/>
  <c r="AA44" i="18"/>
  <c r="V23" i="18"/>
  <c r="U99" i="18"/>
  <c r="U105" i="18" s="1"/>
  <c r="AF29" i="18"/>
  <c r="AD29" i="18"/>
  <c r="U20" i="18"/>
  <c r="T74" i="18"/>
  <c r="V21" i="18"/>
  <c r="C19" i="15"/>
  <c r="U9" i="18"/>
  <c r="V9" i="18" s="1"/>
  <c r="W9" i="18" s="1"/>
  <c r="X9" i="18" s="1"/>
  <c r="Y9" i="18" s="1"/>
  <c r="Z9" i="18" s="1"/>
  <c r="AA9" i="18" s="1"/>
  <c r="AB9" i="18" s="1"/>
  <c r="AC9" i="18" s="1"/>
  <c r="AF9" i="18" s="1"/>
  <c r="T92" i="18"/>
  <c r="U33" i="18"/>
  <c r="V33" i="18" s="1"/>
  <c r="W33" i="18" s="1"/>
  <c r="X33" i="18" s="1"/>
  <c r="Y33" i="18" s="1"/>
  <c r="Z33" i="18" s="1"/>
  <c r="AA33" i="18" s="1"/>
  <c r="AB33" i="18" s="1"/>
  <c r="AC33" i="18" s="1"/>
  <c r="AF33" i="18" s="1"/>
  <c r="U34" i="18"/>
  <c r="V34" i="18" s="1"/>
  <c r="W34" i="18" s="1"/>
  <c r="X34" i="18" s="1"/>
  <c r="Y34" i="18" s="1"/>
  <c r="Z34" i="18" s="1"/>
  <c r="AA34" i="18" s="1"/>
  <c r="AB34" i="18" s="1"/>
  <c r="AC34" i="18" s="1"/>
  <c r="AF34" i="18" s="1"/>
  <c r="X36" i="18"/>
  <c r="O70" i="18"/>
  <c r="O182" i="18" s="1"/>
  <c r="O69" i="18"/>
  <c r="O67" i="18"/>
  <c r="O66" i="18"/>
  <c r="O64" i="18"/>
  <c r="O183" i="18" s="1"/>
  <c r="O63" i="18"/>
  <c r="O62" i="18"/>
  <c r="O60" i="18"/>
  <c r="O59" i="18"/>
  <c r="O180" i="18" s="1"/>
  <c r="O58" i="18"/>
  <c r="O56" i="18"/>
  <c r="X96" i="18" l="1"/>
  <c r="X102" i="18" s="1"/>
  <c r="AA72" i="18"/>
  <c r="AB44" i="18"/>
  <c r="U74" i="18"/>
  <c r="T130" i="18"/>
  <c r="T140" i="18"/>
  <c r="T131" i="18"/>
  <c r="T141" i="18"/>
  <c r="W23" i="18"/>
  <c r="V99" i="18"/>
  <c r="V105" i="18" s="1"/>
  <c r="T124" i="18"/>
  <c r="T125" i="18"/>
  <c r="T123" i="18"/>
  <c r="T111" i="18"/>
  <c r="P116" i="18"/>
  <c r="R116" i="18" s="1"/>
  <c r="R115" i="18"/>
  <c r="T95" i="18"/>
  <c r="T101" i="18" s="1"/>
  <c r="T120" i="18"/>
  <c r="T119" i="18"/>
  <c r="U18" i="18"/>
  <c r="O177" i="18"/>
  <c r="O186" i="18" s="1"/>
  <c r="O187" i="18" s="1"/>
  <c r="O184" i="18"/>
  <c r="V20" i="18"/>
  <c r="U27" i="18"/>
  <c r="Y36" i="18"/>
  <c r="U25" i="18"/>
  <c r="T88" i="18"/>
  <c r="W21" i="18"/>
  <c r="AD33" i="18"/>
  <c r="AD34" i="18"/>
  <c r="AD9" i="18"/>
  <c r="O68" i="18"/>
  <c r="O181" i="18" s="1"/>
  <c r="G64" i="18"/>
  <c r="G183" i="18" s="1"/>
  <c r="H64" i="18"/>
  <c r="H183" i="18" s="1"/>
  <c r="I64" i="18"/>
  <c r="I183" i="18" s="1"/>
  <c r="J64" i="18"/>
  <c r="J183" i="18" s="1"/>
  <c r="K64" i="18"/>
  <c r="K183" i="18" s="1"/>
  <c r="L64" i="18"/>
  <c r="L183" i="18" s="1"/>
  <c r="M64" i="18"/>
  <c r="M183" i="18" s="1"/>
  <c r="N64" i="18"/>
  <c r="N183" i="18" s="1"/>
  <c r="P64" i="18"/>
  <c r="Y96" i="18" l="1"/>
  <c r="Y102" i="18" s="1"/>
  <c r="U92" i="18"/>
  <c r="U121" i="18"/>
  <c r="AC44" i="18"/>
  <c r="AB72" i="18"/>
  <c r="U131" i="18"/>
  <c r="U141" i="18"/>
  <c r="U130" i="18"/>
  <c r="U140" i="18"/>
  <c r="X23" i="18"/>
  <c r="W99" i="18"/>
  <c r="W105" i="18" s="1"/>
  <c r="U123" i="18"/>
  <c r="U125" i="18"/>
  <c r="U124" i="18"/>
  <c r="U111" i="18"/>
  <c r="U95" i="18"/>
  <c r="U101" i="18" s="1"/>
  <c r="U120" i="18"/>
  <c r="U119" i="18"/>
  <c r="V18" i="18"/>
  <c r="W20" i="18"/>
  <c r="V74" i="18"/>
  <c r="V27" i="18"/>
  <c r="V25" i="18"/>
  <c r="V121" i="18" s="1"/>
  <c r="U88" i="18"/>
  <c r="Z36" i="18"/>
  <c r="X21" i="18"/>
  <c r="P183" i="18"/>
  <c r="R183" i="18" s="1"/>
  <c r="R64" i="18"/>
  <c r="G63" i="18"/>
  <c r="H63" i="18"/>
  <c r="I63" i="18"/>
  <c r="J63" i="18"/>
  <c r="K63" i="18"/>
  <c r="L63" i="18"/>
  <c r="M63" i="18"/>
  <c r="N63" i="18"/>
  <c r="P63" i="18"/>
  <c r="G62" i="18"/>
  <c r="H62" i="18"/>
  <c r="I62" i="18"/>
  <c r="J62" i="18"/>
  <c r="K62" i="18"/>
  <c r="L62" i="18"/>
  <c r="M62" i="18"/>
  <c r="N62" i="18"/>
  <c r="P62" i="18"/>
  <c r="Z96" i="18" l="1"/>
  <c r="Z102" i="18" s="1"/>
  <c r="AF44" i="18"/>
  <c r="AC72" i="18"/>
  <c r="AD44" i="18"/>
  <c r="V130" i="18"/>
  <c r="V140" i="18"/>
  <c r="V131" i="18"/>
  <c r="V141" i="18"/>
  <c r="V92" i="18"/>
  <c r="Y23" i="18"/>
  <c r="X99" i="18"/>
  <c r="X105" i="18" s="1"/>
  <c r="V125" i="18"/>
  <c r="V124" i="18"/>
  <c r="V123" i="18"/>
  <c r="V111" i="18"/>
  <c r="V95" i="18"/>
  <c r="V101" i="18" s="1"/>
  <c r="V120" i="18"/>
  <c r="V119" i="18"/>
  <c r="W18" i="18"/>
  <c r="X20" i="18"/>
  <c r="W74" i="18"/>
  <c r="W27" i="18"/>
  <c r="W25" i="18"/>
  <c r="V88" i="18"/>
  <c r="AA36" i="18"/>
  <c r="Y21" i="18"/>
  <c r="R62" i="18"/>
  <c r="R63" i="18"/>
  <c r="C46" i="15"/>
  <c r="AA96" i="18" l="1"/>
  <c r="AA102" i="18" s="1"/>
  <c r="W92" i="18"/>
  <c r="W121" i="18"/>
  <c r="T162" i="18"/>
  <c r="Q190" i="18" s="1"/>
  <c r="AF72" i="18"/>
  <c r="U162" i="18" s="1"/>
  <c r="AD72" i="18"/>
  <c r="W131" i="18"/>
  <c r="W141" i="18"/>
  <c r="W130" i="18"/>
  <c r="W140" i="18"/>
  <c r="Z23" i="18"/>
  <c r="Y99" i="18"/>
  <c r="Y105" i="18" s="1"/>
  <c r="W111" i="18"/>
  <c r="W125" i="18"/>
  <c r="W124" i="18"/>
  <c r="W123" i="18"/>
  <c r="W95" i="18"/>
  <c r="W101" i="18" s="1"/>
  <c r="W120" i="18"/>
  <c r="W119" i="18"/>
  <c r="X18" i="18"/>
  <c r="Y20" i="18"/>
  <c r="X74" i="18"/>
  <c r="X27" i="18"/>
  <c r="X25" i="18"/>
  <c r="X121" i="18" s="1"/>
  <c r="W88" i="18"/>
  <c r="AB36" i="18"/>
  <c r="Z21" i="18"/>
  <c r="T175" i="18"/>
  <c r="H56" i="18"/>
  <c r="I56" i="18"/>
  <c r="J56" i="18"/>
  <c r="K56" i="18"/>
  <c r="L56" i="18"/>
  <c r="L184" i="18" s="1"/>
  <c r="M56" i="18"/>
  <c r="N56" i="18"/>
  <c r="N184" i="18" s="1"/>
  <c r="P56" i="18"/>
  <c r="G70" i="18"/>
  <c r="H70" i="18"/>
  <c r="H182" i="18" s="1"/>
  <c r="I70" i="18"/>
  <c r="I182" i="18" s="1"/>
  <c r="J70" i="18"/>
  <c r="J182" i="18" s="1"/>
  <c r="K70" i="18"/>
  <c r="K182" i="18" s="1"/>
  <c r="L70" i="18"/>
  <c r="L182" i="18" s="1"/>
  <c r="M70" i="18"/>
  <c r="M182" i="18" s="1"/>
  <c r="N70" i="18"/>
  <c r="P70" i="18"/>
  <c r="G69" i="18"/>
  <c r="H69" i="18"/>
  <c r="I69" i="18"/>
  <c r="J69" i="18"/>
  <c r="K69" i="18"/>
  <c r="L69" i="18"/>
  <c r="M69" i="18"/>
  <c r="N69" i="18"/>
  <c r="P69" i="18"/>
  <c r="G67" i="18"/>
  <c r="H67" i="18"/>
  <c r="I67" i="18"/>
  <c r="J67" i="18"/>
  <c r="K67" i="18"/>
  <c r="L67" i="18"/>
  <c r="M67" i="18"/>
  <c r="N67" i="18"/>
  <c r="P67" i="18"/>
  <c r="G66" i="18"/>
  <c r="H66" i="18"/>
  <c r="I66" i="18"/>
  <c r="J66" i="18"/>
  <c r="K66" i="18"/>
  <c r="L66" i="18"/>
  <c r="M66" i="18"/>
  <c r="N66" i="18"/>
  <c r="P66" i="18"/>
  <c r="G60" i="18"/>
  <c r="H60" i="18"/>
  <c r="I60" i="18"/>
  <c r="J60" i="18"/>
  <c r="K60" i="18"/>
  <c r="L60" i="18"/>
  <c r="M60" i="18"/>
  <c r="N60" i="18"/>
  <c r="P60" i="18"/>
  <c r="G59" i="18"/>
  <c r="H59" i="18"/>
  <c r="H180" i="18" s="1"/>
  <c r="I59" i="18"/>
  <c r="I180" i="18" s="1"/>
  <c r="J59" i="18"/>
  <c r="J180" i="18" s="1"/>
  <c r="K59" i="18"/>
  <c r="K180" i="18" s="1"/>
  <c r="L59" i="18"/>
  <c r="L180" i="18" s="1"/>
  <c r="M59" i="18"/>
  <c r="M180" i="18" s="1"/>
  <c r="N59" i="18"/>
  <c r="P59" i="18"/>
  <c r="G58" i="18"/>
  <c r="H58" i="18"/>
  <c r="I58" i="18"/>
  <c r="J58" i="18"/>
  <c r="K58" i="18"/>
  <c r="L58" i="18"/>
  <c r="M58" i="18"/>
  <c r="N58" i="18"/>
  <c r="P58" i="18"/>
  <c r="T128" i="18"/>
  <c r="T136" i="18"/>
  <c r="T137" i="18" s="1"/>
  <c r="T97" i="18"/>
  <c r="T103" i="18" s="1"/>
  <c r="T185" i="18" l="1"/>
  <c r="T179" i="18"/>
  <c r="T178" i="18"/>
  <c r="AB96" i="18"/>
  <c r="AB102" i="18" s="1"/>
  <c r="T108" i="18"/>
  <c r="S162" i="18"/>
  <c r="P190" i="18" s="1"/>
  <c r="X130" i="18"/>
  <c r="X140" i="18"/>
  <c r="X92" i="18"/>
  <c r="X131" i="18"/>
  <c r="X141" i="18"/>
  <c r="AA23" i="18"/>
  <c r="Z99" i="18"/>
  <c r="Z105" i="18" s="1"/>
  <c r="T90" i="18"/>
  <c r="T91" i="18"/>
  <c r="T134" i="18"/>
  <c r="T133" i="18"/>
  <c r="T98" i="18"/>
  <c r="T104" i="18" s="1"/>
  <c r="T129" i="18"/>
  <c r="H184" i="18"/>
  <c r="H177" i="18"/>
  <c r="H186" i="18" s="1"/>
  <c r="H187" i="18" s="1"/>
  <c r="X111" i="18"/>
  <c r="X124" i="18"/>
  <c r="X123" i="18"/>
  <c r="X125" i="18"/>
  <c r="T110" i="18"/>
  <c r="T115" i="18"/>
  <c r="T116" i="18" s="1"/>
  <c r="X95" i="18"/>
  <c r="X101" i="18" s="1"/>
  <c r="X120" i="18"/>
  <c r="X119" i="18"/>
  <c r="T109" i="18"/>
  <c r="Y18" i="18"/>
  <c r="P177" i="18"/>
  <c r="P186" i="18" s="1"/>
  <c r="P184" i="18"/>
  <c r="R184" i="18" s="1"/>
  <c r="K177" i="18"/>
  <c r="K186" i="18" s="1"/>
  <c r="K187" i="18" s="1"/>
  <c r="K184" i="18"/>
  <c r="J177" i="18"/>
  <c r="J186" i="18" s="1"/>
  <c r="J187" i="18" s="1"/>
  <c r="J184" i="18"/>
  <c r="M177" i="18"/>
  <c r="M186" i="18" s="1"/>
  <c r="M187" i="18" s="1"/>
  <c r="M184" i="18"/>
  <c r="I177" i="18"/>
  <c r="I186" i="18" s="1"/>
  <c r="I187" i="18" s="1"/>
  <c r="I184" i="18"/>
  <c r="Z20" i="18"/>
  <c r="Y74" i="18"/>
  <c r="H68" i="18"/>
  <c r="H181" i="18" s="1"/>
  <c r="Y27" i="18"/>
  <c r="U12" i="18"/>
  <c r="U15" i="18"/>
  <c r="U128" i="18" s="1"/>
  <c r="U13" i="18"/>
  <c r="U10" i="18"/>
  <c r="U16" i="18"/>
  <c r="U136" i="18" s="1"/>
  <c r="U137" i="18" s="1"/>
  <c r="U6" i="18"/>
  <c r="U7" i="18"/>
  <c r="Y25" i="18"/>
  <c r="X88" i="18"/>
  <c r="U40" i="18"/>
  <c r="T89" i="18"/>
  <c r="AC36" i="18"/>
  <c r="L68" i="18"/>
  <c r="L181" i="18" s="1"/>
  <c r="K68" i="18"/>
  <c r="K181" i="18" s="1"/>
  <c r="J68" i="18"/>
  <c r="J181" i="18" s="1"/>
  <c r="AA21" i="18"/>
  <c r="U175" i="18"/>
  <c r="U185" i="18" s="1"/>
  <c r="I68" i="18"/>
  <c r="I181" i="18" s="1"/>
  <c r="R58" i="18"/>
  <c r="G180" i="18"/>
  <c r="R59" i="18"/>
  <c r="R60" i="18"/>
  <c r="R67" i="18"/>
  <c r="R69" i="18"/>
  <c r="G177" i="18"/>
  <c r="G186" i="18" s="1"/>
  <c r="G187" i="18" s="1"/>
  <c r="R56" i="18"/>
  <c r="G182" i="18"/>
  <c r="R70" i="18"/>
  <c r="G68" i="18"/>
  <c r="R66" i="18"/>
  <c r="N180" i="18"/>
  <c r="N177" i="18"/>
  <c r="N186" i="18" s="1"/>
  <c r="N187" i="18" s="1"/>
  <c r="N182" i="18"/>
  <c r="P180" i="18"/>
  <c r="L177" i="18"/>
  <c r="L186" i="18" s="1"/>
  <c r="L187" i="18" s="1"/>
  <c r="N68" i="18"/>
  <c r="M68" i="18"/>
  <c r="M181" i="18" s="1"/>
  <c r="P182" i="18"/>
  <c r="P68" i="18"/>
  <c r="T67" i="18"/>
  <c r="C6" i="12"/>
  <c r="C26" i="15"/>
  <c r="C58" i="15"/>
  <c r="C57" i="15"/>
  <c r="C54" i="15"/>
  <c r="C53" i="15"/>
  <c r="C50" i="15"/>
  <c r="C49" i="15"/>
  <c r="C45" i="15"/>
  <c r="Y92" i="18" l="1"/>
  <c r="Y121" i="18"/>
  <c r="P187" i="18"/>
  <c r="R186" i="18"/>
  <c r="U97" i="18"/>
  <c r="U103" i="18" s="1"/>
  <c r="U52" i="18"/>
  <c r="U93" i="18" s="1"/>
  <c r="U198" i="18"/>
  <c r="V198" i="18" s="1"/>
  <c r="W198" i="18" s="1"/>
  <c r="X198" i="18" s="1"/>
  <c r="Y198" i="18" s="1"/>
  <c r="Z198" i="18" s="1"/>
  <c r="AA198" i="18" s="1"/>
  <c r="AB198" i="18" s="1"/>
  <c r="AC198" i="18" s="1"/>
  <c r="AD198" i="18" s="1"/>
  <c r="AE198" i="18" s="1"/>
  <c r="AF198" i="18" s="1"/>
  <c r="AG198" i="18" s="1"/>
  <c r="AH198" i="18" s="1"/>
  <c r="AI198" i="18" s="1"/>
  <c r="AJ198" i="18" s="1"/>
  <c r="AK198" i="18" s="1"/>
  <c r="AL198" i="18" s="1"/>
  <c r="AM198" i="18" s="1"/>
  <c r="AN198" i="18" s="1"/>
  <c r="AO198" i="18" s="1"/>
  <c r="AP198" i="18" s="1"/>
  <c r="AQ198" i="18" s="1"/>
  <c r="AR198" i="18" s="1"/>
  <c r="AS198" i="18" s="1"/>
  <c r="AT198" i="18" s="1"/>
  <c r="U108" i="18"/>
  <c r="Y130" i="18"/>
  <c r="Y140" i="18"/>
  <c r="Y131" i="18"/>
  <c r="Y141" i="18"/>
  <c r="AF36" i="18"/>
  <c r="AC96" i="18"/>
  <c r="AB23" i="18"/>
  <c r="AA99" i="18"/>
  <c r="AA105" i="18" s="1"/>
  <c r="U134" i="18"/>
  <c r="U133" i="18"/>
  <c r="U98" i="18"/>
  <c r="U104" i="18" s="1"/>
  <c r="U129" i="18"/>
  <c r="U91" i="18"/>
  <c r="Y123" i="18"/>
  <c r="Y124" i="18"/>
  <c r="Y125" i="18"/>
  <c r="Y111" i="18"/>
  <c r="Y95" i="18"/>
  <c r="Y101" i="18" s="1"/>
  <c r="Y120" i="18"/>
  <c r="Y119" i="18"/>
  <c r="U109" i="18"/>
  <c r="U110" i="18"/>
  <c r="Z18" i="18"/>
  <c r="AA20" i="18"/>
  <c r="Z74" i="18"/>
  <c r="T66" i="18"/>
  <c r="T68" i="18" s="1"/>
  <c r="T83" i="18"/>
  <c r="T62" i="18"/>
  <c r="T64" i="18"/>
  <c r="T183" i="18" s="1"/>
  <c r="T70" i="18"/>
  <c r="T182" i="18" s="1"/>
  <c r="T80" i="18"/>
  <c r="T82" i="18"/>
  <c r="T138" i="18" s="1"/>
  <c r="T51" i="18"/>
  <c r="T50" i="18"/>
  <c r="T176" i="18" s="1"/>
  <c r="T63" i="18"/>
  <c r="T59" i="18"/>
  <c r="T60" i="18"/>
  <c r="T69" i="18"/>
  <c r="T58" i="18"/>
  <c r="T84" i="18"/>
  <c r="T56" i="18"/>
  <c r="T184" i="18" s="1"/>
  <c r="Z27" i="18"/>
  <c r="V15" i="18"/>
  <c r="V128" i="18" s="1"/>
  <c r="V13" i="18"/>
  <c r="V12" i="18"/>
  <c r="V16" i="18"/>
  <c r="V136" i="18" s="1"/>
  <c r="V137" i="18" s="1"/>
  <c r="V10" i="18"/>
  <c r="V7" i="18"/>
  <c r="V6" i="18"/>
  <c r="AD36" i="18"/>
  <c r="Z25" i="18"/>
  <c r="Y88" i="18"/>
  <c r="V40" i="18"/>
  <c r="U90" i="18"/>
  <c r="U89" i="18"/>
  <c r="U42" i="18"/>
  <c r="T77" i="18"/>
  <c r="T78" i="18"/>
  <c r="T79" i="18"/>
  <c r="T76" i="18"/>
  <c r="AB21" i="18"/>
  <c r="V175" i="18"/>
  <c r="V185" i="18" s="1"/>
  <c r="R180" i="18"/>
  <c r="R177" i="18"/>
  <c r="R182" i="18"/>
  <c r="G181" i="18"/>
  <c r="R68" i="18"/>
  <c r="N181" i="18"/>
  <c r="P181" i="18"/>
  <c r="C16" i="15"/>
  <c r="C21" i="15"/>
  <c r="C10" i="15"/>
  <c r="U55" i="18" l="1"/>
  <c r="U179" i="18" s="1"/>
  <c r="U54" i="18"/>
  <c r="U178" i="18" s="1"/>
  <c r="Z92" i="18"/>
  <c r="Z121" i="18"/>
  <c r="V97" i="18"/>
  <c r="V103" i="18" s="1"/>
  <c r="V52" i="18"/>
  <c r="V93" i="18" s="1"/>
  <c r="U199" i="18"/>
  <c r="V199" i="18" s="1"/>
  <c r="W199" i="18" s="1"/>
  <c r="X199" i="18" s="1"/>
  <c r="Y199" i="18" s="1"/>
  <c r="Z199" i="18" s="1"/>
  <c r="AA199" i="18" s="1"/>
  <c r="AB199" i="18" s="1"/>
  <c r="AC199" i="18" s="1"/>
  <c r="AD199" i="18" s="1"/>
  <c r="AE199" i="18" s="1"/>
  <c r="AF199" i="18" s="1"/>
  <c r="AG199" i="18" s="1"/>
  <c r="AH199" i="18" s="1"/>
  <c r="AI199" i="18" s="1"/>
  <c r="AJ199" i="18" s="1"/>
  <c r="AK199" i="18" s="1"/>
  <c r="AL199" i="18" s="1"/>
  <c r="AM199" i="18" s="1"/>
  <c r="AN199" i="18" s="1"/>
  <c r="AO199" i="18" s="1"/>
  <c r="AP199" i="18" s="1"/>
  <c r="AQ199" i="18" s="1"/>
  <c r="AR199" i="18" s="1"/>
  <c r="AS199" i="18" s="1"/>
  <c r="AT199" i="18" s="1"/>
  <c r="AD96" i="18"/>
  <c r="AC102" i="18"/>
  <c r="AD102" i="18" s="1"/>
  <c r="U197" i="18"/>
  <c r="V197" i="18" s="1"/>
  <c r="W197" i="18" s="1"/>
  <c r="X197" i="18" s="1"/>
  <c r="Y197" i="18" s="1"/>
  <c r="Z197" i="18" s="1"/>
  <c r="AA197" i="18" s="1"/>
  <c r="AB197" i="18" s="1"/>
  <c r="AC197" i="18" s="1"/>
  <c r="AD197" i="18" s="1"/>
  <c r="V108" i="18"/>
  <c r="U113" i="18"/>
  <c r="U114" i="18" s="1"/>
  <c r="U57" i="18"/>
  <c r="Z130" i="18"/>
  <c r="Z140" i="18"/>
  <c r="Z131" i="18"/>
  <c r="Z141" i="18"/>
  <c r="AC23" i="18"/>
  <c r="AB99" i="18"/>
  <c r="AB105" i="18" s="1"/>
  <c r="V98" i="18"/>
  <c r="V104" i="18" s="1"/>
  <c r="V129" i="18"/>
  <c r="V134" i="18"/>
  <c r="V133" i="18"/>
  <c r="V91" i="18"/>
  <c r="Z125" i="18"/>
  <c r="Z124" i="18"/>
  <c r="Z123" i="18"/>
  <c r="Z111" i="18"/>
  <c r="U66" i="18"/>
  <c r="Z95" i="18"/>
  <c r="Z101" i="18" s="1"/>
  <c r="Z120" i="18"/>
  <c r="Z119" i="18"/>
  <c r="V109" i="18"/>
  <c r="V110" i="18"/>
  <c r="U62" i="18"/>
  <c r="AA18" i="18"/>
  <c r="AB20" i="18"/>
  <c r="AA74" i="18"/>
  <c r="U64" i="18"/>
  <c r="U183" i="18" s="1"/>
  <c r="U70" i="18"/>
  <c r="U182" i="18" s="1"/>
  <c r="U80" i="18"/>
  <c r="U82" i="18"/>
  <c r="U138" i="18" s="1"/>
  <c r="U50" i="18"/>
  <c r="U176" i="18" s="1"/>
  <c r="U51" i="18"/>
  <c r="U59" i="18"/>
  <c r="U58" i="18"/>
  <c r="U69" i="18"/>
  <c r="U84" i="18"/>
  <c r="U63" i="18"/>
  <c r="U60" i="18"/>
  <c r="U56" i="18"/>
  <c r="U184" i="18" s="1"/>
  <c r="U67" i="18"/>
  <c r="U83" i="18"/>
  <c r="AA27" i="18"/>
  <c r="W13" i="18"/>
  <c r="W12" i="18"/>
  <c r="W15" i="18"/>
  <c r="W128" i="18" s="1"/>
  <c r="W10" i="18"/>
  <c r="W16" i="18"/>
  <c r="W136" i="18" s="1"/>
  <c r="W137" i="18" s="1"/>
  <c r="W6" i="18"/>
  <c r="W7" i="18"/>
  <c r="W40" i="18"/>
  <c r="V90" i="18"/>
  <c r="V89" i="18"/>
  <c r="AA25" i="18"/>
  <c r="Z88" i="18"/>
  <c r="V42" i="18"/>
  <c r="U79" i="18"/>
  <c r="U78" i="18"/>
  <c r="U77" i="18"/>
  <c r="U76" i="18"/>
  <c r="AC21" i="18"/>
  <c r="AF21" i="18" s="1"/>
  <c r="T181" i="18"/>
  <c r="W175" i="18"/>
  <c r="W185" i="18" s="1"/>
  <c r="T177" i="18"/>
  <c r="T186" i="18" s="1"/>
  <c r="T180" i="18"/>
  <c r="R181" i="18"/>
  <c r="D31" i="8"/>
  <c r="D29" i="8"/>
  <c r="D28" i="8"/>
  <c r="D13" i="8"/>
  <c r="D30" i="8" s="1"/>
  <c r="E14" i="8"/>
  <c r="F14" i="8" s="1"/>
  <c r="G14" i="8" s="1"/>
  <c r="H14" i="8" s="1"/>
  <c r="I14" i="8" s="1"/>
  <c r="V55" i="18" l="1"/>
  <c r="V179" i="18" s="1"/>
  <c r="V54" i="18"/>
  <c r="V178" i="18" s="1"/>
  <c r="AA92" i="18"/>
  <c r="AA121" i="18"/>
  <c r="U115" i="18"/>
  <c r="U116" i="18" s="1"/>
  <c r="U117" i="18"/>
  <c r="W97" i="18"/>
  <c r="W103" i="18" s="1"/>
  <c r="W52" i="18"/>
  <c r="W93" i="18" s="1"/>
  <c r="U196" i="18"/>
  <c r="V196" i="18" s="1"/>
  <c r="W196" i="18" s="1"/>
  <c r="X196" i="18" s="1"/>
  <c r="Y196" i="18" s="1"/>
  <c r="Z196" i="18" s="1"/>
  <c r="AA196" i="18" s="1"/>
  <c r="AB196" i="18" s="1"/>
  <c r="AC196" i="18" s="1"/>
  <c r="AD196" i="18" s="1"/>
  <c r="AE197" i="18"/>
  <c r="AF197" i="18" s="1"/>
  <c r="AG197" i="18" s="1"/>
  <c r="AH197" i="18" s="1"/>
  <c r="AI197" i="18" s="1"/>
  <c r="AJ197" i="18" s="1"/>
  <c r="AK197" i="18" s="1"/>
  <c r="AL197" i="18" s="1"/>
  <c r="AM197" i="18" s="1"/>
  <c r="AN197" i="18" s="1"/>
  <c r="AO197" i="18" s="1"/>
  <c r="AP197" i="18" s="1"/>
  <c r="AQ197" i="18" s="1"/>
  <c r="AR197" i="18" s="1"/>
  <c r="AS197" i="18" s="1"/>
  <c r="AT197" i="18" s="1"/>
  <c r="W108" i="18"/>
  <c r="V113" i="18"/>
  <c r="V114" i="18" s="1"/>
  <c r="V57" i="18"/>
  <c r="AA130" i="18"/>
  <c r="AA140" i="18"/>
  <c r="AA131" i="18"/>
  <c r="AA141" i="18"/>
  <c r="AF23" i="18"/>
  <c r="AC99" i="18"/>
  <c r="AD23" i="18"/>
  <c r="W91" i="18"/>
  <c r="W133" i="18"/>
  <c r="W134" i="18"/>
  <c r="W98" i="18"/>
  <c r="W104" i="18" s="1"/>
  <c r="W129" i="18"/>
  <c r="AA125" i="18"/>
  <c r="AA124" i="18"/>
  <c r="AA123" i="18"/>
  <c r="AA111" i="18"/>
  <c r="V66" i="18"/>
  <c r="U68" i="18"/>
  <c r="U181" i="18" s="1"/>
  <c r="AA95" i="18"/>
  <c r="AA101" i="18" s="1"/>
  <c r="AA120" i="18"/>
  <c r="AA119" i="18"/>
  <c r="W110" i="18"/>
  <c r="W109" i="18"/>
  <c r="AB18" i="18"/>
  <c r="AC20" i="18"/>
  <c r="AB74" i="18"/>
  <c r="V84" i="18"/>
  <c r="V83" i="18"/>
  <c r="V62" i="18"/>
  <c r="V70" i="18"/>
  <c r="V182" i="18" s="1"/>
  <c r="V69" i="18"/>
  <c r="V64" i="18"/>
  <c r="V183" i="18" s="1"/>
  <c r="V67" i="18"/>
  <c r="V58" i="18"/>
  <c r="V80" i="18"/>
  <c r="V82" i="18"/>
  <c r="V138" i="18" s="1"/>
  <c r="V51" i="18"/>
  <c r="V50" i="18"/>
  <c r="V176" i="18" s="1"/>
  <c r="V63" i="18"/>
  <c r="V59" i="18"/>
  <c r="V60" i="18"/>
  <c r="V56" i="18"/>
  <c r="V184" i="18" s="1"/>
  <c r="AB27" i="18"/>
  <c r="X12" i="18"/>
  <c r="X15" i="18"/>
  <c r="X128" i="18" s="1"/>
  <c r="X13" i="18"/>
  <c r="X16" i="18"/>
  <c r="X136" i="18" s="1"/>
  <c r="X137" i="18" s="1"/>
  <c r="X10" i="18"/>
  <c r="X7" i="18"/>
  <c r="X6" i="18"/>
  <c r="AB25" i="18"/>
  <c r="AB121" i="18" s="1"/>
  <c r="AA88" i="18"/>
  <c r="X40" i="18"/>
  <c r="W89" i="18"/>
  <c r="W90" i="18"/>
  <c r="W42" i="18"/>
  <c r="V79" i="18"/>
  <c r="V77" i="18"/>
  <c r="V78" i="18"/>
  <c r="V76" i="18"/>
  <c r="AD21" i="18"/>
  <c r="X175" i="18"/>
  <c r="X185" i="18" s="1"/>
  <c r="U177" i="18"/>
  <c r="U186" i="18" s="1"/>
  <c r="U180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W55" i="18" l="1"/>
  <c r="W179" i="18" s="1"/>
  <c r="W54" i="18"/>
  <c r="W178" i="18" s="1"/>
  <c r="V115" i="18"/>
  <c r="V116" i="18" s="1"/>
  <c r="V117" i="18"/>
  <c r="X97" i="18"/>
  <c r="X103" i="18" s="1"/>
  <c r="X52" i="18"/>
  <c r="X93" i="18" s="1"/>
  <c r="AE196" i="18"/>
  <c r="AF196" i="18" s="1"/>
  <c r="AG196" i="18" s="1"/>
  <c r="AH196" i="18" s="1"/>
  <c r="AI196" i="18" s="1"/>
  <c r="AJ196" i="18" s="1"/>
  <c r="AK196" i="18" s="1"/>
  <c r="AL196" i="18" s="1"/>
  <c r="AM196" i="18" s="1"/>
  <c r="AN196" i="18" s="1"/>
  <c r="AO196" i="18" s="1"/>
  <c r="AP196" i="18" s="1"/>
  <c r="AQ196" i="18" s="1"/>
  <c r="AR196" i="18" s="1"/>
  <c r="AS196" i="18" s="1"/>
  <c r="AT196" i="18" s="1"/>
  <c r="AD99" i="18"/>
  <c r="AC105" i="18"/>
  <c r="AD105" i="18" s="1"/>
  <c r="X108" i="18"/>
  <c r="W113" i="18"/>
  <c r="W114" i="18" s="1"/>
  <c r="W57" i="18"/>
  <c r="AB130" i="18"/>
  <c r="AB140" i="18"/>
  <c r="AB131" i="18"/>
  <c r="AB141" i="18"/>
  <c r="AF20" i="18"/>
  <c r="AB92" i="18"/>
  <c r="X134" i="18"/>
  <c r="X133" i="18"/>
  <c r="X98" i="18"/>
  <c r="X104" i="18" s="1"/>
  <c r="X129" i="18"/>
  <c r="X91" i="18"/>
  <c r="AB124" i="18"/>
  <c r="AB123" i="18"/>
  <c r="AB125" i="18"/>
  <c r="AB111" i="18"/>
  <c r="V68" i="18"/>
  <c r="V181" i="18" s="1"/>
  <c r="AB95" i="18"/>
  <c r="AB101" i="18" s="1"/>
  <c r="AB120" i="18"/>
  <c r="AB119" i="18"/>
  <c r="W69" i="18"/>
  <c r="X110" i="18"/>
  <c r="X109" i="18"/>
  <c r="AC18" i="18"/>
  <c r="W84" i="18"/>
  <c r="W60" i="18"/>
  <c r="W67" i="18"/>
  <c r="AD20" i="18"/>
  <c r="AC74" i="18"/>
  <c r="W58" i="18"/>
  <c r="W66" i="18"/>
  <c r="W63" i="18"/>
  <c r="W83" i="18"/>
  <c r="W59" i="18"/>
  <c r="W64" i="18"/>
  <c r="W183" i="18" s="1"/>
  <c r="W80" i="18"/>
  <c r="W82" i="18"/>
  <c r="W138" i="18" s="1"/>
  <c r="W50" i="18"/>
  <c r="W176" i="18" s="1"/>
  <c r="W51" i="18"/>
  <c r="W62" i="18"/>
  <c r="W70" i="18"/>
  <c r="W182" i="18" s="1"/>
  <c r="W56" i="18"/>
  <c r="W184" i="18" s="1"/>
  <c r="AC27" i="18"/>
  <c r="AC141" i="18" s="1"/>
  <c r="AD141" i="18" s="1"/>
  <c r="Y15" i="18"/>
  <c r="Y128" i="18" s="1"/>
  <c r="Y13" i="18"/>
  <c r="Y12" i="18"/>
  <c r="Y10" i="18"/>
  <c r="Y16" i="18"/>
  <c r="Y136" i="18" s="1"/>
  <c r="Y137" i="18" s="1"/>
  <c r="Y6" i="18"/>
  <c r="Y7" i="18"/>
  <c r="Y40" i="18"/>
  <c r="X90" i="18"/>
  <c r="X89" i="18"/>
  <c r="AC25" i="18"/>
  <c r="AB88" i="18"/>
  <c r="X42" i="18"/>
  <c r="W79" i="18"/>
  <c r="W77" i="18"/>
  <c r="W78" i="18"/>
  <c r="W76" i="18"/>
  <c r="Y175" i="18"/>
  <c r="Y185" i="18" s="1"/>
  <c r="V177" i="18"/>
  <c r="V186" i="18" s="1"/>
  <c r="V180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X55" i="18" l="1"/>
  <c r="X179" i="18" s="1"/>
  <c r="X54" i="18"/>
  <c r="X178" i="18" s="1"/>
  <c r="AC92" i="18"/>
  <c r="AD92" i="18" s="1"/>
  <c r="AC121" i="18"/>
  <c r="AD121" i="18" s="1"/>
  <c r="W115" i="18"/>
  <c r="W116" i="18" s="1"/>
  <c r="W117" i="18"/>
  <c r="Y97" i="18"/>
  <c r="Y103" i="18" s="1"/>
  <c r="Y52" i="18"/>
  <c r="Y93" i="18" s="1"/>
  <c r="Y108" i="18"/>
  <c r="X113" i="18"/>
  <c r="X114" i="18" s="1"/>
  <c r="X57" i="18"/>
  <c r="AC130" i="18"/>
  <c r="AD130" i="18" s="1"/>
  <c r="AC140" i="18"/>
  <c r="AD140" i="18" s="1"/>
  <c r="Y98" i="18"/>
  <c r="Y104" i="18" s="1"/>
  <c r="Y129" i="18"/>
  <c r="Y134" i="18"/>
  <c r="Y133" i="18"/>
  <c r="AF27" i="18"/>
  <c r="AC131" i="18"/>
  <c r="AD131" i="18" s="1"/>
  <c r="Y91" i="18"/>
  <c r="AC123" i="18"/>
  <c r="AD123" i="18" s="1"/>
  <c r="AC125" i="18"/>
  <c r="AD125" i="18" s="1"/>
  <c r="AC124" i="18"/>
  <c r="AD124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C111" i="18"/>
  <c r="AD111" i="18" s="1"/>
  <c r="W68" i="18"/>
  <c r="W181" i="18" s="1"/>
  <c r="X67" i="18"/>
  <c r="AC95" i="18"/>
  <c r="AC120" i="18"/>
  <c r="AD120" i="18" s="1"/>
  <c r="AC119" i="18"/>
  <c r="AD119" i="18" s="1"/>
  <c r="Y110" i="18"/>
  <c r="Y109" i="18"/>
  <c r="AF25" i="18"/>
  <c r="AF18" i="18"/>
  <c r="AD18" i="18"/>
  <c r="T164" i="18"/>
  <c r="AF74" i="18"/>
  <c r="AD74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X70" i="18"/>
  <c r="X182" i="18" s="1"/>
  <c r="X69" i="18"/>
  <c r="X64" i="18"/>
  <c r="X183" i="18" s="1"/>
  <c r="X66" i="18"/>
  <c r="X63" i="18"/>
  <c r="X83" i="18"/>
  <c r="X62" i="18"/>
  <c r="X84" i="18"/>
  <c r="X80" i="18"/>
  <c r="X82" i="18"/>
  <c r="X138" i="18" s="1"/>
  <c r="X51" i="18"/>
  <c r="X50" i="18"/>
  <c r="X176" i="18" s="1"/>
  <c r="X58" i="18"/>
  <c r="X59" i="18"/>
  <c r="X60" i="18"/>
  <c r="X56" i="18"/>
  <c r="X184" i="18" s="1"/>
  <c r="AD27" i="18"/>
  <c r="Z12" i="18"/>
  <c r="Z15" i="18"/>
  <c r="Z128" i="18" s="1"/>
  <c r="Z13" i="18"/>
  <c r="Z10" i="18"/>
  <c r="Z16" i="18"/>
  <c r="Z136" i="18" s="1"/>
  <c r="Z137" i="18" s="1"/>
  <c r="Z7" i="18"/>
  <c r="Z6" i="18"/>
  <c r="AD25" i="18"/>
  <c r="AC88" i="18"/>
  <c r="AD88" i="18" s="1"/>
  <c r="Z40" i="18"/>
  <c r="Y90" i="18"/>
  <c r="Y89" i="18"/>
  <c r="O31" i="9"/>
  <c r="O32" i="9" s="1"/>
  <c r="Y42" i="18"/>
  <c r="X79" i="18"/>
  <c r="X77" i="18"/>
  <c r="X78" i="18"/>
  <c r="X76" i="18"/>
  <c r="Z175" i="18"/>
  <c r="Z185" i="18" s="1"/>
  <c r="W177" i="18"/>
  <c r="W186" i="18" s="1"/>
  <c r="W180" i="18"/>
  <c r="P31" i="11"/>
  <c r="N32" i="11"/>
  <c r="T19" i="9"/>
  <c r="D22" i="9"/>
  <c r="Y55" i="18" l="1"/>
  <c r="Y179" i="18" s="1"/>
  <c r="Y54" i="18"/>
  <c r="Y178" i="18" s="1"/>
  <c r="X115" i="18"/>
  <c r="X116" i="18" s="1"/>
  <c r="X117" i="18"/>
  <c r="Z97" i="18"/>
  <c r="Z103" i="18" s="1"/>
  <c r="Z52" i="18"/>
  <c r="Z93" i="18" s="1"/>
  <c r="AD95" i="18"/>
  <c r="AC101" i="18"/>
  <c r="AD101" i="18" s="1"/>
  <c r="Z108" i="18"/>
  <c r="Y113" i="18"/>
  <c r="Y114" i="18" s="1"/>
  <c r="Y57" i="18"/>
  <c r="Z134" i="18"/>
  <c r="Z133" i="18"/>
  <c r="Z98" i="18"/>
  <c r="Z104" i="18" s="1"/>
  <c r="Z129" i="18"/>
  <c r="Z91" i="18"/>
  <c r="X68" i="18"/>
  <c r="X181" i="18" s="1"/>
  <c r="Y60" i="18"/>
  <c r="Z109" i="18"/>
  <c r="Z110" i="18"/>
  <c r="U164" i="18"/>
  <c r="S164" i="18" s="1"/>
  <c r="Y62" i="18"/>
  <c r="Y69" i="18"/>
  <c r="Y56" i="18"/>
  <c r="Y184" i="18" s="1"/>
  <c r="Y64" i="18"/>
  <c r="Y183" i="18" s="1"/>
  <c r="Y59" i="18"/>
  <c r="Y58" i="18"/>
  <c r="Y80" i="18"/>
  <c r="Y82" i="18"/>
  <c r="Y138" i="18" s="1"/>
  <c r="Y51" i="18"/>
  <c r="Y50" i="18"/>
  <c r="Y176" i="18" s="1"/>
  <c r="Y84" i="18"/>
  <c r="Y63" i="18"/>
  <c r="Y70" i="18"/>
  <c r="Y182" i="18" s="1"/>
  <c r="Y67" i="18"/>
  <c r="Y66" i="18"/>
  <c r="Y83" i="18"/>
  <c r="AA13" i="18"/>
  <c r="AA12" i="18"/>
  <c r="AA15" i="18"/>
  <c r="AA128" i="18" s="1"/>
  <c r="AA10" i="18"/>
  <c r="AA16" i="18"/>
  <c r="AA136" i="18" s="1"/>
  <c r="AA137" i="18" s="1"/>
  <c r="AA6" i="18"/>
  <c r="AA7" i="18"/>
  <c r="AA40" i="18"/>
  <c r="Z90" i="18"/>
  <c r="Z89" i="18"/>
  <c r="Z42" i="18"/>
  <c r="Y79" i="18"/>
  <c r="Y77" i="18"/>
  <c r="Y78" i="18"/>
  <c r="Y76" i="18"/>
  <c r="AA175" i="18"/>
  <c r="AA185" i="18" s="1"/>
  <c r="X177" i="18"/>
  <c r="X186" i="18" s="1"/>
  <c r="X180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Z55" i="18" l="1"/>
  <c r="Z179" i="18" s="1"/>
  <c r="Z54" i="18"/>
  <c r="Z178" i="18" s="1"/>
  <c r="Y115" i="18"/>
  <c r="Y116" i="18" s="1"/>
  <c r="Y117" i="18"/>
  <c r="AA97" i="18"/>
  <c r="AA103" i="18" s="1"/>
  <c r="AA52" i="18"/>
  <c r="AA93" i="18" s="1"/>
  <c r="AA108" i="18"/>
  <c r="Z113" i="18"/>
  <c r="Z114" i="18" s="1"/>
  <c r="Z57" i="18"/>
  <c r="AA98" i="18"/>
  <c r="AA104" i="18" s="1"/>
  <c r="AA129" i="18"/>
  <c r="AA133" i="18"/>
  <c r="AA134" i="18"/>
  <c r="AA91" i="18"/>
  <c r="AA109" i="18"/>
  <c r="AA110" i="18"/>
  <c r="Y68" i="18"/>
  <c r="Y181" i="18" s="1"/>
  <c r="Z80" i="18"/>
  <c r="Z82" i="18"/>
  <c r="Z138" i="18" s="1"/>
  <c r="Z50" i="18"/>
  <c r="Z176" i="18" s="1"/>
  <c r="Z51" i="18"/>
  <c r="Z64" i="18"/>
  <c r="Z183" i="18" s="1"/>
  <c r="Z70" i="18"/>
  <c r="Z182" i="18" s="1"/>
  <c r="Z69" i="18"/>
  <c r="Z67" i="18"/>
  <c r="Z58" i="18"/>
  <c r="Z56" i="18"/>
  <c r="Z184" i="18" s="1"/>
  <c r="Z63" i="18"/>
  <c r="Z59" i="18"/>
  <c r="Z60" i="18"/>
  <c r="Z66" i="18"/>
  <c r="Z83" i="18"/>
  <c r="Z62" i="18"/>
  <c r="Z84" i="18"/>
  <c r="AB12" i="18"/>
  <c r="AB15" i="18"/>
  <c r="AB128" i="18" s="1"/>
  <c r="AB13" i="18"/>
  <c r="AB10" i="18"/>
  <c r="AB16" i="18"/>
  <c r="AB136" i="18" s="1"/>
  <c r="AB137" i="18" s="1"/>
  <c r="AB7" i="18"/>
  <c r="AB6" i="18"/>
  <c r="AB40" i="18"/>
  <c r="AA89" i="18"/>
  <c r="AA90" i="18"/>
  <c r="AA42" i="18"/>
  <c r="Z79" i="18"/>
  <c r="Z77" i="18"/>
  <c r="Z78" i="18"/>
  <c r="Z76" i="18"/>
  <c r="AB175" i="18"/>
  <c r="AB185" i="18" s="1"/>
  <c r="Y177" i="18"/>
  <c r="Y186" i="18" s="1"/>
  <c r="Y180" i="18"/>
  <c r="N34" i="11"/>
  <c r="O33" i="11"/>
  <c r="D25" i="8"/>
  <c r="D23" i="8"/>
  <c r="AA55" i="18" l="1"/>
  <c r="AA179" i="18" s="1"/>
  <c r="AA54" i="18"/>
  <c r="AA178" i="18" s="1"/>
  <c r="Z115" i="18"/>
  <c r="Z116" i="18" s="1"/>
  <c r="Z117" i="18"/>
  <c r="AB97" i="18"/>
  <c r="AB103" i="18" s="1"/>
  <c r="AB52" i="18"/>
  <c r="AB93" i="18" s="1"/>
  <c r="AB108" i="18"/>
  <c r="AA113" i="18"/>
  <c r="AA114" i="18" s="1"/>
  <c r="AA57" i="18"/>
  <c r="AB91" i="18"/>
  <c r="AB133" i="18"/>
  <c r="AB134" i="18"/>
  <c r="AB98" i="18"/>
  <c r="AB104" i="18" s="1"/>
  <c r="AB129" i="18"/>
  <c r="AB109" i="18"/>
  <c r="AB110" i="18"/>
  <c r="Z68" i="18"/>
  <c r="Z181" i="18" s="1"/>
  <c r="AA80" i="18"/>
  <c r="AA82" i="18"/>
  <c r="AA138" i="18" s="1"/>
  <c r="AA51" i="18"/>
  <c r="AA50" i="18"/>
  <c r="AA176" i="18" s="1"/>
  <c r="AA58" i="18"/>
  <c r="AA69" i="18"/>
  <c r="AA59" i="18"/>
  <c r="AA64" i="18"/>
  <c r="AA183" i="18" s="1"/>
  <c r="AA67" i="18"/>
  <c r="AA66" i="18"/>
  <c r="AA84" i="18"/>
  <c r="AA70" i="18"/>
  <c r="AA182" i="18" s="1"/>
  <c r="AA56" i="18"/>
  <c r="AA184" i="18" s="1"/>
  <c r="AA63" i="18"/>
  <c r="AA83" i="18"/>
  <c r="AA62" i="18"/>
  <c r="AA60" i="18"/>
  <c r="AC15" i="18"/>
  <c r="AC13" i="18"/>
  <c r="AF13" i="18" s="1"/>
  <c r="AC12" i="18"/>
  <c r="AC129" i="18" s="1"/>
  <c r="AD129" i="18" s="1"/>
  <c r="AC10" i="18"/>
  <c r="AC16" i="18"/>
  <c r="AC6" i="18"/>
  <c r="AF6" i="18" s="1"/>
  <c r="AC7" i="18"/>
  <c r="AF7" i="18" s="1"/>
  <c r="AC40" i="18"/>
  <c r="AB90" i="18"/>
  <c r="AB89" i="18"/>
  <c r="AB42" i="18"/>
  <c r="AA79" i="18"/>
  <c r="AA77" i="18"/>
  <c r="AA78" i="18"/>
  <c r="AA76" i="18"/>
  <c r="AC175" i="18"/>
  <c r="AC185" i="18" s="1"/>
  <c r="Z177" i="18"/>
  <c r="Z186" i="18" s="1"/>
  <c r="Z180" i="18"/>
  <c r="N35" i="11"/>
  <c r="O34" i="11"/>
  <c r="D35" i="8"/>
  <c r="E5" i="8"/>
  <c r="E18" i="8" s="1"/>
  <c r="D18" i="8"/>
  <c r="D19" i="8"/>
  <c r="D21" i="8"/>
  <c r="D20" i="8"/>
  <c r="AB55" i="18" l="1"/>
  <c r="AB179" i="18" s="1"/>
  <c r="AB54" i="18"/>
  <c r="AB178" i="18" s="1"/>
  <c r="AA115" i="18"/>
  <c r="AA116" i="18" s="1"/>
  <c r="AA117" i="18"/>
  <c r="AC97" i="18"/>
  <c r="AC103" i="18" s="1"/>
  <c r="AD103" i="18" s="1"/>
  <c r="AC52" i="18"/>
  <c r="AC108" i="18"/>
  <c r="AD108" i="18" s="1"/>
  <c r="AD185" i="18"/>
  <c r="AF185" i="18" s="1"/>
  <c r="AB113" i="18"/>
  <c r="AB114" i="18" s="1"/>
  <c r="AB57" i="18"/>
  <c r="AF16" i="18"/>
  <c r="AC136" i="18"/>
  <c r="AC134" i="18"/>
  <c r="AD134" i="18" s="1"/>
  <c r="AC133" i="18"/>
  <c r="AD133" i="18" s="1"/>
  <c r="AF15" i="18"/>
  <c r="AC128" i="18"/>
  <c r="AD128" i="18" s="1"/>
  <c r="AC91" i="18"/>
  <c r="AD91" i="18" s="1"/>
  <c r="AF10" i="18"/>
  <c r="AF12" i="18"/>
  <c r="AC98" i="18"/>
  <c r="AF40" i="18"/>
  <c r="AC109" i="18"/>
  <c r="AD109" i="18" s="1"/>
  <c r="AC110" i="18"/>
  <c r="AD110" i="18" s="1"/>
  <c r="AA68" i="18"/>
  <c r="AA181" i="18" s="1"/>
  <c r="AB80" i="18"/>
  <c r="AB82" i="18"/>
  <c r="AB138" i="18" s="1"/>
  <c r="AB50" i="18"/>
  <c r="AB176" i="18" s="1"/>
  <c r="AB51" i="18"/>
  <c r="AB62" i="18"/>
  <c r="AB70" i="18"/>
  <c r="AB182" i="18" s="1"/>
  <c r="AB56" i="18"/>
  <c r="AB184" i="18" s="1"/>
  <c r="AB64" i="18"/>
  <c r="AB183" i="18" s="1"/>
  <c r="AB67" i="18"/>
  <c r="AB83" i="18"/>
  <c r="AB58" i="18"/>
  <c r="AB59" i="18"/>
  <c r="AB60" i="18"/>
  <c r="AB63" i="18"/>
  <c r="AB84" i="18"/>
  <c r="AB66" i="18"/>
  <c r="AB69" i="18"/>
  <c r="AD15" i="18"/>
  <c r="AD13" i="18"/>
  <c r="T158" i="18"/>
  <c r="AD12" i="18"/>
  <c r="AD10" i="18"/>
  <c r="AD16" i="18"/>
  <c r="AD7" i="18"/>
  <c r="AD6" i="18"/>
  <c r="AC90" i="18"/>
  <c r="AD90" i="18" s="1"/>
  <c r="AC89" i="18"/>
  <c r="AD89" i="18" s="1"/>
  <c r="AD40" i="18"/>
  <c r="AC42" i="18"/>
  <c r="AB79" i="18"/>
  <c r="AB77" i="18"/>
  <c r="AB78" i="18"/>
  <c r="AB76" i="18"/>
  <c r="AD175" i="18"/>
  <c r="AF175" i="18" s="1"/>
  <c r="AA177" i="18"/>
  <c r="AA186" i="18" s="1"/>
  <c r="AA180" i="18"/>
  <c r="N36" i="11"/>
  <c r="O35" i="11"/>
  <c r="F5" i="8"/>
  <c r="G5" i="8" s="1"/>
  <c r="H5" i="8" s="1"/>
  <c r="I5" i="8" s="1"/>
  <c r="AD52" i="18" l="1"/>
  <c r="AF52" i="18"/>
  <c r="AC55" i="18"/>
  <c r="AC179" i="18" s="1"/>
  <c r="AD179" i="18" s="1"/>
  <c r="AF179" i="18" s="1"/>
  <c r="AC54" i="18"/>
  <c r="AC178" i="18" s="1"/>
  <c r="AD178" i="18" s="1"/>
  <c r="AF178" i="18" s="1"/>
  <c r="AB115" i="18"/>
  <c r="AB116" i="18" s="1"/>
  <c r="AB117" i="18"/>
  <c r="AD97" i="18"/>
  <c r="AC93" i="18"/>
  <c r="AD93" i="18" s="1"/>
  <c r="AD98" i="18"/>
  <c r="AC104" i="18"/>
  <c r="AD104" i="18" s="1"/>
  <c r="AC113" i="18"/>
  <c r="AC114" i="18" s="1"/>
  <c r="AC57" i="18"/>
  <c r="AD136" i="18"/>
  <c r="AC137" i="18"/>
  <c r="AD137" i="18" s="1"/>
  <c r="AF42" i="18"/>
  <c r="U158" i="18"/>
  <c r="U159" i="18" s="1"/>
  <c r="AB68" i="18"/>
  <c r="AB181" i="18" s="1"/>
  <c r="AC80" i="18"/>
  <c r="AC82" i="18"/>
  <c r="AC50" i="18"/>
  <c r="AC176" i="18" s="1"/>
  <c r="AD176" i="18" s="1"/>
  <c r="AF176" i="18" s="1"/>
  <c r="AC51" i="18"/>
  <c r="AC62" i="18"/>
  <c r="AC67" i="18"/>
  <c r="AC56" i="18"/>
  <c r="AC64" i="18"/>
  <c r="AC60" i="18"/>
  <c r="AC83" i="18"/>
  <c r="AC59" i="18"/>
  <c r="AF59" i="18" s="1"/>
  <c r="AC58" i="18"/>
  <c r="AC69" i="18"/>
  <c r="AC84" i="18"/>
  <c r="AC63" i="18"/>
  <c r="AC70" i="18"/>
  <c r="AC66" i="18"/>
  <c r="T159" i="18"/>
  <c r="Q193" i="18" s="1"/>
  <c r="AC79" i="18"/>
  <c r="AC77" i="18"/>
  <c r="AD42" i="18"/>
  <c r="AC78" i="18"/>
  <c r="AC76" i="18"/>
  <c r="AB177" i="18"/>
  <c r="AB186" i="18" s="1"/>
  <c r="AB180" i="18"/>
  <c r="N37" i="11"/>
  <c r="O36" i="11"/>
  <c r="F18" i="8"/>
  <c r="G18" i="8"/>
  <c r="AD54" i="18" l="1"/>
  <c r="AF54" i="18"/>
  <c r="AD55" i="18"/>
  <c r="AF55" i="18"/>
  <c r="AC115" i="18"/>
  <c r="AC116" i="18" s="1"/>
  <c r="AC117" i="18"/>
  <c r="AF56" i="18"/>
  <c r="AC184" i="18"/>
  <c r="AF57" i="18"/>
  <c r="AD57" i="18"/>
  <c r="AF82" i="18"/>
  <c r="AC138" i="18"/>
  <c r="AD138" i="18" s="1"/>
  <c r="AD113" i="18"/>
  <c r="S158" i="18"/>
  <c r="S159" i="18"/>
  <c r="AD83" i="18"/>
  <c r="AF83" i="18"/>
  <c r="AD51" i="18"/>
  <c r="AF51" i="18"/>
  <c r="T155" i="18"/>
  <c r="AF69" i="18"/>
  <c r="AC182" i="18"/>
  <c r="AD182" i="18" s="1"/>
  <c r="AF182" i="18" s="1"/>
  <c r="AF70" i="18"/>
  <c r="AD50" i="18"/>
  <c r="AF50" i="18"/>
  <c r="AD67" i="18"/>
  <c r="AF67" i="18"/>
  <c r="T149" i="18"/>
  <c r="AF66" i="18"/>
  <c r="T148" i="18"/>
  <c r="AF60" i="18"/>
  <c r="AC183" i="18"/>
  <c r="AD183" i="18" s="1"/>
  <c r="AF183" i="18" s="1"/>
  <c r="AF64" i="18"/>
  <c r="AD63" i="18"/>
  <c r="AF63" i="18"/>
  <c r="T146" i="18"/>
  <c r="Q192" i="18" s="1"/>
  <c r="AF58" i="18"/>
  <c r="T151" i="18"/>
  <c r="AF62" i="18"/>
  <c r="AD84" i="18"/>
  <c r="AF84" i="18"/>
  <c r="T172" i="18"/>
  <c r="Q194" i="18" s="1"/>
  <c r="AF80" i="18"/>
  <c r="T169" i="18"/>
  <c r="AF79" i="18"/>
  <c r="T168" i="18"/>
  <c r="AF78" i="18"/>
  <c r="T166" i="18"/>
  <c r="AF76" i="18"/>
  <c r="T167" i="18"/>
  <c r="AF77" i="18"/>
  <c r="AD69" i="18"/>
  <c r="T152" i="18"/>
  <c r="AD58" i="18"/>
  <c r="AD60" i="18"/>
  <c r="U148" i="18" s="1"/>
  <c r="AD62" i="18"/>
  <c r="T153" i="18"/>
  <c r="Q191" i="18" s="1"/>
  <c r="AD80" i="18"/>
  <c r="AD66" i="18"/>
  <c r="T156" i="18"/>
  <c r="AC68" i="18"/>
  <c r="AD64" i="18"/>
  <c r="AD70" i="18"/>
  <c r="AD82" i="18"/>
  <c r="AD78" i="18"/>
  <c r="AD77" i="18"/>
  <c r="AD76" i="18"/>
  <c r="AD79" i="18"/>
  <c r="T145" i="18"/>
  <c r="Q195" i="18" s="1"/>
  <c r="Q196" i="18" s="1"/>
  <c r="AD56" i="18"/>
  <c r="AC177" i="18"/>
  <c r="AC186" i="18" s="1"/>
  <c r="AD186" i="18" s="1"/>
  <c r="AD59" i="18"/>
  <c r="U147" i="18" s="1"/>
  <c r="AC180" i="18"/>
  <c r="T147" i="18"/>
  <c r="N38" i="11"/>
  <c r="O37" i="11"/>
  <c r="H18" i="8"/>
  <c r="T170" i="18" l="1"/>
  <c r="M193" i="18"/>
  <c r="P193" i="18"/>
  <c r="AD184" i="18"/>
  <c r="AF184" i="18" s="1"/>
  <c r="U145" i="18"/>
  <c r="S145" i="18" s="1"/>
  <c r="AD114" i="18"/>
  <c r="U156" i="18"/>
  <c r="S156" i="18" s="1"/>
  <c r="U146" i="18"/>
  <c r="S146" i="18" s="1"/>
  <c r="U155" i="18"/>
  <c r="S155" i="18" s="1"/>
  <c r="U151" i="18"/>
  <c r="S151" i="18" s="1"/>
  <c r="U153" i="18"/>
  <c r="S153" i="18" s="1"/>
  <c r="P191" i="18" s="1"/>
  <c r="U172" i="18"/>
  <c r="S172" i="18" s="1"/>
  <c r="P194" i="18" s="1"/>
  <c r="U168" i="18"/>
  <c r="S168" i="18" s="1"/>
  <c r="AD68" i="18"/>
  <c r="AF68" i="18"/>
  <c r="U149" i="18"/>
  <c r="S149" i="18" s="1"/>
  <c r="S148" i="18"/>
  <c r="U152" i="18"/>
  <c r="S152" i="18" s="1"/>
  <c r="U166" i="18"/>
  <c r="S166" i="18" s="1"/>
  <c r="AC181" i="18"/>
  <c r="AD181" i="18" s="1"/>
  <c r="AF181" i="18" s="1"/>
  <c r="U169" i="18"/>
  <c r="S169" i="18" s="1"/>
  <c r="U167" i="18"/>
  <c r="AD180" i="18"/>
  <c r="AF180" i="18" s="1"/>
  <c r="AD177" i="18"/>
  <c r="AF177" i="18" s="1"/>
  <c r="AF186" i="18" s="1"/>
  <c r="S147" i="18"/>
  <c r="N39" i="11"/>
  <c r="O38" i="11"/>
  <c r="I18" i="8"/>
  <c r="S167" i="18" l="1"/>
  <c r="S170" i="18" s="1"/>
  <c r="U170" i="18"/>
  <c r="M192" i="18"/>
  <c r="P192" i="18"/>
  <c r="P195" i="18"/>
  <c r="P196" i="18" s="1"/>
  <c r="M194" i="18"/>
  <c r="M191" i="18"/>
  <c r="AD116" i="18"/>
  <c r="AD115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7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18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<sst xmlns="http://schemas.openxmlformats.org/spreadsheetml/2006/main" count="659" uniqueCount="467">
  <si>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</si>
  <si>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</si>
  <si>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</si>
  <si>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</si>
  <si>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</si>
  <si>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</si>
  <si>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</si>
  <si>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</si>
  <si>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</si>
  <si>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</si>
  <si>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</si>
  <si>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</si>
  <si>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</si>
  <si>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</si>
  <si>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</si>
  <si>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</si>
  <si>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</si>
  <si>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</si>
  <si>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</si>
  <si>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</si>
  <si>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</si>
  <si>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</si>
  <si>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</si>
  <si>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</si>
  <si>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</si>
  <si>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</si>
  <si>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</si>
  <si>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</si>
  <si>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</si>
  <si>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</si>
  <si>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</si>
  <si>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</si>
  <si>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</si>
  <si>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</si>
  <si>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</si>
  <si>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</si>
  <si>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</si>
  <si>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</si>
  <si>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</si>
  <si>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</si>
  <si>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</si>
  <si>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</si>
  <si>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</si>
  <si>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</si>
  <si>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</si>
  <si>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</si>
  <si>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</si>
  <si>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</si>
  <si>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</si>
  <si>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</si>
  <si>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</si>
  <si>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</si>
  <si>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</si>
  <si>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</si>
  <si>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</si>
  <si>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</si>
  <si>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</si>
  <si>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</si>
  <si>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</si>
  <si>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</si>
  <si>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</si>
  <si>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</si>
  <si>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</si>
  <si>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</si>
  <si>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</si>
  <si>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</si>
  <si>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</si>
  <si>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</si>
  <si>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</si>
  <si>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</si>
  <si>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</si>
  <si>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</si>
  <si>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</si>
  <si>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</si>
  <si>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</si>
  <si>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</si>
  <si>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</si>
  <si>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</si>
  <si>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</si>
  <si>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</si>
  <si>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</si>
  <si>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</si>
  <si>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</si>
  <si>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</si>
  <si>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</si>
  <si>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</si>
  <si>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</si>
  <si>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</si>
  <si>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</si>
  <si>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</si>
  <si>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</si>
  <si>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</si>
  <si>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</si>
  <si>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</si>
  <si>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</si>
  <si>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</si>
  <si>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</si>
  <si>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</si>
  <si>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</si>
  <si>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</si>
  <si>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</si>
  <si>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</si>
  <si>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</si>
  <si>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</si>
  <si>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</si>
  <si>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</si>
  <si>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</si>
  <si>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</si>
  <si>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</si>
  <si>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</si>
  <si>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</si>
  <si>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</si>
  <si>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</si>
  <si>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</si>
  <si>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</si>
  <si>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</si>
  <si>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</si>
  <si>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</si>
  <si>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</si>
  <si>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</si>
  <si>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</si>
  <si>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</si>
  <si>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</si>
  <si>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</si>
  <si>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</si>
  <si>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</si>
  <si>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</si>
  <si>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</si>
  <si>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</si>
  <si>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</si>
  <si>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</si>
  <si>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</si>
  <si>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</si>
  <si>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</si>
  <si>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</si>
  <si>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</si>
  <si>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</si>
  <si>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</si>
  <si>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</si>
  <si>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</si>
  <si>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</si>
  <si>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</si>
  <si>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</si>
  <si>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</si>
  <si>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</si>
  <si>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</si>
  <si>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</si>
  <si>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</si>
  <si>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</si>
  <si>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</si>
  <si>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</si>
  <si>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</si>
  <si>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</si>
  <si>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</si>
  <si>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</si>
  <si>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</si>
  <si>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</si>
  <si>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</si>
  <si>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</si>
  <si>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</si>
  <si>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</si>
  <si>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</si>
  <si>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</si>
  <si>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</si>
  <si>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</si>
  <si>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</si>
  <si>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</si>
  <si>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</si>
  <si>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</si>
  <si>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</si>
  <si>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</si>
  <si>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</si>
  <si>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</si>
  <si>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</si>
  <si>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</si>
  <si>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</si>
  <si>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</si>
  <si>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</si>
  <si>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</si>
  <si>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</si>
  <si>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</si>
  <si>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</si>
  <si>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</si>
  <si>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</si>
  <si>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</si>
  <si>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</si>
  <si>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</si>
  <si>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</si>
  <si>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</si>
  <si>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</si>
  <si>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</si>
  <si>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</si>
  <si>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</si>
  <si>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</si>
  <si>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</si>
  <si>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</si>
  <si>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</si>
  <si>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</si>
  <si>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</si>
  <si>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</si>
  <si>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</si>
  <si>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</si>
  <si>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</si>
  <si>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</si>
  <si>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</si>
  <si>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</si>
  <si>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</si>
  <si>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</si>
  <si>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</si>
  <si>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</si>
  <si>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</si>
  <si>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</si>
  <si>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</si>
  <si>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</si>
  <si>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</si>
  <si>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</si>
  <si>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</si>
  <si>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</si>
  <si>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</si>
  <si>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</si>
  <si>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</si>
  <si>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</si>
  <si>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</si>
  <si>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</si>
  <si>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</si>
  <si>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</si>
  <si>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</si>
  <si>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</si>
  <si>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</si>
  <si>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</si>
  <si>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</si>
  <si>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</si>
  <si>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</si>
  <si>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</si>
  <si>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</si>
  <si>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</si>
  <si>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</si>
  <si>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</si>
  <si>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</si>
  <si>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</si>
  <si>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</si>
  <si>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</si>
  <si>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</si>
  <si>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</si>
  <si>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</si>
  <si>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</si>
  <si>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</si>
  <si>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</si>
  <si>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</si>
  <si>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</si>
  <si>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</si>
  <si>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</si>
  <si>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</si>
  <si>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</si>
  <si>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</si>
  <si>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</si>
  <si>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</si>
  <si>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</si>
  <si>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</si>
  <si>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</si>
  <si>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</si>
  <si>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</si>
  <si>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</si>
  <si>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</si>
  <si>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</si>
  <si>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</si>
  <si>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</si>
  <si>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</si>
  <si>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</si>
  <si>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</si>
  <si>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</si>
  <si>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</si>
  <si>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</si>
  <si>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</si>
  <si>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</si>
  <si>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</si>
  <si>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</si>
  <si>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</si>
  <si>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</si>
  <si>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</si>
  <si>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</si>
  <si>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</si>
  <si>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</si>
  <si>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</si>
  <si>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</si>
  <si>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</si>
  <si>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</si>
  <si>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</si>
  <si>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</si>
  <si>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</si>
  <si>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</si>
  <si>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</si>
  <si>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</si>
  <si>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</si>
  <si>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</si>
  <si>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</si>
  <si>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</si>
  <si>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</si>
  <si>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</si>
  <si>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</si>
  <si>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</si>
  <si>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</si>
  <si>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</si>
  <si>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</si>
  <si>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</si>
  <si>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</si>
  <si>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</si>
  <si>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</si>
  <si>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</si>
  <si>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</si>
  <si>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</si>
  <si>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</si>
  <si>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</si>
  <si>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</si>
  <si>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</si>
  <si>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</si>
  <si>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</si>
  <si>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</si>
  <si>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</si>
  <si>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</si>
  <si>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</si>
  <si>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</si>
  <si>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</si>
  <si>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</si>
  <si>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</si>
  <si>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</si>
  <si>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</si>
  <si>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</si>
  <si>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</si>
  <si>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</si>
  <si>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</si>
  <si>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</si>
  <si>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</si>
  <si>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</si>
  <si>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</si>
  <si>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</si>
  <si>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</si>
  <si>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</si>
  <si>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</si>
  <si>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</si>
  <si>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</si>
  <si>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</si>
  <si>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</si>
  <si>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</si>
  <si>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</si>
  <si>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</si>
  <si>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</si>
  <si>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</si>
  <si>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</si>
  <si>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</si>
  <si>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</si>
  <si>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</si>
  <si>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</si>
  <si>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</si>
  <si>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</si>
  <si>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</si>
  <si>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</si>
  <si>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</si>
  <si>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</si>
  <si>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</si>
  <si>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</si>
  <si>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</si>
  <si>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</si>
  <si>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</si>
  <si>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</si>
  <si>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</si>
  <si>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</si>
  <si>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</si>
  <si>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</si>
  <si>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</si>
  <si>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</si>
  <si>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</si>
  <si>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</si>
  <si>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</si>
  <si>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</si>
  <si>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</si>
  <si>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</si>
  <si>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</si>
  <si>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</si>
  <si>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</si>
  <si>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</si>
  <si>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</si>
  <si>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</si>
  <si>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</si>
  <si>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</si>
  <si>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</si>
  <si>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</si>
  <si>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</si>
  <si>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</si>
  <si>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</si>
  <si>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</si>
  <si>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xxxx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</si>
  <si>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</si>
  <si>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</si>
  <si>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</si>
  <si>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</si>
  <si>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</si>
  <si>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</si>
  <si>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</si>
  <si>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</si>
  <si>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</si>
  <si>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</si>
  <si>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</si>
  <si>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</si>
  <si>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</si>
  <si>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</si>
  <si>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</si>
  <si>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</si>
  <si>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</si>
  <si>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</si>
  <si>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</si>
  <si>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</si>
  <si>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</si>
  <si>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</si>
  <si>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</si>
  <si>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</si>
  <si>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</si>
  <si>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</si>
  <si>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</si>
  <si>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</si>
  <si>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</si>
  <si>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</si>
  <si>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</si>
  <si>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</si>
  <si>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</si>
  <si>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</si>
  <si>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</si>
  <si>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</si>
  <si>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</si>
  <si>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</si>
  <si>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</si>
  <si>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</si>
  <si>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</si>
  <si>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</si>
  <si>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</si>
  <si>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</si>
  <si>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</si>
  <si>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</si>
  <si>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</si>
  <si>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</si>
  <si>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</si>
  <si>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</si>
  <si>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</si>
  <si>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</si>
  <si>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</si>
  <si>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</si>
  <si>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</si>
  <si>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Discount/Prem to PEG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</si>
  <si>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</si>
  <si>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</si>
  <si>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</si>
  <si>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</si>
  <si>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</si>
  <si>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</si>
  <si>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</si>
  <si>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</si>
  <si>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</si>
  <si>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</si>
  <si>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</si>
  <si>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</si>
  <si>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</si>
  <si>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</si>
  <si>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</si>
  <si>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</si>
  <si>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</si>
  <si>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</si>
  <si>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100x10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</si>
</sst>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5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  <xf numFmtId="2" fontId="5" fillId="5" borderId="1" xfId="0" applyNumberFormat="1" applyFont="1" applyFill="1" applyBorder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733824"/>
        <c:axId val="96665984"/>
      </c:lineChart>
      <c:catAx>
        <c:axId val="96733824"/>
        <c:scaling>
          <c:orientation val="minMax"/>
        </c:scaling>
        <c:delete val="0"/>
        <c:axPos val="b"/>
        <c:majorTickMark val="out"/>
        <c:minorTickMark val="none"/>
        <c:tickLblPos val="nextTo"/>
        <c:crossAx val="96665984"/>
        <c:crosses val="autoZero"/>
        <c:auto val="1"/>
        <c:lblAlgn val="ctr"/>
        <c:lblOffset val="100"/>
        <c:noMultiLvlLbl val="0"/>
      </c:catAx>
      <c:valAx>
        <c:axId val="966659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6733824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318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T232"/>
  <sheetViews>
    <sheetView tabSelected="1" zoomScale="80" zoomScaleNormal="80" workbookViewId="0">
      <pane xSplit="2" ySplit="3" topLeftCell="C173" activePane="bottomRight" state="frozen"/>
      <selection pane="topRight" activeCell="C1" sqref="C1"/>
      <selection pane="bottomLeft" activeCell="A5" sqref="A5"/>
      <selection pane="bottomRight" activeCell="L176" sqref="L176"/>
    </sheetView>
  </sheetViews>
  <sheetFormatPr defaultRowHeight="12.75" x14ac:dyDescent="0.2"/>
  <cols>
    <col min="1" max="1" width="4.7109375" style="104" customWidth="1"/>
    <col min="2" max="2" width="37.1406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10.7109375" style="104" customWidth="1"/>
    <col min="18" max="18" width="9.42578125" style="104" bestFit="1" customWidth="1"/>
    <col min="19" max="20" width="11.28515625" style="104" bestFit="1" customWidth="1"/>
    <col min="21" max="21" width="10.140625" style="104" bestFit="1" customWidth="1"/>
    <col min="22" max="28" width="8" style="104" bestFit="1" customWidth="1"/>
    <col min="29" max="29" width="11.28515625" style="104" bestFit="1" customWidth="1"/>
    <col min="30" max="30" width="9.28515625" style="104" bestFit="1" customWidth="1"/>
    <col min="31" max="31" width="9" style="104" customWidth="1"/>
    <col min="32" max="32" width="10.7109375" style="104" customWidth="1"/>
    <col min="33" max="16384" width="9.140625" style="104"/>
  </cols>
  <sheetData>
    <row r="1" spans="2:32" x14ac:dyDescent="0.2">
      <c r="B1" s="123" t="s">
        <v>241</v>
      </c>
      <c r="C1" s="124">
        <v>0.18</v>
      </c>
      <c r="F1" s="104" t="s">
        <v>252</v>
      </c>
      <c r="H1" s="126">
        <v>2004</v>
      </c>
      <c r="J1" s="104" t="s">
        <v>326</v>
      </c>
      <c r="L1" s="164">
        <v>0.05</v>
      </c>
      <c r="N1" s="104" t="s">
        <v>398</v>
      </c>
      <c r="P1" s="164">
        <v>0.05</v>
      </c>
    </row>
    <row r="2" spans="2:32" x14ac:dyDescent="0.2">
      <c r="B2" s="153" t="s">
        <v>314</v>
      </c>
      <c r="C2" s="120"/>
      <c r="F2" s="104" t="s">
        <v>253</v>
      </c>
      <c r="H2" s="126">
        <v>2013</v>
      </c>
      <c r="J2" s="104" t="s">
        <v>327</v>
      </c>
      <c r="L2" s="164">
        <v>0.08</v>
      </c>
      <c r="T2" s="115" t="s">
        <v>11</v>
      </c>
      <c r="U2" s="115" t="s">
        <v>12</v>
      </c>
      <c r="V2" s="115" t="s">
        <v>13</v>
      </c>
      <c r="W2" s="115" t="s">
        <v>14</v>
      </c>
      <c r="X2" s="115" t="s">
        <v>15</v>
      </c>
      <c r="Y2" s="115" t="s">
        <v>234</v>
      </c>
      <c r="Z2" s="115" t="s">
        <v>235</v>
      </c>
      <c r="AA2" s="115" t="s">
        <v>236</v>
      </c>
      <c r="AB2" s="115" t="s">
        <v>237</v>
      </c>
      <c r="AC2" s="115" t="s">
        <v>238</v>
      </c>
      <c r="AE2" s="197" t="s">
        <v>290</v>
      </c>
      <c r="AF2" s="198"/>
    </row>
    <row r="3" spans="2:32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6" t="s">
        <v>1</v>
      </c>
      <c r="S3" s="116" t="s">
        <v>254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15">
        <v>2024</v>
      </c>
      <c r="AD3" s="136" t="s">
        <v>1</v>
      </c>
      <c r="AE3" s="199" t="s">
        <v>291</v>
      </c>
      <c r="AF3" s="200"/>
    </row>
    <row r="4" spans="2:32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37"/>
      <c r="AE4" s="20"/>
      <c r="AF4" s="20"/>
    </row>
    <row r="5" spans="2:32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20"/>
      <c r="S5" s="20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37"/>
      <c r="AE5" s="20"/>
      <c r="AF5" s="154"/>
    </row>
    <row r="6" spans="2:32" x14ac:dyDescent="0.2">
      <c r="B6" s="20" t="s">
        <v>16</v>
      </c>
      <c r="C6" s="141"/>
      <c r="D6" s="141"/>
      <c r="E6" s="147"/>
      <c r="F6" s="147"/>
      <c r="G6" s="147">
        <v>330</v>
      </c>
      <c r="H6" s="147">
        <v>324</v>
      </c>
      <c r="I6" s="147">
        <v>427</v>
      </c>
      <c r="J6" s="147">
        <v>568</v>
      </c>
      <c r="K6" s="147">
        <v>845</v>
      </c>
      <c r="L6" s="147">
        <v>830</v>
      </c>
      <c r="M6" s="147">
        <v>908</v>
      </c>
      <c r="N6" s="147">
        <v>797</v>
      </c>
      <c r="O6" s="147">
        <v>872</v>
      </c>
      <c r="P6" s="147">
        <v>945</v>
      </c>
      <c r="Q6" s="147">
        <v>1097</v>
      </c>
      <c r="R6" s="118">
        <f>((Q6/G6)^(1/($H$2-$H$1) ))-1</f>
        <v>0.1427884810714124</v>
      </c>
      <c r="S6" s="31">
        <f>$L$2</f>
        <v>0.08</v>
      </c>
      <c r="T6" s="154">
        <f>Q6*(1+$S6)</f>
        <v>1184.76</v>
      </c>
      <c r="U6" s="154">
        <f>T6*(1+$S6)</f>
        <v>1279.5408</v>
      </c>
      <c r="V6" s="154">
        <f t="shared" ref="V6:AC6" si="0">U6*(1+$S6)</f>
        <v>1381.9040640000001</v>
      </c>
      <c r="W6" s="154">
        <f t="shared" si="0"/>
        <v>1492.4563891200003</v>
      </c>
      <c r="X6" s="154">
        <f t="shared" si="0"/>
        <v>1611.8529002496005</v>
      </c>
      <c r="Y6" s="154">
        <f t="shared" si="0"/>
        <v>1740.8011322695686</v>
      </c>
      <c r="Z6" s="154">
        <f t="shared" si="0"/>
        <v>1880.0652228511342</v>
      </c>
      <c r="AA6" s="154">
        <f t="shared" si="0"/>
        <v>2030.470440679225</v>
      </c>
      <c r="AB6" s="154">
        <f t="shared" si="0"/>
        <v>2192.9080759335629</v>
      </c>
      <c r="AC6" s="154">
        <f t="shared" si="0"/>
        <v>2368.3407220082481</v>
      </c>
      <c r="AD6" s="138">
        <f>((AC6/G6)^(1/($AC$3-$H$1) ))-1</f>
        <v>0.10356142709269189</v>
      </c>
      <c r="AE6" s="31">
        <f>$L$1</f>
        <v>0.05</v>
      </c>
      <c r="AF6" s="146">
        <f t="shared" ref="AF6:AF44" si="1">(AC6*(1+AE6))/($C$1-AE6)</f>
        <v>19128.905831605083</v>
      </c>
    </row>
    <row r="7" spans="2:32" x14ac:dyDescent="0.2">
      <c r="B7" s="20" t="s">
        <v>240</v>
      </c>
      <c r="C7" s="141"/>
      <c r="D7" s="141"/>
      <c r="E7" s="147"/>
      <c r="F7" s="147"/>
      <c r="G7" s="147">
        <v>343</v>
      </c>
      <c r="H7" s="147">
        <v>336</v>
      </c>
      <c r="I7" s="147">
        <v>438</v>
      </c>
      <c r="J7" s="147">
        <v>580</v>
      </c>
      <c r="K7" s="147">
        <v>842</v>
      </c>
      <c r="L7" s="147">
        <v>843</v>
      </c>
      <c r="M7" s="147">
        <v>920</v>
      </c>
      <c r="N7" s="147">
        <v>809</v>
      </c>
      <c r="O7" s="147">
        <v>883</v>
      </c>
      <c r="P7" s="147">
        <v>956</v>
      </c>
      <c r="Q7" s="147">
        <v>1108</v>
      </c>
      <c r="R7" s="118">
        <f>((Q7/G7)^(1/($H$2-$H$1) ))-1</f>
        <v>0.13915507401006466</v>
      </c>
      <c r="S7" s="31">
        <f>$L$2</f>
        <v>0.08</v>
      </c>
      <c r="T7" s="154">
        <f t="shared" ref="T7:T44" si="2">Q7*(1+$S7)</f>
        <v>1196.6400000000001</v>
      </c>
      <c r="U7" s="154">
        <f t="shared" ref="U7:AC7" si="3">T7*(1+$S7)</f>
        <v>1292.3712000000003</v>
      </c>
      <c r="V7" s="154">
        <f t="shared" si="3"/>
        <v>1395.7608960000005</v>
      </c>
      <c r="W7" s="154">
        <f t="shared" si="3"/>
        <v>1507.4217676800006</v>
      </c>
      <c r="X7" s="154">
        <f t="shared" si="3"/>
        <v>1628.0155090944008</v>
      </c>
      <c r="Y7" s="154">
        <f t="shared" si="3"/>
        <v>1758.256749821953</v>
      </c>
      <c r="Z7" s="154">
        <f t="shared" si="3"/>
        <v>1898.9172898077093</v>
      </c>
      <c r="AA7" s="154">
        <f t="shared" si="3"/>
        <v>2050.8306729923261</v>
      </c>
      <c r="AB7" s="154">
        <f t="shared" si="3"/>
        <v>2214.8971268317123</v>
      </c>
      <c r="AC7" s="154">
        <f t="shared" si="3"/>
        <v>2392.0888969782495</v>
      </c>
      <c r="AD7" s="138">
        <f>((AC7/G7)^(1/($AC$3-$H$1) ))-1</f>
        <v>0.10198113485201343</v>
      </c>
      <c r="AE7" s="31">
        <f>$L$1</f>
        <v>0.05</v>
      </c>
      <c r="AF7" s="146">
        <f t="shared" si="1"/>
        <v>19320.718014055092</v>
      </c>
    </row>
    <row r="8" spans="2:32" x14ac:dyDescent="0.2">
      <c r="B8" s="20"/>
      <c r="C8" s="141"/>
      <c r="D8" s="141"/>
      <c r="E8" s="147"/>
      <c r="F8" s="147"/>
      <c r="G8" s="148">
        <f>(G7-F7)/G7</f>
        <v>1</v>
      </c>
      <c r="H8" s="151">
        <f>(H7-G7)/H7</f>
        <v>-2.0833333333333332E-2</v>
      </c>
      <c r="I8" s="151">
        <f t="shared" ref="I8:Q8" si="4">(I7-H7)/I7</f>
        <v>0.23287671232876711</v>
      </c>
      <c r="J8" s="151">
        <f t="shared" si="4"/>
        <v>0.24482758620689654</v>
      </c>
      <c r="K8" s="151">
        <f t="shared" si="4"/>
        <v>0.31116389548693585</v>
      </c>
      <c r="L8" s="151">
        <f t="shared" si="4"/>
        <v>1.1862396204033216E-3</v>
      </c>
      <c r="M8" s="151">
        <f t="shared" si="4"/>
        <v>8.3695652173913046E-2</v>
      </c>
      <c r="N8" s="151">
        <f t="shared" si="4"/>
        <v>-0.13720642768850433</v>
      </c>
      <c r="O8" s="151">
        <f t="shared" si="4"/>
        <v>8.3805209513023782E-2</v>
      </c>
      <c r="P8" s="151">
        <f t="shared" si="4"/>
        <v>7.6359832635983269E-2</v>
      </c>
      <c r="Q8" s="151">
        <f t="shared" si="4"/>
        <v>0.13718411552346571</v>
      </c>
      <c r="R8" s="128"/>
      <c r="S8" s="20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37"/>
      <c r="AE8" s="137"/>
      <c r="AF8" s="146"/>
    </row>
    <row r="9" spans="2:32" x14ac:dyDescent="0.2">
      <c r="B9" s="20" t="s">
        <v>269</v>
      </c>
      <c r="C9" s="141"/>
      <c r="D9" s="141"/>
      <c r="E9" s="147"/>
      <c r="F9" s="147"/>
      <c r="G9" s="147">
        <v>217</v>
      </c>
      <c r="H9" s="147">
        <v>286</v>
      </c>
      <c r="I9" s="147">
        <v>590</v>
      </c>
      <c r="J9" s="147">
        <v>922</v>
      </c>
      <c r="K9" s="147">
        <v>828</v>
      </c>
      <c r="L9" s="147">
        <v>627</v>
      </c>
      <c r="M9" s="147">
        <v>650</v>
      </c>
      <c r="N9" s="147">
        <v>995</v>
      </c>
      <c r="O9" s="147">
        <v>998</v>
      </c>
      <c r="P9" s="147">
        <v>853</v>
      </c>
      <c r="Q9" s="147">
        <v>914</v>
      </c>
      <c r="R9" s="118">
        <f>((Q9/G9)^(1/($H$2-$H$1) ))-1</f>
        <v>0.17324141401612447</v>
      </c>
      <c r="S9" s="31">
        <f t="shared" ref="S9:S40" si="5">$L$2</f>
        <v>0.08</v>
      </c>
      <c r="T9" s="154">
        <f t="shared" si="2"/>
        <v>987.12000000000012</v>
      </c>
      <c r="U9" s="154">
        <f t="shared" ref="U9" si="6">T9*(1+$S9)</f>
        <v>1066.0896000000002</v>
      </c>
      <c r="V9" s="154">
        <f t="shared" ref="V9" si="7">U9*(1+$S9)</f>
        <v>1151.3767680000003</v>
      </c>
      <c r="W9" s="154">
        <f t="shared" ref="W9" si="8">V9*(1+$S9)</f>
        <v>1243.4869094400003</v>
      </c>
      <c r="X9" s="154">
        <f t="shared" ref="X9" si="9">W9*(1+$S9)</f>
        <v>1342.9658621952005</v>
      </c>
      <c r="Y9" s="154">
        <f t="shared" ref="Y9" si="10">X9*(1+$S9)</f>
        <v>1450.4031311708168</v>
      </c>
      <c r="Z9" s="154">
        <f t="shared" ref="Z9" si="11">Y9*(1+$S9)</f>
        <v>1566.4353816644823</v>
      </c>
      <c r="AA9" s="154">
        <f t="shared" ref="AA9" si="12">Z9*(1+$S9)</f>
        <v>1691.7502121976411</v>
      </c>
      <c r="AB9" s="154">
        <f t="shared" ref="AB9" si="13">AA9*(1+$S9)</f>
        <v>1827.0902291734524</v>
      </c>
      <c r="AC9" s="154">
        <f t="shared" ref="AC9" si="14">AB9*(1+$S9)</f>
        <v>1973.2574475073286</v>
      </c>
      <c r="AD9" s="138">
        <f>((AC9/G9)^(1/($AC$3-$H$1) ))-1</f>
        <v>0.1166991892695497</v>
      </c>
      <c r="AE9" s="31">
        <f t="shared" ref="AE9:AE83" si="15">$L$1</f>
        <v>0.05</v>
      </c>
      <c r="AF9" s="146">
        <f t="shared" si="1"/>
        <v>15937.848614482267</v>
      </c>
    </row>
    <row r="10" spans="2:32" x14ac:dyDescent="0.2">
      <c r="B10" s="20" t="s">
        <v>4</v>
      </c>
      <c r="C10" s="141"/>
      <c r="D10" s="141"/>
      <c r="E10" s="147"/>
      <c r="F10" s="147"/>
      <c r="G10" s="147">
        <v>0</v>
      </c>
      <c r="H10" s="147">
        <v>0</v>
      </c>
      <c r="I10" s="147">
        <v>0</v>
      </c>
      <c r="J10" s="147">
        <v>0</v>
      </c>
      <c r="K10" s="147">
        <v>0</v>
      </c>
      <c r="L10" s="147">
        <v>0</v>
      </c>
      <c r="M10" s="147">
        <v>0</v>
      </c>
      <c r="N10" s="147">
        <v>0</v>
      </c>
      <c r="O10" s="147">
        <v>0</v>
      </c>
      <c r="P10" s="147">
        <v>0</v>
      </c>
      <c r="Q10" s="147">
        <v>0</v>
      </c>
      <c r="R10" s="118" t="e">
        <f>((Q10/G10)^(1/($H$2-$H$1) ))-1</f>
        <v>#DIV/0!</v>
      </c>
      <c r="S10" s="31">
        <f t="shared" si="5"/>
        <v>0.08</v>
      </c>
      <c r="T10" s="154">
        <f t="shared" si="2"/>
        <v>0</v>
      </c>
      <c r="U10" s="154">
        <f t="shared" ref="U10:AC10" si="16">T10*(1+$S10)</f>
        <v>0</v>
      </c>
      <c r="V10" s="154">
        <f t="shared" si="16"/>
        <v>0</v>
      </c>
      <c r="W10" s="154">
        <f t="shared" si="16"/>
        <v>0</v>
      </c>
      <c r="X10" s="154">
        <f t="shared" si="16"/>
        <v>0</v>
      </c>
      <c r="Y10" s="154">
        <f t="shared" si="16"/>
        <v>0</v>
      </c>
      <c r="Z10" s="154">
        <f t="shared" si="16"/>
        <v>0</v>
      </c>
      <c r="AA10" s="154">
        <f t="shared" si="16"/>
        <v>0</v>
      </c>
      <c r="AB10" s="154">
        <f t="shared" si="16"/>
        <v>0</v>
      </c>
      <c r="AC10" s="154">
        <f t="shared" si="16"/>
        <v>0</v>
      </c>
      <c r="AD10" s="138" t="e">
        <f t="shared" ref="AD10:AD42" si="17">((AC10/G10)^(1/($AC$3-$H$1) ))-1</f>
        <v>#DIV/0!</v>
      </c>
      <c r="AE10" s="31">
        <f t="shared" si="15"/>
        <v>0.05</v>
      </c>
      <c r="AF10" s="146">
        <f t="shared" si="1"/>
        <v>0</v>
      </c>
    </row>
    <row r="11" spans="2:32" x14ac:dyDescent="0.2">
      <c r="B11" s="20"/>
      <c r="C11" s="141"/>
      <c r="D11" s="141"/>
      <c r="E11" s="147"/>
      <c r="F11" s="147"/>
      <c r="G11" s="148" t="e">
        <f>(G10-F10)/G10</f>
        <v>#DIV/0!</v>
      </c>
      <c r="H11" s="148" t="e">
        <f t="shared" ref="H11:Q11" si="18">(H10-G10)/H10</f>
        <v>#DIV/0!</v>
      </c>
      <c r="I11" s="148" t="e">
        <f t="shared" si="18"/>
        <v>#DIV/0!</v>
      </c>
      <c r="J11" s="148" t="e">
        <f t="shared" si="18"/>
        <v>#DIV/0!</v>
      </c>
      <c r="K11" s="148" t="e">
        <f t="shared" si="18"/>
        <v>#DIV/0!</v>
      </c>
      <c r="L11" s="148" t="e">
        <f t="shared" si="18"/>
        <v>#DIV/0!</v>
      </c>
      <c r="M11" s="148" t="e">
        <f t="shared" si="18"/>
        <v>#DIV/0!</v>
      </c>
      <c r="N11" s="148" t="e">
        <f t="shared" si="18"/>
        <v>#DIV/0!</v>
      </c>
      <c r="O11" s="148" t="e">
        <f t="shared" si="18"/>
        <v>#DIV/0!</v>
      </c>
      <c r="P11" s="148" t="e">
        <f t="shared" si="18"/>
        <v>#DIV/0!</v>
      </c>
      <c r="Q11" s="148" t="e">
        <f t="shared" si="18"/>
        <v>#DIV/0!</v>
      </c>
      <c r="R11" s="128"/>
      <c r="S11" s="20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19"/>
      <c r="AE11" s="31">
        <f t="shared" si="15"/>
        <v>0.05</v>
      </c>
      <c r="AF11" s="154"/>
    </row>
    <row r="12" spans="2:32" x14ac:dyDescent="0.2">
      <c r="B12" s="20" t="s">
        <v>2</v>
      </c>
      <c r="C12" s="141"/>
      <c r="D12" s="141"/>
      <c r="E12" s="147"/>
      <c r="F12" s="147"/>
      <c r="G12" s="147">
        <f>20+32</f>
        <v>52</v>
      </c>
      <c r="H12" s="147">
        <f>72+25</f>
        <v>97</v>
      </c>
      <c r="I12" s="147">
        <f>56+335</f>
        <v>391</v>
      </c>
      <c r="J12" s="147">
        <f>60+553</f>
        <v>613</v>
      </c>
      <c r="K12" s="147">
        <f>39+529</f>
        <v>568</v>
      </c>
      <c r="L12" s="147">
        <f>618+10</f>
        <v>628</v>
      </c>
      <c r="M12" s="147">
        <f>13+720</f>
        <v>733</v>
      </c>
      <c r="N12" s="147">
        <v>756</v>
      </c>
      <c r="O12" s="147">
        <v>713</v>
      </c>
      <c r="P12" s="147">
        <v>769</v>
      </c>
      <c r="Q12" s="147">
        <v>914</v>
      </c>
      <c r="R12" s="118">
        <f>((Q12/G12)^(1/($H$2-$H$1) ))-1</f>
        <v>0.37507689105072606</v>
      </c>
      <c r="S12" s="31">
        <f t="shared" si="5"/>
        <v>0.08</v>
      </c>
      <c r="T12" s="154">
        <f t="shared" si="2"/>
        <v>987.12000000000012</v>
      </c>
      <c r="U12" s="154">
        <f t="shared" ref="U12:AC12" si="19">T12*(1+$S12)</f>
        <v>1066.0896000000002</v>
      </c>
      <c r="V12" s="154">
        <f t="shared" si="19"/>
        <v>1151.3767680000003</v>
      </c>
      <c r="W12" s="154">
        <f t="shared" si="19"/>
        <v>1243.4869094400003</v>
      </c>
      <c r="X12" s="154">
        <f t="shared" si="19"/>
        <v>1342.9658621952005</v>
      </c>
      <c r="Y12" s="154">
        <f t="shared" si="19"/>
        <v>1450.4031311708168</v>
      </c>
      <c r="Z12" s="154">
        <f t="shared" si="19"/>
        <v>1566.4353816644823</v>
      </c>
      <c r="AA12" s="154">
        <f t="shared" si="19"/>
        <v>1691.7502121976411</v>
      </c>
      <c r="AB12" s="154">
        <f t="shared" si="19"/>
        <v>1827.0902291734524</v>
      </c>
      <c r="AC12" s="154">
        <f t="shared" si="19"/>
        <v>1973.2574475073286</v>
      </c>
      <c r="AD12" s="138">
        <f t="shared" si="17"/>
        <v>0.19938612477269624</v>
      </c>
      <c r="AE12" s="31">
        <f t="shared" si="15"/>
        <v>0.05</v>
      </c>
      <c r="AF12" s="146">
        <f t="shared" si="1"/>
        <v>15937.848614482267</v>
      </c>
    </row>
    <row r="13" spans="2:32" x14ac:dyDescent="0.2">
      <c r="B13" s="20" t="s">
        <v>218</v>
      </c>
      <c r="C13" s="141"/>
      <c r="D13" s="141"/>
      <c r="E13" s="147"/>
      <c r="F13" s="147"/>
      <c r="G13" s="147">
        <v>128</v>
      </c>
      <c r="H13" s="147">
        <v>66</v>
      </c>
      <c r="I13" s="147">
        <v>102</v>
      </c>
      <c r="J13" s="147">
        <v>102</v>
      </c>
      <c r="K13" s="147">
        <v>103</v>
      </c>
      <c r="L13" s="147">
        <v>104</v>
      </c>
      <c r="M13" s="147">
        <v>104</v>
      </c>
      <c r="N13" s="147">
        <v>77</v>
      </c>
      <c r="O13" s="147">
        <v>64</v>
      </c>
      <c r="P13" s="147">
        <v>64</v>
      </c>
      <c r="Q13" s="147">
        <v>64</v>
      </c>
      <c r="R13" s="118">
        <f>((Q13/G13)^(1/($H$2-$H$1) ))-1</f>
        <v>-7.4125287712709542E-2</v>
      </c>
      <c r="S13" s="31">
        <f t="shared" si="5"/>
        <v>0.08</v>
      </c>
      <c r="T13" s="154">
        <f t="shared" si="2"/>
        <v>69.12</v>
      </c>
      <c r="U13" s="154">
        <f t="shared" ref="U13:AC13" si="20">T13*(1+$S13)</f>
        <v>74.649600000000007</v>
      </c>
      <c r="V13" s="154">
        <f t="shared" si="20"/>
        <v>80.621568000000011</v>
      </c>
      <c r="W13" s="154">
        <f t="shared" si="20"/>
        <v>87.071293440000019</v>
      </c>
      <c r="X13" s="154">
        <f t="shared" si="20"/>
        <v>94.036996915200021</v>
      </c>
      <c r="Y13" s="154">
        <f t="shared" si="20"/>
        <v>101.55995666841604</v>
      </c>
      <c r="Z13" s="154">
        <f t="shared" si="20"/>
        <v>109.68475320188932</v>
      </c>
      <c r="AA13" s="154">
        <f t="shared" si="20"/>
        <v>118.45953345804048</v>
      </c>
      <c r="AB13" s="154">
        <f t="shared" si="20"/>
        <v>127.93629613468373</v>
      </c>
      <c r="AC13" s="154">
        <f t="shared" si="20"/>
        <v>138.17119982545844</v>
      </c>
      <c r="AD13" s="138">
        <f t="shared" si="17"/>
        <v>3.8304791446372999E-3</v>
      </c>
      <c r="AE13" s="31">
        <f t="shared" si="15"/>
        <v>0.05</v>
      </c>
      <c r="AF13" s="146">
        <f t="shared" si="1"/>
        <v>1115.9981524363952</v>
      </c>
    </row>
    <row r="14" spans="2:32" x14ac:dyDescent="0.2">
      <c r="B14" s="20" t="s">
        <v>372</v>
      </c>
      <c r="C14" s="141"/>
      <c r="D14" s="141"/>
      <c r="E14" s="147"/>
      <c r="F14" s="147"/>
      <c r="G14" s="147">
        <v>114</v>
      </c>
      <c r="H14" s="147">
        <v>147</v>
      </c>
      <c r="I14" s="147">
        <v>141</v>
      </c>
      <c r="J14" s="147">
        <v>163</v>
      </c>
      <c r="K14" s="147">
        <v>136</v>
      </c>
      <c r="L14" s="147">
        <v>82</v>
      </c>
      <c r="M14" s="147">
        <v>119</v>
      </c>
      <c r="N14" s="147">
        <v>290</v>
      </c>
      <c r="O14" s="147">
        <v>262</v>
      </c>
      <c r="P14" s="147">
        <v>270</v>
      </c>
      <c r="Q14" s="147">
        <v>334</v>
      </c>
      <c r="R14" s="118">
        <f>((Q14/G14)^(1/($H$2-$H$1) ))-1</f>
        <v>0.12686344455752363</v>
      </c>
      <c r="S14" s="31">
        <f t="shared" si="5"/>
        <v>0.08</v>
      </c>
      <c r="T14" s="154">
        <f t="shared" si="2"/>
        <v>360.72</v>
      </c>
      <c r="U14" s="154">
        <f t="shared" ref="U14" si="21">T14*(1+$S14)</f>
        <v>389.57760000000007</v>
      </c>
      <c r="V14" s="154">
        <f t="shared" ref="V14" si="22">U14*(1+$S14)</f>
        <v>420.74380800000012</v>
      </c>
      <c r="W14" s="154">
        <f t="shared" ref="W14" si="23">V14*(1+$S14)</f>
        <v>454.40331264000014</v>
      </c>
      <c r="X14" s="154">
        <f t="shared" ref="X14" si="24">W14*(1+$S14)</f>
        <v>490.75557765120016</v>
      </c>
      <c r="Y14" s="154">
        <f t="shared" ref="Y14" si="25">X14*(1+$S14)</f>
        <v>530.01602386329625</v>
      </c>
      <c r="Z14" s="154">
        <f t="shared" ref="Z14" si="26">Y14*(1+$S14)</f>
        <v>572.41730577236001</v>
      </c>
      <c r="AA14" s="154">
        <f t="shared" ref="AA14" si="27">Z14*(1+$S14)</f>
        <v>618.21069023414884</v>
      </c>
      <c r="AB14" s="154">
        <f t="shared" ref="AB14" si="28">AA14*(1+$S14)</f>
        <v>667.66754545288074</v>
      </c>
      <c r="AC14" s="154">
        <f t="shared" ref="AC14" si="29">AB14*(1+$S14)</f>
        <v>721.0809490891113</v>
      </c>
      <c r="AD14" s="138">
        <f t="shared" ref="AD14" si="30">((AC14/G14)^(1/($AC$3-$H$1) ))-1</f>
        <v>9.6614435528360909E-2</v>
      </c>
      <c r="AE14" s="31">
        <f t="shared" si="15"/>
        <v>0.05</v>
      </c>
      <c r="AF14" s="146">
        <f t="shared" ref="AF14" si="31">(AC14*(1+AE14))/($C$1-AE14)</f>
        <v>5824.1153580274377</v>
      </c>
    </row>
    <row r="15" spans="2:32" x14ac:dyDescent="0.2">
      <c r="B15" s="20" t="s">
        <v>19</v>
      </c>
      <c r="C15" s="141"/>
      <c r="D15" s="141"/>
      <c r="E15" s="147"/>
      <c r="F15" s="147"/>
      <c r="G15" s="147">
        <v>168</v>
      </c>
      <c r="H15" s="147">
        <v>232</v>
      </c>
      <c r="I15" s="147">
        <v>259</v>
      </c>
      <c r="J15" s="147">
        <v>263</v>
      </c>
      <c r="K15" s="147">
        <v>263</v>
      </c>
      <c r="L15" s="147">
        <v>144</v>
      </c>
      <c r="M15" s="147">
        <v>190</v>
      </c>
      <c r="N15" s="147">
        <v>1130</v>
      </c>
      <c r="O15" s="147">
        <v>1129</v>
      </c>
      <c r="P15" s="147">
        <v>1161</v>
      </c>
      <c r="Q15" s="147">
        <v>1401</v>
      </c>
      <c r="R15" s="118">
        <f>((Q15/G15)^(1/($H$2-$H$1) ))-1</f>
        <v>0.26574916743532406</v>
      </c>
      <c r="S15" s="31">
        <f t="shared" si="5"/>
        <v>0.08</v>
      </c>
      <c r="T15" s="154">
        <f t="shared" si="2"/>
        <v>1513.0800000000002</v>
      </c>
      <c r="U15" s="154">
        <f t="shared" ref="U15:AC15" si="32">T15*(1+$S15)</f>
        <v>1634.1264000000003</v>
      </c>
      <c r="V15" s="154">
        <f t="shared" si="32"/>
        <v>1764.8565120000005</v>
      </c>
      <c r="W15" s="154">
        <f t="shared" si="32"/>
        <v>1906.0450329600008</v>
      </c>
      <c r="X15" s="154">
        <f t="shared" si="32"/>
        <v>2058.528635596801</v>
      </c>
      <c r="Y15" s="154">
        <f t="shared" si="32"/>
        <v>2223.2109264445453</v>
      </c>
      <c r="Z15" s="154">
        <f t="shared" si="32"/>
        <v>2401.0678005601089</v>
      </c>
      <c r="AA15" s="154">
        <f t="shared" si="32"/>
        <v>2593.1532246049178</v>
      </c>
      <c r="AB15" s="154">
        <f t="shared" si="32"/>
        <v>2800.6054825733113</v>
      </c>
      <c r="AC15" s="154">
        <f t="shared" si="32"/>
        <v>3024.6539211791765</v>
      </c>
      <c r="AD15" s="138">
        <f t="shared" si="17"/>
        <v>0.15549566478295729</v>
      </c>
      <c r="AE15" s="31">
        <f t="shared" si="15"/>
        <v>0.05</v>
      </c>
      <c r="AF15" s="146">
        <f t="shared" si="1"/>
        <v>24429.897055677964</v>
      </c>
    </row>
    <row r="16" spans="2:32" x14ac:dyDescent="0.2">
      <c r="B16" s="20" t="s">
        <v>23</v>
      </c>
      <c r="C16" s="141"/>
      <c r="D16" s="141"/>
      <c r="E16" s="147"/>
      <c r="F16" s="147"/>
      <c r="G16" s="147">
        <v>99</v>
      </c>
      <c r="H16" s="147">
        <v>106</v>
      </c>
      <c r="I16" s="147">
        <v>90</v>
      </c>
      <c r="J16" s="147">
        <v>92</v>
      </c>
      <c r="K16" s="147">
        <v>96</v>
      </c>
      <c r="L16" s="147">
        <v>210</v>
      </c>
      <c r="M16" s="147">
        <v>364</v>
      </c>
      <c r="N16" s="147">
        <v>289</v>
      </c>
      <c r="O16" s="147">
        <v>257</v>
      </c>
      <c r="P16" s="147">
        <v>435</v>
      </c>
      <c r="Q16" s="147">
        <v>616</v>
      </c>
      <c r="R16" s="118">
        <f>((Q16/G16)^(1/($H$2-$H$1) ))-1</f>
        <v>0.22522589958739658</v>
      </c>
      <c r="S16" s="31">
        <f t="shared" si="5"/>
        <v>0.08</v>
      </c>
      <c r="T16" s="154">
        <f t="shared" si="2"/>
        <v>665.28000000000009</v>
      </c>
      <c r="U16" s="154">
        <f t="shared" ref="U16:AC16" si="33">T16*(1+$S16)</f>
        <v>718.50240000000019</v>
      </c>
      <c r="V16" s="154">
        <f t="shared" si="33"/>
        <v>775.9825920000003</v>
      </c>
      <c r="W16" s="154">
        <f t="shared" si="33"/>
        <v>838.06119936000039</v>
      </c>
      <c r="X16" s="154">
        <f t="shared" si="33"/>
        <v>905.10609530880049</v>
      </c>
      <c r="Y16" s="154">
        <f t="shared" si="33"/>
        <v>977.51458293350458</v>
      </c>
      <c r="Z16" s="154">
        <f t="shared" si="33"/>
        <v>1055.7157495681849</v>
      </c>
      <c r="AA16" s="154">
        <f t="shared" si="33"/>
        <v>1140.1730095336397</v>
      </c>
      <c r="AB16" s="154">
        <f t="shared" si="33"/>
        <v>1231.386850296331</v>
      </c>
      <c r="AC16" s="154">
        <f t="shared" si="33"/>
        <v>1329.8977983200375</v>
      </c>
      <c r="AD16" s="138">
        <f t="shared" si="17"/>
        <v>0.13869956206015033</v>
      </c>
      <c r="AE16" s="31">
        <f t="shared" si="15"/>
        <v>0.05</v>
      </c>
      <c r="AF16" s="146">
        <f t="shared" si="1"/>
        <v>10741.482217200304</v>
      </c>
    </row>
    <row r="17" spans="2:32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28"/>
      <c r="S17" s="20"/>
      <c r="T17" s="154">
        <f t="shared" si="2"/>
        <v>0</v>
      </c>
      <c r="U17" s="154"/>
      <c r="V17" s="154"/>
      <c r="W17" s="154"/>
      <c r="X17" s="154"/>
      <c r="Y17" s="154"/>
      <c r="Z17" s="154"/>
      <c r="AA17" s="154"/>
      <c r="AB17" s="154"/>
      <c r="AC17" s="154"/>
      <c r="AD17" s="139"/>
      <c r="AE17" s="137"/>
      <c r="AF17" s="154"/>
    </row>
    <row r="18" spans="2:32" x14ac:dyDescent="0.2">
      <c r="B18" s="20" t="s">
        <v>277</v>
      </c>
      <c r="C18" s="141"/>
      <c r="D18" s="141"/>
      <c r="E18" s="147"/>
      <c r="F18" s="147"/>
      <c r="G18" s="147">
        <v>166</v>
      </c>
      <c r="H18" s="147">
        <v>160</v>
      </c>
      <c r="I18" s="147">
        <v>246</v>
      </c>
      <c r="J18" s="147">
        <v>386</v>
      </c>
      <c r="K18" s="147">
        <v>557</v>
      </c>
      <c r="L18" s="147">
        <v>519</v>
      </c>
      <c r="M18" s="147">
        <v>449</v>
      </c>
      <c r="N18" s="147">
        <v>431</v>
      </c>
      <c r="O18" s="147">
        <v>552</v>
      </c>
      <c r="P18" s="147">
        <v>442</v>
      </c>
      <c r="Q18" s="147">
        <v>393</v>
      </c>
      <c r="R18" s="118">
        <f>((Q18/G18)^(1/($H$2-$H$1) ))-1</f>
        <v>0.10049269094998992</v>
      </c>
      <c r="S18" s="31">
        <f t="shared" si="5"/>
        <v>0.08</v>
      </c>
      <c r="T18" s="154">
        <f t="shared" si="2"/>
        <v>424.44000000000005</v>
      </c>
      <c r="U18" s="154">
        <f t="shared" ref="U18:U34" si="34">T18*(1+$S18)</f>
        <v>458.3952000000001</v>
      </c>
      <c r="V18" s="154">
        <f t="shared" ref="V18:V34" si="35">U18*(1+$S18)</f>
        <v>495.06681600000013</v>
      </c>
      <c r="W18" s="154">
        <f t="shared" ref="W18:W34" si="36">V18*(1+$S18)</f>
        <v>534.67216128000018</v>
      </c>
      <c r="X18" s="154">
        <f t="shared" ref="X18:X36" si="37">W18*(1+$S18)</f>
        <v>577.44593418240026</v>
      </c>
      <c r="Y18" s="154">
        <f t="shared" ref="Y18:Y36" si="38">X18*(1+$S18)</f>
        <v>623.64160891699237</v>
      </c>
      <c r="Z18" s="154">
        <f t="shared" ref="Z18:Z36" si="39">Y18*(1+$S18)</f>
        <v>673.53293763035185</v>
      </c>
      <c r="AA18" s="154">
        <f t="shared" ref="AA18:AA36" si="40">Z18*(1+$S18)</f>
        <v>727.41557264078006</v>
      </c>
      <c r="AB18" s="154">
        <f t="shared" ref="AB18:AB36" si="41">AA18*(1+$S18)</f>
        <v>785.60881845204256</v>
      </c>
      <c r="AC18" s="154">
        <f t="shared" ref="AC18:AC36" si="42">AB18*(1+$S18)</f>
        <v>848.457523928206</v>
      </c>
      <c r="AD18" s="138">
        <f t="shared" si="17"/>
        <v>8.4990912893189163E-2</v>
      </c>
      <c r="AE18" s="31">
        <f t="shared" si="15"/>
        <v>0.05</v>
      </c>
      <c r="AF18" s="146">
        <f t="shared" si="1"/>
        <v>6852.9261548047407</v>
      </c>
    </row>
    <row r="19" spans="2:32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28"/>
      <c r="S19" s="20"/>
      <c r="T19" s="154">
        <f t="shared" si="2"/>
        <v>0</v>
      </c>
      <c r="U19" s="154"/>
      <c r="V19" s="154"/>
      <c r="W19" s="154"/>
      <c r="X19" s="154"/>
      <c r="Y19" s="154"/>
      <c r="Z19" s="154"/>
      <c r="AA19" s="154"/>
      <c r="AB19" s="154"/>
      <c r="AC19" s="154"/>
      <c r="AD19" s="139"/>
      <c r="AE19" s="137"/>
      <c r="AF19" s="154"/>
    </row>
    <row r="20" spans="2:32" x14ac:dyDescent="0.2">
      <c r="B20" s="20" t="s">
        <v>283</v>
      </c>
      <c r="C20" s="141"/>
      <c r="D20" s="141"/>
      <c r="E20" s="147"/>
      <c r="F20" s="147"/>
      <c r="G20" s="147">
        <v>68</v>
      </c>
      <c r="H20" s="147">
        <v>104</v>
      </c>
      <c r="I20" s="147">
        <v>472</v>
      </c>
      <c r="J20" s="147">
        <v>478</v>
      </c>
      <c r="K20" s="147">
        <v>238</v>
      </c>
      <c r="L20" s="147">
        <v>138</v>
      </c>
      <c r="M20" s="147">
        <v>114</v>
      </c>
      <c r="N20" s="147">
        <v>263</v>
      </c>
      <c r="O20" s="147">
        <v>181</v>
      </c>
      <c r="P20" s="147">
        <v>98</v>
      </c>
      <c r="Q20" s="147">
        <v>125</v>
      </c>
      <c r="R20" s="118">
        <f>((Q20/G20)^(1/($H$2-$H$1) ))-1</f>
        <v>6.9985518939346569E-2</v>
      </c>
      <c r="S20" s="31">
        <f t="shared" si="5"/>
        <v>0.08</v>
      </c>
      <c r="T20" s="154">
        <f t="shared" si="2"/>
        <v>135</v>
      </c>
      <c r="U20" s="154">
        <f t="shared" ref="U20:U22" si="43">T20*(1+$S20)</f>
        <v>145.80000000000001</v>
      </c>
      <c r="V20" s="154">
        <f t="shared" ref="V20:V22" si="44">U20*(1+$S20)</f>
        <v>157.46400000000003</v>
      </c>
      <c r="W20" s="154">
        <f t="shared" ref="W20:W22" si="45">V20*(1+$S20)</f>
        <v>170.06112000000005</v>
      </c>
      <c r="X20" s="154">
        <f t="shared" ref="X20:X22" si="46">W20*(1+$S20)</f>
        <v>183.66600960000005</v>
      </c>
      <c r="Y20" s="154">
        <f t="shared" ref="Y20:Y22" si="47">X20*(1+$S20)</f>
        <v>198.35929036800007</v>
      </c>
      <c r="Z20" s="154">
        <f t="shared" ref="Z20:Z22" si="48">Y20*(1+$S20)</f>
        <v>214.22803359744009</v>
      </c>
      <c r="AA20" s="154">
        <f t="shared" ref="AA20:AA22" si="49">Z20*(1+$S20)</f>
        <v>231.3662762852353</v>
      </c>
      <c r="AB20" s="154">
        <f t="shared" ref="AB20:AB22" si="50">AA20*(1+$S20)</f>
        <v>249.87557838805415</v>
      </c>
      <c r="AC20" s="154">
        <f t="shared" ref="AC20:AC22" si="51">AB20*(1+$S20)</f>
        <v>269.8656246590985</v>
      </c>
      <c r="AD20" s="138">
        <f t="shared" ref="AD20:AD22" si="52">((AC20/G20)^(1/($AC$3-$H$1) ))-1</f>
        <v>7.1351378517405584E-2</v>
      </c>
      <c r="AE20" s="31">
        <f t="shared" si="15"/>
        <v>0.05</v>
      </c>
      <c r="AF20" s="146">
        <f t="shared" si="1"/>
        <v>2179.6838914773339</v>
      </c>
    </row>
    <row r="21" spans="2:32" x14ac:dyDescent="0.2">
      <c r="B21" s="20" t="s">
        <v>284</v>
      </c>
      <c r="C21" s="141"/>
      <c r="D21" s="141"/>
      <c r="E21" s="147"/>
      <c r="F21" s="147"/>
      <c r="G21" s="147">
        <v>-55</v>
      </c>
      <c r="H21" s="147">
        <v>12</v>
      </c>
      <c r="I21" s="147">
        <v>157</v>
      </c>
      <c r="J21" s="147">
        <v>-180</v>
      </c>
      <c r="K21" s="147">
        <v>-246</v>
      </c>
      <c r="L21" s="147">
        <v>-50</v>
      </c>
      <c r="M21" s="147">
        <v>15</v>
      </c>
      <c r="N21" s="147">
        <v>-14</v>
      </c>
      <c r="O21" s="147">
        <v>145</v>
      </c>
      <c r="P21" s="147">
        <v>-35</v>
      </c>
      <c r="Q21" s="147">
        <v>-95</v>
      </c>
      <c r="R21" s="118">
        <f>((Q21/G21)^(1/($H$2-$H$1) ))-1</f>
        <v>6.2608865787630696E-2</v>
      </c>
      <c r="S21" s="31">
        <f t="shared" si="5"/>
        <v>0.08</v>
      </c>
      <c r="T21" s="154">
        <f t="shared" si="2"/>
        <v>-102.60000000000001</v>
      </c>
      <c r="U21" s="154">
        <f t="shared" si="43"/>
        <v>-110.80800000000002</v>
      </c>
      <c r="V21" s="154">
        <f t="shared" si="44"/>
        <v>-119.67264000000003</v>
      </c>
      <c r="W21" s="154">
        <f t="shared" si="45"/>
        <v>-129.24645120000005</v>
      </c>
      <c r="X21" s="154">
        <f t="shared" si="46"/>
        <v>-139.58616729600007</v>
      </c>
      <c r="Y21" s="154">
        <f t="shared" si="47"/>
        <v>-150.75306067968009</v>
      </c>
      <c r="Z21" s="154">
        <f t="shared" si="48"/>
        <v>-162.81330553405451</v>
      </c>
      <c r="AA21" s="154">
        <f t="shared" si="49"/>
        <v>-175.83836997677889</v>
      </c>
      <c r="AB21" s="154">
        <f t="shared" si="50"/>
        <v>-189.90543957492122</v>
      </c>
      <c r="AC21" s="154">
        <f t="shared" si="51"/>
        <v>-205.09787474091493</v>
      </c>
      <c r="AD21" s="138">
        <f t="shared" si="52"/>
        <v>6.8021323205022188E-2</v>
      </c>
      <c r="AE21" s="31">
        <f t="shared" si="15"/>
        <v>0.05</v>
      </c>
      <c r="AF21" s="146">
        <f t="shared" si="1"/>
        <v>-1656.5597575227746</v>
      </c>
    </row>
    <row r="22" spans="2:32" x14ac:dyDescent="0.2">
      <c r="B22" s="20" t="s">
        <v>285</v>
      </c>
      <c r="C22" s="141"/>
      <c r="D22" s="141"/>
      <c r="E22" s="147"/>
      <c r="F22" s="147"/>
      <c r="G22" s="147">
        <v>27</v>
      </c>
      <c r="H22" s="147">
        <v>-71</v>
      </c>
      <c r="I22" s="147">
        <v>-21</v>
      </c>
      <c r="J22" s="147">
        <v>-76</v>
      </c>
      <c r="K22" s="147">
        <v>-37</v>
      </c>
      <c r="L22" s="147">
        <v>-36</v>
      </c>
      <c r="M22" s="147">
        <v>-21</v>
      </c>
      <c r="N22" s="147">
        <v>-247</v>
      </c>
      <c r="O22" s="147">
        <v>-39</v>
      </c>
      <c r="P22" s="147">
        <v>-65</v>
      </c>
      <c r="Q22" s="147">
        <v>-27</v>
      </c>
      <c r="R22" s="118">
        <f>((Q22/G22)^(1/($H$2-$H$1) ))-1</f>
        <v>-2</v>
      </c>
      <c r="S22" s="31">
        <f t="shared" si="5"/>
        <v>0.08</v>
      </c>
      <c r="T22" s="154">
        <f t="shared" si="2"/>
        <v>-29.160000000000004</v>
      </c>
      <c r="U22" s="154">
        <f t="shared" si="43"/>
        <v>-31.492800000000006</v>
      </c>
      <c r="V22" s="154">
        <f t="shared" si="44"/>
        <v>-34.01222400000001</v>
      </c>
      <c r="W22" s="154">
        <f t="shared" si="45"/>
        <v>-36.733201920000013</v>
      </c>
      <c r="X22" s="154">
        <f t="shared" si="46"/>
        <v>-39.671858073600013</v>
      </c>
      <c r="Y22" s="154">
        <f t="shared" si="47"/>
        <v>-42.845606719488018</v>
      </c>
      <c r="Z22" s="154">
        <f t="shared" si="48"/>
        <v>-46.273255257047062</v>
      </c>
      <c r="AA22" s="154">
        <f t="shared" si="49"/>
        <v>-49.97511567761083</v>
      </c>
      <c r="AB22" s="154">
        <f t="shared" si="50"/>
        <v>-53.973124931819697</v>
      </c>
      <c r="AC22" s="154">
        <f t="shared" si="51"/>
        <v>-58.29097492636528</v>
      </c>
      <c r="AD22" s="138" t="e">
        <f t="shared" si="52"/>
        <v>#NUM!</v>
      </c>
      <c r="AE22" s="31">
        <f t="shared" si="15"/>
        <v>0.05</v>
      </c>
      <c r="AF22" s="146">
        <f t="shared" si="1"/>
        <v>-470.81172055910417</v>
      </c>
    </row>
    <row r="23" spans="2:32" x14ac:dyDescent="0.2">
      <c r="B23" s="20" t="s">
        <v>294</v>
      </c>
      <c r="C23" s="141"/>
      <c r="D23" s="141"/>
      <c r="E23" s="147"/>
      <c r="F23" s="147"/>
      <c r="G23" s="147">
        <v>52</v>
      </c>
      <c r="H23" s="147">
        <v>97</v>
      </c>
      <c r="I23" s="147">
        <v>392</v>
      </c>
      <c r="J23" s="147">
        <v>612</v>
      </c>
      <c r="K23" s="147">
        <v>568</v>
      </c>
      <c r="L23" s="147">
        <v>620</v>
      </c>
      <c r="M23" s="147">
        <v>727</v>
      </c>
      <c r="N23" s="147">
        <v>728</v>
      </c>
      <c r="O23" s="147">
        <v>12</v>
      </c>
      <c r="P23" s="147">
        <v>10</v>
      </c>
      <c r="Q23" s="147">
        <v>14</v>
      </c>
      <c r="R23" s="118">
        <f>((Q23/G23)^(1/($H$2-$H$1) ))-1</f>
        <v>-0.13566814083027168</v>
      </c>
      <c r="S23" s="31">
        <f t="shared" si="5"/>
        <v>0.08</v>
      </c>
      <c r="T23" s="154">
        <f t="shared" si="2"/>
        <v>15.120000000000001</v>
      </c>
      <c r="U23" s="154">
        <f t="shared" ref="U23" si="53">T23*(1+$S23)</f>
        <v>16.329600000000003</v>
      </c>
      <c r="V23" s="154">
        <f t="shared" ref="V23" si="54">U23*(1+$S23)</f>
        <v>17.635968000000005</v>
      </c>
      <c r="W23" s="154">
        <f t="shared" ref="W23" si="55">V23*(1+$S23)</f>
        <v>19.046845440000006</v>
      </c>
      <c r="X23" s="154">
        <f t="shared" ref="X23" si="56">W23*(1+$S23)</f>
        <v>20.570593075200009</v>
      </c>
      <c r="Y23" s="154">
        <f t="shared" ref="Y23" si="57">X23*(1+$S23)</f>
        <v>22.216240521216012</v>
      </c>
      <c r="Z23" s="154">
        <f t="shared" ref="Z23" si="58">Y23*(1+$S23)</f>
        <v>23.993539762913294</v>
      </c>
      <c r="AA23" s="154">
        <f t="shared" ref="AA23" si="59">Z23*(1+$S23)</f>
        <v>25.913022943946359</v>
      </c>
      <c r="AB23" s="154">
        <f t="shared" ref="AB23" si="60">AA23*(1+$S23)</f>
        <v>27.986064779462069</v>
      </c>
      <c r="AC23" s="154">
        <f t="shared" ref="AC23" si="61">AB23*(1+$S23)</f>
        <v>30.224949961819036</v>
      </c>
      <c r="AD23" s="138">
        <f t="shared" ref="AD23" si="62">((AC23/G23)^(1/($AC$3-$H$1) ))-1</f>
        <v>-2.6764118240372725E-2</v>
      </c>
      <c r="AE23" s="31">
        <f t="shared" si="15"/>
        <v>0.05</v>
      </c>
      <c r="AF23" s="146">
        <f t="shared" si="1"/>
        <v>244.12459584546144</v>
      </c>
    </row>
    <row r="24" spans="2:32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28"/>
      <c r="S24" s="20"/>
      <c r="T24" s="154">
        <f t="shared" si="2"/>
        <v>0</v>
      </c>
      <c r="U24" s="154"/>
      <c r="V24" s="154"/>
      <c r="W24" s="154"/>
      <c r="X24" s="154"/>
      <c r="Y24" s="154"/>
      <c r="Z24" s="154"/>
      <c r="AA24" s="154"/>
      <c r="AB24" s="154"/>
      <c r="AC24" s="154"/>
      <c r="AD24" s="119"/>
      <c r="AE24" s="137"/>
      <c r="AF24" s="154"/>
    </row>
    <row r="25" spans="2:32" x14ac:dyDescent="0.2">
      <c r="B25" s="20" t="s">
        <v>89</v>
      </c>
      <c r="C25" s="141"/>
      <c r="D25" s="141"/>
      <c r="E25" s="147"/>
      <c r="F25" s="147"/>
      <c r="G25" s="147">
        <v>678</v>
      </c>
      <c r="H25" s="147">
        <v>958</v>
      </c>
      <c r="I25" s="147">
        <v>1336</v>
      </c>
      <c r="J25" s="147">
        <v>1945</v>
      </c>
      <c r="K25" s="147">
        <v>2297</v>
      </c>
      <c r="L25" s="147">
        <v>1409</v>
      </c>
      <c r="M25" s="147">
        <v>1214</v>
      </c>
      <c r="N25" s="147">
        <v>1902</v>
      </c>
      <c r="O25" s="147">
        <v>2382</v>
      </c>
      <c r="P25" s="147">
        <v>2132</v>
      </c>
      <c r="Q25" s="147">
        <v>2471</v>
      </c>
      <c r="R25" s="118">
        <f>((Q25/G25)^(1/($H$2-$H$1) ))-1</f>
        <v>0.15452883332235579</v>
      </c>
      <c r="S25" s="31">
        <f t="shared" si="5"/>
        <v>0.08</v>
      </c>
      <c r="T25" s="154">
        <f t="shared" si="2"/>
        <v>2668.6800000000003</v>
      </c>
      <c r="U25" s="154">
        <f t="shared" si="34"/>
        <v>2882.1744000000003</v>
      </c>
      <c r="V25" s="154">
        <f t="shared" si="35"/>
        <v>3112.7483520000005</v>
      </c>
      <c r="W25" s="154">
        <f t="shared" si="36"/>
        <v>3361.768220160001</v>
      </c>
      <c r="X25" s="154">
        <f t="shared" si="37"/>
        <v>3630.7096777728011</v>
      </c>
      <c r="Y25" s="154">
        <f t="shared" si="38"/>
        <v>3921.1664519946253</v>
      </c>
      <c r="Z25" s="154">
        <f t="shared" si="39"/>
        <v>4234.859768154196</v>
      </c>
      <c r="AA25" s="154">
        <f t="shared" si="40"/>
        <v>4573.6485496065316</v>
      </c>
      <c r="AB25" s="154">
        <f t="shared" si="41"/>
        <v>4939.5404335750545</v>
      </c>
      <c r="AC25" s="154">
        <f t="shared" si="42"/>
        <v>5334.7036682610596</v>
      </c>
      <c r="AD25" s="138">
        <f t="shared" si="17"/>
        <v>0.10864889972485181</v>
      </c>
      <c r="AE25" s="31">
        <f t="shared" si="15"/>
        <v>0.05</v>
      </c>
      <c r="AF25" s="146">
        <f t="shared" si="1"/>
        <v>43087.991166723943</v>
      </c>
    </row>
    <row r="26" spans="2:32" s="123" customFormat="1" x14ac:dyDescent="0.2">
      <c r="B26" s="23"/>
      <c r="C26" s="149"/>
      <c r="D26" s="149"/>
      <c r="E26" s="150"/>
      <c r="F26" s="150"/>
      <c r="G26" s="148">
        <f>(G25-F25)/G25</f>
        <v>1</v>
      </c>
      <c r="H26" s="148">
        <f>(H25-G25)/H25</f>
        <v>0.29227557411273486</v>
      </c>
      <c r="I26" s="148">
        <f t="shared" ref="I26" si="63">(I25-H25)/I25</f>
        <v>0.28293413173652693</v>
      </c>
      <c r="J26" s="148">
        <f t="shared" ref="J26" si="64">(J25-I25)/J25</f>
        <v>0.31311053984575837</v>
      </c>
      <c r="K26" s="148">
        <f t="shared" ref="K26" si="65">(K25-J25)/K25</f>
        <v>0.15324336090552895</v>
      </c>
      <c r="L26" s="148">
        <f t="shared" ref="L26" si="66">(L25-K25)/L25</f>
        <v>-0.63023420865862312</v>
      </c>
      <c r="M26" s="148">
        <f t="shared" ref="M26" si="67">(M25-L25)/M25</f>
        <v>-0.16062602965403625</v>
      </c>
      <c r="N26" s="148">
        <f t="shared" ref="N26" si="68">(N25-M25)/N25</f>
        <v>0.36172450052576238</v>
      </c>
      <c r="O26" s="148">
        <f t="shared" ref="O26" si="69">(O25-N25)/O25</f>
        <v>0.20151133501259447</v>
      </c>
      <c r="P26" s="148">
        <f t="shared" ref="P26:Q26" si="70">(P25-O25)/P25</f>
        <v>-0.11726078799249531</v>
      </c>
      <c r="Q26" s="148">
        <f t="shared" si="70"/>
        <v>0.13719142047753946</v>
      </c>
      <c r="R26" s="128"/>
      <c r="S26" s="20"/>
      <c r="T26" s="154"/>
      <c r="U26" s="155"/>
      <c r="V26" s="155"/>
      <c r="W26" s="155"/>
      <c r="X26" s="155"/>
      <c r="Y26" s="155"/>
      <c r="Z26" s="155"/>
      <c r="AA26" s="155"/>
      <c r="AB26" s="155"/>
      <c r="AC26" s="155"/>
      <c r="AD26" s="119"/>
      <c r="AE26" s="137"/>
      <c r="AF26" s="154"/>
    </row>
    <row r="27" spans="2:32" x14ac:dyDescent="0.2">
      <c r="B27" s="20" t="s">
        <v>261</v>
      </c>
      <c r="C27" s="141"/>
      <c r="D27" s="141"/>
      <c r="E27" s="147"/>
      <c r="F27" s="147"/>
      <c r="G27" s="147">
        <v>555</v>
      </c>
      <c r="H27" s="147">
        <v>862</v>
      </c>
      <c r="I27" s="147">
        <v>1089</v>
      </c>
      <c r="J27" s="147">
        <v>1564</v>
      </c>
      <c r="K27" s="147">
        <v>1807</v>
      </c>
      <c r="L27" s="147">
        <v>1133</v>
      </c>
      <c r="M27" s="147">
        <v>972</v>
      </c>
      <c r="N27" s="147">
        <v>1570</v>
      </c>
      <c r="O27" s="147">
        <v>2023</v>
      </c>
      <c r="P27" s="147">
        <v>1828</v>
      </c>
      <c r="Q27" s="147">
        <v>2098</v>
      </c>
      <c r="R27" s="118">
        <f>((Q27/G27)^(1/($H$2-$H$1) ))-1</f>
        <v>0.15922584619655011</v>
      </c>
      <c r="S27" s="31">
        <f t="shared" si="5"/>
        <v>0.08</v>
      </c>
      <c r="T27" s="154">
        <f t="shared" si="2"/>
        <v>2265.84</v>
      </c>
      <c r="U27" s="154">
        <f t="shared" si="34"/>
        <v>2447.1072000000004</v>
      </c>
      <c r="V27" s="154">
        <f t="shared" si="35"/>
        <v>2642.8757760000008</v>
      </c>
      <c r="W27" s="154">
        <f t="shared" si="36"/>
        <v>2854.3058380800012</v>
      </c>
      <c r="X27" s="154">
        <f t="shared" si="37"/>
        <v>3082.6503051264017</v>
      </c>
      <c r="Y27" s="154">
        <f t="shared" si="38"/>
        <v>3329.2623295365142</v>
      </c>
      <c r="Z27" s="154">
        <f t="shared" si="39"/>
        <v>3595.6033158994355</v>
      </c>
      <c r="AA27" s="154">
        <f t="shared" si="40"/>
        <v>3883.2515811713906</v>
      </c>
      <c r="AB27" s="154">
        <f t="shared" si="41"/>
        <v>4193.9117076651019</v>
      </c>
      <c r="AC27" s="154">
        <f t="shared" si="42"/>
        <v>4529.4246442783106</v>
      </c>
      <c r="AD27" s="138">
        <f t="shared" si="17"/>
        <v>0.1106762947357216</v>
      </c>
      <c r="AE27" s="31">
        <f t="shared" si="15"/>
        <v>0.05</v>
      </c>
      <c r="AF27" s="146">
        <f t="shared" si="1"/>
        <v>36583.814434555585</v>
      </c>
    </row>
    <row r="28" spans="2:32" s="123" customFormat="1" x14ac:dyDescent="0.2">
      <c r="B28" s="23"/>
      <c r="C28" s="149"/>
      <c r="D28" s="149"/>
      <c r="E28" s="150"/>
      <c r="F28" s="150"/>
      <c r="G28" s="148">
        <f t="shared" ref="G28:M28" si="71">(G27-F27)/G27</f>
        <v>1</v>
      </c>
      <c r="H28" s="148">
        <f t="shared" si="71"/>
        <v>0.35614849187935033</v>
      </c>
      <c r="I28" s="148">
        <f t="shared" si="71"/>
        <v>0.20844811753902662</v>
      </c>
      <c r="J28" s="148">
        <f t="shared" si="71"/>
        <v>0.30370843989769819</v>
      </c>
      <c r="K28" s="148">
        <f t="shared" si="71"/>
        <v>0.1344770337576093</v>
      </c>
      <c r="L28" s="148">
        <f t="shared" si="71"/>
        <v>-0.59488084730803181</v>
      </c>
      <c r="M28" s="148">
        <f t="shared" si="71"/>
        <v>-0.16563786008230452</v>
      </c>
      <c r="N28" s="148">
        <f t="shared" ref="N28" si="72">(N27-M27)/N27</f>
        <v>0.38089171974522296</v>
      </c>
      <c r="O28" s="148">
        <f t="shared" ref="O28" si="73">(O27-N27)/O27</f>
        <v>0.22392486406327236</v>
      </c>
      <c r="P28" s="148">
        <f t="shared" ref="P28:Q28" si="74">(P27-O27)/P27</f>
        <v>-0.10667396061269147</v>
      </c>
      <c r="Q28" s="148">
        <f t="shared" si="74"/>
        <v>0.12869399428026693</v>
      </c>
      <c r="R28" s="128"/>
      <c r="S28" s="20"/>
      <c r="T28" s="154"/>
      <c r="U28" s="155"/>
      <c r="V28" s="155"/>
      <c r="W28" s="155"/>
      <c r="X28" s="155"/>
      <c r="Y28" s="155"/>
      <c r="Z28" s="155"/>
      <c r="AA28" s="155"/>
      <c r="AB28" s="155"/>
      <c r="AC28" s="155"/>
      <c r="AD28" s="119"/>
      <c r="AE28" s="137"/>
      <c r="AF28" s="154"/>
    </row>
    <row r="29" spans="2:32" s="123" customFormat="1" x14ac:dyDescent="0.2">
      <c r="B29" s="20" t="s">
        <v>323</v>
      </c>
      <c r="C29" s="149"/>
      <c r="D29" s="149"/>
      <c r="E29" s="150"/>
      <c r="F29" s="147"/>
      <c r="G29" s="147">
        <v>17</v>
      </c>
      <c r="H29" s="147">
        <v>8</v>
      </c>
      <c r="I29" s="147">
        <v>3</v>
      </c>
      <c r="J29" s="147">
        <v>4</v>
      </c>
      <c r="K29" s="147">
        <v>3</v>
      </c>
      <c r="L29" s="147">
        <v>4</v>
      </c>
      <c r="M29" s="147">
        <v>0.92</v>
      </c>
      <c r="N29" s="147">
        <v>0.1</v>
      </c>
      <c r="O29" s="147">
        <v>0.1</v>
      </c>
      <c r="P29" s="147">
        <v>0.1</v>
      </c>
      <c r="Q29" s="147">
        <v>0.56000000000000005</v>
      </c>
      <c r="R29" s="118">
        <f>((Q29/G29)^(1/($H$2-$H$1) ))-1</f>
        <v>-0.31560891285520021</v>
      </c>
      <c r="S29" s="31">
        <f t="shared" si="5"/>
        <v>0.08</v>
      </c>
      <c r="T29" s="154">
        <f t="shared" si="2"/>
        <v>0.60480000000000012</v>
      </c>
      <c r="U29" s="154">
        <f t="shared" ref="U29" si="75">T29*(1+$S29)</f>
        <v>0.65318400000000021</v>
      </c>
      <c r="V29" s="154">
        <f t="shared" ref="V29" si="76">U29*(1+$S29)</f>
        <v>0.7054387200000003</v>
      </c>
      <c r="W29" s="154">
        <f t="shared" ref="W29" si="77">V29*(1+$S29)</f>
        <v>0.76187381760000039</v>
      </c>
      <c r="X29" s="154">
        <f t="shared" ref="X29" si="78">W29*(1+$S29)</f>
        <v>0.82282372300800044</v>
      </c>
      <c r="Y29" s="154">
        <f t="shared" ref="Y29" si="79">X29*(1+$S29)</f>
        <v>0.88864962084864052</v>
      </c>
      <c r="Z29" s="154">
        <f t="shared" ref="Z29" si="80">Y29*(1+$S29)</f>
        <v>0.95974159051653185</v>
      </c>
      <c r="AA29" s="154">
        <f t="shared" ref="AA29" si="81">Z29*(1+$S29)</f>
        <v>1.0365209177578545</v>
      </c>
      <c r="AB29" s="154">
        <f t="shared" ref="AB29" si="82">AA29*(1+$S29)</f>
        <v>1.1194425911784829</v>
      </c>
      <c r="AC29" s="154">
        <f t="shared" ref="AC29" si="83">AB29*(1+$S29)</f>
        <v>1.2089979984727617</v>
      </c>
      <c r="AD29" s="138">
        <f t="shared" ref="AD29" si="84">((AC29/G29)^(1/($AC$3-$H$1) ))-1</f>
        <v>-0.12380890897673458</v>
      </c>
      <c r="AE29" s="31">
        <f t="shared" si="15"/>
        <v>0.05</v>
      </c>
      <c r="AF29" s="146">
        <f t="shared" ref="AF29" si="85">(AC29*(1+AE29))/($C$1-AE29)</f>
        <v>9.7649838338184587</v>
      </c>
    </row>
    <row r="30" spans="2:32" s="123" customFormat="1" x14ac:dyDescent="0.2">
      <c r="B30" s="23"/>
      <c r="C30" s="149"/>
      <c r="D30" s="149"/>
      <c r="E30" s="150"/>
      <c r="F30" s="150"/>
      <c r="G30" s="148">
        <f t="shared" ref="G30:L30" si="86">(G29-F29)/G29</f>
        <v>1</v>
      </c>
      <c r="H30" s="148">
        <f t="shared" si="86"/>
        <v>-1.125</v>
      </c>
      <c r="I30" s="148">
        <f t="shared" si="86"/>
        <v>-1.6666666666666667</v>
      </c>
      <c r="J30" s="148">
        <f t="shared" si="86"/>
        <v>0.25</v>
      </c>
      <c r="K30" s="148">
        <f t="shared" si="86"/>
        <v>-0.33333333333333331</v>
      </c>
      <c r="L30" s="148">
        <f t="shared" si="86"/>
        <v>0.25</v>
      </c>
      <c r="M30" s="148">
        <f t="shared" ref="M30" si="87">(M29-L29)/M29</f>
        <v>-3.3478260869565215</v>
      </c>
      <c r="N30" s="148">
        <f t="shared" ref="N30" si="88">(N29-M29)/N29</f>
        <v>-8.1999999999999993</v>
      </c>
      <c r="O30" s="148">
        <f t="shared" ref="O30" si="89">(O29-N29)/O29</f>
        <v>0</v>
      </c>
      <c r="P30" s="148">
        <f t="shared" ref="P30:Q30" si="90">(P29-O29)/P29</f>
        <v>0</v>
      </c>
      <c r="Q30" s="148">
        <f t="shared" si="90"/>
        <v>0.82142857142857151</v>
      </c>
      <c r="R30" s="128"/>
      <c r="S30" s="20"/>
      <c r="T30" s="154"/>
      <c r="U30" s="155"/>
      <c r="V30" s="155"/>
      <c r="W30" s="155"/>
      <c r="X30" s="155"/>
      <c r="Y30" s="155"/>
      <c r="Z30" s="155"/>
      <c r="AA30" s="155"/>
      <c r="AB30" s="155"/>
      <c r="AC30" s="155"/>
      <c r="AD30" s="162"/>
      <c r="AE30" s="137"/>
      <c r="AF30" s="154"/>
    </row>
    <row r="31" spans="2:32" x14ac:dyDescent="0.2">
      <c r="B31" s="20" t="s">
        <v>331</v>
      </c>
      <c r="C31" s="141"/>
      <c r="D31" s="141"/>
      <c r="E31" s="147"/>
      <c r="F31" s="147"/>
      <c r="G31" s="147">
        <v>0</v>
      </c>
      <c r="H31" s="147">
        <v>0</v>
      </c>
      <c r="I31" s="147"/>
      <c r="J31" s="147"/>
      <c r="K31" s="147"/>
      <c r="L31" s="147">
        <v>0</v>
      </c>
      <c r="M31" s="147">
        <v>0</v>
      </c>
      <c r="N31" s="147"/>
      <c r="O31" s="147"/>
      <c r="P31" s="147"/>
      <c r="Q31" s="147"/>
      <c r="R31" s="118" t="e">
        <f>((Q31/G31)^(1/($H$2-$H$1) ))-1</f>
        <v>#DIV/0!</v>
      </c>
      <c r="S31" s="31">
        <f t="shared" si="5"/>
        <v>0.08</v>
      </c>
      <c r="T31" s="154">
        <f t="shared" si="2"/>
        <v>0</v>
      </c>
      <c r="U31" s="154">
        <f>T31*(1+$S31)</f>
        <v>0</v>
      </c>
      <c r="V31" s="154">
        <f t="shared" ref="V31:AC32" si="91">U31*(1+$S31)</f>
        <v>0</v>
      </c>
      <c r="W31" s="154">
        <f t="shared" si="91"/>
        <v>0</v>
      </c>
      <c r="X31" s="154">
        <f t="shared" si="91"/>
        <v>0</v>
      </c>
      <c r="Y31" s="154">
        <f t="shared" si="91"/>
        <v>0</v>
      </c>
      <c r="Z31" s="154">
        <f t="shared" si="91"/>
        <v>0</v>
      </c>
      <c r="AA31" s="154">
        <f t="shared" si="91"/>
        <v>0</v>
      </c>
      <c r="AB31" s="154">
        <f t="shared" si="91"/>
        <v>0</v>
      </c>
      <c r="AC31" s="154">
        <f t="shared" si="91"/>
        <v>0</v>
      </c>
      <c r="AD31" s="138" t="e">
        <f t="shared" ref="AD31" si="92">((AC31/G31)^(1/($AC$3-$H$1) ))-1</f>
        <v>#DIV/0!</v>
      </c>
      <c r="AE31" s="31">
        <f t="shared" si="15"/>
        <v>0.05</v>
      </c>
      <c r="AF31" s="146">
        <f t="shared" si="1"/>
        <v>0</v>
      </c>
    </row>
    <row r="32" spans="2:32" x14ac:dyDescent="0.2">
      <c r="B32" s="20" t="s">
        <v>330</v>
      </c>
      <c r="C32" s="141"/>
      <c r="D32" s="141"/>
      <c r="E32" s="147"/>
      <c r="F32" s="147"/>
      <c r="G32" s="147">
        <v>0</v>
      </c>
      <c r="H32" s="147">
        <v>0</v>
      </c>
      <c r="I32" s="147"/>
      <c r="J32" s="147"/>
      <c r="K32" s="147"/>
      <c r="L32" s="147">
        <v>0</v>
      </c>
      <c r="M32" s="147">
        <v>0</v>
      </c>
      <c r="N32" s="147"/>
      <c r="O32" s="147"/>
      <c r="P32" s="147"/>
      <c r="Q32" s="147"/>
      <c r="R32" s="118" t="e">
        <f>((Q32/G32)^(1/($H$2-$H$1) ))-1</f>
        <v>#DIV/0!</v>
      </c>
      <c r="S32" s="31">
        <f t="shared" si="5"/>
        <v>0.08</v>
      </c>
      <c r="T32" s="154">
        <f t="shared" si="2"/>
        <v>0</v>
      </c>
      <c r="U32" s="154">
        <f>T32*(1+$S32)</f>
        <v>0</v>
      </c>
      <c r="V32" s="154">
        <f t="shared" si="91"/>
        <v>0</v>
      </c>
      <c r="W32" s="154">
        <f t="shared" si="91"/>
        <v>0</v>
      </c>
      <c r="X32" s="154">
        <f t="shared" si="91"/>
        <v>0</v>
      </c>
      <c r="Y32" s="154">
        <f t="shared" si="91"/>
        <v>0</v>
      </c>
      <c r="Z32" s="154">
        <f t="shared" si="91"/>
        <v>0</v>
      </c>
      <c r="AA32" s="154">
        <f t="shared" si="91"/>
        <v>0</v>
      </c>
      <c r="AB32" s="154">
        <f t="shared" si="91"/>
        <v>0</v>
      </c>
      <c r="AC32" s="154">
        <f t="shared" si="91"/>
        <v>0</v>
      </c>
      <c r="AD32" s="138" t="e">
        <f t="shared" ref="AD32" si="93">((AC32/G32)^(1/($AC$3-$H$1) ))-1</f>
        <v>#DIV/0!</v>
      </c>
      <c r="AE32" s="31">
        <f t="shared" si="15"/>
        <v>0.05</v>
      </c>
      <c r="AF32" s="146">
        <f t="shared" si="1"/>
        <v>0</v>
      </c>
    </row>
    <row r="33" spans="2:32" x14ac:dyDescent="0.2">
      <c r="B33" s="20" t="s">
        <v>315</v>
      </c>
      <c r="C33" s="141"/>
      <c r="D33" s="141"/>
      <c r="E33" s="147"/>
      <c r="F33" s="147"/>
      <c r="G33" s="147">
        <v>359</v>
      </c>
      <c r="H33" s="147">
        <v>627</v>
      </c>
      <c r="I33" s="147">
        <v>804</v>
      </c>
      <c r="J33" s="147">
        <v>1210</v>
      </c>
      <c r="K33" s="147">
        <v>1431</v>
      </c>
      <c r="L33" s="147">
        <v>830</v>
      </c>
      <c r="M33" s="147">
        <v>719</v>
      </c>
      <c r="N33" s="147">
        <v>800</v>
      </c>
      <c r="O33" s="147">
        <v>1570</v>
      </c>
      <c r="P33" s="147">
        <v>1390</v>
      </c>
      <c r="Q33" s="147">
        <v>1598</v>
      </c>
      <c r="R33" s="118">
        <f>((Q33/G33)^(1/($H$2-$H$1) ))-1</f>
        <v>0.18046629588753738</v>
      </c>
      <c r="S33" s="31">
        <f t="shared" si="5"/>
        <v>0.08</v>
      </c>
      <c r="T33" s="154">
        <f t="shared" si="2"/>
        <v>1725.8400000000001</v>
      </c>
      <c r="U33" s="154">
        <f t="shared" si="34"/>
        <v>1863.9072000000003</v>
      </c>
      <c r="V33" s="154">
        <f t="shared" si="35"/>
        <v>2013.0197760000005</v>
      </c>
      <c r="W33" s="154">
        <f t="shared" si="36"/>
        <v>2174.0613580800009</v>
      </c>
      <c r="X33" s="154">
        <f t="shared" si="37"/>
        <v>2347.986266726401</v>
      </c>
      <c r="Y33" s="154">
        <f t="shared" si="38"/>
        <v>2535.8251680645135</v>
      </c>
      <c r="Z33" s="154">
        <f t="shared" si="39"/>
        <v>2738.6911815096746</v>
      </c>
      <c r="AA33" s="154">
        <f t="shared" si="40"/>
        <v>2957.7864760304487</v>
      </c>
      <c r="AB33" s="154">
        <f t="shared" si="41"/>
        <v>3194.4093941128849</v>
      </c>
      <c r="AC33" s="154">
        <f t="shared" si="42"/>
        <v>3449.9621456419159</v>
      </c>
      <c r="AD33" s="138">
        <f t="shared" si="17"/>
        <v>0.11978847678796645</v>
      </c>
      <c r="AE33" s="31">
        <f t="shared" si="15"/>
        <v>0.05</v>
      </c>
      <c r="AF33" s="146">
        <f t="shared" si="1"/>
        <v>27865.078868646244</v>
      </c>
    </row>
    <row r="34" spans="2:32" x14ac:dyDescent="0.2">
      <c r="B34" s="20" t="s">
        <v>307</v>
      </c>
      <c r="C34" s="141"/>
      <c r="D34" s="141"/>
      <c r="E34" s="147"/>
      <c r="F34" s="147"/>
      <c r="G34" s="147">
        <v>75</v>
      </c>
      <c r="H34" s="147">
        <v>85</v>
      </c>
      <c r="I34" s="147">
        <v>106</v>
      </c>
      <c r="J34" s="147">
        <v>128</v>
      </c>
      <c r="K34" s="147">
        <v>146</v>
      </c>
      <c r="L34" s="147">
        <v>120</v>
      </c>
      <c r="M34" s="147">
        <v>114</v>
      </c>
      <c r="N34" s="147">
        <v>176</v>
      </c>
      <c r="O34" s="147">
        <v>191</v>
      </c>
      <c r="P34" s="147">
        <v>190</v>
      </c>
      <c r="Q34" s="147">
        <v>239</v>
      </c>
      <c r="R34" s="118">
        <f>((Q34/G34)^(1/($H$2-$H$1) ))-1</f>
        <v>0.13743422808849304</v>
      </c>
      <c r="S34" s="31">
        <f t="shared" si="5"/>
        <v>0.08</v>
      </c>
      <c r="T34" s="154">
        <f t="shared" si="2"/>
        <v>258.12</v>
      </c>
      <c r="U34" s="154">
        <f t="shared" si="34"/>
        <v>278.76960000000003</v>
      </c>
      <c r="V34" s="154">
        <f t="shared" si="35"/>
        <v>301.07116800000006</v>
      </c>
      <c r="W34" s="154">
        <f t="shared" si="36"/>
        <v>325.15686144000006</v>
      </c>
      <c r="X34" s="154">
        <f t="shared" si="37"/>
        <v>351.16941035520006</v>
      </c>
      <c r="Y34" s="154">
        <f t="shared" si="38"/>
        <v>379.26296318361608</v>
      </c>
      <c r="Z34" s="154">
        <f t="shared" si="39"/>
        <v>409.60400023830539</v>
      </c>
      <c r="AA34" s="154">
        <f t="shared" si="40"/>
        <v>442.37232025736984</v>
      </c>
      <c r="AB34" s="154">
        <f t="shared" si="41"/>
        <v>477.76210587795947</v>
      </c>
      <c r="AC34" s="154">
        <f t="shared" si="42"/>
        <v>515.98307434819628</v>
      </c>
      <c r="AD34" s="138">
        <f t="shared" si="17"/>
        <v>0.10123171303613865</v>
      </c>
      <c r="AE34" s="31">
        <f t="shared" si="15"/>
        <v>0.05</v>
      </c>
      <c r="AF34" s="146">
        <f t="shared" si="1"/>
        <v>4167.5556005046619</v>
      </c>
    </row>
    <row r="35" spans="2:32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28"/>
      <c r="S35" s="20"/>
      <c r="T35" s="154">
        <f t="shared" si="2"/>
        <v>0</v>
      </c>
      <c r="U35" s="154"/>
      <c r="V35" s="154"/>
      <c r="W35" s="154"/>
      <c r="X35" s="154"/>
      <c r="Y35" s="154"/>
      <c r="Z35" s="154"/>
      <c r="AA35" s="154"/>
      <c r="AB35" s="154"/>
      <c r="AC35" s="154"/>
      <c r="AD35" s="139"/>
      <c r="AE35" s="137"/>
      <c r="AF35" s="154"/>
    </row>
    <row r="36" spans="2:32" x14ac:dyDescent="0.2">
      <c r="B36" s="20" t="s">
        <v>278</v>
      </c>
      <c r="C36" s="141"/>
      <c r="D36" s="141"/>
      <c r="E36" s="147"/>
      <c r="F36" s="147"/>
      <c r="G36" s="147">
        <v>123</v>
      </c>
      <c r="H36" s="147">
        <v>140</v>
      </c>
      <c r="I36" s="147">
        <v>223</v>
      </c>
      <c r="J36" s="147">
        <v>331</v>
      </c>
      <c r="K36" s="147">
        <v>439</v>
      </c>
      <c r="L36" s="147">
        <v>206</v>
      </c>
      <c r="M36" s="147">
        <v>188</v>
      </c>
      <c r="N36" s="147">
        <v>223</v>
      </c>
      <c r="O36" s="147">
        <v>274</v>
      </c>
      <c r="P36" s="147">
        <v>227</v>
      </c>
      <c r="Q36" s="147">
        <v>271</v>
      </c>
      <c r="R36" s="118">
        <f>((Q36/G36)^(1/($H$2-$H$1) ))-1</f>
        <v>9.1737535325525421E-2</v>
      </c>
      <c r="S36" s="31">
        <f t="shared" si="5"/>
        <v>0.08</v>
      </c>
      <c r="T36" s="154">
        <f t="shared" si="2"/>
        <v>292.68</v>
      </c>
      <c r="U36" s="154">
        <f t="shared" ref="U36" si="94">T36*(1+$S36)</f>
        <v>316.09440000000001</v>
      </c>
      <c r="V36" s="154">
        <f t="shared" ref="V36" si="95">U36*(1+$S36)</f>
        <v>341.38195200000001</v>
      </c>
      <c r="W36" s="154">
        <f t="shared" ref="W36" si="96">V36*(1+$S36)</f>
        <v>368.69250816000005</v>
      </c>
      <c r="X36" s="154">
        <f t="shared" si="37"/>
        <v>398.18790881280006</v>
      </c>
      <c r="Y36" s="154">
        <f t="shared" si="38"/>
        <v>430.04294151782409</v>
      </c>
      <c r="Z36" s="154">
        <f t="shared" si="39"/>
        <v>464.44637683925004</v>
      </c>
      <c r="AA36" s="154">
        <f t="shared" si="40"/>
        <v>501.60208698639008</v>
      </c>
      <c r="AB36" s="154">
        <f t="shared" si="41"/>
        <v>541.73025394530134</v>
      </c>
      <c r="AC36" s="154">
        <f t="shared" si="42"/>
        <v>585.06867426092549</v>
      </c>
      <c r="AD36" s="138">
        <f t="shared" si="17"/>
        <v>8.1098056753512893E-2</v>
      </c>
      <c r="AE36" s="31">
        <f t="shared" si="15"/>
        <v>0.05</v>
      </c>
      <c r="AF36" s="146">
        <f t="shared" si="1"/>
        <v>4725.5546767228598</v>
      </c>
    </row>
    <row r="37" spans="2:32" s="123" customFormat="1" x14ac:dyDescent="0.2">
      <c r="B37" s="23"/>
      <c r="C37" s="149"/>
      <c r="D37" s="149"/>
      <c r="E37" s="150"/>
      <c r="F37" s="150"/>
      <c r="G37" s="148">
        <f t="shared" ref="G37" si="97">(G36-F36)/G36</f>
        <v>1</v>
      </c>
      <c r="H37" s="148">
        <f t="shared" ref="H37" si="98">(H36-G36)/H36</f>
        <v>0.12142857142857143</v>
      </c>
      <c r="I37" s="148">
        <f t="shared" ref="I37" si="99">(I36-H36)/I36</f>
        <v>0.37219730941704038</v>
      </c>
      <c r="J37" s="148">
        <f t="shared" ref="J37" si="100">(J36-I36)/J36</f>
        <v>0.32628398791540786</v>
      </c>
      <c r="K37" s="148">
        <f t="shared" ref="K37" si="101">(K36-J36)/K36</f>
        <v>0.24601366742596811</v>
      </c>
      <c r="L37" s="148">
        <f t="shared" ref="L37" si="102">(L36-K36)/L36</f>
        <v>-1.1310679611650485</v>
      </c>
      <c r="M37" s="148">
        <f t="shared" ref="M37" si="103">(M36-L36)/M36</f>
        <v>-9.5744680851063829E-2</v>
      </c>
      <c r="N37" s="148">
        <f t="shared" ref="N37" si="104">(N36-M36)/N36</f>
        <v>0.15695067264573992</v>
      </c>
      <c r="O37" s="148">
        <f t="shared" ref="O37" si="105">(O36-N36)/O36</f>
        <v>0.18613138686131386</v>
      </c>
      <c r="P37" s="148">
        <f t="shared" ref="P37:Q37" si="106">(P36-O36)/P36</f>
        <v>-0.20704845814977973</v>
      </c>
      <c r="Q37" s="148">
        <f t="shared" si="106"/>
        <v>0.16236162361623616</v>
      </c>
      <c r="R37" s="128"/>
      <c r="S37" s="20"/>
      <c r="T37" s="154"/>
      <c r="U37" s="155"/>
      <c r="V37" s="155"/>
      <c r="W37" s="155"/>
      <c r="X37" s="155"/>
      <c r="Y37" s="155"/>
      <c r="Z37" s="155"/>
      <c r="AA37" s="155"/>
      <c r="AB37" s="155"/>
      <c r="AC37" s="155"/>
      <c r="AD37" s="139"/>
      <c r="AE37" s="137"/>
      <c r="AF37" s="156"/>
    </row>
    <row r="38" spans="2:32" s="123" customFormat="1" x14ac:dyDescent="0.2">
      <c r="B38" s="20" t="s">
        <v>400</v>
      </c>
      <c r="C38" s="149"/>
      <c r="D38" s="149"/>
      <c r="E38" s="150"/>
      <c r="F38" s="150"/>
      <c r="G38" s="147">
        <v>59</v>
      </c>
      <c r="H38" s="147">
        <v>52</v>
      </c>
      <c r="I38" s="147">
        <v>188</v>
      </c>
      <c r="J38" s="147">
        <v>309</v>
      </c>
      <c r="K38" s="147">
        <v>371</v>
      </c>
      <c r="L38" s="147">
        <v>154</v>
      </c>
      <c r="M38" s="147">
        <v>145</v>
      </c>
      <c r="N38" s="147">
        <v>227</v>
      </c>
      <c r="O38" s="147">
        <v>233</v>
      </c>
      <c r="P38" s="147">
        <v>184</v>
      </c>
      <c r="Q38" s="147">
        <v>268</v>
      </c>
      <c r="R38" s="118">
        <f>((Q38/G38)^(1/($H$2-$H$1) ))-1</f>
        <v>0.18312714931574092</v>
      </c>
      <c r="S38" s="31">
        <f t="shared" si="5"/>
        <v>0.08</v>
      </c>
      <c r="T38" s="154">
        <f t="shared" si="2"/>
        <v>289.44</v>
      </c>
      <c r="U38" s="154">
        <f t="shared" ref="U38" si="107">T38*(1+$S38)</f>
        <v>312.59520000000003</v>
      </c>
      <c r="V38" s="154">
        <f t="shared" ref="V38" si="108">U38*(1+$S38)</f>
        <v>337.60281600000008</v>
      </c>
      <c r="W38" s="154">
        <f t="shared" ref="W38" si="109">V38*(1+$S38)</f>
        <v>364.61104128000011</v>
      </c>
      <c r="X38" s="154">
        <f t="shared" ref="X38" si="110">W38*(1+$S38)</f>
        <v>393.77992458240016</v>
      </c>
      <c r="Y38" s="154">
        <f t="shared" ref="Y38" si="111">X38*(1+$S38)</f>
        <v>425.28231854899218</v>
      </c>
      <c r="Z38" s="154">
        <f t="shared" ref="Z38" si="112">Y38*(1+$S38)</f>
        <v>459.30490403291157</v>
      </c>
      <c r="AA38" s="154">
        <f t="shared" ref="AA38" si="113">Z38*(1+$S38)</f>
        <v>496.04929635554453</v>
      </c>
      <c r="AB38" s="154">
        <f t="shared" ref="AB38" si="114">AA38*(1+$S38)</f>
        <v>535.73324006398809</v>
      </c>
      <c r="AC38" s="154">
        <f t="shared" ref="AC38" si="115">AB38*(1+$S38)</f>
        <v>578.59189926910722</v>
      </c>
      <c r="AD38" s="138">
        <f t="shared" ref="AD38" si="116">((AC38/G38)^(1/($AC$3-$H$1) ))-1</f>
        <v>0.12092361016148923</v>
      </c>
      <c r="AE38" s="31">
        <f t="shared" si="15"/>
        <v>0.05</v>
      </c>
      <c r="AF38" s="146">
        <f t="shared" ref="AF38" si="117">(AC38*(1+AE38))/($C$1-AE38)</f>
        <v>4673.2422633274045</v>
      </c>
    </row>
    <row r="39" spans="2:32" s="123" customFormat="1" x14ac:dyDescent="0.2">
      <c r="B39" s="23"/>
      <c r="C39" s="149"/>
      <c r="D39" s="149"/>
      <c r="E39" s="150"/>
      <c r="F39" s="150"/>
      <c r="G39" s="148">
        <f t="shared" ref="G39" si="118">(G38-F38)/G38</f>
        <v>1</v>
      </c>
      <c r="H39" s="148">
        <f t="shared" ref="H39" si="119">(H38-G38)/H38</f>
        <v>-0.13461538461538461</v>
      </c>
      <c r="I39" s="148">
        <f t="shared" ref="I39" si="120">(I38-H38)/I38</f>
        <v>0.72340425531914898</v>
      </c>
      <c r="J39" s="148">
        <f t="shared" ref="J39" si="121">(J38-I38)/J38</f>
        <v>0.39158576051779936</v>
      </c>
      <c r="K39" s="148">
        <f t="shared" ref="K39" si="122">(K38-J38)/K38</f>
        <v>0.16711590296495957</v>
      </c>
      <c r="L39" s="148">
        <f t="shared" ref="L39" si="123">(L38-K38)/L38</f>
        <v>-1.4090909090909092</v>
      </c>
      <c r="M39" s="148">
        <f t="shared" ref="M39" si="124">(M38-L38)/M38</f>
        <v>-6.2068965517241378E-2</v>
      </c>
      <c r="N39" s="148">
        <f t="shared" ref="N39" si="125">(N38-M38)/N38</f>
        <v>0.36123348017621143</v>
      </c>
      <c r="O39" s="148">
        <f t="shared" ref="O39" si="126">(O38-N38)/O38</f>
        <v>2.575107296137339E-2</v>
      </c>
      <c r="P39" s="148">
        <f t="shared" ref="P39:Q39" si="127">(P38-O38)/P38</f>
        <v>-0.26630434782608697</v>
      </c>
      <c r="Q39" s="148">
        <f t="shared" si="127"/>
        <v>0.31343283582089554</v>
      </c>
      <c r="R39" s="128"/>
      <c r="S39" s="20"/>
      <c r="T39" s="154"/>
      <c r="U39" s="155"/>
      <c r="V39" s="155"/>
      <c r="W39" s="155"/>
      <c r="X39" s="155"/>
      <c r="Y39" s="155"/>
      <c r="Z39" s="155"/>
      <c r="AA39" s="155"/>
      <c r="AB39" s="155"/>
      <c r="AC39" s="155"/>
      <c r="AD39" s="139"/>
      <c r="AE39" s="137"/>
      <c r="AF39" s="156"/>
    </row>
    <row r="40" spans="2:32" x14ac:dyDescent="0.2">
      <c r="B40" s="20" t="s">
        <v>401</v>
      </c>
      <c r="C40" s="141"/>
      <c r="D40" s="141"/>
      <c r="E40" s="147"/>
      <c r="F40" s="147"/>
      <c r="G40" s="147">
        <v>58</v>
      </c>
      <c r="H40" s="147">
        <v>73</v>
      </c>
      <c r="I40" s="147">
        <v>148</v>
      </c>
      <c r="J40" s="147">
        <v>206</v>
      </c>
      <c r="K40" s="147">
        <v>242</v>
      </c>
      <c r="L40" s="147">
        <v>107</v>
      </c>
      <c r="M40" s="147">
        <v>100</v>
      </c>
      <c r="N40" s="147">
        <v>153</v>
      </c>
      <c r="O40" s="147">
        <v>139</v>
      </c>
      <c r="P40" s="147">
        <v>129</v>
      </c>
      <c r="Q40" s="147">
        <v>189</v>
      </c>
      <c r="R40" s="118">
        <f>((Q40/G40)^(1/($H$2-$H$1) ))-1</f>
        <v>0.14025965099346327</v>
      </c>
      <c r="S40" s="31">
        <f t="shared" si="5"/>
        <v>0.08</v>
      </c>
      <c r="T40" s="154">
        <f t="shared" si="2"/>
        <v>204.12</v>
      </c>
      <c r="U40" s="154">
        <f t="shared" ref="U40:AC40" si="128">T40*(1+$S40)</f>
        <v>220.44960000000003</v>
      </c>
      <c r="V40" s="154">
        <f t="shared" si="128"/>
        <v>238.08556800000005</v>
      </c>
      <c r="W40" s="154">
        <f t="shared" si="128"/>
        <v>257.13241344000005</v>
      </c>
      <c r="X40" s="154">
        <f t="shared" si="128"/>
        <v>277.70300651520006</v>
      </c>
      <c r="Y40" s="154">
        <f t="shared" si="128"/>
        <v>299.9192470364161</v>
      </c>
      <c r="Z40" s="154">
        <f t="shared" si="128"/>
        <v>323.91278679932941</v>
      </c>
      <c r="AA40" s="154">
        <f t="shared" si="128"/>
        <v>349.82580974327578</v>
      </c>
      <c r="AB40" s="154">
        <f t="shared" si="128"/>
        <v>377.81187452273787</v>
      </c>
      <c r="AC40" s="154">
        <f t="shared" si="128"/>
        <v>408.03682448455692</v>
      </c>
      <c r="AD40" s="138">
        <f t="shared" si="17"/>
        <v>0.10246184584169926</v>
      </c>
      <c r="AE40" s="31">
        <f t="shared" si="15"/>
        <v>0.05</v>
      </c>
      <c r="AF40" s="146">
        <f t="shared" si="1"/>
        <v>3295.6820439137286</v>
      </c>
    </row>
    <row r="41" spans="2:32" s="123" customFormat="1" x14ac:dyDescent="0.2">
      <c r="B41" s="23"/>
      <c r="C41" s="149"/>
      <c r="D41" s="149"/>
      <c r="E41" s="150"/>
      <c r="F41" s="150"/>
      <c r="G41" s="148">
        <f>(G40-F40)/G40</f>
        <v>1</v>
      </c>
      <c r="H41" s="148">
        <f t="shared" ref="H41:Q41" si="129">(H40-G40)/H40</f>
        <v>0.20547945205479451</v>
      </c>
      <c r="I41" s="148">
        <f t="shared" si="129"/>
        <v>0.5067567567567568</v>
      </c>
      <c r="J41" s="148">
        <f t="shared" si="129"/>
        <v>0.28155339805825241</v>
      </c>
      <c r="K41" s="148">
        <f t="shared" si="129"/>
        <v>0.1487603305785124</v>
      </c>
      <c r="L41" s="148">
        <f t="shared" si="129"/>
        <v>-1.2616822429906542</v>
      </c>
      <c r="M41" s="148">
        <f t="shared" si="129"/>
        <v>-7.0000000000000007E-2</v>
      </c>
      <c r="N41" s="148">
        <f t="shared" si="129"/>
        <v>0.34640522875816993</v>
      </c>
      <c r="O41" s="148">
        <f t="shared" si="129"/>
        <v>-0.10071942446043165</v>
      </c>
      <c r="P41" s="148">
        <f t="shared" si="129"/>
        <v>-7.7519379844961239E-2</v>
      </c>
      <c r="Q41" s="148">
        <f t="shared" si="129"/>
        <v>0.31746031746031744</v>
      </c>
      <c r="R41" s="128"/>
      <c r="S41" s="20"/>
      <c r="T41" s="154"/>
      <c r="U41" s="155"/>
      <c r="V41" s="155"/>
      <c r="W41" s="155"/>
      <c r="X41" s="155"/>
      <c r="Y41" s="155"/>
      <c r="Z41" s="155"/>
      <c r="AA41" s="155"/>
      <c r="AB41" s="155"/>
      <c r="AC41" s="155"/>
      <c r="AD41" s="139"/>
      <c r="AE41" s="137"/>
      <c r="AF41" s="156"/>
    </row>
    <row r="42" spans="2:32" x14ac:dyDescent="0.2">
      <c r="B42" s="20" t="s">
        <v>239</v>
      </c>
      <c r="C42" s="142"/>
      <c r="D42" s="142"/>
      <c r="E42" s="145"/>
      <c r="F42" s="145"/>
      <c r="G42" s="145">
        <v>0.12</v>
      </c>
      <c r="H42" s="145">
        <v>0.12</v>
      </c>
      <c r="I42" s="145">
        <v>0.12</v>
      </c>
      <c r="J42" s="145">
        <v>1.1299999999999999</v>
      </c>
      <c r="K42" s="145">
        <v>1.23</v>
      </c>
      <c r="L42" s="145">
        <v>1.23</v>
      </c>
      <c r="M42" s="145">
        <v>1.23</v>
      </c>
      <c r="N42" s="145">
        <v>1.1200000000000001</v>
      </c>
      <c r="O42" s="145">
        <v>1.1200000000000001</v>
      </c>
      <c r="P42" s="145">
        <v>1.1200000000000001</v>
      </c>
      <c r="Q42" s="145">
        <v>1.1200000000000001</v>
      </c>
      <c r="R42" s="118">
        <f>((Q42/G42)^(1/($H$2-$H$1) ))-1</f>
        <v>0.28168665981174246</v>
      </c>
      <c r="S42" s="31">
        <f>P1</f>
        <v>0.05</v>
      </c>
      <c r="T42" s="154">
        <f t="shared" si="2"/>
        <v>1.1760000000000002</v>
      </c>
      <c r="U42" s="154">
        <f t="shared" ref="U42:AC42" si="130">T42*(1+$S42)</f>
        <v>1.2348000000000001</v>
      </c>
      <c r="V42" s="154">
        <f t="shared" si="130"/>
        <v>1.2965400000000002</v>
      </c>
      <c r="W42" s="154">
        <f t="shared" si="130"/>
        <v>1.3613670000000002</v>
      </c>
      <c r="X42" s="154">
        <f t="shared" si="130"/>
        <v>1.4294353500000003</v>
      </c>
      <c r="Y42" s="154">
        <f t="shared" si="130"/>
        <v>1.5009071175000004</v>
      </c>
      <c r="Z42" s="154">
        <f t="shared" si="130"/>
        <v>1.5759524733750006</v>
      </c>
      <c r="AA42" s="154">
        <f t="shared" si="130"/>
        <v>1.6547500970437508</v>
      </c>
      <c r="AB42" s="154">
        <f t="shared" si="130"/>
        <v>1.7374876018959384</v>
      </c>
      <c r="AC42" s="154">
        <f t="shared" si="130"/>
        <v>1.8243619819907355</v>
      </c>
      <c r="AD42" s="138">
        <f t="shared" si="17"/>
        <v>0.14576747139192858</v>
      </c>
      <c r="AE42" s="31">
        <f t="shared" si="15"/>
        <v>0.05</v>
      </c>
      <c r="AF42" s="146">
        <f t="shared" si="1"/>
        <v>14.735231393002094</v>
      </c>
    </row>
    <row r="43" spans="2:32" x14ac:dyDescent="0.2">
      <c r="B43" s="20"/>
      <c r="C43" s="142"/>
      <c r="D43" s="142"/>
      <c r="E43" s="143"/>
      <c r="F43" s="147"/>
      <c r="G43" s="148">
        <f>(G42-F42)/G42</f>
        <v>1</v>
      </c>
      <c r="H43" s="148">
        <f t="shared" ref="H43" si="131">(H42-G42)/H42</f>
        <v>0</v>
      </c>
      <c r="I43" s="148">
        <f t="shared" ref="I43" si="132">(I42-H42)/I42</f>
        <v>0</v>
      </c>
      <c r="J43" s="148">
        <f t="shared" ref="J43" si="133">(J42-I42)/J42</f>
        <v>0.89380530973451322</v>
      </c>
      <c r="K43" s="148">
        <f t="shared" ref="K43" si="134">(K42-J42)/K42</f>
        <v>8.1300813008130149E-2</v>
      </c>
      <c r="L43" s="148">
        <f t="shared" ref="L43" si="135">(L42-K42)/L42</f>
        <v>0</v>
      </c>
      <c r="M43" s="148">
        <f t="shared" ref="M43" si="136">(M42-L42)/M42</f>
        <v>0</v>
      </c>
      <c r="N43" s="148">
        <f t="shared" ref="N43" si="137">(N42-M42)/N42</f>
        <v>-9.8214285714285587E-2</v>
      </c>
      <c r="O43" s="148">
        <f t="shared" ref="O43" si="138">(O42-N42)/O42</f>
        <v>0</v>
      </c>
      <c r="P43" s="148">
        <f t="shared" ref="P43:Q43" si="139">(P42-O42)/P42</f>
        <v>0</v>
      </c>
      <c r="Q43" s="148">
        <f t="shared" si="139"/>
        <v>0</v>
      </c>
      <c r="R43" s="128"/>
      <c r="S43" s="20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38"/>
      <c r="AE43" s="31"/>
      <c r="AF43" s="146"/>
    </row>
    <row r="44" spans="2:32" x14ac:dyDescent="0.2">
      <c r="B44" s="20" t="s">
        <v>282</v>
      </c>
      <c r="C44" s="145"/>
      <c r="D44" s="145"/>
      <c r="E44" s="145"/>
      <c r="F44" s="147"/>
      <c r="G44" s="145">
        <v>100</v>
      </c>
      <c r="H44" s="145">
        <v>150</v>
      </c>
      <c r="I44" s="145">
        <v>300</v>
      </c>
      <c r="J44" s="145">
        <v>40</v>
      </c>
      <c r="K44" s="145">
        <v>45</v>
      </c>
      <c r="L44" s="145">
        <v>15</v>
      </c>
      <c r="M44" s="145">
        <v>30</v>
      </c>
      <c r="N44" s="145">
        <v>50</v>
      </c>
      <c r="O44" s="145">
        <v>20</v>
      </c>
      <c r="P44" s="145">
        <v>30</v>
      </c>
      <c r="Q44" s="145">
        <v>30</v>
      </c>
      <c r="R44" s="118">
        <f>((Q44/G44)^(1/($H$2-$H$1) ))-1</f>
        <v>-0.12521291707606708</v>
      </c>
      <c r="S44" s="31">
        <f>P1</f>
        <v>0.05</v>
      </c>
      <c r="T44" s="154">
        <f t="shared" si="2"/>
        <v>31.5</v>
      </c>
      <c r="U44" s="154">
        <f t="shared" ref="U44" si="140">T44*(1+$S44)</f>
        <v>33.075000000000003</v>
      </c>
      <c r="V44" s="154">
        <f t="shared" ref="V44" si="141">U44*(1+$S44)</f>
        <v>34.728750000000005</v>
      </c>
      <c r="W44" s="154">
        <f t="shared" ref="W44" si="142">V44*(1+$S44)</f>
        <v>36.465187500000006</v>
      </c>
      <c r="X44" s="154">
        <f t="shared" ref="X44" si="143">W44*(1+$S44)</f>
        <v>38.288446875000005</v>
      </c>
      <c r="Y44" s="154">
        <f t="shared" ref="Y44" si="144">X44*(1+$S44)</f>
        <v>40.20286921875001</v>
      </c>
      <c r="Z44" s="154">
        <f t="shared" ref="Z44" si="145">Y44*(1+$S44)</f>
        <v>42.213012679687509</v>
      </c>
      <c r="AA44" s="154">
        <f t="shared" ref="AA44" si="146">Z44*(1+$S44)</f>
        <v>44.323663313671886</v>
      </c>
      <c r="AB44" s="154">
        <f t="shared" ref="AB44" si="147">AA44*(1+$S44)</f>
        <v>46.539846479355482</v>
      </c>
      <c r="AC44" s="154">
        <f t="shared" ref="AC44" si="148">AB44*(1+$S44)</f>
        <v>48.866838803323262</v>
      </c>
      <c r="AD44" s="138">
        <f t="shared" ref="AD44" si="149">((AC44/G44)^(1/($AC$3-$H$1) ))-1</f>
        <v>-3.5170192161605107E-2</v>
      </c>
      <c r="AE44" s="31">
        <f t="shared" si="15"/>
        <v>0.05</v>
      </c>
      <c r="AF44" s="146">
        <f t="shared" si="1"/>
        <v>394.69369802684173</v>
      </c>
    </row>
    <row r="45" spans="2:32" x14ac:dyDescent="0.2">
      <c r="B45" s="20" t="s">
        <v>426</v>
      </c>
      <c r="C45" s="20"/>
      <c r="D45" s="20"/>
      <c r="E45" s="127"/>
      <c r="F45" s="127"/>
      <c r="G45" s="147">
        <v>0</v>
      </c>
      <c r="H45" s="147">
        <v>0</v>
      </c>
      <c r="I45" s="147">
        <v>0</v>
      </c>
      <c r="J45" s="147" t="s">
        <v>466</v>
      </c>
      <c r="K45" s="147">
        <v>0</v>
      </c>
      <c r="L45" s="147">
        <v>0</v>
      </c>
      <c r="M45" s="147">
        <v>0</v>
      </c>
      <c r="N45" s="147">
        <v>0</v>
      </c>
      <c r="O45" s="147">
        <v>0</v>
      </c>
      <c r="P45" s="147">
        <v>0</v>
      </c>
      <c r="Q45" s="147">
        <v>0</v>
      </c>
      <c r="R45" s="147">
        <v>0</v>
      </c>
      <c r="S45" s="128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39"/>
      <c r="AE45" s="137"/>
      <c r="AF45" s="154"/>
    </row>
    <row r="46" spans="2:32" x14ac:dyDescent="0.2">
      <c r="B46" s="20" t="s">
        <v>424</v>
      </c>
      <c r="C46" s="20"/>
      <c r="D46" s="20"/>
      <c r="E46" s="127"/>
      <c r="F46" s="127"/>
      <c r="G46" s="147">
        <v>0</v>
      </c>
      <c r="H46" s="147">
        <v>0</v>
      </c>
      <c r="I46" s="147">
        <v>0</v>
      </c>
      <c r="J46" s="147">
        <v>0</v>
      </c>
      <c r="K46" s="147">
        <v>0</v>
      </c>
      <c r="L46" s="147">
        <v>0</v>
      </c>
      <c r="M46" s="147">
        <v>0</v>
      </c>
      <c r="N46" s="147">
        <v>0</v>
      </c>
      <c r="O46" s="147">
        <v>0</v>
      </c>
      <c r="P46" s="147">
        <v>0</v>
      </c>
      <c r="Q46" s="147">
        <v>0</v>
      </c>
      <c r="R46" s="147">
        <v>0</v>
      </c>
      <c r="S46" s="128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39"/>
      <c r="AE46" s="137"/>
      <c r="AF46" s="154"/>
    </row>
    <row r="47" spans="2:32" x14ac:dyDescent="0.2">
      <c r="B47" s="20" t="s">
        <v>425</v>
      </c>
      <c r="C47" s="20"/>
      <c r="D47" s="20"/>
      <c r="E47" s="127"/>
      <c r="F47" s="127"/>
      <c r="G47" s="147">
        <v>0</v>
      </c>
      <c r="H47" s="147">
        <v>0</v>
      </c>
      <c r="I47" s="147">
        <v>0</v>
      </c>
      <c r="J47" s="147">
        <v>0</v>
      </c>
      <c r="K47" s="147">
        <v>0</v>
      </c>
      <c r="L47" s="147">
        <v>0</v>
      </c>
      <c r="M47" s="147">
        <v>0</v>
      </c>
      <c r="N47" s="147">
        <v>0</v>
      </c>
      <c r="O47" s="147">
        <v>0</v>
      </c>
      <c r="P47" s="147">
        <v>0</v>
      </c>
      <c r="Q47" s="147">
        <v>0</v>
      </c>
      <c r="R47" s="147">
        <v>0</v>
      </c>
      <c r="S47" s="128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39"/>
      <c r="AE47" s="137"/>
      <c r="AF47" s="154"/>
    </row>
    <row r="48" spans="2:32" x14ac:dyDescent="0.2">
      <c r="B48" s="20"/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128"/>
      <c r="S48" s="128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39"/>
      <c r="AE48" s="137"/>
      <c r="AF48" s="154"/>
    </row>
    <row r="49" spans="2:32" x14ac:dyDescent="0.2">
      <c r="B49" s="108" t="s">
        <v>243</v>
      </c>
      <c r="C49" s="20"/>
      <c r="D49" s="20"/>
      <c r="E49" s="127"/>
      <c r="F49" s="127"/>
      <c r="G49" s="127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128"/>
      <c r="S49" s="128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39"/>
      <c r="AE49" s="137"/>
      <c r="AF49" s="154"/>
    </row>
    <row r="50" spans="2:32" x14ac:dyDescent="0.2">
      <c r="B50" s="20" t="s">
        <v>302</v>
      </c>
      <c r="C50" s="133"/>
      <c r="D50" s="133"/>
      <c r="E50" s="133"/>
      <c r="F50" s="133"/>
      <c r="G50" s="133">
        <f t="shared" ref="G50:P50" si="150">G25/G42</f>
        <v>5650</v>
      </c>
      <c r="H50" s="133">
        <f t="shared" si="150"/>
        <v>7983.3333333333339</v>
      </c>
      <c r="I50" s="133">
        <f t="shared" si="150"/>
        <v>11133.333333333334</v>
      </c>
      <c r="J50" s="133">
        <f t="shared" si="150"/>
        <v>1721.2389380530974</v>
      </c>
      <c r="K50" s="133">
        <f t="shared" si="150"/>
        <v>1867.479674796748</v>
      </c>
      <c r="L50" s="133">
        <f t="shared" si="150"/>
        <v>1145.5284552845528</v>
      </c>
      <c r="M50" s="133">
        <f t="shared" si="150"/>
        <v>986.99186991869919</v>
      </c>
      <c r="N50" s="133">
        <f t="shared" si="150"/>
        <v>1698.2142857142856</v>
      </c>
      <c r="O50" s="133">
        <f t="shared" si="150"/>
        <v>2126.7857142857142</v>
      </c>
      <c r="P50" s="133">
        <f t="shared" si="150"/>
        <v>1903.5714285714284</v>
      </c>
      <c r="Q50" s="133">
        <f t="shared" ref="Q50" si="151">Q25/Q42</f>
        <v>2206.25</v>
      </c>
      <c r="R50" s="118">
        <f>((P50/G50)^(1/($H$2-$H$1) ))-1</f>
        <v>-0.11386007663328412</v>
      </c>
      <c r="S50" s="128"/>
      <c r="T50" s="158">
        <f t="shared" ref="T50:AC50" si="152">T25/T42</f>
        <v>2269.2857142857142</v>
      </c>
      <c r="U50" s="158">
        <f t="shared" si="152"/>
        <v>2334.1224489795918</v>
      </c>
      <c r="V50" s="158">
        <f t="shared" si="152"/>
        <v>2400.8116618075801</v>
      </c>
      <c r="W50" s="158">
        <f t="shared" si="152"/>
        <v>2469.4062807163687</v>
      </c>
      <c r="X50" s="158">
        <f t="shared" si="152"/>
        <v>2539.9607458796931</v>
      </c>
      <c r="Y50" s="158">
        <f t="shared" si="152"/>
        <v>2612.5310529048274</v>
      </c>
      <c r="Z50" s="158">
        <f t="shared" si="152"/>
        <v>2687.1747972735366</v>
      </c>
      <c r="AA50" s="158">
        <f t="shared" si="152"/>
        <v>2763.9512200527802</v>
      </c>
      <c r="AB50" s="158">
        <f t="shared" si="152"/>
        <v>2842.9212549114313</v>
      </c>
      <c r="AC50" s="158">
        <f t="shared" si="152"/>
        <v>2924.1475764803295</v>
      </c>
      <c r="AD50" s="138">
        <f t="shared" ref="AD50" si="153">((AC50/G50)^(1/($AC$3-$H$1) ))-1</f>
        <v>-3.2396251939307841E-2</v>
      </c>
      <c r="AE50" s="31">
        <f t="shared" si="15"/>
        <v>0.05</v>
      </c>
      <c r="AF50" s="146">
        <f t="shared" ref="AF50:AF51" si="154">(AC50*(1+AE50))/($C$1-AE50)</f>
        <v>23618.115040802662</v>
      </c>
    </row>
    <row r="51" spans="2:32" x14ac:dyDescent="0.2">
      <c r="B51" s="20" t="s">
        <v>303</v>
      </c>
      <c r="C51" s="133"/>
      <c r="D51" s="133"/>
      <c r="E51" s="133"/>
      <c r="F51" s="133"/>
      <c r="G51" s="133">
        <f t="shared" ref="G51:P51" si="155">G27/G42</f>
        <v>4625</v>
      </c>
      <c r="H51" s="133">
        <f t="shared" si="155"/>
        <v>7183.3333333333339</v>
      </c>
      <c r="I51" s="133">
        <f t="shared" si="155"/>
        <v>9075</v>
      </c>
      <c r="J51" s="133">
        <f t="shared" si="155"/>
        <v>1384.0707964601772</v>
      </c>
      <c r="K51" s="133">
        <f t="shared" si="155"/>
        <v>1469.1056910569107</v>
      </c>
      <c r="L51" s="133">
        <f t="shared" si="155"/>
        <v>921.13821138211381</v>
      </c>
      <c r="M51" s="133">
        <f t="shared" si="155"/>
        <v>790.2439024390244</v>
      </c>
      <c r="N51" s="133">
        <f t="shared" si="155"/>
        <v>1401.7857142857142</v>
      </c>
      <c r="O51" s="133">
        <f t="shared" si="155"/>
        <v>1806.2499999999998</v>
      </c>
      <c r="P51" s="133">
        <f t="shared" si="155"/>
        <v>1632.1428571428569</v>
      </c>
      <c r="Q51" s="133">
        <f t="shared" ref="Q51" si="156">Q27/Q42</f>
        <v>1873.2142857142856</v>
      </c>
      <c r="R51" s="118">
        <f>((P51/G51)^(1/($H$2-$H$1) ))-1</f>
        <v>-0.10928556127381428</v>
      </c>
      <c r="S51" s="128"/>
      <c r="T51" s="158">
        <f t="shared" ref="T51:AC51" si="157">T27/T42</f>
        <v>1926.7346938775509</v>
      </c>
      <c r="U51" s="158">
        <f t="shared" si="157"/>
        <v>1981.7842565597668</v>
      </c>
      <c r="V51" s="158">
        <f t="shared" si="157"/>
        <v>2038.406663890046</v>
      </c>
      <c r="W51" s="158">
        <f t="shared" si="157"/>
        <v>2096.6468542869047</v>
      </c>
      <c r="X51" s="158">
        <f t="shared" si="157"/>
        <v>2156.5510501236736</v>
      </c>
      <c r="Y51" s="158">
        <f t="shared" si="157"/>
        <v>2218.1667944129217</v>
      </c>
      <c r="Z51" s="158">
        <f t="shared" si="157"/>
        <v>2281.5429885390049</v>
      </c>
      <c r="AA51" s="158">
        <f t="shared" si="157"/>
        <v>2346.7299310686908</v>
      </c>
      <c r="AB51" s="158">
        <f t="shared" si="157"/>
        <v>2413.7793576706531</v>
      </c>
      <c r="AC51" s="158">
        <f t="shared" si="157"/>
        <v>2482.7444821755289</v>
      </c>
      <c r="AD51" s="138">
        <f t="shared" ref="AD51" si="158">((AC51/G51)^(1/($AC$3-$H$1) ))-1</f>
        <v>-3.0626787312766579E-2</v>
      </c>
      <c r="AE51" s="31">
        <f t="shared" si="15"/>
        <v>0.05</v>
      </c>
      <c r="AF51" s="146">
        <f t="shared" si="154"/>
        <v>20052.936202186964</v>
      </c>
    </row>
    <row r="52" spans="2:32" x14ac:dyDescent="0.2">
      <c r="B52" s="20" t="s">
        <v>427</v>
      </c>
      <c r="C52" s="133"/>
      <c r="D52" s="133"/>
      <c r="E52" s="133"/>
      <c r="F52" s="133"/>
      <c r="G52" s="133">
        <f>G38-G40</f>
        <v>1</v>
      </c>
      <c r="H52" s="133">
        <f t="shared" ref="H52:P52" si="159">H38-H40</f>
        <v>-21</v>
      </c>
      <c r="I52" s="133">
        <f t="shared" si="159"/>
        <v>40</v>
      </c>
      <c r="J52" s="133">
        <f t="shared" si="159"/>
        <v>103</v>
      </c>
      <c r="K52" s="133">
        <f t="shared" si="159"/>
        <v>129</v>
      </c>
      <c r="L52" s="133">
        <f t="shared" si="159"/>
        <v>47</v>
      </c>
      <c r="M52" s="133">
        <f t="shared" si="159"/>
        <v>45</v>
      </c>
      <c r="N52" s="133">
        <f t="shared" si="159"/>
        <v>74</v>
      </c>
      <c r="O52" s="133">
        <f t="shared" si="159"/>
        <v>94</v>
      </c>
      <c r="P52" s="133">
        <f t="shared" si="159"/>
        <v>55</v>
      </c>
      <c r="Q52" s="133">
        <f t="shared" ref="Q52" si="160">Q38-Q40</f>
        <v>79</v>
      </c>
      <c r="R52" s="118">
        <f>((P52/G52)^(1/($H$2-$H$1) ))-1</f>
        <v>0.56089479412836929</v>
      </c>
      <c r="S52" s="128"/>
      <c r="T52" s="133">
        <f t="shared" ref="T52:AC52" si="161">T38-T40</f>
        <v>85.32</v>
      </c>
      <c r="U52" s="133">
        <f t="shared" si="161"/>
        <v>92.145600000000002</v>
      </c>
      <c r="V52" s="133">
        <f t="shared" si="161"/>
        <v>99.517248000000023</v>
      </c>
      <c r="W52" s="133">
        <f t="shared" si="161"/>
        <v>107.47862784000006</v>
      </c>
      <c r="X52" s="133">
        <f t="shared" si="161"/>
        <v>116.0769180672001</v>
      </c>
      <c r="Y52" s="133">
        <f t="shared" si="161"/>
        <v>125.36307151257608</v>
      </c>
      <c r="Z52" s="133">
        <f t="shared" si="161"/>
        <v>135.39211723358216</v>
      </c>
      <c r="AA52" s="133">
        <f t="shared" si="161"/>
        <v>146.22348661226874</v>
      </c>
      <c r="AB52" s="133">
        <f t="shared" si="161"/>
        <v>157.92136554125022</v>
      </c>
      <c r="AC52" s="133">
        <f t="shared" si="161"/>
        <v>170.5550747845503</v>
      </c>
      <c r="AD52" s="138">
        <f t="shared" ref="AD52" si="162">((AC52/G52)^(1/($AC$3-$H$1) ))-1</f>
        <v>0.29298424282440472</v>
      </c>
      <c r="AE52" s="31">
        <f t="shared" si="15"/>
        <v>0.05</v>
      </c>
      <c r="AF52" s="146">
        <f t="shared" ref="AF52" si="163">(AC52*(1+AE52))/($C$1-AE52)</f>
        <v>1377.5602194136757</v>
      </c>
    </row>
    <row r="53" spans="2:32" x14ac:dyDescent="0.2">
      <c r="B53" s="20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28"/>
      <c r="S53" s="12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19"/>
      <c r="AE53" s="137"/>
      <c r="AF53" s="146"/>
    </row>
    <row r="54" spans="2:32" x14ac:dyDescent="0.2">
      <c r="B54" s="20" t="s">
        <v>462</v>
      </c>
      <c r="C54" s="133"/>
      <c r="D54" s="133"/>
      <c r="E54" s="133"/>
      <c r="F54" s="133"/>
      <c r="G54" s="25">
        <f t="shared" ref="G54:P54" si="164">G36/G42</f>
        <v>1025</v>
      </c>
      <c r="H54" s="25">
        <f t="shared" si="164"/>
        <v>1166.6666666666667</v>
      </c>
      <c r="I54" s="25">
        <f t="shared" si="164"/>
        <v>1858.3333333333335</v>
      </c>
      <c r="J54" s="25">
        <f t="shared" si="164"/>
        <v>292.92035398230092</v>
      </c>
      <c r="K54" s="25">
        <f t="shared" si="164"/>
        <v>356.91056910569108</v>
      </c>
      <c r="L54" s="25">
        <f t="shared" si="164"/>
        <v>167.47967479674796</v>
      </c>
      <c r="M54" s="25">
        <f t="shared" si="164"/>
        <v>152.84552845528455</v>
      </c>
      <c r="N54" s="25">
        <f t="shared" si="164"/>
        <v>199.10714285714283</v>
      </c>
      <c r="O54" s="25">
        <f t="shared" si="164"/>
        <v>244.64285714285711</v>
      </c>
      <c r="P54" s="25">
        <f t="shared" si="164"/>
        <v>202.67857142857142</v>
      </c>
      <c r="Q54" s="25">
        <f>Q36/Q42</f>
        <v>241.96428571428569</v>
      </c>
      <c r="R54" s="118">
        <f t="shared" ref="R54:R60" si="165">((P54/G54)^(1/($H$2-$H$1) ))-1</f>
        <v>-0.16480649622661769</v>
      </c>
      <c r="S54" s="128"/>
      <c r="T54" s="129">
        <f>T36/T42</f>
        <v>248.87755102040813</v>
      </c>
      <c r="U54" s="129">
        <f t="shared" ref="U54:AC54" si="166">U36/U42</f>
        <v>255.9883381924198</v>
      </c>
      <c r="V54" s="129">
        <f t="shared" si="166"/>
        <v>263.30229071220322</v>
      </c>
      <c r="W54" s="129">
        <f t="shared" si="166"/>
        <v>270.82521330398049</v>
      </c>
      <c r="X54" s="129">
        <f t="shared" si="166"/>
        <v>278.56307654123702</v>
      </c>
      <c r="Y54" s="129">
        <f t="shared" si="166"/>
        <v>286.5220215852724</v>
      </c>
      <c r="Z54" s="129">
        <f t="shared" si="166"/>
        <v>294.70836505913729</v>
      </c>
      <c r="AA54" s="129">
        <f t="shared" si="166"/>
        <v>303.12860406082694</v>
      </c>
      <c r="AB54" s="129">
        <f t="shared" si="166"/>
        <v>311.78942131970774</v>
      </c>
      <c r="AC54" s="129">
        <f t="shared" si="166"/>
        <v>320.69769050027077</v>
      </c>
      <c r="AD54" s="138">
        <f t="shared" ref="AD54:AD55" si="167">((AC54/G54)^(1/($AC$3-$H$1) ))-1</f>
        <v>-5.6442006125250188E-2</v>
      </c>
      <c r="AE54" s="31">
        <f t="shared" si="15"/>
        <v>0.05</v>
      </c>
      <c r="AF54" s="146">
        <f t="shared" ref="AF54:AF55" si="168">(AC54*(1+AE54))/($C$1-AE54)</f>
        <v>2590.250577117572</v>
      </c>
    </row>
    <row r="55" spans="2:32" x14ac:dyDescent="0.2">
      <c r="B55" s="20" t="s">
        <v>463</v>
      </c>
      <c r="C55" s="133"/>
      <c r="D55" s="133"/>
      <c r="E55" s="133"/>
      <c r="F55" s="133"/>
      <c r="G55" s="25">
        <f t="shared" ref="G55:P55" si="169">G38/G42</f>
        <v>491.66666666666669</v>
      </c>
      <c r="H55" s="25">
        <f t="shared" si="169"/>
        <v>433.33333333333337</v>
      </c>
      <c r="I55" s="25">
        <f t="shared" si="169"/>
        <v>1566.6666666666667</v>
      </c>
      <c r="J55" s="25">
        <f t="shared" si="169"/>
        <v>273.45132743362836</v>
      </c>
      <c r="K55" s="25">
        <f t="shared" si="169"/>
        <v>301.6260162601626</v>
      </c>
      <c r="L55" s="25">
        <f t="shared" si="169"/>
        <v>125.20325203252033</v>
      </c>
      <c r="M55" s="25">
        <f t="shared" si="169"/>
        <v>117.88617886178862</v>
      </c>
      <c r="N55" s="25">
        <f t="shared" si="169"/>
        <v>202.67857142857142</v>
      </c>
      <c r="O55" s="25">
        <f t="shared" si="169"/>
        <v>208.03571428571428</v>
      </c>
      <c r="P55" s="25">
        <f t="shared" si="169"/>
        <v>164.28571428571428</v>
      </c>
      <c r="Q55" s="25">
        <f>Q38/Q42</f>
        <v>239.28571428571425</v>
      </c>
      <c r="R55" s="118">
        <f t="shared" si="165"/>
        <v>-0.11467398483308755</v>
      </c>
      <c r="S55" s="128"/>
      <c r="T55" s="129">
        <f>T38/T42</f>
        <v>246.12244897959181</v>
      </c>
      <c r="U55" s="129">
        <f t="shared" ref="U55:AC55" si="170">U38/U42</f>
        <v>253.15451895043731</v>
      </c>
      <c r="V55" s="129">
        <f t="shared" si="170"/>
        <v>260.38750520616412</v>
      </c>
      <c r="W55" s="129">
        <f t="shared" si="170"/>
        <v>267.82714821205451</v>
      </c>
      <c r="X55" s="129">
        <f t="shared" si="170"/>
        <v>275.47935244668469</v>
      </c>
      <c r="Y55" s="129">
        <f t="shared" si="170"/>
        <v>283.35019108801851</v>
      </c>
      <c r="Z55" s="129">
        <f t="shared" si="170"/>
        <v>291.44591083339049</v>
      </c>
      <c r="AA55" s="129">
        <f t="shared" si="170"/>
        <v>299.77293685720161</v>
      </c>
      <c r="AB55" s="129">
        <f t="shared" si="170"/>
        <v>308.33787791026447</v>
      </c>
      <c r="AC55" s="129">
        <f t="shared" si="170"/>
        <v>317.14753156484346</v>
      </c>
      <c r="AD55" s="138">
        <f t="shared" si="167"/>
        <v>-2.1683161593213929E-2</v>
      </c>
      <c r="AE55" s="31">
        <f t="shared" si="15"/>
        <v>0.05</v>
      </c>
      <c r="AF55" s="146">
        <f t="shared" si="168"/>
        <v>2561.576216485274</v>
      </c>
    </row>
    <row r="56" spans="2:32" x14ac:dyDescent="0.2">
      <c r="B56" s="20" t="s">
        <v>257</v>
      </c>
      <c r="C56" s="25"/>
      <c r="D56" s="25"/>
      <c r="E56" s="25"/>
      <c r="F56" s="133"/>
      <c r="G56" s="133">
        <f t="shared" ref="G56:P56" si="171">G40/G42</f>
        <v>483.33333333333337</v>
      </c>
      <c r="H56" s="133">
        <f t="shared" si="171"/>
        <v>608.33333333333337</v>
      </c>
      <c r="I56" s="133">
        <f t="shared" si="171"/>
        <v>1233.3333333333335</v>
      </c>
      <c r="J56" s="133">
        <f t="shared" si="171"/>
        <v>182.30088495575222</v>
      </c>
      <c r="K56" s="133">
        <f t="shared" si="171"/>
        <v>196.7479674796748</v>
      </c>
      <c r="L56" s="133">
        <f t="shared" si="171"/>
        <v>86.991869918699194</v>
      </c>
      <c r="M56" s="133">
        <f t="shared" si="171"/>
        <v>81.300813008130078</v>
      </c>
      <c r="N56" s="133">
        <f t="shared" si="171"/>
        <v>136.60714285714283</v>
      </c>
      <c r="O56" s="133">
        <f t="shared" si="171"/>
        <v>124.10714285714285</v>
      </c>
      <c r="P56" s="133">
        <f t="shared" si="171"/>
        <v>115.17857142857142</v>
      </c>
      <c r="Q56" s="133">
        <f t="shared" ref="Q56" si="172">Q40/Q42</f>
        <v>168.74999999999997</v>
      </c>
      <c r="R56" s="118">
        <f t="shared" si="165"/>
        <v>-0.14730903749056534</v>
      </c>
      <c r="S56" s="128"/>
      <c r="T56" s="158">
        <f t="shared" ref="T56:AC56" si="173">T40/T42</f>
        <v>173.57142857142856</v>
      </c>
      <c r="U56" s="158">
        <f t="shared" si="173"/>
        <v>178.53061224489798</v>
      </c>
      <c r="V56" s="158">
        <f t="shared" si="173"/>
        <v>183.63148688046647</v>
      </c>
      <c r="W56" s="158">
        <f t="shared" si="173"/>
        <v>188.87810079133695</v>
      </c>
      <c r="X56" s="158">
        <f t="shared" si="173"/>
        <v>194.27461795680372</v>
      </c>
      <c r="Y56" s="158">
        <f t="shared" si="173"/>
        <v>199.82532132699811</v>
      </c>
      <c r="Z56" s="158">
        <f t="shared" si="173"/>
        <v>205.53461622205521</v>
      </c>
      <c r="AA56" s="158">
        <f t="shared" si="173"/>
        <v>211.40703382839962</v>
      </c>
      <c r="AB56" s="158">
        <f t="shared" si="173"/>
        <v>217.44723479492532</v>
      </c>
      <c r="AC56" s="158">
        <f t="shared" si="173"/>
        <v>223.66001293192318</v>
      </c>
      <c r="AD56" s="138">
        <f t="shared" ref="AD56:AD70" si="174">((AC56/G56)^(1/($AC$3-$H$1) ))-1</f>
        <v>-3.7796172985797627E-2</v>
      </c>
      <c r="AE56" s="31">
        <f t="shared" si="15"/>
        <v>0.05</v>
      </c>
      <c r="AF56" s="146">
        <f t="shared" ref="AF56:AF84" si="175">(AC56*(1+AE56))/($C$1-AE56)</f>
        <v>1806.4847198347641</v>
      </c>
    </row>
    <row r="57" spans="2:32" x14ac:dyDescent="0.2">
      <c r="B57" s="20" t="s">
        <v>387</v>
      </c>
      <c r="C57" s="133"/>
      <c r="D57" s="133"/>
      <c r="E57" s="133"/>
      <c r="F57" s="133"/>
      <c r="G57" s="133">
        <f>G20/G42</f>
        <v>566.66666666666674</v>
      </c>
      <c r="H57" s="133">
        <f t="shared" ref="H57:P57" si="176">H20/H42</f>
        <v>866.66666666666674</v>
      </c>
      <c r="I57" s="133">
        <f t="shared" si="176"/>
        <v>3933.3333333333335</v>
      </c>
      <c r="J57" s="133">
        <f t="shared" si="176"/>
        <v>423.00884955752218</v>
      </c>
      <c r="K57" s="133">
        <f t="shared" si="176"/>
        <v>193.4959349593496</v>
      </c>
      <c r="L57" s="133">
        <f t="shared" si="176"/>
        <v>112.19512195121952</v>
      </c>
      <c r="M57" s="133">
        <f t="shared" si="176"/>
        <v>92.682926829268297</v>
      </c>
      <c r="N57" s="133">
        <f t="shared" si="176"/>
        <v>234.82142857142856</v>
      </c>
      <c r="O57" s="133">
        <f t="shared" si="176"/>
        <v>161.60714285714283</v>
      </c>
      <c r="P57" s="133">
        <f t="shared" si="176"/>
        <v>87.499999999999986</v>
      </c>
      <c r="Q57" s="133">
        <f t="shared" ref="Q57" si="177">Q20/Q42</f>
        <v>111.60714285714285</v>
      </c>
      <c r="R57" s="118">
        <f t="shared" si="165"/>
        <v>-0.18744386017941073</v>
      </c>
      <c r="S57" s="128"/>
      <c r="T57" s="133">
        <f t="shared" ref="T57:AC57" si="178">T20/T42</f>
        <v>114.79591836734693</v>
      </c>
      <c r="U57" s="133">
        <f t="shared" si="178"/>
        <v>118.07580174927114</v>
      </c>
      <c r="V57" s="133">
        <f t="shared" si="178"/>
        <v>121.44939608496459</v>
      </c>
      <c r="W57" s="133">
        <f t="shared" si="178"/>
        <v>124.91937883024931</v>
      </c>
      <c r="X57" s="133">
        <f t="shared" si="178"/>
        <v>128.48850393968499</v>
      </c>
      <c r="Y57" s="133">
        <f t="shared" si="178"/>
        <v>132.15960405224743</v>
      </c>
      <c r="Z57" s="133">
        <f t="shared" si="178"/>
        <v>135.93559273945451</v>
      </c>
      <c r="AA57" s="133">
        <f t="shared" si="178"/>
        <v>139.81946681772462</v>
      </c>
      <c r="AB57" s="133">
        <f t="shared" si="178"/>
        <v>143.81430872680247</v>
      </c>
      <c r="AC57" s="133">
        <f t="shared" si="178"/>
        <v>147.92328897613967</v>
      </c>
      <c r="AD57" s="138">
        <f t="shared" ref="AD57" si="179">((AC57/G57)^(1/($AC$3-$H$1) ))-1</f>
        <v>-6.4948687000268124E-2</v>
      </c>
      <c r="AE57" s="31">
        <f t="shared" si="15"/>
        <v>0.05</v>
      </c>
      <c r="AF57" s="146">
        <f t="shared" si="175"/>
        <v>1194.7650263457435</v>
      </c>
    </row>
    <row r="58" spans="2:32" x14ac:dyDescent="0.2">
      <c r="B58" s="20" t="s">
        <v>245</v>
      </c>
      <c r="C58" s="25"/>
      <c r="D58" s="25"/>
      <c r="E58" s="25"/>
      <c r="F58" s="133"/>
      <c r="G58" s="133">
        <f t="shared" ref="G58:P58" si="180">G7/G42</f>
        <v>2858.3333333333335</v>
      </c>
      <c r="H58" s="133">
        <f t="shared" si="180"/>
        <v>2800</v>
      </c>
      <c r="I58" s="133">
        <f t="shared" si="180"/>
        <v>3650</v>
      </c>
      <c r="J58" s="133">
        <f t="shared" si="180"/>
        <v>513.2743362831859</v>
      </c>
      <c r="K58" s="133">
        <f t="shared" si="180"/>
        <v>684.55284552845535</v>
      </c>
      <c r="L58" s="133">
        <f t="shared" si="180"/>
        <v>685.36585365853659</v>
      </c>
      <c r="M58" s="133">
        <f t="shared" si="180"/>
        <v>747.96747967479678</v>
      </c>
      <c r="N58" s="133">
        <f t="shared" si="180"/>
        <v>722.32142857142856</v>
      </c>
      <c r="O58" s="133">
        <f t="shared" si="180"/>
        <v>788.39285714285711</v>
      </c>
      <c r="P58" s="133">
        <f t="shared" si="180"/>
        <v>853.57142857142844</v>
      </c>
      <c r="Q58" s="133">
        <f t="shared" ref="Q58" si="181">Q7/Q42</f>
        <v>989.28571428571422</v>
      </c>
      <c r="R58" s="118">
        <f t="shared" si="165"/>
        <v>-0.12565913430805298</v>
      </c>
      <c r="S58" s="128"/>
      <c r="T58" s="158">
        <f t="shared" ref="T58:AC58" si="182">T7/T42</f>
        <v>1017.5510204081633</v>
      </c>
      <c r="U58" s="158">
        <f t="shared" si="182"/>
        <v>1046.6239067055394</v>
      </c>
      <c r="V58" s="158">
        <f t="shared" si="182"/>
        <v>1076.5274468971263</v>
      </c>
      <c r="W58" s="158">
        <f t="shared" si="182"/>
        <v>1107.28537395133</v>
      </c>
      <c r="X58" s="158">
        <f t="shared" si="182"/>
        <v>1138.9220989213682</v>
      </c>
      <c r="Y58" s="158">
        <f t="shared" si="182"/>
        <v>1171.4627303191214</v>
      </c>
      <c r="Z58" s="158">
        <f t="shared" si="182"/>
        <v>1204.933094042525</v>
      </c>
      <c r="AA58" s="158">
        <f t="shared" si="182"/>
        <v>1239.3597538723113</v>
      </c>
      <c r="AB58" s="158">
        <f t="shared" si="182"/>
        <v>1274.7700325543772</v>
      </c>
      <c r="AC58" s="158">
        <f t="shared" si="182"/>
        <v>1311.1920334845024</v>
      </c>
      <c r="AD58" s="138">
        <f t="shared" si="174"/>
        <v>-3.8215726692538587E-2</v>
      </c>
      <c r="AE58" s="31">
        <f t="shared" si="15"/>
        <v>0.05</v>
      </c>
      <c r="AF58" s="146">
        <f t="shared" si="175"/>
        <v>10590.397193528674</v>
      </c>
    </row>
    <row r="59" spans="2:32" x14ac:dyDescent="0.2">
      <c r="B59" s="20" t="s">
        <v>246</v>
      </c>
      <c r="C59" s="127"/>
      <c r="D59" s="127"/>
      <c r="E59" s="127"/>
      <c r="F59" s="144"/>
      <c r="G59" s="144">
        <f t="shared" ref="G59:P59" si="183">G6/G42</f>
        <v>2750</v>
      </c>
      <c r="H59" s="144">
        <f t="shared" si="183"/>
        <v>2700</v>
      </c>
      <c r="I59" s="144">
        <f t="shared" si="183"/>
        <v>3558.3333333333335</v>
      </c>
      <c r="J59" s="144">
        <f t="shared" si="183"/>
        <v>502.6548672566372</v>
      </c>
      <c r="K59" s="144">
        <f t="shared" si="183"/>
        <v>686.99186991869919</v>
      </c>
      <c r="L59" s="144">
        <f t="shared" si="183"/>
        <v>674.79674796747963</v>
      </c>
      <c r="M59" s="144">
        <f t="shared" si="183"/>
        <v>738.21138211382117</v>
      </c>
      <c r="N59" s="144">
        <f t="shared" si="183"/>
        <v>711.60714285714278</v>
      </c>
      <c r="O59" s="144">
        <f t="shared" si="183"/>
        <v>778.57142857142844</v>
      </c>
      <c r="P59" s="144">
        <f t="shared" si="183"/>
        <v>843.74999999999989</v>
      </c>
      <c r="Q59" s="144">
        <f t="shared" ref="Q59" si="184">Q6/Q42</f>
        <v>979.46428571428567</v>
      </c>
      <c r="R59" s="118">
        <f t="shared" si="165"/>
        <v>-0.12302585835202273</v>
      </c>
      <c r="S59" s="128"/>
      <c r="T59" s="157">
        <f t="shared" ref="T59:AC59" si="185">T6/T42</f>
        <v>1007.4489795918366</v>
      </c>
      <c r="U59" s="157">
        <f t="shared" si="185"/>
        <v>1036.2332361516035</v>
      </c>
      <c r="V59" s="157">
        <f t="shared" si="185"/>
        <v>1065.8399000416491</v>
      </c>
      <c r="W59" s="157">
        <f t="shared" si="185"/>
        <v>1096.2924686142678</v>
      </c>
      <c r="X59" s="157">
        <f t="shared" si="185"/>
        <v>1127.6151105746756</v>
      </c>
      <c r="Y59" s="157">
        <f t="shared" si="185"/>
        <v>1159.8326851625234</v>
      </c>
      <c r="Z59" s="157">
        <f t="shared" si="185"/>
        <v>1192.9707618814527</v>
      </c>
      <c r="AA59" s="157">
        <f t="shared" si="185"/>
        <v>1227.0556407923514</v>
      </c>
      <c r="AB59" s="157">
        <f t="shared" si="185"/>
        <v>1262.1143733864183</v>
      </c>
      <c r="AC59" s="157">
        <f t="shared" si="185"/>
        <v>1298.1747840546016</v>
      </c>
      <c r="AD59" s="138">
        <f t="shared" si="174"/>
        <v>-3.6836483276980192E-2</v>
      </c>
      <c r="AE59" s="31">
        <f t="shared" si="15"/>
        <v>0.05</v>
      </c>
      <c r="AF59" s="146">
        <f t="shared" si="175"/>
        <v>10485.257871210244</v>
      </c>
    </row>
    <row r="60" spans="2:32" x14ac:dyDescent="0.2">
      <c r="B60" s="20" t="s">
        <v>247</v>
      </c>
      <c r="C60" s="127"/>
      <c r="D60" s="127"/>
      <c r="E60" s="127"/>
      <c r="F60" s="144"/>
      <c r="G60" s="144">
        <f t="shared" ref="G60:P60" si="186">G10/G42</f>
        <v>0</v>
      </c>
      <c r="H60" s="144">
        <f t="shared" si="186"/>
        <v>0</v>
      </c>
      <c r="I60" s="144">
        <f t="shared" si="186"/>
        <v>0</v>
      </c>
      <c r="J60" s="144">
        <f t="shared" si="186"/>
        <v>0</v>
      </c>
      <c r="K60" s="144">
        <f t="shared" si="186"/>
        <v>0</v>
      </c>
      <c r="L60" s="144">
        <f t="shared" si="186"/>
        <v>0</v>
      </c>
      <c r="M60" s="144">
        <f t="shared" si="186"/>
        <v>0</v>
      </c>
      <c r="N60" s="144">
        <f t="shared" si="186"/>
        <v>0</v>
      </c>
      <c r="O60" s="144">
        <f t="shared" si="186"/>
        <v>0</v>
      </c>
      <c r="P60" s="144">
        <f t="shared" si="186"/>
        <v>0</v>
      </c>
      <c r="Q60" s="144">
        <f t="shared" ref="Q60" si="187">Q10/Q42</f>
        <v>0</v>
      </c>
      <c r="R60" s="118" t="e">
        <f t="shared" si="165"/>
        <v>#DIV/0!</v>
      </c>
      <c r="S60" s="128"/>
      <c r="T60" s="157">
        <f t="shared" ref="T60:AC60" si="188">T10/T42</f>
        <v>0</v>
      </c>
      <c r="U60" s="157">
        <f t="shared" si="188"/>
        <v>0</v>
      </c>
      <c r="V60" s="157">
        <f t="shared" si="188"/>
        <v>0</v>
      </c>
      <c r="W60" s="157">
        <f t="shared" si="188"/>
        <v>0</v>
      </c>
      <c r="X60" s="157">
        <f t="shared" si="188"/>
        <v>0</v>
      </c>
      <c r="Y60" s="157">
        <f t="shared" si="188"/>
        <v>0</v>
      </c>
      <c r="Z60" s="157">
        <f t="shared" si="188"/>
        <v>0</v>
      </c>
      <c r="AA60" s="157">
        <f t="shared" si="188"/>
        <v>0</v>
      </c>
      <c r="AB60" s="157">
        <f t="shared" si="188"/>
        <v>0</v>
      </c>
      <c r="AC60" s="157">
        <f t="shared" si="188"/>
        <v>0</v>
      </c>
      <c r="AD60" s="138" t="e">
        <f t="shared" si="174"/>
        <v>#DIV/0!</v>
      </c>
      <c r="AE60" s="31">
        <f t="shared" si="15"/>
        <v>0.05</v>
      </c>
      <c r="AF60" s="146">
        <f t="shared" si="175"/>
        <v>0</v>
      </c>
    </row>
    <row r="61" spans="2:32" x14ac:dyDescent="0.2">
      <c r="B61" s="20"/>
      <c r="C61" s="127"/>
      <c r="D61" s="127"/>
      <c r="E61" s="127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28"/>
      <c r="S61" s="128"/>
      <c r="T61" s="157"/>
      <c r="U61" s="157"/>
      <c r="V61" s="157"/>
      <c r="W61" s="157"/>
      <c r="X61" s="157"/>
      <c r="Y61" s="157"/>
      <c r="Z61" s="157"/>
      <c r="AA61" s="157"/>
      <c r="AB61" s="157"/>
      <c r="AC61" s="157"/>
      <c r="AD61" s="139"/>
      <c r="AE61" s="137"/>
      <c r="AF61" s="146"/>
    </row>
    <row r="62" spans="2:32" x14ac:dyDescent="0.2">
      <c r="B62" s="20" t="s">
        <v>270</v>
      </c>
      <c r="C62" s="127"/>
      <c r="D62" s="127"/>
      <c r="E62" s="127"/>
      <c r="F62" s="144"/>
      <c r="G62" s="144">
        <f t="shared" ref="G62:P62" si="189">(G7-G10)/G42</f>
        <v>2858.3333333333335</v>
      </c>
      <c r="H62" s="144">
        <f t="shared" si="189"/>
        <v>2800</v>
      </c>
      <c r="I62" s="144">
        <f t="shared" si="189"/>
        <v>3650</v>
      </c>
      <c r="J62" s="144">
        <f t="shared" si="189"/>
        <v>513.2743362831859</v>
      </c>
      <c r="K62" s="144">
        <f t="shared" si="189"/>
        <v>684.55284552845535</v>
      </c>
      <c r="L62" s="144">
        <f t="shared" si="189"/>
        <v>685.36585365853659</v>
      </c>
      <c r="M62" s="144">
        <f t="shared" si="189"/>
        <v>747.96747967479678</v>
      </c>
      <c r="N62" s="144">
        <f t="shared" si="189"/>
        <v>722.32142857142856</v>
      </c>
      <c r="O62" s="144">
        <f t="shared" si="189"/>
        <v>788.39285714285711</v>
      </c>
      <c r="P62" s="144">
        <f t="shared" si="189"/>
        <v>853.57142857142844</v>
      </c>
      <c r="Q62" s="144">
        <f t="shared" ref="Q62" si="190">(Q7-Q10)/Q42</f>
        <v>989.28571428571422</v>
      </c>
      <c r="R62" s="118">
        <f>((P62/G62)^(1/($H$2-$H$1) ))-1</f>
        <v>-0.12565913430805298</v>
      </c>
      <c r="S62" s="128"/>
      <c r="T62" s="157">
        <f t="shared" ref="T62:AC62" si="191">(T7-T10)/T42</f>
        <v>1017.5510204081633</v>
      </c>
      <c r="U62" s="157">
        <f t="shared" si="191"/>
        <v>1046.6239067055394</v>
      </c>
      <c r="V62" s="157">
        <f t="shared" si="191"/>
        <v>1076.5274468971263</v>
      </c>
      <c r="W62" s="157">
        <f t="shared" si="191"/>
        <v>1107.28537395133</v>
      </c>
      <c r="X62" s="157">
        <f t="shared" si="191"/>
        <v>1138.9220989213682</v>
      </c>
      <c r="Y62" s="157">
        <f t="shared" si="191"/>
        <v>1171.4627303191214</v>
      </c>
      <c r="Z62" s="157">
        <f t="shared" si="191"/>
        <v>1204.933094042525</v>
      </c>
      <c r="AA62" s="157">
        <f t="shared" si="191"/>
        <v>1239.3597538723113</v>
      </c>
      <c r="AB62" s="157">
        <f t="shared" si="191"/>
        <v>1274.7700325543772</v>
      </c>
      <c r="AC62" s="157">
        <f t="shared" si="191"/>
        <v>1311.1920334845024</v>
      </c>
      <c r="AD62" s="138">
        <f t="shared" si="174"/>
        <v>-3.8215726692538587E-2</v>
      </c>
      <c r="AE62" s="31">
        <f t="shared" si="15"/>
        <v>0.05</v>
      </c>
      <c r="AF62" s="146">
        <f t="shared" si="175"/>
        <v>10590.397193528674</v>
      </c>
    </row>
    <row r="63" spans="2:32" x14ac:dyDescent="0.2">
      <c r="B63" s="20" t="s">
        <v>271</v>
      </c>
      <c r="C63" s="127"/>
      <c r="D63" s="127"/>
      <c r="E63" s="127"/>
      <c r="F63" s="144"/>
      <c r="G63" s="144">
        <f t="shared" ref="G63:P63" si="192">(G7-G10-G9)/G42</f>
        <v>1050</v>
      </c>
      <c r="H63" s="144">
        <f t="shared" si="192"/>
        <v>416.66666666666669</v>
      </c>
      <c r="I63" s="144">
        <f t="shared" si="192"/>
        <v>-1266.6666666666667</v>
      </c>
      <c r="J63" s="144">
        <f t="shared" si="192"/>
        <v>-302.6548672566372</v>
      </c>
      <c r="K63" s="144">
        <f t="shared" si="192"/>
        <v>11.382113821138212</v>
      </c>
      <c r="L63" s="144">
        <f t="shared" si="192"/>
        <v>175.60975609756099</v>
      </c>
      <c r="M63" s="144">
        <f t="shared" si="192"/>
        <v>219.51219512195124</v>
      </c>
      <c r="N63" s="144">
        <f t="shared" si="192"/>
        <v>-166.07142857142856</v>
      </c>
      <c r="O63" s="144">
        <f t="shared" si="192"/>
        <v>-102.67857142857142</v>
      </c>
      <c r="P63" s="144">
        <f t="shared" si="192"/>
        <v>91.964285714285708</v>
      </c>
      <c r="Q63" s="144">
        <f t="shared" ref="Q63" si="193">(Q7-Q10-Q9)/Q42</f>
        <v>173.21428571428569</v>
      </c>
      <c r="R63" s="118">
        <f>((P63/G63)^(1/($H$2-$H$1) ))-1</f>
        <v>-0.23705679144798519</v>
      </c>
      <c r="S63" s="128"/>
      <c r="T63" s="157">
        <f t="shared" ref="T63:AC63" si="194">(T7-T10-T9)/T42</f>
        <v>178.16326530612241</v>
      </c>
      <c r="U63" s="157">
        <f t="shared" si="194"/>
        <v>183.25364431486881</v>
      </c>
      <c r="V63" s="157">
        <f t="shared" si="194"/>
        <v>188.48946272386513</v>
      </c>
      <c r="W63" s="157">
        <f t="shared" si="194"/>
        <v>193.87487594454709</v>
      </c>
      <c r="X63" s="157">
        <f t="shared" si="194"/>
        <v>199.41415811439128</v>
      </c>
      <c r="Y63" s="157">
        <f t="shared" si="194"/>
        <v>205.11170548908811</v>
      </c>
      <c r="Z63" s="157">
        <f t="shared" si="194"/>
        <v>210.97203993163336</v>
      </c>
      <c r="AA63" s="157">
        <f t="shared" si="194"/>
        <v>216.99981250110849</v>
      </c>
      <c r="AB63" s="157">
        <f t="shared" si="194"/>
        <v>223.19980714399736</v>
      </c>
      <c r="AC63" s="157">
        <f t="shared" si="194"/>
        <v>229.5769444909688</v>
      </c>
      <c r="AD63" s="138">
        <f t="shared" si="174"/>
        <v>-7.3198029215627902E-2</v>
      </c>
      <c r="AE63" s="31">
        <f t="shared" si="15"/>
        <v>0.05</v>
      </c>
      <c r="AF63" s="146">
        <f t="shared" si="175"/>
        <v>1854.275320888594</v>
      </c>
    </row>
    <row r="64" spans="2:32" x14ac:dyDescent="0.2">
      <c r="B64" s="20" t="s">
        <v>276</v>
      </c>
      <c r="C64" s="127"/>
      <c r="D64" s="127"/>
      <c r="E64" s="127"/>
      <c r="F64" s="144"/>
      <c r="G64" s="144">
        <f t="shared" ref="G64:P64" si="195">(G7+G15-G10-G9)/G42</f>
        <v>2450</v>
      </c>
      <c r="H64" s="144">
        <f t="shared" si="195"/>
        <v>2350</v>
      </c>
      <c r="I64" s="144">
        <f t="shared" si="195"/>
        <v>891.66666666666674</v>
      </c>
      <c r="J64" s="144">
        <f t="shared" si="195"/>
        <v>-69.911504424778769</v>
      </c>
      <c r="K64" s="144">
        <f t="shared" si="195"/>
        <v>225.20325203252034</v>
      </c>
      <c r="L64" s="144">
        <f t="shared" si="195"/>
        <v>292.6829268292683</v>
      </c>
      <c r="M64" s="144">
        <f t="shared" si="195"/>
        <v>373.98373983739839</v>
      </c>
      <c r="N64" s="144">
        <f t="shared" si="195"/>
        <v>842.85714285714278</v>
      </c>
      <c r="O64" s="144">
        <f t="shared" si="195"/>
        <v>905.35714285714278</v>
      </c>
      <c r="P64" s="144">
        <f t="shared" si="195"/>
        <v>1128.5714285714284</v>
      </c>
      <c r="Q64" s="144">
        <f t="shared" ref="Q64" si="196">(Q7+Q15-Q10-Q9)/Q42</f>
        <v>1424.1071428571427</v>
      </c>
      <c r="R64" s="118">
        <f>((P64/G64)^(1/($H$2-$H$1) ))-1</f>
        <v>-8.2521522529667268E-2</v>
      </c>
      <c r="S64" s="128"/>
      <c r="T64" s="157">
        <f t="shared" ref="T64:AC64" si="197">(T7+T15-T10-T9)/T42</f>
        <v>1464.7959183673468</v>
      </c>
      <c r="U64" s="157">
        <f t="shared" si="197"/>
        <v>1506.6472303206999</v>
      </c>
      <c r="V64" s="157">
        <f t="shared" si="197"/>
        <v>1549.6942940441486</v>
      </c>
      <c r="W64" s="157">
        <f t="shared" si="197"/>
        <v>1593.971273873982</v>
      </c>
      <c r="X64" s="157">
        <f t="shared" si="197"/>
        <v>1639.5133102703812</v>
      </c>
      <c r="Y64" s="157">
        <f t="shared" si="197"/>
        <v>1686.3565477066779</v>
      </c>
      <c r="Z64" s="157">
        <f t="shared" si="197"/>
        <v>1734.5381633554393</v>
      </c>
      <c r="AA64" s="157">
        <f t="shared" si="197"/>
        <v>1784.096396594166</v>
      </c>
      <c r="AB64" s="157">
        <f t="shared" si="197"/>
        <v>1835.0705793539996</v>
      </c>
      <c r="AC64" s="157">
        <f t="shared" si="197"/>
        <v>1887.5011673355425</v>
      </c>
      <c r="AD64" s="138">
        <f t="shared" si="174"/>
        <v>-1.2957035595796973E-2</v>
      </c>
      <c r="AE64" s="31">
        <f t="shared" si="15"/>
        <v>0.05</v>
      </c>
      <c r="AF64" s="146">
        <f t="shared" si="175"/>
        <v>15245.20173617169</v>
      </c>
    </row>
    <row r="65" spans="2:32" x14ac:dyDescent="0.2">
      <c r="B65" s="20"/>
      <c r="C65" s="127"/>
      <c r="D65" s="127"/>
      <c r="E65" s="127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28"/>
      <c r="S65" s="128"/>
      <c r="T65" s="154"/>
      <c r="U65" s="154"/>
      <c r="V65" s="154"/>
      <c r="W65" s="154"/>
      <c r="X65" s="154"/>
      <c r="Y65" s="154"/>
      <c r="Z65" s="154"/>
      <c r="AA65" s="154"/>
      <c r="AB65" s="154"/>
      <c r="AC65" s="154"/>
      <c r="AD65" s="139"/>
      <c r="AE65" s="137"/>
      <c r="AF65" s="154"/>
    </row>
    <row r="66" spans="2:32" x14ac:dyDescent="0.2">
      <c r="B66" s="20" t="s">
        <v>248</v>
      </c>
      <c r="C66" s="127"/>
      <c r="D66" s="127"/>
      <c r="E66" s="127"/>
      <c r="F66" s="144"/>
      <c r="G66" s="144">
        <f t="shared" ref="G66:P66" si="198">G12/G42</f>
        <v>433.33333333333337</v>
      </c>
      <c r="H66" s="144">
        <f t="shared" si="198"/>
        <v>808.33333333333337</v>
      </c>
      <c r="I66" s="144">
        <f t="shared" si="198"/>
        <v>3258.3333333333335</v>
      </c>
      <c r="J66" s="144">
        <f t="shared" si="198"/>
        <v>542.47787610619469</v>
      </c>
      <c r="K66" s="144">
        <f t="shared" si="198"/>
        <v>461.78861788617888</v>
      </c>
      <c r="L66" s="144">
        <f t="shared" si="198"/>
        <v>510.5691056910569</v>
      </c>
      <c r="M66" s="144">
        <f t="shared" si="198"/>
        <v>595.93495934959356</v>
      </c>
      <c r="N66" s="144">
        <f t="shared" si="198"/>
        <v>674.99999999999989</v>
      </c>
      <c r="O66" s="144">
        <f t="shared" si="198"/>
        <v>636.60714285714278</v>
      </c>
      <c r="P66" s="144">
        <f t="shared" si="198"/>
        <v>686.60714285714278</v>
      </c>
      <c r="Q66" s="144">
        <f t="shared" ref="Q66" si="199">Q12/Q42</f>
        <v>816.07142857142844</v>
      </c>
      <c r="R66" s="118">
        <f>((P66/G66)^(1/($H$2-$H$1) ))-1</f>
        <v>5.246964753605865E-2</v>
      </c>
      <c r="S66" s="128"/>
      <c r="T66" s="157">
        <f t="shared" ref="T66:AC66" si="200">T12/T42</f>
        <v>839.38775510204084</v>
      </c>
      <c r="U66" s="157">
        <f t="shared" si="200"/>
        <v>863.37026239067063</v>
      </c>
      <c r="V66" s="157">
        <f t="shared" si="200"/>
        <v>888.03798417326118</v>
      </c>
      <c r="W66" s="157">
        <f t="shared" si="200"/>
        <v>913.41049800678297</v>
      </c>
      <c r="X66" s="157">
        <f t="shared" si="200"/>
        <v>939.50794080697688</v>
      </c>
      <c r="Y66" s="157">
        <f t="shared" si="200"/>
        <v>966.35102483003345</v>
      </c>
      <c r="Z66" s="157">
        <f t="shared" si="200"/>
        <v>993.9610541108915</v>
      </c>
      <c r="AA66" s="157">
        <f t="shared" si="200"/>
        <v>1022.3599413712027</v>
      </c>
      <c r="AB66" s="157">
        <f t="shared" si="200"/>
        <v>1051.5702254103799</v>
      </c>
      <c r="AC66" s="157">
        <f t="shared" si="200"/>
        <v>1081.6150889935336</v>
      </c>
      <c r="AD66" s="138">
        <f t="shared" si="174"/>
        <v>4.6797151009732696E-2</v>
      </c>
      <c r="AE66" s="31">
        <f t="shared" si="15"/>
        <v>0.05</v>
      </c>
      <c r="AF66" s="146">
        <f t="shared" si="175"/>
        <v>8736.1218726400803</v>
      </c>
    </row>
    <row r="67" spans="2:32" x14ac:dyDescent="0.2">
      <c r="B67" s="20" t="s">
        <v>255</v>
      </c>
      <c r="C67" s="127"/>
      <c r="D67" s="127"/>
      <c r="E67" s="127"/>
      <c r="F67" s="144"/>
      <c r="G67" s="144">
        <f t="shared" ref="G67:P67" si="201">G13/G42</f>
        <v>1066.6666666666667</v>
      </c>
      <c r="H67" s="144">
        <f t="shared" si="201"/>
        <v>550</v>
      </c>
      <c r="I67" s="144">
        <f t="shared" si="201"/>
        <v>850</v>
      </c>
      <c r="J67" s="144">
        <f t="shared" si="201"/>
        <v>90.26548672566372</v>
      </c>
      <c r="K67" s="144">
        <f t="shared" si="201"/>
        <v>83.739837398373979</v>
      </c>
      <c r="L67" s="144">
        <f t="shared" si="201"/>
        <v>84.552845528455279</v>
      </c>
      <c r="M67" s="144">
        <f t="shared" si="201"/>
        <v>84.552845528455279</v>
      </c>
      <c r="N67" s="144">
        <f t="shared" si="201"/>
        <v>68.75</v>
      </c>
      <c r="O67" s="144">
        <f t="shared" si="201"/>
        <v>57.142857142857139</v>
      </c>
      <c r="P67" s="144">
        <f t="shared" si="201"/>
        <v>57.142857142857139</v>
      </c>
      <c r="Q67" s="144">
        <f t="shared" ref="Q67" si="202">Q13/Q42</f>
        <v>57.142857142857139</v>
      </c>
      <c r="R67" s="118">
        <f>((P67/G67)^(1/($H$2-$H$1) ))-1</f>
        <v>-0.27761227348400008</v>
      </c>
      <c r="S67" s="128"/>
      <c r="T67" s="157">
        <f t="shared" ref="T67:AC67" si="203">T13/T42</f>
        <v>58.775510204081627</v>
      </c>
      <c r="U67" s="157">
        <f t="shared" si="203"/>
        <v>60.454810495626823</v>
      </c>
      <c r="V67" s="157">
        <f t="shared" si="203"/>
        <v>62.182090795501871</v>
      </c>
      <c r="W67" s="157">
        <f t="shared" si="203"/>
        <v>63.958721961087647</v>
      </c>
      <c r="X67" s="157">
        <f t="shared" si="203"/>
        <v>65.78611401711872</v>
      </c>
      <c r="Y67" s="157">
        <f t="shared" si="203"/>
        <v>67.665717274750691</v>
      </c>
      <c r="Z67" s="157">
        <f t="shared" si="203"/>
        <v>69.5990234826007</v>
      </c>
      <c r="AA67" s="157">
        <f t="shared" si="203"/>
        <v>71.587567010675016</v>
      </c>
      <c r="AB67" s="157">
        <f t="shared" si="203"/>
        <v>73.63292606812287</v>
      </c>
      <c r="AC67" s="157">
        <f t="shared" si="203"/>
        <v>75.736723955783518</v>
      </c>
      <c r="AD67" s="138">
        <f t="shared" si="174"/>
        <v>-0.12387940467087966</v>
      </c>
      <c r="AE67" s="31">
        <f t="shared" si="15"/>
        <v>0.05</v>
      </c>
      <c r="AF67" s="146">
        <f t="shared" si="175"/>
        <v>611.71969348902076</v>
      </c>
    </row>
    <row r="68" spans="2:32" x14ac:dyDescent="0.2">
      <c r="B68" s="20" t="s">
        <v>256</v>
      </c>
      <c r="C68" s="127"/>
      <c r="D68" s="127"/>
      <c r="E68" s="127"/>
      <c r="F68" s="144"/>
      <c r="G68" s="144">
        <f t="shared" ref="G68:P68" si="204">(G66+G67)</f>
        <v>1500</v>
      </c>
      <c r="H68" s="144">
        <f t="shared" si="204"/>
        <v>1358.3333333333335</v>
      </c>
      <c r="I68" s="144">
        <f t="shared" si="204"/>
        <v>4108.3333333333339</v>
      </c>
      <c r="J68" s="144">
        <f t="shared" si="204"/>
        <v>632.74336283185835</v>
      </c>
      <c r="K68" s="144">
        <f t="shared" si="204"/>
        <v>545.52845528455282</v>
      </c>
      <c r="L68" s="144">
        <f t="shared" si="204"/>
        <v>595.1219512195122</v>
      </c>
      <c r="M68" s="144">
        <f t="shared" si="204"/>
        <v>680.48780487804879</v>
      </c>
      <c r="N68" s="144">
        <f t="shared" si="204"/>
        <v>743.74999999999989</v>
      </c>
      <c r="O68" s="144">
        <f t="shared" ref="O68" si="205">(O66+O67)</f>
        <v>693.74999999999989</v>
      </c>
      <c r="P68" s="144">
        <f t="shared" si="204"/>
        <v>743.74999999999989</v>
      </c>
      <c r="Q68" s="144">
        <f t="shared" ref="Q68" si="206">(Q66+Q67)</f>
        <v>873.21428571428555</v>
      </c>
      <c r="R68" s="118">
        <f>((P68/G68)^(1/($H$2-$H$1) ))-1</f>
        <v>-7.4985771026986447E-2</v>
      </c>
      <c r="S68" s="128"/>
      <c r="T68" s="157">
        <f t="shared" ref="T68:AC68" si="207">(T66+T67)</f>
        <v>898.16326530612241</v>
      </c>
      <c r="U68" s="157">
        <f t="shared" si="207"/>
        <v>923.82507288629745</v>
      </c>
      <c r="V68" s="157">
        <f t="shared" si="207"/>
        <v>950.22007496876302</v>
      </c>
      <c r="W68" s="157">
        <f t="shared" si="207"/>
        <v>977.36921996787066</v>
      </c>
      <c r="X68" s="157">
        <f t="shared" si="207"/>
        <v>1005.2940548240956</v>
      </c>
      <c r="Y68" s="157">
        <f t="shared" si="207"/>
        <v>1034.016742104784</v>
      </c>
      <c r="Z68" s="157">
        <f t="shared" si="207"/>
        <v>1063.5600775934922</v>
      </c>
      <c r="AA68" s="157">
        <f t="shared" si="207"/>
        <v>1093.9475083818777</v>
      </c>
      <c r="AB68" s="157">
        <f t="shared" si="207"/>
        <v>1125.2031514785028</v>
      </c>
      <c r="AC68" s="157">
        <f t="shared" si="207"/>
        <v>1157.351812949317</v>
      </c>
      <c r="AD68" s="138">
        <f t="shared" si="174"/>
        <v>-1.28828283345368E-2</v>
      </c>
      <c r="AE68" s="31">
        <f t="shared" si="15"/>
        <v>0.05</v>
      </c>
      <c r="AF68" s="146">
        <f t="shared" si="175"/>
        <v>9347.8415661291001</v>
      </c>
    </row>
    <row r="69" spans="2:32" x14ac:dyDescent="0.2">
      <c r="B69" s="20" t="s">
        <v>249</v>
      </c>
      <c r="C69" s="127"/>
      <c r="D69" s="127"/>
      <c r="E69" s="127"/>
      <c r="F69" s="144"/>
      <c r="G69" s="144">
        <f t="shared" ref="G69:P69" si="208">G15/G42</f>
        <v>1400</v>
      </c>
      <c r="H69" s="144">
        <f t="shared" si="208"/>
        <v>1933.3333333333335</v>
      </c>
      <c r="I69" s="144">
        <f t="shared" si="208"/>
        <v>2158.3333333333335</v>
      </c>
      <c r="J69" s="144">
        <f t="shared" si="208"/>
        <v>232.74336283185843</v>
      </c>
      <c r="K69" s="144">
        <f t="shared" si="208"/>
        <v>213.82113821138211</v>
      </c>
      <c r="L69" s="144">
        <f t="shared" si="208"/>
        <v>117.07317073170732</v>
      </c>
      <c r="M69" s="144">
        <f t="shared" si="208"/>
        <v>154.47154471544715</v>
      </c>
      <c r="N69" s="144">
        <f t="shared" si="208"/>
        <v>1008.9285714285713</v>
      </c>
      <c r="O69" s="144">
        <f t="shared" si="208"/>
        <v>1008.0357142857142</v>
      </c>
      <c r="P69" s="144">
        <f t="shared" si="208"/>
        <v>1036.6071428571427</v>
      </c>
      <c r="Q69" s="144">
        <f t="shared" ref="Q69" si="209">Q15/Q42</f>
        <v>1250.8928571428571</v>
      </c>
      <c r="R69" s="118">
        <f>((P69/G69)^(1/($H$2-$H$1) ))-1</f>
        <v>-3.2839697595340334E-2</v>
      </c>
      <c r="S69" s="128"/>
      <c r="T69" s="157">
        <f t="shared" ref="T69:AC69" si="210">T15/T42</f>
        <v>1286.6326530612243</v>
      </c>
      <c r="U69" s="157">
        <f t="shared" si="210"/>
        <v>1323.3935860058311</v>
      </c>
      <c r="V69" s="157">
        <f t="shared" si="210"/>
        <v>1361.2048313202833</v>
      </c>
      <c r="W69" s="157">
        <f t="shared" si="210"/>
        <v>1400.0963979294345</v>
      </c>
      <c r="X69" s="157">
        <f t="shared" si="210"/>
        <v>1440.0991521559897</v>
      </c>
      <c r="Y69" s="157">
        <f t="shared" si="210"/>
        <v>1481.2448422175896</v>
      </c>
      <c r="Z69" s="157">
        <f t="shared" si="210"/>
        <v>1523.5661234238064</v>
      </c>
      <c r="AA69" s="157">
        <f t="shared" si="210"/>
        <v>1567.0965840930578</v>
      </c>
      <c r="AB69" s="157">
        <f t="shared" si="210"/>
        <v>1611.8707722100023</v>
      </c>
      <c r="AC69" s="157">
        <f t="shared" si="210"/>
        <v>1657.9242228445737</v>
      </c>
      <c r="AD69" s="138">
        <f t="shared" si="174"/>
        <v>8.4905477192596113E-3</v>
      </c>
      <c r="AE69" s="31">
        <f t="shared" si="15"/>
        <v>0.05</v>
      </c>
      <c r="AF69" s="146">
        <f t="shared" si="175"/>
        <v>13390.926415283097</v>
      </c>
    </row>
    <row r="70" spans="2:32" x14ac:dyDescent="0.2">
      <c r="B70" s="20" t="s">
        <v>250</v>
      </c>
      <c r="C70" s="127"/>
      <c r="D70" s="127"/>
      <c r="E70" s="127"/>
      <c r="F70" s="144"/>
      <c r="G70" s="144">
        <f t="shared" ref="G70:P70" si="211">G16/G42</f>
        <v>825</v>
      </c>
      <c r="H70" s="144">
        <f t="shared" si="211"/>
        <v>883.33333333333337</v>
      </c>
      <c r="I70" s="144">
        <f t="shared" si="211"/>
        <v>750</v>
      </c>
      <c r="J70" s="144">
        <f t="shared" si="211"/>
        <v>81.415929203539832</v>
      </c>
      <c r="K70" s="144">
        <f t="shared" si="211"/>
        <v>78.048780487804876</v>
      </c>
      <c r="L70" s="144">
        <f t="shared" si="211"/>
        <v>170.73170731707319</v>
      </c>
      <c r="M70" s="144">
        <f t="shared" si="211"/>
        <v>295.9349593495935</v>
      </c>
      <c r="N70" s="144">
        <f t="shared" si="211"/>
        <v>258.03571428571428</v>
      </c>
      <c r="O70" s="144">
        <f t="shared" si="211"/>
        <v>229.46428571428569</v>
      </c>
      <c r="P70" s="144">
        <f t="shared" si="211"/>
        <v>388.39285714285711</v>
      </c>
      <c r="Q70" s="144">
        <f t="shared" ref="Q70" si="212">Q16/Q42</f>
        <v>550</v>
      </c>
      <c r="R70" s="118">
        <f>((P70/G70)^(1/($H$2-$H$1) ))-1</f>
        <v>-8.0299621787770614E-2</v>
      </c>
      <c r="S70" s="128"/>
      <c r="T70" s="157">
        <f t="shared" ref="T70:AC70" si="213">T16/T42</f>
        <v>565.71428571428567</v>
      </c>
      <c r="U70" s="157">
        <f t="shared" si="213"/>
        <v>581.8775510204083</v>
      </c>
      <c r="V70" s="157">
        <f t="shared" si="213"/>
        <v>598.50262390670571</v>
      </c>
      <c r="W70" s="157">
        <f t="shared" si="213"/>
        <v>615.60269887546872</v>
      </c>
      <c r="X70" s="157">
        <f t="shared" si="213"/>
        <v>633.19134741476785</v>
      </c>
      <c r="Y70" s="157">
        <f t="shared" si="213"/>
        <v>651.28252876947556</v>
      </c>
      <c r="Z70" s="157">
        <f t="shared" si="213"/>
        <v>669.89060102003191</v>
      </c>
      <c r="AA70" s="157">
        <f t="shared" si="213"/>
        <v>689.03033247774704</v>
      </c>
      <c r="AB70" s="157">
        <f t="shared" si="213"/>
        <v>708.71691340568259</v>
      </c>
      <c r="AC70" s="157">
        <f t="shared" si="213"/>
        <v>728.96596807441642</v>
      </c>
      <c r="AD70" s="138">
        <f t="shared" si="174"/>
        <v>-6.1687118095539173E-3</v>
      </c>
      <c r="AE70" s="137"/>
      <c r="AF70" s="146">
        <f t="shared" si="175"/>
        <v>4049.8109337467581</v>
      </c>
    </row>
    <row r="71" spans="2:32" x14ac:dyDescent="0.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28"/>
      <c r="S71" s="128"/>
      <c r="T71" s="154"/>
      <c r="U71" s="154"/>
      <c r="V71" s="154"/>
      <c r="W71" s="154"/>
      <c r="X71" s="154"/>
      <c r="Y71" s="154"/>
      <c r="Z71" s="154"/>
      <c r="AA71" s="154"/>
      <c r="AB71" s="154"/>
      <c r="AC71" s="154"/>
      <c r="AD71" s="139"/>
      <c r="AE71" s="31">
        <f t="shared" si="15"/>
        <v>0.05</v>
      </c>
      <c r="AF71" s="146">
        <f t="shared" si="175"/>
        <v>0</v>
      </c>
    </row>
    <row r="72" spans="2:32" x14ac:dyDescent="0.2">
      <c r="B72" s="20" t="s">
        <v>282</v>
      </c>
      <c r="C72" s="159"/>
      <c r="D72" s="159"/>
      <c r="E72" s="159"/>
      <c r="F72" s="159"/>
      <c r="G72" s="159">
        <f t="shared" ref="G72:P72" si="214">G44</f>
        <v>100</v>
      </c>
      <c r="H72" s="159">
        <f t="shared" si="214"/>
        <v>150</v>
      </c>
      <c r="I72" s="159">
        <f t="shared" si="214"/>
        <v>300</v>
      </c>
      <c r="J72" s="159">
        <f t="shared" si="214"/>
        <v>40</v>
      </c>
      <c r="K72" s="159">
        <f t="shared" si="214"/>
        <v>45</v>
      </c>
      <c r="L72" s="159">
        <f t="shared" si="214"/>
        <v>15</v>
      </c>
      <c r="M72" s="159">
        <f t="shared" si="214"/>
        <v>30</v>
      </c>
      <c r="N72" s="159">
        <f t="shared" si="214"/>
        <v>50</v>
      </c>
      <c r="O72" s="159">
        <f t="shared" si="214"/>
        <v>20</v>
      </c>
      <c r="P72" s="159">
        <f t="shared" si="214"/>
        <v>30</v>
      </c>
      <c r="Q72" s="159">
        <f t="shared" ref="Q72" si="215">Q44</f>
        <v>30</v>
      </c>
      <c r="R72" s="118">
        <f>((P72/G72)^(1/($H$2-$H$1) ))-1</f>
        <v>-0.12521291707606708</v>
      </c>
      <c r="S72" s="128"/>
      <c r="T72" s="159">
        <f t="shared" ref="T72:AC72" si="216">T44</f>
        <v>31.5</v>
      </c>
      <c r="U72" s="159">
        <f t="shared" si="216"/>
        <v>33.075000000000003</v>
      </c>
      <c r="V72" s="159">
        <f t="shared" si="216"/>
        <v>34.728750000000005</v>
      </c>
      <c r="W72" s="159">
        <f t="shared" si="216"/>
        <v>36.465187500000006</v>
      </c>
      <c r="X72" s="159">
        <f t="shared" si="216"/>
        <v>38.288446875000005</v>
      </c>
      <c r="Y72" s="159">
        <f t="shared" si="216"/>
        <v>40.20286921875001</v>
      </c>
      <c r="Z72" s="159">
        <f t="shared" si="216"/>
        <v>42.213012679687509</v>
      </c>
      <c r="AA72" s="159">
        <f t="shared" si="216"/>
        <v>44.323663313671886</v>
      </c>
      <c r="AB72" s="159">
        <f t="shared" si="216"/>
        <v>46.539846479355482</v>
      </c>
      <c r="AC72" s="159">
        <f t="shared" si="216"/>
        <v>48.866838803323262</v>
      </c>
      <c r="AD72" s="138">
        <f t="shared" ref="AD72" si="217">((AC72/G72)^(1/($AC$3-$H$1) ))-1</f>
        <v>-3.5170192161605107E-2</v>
      </c>
      <c r="AE72" s="31">
        <f t="shared" si="15"/>
        <v>0.05</v>
      </c>
      <c r="AF72" s="146">
        <f t="shared" si="175"/>
        <v>394.69369802684173</v>
      </c>
    </row>
    <row r="73" spans="2:32" x14ac:dyDescent="0.2">
      <c r="B73" s="20"/>
      <c r="C73" s="127"/>
      <c r="D73" s="127"/>
      <c r="E73" s="127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28"/>
      <c r="S73" s="128"/>
      <c r="T73" s="154"/>
      <c r="U73" s="154"/>
      <c r="V73" s="154"/>
      <c r="W73" s="154"/>
      <c r="X73" s="154"/>
      <c r="Y73" s="154"/>
      <c r="Z73" s="154"/>
      <c r="AA73" s="154"/>
      <c r="AB73" s="154"/>
      <c r="AC73" s="154"/>
      <c r="AD73" s="139"/>
      <c r="AE73" s="137"/>
      <c r="AF73" s="154"/>
    </row>
    <row r="74" spans="2:32" x14ac:dyDescent="0.2">
      <c r="B74" s="20" t="s">
        <v>316</v>
      </c>
      <c r="C74" s="127"/>
      <c r="D74" s="127"/>
      <c r="E74" s="127"/>
      <c r="F74" s="144"/>
      <c r="G74" s="144">
        <f t="shared" ref="G74:P74" si="218">G20+G21</f>
        <v>13</v>
      </c>
      <c r="H74" s="144">
        <f t="shared" si="218"/>
        <v>116</v>
      </c>
      <c r="I74" s="144">
        <f t="shared" si="218"/>
        <v>629</v>
      </c>
      <c r="J74" s="144">
        <f t="shared" si="218"/>
        <v>298</v>
      </c>
      <c r="K74" s="144">
        <f t="shared" si="218"/>
        <v>-8</v>
      </c>
      <c r="L74" s="144">
        <f t="shared" si="218"/>
        <v>88</v>
      </c>
      <c r="M74" s="144">
        <f t="shared" si="218"/>
        <v>129</v>
      </c>
      <c r="N74" s="144">
        <f t="shared" si="218"/>
        <v>249</v>
      </c>
      <c r="O74" s="144">
        <f t="shared" si="218"/>
        <v>326</v>
      </c>
      <c r="P74" s="144">
        <f t="shared" si="218"/>
        <v>63</v>
      </c>
      <c r="Q74" s="144">
        <f t="shared" ref="Q74" si="219">Q20+Q21</f>
        <v>30</v>
      </c>
      <c r="R74" s="118">
        <f>((P74/G74)^(1/($H$2-$H$1) ))-1</f>
        <v>0.19166790886451968</v>
      </c>
      <c r="S74" s="128"/>
      <c r="T74" s="144">
        <f t="shared" ref="T74:AC74" si="220">T20+T21</f>
        <v>32.399999999999991</v>
      </c>
      <c r="U74" s="144">
        <f t="shared" si="220"/>
        <v>34.99199999999999</v>
      </c>
      <c r="V74" s="144">
        <f t="shared" si="220"/>
        <v>37.791359999999997</v>
      </c>
      <c r="W74" s="144">
        <f t="shared" si="220"/>
        <v>40.814668799999993</v>
      </c>
      <c r="X74" s="144">
        <f t="shared" si="220"/>
        <v>44.079842303999982</v>
      </c>
      <c r="Y74" s="144">
        <f t="shared" si="220"/>
        <v>47.606229688319985</v>
      </c>
      <c r="Z74" s="144">
        <f t="shared" si="220"/>
        <v>51.414728063385581</v>
      </c>
      <c r="AA74" s="144">
        <f t="shared" si="220"/>
        <v>55.527906308456409</v>
      </c>
      <c r="AB74" s="144">
        <f t="shared" si="220"/>
        <v>59.970138813132934</v>
      </c>
      <c r="AC74" s="144">
        <f t="shared" si="220"/>
        <v>64.767749918183569</v>
      </c>
      <c r="AD74" s="138">
        <f t="shared" ref="AD74:AD79" si="221">((AC74/G74)^(1/($AC$3-$H$1) ))-1</f>
        <v>8.3604432528278538E-2</v>
      </c>
      <c r="AE74" s="31">
        <f t="shared" si="15"/>
        <v>0.05</v>
      </c>
      <c r="AF74" s="146">
        <f t="shared" si="175"/>
        <v>523.12413395455962</v>
      </c>
    </row>
    <row r="75" spans="2:32" x14ac:dyDescent="0.2">
      <c r="B75" s="20"/>
      <c r="C75" s="127"/>
      <c r="D75" s="127"/>
      <c r="E75" s="127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44"/>
      <c r="R75" s="128"/>
      <c r="S75" s="128"/>
      <c r="T75" s="146"/>
      <c r="U75" s="146"/>
      <c r="V75" s="146"/>
      <c r="W75" s="146"/>
      <c r="X75" s="146"/>
      <c r="Y75" s="146"/>
      <c r="Z75" s="146"/>
      <c r="AA75" s="146"/>
      <c r="AB75" s="146"/>
      <c r="AC75" s="146"/>
      <c r="AD75" s="139"/>
      <c r="AE75" s="137"/>
      <c r="AF75" s="146"/>
    </row>
    <row r="76" spans="2:32" x14ac:dyDescent="0.2">
      <c r="B76" s="20" t="s">
        <v>317</v>
      </c>
      <c r="C76" s="127"/>
      <c r="D76" s="127"/>
      <c r="E76" s="127"/>
      <c r="F76" s="144"/>
      <c r="G76" s="144">
        <f t="shared" ref="G76:P76" si="222">G74/G42</f>
        <v>108.33333333333334</v>
      </c>
      <c r="H76" s="144">
        <f t="shared" si="222"/>
        <v>966.66666666666674</v>
      </c>
      <c r="I76" s="144">
        <f t="shared" si="222"/>
        <v>5241.666666666667</v>
      </c>
      <c r="J76" s="144">
        <f t="shared" si="222"/>
        <v>263.71681415929208</v>
      </c>
      <c r="K76" s="144">
        <f t="shared" si="222"/>
        <v>-6.5040650406504064</v>
      </c>
      <c r="L76" s="144">
        <f t="shared" si="222"/>
        <v>71.544715447154474</v>
      </c>
      <c r="M76" s="144">
        <f t="shared" si="222"/>
        <v>104.8780487804878</v>
      </c>
      <c r="N76" s="144">
        <f t="shared" si="222"/>
        <v>222.32142857142856</v>
      </c>
      <c r="O76" s="144">
        <f t="shared" si="222"/>
        <v>291.07142857142856</v>
      </c>
      <c r="P76" s="144">
        <f t="shared" si="222"/>
        <v>56.249999999999993</v>
      </c>
      <c r="Q76" s="144">
        <f t="shared" ref="Q76" si="223">Q74/Q42</f>
        <v>26.785714285714285</v>
      </c>
      <c r="R76" s="118">
        <f>((P76/G76)^(1/($H$2-$H$1) ))-1</f>
        <v>-7.0234600834844452E-2</v>
      </c>
      <c r="S76" s="128"/>
      <c r="T76" s="146">
        <f t="shared" ref="T76:AC76" si="224">T74/T42</f>
        <v>27.551020408163254</v>
      </c>
      <c r="U76" s="146">
        <f t="shared" si="224"/>
        <v>28.338192419825063</v>
      </c>
      <c r="V76" s="146">
        <f t="shared" si="224"/>
        <v>29.147855060391496</v>
      </c>
      <c r="W76" s="146">
        <f t="shared" si="224"/>
        <v>29.980650919259823</v>
      </c>
      <c r="X76" s="146">
        <f t="shared" si="224"/>
        <v>30.837240945524378</v>
      </c>
      <c r="Y76" s="146">
        <f t="shared" si="224"/>
        <v>31.718304972539364</v>
      </c>
      <c r="Z76" s="146">
        <f t="shared" si="224"/>
        <v>32.624542257469052</v>
      </c>
      <c r="AA76" s="146">
        <f t="shared" si="224"/>
        <v>33.556672036253872</v>
      </c>
      <c r="AB76" s="146">
        <f t="shared" si="224"/>
        <v>34.515434094432557</v>
      </c>
      <c r="AC76" s="146">
        <f t="shared" si="224"/>
        <v>35.501589354273484</v>
      </c>
      <c r="AD76" s="138">
        <f t="shared" si="221"/>
        <v>-5.4254497894002385E-2</v>
      </c>
      <c r="AE76" s="31">
        <f t="shared" si="15"/>
        <v>0.05</v>
      </c>
      <c r="AF76" s="146">
        <f t="shared" si="175"/>
        <v>286.74360632297811</v>
      </c>
    </row>
    <row r="77" spans="2:32" x14ac:dyDescent="0.2">
      <c r="B77" s="20" t="s">
        <v>286</v>
      </c>
      <c r="C77" s="127"/>
      <c r="D77" s="127"/>
      <c r="E77" s="127"/>
      <c r="F77" s="144"/>
      <c r="G77" s="144">
        <f t="shared" ref="G77:P77" si="225">G20/G42</f>
        <v>566.66666666666674</v>
      </c>
      <c r="H77" s="144">
        <f t="shared" si="225"/>
        <v>866.66666666666674</v>
      </c>
      <c r="I77" s="144">
        <f t="shared" si="225"/>
        <v>3933.3333333333335</v>
      </c>
      <c r="J77" s="144">
        <f t="shared" si="225"/>
        <v>423.00884955752218</v>
      </c>
      <c r="K77" s="144">
        <f t="shared" si="225"/>
        <v>193.4959349593496</v>
      </c>
      <c r="L77" s="144">
        <f t="shared" si="225"/>
        <v>112.19512195121952</v>
      </c>
      <c r="M77" s="144">
        <f t="shared" si="225"/>
        <v>92.682926829268297</v>
      </c>
      <c r="N77" s="144">
        <f t="shared" si="225"/>
        <v>234.82142857142856</v>
      </c>
      <c r="O77" s="144">
        <f t="shared" si="225"/>
        <v>161.60714285714283</v>
      </c>
      <c r="P77" s="144">
        <f t="shared" si="225"/>
        <v>87.499999999999986</v>
      </c>
      <c r="Q77" s="144">
        <f t="shared" ref="Q77" si="226">Q20/Q42</f>
        <v>111.60714285714285</v>
      </c>
      <c r="R77" s="118">
        <f>((P77/G77)^(1/($H$2-$H$1) ))-1</f>
        <v>-0.18744386017941073</v>
      </c>
      <c r="S77" s="128"/>
      <c r="T77" s="146">
        <f t="shared" ref="T77:AC77" si="227">T20/T42</f>
        <v>114.79591836734693</v>
      </c>
      <c r="U77" s="146">
        <f t="shared" si="227"/>
        <v>118.07580174927114</v>
      </c>
      <c r="V77" s="146">
        <f t="shared" si="227"/>
        <v>121.44939608496459</v>
      </c>
      <c r="W77" s="146">
        <f t="shared" si="227"/>
        <v>124.91937883024931</v>
      </c>
      <c r="X77" s="146">
        <f t="shared" si="227"/>
        <v>128.48850393968499</v>
      </c>
      <c r="Y77" s="146">
        <f t="shared" si="227"/>
        <v>132.15960405224743</v>
      </c>
      <c r="Z77" s="146">
        <f t="shared" si="227"/>
        <v>135.93559273945451</v>
      </c>
      <c r="AA77" s="146">
        <f t="shared" si="227"/>
        <v>139.81946681772462</v>
      </c>
      <c r="AB77" s="146">
        <f t="shared" si="227"/>
        <v>143.81430872680247</v>
      </c>
      <c r="AC77" s="146">
        <f t="shared" si="227"/>
        <v>147.92328897613967</v>
      </c>
      <c r="AD77" s="138">
        <f t="shared" si="221"/>
        <v>-6.4948687000268124E-2</v>
      </c>
      <c r="AE77" s="31">
        <f t="shared" si="15"/>
        <v>0.05</v>
      </c>
      <c r="AF77" s="146">
        <f t="shared" si="175"/>
        <v>1194.7650263457435</v>
      </c>
    </row>
    <row r="78" spans="2:32" x14ac:dyDescent="0.2">
      <c r="B78" s="20" t="s">
        <v>287</v>
      </c>
      <c r="C78" s="127"/>
      <c r="D78" s="127"/>
      <c r="E78" s="127"/>
      <c r="F78" s="144"/>
      <c r="G78" s="144">
        <f t="shared" ref="G78:P78" si="228">G21/G42</f>
        <v>-458.33333333333337</v>
      </c>
      <c r="H78" s="144">
        <f t="shared" si="228"/>
        <v>100</v>
      </c>
      <c r="I78" s="144">
        <f t="shared" si="228"/>
        <v>1308.3333333333335</v>
      </c>
      <c r="J78" s="144">
        <f t="shared" si="228"/>
        <v>-159.2920353982301</v>
      </c>
      <c r="K78" s="144">
        <f t="shared" si="228"/>
        <v>-200</v>
      </c>
      <c r="L78" s="144">
        <f t="shared" si="228"/>
        <v>-40.650406504065039</v>
      </c>
      <c r="M78" s="144">
        <f t="shared" si="228"/>
        <v>12.195121951219512</v>
      </c>
      <c r="N78" s="144">
        <f t="shared" si="228"/>
        <v>-12.499999999999998</v>
      </c>
      <c r="O78" s="144">
        <f t="shared" si="228"/>
        <v>129.46428571428569</v>
      </c>
      <c r="P78" s="144">
        <f t="shared" si="228"/>
        <v>-31.249999999999996</v>
      </c>
      <c r="Q78" s="144">
        <f t="shared" ref="Q78" si="229">Q21/Q42</f>
        <v>-84.821428571428569</v>
      </c>
      <c r="R78" s="118">
        <f>((P78/G78)^(1/($H$2-$H$1) ))-1</f>
        <v>-0.25799365364004512</v>
      </c>
      <c r="S78" s="128"/>
      <c r="T78" s="146">
        <f t="shared" ref="T78:AC78" si="230">T21/T42</f>
        <v>-87.244897959183675</v>
      </c>
      <c r="U78" s="146">
        <f t="shared" si="230"/>
        <v>-89.737609329446073</v>
      </c>
      <c r="V78" s="146">
        <f t="shared" si="230"/>
        <v>-92.301541024573098</v>
      </c>
      <c r="W78" s="146">
        <f t="shared" si="230"/>
        <v>-94.938727910989499</v>
      </c>
      <c r="X78" s="146">
        <f t="shared" si="230"/>
        <v>-97.651262994160618</v>
      </c>
      <c r="Y78" s="146">
        <f t="shared" si="230"/>
        <v>-100.44129907970807</v>
      </c>
      <c r="Z78" s="146">
        <f t="shared" si="230"/>
        <v>-103.31105048198545</v>
      </c>
      <c r="AA78" s="146">
        <f t="shared" si="230"/>
        <v>-106.26279478147075</v>
      </c>
      <c r="AB78" s="146">
        <f t="shared" si="230"/>
        <v>-109.29887463236992</v>
      </c>
      <c r="AC78" s="146">
        <f t="shared" si="230"/>
        <v>-112.4216996218662</v>
      </c>
      <c r="AD78" s="138">
        <f t="shared" si="221"/>
        <v>-6.7855084149366696E-2</v>
      </c>
      <c r="AE78" s="31">
        <f t="shared" si="15"/>
        <v>0.05</v>
      </c>
      <c r="AF78" s="146">
        <f t="shared" si="175"/>
        <v>-908.02142002276548</v>
      </c>
    </row>
    <row r="79" spans="2:32" x14ac:dyDescent="0.2">
      <c r="B79" s="20" t="s">
        <v>288</v>
      </c>
      <c r="C79" s="127"/>
      <c r="D79" s="127"/>
      <c r="E79" s="127"/>
      <c r="F79" s="144"/>
      <c r="G79" s="144">
        <f t="shared" ref="G79:P79" si="231">G22/G42</f>
        <v>225</v>
      </c>
      <c r="H79" s="144">
        <f t="shared" si="231"/>
        <v>-591.66666666666674</v>
      </c>
      <c r="I79" s="144">
        <f t="shared" si="231"/>
        <v>-175</v>
      </c>
      <c r="J79" s="144">
        <f t="shared" si="231"/>
        <v>-67.256637168141594</v>
      </c>
      <c r="K79" s="144">
        <f t="shared" si="231"/>
        <v>-30.081300813008131</v>
      </c>
      <c r="L79" s="144">
        <f t="shared" si="231"/>
        <v>-29.26829268292683</v>
      </c>
      <c r="M79" s="144">
        <f t="shared" si="231"/>
        <v>-17.073170731707318</v>
      </c>
      <c r="N79" s="144">
        <f t="shared" si="231"/>
        <v>-220.53571428571428</v>
      </c>
      <c r="O79" s="144">
        <f t="shared" si="231"/>
        <v>-34.821428571428569</v>
      </c>
      <c r="P79" s="144">
        <f t="shared" si="231"/>
        <v>-58.035714285714278</v>
      </c>
      <c r="Q79" s="144">
        <f t="shared" ref="Q79" si="232">Q22/Q42</f>
        <v>-24.107142857142854</v>
      </c>
      <c r="R79" s="118">
        <f>((P79/G79)^(1/($H$2-$H$1) ))-1</f>
        <v>-1.8602259411631474</v>
      </c>
      <c r="S79" s="128"/>
      <c r="T79" s="146">
        <f t="shared" ref="T79:AC79" si="233">T22/T42</f>
        <v>-24.795918367346939</v>
      </c>
      <c r="U79" s="146">
        <f t="shared" si="233"/>
        <v>-25.504373177842567</v>
      </c>
      <c r="V79" s="146">
        <f t="shared" si="233"/>
        <v>-26.233069554352355</v>
      </c>
      <c r="W79" s="146">
        <f t="shared" si="233"/>
        <v>-26.982585827333853</v>
      </c>
      <c r="X79" s="146">
        <f t="shared" si="233"/>
        <v>-27.753516850971963</v>
      </c>
      <c r="Y79" s="146">
        <f t="shared" si="233"/>
        <v>-28.546474475285446</v>
      </c>
      <c r="Z79" s="146">
        <f t="shared" si="233"/>
        <v>-29.362088031722173</v>
      </c>
      <c r="AA79" s="146">
        <f t="shared" si="233"/>
        <v>-30.20100483262852</v>
      </c>
      <c r="AB79" s="146">
        <f t="shared" si="233"/>
        <v>-31.063890684989335</v>
      </c>
      <c r="AC79" s="146">
        <f t="shared" si="233"/>
        <v>-31.951430418846172</v>
      </c>
      <c r="AD79" s="138" t="e">
        <f t="shared" si="221"/>
        <v>#NUM!</v>
      </c>
      <c r="AE79" s="31">
        <f t="shared" si="15"/>
        <v>0.05</v>
      </c>
      <c r="AF79" s="146">
        <f t="shared" si="175"/>
        <v>-258.06924569068065</v>
      </c>
    </row>
    <row r="80" spans="2:32" x14ac:dyDescent="0.2">
      <c r="B80" s="20" t="s">
        <v>295</v>
      </c>
      <c r="C80" s="127"/>
      <c r="D80" s="127"/>
      <c r="E80" s="127"/>
      <c r="F80" s="144"/>
      <c r="G80" s="144">
        <f t="shared" ref="G80:P80" si="234">G23/G42</f>
        <v>433.33333333333337</v>
      </c>
      <c r="H80" s="144">
        <f t="shared" si="234"/>
        <v>808.33333333333337</v>
      </c>
      <c r="I80" s="144">
        <f t="shared" si="234"/>
        <v>3266.666666666667</v>
      </c>
      <c r="J80" s="144">
        <f t="shared" si="234"/>
        <v>541.59292035398232</v>
      </c>
      <c r="K80" s="144">
        <f t="shared" si="234"/>
        <v>461.78861788617888</v>
      </c>
      <c r="L80" s="144">
        <f t="shared" si="234"/>
        <v>504.0650406504065</v>
      </c>
      <c r="M80" s="144">
        <f t="shared" si="234"/>
        <v>591.05691056910575</v>
      </c>
      <c r="N80" s="144">
        <f t="shared" si="234"/>
        <v>649.99999999999989</v>
      </c>
      <c r="O80" s="144">
        <f t="shared" si="234"/>
        <v>10.714285714285714</v>
      </c>
      <c r="P80" s="144">
        <f t="shared" si="234"/>
        <v>8.928571428571427</v>
      </c>
      <c r="Q80" s="144">
        <f t="shared" ref="Q80" si="235">Q23/Q42</f>
        <v>12.499999999999998</v>
      </c>
      <c r="R80" s="118">
        <f>((P80/G80)^(1/($H$2-$H$1) ))-1</f>
        <v>-0.35037577927616292</v>
      </c>
      <c r="S80" s="128"/>
      <c r="T80" s="146">
        <f t="shared" ref="T80:AC80" si="236">T23/T42</f>
        <v>12.857142857142856</v>
      </c>
      <c r="U80" s="146">
        <f t="shared" si="236"/>
        <v>13.224489795918368</v>
      </c>
      <c r="V80" s="146">
        <f t="shared" si="236"/>
        <v>13.602332361516037</v>
      </c>
      <c r="W80" s="146">
        <f t="shared" si="236"/>
        <v>13.990970428987923</v>
      </c>
      <c r="X80" s="146">
        <f t="shared" si="236"/>
        <v>14.390712441244721</v>
      </c>
      <c r="Y80" s="146">
        <f t="shared" si="236"/>
        <v>14.801875653851715</v>
      </c>
      <c r="Z80" s="146">
        <f t="shared" si="236"/>
        <v>15.224786386818906</v>
      </c>
      <c r="AA80" s="146">
        <f t="shared" si="236"/>
        <v>15.65978028358516</v>
      </c>
      <c r="AB80" s="146">
        <f t="shared" si="236"/>
        <v>16.107202577401878</v>
      </c>
      <c r="AC80" s="146">
        <f t="shared" si="236"/>
        <v>16.567408365327648</v>
      </c>
      <c r="AD80" s="138">
        <f t="shared" ref="AD80" si="237">((AC80/G80)^(1/($AC$3-$H$1) ))-1</f>
        <v>-0.15058167904060182</v>
      </c>
      <c r="AE80" s="31">
        <f t="shared" si="15"/>
        <v>0.05</v>
      </c>
      <c r="AF80" s="146">
        <f t="shared" si="175"/>
        <v>133.81368295072332</v>
      </c>
    </row>
    <row r="81" spans="2:32" x14ac:dyDescent="0.2">
      <c r="B81" s="20"/>
      <c r="C81" s="127"/>
      <c r="D81" s="127"/>
      <c r="E81" s="127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28"/>
      <c r="S81" s="128"/>
      <c r="T81" s="119"/>
      <c r="U81" s="119"/>
      <c r="V81" s="119"/>
      <c r="W81" s="119"/>
      <c r="X81" s="119"/>
      <c r="Y81" s="119"/>
      <c r="Z81" s="119"/>
      <c r="AA81" s="119"/>
      <c r="AB81" s="119"/>
      <c r="AC81" s="119"/>
      <c r="AD81" s="139"/>
      <c r="AE81" s="137"/>
      <c r="AF81" s="154"/>
    </row>
    <row r="82" spans="2:32" x14ac:dyDescent="0.2">
      <c r="B82" s="20" t="s">
        <v>310</v>
      </c>
      <c r="C82" s="144"/>
      <c r="D82" s="144"/>
      <c r="E82" s="144"/>
      <c r="F82" s="144"/>
      <c r="G82" s="144">
        <f t="shared" ref="G82:P82" si="238">G36/G42</f>
        <v>1025</v>
      </c>
      <c r="H82" s="144">
        <f t="shared" si="238"/>
        <v>1166.6666666666667</v>
      </c>
      <c r="I82" s="144">
        <f t="shared" si="238"/>
        <v>1858.3333333333335</v>
      </c>
      <c r="J82" s="144">
        <f t="shared" si="238"/>
        <v>292.92035398230092</v>
      </c>
      <c r="K82" s="144">
        <f t="shared" si="238"/>
        <v>356.91056910569108</v>
      </c>
      <c r="L82" s="144">
        <f t="shared" si="238"/>
        <v>167.47967479674796</v>
      </c>
      <c r="M82" s="144">
        <f t="shared" si="238"/>
        <v>152.84552845528455</v>
      </c>
      <c r="N82" s="144">
        <f t="shared" si="238"/>
        <v>199.10714285714283</v>
      </c>
      <c r="O82" s="144">
        <f t="shared" si="238"/>
        <v>244.64285714285711</v>
      </c>
      <c r="P82" s="144">
        <f t="shared" si="238"/>
        <v>202.67857142857142</v>
      </c>
      <c r="Q82" s="144">
        <f t="shared" ref="Q82" si="239">Q36/Q42</f>
        <v>241.96428571428569</v>
      </c>
      <c r="R82" s="118">
        <f>((P82/G82)^(1/($H$2-$H$1) ))-1</f>
        <v>-0.16480649622661769</v>
      </c>
      <c r="S82" s="128"/>
      <c r="T82" s="144">
        <f t="shared" ref="T82:AC82" si="240">T36/T42</f>
        <v>248.87755102040813</v>
      </c>
      <c r="U82" s="144">
        <f t="shared" si="240"/>
        <v>255.9883381924198</v>
      </c>
      <c r="V82" s="144">
        <f t="shared" si="240"/>
        <v>263.30229071220322</v>
      </c>
      <c r="W82" s="144">
        <f t="shared" si="240"/>
        <v>270.82521330398049</v>
      </c>
      <c r="X82" s="144">
        <f t="shared" si="240"/>
        <v>278.56307654123702</v>
      </c>
      <c r="Y82" s="144">
        <f t="shared" si="240"/>
        <v>286.5220215852724</v>
      </c>
      <c r="Z82" s="144">
        <f t="shared" si="240"/>
        <v>294.70836505913729</v>
      </c>
      <c r="AA82" s="144">
        <f t="shared" si="240"/>
        <v>303.12860406082694</v>
      </c>
      <c r="AB82" s="144">
        <f t="shared" si="240"/>
        <v>311.78942131970774</v>
      </c>
      <c r="AC82" s="144">
        <f t="shared" si="240"/>
        <v>320.69769050027077</v>
      </c>
      <c r="AD82" s="138">
        <f t="shared" ref="AD82:AD84" si="241">((AC82/G82)^(1/($AC$3-$H$1) ))-1</f>
        <v>-5.6442006125250188E-2</v>
      </c>
      <c r="AE82" s="31">
        <f t="shared" si="15"/>
        <v>0.05</v>
      </c>
      <c r="AF82" s="146">
        <f t="shared" si="175"/>
        <v>2590.250577117572</v>
      </c>
    </row>
    <row r="83" spans="2:32" x14ac:dyDescent="0.2">
      <c r="B83" s="20" t="s">
        <v>311</v>
      </c>
      <c r="C83" s="144"/>
      <c r="D83" s="144"/>
      <c r="E83" s="144"/>
      <c r="F83" s="144"/>
      <c r="G83" s="144">
        <f t="shared" ref="G83:P83" si="242">G40/G42</f>
        <v>483.33333333333337</v>
      </c>
      <c r="H83" s="144">
        <f t="shared" si="242"/>
        <v>608.33333333333337</v>
      </c>
      <c r="I83" s="144">
        <f t="shared" si="242"/>
        <v>1233.3333333333335</v>
      </c>
      <c r="J83" s="144">
        <f t="shared" si="242"/>
        <v>182.30088495575222</v>
      </c>
      <c r="K83" s="144">
        <f t="shared" si="242"/>
        <v>196.7479674796748</v>
      </c>
      <c r="L83" s="144">
        <f t="shared" si="242"/>
        <v>86.991869918699194</v>
      </c>
      <c r="M83" s="144">
        <f t="shared" si="242"/>
        <v>81.300813008130078</v>
      </c>
      <c r="N83" s="144">
        <f t="shared" si="242"/>
        <v>136.60714285714283</v>
      </c>
      <c r="O83" s="144">
        <f t="shared" si="242"/>
        <v>124.10714285714285</v>
      </c>
      <c r="P83" s="144">
        <f t="shared" si="242"/>
        <v>115.17857142857142</v>
      </c>
      <c r="Q83" s="144">
        <f t="shared" ref="Q83" si="243">Q40/Q42</f>
        <v>168.74999999999997</v>
      </c>
      <c r="R83" s="118">
        <f>((P83/G83)^(1/($H$2-$H$1) ))-1</f>
        <v>-0.14730903749056534</v>
      </c>
      <c r="S83" s="128"/>
      <c r="T83" s="144">
        <f t="shared" ref="T83:AC83" si="244">T40/T42</f>
        <v>173.57142857142856</v>
      </c>
      <c r="U83" s="144">
        <f t="shared" si="244"/>
        <v>178.53061224489798</v>
      </c>
      <c r="V83" s="144">
        <f t="shared" si="244"/>
        <v>183.63148688046647</v>
      </c>
      <c r="W83" s="144">
        <f t="shared" si="244"/>
        <v>188.87810079133695</v>
      </c>
      <c r="X83" s="144">
        <f t="shared" si="244"/>
        <v>194.27461795680372</v>
      </c>
      <c r="Y83" s="144">
        <f t="shared" si="244"/>
        <v>199.82532132699811</v>
      </c>
      <c r="Z83" s="144">
        <f t="shared" si="244"/>
        <v>205.53461622205521</v>
      </c>
      <c r="AA83" s="144">
        <f t="shared" si="244"/>
        <v>211.40703382839962</v>
      </c>
      <c r="AB83" s="144">
        <f t="shared" si="244"/>
        <v>217.44723479492532</v>
      </c>
      <c r="AC83" s="144">
        <f t="shared" si="244"/>
        <v>223.66001293192318</v>
      </c>
      <c r="AD83" s="138">
        <f t="shared" si="241"/>
        <v>-3.7796172985797627E-2</v>
      </c>
      <c r="AE83" s="31">
        <f t="shared" si="15"/>
        <v>0.05</v>
      </c>
      <c r="AF83" s="146">
        <f t="shared" si="175"/>
        <v>1806.4847198347641</v>
      </c>
    </row>
    <row r="84" spans="2:32" x14ac:dyDescent="0.2">
      <c r="B84" s="20" t="s">
        <v>312</v>
      </c>
      <c r="C84" s="144"/>
      <c r="D84" s="144"/>
      <c r="E84" s="144"/>
      <c r="F84" s="144"/>
      <c r="G84" s="144">
        <f t="shared" ref="G84:P84" si="245">G6/G42</f>
        <v>2750</v>
      </c>
      <c r="H84" s="144">
        <f t="shared" si="245"/>
        <v>2700</v>
      </c>
      <c r="I84" s="144">
        <f t="shared" si="245"/>
        <v>3558.3333333333335</v>
      </c>
      <c r="J84" s="144">
        <f t="shared" si="245"/>
        <v>502.6548672566372</v>
      </c>
      <c r="K84" s="144">
        <f t="shared" si="245"/>
        <v>686.99186991869919</v>
      </c>
      <c r="L84" s="144">
        <f t="shared" si="245"/>
        <v>674.79674796747963</v>
      </c>
      <c r="M84" s="144">
        <f t="shared" si="245"/>
        <v>738.21138211382117</v>
      </c>
      <c r="N84" s="144">
        <f t="shared" si="245"/>
        <v>711.60714285714278</v>
      </c>
      <c r="O84" s="144">
        <f t="shared" si="245"/>
        <v>778.57142857142844</v>
      </c>
      <c r="P84" s="144">
        <f t="shared" si="245"/>
        <v>843.74999999999989</v>
      </c>
      <c r="Q84" s="144">
        <f t="shared" ref="Q84" si="246">Q6/Q42</f>
        <v>979.46428571428567</v>
      </c>
      <c r="R84" s="118">
        <f>((P84/G84)^(1/($H$2-$H$1) ))-1</f>
        <v>-0.12302585835202273</v>
      </c>
      <c r="S84" s="128"/>
      <c r="T84" s="144">
        <f t="shared" ref="T84:AC84" si="247">T6/T42</f>
        <v>1007.4489795918366</v>
      </c>
      <c r="U84" s="144">
        <f t="shared" si="247"/>
        <v>1036.2332361516035</v>
      </c>
      <c r="V84" s="144">
        <f t="shared" si="247"/>
        <v>1065.8399000416491</v>
      </c>
      <c r="W84" s="144">
        <f t="shared" si="247"/>
        <v>1096.2924686142678</v>
      </c>
      <c r="X84" s="144">
        <f t="shared" si="247"/>
        <v>1127.6151105746756</v>
      </c>
      <c r="Y84" s="144">
        <f t="shared" si="247"/>
        <v>1159.8326851625234</v>
      </c>
      <c r="Z84" s="144">
        <f t="shared" si="247"/>
        <v>1192.9707618814527</v>
      </c>
      <c r="AA84" s="144">
        <f t="shared" si="247"/>
        <v>1227.0556407923514</v>
      </c>
      <c r="AB84" s="144">
        <f t="shared" si="247"/>
        <v>1262.1143733864183</v>
      </c>
      <c r="AC84" s="144">
        <f t="shared" si="247"/>
        <v>1298.1747840546016</v>
      </c>
      <c r="AD84" s="138">
        <f t="shared" si="241"/>
        <v>-3.6836483276980192E-2</v>
      </c>
      <c r="AE84" s="31">
        <f t="shared" ref="AE84" si="248">$L$1</f>
        <v>0.05</v>
      </c>
      <c r="AF84" s="146">
        <f t="shared" si="175"/>
        <v>10485.257871210244</v>
      </c>
    </row>
    <row r="85" spans="2:32" x14ac:dyDescent="0.2">
      <c r="B85" s="20"/>
      <c r="C85" s="127"/>
      <c r="D85" s="127"/>
      <c r="E85" s="127"/>
      <c r="F85" s="144"/>
      <c r="G85" s="144"/>
      <c r="H85" s="144"/>
      <c r="I85" s="144"/>
      <c r="J85" s="144"/>
      <c r="K85" s="144"/>
      <c r="L85" s="144"/>
      <c r="M85" s="144"/>
      <c r="N85" s="144"/>
      <c r="O85" s="144"/>
      <c r="P85" s="144"/>
      <c r="Q85" s="144"/>
      <c r="R85" s="128"/>
      <c r="S85" s="128"/>
      <c r="T85" s="119"/>
      <c r="U85" s="119"/>
      <c r="V85" s="119"/>
      <c r="W85" s="119"/>
      <c r="X85" s="119"/>
      <c r="Y85" s="119"/>
      <c r="Z85" s="119"/>
      <c r="AA85" s="119"/>
      <c r="AB85" s="119"/>
      <c r="AC85" s="119"/>
      <c r="AD85" s="139"/>
      <c r="AE85" s="20"/>
      <c r="AF85" s="154"/>
    </row>
    <row r="86" spans="2:32" x14ac:dyDescent="0.2">
      <c r="B86" s="20"/>
      <c r="C86" s="127"/>
      <c r="D86" s="127"/>
      <c r="E86" s="127"/>
      <c r="F86" s="144"/>
      <c r="G86" s="144"/>
      <c r="H86" s="144"/>
      <c r="I86" s="144"/>
      <c r="J86" s="144"/>
      <c r="K86" s="144"/>
      <c r="L86" s="144"/>
      <c r="M86" s="144"/>
      <c r="N86" s="144"/>
      <c r="O86" s="144"/>
      <c r="P86" s="144"/>
      <c r="Q86" s="144"/>
      <c r="R86" s="128"/>
      <c r="S86" s="128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  <c r="AD86" s="139"/>
      <c r="AE86" s="20"/>
      <c r="AF86" s="154"/>
    </row>
    <row r="87" spans="2:32" x14ac:dyDescent="0.2">
      <c r="B87" s="108" t="s">
        <v>309</v>
      </c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</row>
    <row r="88" spans="2:32" x14ac:dyDescent="0.2">
      <c r="B88" s="20" t="s">
        <v>308</v>
      </c>
      <c r="C88" s="152"/>
      <c r="D88" s="152"/>
      <c r="E88" s="152"/>
      <c r="F88" s="152"/>
      <c r="G88" s="152">
        <f t="shared" ref="G88:P88" si="249">G36/G25</f>
        <v>0.18141592920353983</v>
      </c>
      <c r="H88" s="152">
        <f t="shared" si="249"/>
        <v>0.14613778705636743</v>
      </c>
      <c r="I88" s="152">
        <f t="shared" si="249"/>
        <v>0.16691616766467066</v>
      </c>
      <c r="J88" s="152">
        <f t="shared" si="249"/>
        <v>0.17017994858611826</v>
      </c>
      <c r="K88" s="152">
        <f t="shared" si="249"/>
        <v>0.1911188506747932</v>
      </c>
      <c r="L88" s="152">
        <f t="shared" si="249"/>
        <v>0.14620298083747338</v>
      </c>
      <c r="M88" s="152">
        <f t="shared" si="249"/>
        <v>0.15485996705107083</v>
      </c>
      <c r="N88" s="152">
        <f t="shared" si="249"/>
        <v>0.11724500525762356</v>
      </c>
      <c r="O88" s="152">
        <f t="shared" si="249"/>
        <v>0.11502938706968933</v>
      </c>
      <c r="P88" s="152">
        <f t="shared" si="249"/>
        <v>0.10647279549718575</v>
      </c>
      <c r="Q88" s="152">
        <f t="shared" ref="Q88" si="250">Q36/Q25</f>
        <v>0.10967219749089438</v>
      </c>
      <c r="R88" s="118">
        <f t="shared" ref="R88:R141" si="251">((P88/G88)^(1/($H$2-$H$1) ))-1</f>
        <v>-5.7492522625289921E-2</v>
      </c>
      <c r="S88" s="152"/>
      <c r="T88" s="152">
        <f t="shared" ref="T88:AC88" si="252">T36/T25</f>
        <v>0.10967219749089437</v>
      </c>
      <c r="U88" s="152">
        <f t="shared" si="252"/>
        <v>0.10967219749089437</v>
      </c>
      <c r="V88" s="152">
        <f t="shared" si="252"/>
        <v>0.10967219749089437</v>
      </c>
      <c r="W88" s="152">
        <f t="shared" si="252"/>
        <v>0.10967219749089435</v>
      </c>
      <c r="X88" s="152">
        <f t="shared" si="252"/>
        <v>0.10967219749089435</v>
      </c>
      <c r="Y88" s="152">
        <f t="shared" si="252"/>
        <v>0.10967219749089437</v>
      </c>
      <c r="Z88" s="152">
        <f t="shared" si="252"/>
        <v>0.10967219749089435</v>
      </c>
      <c r="AA88" s="152">
        <f t="shared" si="252"/>
        <v>0.10967219749089437</v>
      </c>
      <c r="AB88" s="152">
        <f t="shared" si="252"/>
        <v>0.10967219749089437</v>
      </c>
      <c r="AC88" s="152">
        <f t="shared" si="252"/>
        <v>0.10967219749089435</v>
      </c>
      <c r="AD88" s="138">
        <f t="shared" ref="AD88:AD128" si="253">((AC88/G88)^(1/($AC$3-$H$1) ))-1</f>
        <v>-2.4850827866402692E-2</v>
      </c>
      <c r="AE88" s="146"/>
      <c r="AF88" s="146"/>
    </row>
    <row r="89" spans="2:32" x14ac:dyDescent="0.2">
      <c r="B89" s="20" t="s">
        <v>266</v>
      </c>
      <c r="C89" s="152"/>
      <c r="D89" s="152"/>
      <c r="E89" s="152"/>
      <c r="F89" s="152"/>
      <c r="G89" s="152">
        <f t="shared" ref="G89:P89" si="254">G40/G25</f>
        <v>8.5545722713864306E-2</v>
      </c>
      <c r="H89" s="152">
        <f t="shared" si="254"/>
        <v>7.6200417536534448E-2</v>
      </c>
      <c r="I89" s="152">
        <f t="shared" si="254"/>
        <v>0.11077844311377245</v>
      </c>
      <c r="J89" s="152">
        <f t="shared" si="254"/>
        <v>0.10591259640102828</v>
      </c>
      <c r="K89" s="152">
        <f t="shared" si="254"/>
        <v>0.10535481062255116</v>
      </c>
      <c r="L89" s="152">
        <f t="shared" si="254"/>
        <v>7.594038325053229E-2</v>
      </c>
      <c r="M89" s="152">
        <f t="shared" si="254"/>
        <v>8.2372322899505759E-2</v>
      </c>
      <c r="N89" s="152">
        <f t="shared" si="254"/>
        <v>8.0441640378548895E-2</v>
      </c>
      <c r="O89" s="152">
        <f t="shared" si="254"/>
        <v>5.8354324097397145E-2</v>
      </c>
      <c r="P89" s="152">
        <f t="shared" si="254"/>
        <v>6.0506566604127579E-2</v>
      </c>
      <c r="Q89" s="152">
        <f t="shared" ref="Q89" si="255">Q40/Q25</f>
        <v>7.6487252124645896E-2</v>
      </c>
      <c r="R89" s="118">
        <f t="shared" si="251"/>
        <v>-3.7746816247933412E-2</v>
      </c>
      <c r="S89" s="152"/>
      <c r="T89" s="152">
        <f t="shared" ref="T89:AC89" si="256">T40/T25</f>
        <v>7.6487252124645883E-2</v>
      </c>
      <c r="U89" s="152">
        <f t="shared" si="256"/>
        <v>7.6487252124645896E-2</v>
      </c>
      <c r="V89" s="152">
        <f t="shared" si="256"/>
        <v>7.6487252124645896E-2</v>
      </c>
      <c r="W89" s="152">
        <f t="shared" si="256"/>
        <v>7.6487252124645883E-2</v>
      </c>
      <c r="X89" s="152">
        <f t="shared" si="256"/>
        <v>7.6487252124645883E-2</v>
      </c>
      <c r="Y89" s="152">
        <f t="shared" si="256"/>
        <v>7.6487252124645896E-2</v>
      </c>
      <c r="Z89" s="152">
        <f t="shared" si="256"/>
        <v>7.6487252124645883E-2</v>
      </c>
      <c r="AA89" s="152">
        <f t="shared" si="256"/>
        <v>7.6487252124645896E-2</v>
      </c>
      <c r="AB89" s="152">
        <f t="shared" si="256"/>
        <v>7.6487252124645883E-2</v>
      </c>
      <c r="AC89" s="152">
        <f t="shared" si="256"/>
        <v>7.6487252124645883E-2</v>
      </c>
      <c r="AD89" s="138">
        <f t="shared" si="253"/>
        <v>-5.5807153055291714E-3</v>
      </c>
      <c r="AE89" s="146"/>
      <c r="AF89" s="146"/>
    </row>
    <row r="90" spans="2:32" x14ac:dyDescent="0.2">
      <c r="B90" s="20" t="s">
        <v>358</v>
      </c>
      <c r="C90" s="152"/>
      <c r="D90" s="152"/>
      <c r="E90" s="152"/>
      <c r="F90" s="152"/>
      <c r="G90" s="152">
        <f>G40/G7</f>
        <v>0.16909620991253643</v>
      </c>
      <c r="H90" s="152">
        <f t="shared" ref="H90:O90" si="257">H40/H7</f>
        <v>0.21726190476190477</v>
      </c>
      <c r="I90" s="152">
        <f t="shared" si="257"/>
        <v>0.33789954337899542</v>
      </c>
      <c r="J90" s="152">
        <f t="shared" si="257"/>
        <v>0.35517241379310344</v>
      </c>
      <c r="K90" s="152">
        <f t="shared" si="257"/>
        <v>0.28741092636579574</v>
      </c>
      <c r="L90" s="152">
        <f t="shared" si="257"/>
        <v>0.12692763938315541</v>
      </c>
      <c r="M90" s="152">
        <f t="shared" si="257"/>
        <v>0.10869565217391304</v>
      </c>
      <c r="N90" s="152">
        <f t="shared" si="257"/>
        <v>0.18912237330037082</v>
      </c>
      <c r="O90" s="152">
        <f t="shared" si="257"/>
        <v>0.15741789354473387</v>
      </c>
      <c r="P90" s="152">
        <f t="shared" ref="P90:Q90" si="258">P40/P7</f>
        <v>0.13493723849372385</v>
      </c>
      <c r="Q90" s="152">
        <f t="shared" si="258"/>
        <v>0.17057761732851986</v>
      </c>
      <c r="R90" s="118">
        <f t="shared" si="251"/>
        <v>-2.4761399165963427E-2</v>
      </c>
      <c r="S90" s="20"/>
      <c r="T90" s="152">
        <f t="shared" ref="T90" si="259">T40/T7</f>
        <v>0.17057761732851984</v>
      </c>
      <c r="U90" s="152">
        <f t="shared" ref="U90:AC90" si="260">U40/U7</f>
        <v>0.17057761732851984</v>
      </c>
      <c r="V90" s="152">
        <f t="shared" si="260"/>
        <v>0.17057761732851984</v>
      </c>
      <c r="W90" s="152">
        <f t="shared" si="260"/>
        <v>0.17057761732851981</v>
      </c>
      <c r="X90" s="152">
        <f t="shared" si="260"/>
        <v>0.17057761732851981</v>
      </c>
      <c r="Y90" s="152">
        <f t="shared" si="260"/>
        <v>0.17057761732851981</v>
      </c>
      <c r="Z90" s="152">
        <f t="shared" si="260"/>
        <v>0.17057761732851984</v>
      </c>
      <c r="AA90" s="152">
        <f t="shared" si="260"/>
        <v>0.17057761732851984</v>
      </c>
      <c r="AB90" s="152">
        <f t="shared" si="260"/>
        <v>0.17057761732851984</v>
      </c>
      <c r="AC90" s="152">
        <f t="shared" si="260"/>
        <v>0.17057761732851981</v>
      </c>
      <c r="AD90" s="138">
        <f t="shared" si="253"/>
        <v>4.3622433677170669E-4</v>
      </c>
      <c r="AE90" s="146"/>
      <c r="AF90" s="146"/>
    </row>
    <row r="91" spans="2:32" x14ac:dyDescent="0.2">
      <c r="B91" s="20" t="s">
        <v>359</v>
      </c>
      <c r="C91" s="152"/>
      <c r="D91" s="152"/>
      <c r="E91" s="152"/>
      <c r="F91" s="152"/>
      <c r="G91" s="152">
        <f>(G40)/(G7+G10)</f>
        <v>0.16909620991253643</v>
      </c>
      <c r="H91" s="152">
        <f t="shared" ref="H91:O91" si="261">(H40)/(H7+H10)</f>
        <v>0.21726190476190477</v>
      </c>
      <c r="I91" s="152">
        <f t="shared" si="261"/>
        <v>0.33789954337899542</v>
      </c>
      <c r="J91" s="152">
        <f t="shared" si="261"/>
        <v>0.35517241379310344</v>
      </c>
      <c r="K91" s="152">
        <f t="shared" si="261"/>
        <v>0.28741092636579574</v>
      </c>
      <c r="L91" s="152">
        <f t="shared" si="261"/>
        <v>0.12692763938315541</v>
      </c>
      <c r="M91" s="152">
        <f t="shared" si="261"/>
        <v>0.10869565217391304</v>
      </c>
      <c r="N91" s="152">
        <f t="shared" si="261"/>
        <v>0.18912237330037082</v>
      </c>
      <c r="O91" s="152">
        <f t="shared" si="261"/>
        <v>0.15741789354473387</v>
      </c>
      <c r="P91" s="152">
        <f t="shared" ref="P91:Q91" si="262">(P40)/(P7+P10)</f>
        <v>0.13493723849372385</v>
      </c>
      <c r="Q91" s="152">
        <f t="shared" si="262"/>
        <v>0.17057761732851986</v>
      </c>
      <c r="R91" s="118">
        <f t="shared" si="251"/>
        <v>-2.4761399165963427E-2</v>
      </c>
      <c r="S91" s="20"/>
      <c r="T91" s="152">
        <f t="shared" ref="T91:AC91" si="263">(T40)/(T7+T10)</f>
        <v>0.17057761732851984</v>
      </c>
      <c r="U91" s="152">
        <f t="shared" si="263"/>
        <v>0.17057761732851984</v>
      </c>
      <c r="V91" s="152">
        <f t="shared" si="263"/>
        <v>0.17057761732851984</v>
      </c>
      <c r="W91" s="152">
        <f t="shared" si="263"/>
        <v>0.17057761732851981</v>
      </c>
      <c r="X91" s="152">
        <f t="shared" si="263"/>
        <v>0.17057761732851981</v>
      </c>
      <c r="Y91" s="152">
        <f t="shared" si="263"/>
        <v>0.17057761732851981</v>
      </c>
      <c r="Z91" s="152">
        <f t="shared" si="263"/>
        <v>0.17057761732851984</v>
      </c>
      <c r="AA91" s="152">
        <f t="shared" si="263"/>
        <v>0.17057761732851984</v>
      </c>
      <c r="AB91" s="152">
        <f t="shared" si="263"/>
        <v>0.17057761732851984</v>
      </c>
      <c r="AC91" s="152">
        <f t="shared" si="263"/>
        <v>0.17057761732851981</v>
      </c>
      <c r="AD91" s="138">
        <f t="shared" si="253"/>
        <v>4.3622433677170669E-4</v>
      </c>
      <c r="AE91" s="146"/>
      <c r="AF91" s="146"/>
    </row>
    <row r="92" spans="2:32" x14ac:dyDescent="0.2">
      <c r="B92" s="20" t="s">
        <v>375</v>
      </c>
      <c r="C92" s="152"/>
      <c r="D92" s="152"/>
      <c r="E92" s="152"/>
      <c r="F92" s="152"/>
      <c r="G92" s="152">
        <f>G20/G25</f>
        <v>0.10029498525073746</v>
      </c>
      <c r="H92" s="152">
        <f t="shared" ref="H92:P92" si="264">H20/H25</f>
        <v>0.10855949895615867</v>
      </c>
      <c r="I92" s="152">
        <f t="shared" si="264"/>
        <v>0.3532934131736527</v>
      </c>
      <c r="J92" s="152">
        <f t="shared" si="264"/>
        <v>0.24575835475578406</v>
      </c>
      <c r="K92" s="152">
        <f t="shared" si="264"/>
        <v>0.10361340879407924</v>
      </c>
      <c r="L92" s="152">
        <f t="shared" si="264"/>
        <v>9.7941802696948188E-2</v>
      </c>
      <c r="M92" s="152">
        <f t="shared" si="264"/>
        <v>9.3904448105436578E-2</v>
      </c>
      <c r="N92" s="152">
        <f t="shared" si="264"/>
        <v>0.13827549947423765</v>
      </c>
      <c r="O92" s="152">
        <f t="shared" si="264"/>
        <v>7.5986565910999157E-2</v>
      </c>
      <c r="P92" s="152">
        <f t="shared" si="264"/>
        <v>4.596622889305816E-2</v>
      </c>
      <c r="Q92" s="152">
        <f t="shared" ref="Q92" si="265">Q20/Q25</f>
        <v>5.0586806960744635E-2</v>
      </c>
      <c r="R92" s="118">
        <f t="shared" si="251"/>
        <v>-8.3038560396375583E-2</v>
      </c>
      <c r="S92" s="20"/>
      <c r="T92" s="152">
        <f t="shared" ref="T92:AC92" si="266">T20/T25</f>
        <v>5.0586806960744635E-2</v>
      </c>
      <c r="U92" s="152">
        <f t="shared" si="266"/>
        <v>5.0586806960744635E-2</v>
      </c>
      <c r="V92" s="152">
        <f t="shared" si="266"/>
        <v>5.0586806960744635E-2</v>
      </c>
      <c r="W92" s="152">
        <f t="shared" si="266"/>
        <v>5.0586806960744635E-2</v>
      </c>
      <c r="X92" s="152">
        <f t="shared" si="266"/>
        <v>5.0586806960744635E-2</v>
      </c>
      <c r="Y92" s="152">
        <f t="shared" si="266"/>
        <v>5.0586806960744642E-2</v>
      </c>
      <c r="Z92" s="152">
        <f t="shared" si="266"/>
        <v>5.0586806960744635E-2</v>
      </c>
      <c r="AA92" s="152">
        <f t="shared" si="266"/>
        <v>5.0586806960744635E-2</v>
      </c>
      <c r="AB92" s="152">
        <f t="shared" si="266"/>
        <v>5.0586806960744635E-2</v>
      </c>
      <c r="AC92" s="152">
        <f t="shared" si="266"/>
        <v>5.0586806960744635E-2</v>
      </c>
      <c r="AD92" s="138">
        <f t="shared" si="253"/>
        <v>-3.3642320140039761E-2</v>
      </c>
      <c r="AE92" s="146"/>
      <c r="AF92" s="146"/>
    </row>
    <row r="93" spans="2:32" x14ac:dyDescent="0.2">
      <c r="B93" s="20" t="s">
        <v>428</v>
      </c>
      <c r="C93" s="152"/>
      <c r="D93" s="152"/>
      <c r="E93" s="152"/>
      <c r="F93" s="152"/>
      <c r="G93" s="152">
        <f>G52/G25</f>
        <v>1.4749262536873156E-3</v>
      </c>
      <c r="H93" s="152">
        <f t="shared" ref="H93:P93" si="267">H52/H25</f>
        <v>-2.1920668058455117E-2</v>
      </c>
      <c r="I93" s="152">
        <f t="shared" si="267"/>
        <v>2.9940119760479042E-2</v>
      </c>
      <c r="J93" s="152">
        <f t="shared" si="267"/>
        <v>5.2956298200514139E-2</v>
      </c>
      <c r="K93" s="152">
        <f t="shared" si="267"/>
        <v>5.6160208968219417E-2</v>
      </c>
      <c r="L93" s="152">
        <f t="shared" si="267"/>
        <v>3.33569907735983E-2</v>
      </c>
      <c r="M93" s="152">
        <f t="shared" si="267"/>
        <v>3.7067545304777592E-2</v>
      </c>
      <c r="N93" s="152">
        <f t="shared" si="267"/>
        <v>3.8906414300736068E-2</v>
      </c>
      <c r="O93" s="152">
        <f t="shared" si="267"/>
        <v>3.9462636439966413E-2</v>
      </c>
      <c r="P93" s="152">
        <f t="shared" si="267"/>
        <v>2.5797373358348967E-2</v>
      </c>
      <c r="Q93" s="152">
        <f t="shared" ref="Q93" si="268">Q52/Q25</f>
        <v>3.1970861999190608E-2</v>
      </c>
      <c r="R93" s="118">
        <f t="shared" si="251"/>
        <v>0.374325057180527</v>
      </c>
      <c r="S93" s="20"/>
      <c r="T93" s="152">
        <f t="shared" ref="T93:AC93" si="269">T52/T25</f>
        <v>3.1970861999190608E-2</v>
      </c>
      <c r="U93" s="152">
        <f t="shared" si="269"/>
        <v>3.1970861999190608E-2</v>
      </c>
      <c r="V93" s="152">
        <f t="shared" si="269"/>
        <v>3.1970861999190615E-2</v>
      </c>
      <c r="W93" s="152">
        <f t="shared" si="269"/>
        <v>3.1970861999190622E-2</v>
      </c>
      <c r="X93" s="152">
        <f t="shared" si="269"/>
        <v>3.1970861999190629E-2</v>
      </c>
      <c r="Y93" s="152">
        <f t="shared" si="269"/>
        <v>3.1970861999190622E-2</v>
      </c>
      <c r="Z93" s="152">
        <f t="shared" si="269"/>
        <v>3.1970861999190615E-2</v>
      </c>
      <c r="AA93" s="152">
        <f t="shared" si="269"/>
        <v>3.1970861999190615E-2</v>
      </c>
      <c r="AB93" s="152">
        <f t="shared" si="269"/>
        <v>3.1970861999190608E-2</v>
      </c>
      <c r="AC93" s="152">
        <f t="shared" si="269"/>
        <v>3.1970861999190615E-2</v>
      </c>
      <c r="AD93" s="138">
        <f t="shared" si="253"/>
        <v>0.16627026206881368</v>
      </c>
      <c r="AE93" s="146"/>
      <c r="AF93" s="146"/>
    </row>
    <row r="94" spans="2:32" x14ac:dyDescent="0.2">
      <c r="B94" s="20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20"/>
      <c r="T94" s="152"/>
      <c r="U94" s="152"/>
      <c r="V94" s="152"/>
      <c r="W94" s="152"/>
      <c r="X94" s="152"/>
      <c r="Y94" s="152"/>
      <c r="Z94" s="152"/>
      <c r="AA94" s="152"/>
      <c r="AB94" s="152"/>
      <c r="AC94" s="152"/>
      <c r="AD94" s="3"/>
      <c r="AE94" s="146"/>
      <c r="AF94" s="146"/>
    </row>
    <row r="95" spans="2:32" x14ac:dyDescent="0.2">
      <c r="B95" s="20" t="s">
        <v>322</v>
      </c>
      <c r="C95" s="152"/>
      <c r="D95" s="152"/>
      <c r="E95" s="152"/>
      <c r="F95" s="152"/>
      <c r="G95" s="152">
        <f>G29/G25</f>
        <v>2.5073746312684365E-2</v>
      </c>
      <c r="H95" s="152">
        <f t="shared" ref="H95:P95" si="270">H29/H25</f>
        <v>8.350730688935281E-3</v>
      </c>
      <c r="I95" s="152">
        <f t="shared" si="270"/>
        <v>2.2455089820359281E-3</v>
      </c>
      <c r="J95" s="152">
        <f t="shared" si="270"/>
        <v>2.056555269922879E-3</v>
      </c>
      <c r="K95" s="152">
        <f t="shared" si="270"/>
        <v>1.3060513713539399E-3</v>
      </c>
      <c r="L95" s="152">
        <f t="shared" si="270"/>
        <v>2.8388928317955998E-3</v>
      </c>
      <c r="M95" s="152">
        <f t="shared" si="270"/>
        <v>7.5782537067545306E-4</v>
      </c>
      <c r="N95" s="152">
        <f t="shared" si="270"/>
        <v>5.257623554153523E-5</v>
      </c>
      <c r="O95" s="152">
        <f t="shared" si="270"/>
        <v>4.1981528127623851E-5</v>
      </c>
      <c r="P95" s="152">
        <f t="shared" si="270"/>
        <v>4.6904315196998124E-5</v>
      </c>
      <c r="Q95" s="152">
        <f t="shared" ref="Q95" si="271">Q29/Q25</f>
        <v>2.2662889518413601E-4</v>
      </c>
      <c r="R95" s="118">
        <f t="shared" si="251"/>
        <v>-0.50239105950626439</v>
      </c>
      <c r="S95" s="20"/>
      <c r="T95" s="152">
        <f t="shared" ref="T95:AC95" si="272">T29/T25</f>
        <v>2.2662889518413601E-4</v>
      </c>
      <c r="U95" s="152">
        <f t="shared" si="272"/>
        <v>2.2662889518413603E-4</v>
      </c>
      <c r="V95" s="152">
        <f t="shared" si="272"/>
        <v>2.2662889518413603E-4</v>
      </c>
      <c r="W95" s="152">
        <f t="shared" si="272"/>
        <v>2.2662889518413603E-4</v>
      </c>
      <c r="X95" s="152">
        <f t="shared" si="272"/>
        <v>2.2662889518413603E-4</v>
      </c>
      <c r="Y95" s="152">
        <f t="shared" si="272"/>
        <v>2.2662889518413603E-4</v>
      </c>
      <c r="Z95" s="152">
        <f t="shared" si="272"/>
        <v>2.2662889518413603E-4</v>
      </c>
      <c r="AA95" s="152">
        <f t="shared" si="272"/>
        <v>2.2662889518413603E-4</v>
      </c>
      <c r="AB95" s="152">
        <f t="shared" si="272"/>
        <v>2.2662889518413603E-4</v>
      </c>
      <c r="AC95" s="152">
        <f t="shared" si="272"/>
        <v>2.2662889518413603E-4</v>
      </c>
      <c r="AD95" s="138">
        <f t="shared" si="253"/>
        <v>-0.20967666928572115</v>
      </c>
      <c r="AE95" s="146"/>
      <c r="AF95" s="146"/>
    </row>
    <row r="96" spans="2:32" x14ac:dyDescent="0.2">
      <c r="B96" s="20" t="s">
        <v>368</v>
      </c>
      <c r="C96" s="152"/>
      <c r="D96" s="152"/>
      <c r="E96" s="152"/>
      <c r="F96" s="152"/>
      <c r="G96" s="152">
        <f>G29/G36</f>
        <v>0.13821138211382114</v>
      </c>
      <c r="H96" s="152">
        <f t="shared" ref="H96:P96" si="273">H29/H36</f>
        <v>5.7142857142857141E-2</v>
      </c>
      <c r="I96" s="152">
        <f t="shared" si="273"/>
        <v>1.3452914798206279E-2</v>
      </c>
      <c r="J96" s="152">
        <f t="shared" si="273"/>
        <v>1.2084592145015106E-2</v>
      </c>
      <c r="K96" s="152">
        <f t="shared" si="273"/>
        <v>6.8337129840546698E-3</v>
      </c>
      <c r="L96" s="152">
        <f t="shared" si="273"/>
        <v>1.9417475728155338E-2</v>
      </c>
      <c r="M96" s="152">
        <f t="shared" si="273"/>
        <v>4.8936170212765962E-3</v>
      </c>
      <c r="N96" s="152">
        <f t="shared" si="273"/>
        <v>4.4843049327354261E-4</v>
      </c>
      <c r="O96" s="152">
        <f t="shared" si="273"/>
        <v>3.6496350364963507E-4</v>
      </c>
      <c r="P96" s="152">
        <f t="shared" si="273"/>
        <v>4.405286343612335E-4</v>
      </c>
      <c r="Q96" s="152">
        <f t="shared" ref="Q96" si="274">Q29/Q36</f>
        <v>2.0664206642066422E-3</v>
      </c>
      <c r="R96" s="118">
        <f t="shared" ref="R96" si="275">((P96/G96)^(1/($H$2-$H$1) ))-1</f>
        <v>-0.47203714300517685</v>
      </c>
      <c r="S96" s="20"/>
      <c r="T96" s="152">
        <f t="shared" ref="T96:AC96" si="276">T29/T36</f>
        <v>2.0664206642066426E-3</v>
      </c>
      <c r="U96" s="152">
        <f t="shared" si="276"/>
        <v>2.0664206642066426E-3</v>
      </c>
      <c r="V96" s="152">
        <f t="shared" si="276"/>
        <v>2.066420664206643E-3</v>
      </c>
      <c r="W96" s="152">
        <f t="shared" si="276"/>
        <v>2.066420664206643E-3</v>
      </c>
      <c r="X96" s="152">
        <f t="shared" si="276"/>
        <v>2.066420664206643E-3</v>
      </c>
      <c r="Y96" s="152">
        <f t="shared" si="276"/>
        <v>2.066420664206643E-3</v>
      </c>
      <c r="Z96" s="152">
        <f t="shared" si="276"/>
        <v>2.066420664206643E-3</v>
      </c>
      <c r="AA96" s="152">
        <f t="shared" si="276"/>
        <v>2.066420664206643E-3</v>
      </c>
      <c r="AB96" s="152">
        <f t="shared" si="276"/>
        <v>2.0664206642066426E-3</v>
      </c>
      <c r="AC96" s="152">
        <f t="shared" si="276"/>
        <v>2.066420664206643E-3</v>
      </c>
      <c r="AD96" s="138">
        <f t="shared" ref="AD96" si="277">((AC96/G96)^(1/($AC$3-$H$1) ))-1</f>
        <v>-0.18953596711252407</v>
      </c>
      <c r="AE96" s="146"/>
      <c r="AF96" s="146"/>
    </row>
    <row r="97" spans="2:32" ht="12" customHeight="1" x14ac:dyDescent="0.2">
      <c r="B97" s="20" t="s">
        <v>367</v>
      </c>
      <c r="C97" s="152"/>
      <c r="D97" s="152"/>
      <c r="E97" s="152"/>
      <c r="F97" s="152"/>
      <c r="G97" s="171">
        <f t="shared" ref="G97:P97" si="278">G29/G40</f>
        <v>0.29310344827586204</v>
      </c>
      <c r="H97" s="171">
        <f t="shared" si="278"/>
        <v>0.1095890410958904</v>
      </c>
      <c r="I97" s="171">
        <f t="shared" si="278"/>
        <v>2.0270270270270271E-2</v>
      </c>
      <c r="J97" s="171">
        <f t="shared" si="278"/>
        <v>1.9417475728155338E-2</v>
      </c>
      <c r="K97" s="171">
        <f t="shared" si="278"/>
        <v>1.2396694214876033E-2</v>
      </c>
      <c r="L97" s="171">
        <f t="shared" si="278"/>
        <v>3.7383177570093455E-2</v>
      </c>
      <c r="M97" s="171">
        <f t="shared" si="278"/>
        <v>9.1999999999999998E-3</v>
      </c>
      <c r="N97" s="171">
        <f t="shared" si="278"/>
        <v>6.5359477124183013E-4</v>
      </c>
      <c r="O97" s="171">
        <f t="shared" si="278"/>
        <v>7.1942446043165469E-4</v>
      </c>
      <c r="P97" s="171">
        <f t="shared" si="278"/>
        <v>7.7519379844961239E-4</v>
      </c>
      <c r="Q97" s="171">
        <f t="shared" ref="Q97" si="279">Q29/Q40</f>
        <v>2.9629629629629632E-3</v>
      </c>
      <c r="R97" s="118">
        <f t="shared" ref="R97" si="280">((P97/G97)^(1/($H$2-$H$1) ))-1</f>
        <v>-0.48287108954689706</v>
      </c>
      <c r="S97" s="20"/>
      <c r="T97" s="171">
        <f t="shared" ref="T97:AC97" si="281">T29/T40</f>
        <v>2.9629629629629632E-3</v>
      </c>
      <c r="U97" s="171">
        <f t="shared" si="281"/>
        <v>2.9629629629629637E-3</v>
      </c>
      <c r="V97" s="171">
        <f t="shared" si="281"/>
        <v>2.9629629629629637E-3</v>
      </c>
      <c r="W97" s="171">
        <f t="shared" si="281"/>
        <v>2.9629629629629641E-3</v>
      </c>
      <c r="X97" s="171">
        <f t="shared" si="281"/>
        <v>2.9629629629629641E-3</v>
      </c>
      <c r="Y97" s="171">
        <f t="shared" si="281"/>
        <v>2.9629629629629637E-3</v>
      </c>
      <c r="Z97" s="171">
        <f t="shared" si="281"/>
        <v>2.9629629629629637E-3</v>
      </c>
      <c r="AA97" s="171">
        <f t="shared" si="281"/>
        <v>2.9629629629629637E-3</v>
      </c>
      <c r="AB97" s="171">
        <f t="shared" si="281"/>
        <v>2.9629629629629637E-3</v>
      </c>
      <c r="AC97" s="171">
        <f t="shared" si="281"/>
        <v>2.9629629629629641E-3</v>
      </c>
      <c r="AD97" s="138">
        <f t="shared" ref="AD97" si="282">((AC97/G97)^(1/($AC$3-$H$1) ))-1</f>
        <v>-0.20524134750956613</v>
      </c>
      <c r="AE97" s="146"/>
      <c r="AF97" s="146"/>
    </row>
    <row r="98" spans="2:32" ht="12" customHeight="1" x14ac:dyDescent="0.2">
      <c r="B98" s="20" t="s">
        <v>324</v>
      </c>
      <c r="C98" s="152"/>
      <c r="D98" s="152"/>
      <c r="E98" s="152"/>
      <c r="F98" s="152"/>
      <c r="G98" s="171">
        <f t="shared" ref="G98:P98" si="283">G29/G12</f>
        <v>0.32692307692307693</v>
      </c>
      <c r="H98" s="171">
        <f t="shared" si="283"/>
        <v>8.247422680412371E-2</v>
      </c>
      <c r="I98" s="171">
        <f t="shared" si="283"/>
        <v>7.6726342710997444E-3</v>
      </c>
      <c r="J98" s="171">
        <f t="shared" si="283"/>
        <v>6.5252854812398045E-3</v>
      </c>
      <c r="K98" s="171">
        <f t="shared" si="283"/>
        <v>5.2816901408450703E-3</v>
      </c>
      <c r="L98" s="171">
        <f t="shared" si="283"/>
        <v>6.369426751592357E-3</v>
      </c>
      <c r="M98" s="171">
        <f t="shared" si="283"/>
        <v>1.2551159618008187E-3</v>
      </c>
      <c r="N98" s="171">
        <f t="shared" si="283"/>
        <v>1.3227513227513228E-4</v>
      </c>
      <c r="O98" s="171">
        <f t="shared" si="283"/>
        <v>1.4025245441795232E-4</v>
      </c>
      <c r="P98" s="171">
        <f t="shared" si="283"/>
        <v>1.3003901170351105E-4</v>
      </c>
      <c r="Q98" s="171">
        <f t="shared" ref="Q98" si="284">Q29/Q12</f>
        <v>6.1269146608315108E-4</v>
      </c>
      <c r="R98" s="118">
        <f t="shared" si="251"/>
        <v>-0.58103195714192402</v>
      </c>
      <c r="S98" s="20"/>
      <c r="T98" s="152">
        <f t="shared" ref="T98:AC98" si="285">T29/T12</f>
        <v>6.1269146608315098E-4</v>
      </c>
      <c r="U98" s="152">
        <f t="shared" si="285"/>
        <v>6.1269146608315108E-4</v>
      </c>
      <c r="V98" s="152">
        <f t="shared" si="285"/>
        <v>6.1269146608315108E-4</v>
      </c>
      <c r="W98" s="152">
        <f t="shared" si="285"/>
        <v>6.1269146608315119E-4</v>
      </c>
      <c r="X98" s="152">
        <f t="shared" si="285"/>
        <v>6.1269146608315108E-4</v>
      </c>
      <c r="Y98" s="152">
        <f t="shared" si="285"/>
        <v>6.1269146608315098E-4</v>
      </c>
      <c r="Z98" s="152">
        <f t="shared" si="285"/>
        <v>6.1269146608315098E-4</v>
      </c>
      <c r="AA98" s="152">
        <f t="shared" si="285"/>
        <v>6.1269146608315098E-4</v>
      </c>
      <c r="AB98" s="152">
        <f t="shared" si="285"/>
        <v>6.1269146608315098E-4</v>
      </c>
      <c r="AC98" s="152">
        <f t="shared" si="285"/>
        <v>6.1269146608315108E-4</v>
      </c>
      <c r="AD98" s="138">
        <f t="shared" si="253"/>
        <v>-0.26946704407697031</v>
      </c>
      <c r="AE98" s="146"/>
      <c r="AF98" s="146"/>
    </row>
    <row r="99" spans="2:32" ht="12" customHeight="1" x14ac:dyDescent="0.2">
      <c r="B99" s="20" t="s">
        <v>369</v>
      </c>
      <c r="C99" s="152"/>
      <c r="D99" s="152"/>
      <c r="E99" s="152"/>
      <c r="F99" s="152"/>
      <c r="G99" s="171">
        <f>G29/G23</f>
        <v>0.32692307692307693</v>
      </c>
      <c r="H99" s="171">
        <f t="shared" ref="H99:P99" si="286">H29/H23</f>
        <v>8.247422680412371E-2</v>
      </c>
      <c r="I99" s="171">
        <f t="shared" si="286"/>
        <v>7.6530612244897957E-3</v>
      </c>
      <c r="J99" s="171">
        <f t="shared" si="286"/>
        <v>6.5359477124183009E-3</v>
      </c>
      <c r="K99" s="171">
        <f t="shared" si="286"/>
        <v>5.2816901408450703E-3</v>
      </c>
      <c r="L99" s="171">
        <f t="shared" si="286"/>
        <v>6.4516129032258064E-3</v>
      </c>
      <c r="M99" s="171">
        <f t="shared" si="286"/>
        <v>1.2654745529573591E-3</v>
      </c>
      <c r="N99" s="171">
        <f t="shared" si="286"/>
        <v>1.3736263736263736E-4</v>
      </c>
      <c r="O99" s="171">
        <f t="shared" si="286"/>
        <v>8.3333333333333332E-3</v>
      </c>
      <c r="P99" s="171">
        <f t="shared" si="286"/>
        <v>0.01</v>
      </c>
      <c r="Q99" s="171">
        <f t="shared" ref="Q99" si="287">Q29/Q23</f>
        <v>0.04</v>
      </c>
      <c r="R99" s="118">
        <f t="shared" ref="R99" si="288">((P99/G99)^(1/($H$2-$H$1) ))-1</f>
        <v>-0.32122120092076267</v>
      </c>
      <c r="S99" s="20"/>
      <c r="T99" s="171">
        <f t="shared" ref="T99:AC99" si="289">T29/T23</f>
        <v>4.0000000000000008E-2</v>
      </c>
      <c r="U99" s="171">
        <f t="shared" si="289"/>
        <v>4.0000000000000008E-2</v>
      </c>
      <c r="V99" s="171">
        <f t="shared" si="289"/>
        <v>4.0000000000000008E-2</v>
      </c>
      <c r="W99" s="171">
        <f t="shared" si="289"/>
        <v>4.0000000000000008E-2</v>
      </c>
      <c r="X99" s="171">
        <f t="shared" si="289"/>
        <v>4.0000000000000008E-2</v>
      </c>
      <c r="Y99" s="171">
        <f t="shared" si="289"/>
        <v>0.04</v>
      </c>
      <c r="Z99" s="171">
        <f t="shared" si="289"/>
        <v>4.0000000000000008E-2</v>
      </c>
      <c r="AA99" s="171">
        <f t="shared" si="289"/>
        <v>4.0000000000000008E-2</v>
      </c>
      <c r="AB99" s="171">
        <f t="shared" si="289"/>
        <v>4.0000000000000008E-2</v>
      </c>
      <c r="AC99" s="171">
        <f t="shared" si="289"/>
        <v>4.0000000000000008E-2</v>
      </c>
      <c r="AD99" s="138">
        <f t="shared" ref="AD99" si="290">((AC99/G99)^(1/($AC$3-$H$1) ))-1</f>
        <v>-9.9713535593142333E-2</v>
      </c>
      <c r="AE99" s="146"/>
      <c r="AF99" s="146"/>
    </row>
    <row r="100" spans="2:32" ht="12" customHeight="1" x14ac:dyDescent="0.2">
      <c r="B100" s="20"/>
      <c r="C100" s="152"/>
      <c r="D100" s="152"/>
      <c r="E100" s="152"/>
      <c r="F100" s="152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20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  <c r="AD100" s="152"/>
      <c r="AE100" s="146"/>
      <c r="AF100" s="146"/>
    </row>
    <row r="101" spans="2:32" ht="12" customHeight="1" x14ac:dyDescent="0.2">
      <c r="B101" s="20" t="s">
        <v>402</v>
      </c>
      <c r="C101" s="152"/>
      <c r="D101" s="152"/>
      <c r="E101" s="152"/>
      <c r="F101" s="152"/>
      <c r="G101" s="127">
        <f>1/G95</f>
        <v>39.882352941176471</v>
      </c>
      <c r="H101" s="127">
        <f t="shared" ref="H101:P101" si="291">1/H95</f>
        <v>119.75000000000001</v>
      </c>
      <c r="I101" s="127">
        <f t="shared" si="291"/>
        <v>445.33333333333337</v>
      </c>
      <c r="J101" s="127">
        <f t="shared" si="291"/>
        <v>486.25000000000006</v>
      </c>
      <c r="K101" s="127">
        <f t="shared" si="291"/>
        <v>765.66666666666663</v>
      </c>
      <c r="L101" s="127">
        <f t="shared" si="291"/>
        <v>352.25</v>
      </c>
      <c r="M101" s="127">
        <f t="shared" si="291"/>
        <v>1319.5652173913043</v>
      </c>
      <c r="N101" s="127">
        <f t="shared" si="291"/>
        <v>19020</v>
      </c>
      <c r="O101" s="127">
        <f t="shared" si="291"/>
        <v>23819.999999999996</v>
      </c>
      <c r="P101" s="127">
        <f t="shared" si="291"/>
        <v>21320</v>
      </c>
      <c r="Q101" s="127">
        <f t="shared" ref="Q101" si="292">1/Q95</f>
        <v>4412.4999999999991</v>
      </c>
      <c r="R101" s="118">
        <f t="shared" si="251"/>
        <v>1.0096101951218639</v>
      </c>
      <c r="S101" s="20"/>
      <c r="T101" s="127">
        <f t="shared" ref="T101:AC101" si="293">1/T95</f>
        <v>4412.4999999999991</v>
      </c>
      <c r="U101" s="127">
        <f t="shared" si="293"/>
        <v>4412.4999999999991</v>
      </c>
      <c r="V101" s="127">
        <f t="shared" si="293"/>
        <v>4412.4999999999991</v>
      </c>
      <c r="W101" s="127">
        <f t="shared" si="293"/>
        <v>4412.4999999999991</v>
      </c>
      <c r="X101" s="127">
        <f t="shared" si="293"/>
        <v>4412.4999999999991</v>
      </c>
      <c r="Y101" s="127">
        <f t="shared" si="293"/>
        <v>4412.4999999999991</v>
      </c>
      <c r="Z101" s="127">
        <f t="shared" si="293"/>
        <v>4412.4999999999991</v>
      </c>
      <c r="AA101" s="127">
        <f t="shared" si="293"/>
        <v>4412.4999999999991</v>
      </c>
      <c r="AB101" s="127">
        <f t="shared" si="293"/>
        <v>4412.4999999999991</v>
      </c>
      <c r="AC101" s="127">
        <f t="shared" si="293"/>
        <v>4412.4999999999991</v>
      </c>
      <c r="AD101" s="138">
        <f t="shared" si="253"/>
        <v>0.26530492158977448</v>
      </c>
      <c r="AE101" s="146"/>
      <c r="AF101" s="146"/>
    </row>
    <row r="102" spans="2:32" ht="12" customHeight="1" x14ac:dyDescent="0.2">
      <c r="B102" s="20" t="s">
        <v>403</v>
      </c>
      <c r="C102" s="152"/>
      <c r="D102" s="152"/>
      <c r="E102" s="152"/>
      <c r="F102" s="152"/>
      <c r="G102" s="127">
        <f t="shared" ref="G102:P105" si="294">1/G96</f>
        <v>7.2352941176470589</v>
      </c>
      <c r="H102" s="127">
        <f t="shared" si="294"/>
        <v>17.5</v>
      </c>
      <c r="I102" s="127">
        <f t="shared" si="294"/>
        <v>74.333333333333329</v>
      </c>
      <c r="J102" s="127">
        <f t="shared" si="294"/>
        <v>82.75</v>
      </c>
      <c r="K102" s="127">
        <f t="shared" si="294"/>
        <v>146.33333333333334</v>
      </c>
      <c r="L102" s="127">
        <f t="shared" si="294"/>
        <v>51.500000000000007</v>
      </c>
      <c r="M102" s="127">
        <f t="shared" si="294"/>
        <v>204.3478260869565</v>
      </c>
      <c r="N102" s="127">
        <f t="shared" si="294"/>
        <v>2230</v>
      </c>
      <c r="O102" s="127">
        <f t="shared" si="294"/>
        <v>2739.9999999999995</v>
      </c>
      <c r="P102" s="127">
        <f t="shared" si="294"/>
        <v>2270</v>
      </c>
      <c r="Q102" s="127">
        <f t="shared" ref="Q102" si="295">1/Q96</f>
        <v>483.92857142857139</v>
      </c>
      <c r="R102" s="118">
        <f t="shared" si="251"/>
        <v>0.89407263551080707</v>
      </c>
      <c r="S102" s="20"/>
      <c r="T102" s="127">
        <f t="shared" ref="T102:AC102" si="296">1/T96</f>
        <v>483.92857142857127</v>
      </c>
      <c r="U102" s="127">
        <f t="shared" si="296"/>
        <v>483.92857142857127</v>
      </c>
      <c r="V102" s="127">
        <f t="shared" si="296"/>
        <v>483.92857142857122</v>
      </c>
      <c r="W102" s="127">
        <f t="shared" si="296"/>
        <v>483.92857142857122</v>
      </c>
      <c r="X102" s="127">
        <f t="shared" si="296"/>
        <v>483.92857142857122</v>
      </c>
      <c r="Y102" s="127">
        <f t="shared" si="296"/>
        <v>483.92857142857122</v>
      </c>
      <c r="Z102" s="127">
        <f t="shared" si="296"/>
        <v>483.92857142857122</v>
      </c>
      <c r="AA102" s="127">
        <f t="shared" si="296"/>
        <v>483.92857142857122</v>
      </c>
      <c r="AB102" s="127">
        <f t="shared" si="296"/>
        <v>483.92857142857127</v>
      </c>
      <c r="AC102" s="127">
        <f t="shared" si="296"/>
        <v>483.92857142857122</v>
      </c>
      <c r="AD102" s="138">
        <f t="shared" si="253"/>
        <v>0.23386104678483499</v>
      </c>
      <c r="AE102" s="146"/>
      <c r="AF102" s="146"/>
    </row>
    <row r="103" spans="2:32" ht="12" customHeight="1" x14ac:dyDescent="0.2">
      <c r="B103" s="20" t="s">
        <v>404</v>
      </c>
      <c r="C103" s="152"/>
      <c r="D103" s="152"/>
      <c r="E103" s="152"/>
      <c r="F103" s="152"/>
      <c r="G103" s="127">
        <f t="shared" si="294"/>
        <v>3.4117647058823533</v>
      </c>
      <c r="H103" s="127">
        <f t="shared" si="294"/>
        <v>9.125</v>
      </c>
      <c r="I103" s="127">
        <f t="shared" si="294"/>
        <v>49.333333333333329</v>
      </c>
      <c r="J103" s="127">
        <f t="shared" si="294"/>
        <v>51.500000000000007</v>
      </c>
      <c r="K103" s="127">
        <f t="shared" si="294"/>
        <v>80.666666666666671</v>
      </c>
      <c r="L103" s="127">
        <f t="shared" si="294"/>
        <v>26.750000000000004</v>
      </c>
      <c r="M103" s="127">
        <f t="shared" si="294"/>
        <v>108.69565217391305</v>
      </c>
      <c r="N103" s="127">
        <f t="shared" si="294"/>
        <v>1529.9999999999998</v>
      </c>
      <c r="O103" s="127">
        <f t="shared" si="294"/>
        <v>1390</v>
      </c>
      <c r="P103" s="127">
        <f t="shared" si="294"/>
        <v>1290</v>
      </c>
      <c r="Q103" s="127">
        <f t="shared" ref="Q103" si="297">1/Q97</f>
        <v>337.49999999999994</v>
      </c>
      <c r="R103" s="118">
        <f t="shared" si="251"/>
        <v>0.93375380835662525</v>
      </c>
      <c r="S103" s="20"/>
      <c r="T103" s="127">
        <f t="shared" ref="T103:AC103" si="298">1/T97</f>
        <v>337.49999999999994</v>
      </c>
      <c r="U103" s="127">
        <f t="shared" si="298"/>
        <v>337.49999999999994</v>
      </c>
      <c r="V103" s="127">
        <f t="shared" si="298"/>
        <v>337.49999999999994</v>
      </c>
      <c r="W103" s="127">
        <f t="shared" si="298"/>
        <v>337.49999999999989</v>
      </c>
      <c r="X103" s="127">
        <f t="shared" si="298"/>
        <v>337.49999999999989</v>
      </c>
      <c r="Y103" s="127">
        <f t="shared" si="298"/>
        <v>337.49999999999994</v>
      </c>
      <c r="Z103" s="127">
        <f t="shared" si="298"/>
        <v>337.49999999999994</v>
      </c>
      <c r="AA103" s="127">
        <f t="shared" si="298"/>
        <v>337.49999999999994</v>
      </c>
      <c r="AB103" s="127">
        <f t="shared" si="298"/>
        <v>337.49999999999994</v>
      </c>
      <c r="AC103" s="127">
        <f t="shared" si="298"/>
        <v>337.49999999999989</v>
      </c>
      <c r="AD103" s="138">
        <f t="shared" si="253"/>
        <v>0.25824361504769699</v>
      </c>
      <c r="AE103" s="146"/>
      <c r="AF103" s="146"/>
    </row>
    <row r="104" spans="2:32" ht="12" customHeight="1" x14ac:dyDescent="0.2">
      <c r="B104" s="20" t="s">
        <v>405</v>
      </c>
      <c r="C104" s="152"/>
      <c r="D104" s="152"/>
      <c r="E104" s="152"/>
      <c r="F104" s="152"/>
      <c r="G104" s="127">
        <f t="shared" si="294"/>
        <v>3.0588235294117645</v>
      </c>
      <c r="H104" s="127">
        <f t="shared" si="294"/>
        <v>12.125</v>
      </c>
      <c r="I104" s="127">
        <f t="shared" si="294"/>
        <v>130.33333333333334</v>
      </c>
      <c r="J104" s="127">
        <f t="shared" si="294"/>
        <v>153.25</v>
      </c>
      <c r="K104" s="127">
        <f t="shared" si="294"/>
        <v>189.33333333333334</v>
      </c>
      <c r="L104" s="127">
        <f t="shared" si="294"/>
        <v>157</v>
      </c>
      <c r="M104" s="127">
        <f t="shared" si="294"/>
        <v>796.73913043478251</v>
      </c>
      <c r="N104" s="127">
        <f t="shared" si="294"/>
        <v>7559.9999999999991</v>
      </c>
      <c r="O104" s="127">
        <f t="shared" si="294"/>
        <v>7130</v>
      </c>
      <c r="P104" s="127">
        <f t="shared" si="294"/>
        <v>7690</v>
      </c>
      <c r="Q104" s="127">
        <f t="shared" ref="Q104" si="299">1/Q98</f>
        <v>1632.1428571428569</v>
      </c>
      <c r="R104" s="118">
        <f t="shared" si="251"/>
        <v>1.3868168874606668</v>
      </c>
      <c r="S104" s="20"/>
      <c r="T104" s="127">
        <f t="shared" ref="T104:AC104" si="300">1/T98</f>
        <v>1632.1428571428571</v>
      </c>
      <c r="U104" s="127">
        <f t="shared" si="300"/>
        <v>1632.1428571428569</v>
      </c>
      <c r="V104" s="127">
        <f t="shared" si="300"/>
        <v>1632.1428571428569</v>
      </c>
      <c r="W104" s="127">
        <f t="shared" si="300"/>
        <v>1632.1428571428567</v>
      </c>
      <c r="X104" s="127">
        <f t="shared" si="300"/>
        <v>1632.1428571428569</v>
      </c>
      <c r="Y104" s="127">
        <f t="shared" si="300"/>
        <v>1632.1428571428571</v>
      </c>
      <c r="Z104" s="127">
        <f t="shared" si="300"/>
        <v>1632.1428571428571</v>
      </c>
      <c r="AA104" s="127">
        <f t="shared" si="300"/>
        <v>1632.1428571428571</v>
      </c>
      <c r="AB104" s="127">
        <f t="shared" si="300"/>
        <v>1632.1428571428571</v>
      </c>
      <c r="AC104" s="127">
        <f t="shared" si="300"/>
        <v>1632.1428571428569</v>
      </c>
      <c r="AD104" s="138">
        <f t="shared" si="253"/>
        <v>0.36886363837822778</v>
      </c>
      <c r="AE104" s="146"/>
      <c r="AF104" s="146"/>
    </row>
    <row r="105" spans="2:32" ht="12" customHeight="1" x14ac:dyDescent="0.2">
      <c r="B105" s="20" t="s">
        <v>406</v>
      </c>
      <c r="C105" s="152"/>
      <c r="D105" s="152"/>
      <c r="E105" s="152"/>
      <c r="F105" s="152"/>
      <c r="G105" s="127">
        <f t="shared" si="294"/>
        <v>3.0588235294117645</v>
      </c>
      <c r="H105" s="127">
        <f t="shared" si="294"/>
        <v>12.125</v>
      </c>
      <c r="I105" s="127">
        <f t="shared" si="294"/>
        <v>130.66666666666666</v>
      </c>
      <c r="J105" s="127">
        <f t="shared" si="294"/>
        <v>153</v>
      </c>
      <c r="K105" s="127">
        <f t="shared" si="294"/>
        <v>189.33333333333334</v>
      </c>
      <c r="L105" s="127">
        <f t="shared" si="294"/>
        <v>155</v>
      </c>
      <c r="M105" s="127">
        <f t="shared" si="294"/>
        <v>790.21739130434776</v>
      </c>
      <c r="N105" s="127">
        <f t="shared" si="294"/>
        <v>7280</v>
      </c>
      <c r="O105" s="127">
        <f t="shared" si="294"/>
        <v>120</v>
      </c>
      <c r="P105" s="127">
        <f t="shared" si="294"/>
        <v>100</v>
      </c>
      <c r="Q105" s="127">
        <f t="shared" ref="Q105" si="301">1/Q99</f>
        <v>25</v>
      </c>
      <c r="R105" s="118">
        <f t="shared" si="251"/>
        <v>0.47323399221734519</v>
      </c>
      <c r="S105" s="20"/>
      <c r="T105" s="127">
        <f t="shared" ref="T105:AC105" si="302">1/T99</f>
        <v>24.999999999999996</v>
      </c>
      <c r="U105" s="127">
        <f t="shared" si="302"/>
        <v>24.999999999999996</v>
      </c>
      <c r="V105" s="127">
        <f t="shared" si="302"/>
        <v>24.999999999999996</v>
      </c>
      <c r="W105" s="127">
        <f t="shared" si="302"/>
        <v>24.999999999999996</v>
      </c>
      <c r="X105" s="127">
        <f t="shared" si="302"/>
        <v>24.999999999999996</v>
      </c>
      <c r="Y105" s="127">
        <f t="shared" si="302"/>
        <v>25</v>
      </c>
      <c r="Z105" s="127">
        <f t="shared" si="302"/>
        <v>24.999999999999996</v>
      </c>
      <c r="AA105" s="127">
        <f t="shared" si="302"/>
        <v>24.999999999999996</v>
      </c>
      <c r="AB105" s="127">
        <f t="shared" si="302"/>
        <v>24.999999999999996</v>
      </c>
      <c r="AC105" s="127">
        <f t="shared" si="302"/>
        <v>24.999999999999996</v>
      </c>
      <c r="AD105" s="138">
        <f t="shared" si="253"/>
        <v>0.11075756388144442</v>
      </c>
      <c r="AE105" s="146"/>
      <c r="AF105" s="146"/>
    </row>
    <row r="106" spans="2:32" ht="12" customHeight="1" x14ac:dyDescent="0.2">
      <c r="B106" s="20"/>
      <c r="C106" s="152"/>
      <c r="D106" s="152"/>
      <c r="E106" s="152"/>
      <c r="F106" s="152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20"/>
      <c r="T106" s="152"/>
      <c r="U106" s="152"/>
      <c r="V106" s="152"/>
      <c r="W106" s="152"/>
      <c r="X106" s="152"/>
      <c r="Y106" s="152"/>
      <c r="Z106" s="152"/>
      <c r="AA106" s="152"/>
      <c r="AB106" s="152"/>
      <c r="AC106" s="152"/>
      <c r="AD106" s="152"/>
      <c r="AE106" s="146"/>
      <c r="AF106" s="146"/>
    </row>
    <row r="107" spans="2:32" ht="12" customHeight="1" x14ac:dyDescent="0.2">
      <c r="B107" s="20"/>
      <c r="C107" s="152"/>
      <c r="D107" s="152"/>
      <c r="E107" s="152"/>
      <c r="F107" s="152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20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52"/>
      <c r="AD107" s="152"/>
      <c r="AE107" s="146"/>
      <c r="AF107" s="146"/>
    </row>
    <row r="108" spans="2:32" x14ac:dyDescent="0.2">
      <c r="B108" s="20" t="s">
        <v>325</v>
      </c>
      <c r="C108" s="152"/>
      <c r="D108" s="152"/>
      <c r="E108" s="152"/>
      <c r="F108" s="163"/>
      <c r="G108" s="163">
        <f t="shared" ref="G108:O108" si="303">G10-(G12+G13)</f>
        <v>-180</v>
      </c>
      <c r="H108" s="163">
        <f t="shared" si="303"/>
        <v>-163</v>
      </c>
      <c r="I108" s="163">
        <f t="shared" si="303"/>
        <v>-493</v>
      </c>
      <c r="J108" s="163">
        <f t="shared" si="303"/>
        <v>-715</v>
      </c>
      <c r="K108" s="163">
        <f t="shared" si="303"/>
        <v>-671</v>
      </c>
      <c r="L108" s="163">
        <f t="shared" si="303"/>
        <v>-732</v>
      </c>
      <c r="M108" s="163">
        <f t="shared" si="303"/>
        <v>-837</v>
      </c>
      <c r="N108" s="163">
        <f t="shared" si="303"/>
        <v>-833</v>
      </c>
      <c r="O108" s="163">
        <f t="shared" si="303"/>
        <v>-777</v>
      </c>
      <c r="P108" s="163">
        <f>P10-(P12+P13)</f>
        <v>-833</v>
      </c>
      <c r="Q108" s="163">
        <f>Q10-(Q12+Q13)</f>
        <v>-978</v>
      </c>
      <c r="R108" s="118">
        <f t="shared" si="251"/>
        <v>0.1855783974107561</v>
      </c>
      <c r="S108" s="20"/>
      <c r="T108" s="163">
        <f>T10-(T12+T13)</f>
        <v>-1056.2400000000002</v>
      </c>
      <c r="U108" s="163">
        <f t="shared" ref="U108:AC108" si="304">U10-(U12+U13)</f>
        <v>-1140.7392000000002</v>
      </c>
      <c r="V108" s="163">
        <f t="shared" si="304"/>
        <v>-1231.9983360000003</v>
      </c>
      <c r="W108" s="163">
        <f t="shared" si="304"/>
        <v>-1330.5582028800004</v>
      </c>
      <c r="X108" s="163">
        <f t="shared" si="304"/>
        <v>-1437.0028591104005</v>
      </c>
      <c r="Y108" s="163">
        <f t="shared" si="304"/>
        <v>-1551.9630878392329</v>
      </c>
      <c r="Z108" s="163">
        <f t="shared" si="304"/>
        <v>-1676.1201348663717</v>
      </c>
      <c r="AA108" s="163">
        <f t="shared" si="304"/>
        <v>-1810.2097456556817</v>
      </c>
      <c r="AB108" s="163">
        <f t="shared" si="304"/>
        <v>-1955.0265253081361</v>
      </c>
      <c r="AC108" s="163">
        <f t="shared" si="304"/>
        <v>-2111.428647332787</v>
      </c>
      <c r="AD108" s="138">
        <f t="shared" si="253"/>
        <v>0.13100674574669013</v>
      </c>
      <c r="AE108" s="146"/>
      <c r="AF108" s="146"/>
    </row>
    <row r="109" spans="2:32" ht="12" customHeight="1" x14ac:dyDescent="0.2">
      <c r="B109" s="20" t="s">
        <v>320</v>
      </c>
      <c r="C109" s="20"/>
      <c r="D109" s="20"/>
      <c r="E109" s="20"/>
      <c r="F109" s="20"/>
      <c r="G109" s="152">
        <f t="shared" ref="G109:P109" si="305">G40/G18</f>
        <v>0.3493975903614458</v>
      </c>
      <c r="H109" s="152">
        <f t="shared" si="305"/>
        <v>0.45624999999999999</v>
      </c>
      <c r="I109" s="152">
        <f t="shared" si="305"/>
        <v>0.60162601626016265</v>
      </c>
      <c r="J109" s="152">
        <f t="shared" si="305"/>
        <v>0.53367875647668395</v>
      </c>
      <c r="K109" s="152">
        <f t="shared" si="305"/>
        <v>0.43447037701974867</v>
      </c>
      <c r="L109" s="152">
        <f t="shared" si="305"/>
        <v>0.20616570327552985</v>
      </c>
      <c r="M109" s="152">
        <f t="shared" si="305"/>
        <v>0.22271714922048999</v>
      </c>
      <c r="N109" s="152">
        <f t="shared" si="305"/>
        <v>0.35498839907192575</v>
      </c>
      <c r="O109" s="152">
        <f t="shared" si="305"/>
        <v>0.25181159420289856</v>
      </c>
      <c r="P109" s="152">
        <f t="shared" si="305"/>
        <v>0.29185520361990952</v>
      </c>
      <c r="Q109" s="152">
        <f t="shared" ref="Q109" si="306">Q40/Q18</f>
        <v>0.48091603053435117</v>
      </c>
      <c r="R109" s="118">
        <f t="shared" si="251"/>
        <v>-1.9796175180876285E-2</v>
      </c>
      <c r="S109" s="20"/>
      <c r="T109" s="152">
        <f t="shared" ref="T109:AC109" si="307">T40/T18</f>
        <v>0.48091603053435111</v>
      </c>
      <c r="U109" s="152">
        <f t="shared" si="307"/>
        <v>0.48091603053435111</v>
      </c>
      <c r="V109" s="152">
        <f t="shared" si="307"/>
        <v>0.48091603053435111</v>
      </c>
      <c r="W109" s="152">
        <f t="shared" si="307"/>
        <v>0.48091603053435106</v>
      </c>
      <c r="X109" s="152">
        <f t="shared" si="307"/>
        <v>0.480916030534351</v>
      </c>
      <c r="Y109" s="152">
        <f t="shared" si="307"/>
        <v>0.480916030534351</v>
      </c>
      <c r="Z109" s="152">
        <f t="shared" si="307"/>
        <v>0.480916030534351</v>
      </c>
      <c r="AA109" s="152">
        <f t="shared" si="307"/>
        <v>0.480916030534351</v>
      </c>
      <c r="AB109" s="152">
        <f t="shared" si="307"/>
        <v>0.48091603053435095</v>
      </c>
      <c r="AC109" s="152">
        <f t="shared" si="307"/>
        <v>0.48091603053435095</v>
      </c>
      <c r="AD109" s="138">
        <f t="shared" si="253"/>
        <v>1.6102377209706642E-2</v>
      </c>
      <c r="AE109" s="20"/>
      <c r="AF109" s="20"/>
    </row>
    <row r="110" spans="2:32" x14ac:dyDescent="0.2">
      <c r="B110" s="20" t="s">
        <v>321</v>
      </c>
      <c r="C110" s="20"/>
      <c r="D110" s="20"/>
      <c r="E110" s="20"/>
      <c r="F110" s="20"/>
      <c r="G110" s="152">
        <f t="shared" ref="G110:P110" si="308">G40/G25</f>
        <v>8.5545722713864306E-2</v>
      </c>
      <c r="H110" s="152">
        <f t="shared" si="308"/>
        <v>7.6200417536534448E-2</v>
      </c>
      <c r="I110" s="152">
        <f t="shared" si="308"/>
        <v>0.11077844311377245</v>
      </c>
      <c r="J110" s="152">
        <f t="shared" si="308"/>
        <v>0.10591259640102828</v>
      </c>
      <c r="K110" s="152">
        <f t="shared" si="308"/>
        <v>0.10535481062255116</v>
      </c>
      <c r="L110" s="152">
        <f t="shared" si="308"/>
        <v>7.594038325053229E-2</v>
      </c>
      <c r="M110" s="152">
        <f t="shared" si="308"/>
        <v>8.2372322899505759E-2</v>
      </c>
      <c r="N110" s="152">
        <f t="shared" si="308"/>
        <v>8.0441640378548895E-2</v>
      </c>
      <c r="O110" s="152">
        <f t="shared" si="308"/>
        <v>5.8354324097397145E-2</v>
      </c>
      <c r="P110" s="152">
        <f t="shared" si="308"/>
        <v>6.0506566604127579E-2</v>
      </c>
      <c r="Q110" s="152">
        <f t="shared" ref="Q110" si="309">Q40/Q25</f>
        <v>7.6487252124645896E-2</v>
      </c>
      <c r="R110" s="118">
        <f t="shared" si="251"/>
        <v>-3.7746816247933412E-2</v>
      </c>
      <c r="S110" s="20"/>
      <c r="T110" s="152">
        <f t="shared" ref="T110:AC110" si="310">T40/T25</f>
        <v>7.6487252124645883E-2</v>
      </c>
      <c r="U110" s="152">
        <f t="shared" si="310"/>
        <v>7.6487252124645896E-2</v>
      </c>
      <c r="V110" s="152">
        <f t="shared" si="310"/>
        <v>7.6487252124645896E-2</v>
      </c>
      <c r="W110" s="152">
        <f t="shared" si="310"/>
        <v>7.6487252124645883E-2</v>
      </c>
      <c r="X110" s="152">
        <f t="shared" si="310"/>
        <v>7.6487252124645883E-2</v>
      </c>
      <c r="Y110" s="152">
        <f t="shared" si="310"/>
        <v>7.6487252124645896E-2</v>
      </c>
      <c r="Z110" s="152">
        <f t="shared" si="310"/>
        <v>7.6487252124645883E-2</v>
      </c>
      <c r="AA110" s="152">
        <f t="shared" si="310"/>
        <v>7.6487252124645896E-2</v>
      </c>
      <c r="AB110" s="152">
        <f t="shared" si="310"/>
        <v>7.6487252124645883E-2</v>
      </c>
      <c r="AC110" s="152">
        <f t="shared" si="310"/>
        <v>7.6487252124645883E-2</v>
      </c>
      <c r="AD110" s="138">
        <f t="shared" si="253"/>
        <v>-5.5807153055291714E-3</v>
      </c>
      <c r="AE110" s="20"/>
      <c r="AF110" s="20"/>
    </row>
    <row r="111" spans="2:32" x14ac:dyDescent="0.2">
      <c r="B111" s="20" t="s">
        <v>347</v>
      </c>
      <c r="C111" s="20"/>
      <c r="D111" s="20"/>
      <c r="E111" s="152"/>
      <c r="F111" s="152"/>
      <c r="G111" s="152">
        <f t="shared" ref="G111:O111" si="311">G25/G18</f>
        <v>4.0843373493975905</v>
      </c>
      <c r="H111" s="152">
        <f t="shared" si="311"/>
        <v>5.9874999999999998</v>
      </c>
      <c r="I111" s="152">
        <f t="shared" si="311"/>
        <v>5.4308943089430892</v>
      </c>
      <c r="J111" s="152">
        <f t="shared" si="311"/>
        <v>5.0388601036269431</v>
      </c>
      <c r="K111" s="152">
        <f t="shared" si="311"/>
        <v>4.1238779174147213</v>
      </c>
      <c r="L111" s="152">
        <f t="shared" si="311"/>
        <v>2.7148362235067438</v>
      </c>
      <c r="M111" s="152">
        <f t="shared" si="311"/>
        <v>2.7037861915367483</v>
      </c>
      <c r="N111" s="152">
        <f t="shared" si="311"/>
        <v>4.4129930394431556</v>
      </c>
      <c r="O111" s="152">
        <f t="shared" si="311"/>
        <v>4.3152173913043477</v>
      </c>
      <c r="P111" s="152">
        <f>P25/P18</f>
        <v>4.8235294117647056</v>
      </c>
      <c r="Q111" s="152">
        <f>Q25/Q18</f>
        <v>6.2875318066157764</v>
      </c>
      <c r="R111" s="118">
        <f t="shared" si="251"/>
        <v>1.8654800389501514E-2</v>
      </c>
      <c r="S111" s="20"/>
      <c r="T111" s="152">
        <f>T25/T18</f>
        <v>6.2875318066157764</v>
      </c>
      <c r="U111" s="152">
        <f t="shared" ref="U111:AC111" si="312">U25/U18</f>
        <v>6.2875318066157755</v>
      </c>
      <c r="V111" s="152">
        <f t="shared" si="312"/>
        <v>6.2875318066157755</v>
      </c>
      <c r="W111" s="152">
        <f t="shared" si="312"/>
        <v>6.2875318066157755</v>
      </c>
      <c r="X111" s="152">
        <f t="shared" si="312"/>
        <v>6.2875318066157755</v>
      </c>
      <c r="Y111" s="152">
        <f t="shared" si="312"/>
        <v>6.2875318066157746</v>
      </c>
      <c r="Z111" s="152">
        <f t="shared" si="312"/>
        <v>6.2875318066157746</v>
      </c>
      <c r="AA111" s="152">
        <f t="shared" si="312"/>
        <v>6.2875318066157737</v>
      </c>
      <c r="AB111" s="152">
        <f t="shared" si="312"/>
        <v>6.2875318066157737</v>
      </c>
      <c r="AC111" s="152">
        <f t="shared" si="312"/>
        <v>6.2875318066157746</v>
      </c>
      <c r="AD111" s="138">
        <f t="shared" si="253"/>
        <v>2.1804778777895217E-2</v>
      </c>
      <c r="AE111" s="20"/>
      <c r="AF111" s="20"/>
    </row>
    <row r="112" spans="2:32" x14ac:dyDescent="0.2">
      <c r="B112" s="20"/>
      <c r="C112" s="20"/>
      <c r="D112" s="20"/>
      <c r="E112" s="20"/>
      <c r="F112" s="20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28"/>
      <c r="S112" s="20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52"/>
      <c r="AD112" s="128"/>
      <c r="AE112" s="20"/>
      <c r="AF112" s="20"/>
    </row>
    <row r="113" spans="2:32" x14ac:dyDescent="0.2">
      <c r="B113" s="20" t="s">
        <v>333</v>
      </c>
      <c r="C113" s="20"/>
      <c r="D113" s="20"/>
      <c r="E113" s="165"/>
      <c r="F113" s="165"/>
      <c r="G113" s="165">
        <f>G72*G42</f>
        <v>12</v>
      </c>
      <c r="H113" s="165">
        <f t="shared" ref="H113:P113" si="313">H72*H42</f>
        <v>18</v>
      </c>
      <c r="I113" s="165">
        <f t="shared" si="313"/>
        <v>36</v>
      </c>
      <c r="J113" s="165">
        <f t="shared" si="313"/>
        <v>45.199999999999996</v>
      </c>
      <c r="K113" s="165">
        <f t="shared" si="313"/>
        <v>55.35</v>
      </c>
      <c r="L113" s="165">
        <f t="shared" si="313"/>
        <v>18.45</v>
      </c>
      <c r="M113" s="165">
        <f t="shared" si="313"/>
        <v>36.9</v>
      </c>
      <c r="N113" s="165">
        <f t="shared" si="313"/>
        <v>56.000000000000007</v>
      </c>
      <c r="O113" s="165">
        <f t="shared" si="313"/>
        <v>22.400000000000002</v>
      </c>
      <c r="P113" s="165">
        <f t="shared" si="313"/>
        <v>33.6</v>
      </c>
      <c r="Q113" s="165">
        <f t="shared" ref="Q113" si="314">Q72*Q42</f>
        <v>33.6</v>
      </c>
      <c r="R113" s="118">
        <f t="shared" si="251"/>
        <v>0.12120293435923335</v>
      </c>
      <c r="S113" s="20"/>
      <c r="T113" s="165">
        <f t="shared" ref="T113:AC113" si="315">T72*T42</f>
        <v>37.044000000000004</v>
      </c>
      <c r="U113" s="165">
        <f t="shared" si="315"/>
        <v>40.841010000000004</v>
      </c>
      <c r="V113" s="165">
        <f t="shared" si="315"/>
        <v>45.027213525000015</v>
      </c>
      <c r="W113" s="165">
        <f t="shared" si="315"/>
        <v>49.642502911312519</v>
      </c>
      <c r="X113" s="165">
        <f t="shared" si="315"/>
        <v>54.730859459722055</v>
      </c>
      <c r="Y113" s="165">
        <f t="shared" si="315"/>
        <v>60.340772554343573</v>
      </c>
      <c r="Z113" s="165">
        <f t="shared" si="315"/>
        <v>66.525701741163786</v>
      </c>
      <c r="AA113" s="165">
        <f t="shared" si="315"/>
        <v>73.344586169633089</v>
      </c>
      <c r="AB113" s="165">
        <f t="shared" si="315"/>
        <v>80.862406252020492</v>
      </c>
      <c r="AC113" s="165">
        <f t="shared" si="315"/>
        <v>89.15080289285261</v>
      </c>
      <c r="AD113" s="138">
        <f t="shared" si="253"/>
        <v>0.10547060925055796</v>
      </c>
      <c r="AE113" s="20"/>
      <c r="AF113" s="20"/>
    </row>
    <row r="114" spans="2:32" x14ac:dyDescent="0.2">
      <c r="B114" s="20" t="s">
        <v>334</v>
      </c>
      <c r="C114" s="20"/>
      <c r="D114" s="20"/>
      <c r="E114" s="165"/>
      <c r="F114" s="165"/>
      <c r="G114" s="165">
        <f t="shared" ref="G114:P114" si="316">(G113*0.17)+G113</f>
        <v>14.04</v>
      </c>
      <c r="H114" s="165">
        <f t="shared" si="316"/>
        <v>21.06</v>
      </c>
      <c r="I114" s="165">
        <f t="shared" si="316"/>
        <v>42.12</v>
      </c>
      <c r="J114" s="165">
        <f t="shared" si="316"/>
        <v>52.883999999999993</v>
      </c>
      <c r="K114" s="165">
        <f t="shared" si="316"/>
        <v>64.759500000000003</v>
      </c>
      <c r="L114" s="165">
        <f t="shared" si="316"/>
        <v>21.586500000000001</v>
      </c>
      <c r="M114" s="165">
        <f t="shared" si="316"/>
        <v>43.173000000000002</v>
      </c>
      <c r="N114" s="165">
        <f t="shared" si="316"/>
        <v>65.52000000000001</v>
      </c>
      <c r="O114" s="165">
        <f t="shared" si="316"/>
        <v>26.208000000000002</v>
      </c>
      <c r="P114" s="165">
        <f t="shared" si="316"/>
        <v>39.312000000000005</v>
      </c>
      <c r="Q114" s="165">
        <f t="shared" ref="Q114" si="317">(Q113*0.17)+Q113</f>
        <v>39.312000000000005</v>
      </c>
      <c r="R114" s="118">
        <f t="shared" si="251"/>
        <v>0.12120293435923335</v>
      </c>
      <c r="S114" s="20"/>
      <c r="T114" s="165">
        <f t="shared" ref="T114:AC114" si="318">(T113*0.17)+T113</f>
        <v>43.341480000000004</v>
      </c>
      <c r="U114" s="165">
        <f t="shared" si="318"/>
        <v>47.783981700000005</v>
      </c>
      <c r="V114" s="165">
        <f t="shared" si="318"/>
        <v>52.681839824250019</v>
      </c>
      <c r="W114" s="165">
        <f t="shared" si="318"/>
        <v>58.081728406235648</v>
      </c>
      <c r="X114" s="165">
        <f t="shared" si="318"/>
        <v>64.035105567874808</v>
      </c>
      <c r="Y114" s="165">
        <f t="shared" si="318"/>
        <v>70.59870388858198</v>
      </c>
      <c r="Z114" s="165">
        <f t="shared" si="318"/>
        <v>77.835071037161626</v>
      </c>
      <c r="AA114" s="165">
        <f t="shared" si="318"/>
        <v>85.813165818470708</v>
      </c>
      <c r="AB114" s="165">
        <f t="shared" si="318"/>
        <v>94.609015314863981</v>
      </c>
      <c r="AC114" s="165">
        <f t="shared" si="318"/>
        <v>104.30643938463756</v>
      </c>
      <c r="AD114" s="138">
        <f t="shared" si="253"/>
        <v>0.10547060925055796</v>
      </c>
      <c r="AE114" s="20"/>
      <c r="AF114" s="20"/>
    </row>
    <row r="115" spans="2:32" x14ac:dyDescent="0.2">
      <c r="B115" s="20" t="s">
        <v>335</v>
      </c>
      <c r="C115" s="20"/>
      <c r="D115" s="20"/>
      <c r="E115" s="20"/>
      <c r="F115" s="152"/>
      <c r="G115" s="152">
        <f t="shared" ref="G115:P115" si="319">G114/G40</f>
        <v>0.24206896551724136</v>
      </c>
      <c r="H115" s="152">
        <f t="shared" si="319"/>
        <v>0.28849315068493148</v>
      </c>
      <c r="I115" s="152">
        <f t="shared" si="319"/>
        <v>0.28459459459459457</v>
      </c>
      <c r="J115" s="152">
        <f t="shared" si="319"/>
        <v>0.25671844660194171</v>
      </c>
      <c r="K115" s="152">
        <f t="shared" si="319"/>
        <v>0.26760123966942151</v>
      </c>
      <c r="L115" s="152">
        <f t="shared" si="319"/>
        <v>0.20174299065420562</v>
      </c>
      <c r="M115" s="152">
        <f t="shared" si="319"/>
        <v>0.43173</v>
      </c>
      <c r="N115" s="152">
        <f t="shared" si="319"/>
        <v>0.4282352941176471</v>
      </c>
      <c r="O115" s="152">
        <f t="shared" si="319"/>
        <v>0.18854676258992809</v>
      </c>
      <c r="P115" s="152">
        <f t="shared" si="319"/>
        <v>0.30474418604651166</v>
      </c>
      <c r="Q115" s="152">
        <f t="shared" ref="Q115" si="320">Q114/Q40</f>
        <v>0.20800000000000002</v>
      </c>
      <c r="R115" s="118">
        <f t="shared" si="251"/>
        <v>2.5913398154790102E-2</v>
      </c>
      <c r="S115" s="20"/>
      <c r="T115" s="152">
        <f t="shared" ref="T115:AC115" si="321">T114/T40</f>
        <v>0.21233333333333335</v>
      </c>
      <c r="U115" s="152">
        <f t="shared" si="321"/>
        <v>0.21675694444444443</v>
      </c>
      <c r="V115" s="152">
        <f t="shared" si="321"/>
        <v>0.22127271412037042</v>
      </c>
      <c r="W115" s="152">
        <f t="shared" si="321"/>
        <v>0.22588256233121146</v>
      </c>
      <c r="X115" s="152">
        <f t="shared" si="321"/>
        <v>0.23058844904644504</v>
      </c>
      <c r="Y115" s="152">
        <f t="shared" si="321"/>
        <v>0.23539237506824598</v>
      </c>
      <c r="Z115" s="152">
        <f t="shared" si="321"/>
        <v>0.24029638288216773</v>
      </c>
      <c r="AA115" s="152">
        <f t="shared" si="321"/>
        <v>0.24530255752554625</v>
      </c>
      <c r="AB115" s="152">
        <f t="shared" si="321"/>
        <v>0.25041302747399519</v>
      </c>
      <c r="AC115" s="152">
        <f t="shared" si="321"/>
        <v>0.25562996554637013</v>
      </c>
      <c r="AD115" s="138">
        <f t="shared" si="253"/>
        <v>2.7291315524498039E-3</v>
      </c>
      <c r="AE115" s="20"/>
      <c r="AF115" s="20"/>
    </row>
    <row r="116" spans="2:32" x14ac:dyDescent="0.2">
      <c r="B116" s="20" t="s">
        <v>328</v>
      </c>
      <c r="C116" s="20"/>
      <c r="D116" s="20"/>
      <c r="E116" s="20"/>
      <c r="F116" s="152"/>
      <c r="G116" s="152">
        <f>1-G115</f>
        <v>0.75793103448275867</v>
      </c>
      <c r="H116" s="152">
        <f t="shared" ref="H116:P116" si="322">1-H115</f>
        <v>0.71150684931506847</v>
      </c>
      <c r="I116" s="152">
        <f t="shared" si="322"/>
        <v>0.71540540540540543</v>
      </c>
      <c r="J116" s="152">
        <f t="shared" si="322"/>
        <v>0.74328155339805835</v>
      </c>
      <c r="K116" s="152">
        <f t="shared" si="322"/>
        <v>0.73239876033057849</v>
      </c>
      <c r="L116" s="152">
        <f t="shared" si="322"/>
        <v>0.79825700934579435</v>
      </c>
      <c r="M116" s="152">
        <f t="shared" si="322"/>
        <v>0.56827000000000005</v>
      </c>
      <c r="N116" s="152">
        <f t="shared" si="322"/>
        <v>0.57176470588235295</v>
      </c>
      <c r="O116" s="152">
        <f t="shared" si="322"/>
        <v>0.81145323741007191</v>
      </c>
      <c r="P116" s="152">
        <f t="shared" si="322"/>
        <v>0.69525581395348834</v>
      </c>
      <c r="Q116" s="152">
        <f t="shared" ref="Q116" si="323">1-Q115</f>
        <v>0.79200000000000004</v>
      </c>
      <c r="R116" s="118">
        <f t="shared" si="251"/>
        <v>-9.5444423975989956E-3</v>
      </c>
      <c r="S116" s="20"/>
      <c r="T116" s="152">
        <f t="shared" ref="T116:AC116" si="324">1-T115</f>
        <v>0.78766666666666663</v>
      </c>
      <c r="U116" s="152">
        <f t="shared" si="324"/>
        <v>0.78324305555555562</v>
      </c>
      <c r="V116" s="152">
        <f t="shared" si="324"/>
        <v>0.77872728587962958</v>
      </c>
      <c r="W116" s="152">
        <f t="shared" si="324"/>
        <v>0.77411743766878849</v>
      </c>
      <c r="X116" s="152">
        <f t="shared" si="324"/>
        <v>0.76941155095355496</v>
      </c>
      <c r="Y116" s="152">
        <f t="shared" si="324"/>
        <v>0.76460762493175405</v>
      </c>
      <c r="Z116" s="152">
        <f t="shared" si="324"/>
        <v>0.7597036171178323</v>
      </c>
      <c r="AA116" s="152">
        <f t="shared" si="324"/>
        <v>0.75469744247445369</v>
      </c>
      <c r="AB116" s="152">
        <f t="shared" si="324"/>
        <v>0.74958697252600481</v>
      </c>
      <c r="AC116" s="152">
        <f t="shared" si="324"/>
        <v>0.74437003445362993</v>
      </c>
      <c r="AD116" s="138">
        <f t="shared" si="253"/>
        <v>-9.0229911527095474E-4</v>
      </c>
      <c r="AE116" s="20"/>
      <c r="AF116" s="20"/>
    </row>
    <row r="117" spans="2:32" x14ac:dyDescent="0.2">
      <c r="B117" s="20" t="s">
        <v>452</v>
      </c>
      <c r="C117" s="20"/>
      <c r="D117" s="20"/>
      <c r="E117" s="20"/>
      <c r="F117" s="152"/>
      <c r="G117" s="152">
        <f t="shared" ref="G117:P117" si="325">G114/G20</f>
        <v>0.2064705882352941</v>
      </c>
      <c r="H117" s="152">
        <f t="shared" si="325"/>
        <v>0.20249999999999999</v>
      </c>
      <c r="I117" s="152">
        <f t="shared" si="325"/>
        <v>8.9237288135593215E-2</v>
      </c>
      <c r="J117" s="152">
        <f t="shared" si="325"/>
        <v>0.11063598326359832</v>
      </c>
      <c r="K117" s="152">
        <f t="shared" si="325"/>
        <v>0.27209873949579833</v>
      </c>
      <c r="L117" s="152">
        <f t="shared" si="325"/>
        <v>0.15642391304347827</v>
      </c>
      <c r="M117" s="152">
        <f t="shared" si="325"/>
        <v>0.3787105263157895</v>
      </c>
      <c r="N117" s="152">
        <f t="shared" si="325"/>
        <v>0.24912547528517115</v>
      </c>
      <c r="O117" s="152">
        <f t="shared" si="325"/>
        <v>0.14479558011049726</v>
      </c>
      <c r="P117" s="152">
        <f t="shared" si="325"/>
        <v>0.40114285714285719</v>
      </c>
      <c r="Q117" s="152">
        <f>Q114/Q20</f>
        <v>0.31449600000000005</v>
      </c>
      <c r="R117" s="118">
        <f t="shared" si="251"/>
        <v>7.6586638207034152E-2</v>
      </c>
      <c r="S117" s="20"/>
      <c r="T117" s="152">
        <f>T114/T20</f>
        <v>0.32104800000000006</v>
      </c>
      <c r="U117" s="152">
        <f t="shared" ref="U117:AC117" si="326">U114/U20</f>
        <v>0.32773649999999999</v>
      </c>
      <c r="V117" s="152">
        <f t="shared" si="326"/>
        <v>0.33456434375000005</v>
      </c>
      <c r="W117" s="152">
        <f t="shared" si="326"/>
        <v>0.34153443424479168</v>
      </c>
      <c r="X117" s="152">
        <f t="shared" si="326"/>
        <v>0.34864973495822488</v>
      </c>
      <c r="Y117" s="152">
        <f t="shared" si="326"/>
        <v>0.35591327110318788</v>
      </c>
      <c r="Z117" s="152">
        <f t="shared" si="326"/>
        <v>0.36332813091783761</v>
      </c>
      <c r="AA117" s="152">
        <f t="shared" si="326"/>
        <v>0.37089746697862597</v>
      </c>
      <c r="AB117" s="152">
        <f t="shared" si="326"/>
        <v>0.37862449754068073</v>
      </c>
      <c r="AC117" s="152">
        <f t="shared" si="326"/>
        <v>0.38651250790611158</v>
      </c>
      <c r="AD117" s="138" t="s">
        <v>453</v>
      </c>
      <c r="AE117" s="20"/>
      <c r="AF117" s="20"/>
    </row>
    <row r="118" spans="2:32" x14ac:dyDescent="0.2">
      <c r="B118" s="20"/>
      <c r="C118" s="20"/>
      <c r="D118" s="20"/>
      <c r="E118" s="20"/>
      <c r="F118" s="20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28"/>
      <c r="S118" s="20"/>
      <c r="T118" s="152"/>
      <c r="U118" s="152"/>
      <c r="V118" s="152"/>
      <c r="W118" s="152"/>
      <c r="X118" s="152"/>
      <c r="Y118" s="152"/>
      <c r="Z118" s="152"/>
      <c r="AA118" s="152"/>
      <c r="AB118" s="152"/>
      <c r="AC118" s="152"/>
      <c r="AD118" s="128"/>
      <c r="AE118" s="20"/>
      <c r="AF118" s="20"/>
    </row>
    <row r="119" spans="2:32" x14ac:dyDescent="0.2">
      <c r="B119" s="20" t="s">
        <v>332</v>
      </c>
      <c r="C119" s="152"/>
      <c r="D119" s="152"/>
      <c r="E119" s="152"/>
      <c r="F119" s="152"/>
      <c r="G119" s="152">
        <f>G31/G25</f>
        <v>0</v>
      </c>
      <c r="H119" s="152">
        <f t="shared" ref="H119:P119" si="327">H31/H25</f>
        <v>0</v>
      </c>
      <c r="I119" s="152">
        <f t="shared" si="327"/>
        <v>0</v>
      </c>
      <c r="J119" s="152">
        <f t="shared" si="327"/>
        <v>0</v>
      </c>
      <c r="K119" s="152">
        <f t="shared" si="327"/>
        <v>0</v>
      </c>
      <c r="L119" s="152">
        <f t="shared" si="327"/>
        <v>0</v>
      </c>
      <c r="M119" s="152">
        <f t="shared" si="327"/>
        <v>0</v>
      </c>
      <c r="N119" s="152">
        <f t="shared" si="327"/>
        <v>0</v>
      </c>
      <c r="O119" s="152">
        <f t="shared" si="327"/>
        <v>0</v>
      </c>
      <c r="P119" s="152">
        <f t="shared" si="327"/>
        <v>0</v>
      </c>
      <c r="Q119" s="152">
        <f t="shared" ref="Q119" si="328">Q31/Q25</f>
        <v>0</v>
      </c>
      <c r="R119" s="118" t="e">
        <f t="shared" si="251"/>
        <v>#DIV/0!</v>
      </c>
      <c r="S119" s="20"/>
      <c r="T119" s="152">
        <f t="shared" ref="T119:AC119" si="329">T31/T25</f>
        <v>0</v>
      </c>
      <c r="U119" s="152">
        <f t="shared" si="329"/>
        <v>0</v>
      </c>
      <c r="V119" s="152">
        <f t="shared" si="329"/>
        <v>0</v>
      </c>
      <c r="W119" s="152">
        <f t="shared" si="329"/>
        <v>0</v>
      </c>
      <c r="X119" s="152">
        <f t="shared" si="329"/>
        <v>0</v>
      </c>
      <c r="Y119" s="152">
        <f t="shared" si="329"/>
        <v>0</v>
      </c>
      <c r="Z119" s="152">
        <f t="shared" si="329"/>
        <v>0</v>
      </c>
      <c r="AA119" s="152">
        <f t="shared" si="329"/>
        <v>0</v>
      </c>
      <c r="AB119" s="152">
        <f t="shared" si="329"/>
        <v>0</v>
      </c>
      <c r="AC119" s="152">
        <f t="shared" si="329"/>
        <v>0</v>
      </c>
      <c r="AD119" s="138" t="e">
        <f t="shared" si="253"/>
        <v>#DIV/0!</v>
      </c>
      <c r="AE119" s="20"/>
      <c r="AF119" s="20"/>
    </row>
    <row r="120" spans="2:32" x14ac:dyDescent="0.2">
      <c r="B120" s="20" t="s">
        <v>329</v>
      </c>
      <c r="C120" s="152"/>
      <c r="D120" s="152"/>
      <c r="E120" s="152"/>
      <c r="F120" s="152"/>
      <c r="G120" s="152">
        <f>G32/G25</f>
        <v>0</v>
      </c>
      <c r="H120" s="152">
        <f t="shared" ref="H120:P120" si="330">H32/H25</f>
        <v>0</v>
      </c>
      <c r="I120" s="152">
        <f t="shared" si="330"/>
        <v>0</v>
      </c>
      <c r="J120" s="152">
        <f t="shared" si="330"/>
        <v>0</v>
      </c>
      <c r="K120" s="152">
        <f t="shared" si="330"/>
        <v>0</v>
      </c>
      <c r="L120" s="152">
        <f t="shared" si="330"/>
        <v>0</v>
      </c>
      <c r="M120" s="152">
        <f t="shared" si="330"/>
        <v>0</v>
      </c>
      <c r="N120" s="152">
        <f t="shared" si="330"/>
        <v>0</v>
      </c>
      <c r="O120" s="152">
        <f t="shared" si="330"/>
        <v>0</v>
      </c>
      <c r="P120" s="152">
        <f t="shared" si="330"/>
        <v>0</v>
      </c>
      <c r="Q120" s="152">
        <f>Q32/Q25</f>
        <v>0</v>
      </c>
      <c r="R120" s="118" t="e">
        <f t="shared" si="251"/>
        <v>#DIV/0!</v>
      </c>
      <c r="S120" s="20"/>
      <c r="T120" s="152">
        <f t="shared" ref="T120:AC120" si="331">T32/T25</f>
        <v>0</v>
      </c>
      <c r="U120" s="152">
        <f t="shared" si="331"/>
        <v>0</v>
      </c>
      <c r="V120" s="152">
        <f t="shared" si="331"/>
        <v>0</v>
      </c>
      <c r="W120" s="152">
        <f t="shared" si="331"/>
        <v>0</v>
      </c>
      <c r="X120" s="152">
        <f t="shared" si="331"/>
        <v>0</v>
      </c>
      <c r="Y120" s="152">
        <f t="shared" si="331"/>
        <v>0</v>
      </c>
      <c r="Z120" s="152">
        <f t="shared" si="331"/>
        <v>0</v>
      </c>
      <c r="AA120" s="152">
        <f t="shared" si="331"/>
        <v>0</v>
      </c>
      <c r="AB120" s="152">
        <f t="shared" si="331"/>
        <v>0</v>
      </c>
      <c r="AC120" s="152">
        <f t="shared" si="331"/>
        <v>0</v>
      </c>
      <c r="AD120" s="138" t="e">
        <f t="shared" si="253"/>
        <v>#DIV/0!</v>
      </c>
      <c r="AE120" s="20"/>
      <c r="AF120" s="20"/>
    </row>
    <row r="121" spans="2:32" x14ac:dyDescent="0.2">
      <c r="B121" s="20" t="s">
        <v>460</v>
      </c>
      <c r="C121" s="152"/>
      <c r="D121" s="152"/>
      <c r="E121" s="152"/>
      <c r="F121" s="152"/>
      <c r="G121" s="152">
        <f t="shared" ref="G121:P121" si="332">(G31+G32)/G25</f>
        <v>0</v>
      </c>
      <c r="H121" s="152">
        <f t="shared" si="332"/>
        <v>0</v>
      </c>
      <c r="I121" s="152">
        <f t="shared" si="332"/>
        <v>0</v>
      </c>
      <c r="J121" s="152">
        <f t="shared" si="332"/>
        <v>0</v>
      </c>
      <c r="K121" s="152">
        <f t="shared" si="332"/>
        <v>0</v>
      </c>
      <c r="L121" s="152">
        <f t="shared" si="332"/>
        <v>0</v>
      </c>
      <c r="M121" s="152">
        <f t="shared" si="332"/>
        <v>0</v>
      </c>
      <c r="N121" s="152">
        <f t="shared" si="332"/>
        <v>0</v>
      </c>
      <c r="O121" s="152">
        <f t="shared" si="332"/>
        <v>0</v>
      </c>
      <c r="P121" s="152">
        <f t="shared" si="332"/>
        <v>0</v>
      </c>
      <c r="Q121" s="152">
        <f>(Q31+Q32)/Q25</f>
        <v>0</v>
      </c>
      <c r="R121" s="118" t="e">
        <f t="shared" si="251"/>
        <v>#DIV/0!</v>
      </c>
      <c r="S121" s="20"/>
      <c r="T121" s="152">
        <f>(T31+T32)/T25</f>
        <v>0</v>
      </c>
      <c r="U121" s="152">
        <f t="shared" ref="U121:AC121" si="333">(U31+U32)/U25</f>
        <v>0</v>
      </c>
      <c r="V121" s="152">
        <f t="shared" si="333"/>
        <v>0</v>
      </c>
      <c r="W121" s="152">
        <f t="shared" si="333"/>
        <v>0</v>
      </c>
      <c r="X121" s="152">
        <f t="shared" si="333"/>
        <v>0</v>
      </c>
      <c r="Y121" s="152">
        <f t="shared" si="333"/>
        <v>0</v>
      </c>
      <c r="Z121" s="152">
        <f t="shared" si="333"/>
        <v>0</v>
      </c>
      <c r="AA121" s="152">
        <f t="shared" si="333"/>
        <v>0</v>
      </c>
      <c r="AB121" s="152">
        <f t="shared" si="333"/>
        <v>0</v>
      </c>
      <c r="AC121" s="152">
        <f t="shared" si="333"/>
        <v>0</v>
      </c>
      <c r="AD121" s="138" t="e">
        <f t="shared" si="253"/>
        <v>#DIV/0!</v>
      </c>
      <c r="AE121" s="20"/>
      <c r="AF121" s="20"/>
    </row>
    <row r="122" spans="2:32" x14ac:dyDescent="0.2">
      <c r="B122" s="20"/>
      <c r="C122" s="20"/>
      <c r="D122" s="20"/>
      <c r="E122" s="20"/>
      <c r="F122" s="20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28"/>
      <c r="S122" s="20"/>
      <c r="T122" s="152"/>
      <c r="U122" s="152"/>
      <c r="V122" s="152"/>
      <c r="W122" s="152"/>
      <c r="X122" s="152"/>
      <c r="Y122" s="152"/>
      <c r="Z122" s="152"/>
      <c r="AA122" s="152"/>
      <c r="AB122" s="152"/>
      <c r="AC122" s="152"/>
      <c r="AD122" s="128"/>
      <c r="AE122" s="20"/>
      <c r="AF122" s="20"/>
    </row>
    <row r="123" spans="2:32" x14ac:dyDescent="0.2">
      <c r="B123" s="20" t="s">
        <v>353</v>
      </c>
      <c r="C123" s="20"/>
      <c r="D123" s="20"/>
      <c r="E123" s="20"/>
      <c r="F123" s="20"/>
      <c r="G123" s="152">
        <f>G27/G25</f>
        <v>0.81858407079646023</v>
      </c>
      <c r="H123" s="152">
        <f t="shared" ref="H123:P123" si="334">H27/H25</f>
        <v>0.89979123173277664</v>
      </c>
      <c r="I123" s="152">
        <f t="shared" si="334"/>
        <v>0.81511976047904189</v>
      </c>
      <c r="J123" s="152">
        <f t="shared" si="334"/>
        <v>0.8041131105398458</v>
      </c>
      <c r="K123" s="152">
        <f t="shared" si="334"/>
        <v>0.78667827601218976</v>
      </c>
      <c r="L123" s="152">
        <f t="shared" si="334"/>
        <v>0.80411639460610362</v>
      </c>
      <c r="M123" s="152">
        <f t="shared" si="334"/>
        <v>0.80065897858319601</v>
      </c>
      <c r="N123" s="152">
        <f t="shared" si="334"/>
        <v>0.82544689800210302</v>
      </c>
      <c r="O123" s="152">
        <f t="shared" si="334"/>
        <v>0.84928631402183041</v>
      </c>
      <c r="P123" s="152">
        <f t="shared" si="334"/>
        <v>0.85741088180112568</v>
      </c>
      <c r="Q123" s="152">
        <f t="shared" ref="Q123" si="335">Q27/Q25</f>
        <v>0.84904896802913798</v>
      </c>
      <c r="R123" s="118">
        <f t="shared" si="251"/>
        <v>5.1622946205716058E-3</v>
      </c>
      <c r="S123" s="20"/>
      <c r="T123" s="152">
        <f t="shared" ref="T123:AC123" si="336">T27/T25</f>
        <v>0.84904896802913798</v>
      </c>
      <c r="U123" s="152">
        <f t="shared" si="336"/>
        <v>0.84904896802913798</v>
      </c>
      <c r="V123" s="152">
        <f t="shared" si="336"/>
        <v>0.8490489680291381</v>
      </c>
      <c r="W123" s="152">
        <f t="shared" si="336"/>
        <v>0.8490489680291381</v>
      </c>
      <c r="X123" s="152">
        <f t="shared" si="336"/>
        <v>0.84904896802913821</v>
      </c>
      <c r="Y123" s="152">
        <f t="shared" si="336"/>
        <v>0.84904896802913832</v>
      </c>
      <c r="Z123" s="152">
        <f t="shared" si="336"/>
        <v>0.84904896802913821</v>
      </c>
      <c r="AA123" s="152">
        <f t="shared" si="336"/>
        <v>0.84904896802913832</v>
      </c>
      <c r="AB123" s="152">
        <f t="shared" si="336"/>
        <v>0.84904896802913821</v>
      </c>
      <c r="AC123" s="152">
        <f t="shared" si="336"/>
        <v>0.84904896802913821</v>
      </c>
      <c r="AD123" s="138">
        <f t="shared" si="253"/>
        <v>1.8287079086740654E-3</v>
      </c>
      <c r="AE123" s="20"/>
      <c r="AF123" s="20"/>
    </row>
    <row r="124" spans="2:32" x14ac:dyDescent="0.2">
      <c r="B124" s="20" t="str">
        <f>B33</f>
        <v>Top Expenses ( Raw material )</v>
      </c>
      <c r="C124" s="20"/>
      <c r="D124" s="20"/>
      <c r="E124" s="20"/>
      <c r="F124" s="20"/>
      <c r="G124" s="152">
        <f>G33/G25</f>
        <v>0.52949852507374628</v>
      </c>
      <c r="H124" s="152">
        <f t="shared" ref="H124:P124" si="337">H33/H25</f>
        <v>0.6544885177453027</v>
      </c>
      <c r="I124" s="152">
        <f t="shared" si="337"/>
        <v>0.60179640718562877</v>
      </c>
      <c r="J124" s="152">
        <f t="shared" si="337"/>
        <v>0.62210796915167099</v>
      </c>
      <c r="K124" s="152">
        <f t="shared" si="337"/>
        <v>0.62298650413582934</v>
      </c>
      <c r="L124" s="152">
        <f t="shared" si="337"/>
        <v>0.58907026259758699</v>
      </c>
      <c r="M124" s="152">
        <f t="shared" si="337"/>
        <v>0.59225700164744643</v>
      </c>
      <c r="N124" s="152">
        <f t="shared" si="337"/>
        <v>0.4206098843322818</v>
      </c>
      <c r="O124" s="152">
        <f t="shared" si="337"/>
        <v>0.65910999160369432</v>
      </c>
      <c r="P124" s="152">
        <f t="shared" si="337"/>
        <v>0.65196998123827388</v>
      </c>
      <c r="Q124" s="152">
        <f t="shared" ref="Q124" si="338">Q33/Q25</f>
        <v>0.64670174018615945</v>
      </c>
      <c r="R124" s="118">
        <f t="shared" si="251"/>
        <v>2.338799033403971E-2</v>
      </c>
      <c r="S124" s="20"/>
      <c r="T124" s="152">
        <f t="shared" ref="T124:AC124" si="339">T33/T25</f>
        <v>0.64670174018615945</v>
      </c>
      <c r="U124" s="152">
        <f t="shared" si="339"/>
        <v>0.64670174018615945</v>
      </c>
      <c r="V124" s="152">
        <f t="shared" si="339"/>
        <v>0.64670174018615956</v>
      </c>
      <c r="W124" s="152">
        <f t="shared" si="339"/>
        <v>0.64670174018615956</v>
      </c>
      <c r="X124" s="152">
        <f t="shared" si="339"/>
        <v>0.64670174018615956</v>
      </c>
      <c r="Y124" s="152">
        <f t="shared" si="339"/>
        <v>0.64670174018615967</v>
      </c>
      <c r="Z124" s="152">
        <f t="shared" si="339"/>
        <v>0.64670174018615956</v>
      </c>
      <c r="AA124" s="152">
        <f t="shared" si="339"/>
        <v>0.64670174018615956</v>
      </c>
      <c r="AB124" s="152">
        <f t="shared" si="339"/>
        <v>0.64670174018615956</v>
      </c>
      <c r="AC124" s="152">
        <f t="shared" si="339"/>
        <v>0.64670174018615956</v>
      </c>
      <c r="AD124" s="138">
        <f t="shared" si="253"/>
        <v>1.0047885372798548E-2</v>
      </c>
      <c r="AE124" s="20"/>
      <c r="AF124" s="20"/>
    </row>
    <row r="125" spans="2:32" x14ac:dyDescent="0.2">
      <c r="B125" s="20" t="str">
        <f>B34</f>
        <v>2nd highest Expenses Comp. ( Empl )</v>
      </c>
      <c r="C125" s="20"/>
      <c r="D125" s="20"/>
      <c r="E125" s="20"/>
      <c r="F125" s="20"/>
      <c r="G125" s="152">
        <f>G34/G25</f>
        <v>0.11061946902654868</v>
      </c>
      <c r="H125" s="152">
        <f t="shared" ref="H125:P125" si="340">H34/H25</f>
        <v>8.8726513569937368E-2</v>
      </c>
      <c r="I125" s="152">
        <f t="shared" si="340"/>
        <v>7.9341317365269462E-2</v>
      </c>
      <c r="J125" s="152">
        <f t="shared" si="340"/>
        <v>6.5809768637532129E-2</v>
      </c>
      <c r="K125" s="152">
        <f t="shared" si="340"/>
        <v>6.3561166739225072E-2</v>
      </c>
      <c r="L125" s="152">
        <f t="shared" si="340"/>
        <v>8.5166784953867994E-2</v>
      </c>
      <c r="M125" s="152">
        <f t="shared" si="340"/>
        <v>9.3904448105436578E-2</v>
      </c>
      <c r="N125" s="152">
        <f t="shared" si="340"/>
        <v>9.2534174553101992E-2</v>
      </c>
      <c r="O125" s="152">
        <f t="shared" si="340"/>
        <v>8.0184718723761539E-2</v>
      </c>
      <c r="P125" s="152">
        <f t="shared" si="340"/>
        <v>8.9118198874296436E-2</v>
      </c>
      <c r="Q125" s="152">
        <f t="shared" ref="Q125" si="341">Q34/Q25</f>
        <v>9.6721974908943742E-2</v>
      </c>
      <c r="R125" s="118">
        <f t="shared" si="251"/>
        <v>-2.3728667431723194E-2</v>
      </c>
      <c r="S125" s="20"/>
      <c r="T125" s="152">
        <f t="shared" ref="T125:AC125" si="342">T34/T25</f>
        <v>9.6721974908943742E-2</v>
      </c>
      <c r="U125" s="152">
        <f t="shared" si="342"/>
        <v>9.6721974908943742E-2</v>
      </c>
      <c r="V125" s="152">
        <f t="shared" si="342"/>
        <v>9.6721974908943756E-2</v>
      </c>
      <c r="W125" s="152">
        <f t="shared" si="342"/>
        <v>9.6721974908943742E-2</v>
      </c>
      <c r="X125" s="152">
        <f t="shared" si="342"/>
        <v>9.6721974908943728E-2</v>
      </c>
      <c r="Y125" s="152">
        <f t="shared" si="342"/>
        <v>9.6721974908943742E-2</v>
      </c>
      <c r="Z125" s="152">
        <f t="shared" si="342"/>
        <v>9.6721974908943728E-2</v>
      </c>
      <c r="AA125" s="152">
        <f t="shared" si="342"/>
        <v>9.6721974908943728E-2</v>
      </c>
      <c r="AB125" s="152">
        <f t="shared" si="342"/>
        <v>9.6721974908943728E-2</v>
      </c>
      <c r="AC125" s="152">
        <f t="shared" si="342"/>
        <v>9.6721974908943728E-2</v>
      </c>
      <c r="AD125" s="138">
        <f t="shared" si="253"/>
        <v>-6.6902936453135942E-3</v>
      </c>
      <c r="AE125" s="20"/>
      <c r="AF125" s="20"/>
    </row>
    <row r="126" spans="2:32" x14ac:dyDescent="0.2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128"/>
      <c r="S126" s="128"/>
      <c r="T126" s="119"/>
      <c r="U126" s="119"/>
      <c r="V126" s="119"/>
      <c r="W126" s="119"/>
      <c r="X126" s="119"/>
      <c r="Y126" s="119"/>
      <c r="Z126" s="119"/>
      <c r="AA126" s="119"/>
      <c r="AB126" s="119"/>
      <c r="AC126" s="119"/>
      <c r="AD126" s="139"/>
      <c r="AE126" s="20"/>
      <c r="AF126" s="20"/>
    </row>
    <row r="127" spans="2:32" x14ac:dyDescent="0.2">
      <c r="B127" s="108" t="s">
        <v>361</v>
      </c>
      <c r="C127" s="20"/>
      <c r="D127" s="20"/>
      <c r="E127" s="20"/>
      <c r="F127" s="20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118"/>
      <c r="S127" s="128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138"/>
      <c r="AE127" s="20"/>
      <c r="AF127" s="20"/>
    </row>
    <row r="128" spans="2:32" x14ac:dyDescent="0.2">
      <c r="B128" s="20" t="s">
        <v>364</v>
      </c>
      <c r="C128" s="20"/>
      <c r="D128" s="20"/>
      <c r="E128" s="20"/>
      <c r="F128" s="20"/>
      <c r="G128" s="25">
        <f>G15/G9</f>
        <v>0.77419354838709675</v>
      </c>
      <c r="H128" s="25">
        <f t="shared" ref="H128:AC128" si="343">H15/H9</f>
        <v>0.81118881118881114</v>
      </c>
      <c r="I128" s="25">
        <f t="shared" si="343"/>
        <v>0.43898305084745765</v>
      </c>
      <c r="J128" s="25">
        <f t="shared" si="343"/>
        <v>0.28524945770065074</v>
      </c>
      <c r="K128" s="25">
        <f t="shared" si="343"/>
        <v>0.31763285024154592</v>
      </c>
      <c r="L128" s="25">
        <f t="shared" si="343"/>
        <v>0.22966507177033493</v>
      </c>
      <c r="M128" s="25">
        <f t="shared" si="343"/>
        <v>0.29230769230769232</v>
      </c>
      <c r="N128" s="25">
        <f t="shared" si="343"/>
        <v>1.135678391959799</v>
      </c>
      <c r="O128" s="25">
        <f t="shared" si="343"/>
        <v>1.1312625250501003</v>
      </c>
      <c r="P128" s="25">
        <f t="shared" si="343"/>
        <v>1.3610785463071513</v>
      </c>
      <c r="Q128" s="25">
        <f t="shared" ref="Q128" si="344">Q15/Q9</f>
        <v>1.5328227571115973</v>
      </c>
      <c r="R128" s="118">
        <f t="shared" si="251"/>
        <v>6.4696827707132254E-2</v>
      </c>
      <c r="S128" s="20"/>
      <c r="T128" s="20">
        <f t="shared" si="343"/>
        <v>1.5328227571115973</v>
      </c>
      <c r="U128" s="20">
        <f t="shared" si="343"/>
        <v>1.5328227571115973</v>
      </c>
      <c r="V128" s="20">
        <f t="shared" si="343"/>
        <v>1.5328227571115973</v>
      </c>
      <c r="W128" s="20">
        <f t="shared" si="343"/>
        <v>1.5328227571115975</v>
      </c>
      <c r="X128" s="20">
        <f t="shared" si="343"/>
        <v>1.5328227571115975</v>
      </c>
      <c r="Y128" s="20">
        <f t="shared" si="343"/>
        <v>1.5328227571115975</v>
      </c>
      <c r="Z128" s="20">
        <f t="shared" si="343"/>
        <v>1.5328227571115973</v>
      </c>
      <c r="AA128" s="20">
        <f t="shared" si="343"/>
        <v>1.5328227571115971</v>
      </c>
      <c r="AB128" s="20">
        <f t="shared" si="343"/>
        <v>1.5328227571115973</v>
      </c>
      <c r="AC128" s="20">
        <f t="shared" si="343"/>
        <v>1.5328227571115973</v>
      </c>
      <c r="AD128" s="138">
        <f t="shared" si="253"/>
        <v>3.4742100546150567E-2</v>
      </c>
      <c r="AE128" s="20"/>
      <c r="AF128" s="20"/>
    </row>
    <row r="129" spans="2:32" x14ac:dyDescent="0.2">
      <c r="B129" s="20" t="s">
        <v>354</v>
      </c>
      <c r="C129" s="20"/>
      <c r="D129" s="20"/>
      <c r="E129" s="20"/>
      <c r="F129" s="20"/>
      <c r="G129" s="25">
        <f>G12/G9</f>
        <v>0.23963133640552994</v>
      </c>
      <c r="H129" s="25">
        <f t="shared" ref="H129:P129" si="345">H12/H9</f>
        <v>0.33916083916083917</v>
      </c>
      <c r="I129" s="25">
        <f t="shared" si="345"/>
        <v>0.66271186440677965</v>
      </c>
      <c r="J129" s="25">
        <f t="shared" si="345"/>
        <v>0.66485900216919736</v>
      </c>
      <c r="K129" s="25">
        <f t="shared" si="345"/>
        <v>0.68599033816425126</v>
      </c>
      <c r="L129" s="25">
        <f t="shared" si="345"/>
        <v>1.0015948963317385</v>
      </c>
      <c r="M129" s="25">
        <f t="shared" si="345"/>
        <v>1.1276923076923078</v>
      </c>
      <c r="N129" s="25">
        <f t="shared" si="345"/>
        <v>0.75979899497487435</v>
      </c>
      <c r="O129" s="25">
        <f t="shared" si="345"/>
        <v>0.71442885771543085</v>
      </c>
      <c r="P129" s="25">
        <f t="shared" si="345"/>
        <v>0.90152403282532234</v>
      </c>
      <c r="Q129" s="25">
        <f t="shared" ref="Q129" si="346">Q12/Q9</f>
        <v>1</v>
      </c>
      <c r="R129" s="118">
        <f t="shared" si="251"/>
        <v>0.15860947994207786</v>
      </c>
      <c r="S129" s="128"/>
      <c r="T129" s="20">
        <f t="shared" ref="T129:AC129" si="347">T12/T9</f>
        <v>1</v>
      </c>
      <c r="U129" s="20">
        <f t="shared" si="347"/>
        <v>1</v>
      </c>
      <c r="V129" s="20">
        <f t="shared" si="347"/>
        <v>1</v>
      </c>
      <c r="W129" s="20">
        <f t="shared" si="347"/>
        <v>1</v>
      </c>
      <c r="X129" s="20">
        <f t="shared" si="347"/>
        <v>1</v>
      </c>
      <c r="Y129" s="20">
        <f t="shared" si="347"/>
        <v>1</v>
      </c>
      <c r="Z129" s="20">
        <f t="shared" si="347"/>
        <v>1</v>
      </c>
      <c r="AA129" s="20">
        <f t="shared" si="347"/>
        <v>1</v>
      </c>
      <c r="AB129" s="20">
        <f t="shared" si="347"/>
        <v>1</v>
      </c>
      <c r="AC129" s="20">
        <f t="shared" si="347"/>
        <v>1</v>
      </c>
      <c r="AD129" s="118">
        <f t="shared" ref="AD129" si="348">((AC129/T129)^(1/($H$2-$H$1) ))-1</f>
        <v>0</v>
      </c>
      <c r="AE129" s="20"/>
      <c r="AF129" s="20"/>
    </row>
    <row r="130" spans="2:32" x14ac:dyDescent="0.2">
      <c r="B130" s="20" t="s">
        <v>356</v>
      </c>
      <c r="C130" s="20"/>
      <c r="D130" s="20"/>
      <c r="E130" s="20"/>
      <c r="F130" s="20"/>
      <c r="G130" s="25">
        <f>G25/360</f>
        <v>1.8833333333333333</v>
      </c>
      <c r="H130" s="25">
        <f t="shared" ref="H130:P130" si="349">H25/360</f>
        <v>2.661111111111111</v>
      </c>
      <c r="I130" s="25">
        <f t="shared" si="349"/>
        <v>3.7111111111111112</v>
      </c>
      <c r="J130" s="25">
        <f t="shared" si="349"/>
        <v>5.4027777777777777</v>
      </c>
      <c r="K130" s="25">
        <f t="shared" si="349"/>
        <v>6.3805555555555555</v>
      </c>
      <c r="L130" s="25">
        <f t="shared" si="349"/>
        <v>3.9138888888888888</v>
      </c>
      <c r="M130" s="25">
        <f t="shared" si="349"/>
        <v>3.3722222222222222</v>
      </c>
      <c r="N130" s="25">
        <f t="shared" si="349"/>
        <v>5.2833333333333332</v>
      </c>
      <c r="O130" s="25">
        <f t="shared" si="349"/>
        <v>6.6166666666666663</v>
      </c>
      <c r="P130" s="25">
        <f t="shared" si="349"/>
        <v>5.9222222222222225</v>
      </c>
      <c r="Q130" s="25">
        <f t="shared" ref="Q130" si="350">Q25/360</f>
        <v>6.8638888888888889</v>
      </c>
      <c r="R130" s="118">
        <f t="shared" si="251"/>
        <v>0.1357537185057196</v>
      </c>
      <c r="S130" s="128"/>
      <c r="T130" s="25">
        <f t="shared" ref="T130:AC130" si="351">T25/360</f>
        <v>7.4130000000000011</v>
      </c>
      <c r="U130" s="25">
        <f t="shared" si="351"/>
        <v>8.0060400000000005</v>
      </c>
      <c r="V130" s="25">
        <f t="shared" si="351"/>
        <v>8.6465232000000007</v>
      </c>
      <c r="W130" s="25">
        <f t="shared" si="351"/>
        <v>9.3382450560000034</v>
      </c>
      <c r="X130" s="25">
        <f t="shared" si="351"/>
        <v>10.085304660480004</v>
      </c>
      <c r="Y130" s="25">
        <f t="shared" si="351"/>
        <v>10.892129033318403</v>
      </c>
      <c r="Z130" s="25">
        <f t="shared" si="351"/>
        <v>11.763499355983878</v>
      </c>
      <c r="AA130" s="25">
        <f t="shared" si="351"/>
        <v>12.704579304462587</v>
      </c>
      <c r="AB130" s="25">
        <f t="shared" si="351"/>
        <v>13.720945648819596</v>
      </c>
      <c r="AC130" s="25">
        <f t="shared" si="351"/>
        <v>14.818621300725166</v>
      </c>
      <c r="AD130" s="118">
        <f t="shared" ref="AD130:AD141" si="352">((AC130/T130)^(1/($H$2-$H$1) ))-1</f>
        <v>8.0000000000000071E-2</v>
      </c>
      <c r="AE130" s="20"/>
      <c r="AF130" s="20"/>
    </row>
    <row r="131" spans="2:32" x14ac:dyDescent="0.2">
      <c r="B131" s="20" t="s">
        <v>355</v>
      </c>
      <c r="C131" s="20"/>
      <c r="D131" s="20"/>
      <c r="E131" s="20"/>
      <c r="F131" s="20"/>
      <c r="G131" s="25">
        <f>G27/360</f>
        <v>1.5416666666666667</v>
      </c>
      <c r="H131" s="25">
        <f t="shared" ref="H131:P131" si="353">H27/360</f>
        <v>2.3944444444444444</v>
      </c>
      <c r="I131" s="25">
        <f t="shared" si="353"/>
        <v>3.0249999999999999</v>
      </c>
      <c r="J131" s="25">
        <f t="shared" si="353"/>
        <v>4.3444444444444441</v>
      </c>
      <c r="K131" s="25">
        <f t="shared" si="353"/>
        <v>5.0194444444444448</v>
      </c>
      <c r="L131" s="25">
        <f t="shared" si="353"/>
        <v>3.1472222222222221</v>
      </c>
      <c r="M131" s="25">
        <f t="shared" si="353"/>
        <v>2.7</v>
      </c>
      <c r="N131" s="25">
        <f t="shared" si="353"/>
        <v>4.3611111111111107</v>
      </c>
      <c r="O131" s="25">
        <f t="shared" si="353"/>
        <v>5.6194444444444445</v>
      </c>
      <c r="P131" s="25">
        <f t="shared" si="353"/>
        <v>5.0777777777777775</v>
      </c>
      <c r="Q131" s="25">
        <f t="shared" ref="Q131" si="354">Q27/360</f>
        <v>5.8277777777777775</v>
      </c>
      <c r="R131" s="118">
        <f t="shared" si="251"/>
        <v>0.14161681381705593</v>
      </c>
      <c r="S131" s="128"/>
      <c r="T131" s="25">
        <f t="shared" ref="T131:AC131" si="355">T27/360</f>
        <v>6.2940000000000005</v>
      </c>
      <c r="U131" s="25">
        <f t="shared" si="355"/>
        <v>6.7975200000000013</v>
      </c>
      <c r="V131" s="25">
        <f t="shared" si="355"/>
        <v>7.3413216000000023</v>
      </c>
      <c r="W131" s="25">
        <f t="shared" si="355"/>
        <v>7.9286273280000037</v>
      </c>
      <c r="X131" s="25">
        <f t="shared" si="355"/>
        <v>8.562917514240004</v>
      </c>
      <c r="Y131" s="25">
        <f t="shared" si="355"/>
        <v>9.2479509153792065</v>
      </c>
      <c r="Z131" s="25">
        <f t="shared" si="355"/>
        <v>9.9877869886095425</v>
      </c>
      <c r="AA131" s="25">
        <f t="shared" si="355"/>
        <v>10.786809947698307</v>
      </c>
      <c r="AB131" s="25">
        <f t="shared" si="355"/>
        <v>11.649754743514173</v>
      </c>
      <c r="AC131" s="25">
        <f t="shared" si="355"/>
        <v>12.581735122995306</v>
      </c>
      <c r="AD131" s="118">
        <f t="shared" si="352"/>
        <v>8.0000000000000071E-2</v>
      </c>
      <c r="AE131" s="20"/>
      <c r="AF131" s="20"/>
    </row>
    <row r="132" spans="2:32" x14ac:dyDescent="0.2">
      <c r="B132" s="20"/>
      <c r="C132" s="20"/>
      <c r="D132" s="20"/>
      <c r="E132" s="20"/>
      <c r="F132" s="20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128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128"/>
      <c r="AE132" s="20"/>
      <c r="AF132" s="20"/>
    </row>
    <row r="133" spans="2:32" x14ac:dyDescent="0.2">
      <c r="B133" s="20" t="s">
        <v>365</v>
      </c>
      <c r="C133" s="20"/>
      <c r="D133" s="20"/>
      <c r="E133" s="20"/>
      <c r="F133" s="20"/>
      <c r="G133" s="25">
        <f>G10/G7</f>
        <v>0</v>
      </c>
      <c r="H133" s="25">
        <f t="shared" ref="H133:P133" si="356">H10/H7</f>
        <v>0</v>
      </c>
      <c r="I133" s="25">
        <f t="shared" si="356"/>
        <v>0</v>
      </c>
      <c r="J133" s="25">
        <f t="shared" si="356"/>
        <v>0</v>
      </c>
      <c r="K133" s="25">
        <f t="shared" si="356"/>
        <v>0</v>
      </c>
      <c r="L133" s="25">
        <f t="shared" si="356"/>
        <v>0</v>
      </c>
      <c r="M133" s="25">
        <f t="shared" si="356"/>
        <v>0</v>
      </c>
      <c r="N133" s="25">
        <f t="shared" si="356"/>
        <v>0</v>
      </c>
      <c r="O133" s="25">
        <f t="shared" si="356"/>
        <v>0</v>
      </c>
      <c r="P133" s="25">
        <f t="shared" si="356"/>
        <v>0</v>
      </c>
      <c r="Q133" s="25">
        <f t="shared" ref="Q133" si="357">Q10/Q7</f>
        <v>0</v>
      </c>
      <c r="R133" s="118" t="e">
        <f t="shared" si="251"/>
        <v>#DIV/0!</v>
      </c>
      <c r="S133" s="128"/>
      <c r="T133" s="25">
        <f t="shared" ref="T133:AC133" si="358">T10/T7</f>
        <v>0</v>
      </c>
      <c r="U133" s="25">
        <f t="shared" si="358"/>
        <v>0</v>
      </c>
      <c r="V133" s="25">
        <f t="shared" si="358"/>
        <v>0</v>
      </c>
      <c r="W133" s="25">
        <f t="shared" si="358"/>
        <v>0</v>
      </c>
      <c r="X133" s="25">
        <f t="shared" si="358"/>
        <v>0</v>
      </c>
      <c r="Y133" s="25">
        <f t="shared" si="358"/>
        <v>0</v>
      </c>
      <c r="Z133" s="25">
        <f t="shared" si="358"/>
        <v>0</v>
      </c>
      <c r="AA133" s="25">
        <f t="shared" si="358"/>
        <v>0</v>
      </c>
      <c r="AB133" s="25">
        <f t="shared" si="358"/>
        <v>0</v>
      </c>
      <c r="AC133" s="25">
        <f t="shared" si="358"/>
        <v>0</v>
      </c>
      <c r="AD133" s="118" t="e">
        <f t="shared" si="352"/>
        <v>#DIV/0!</v>
      </c>
      <c r="AE133" s="20"/>
      <c r="AF133" s="20"/>
    </row>
    <row r="134" spans="2:32" x14ac:dyDescent="0.2">
      <c r="B134" s="20" t="s">
        <v>357</v>
      </c>
      <c r="C134" s="20"/>
      <c r="D134" s="20"/>
      <c r="E134" s="20"/>
      <c r="F134" s="20"/>
      <c r="G134" s="25">
        <f>G10/(G10+G7)</f>
        <v>0</v>
      </c>
      <c r="H134" s="25">
        <f t="shared" ref="H134:P134" si="359">H10/(H10+H7)</f>
        <v>0</v>
      </c>
      <c r="I134" s="25">
        <f t="shared" si="359"/>
        <v>0</v>
      </c>
      <c r="J134" s="25">
        <f t="shared" si="359"/>
        <v>0</v>
      </c>
      <c r="K134" s="25">
        <f t="shared" si="359"/>
        <v>0</v>
      </c>
      <c r="L134" s="25">
        <f t="shared" si="359"/>
        <v>0</v>
      </c>
      <c r="M134" s="25">
        <f t="shared" si="359"/>
        <v>0</v>
      </c>
      <c r="N134" s="25">
        <f t="shared" si="359"/>
        <v>0</v>
      </c>
      <c r="O134" s="25">
        <f t="shared" si="359"/>
        <v>0</v>
      </c>
      <c r="P134" s="25">
        <f t="shared" si="359"/>
        <v>0</v>
      </c>
      <c r="Q134" s="25">
        <f t="shared" ref="Q134" si="360">Q10/(Q10+Q7)</f>
        <v>0</v>
      </c>
      <c r="R134" s="118" t="e">
        <f t="shared" si="251"/>
        <v>#DIV/0!</v>
      </c>
      <c r="S134" s="128"/>
      <c r="T134" s="25">
        <f t="shared" ref="T134:AC134" si="361">T10/(T10+T7)</f>
        <v>0</v>
      </c>
      <c r="U134" s="25">
        <f t="shared" si="361"/>
        <v>0</v>
      </c>
      <c r="V134" s="25">
        <f t="shared" si="361"/>
        <v>0</v>
      </c>
      <c r="W134" s="25">
        <f t="shared" si="361"/>
        <v>0</v>
      </c>
      <c r="X134" s="25">
        <f t="shared" si="361"/>
        <v>0</v>
      </c>
      <c r="Y134" s="25">
        <f t="shared" si="361"/>
        <v>0</v>
      </c>
      <c r="Z134" s="25">
        <f t="shared" si="361"/>
        <v>0</v>
      </c>
      <c r="AA134" s="25">
        <f t="shared" si="361"/>
        <v>0</v>
      </c>
      <c r="AB134" s="25">
        <f t="shared" si="361"/>
        <v>0</v>
      </c>
      <c r="AC134" s="25">
        <f t="shared" si="361"/>
        <v>0</v>
      </c>
      <c r="AD134" s="118" t="e">
        <f t="shared" si="352"/>
        <v>#DIV/0!</v>
      </c>
      <c r="AE134" s="20"/>
      <c r="AF134" s="20"/>
    </row>
    <row r="135" spans="2:32" x14ac:dyDescent="0.2">
      <c r="B135" s="20"/>
      <c r="C135" s="20"/>
      <c r="D135" s="20"/>
      <c r="E135" s="20"/>
      <c r="F135" s="20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128"/>
      <c r="S135" s="128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137"/>
      <c r="AE135" s="20"/>
      <c r="AF135" s="20"/>
    </row>
    <row r="136" spans="2:32" x14ac:dyDescent="0.2">
      <c r="B136" s="20" t="s">
        <v>362</v>
      </c>
      <c r="C136" s="20"/>
      <c r="D136" s="20"/>
      <c r="E136" s="20"/>
      <c r="F136" s="20"/>
      <c r="G136" s="25">
        <f>G16</f>
        <v>99</v>
      </c>
      <c r="H136" s="25">
        <f t="shared" ref="H136:P136" si="362">H16</f>
        <v>106</v>
      </c>
      <c r="I136" s="25">
        <f t="shared" si="362"/>
        <v>90</v>
      </c>
      <c r="J136" s="25">
        <f t="shared" si="362"/>
        <v>92</v>
      </c>
      <c r="K136" s="25">
        <f t="shared" si="362"/>
        <v>96</v>
      </c>
      <c r="L136" s="25">
        <f t="shared" si="362"/>
        <v>210</v>
      </c>
      <c r="M136" s="25">
        <f t="shared" si="362"/>
        <v>364</v>
      </c>
      <c r="N136" s="25">
        <f t="shared" si="362"/>
        <v>289</v>
      </c>
      <c r="O136" s="25">
        <f t="shared" si="362"/>
        <v>257</v>
      </c>
      <c r="P136" s="25">
        <f t="shared" si="362"/>
        <v>435</v>
      </c>
      <c r="Q136" s="25">
        <f t="shared" ref="Q136" si="363">Q16</f>
        <v>616</v>
      </c>
      <c r="R136" s="118">
        <f t="shared" si="251"/>
        <v>0.17876770577842849</v>
      </c>
      <c r="S136" s="128"/>
      <c r="T136" s="25">
        <f t="shared" ref="T136:AC136" si="364">T16</f>
        <v>665.28000000000009</v>
      </c>
      <c r="U136" s="25">
        <f t="shared" si="364"/>
        <v>718.50240000000019</v>
      </c>
      <c r="V136" s="25">
        <f t="shared" si="364"/>
        <v>775.9825920000003</v>
      </c>
      <c r="W136" s="25">
        <f t="shared" si="364"/>
        <v>838.06119936000039</v>
      </c>
      <c r="X136" s="25">
        <f t="shared" si="364"/>
        <v>905.10609530880049</v>
      </c>
      <c r="Y136" s="25">
        <f t="shared" si="364"/>
        <v>977.51458293350458</v>
      </c>
      <c r="Z136" s="25">
        <f t="shared" si="364"/>
        <v>1055.7157495681849</v>
      </c>
      <c r="AA136" s="25">
        <f t="shared" si="364"/>
        <v>1140.1730095336397</v>
      </c>
      <c r="AB136" s="25">
        <f t="shared" si="364"/>
        <v>1231.386850296331</v>
      </c>
      <c r="AC136" s="25">
        <f t="shared" si="364"/>
        <v>1329.8977983200375</v>
      </c>
      <c r="AD136" s="118">
        <f t="shared" si="352"/>
        <v>8.0000000000000071E-2</v>
      </c>
      <c r="AE136" s="20"/>
      <c r="AF136" s="20"/>
    </row>
    <row r="137" spans="2:32" x14ac:dyDescent="0.2">
      <c r="B137" s="20" t="s">
        <v>363</v>
      </c>
      <c r="C137" s="20"/>
      <c r="D137" s="20"/>
      <c r="E137" s="20"/>
      <c r="F137" s="20"/>
      <c r="G137" s="119">
        <f t="shared" ref="G137:P137" si="365">G136*365/G25</f>
        <v>53.296460176991154</v>
      </c>
      <c r="H137" s="119">
        <f t="shared" si="365"/>
        <v>40.38622129436326</v>
      </c>
      <c r="I137" s="119">
        <f t="shared" si="365"/>
        <v>24.588323353293415</v>
      </c>
      <c r="J137" s="119">
        <f t="shared" si="365"/>
        <v>17.264781491002569</v>
      </c>
      <c r="K137" s="119">
        <f t="shared" si="365"/>
        <v>15.254680017414019</v>
      </c>
      <c r="L137" s="119">
        <f t="shared" si="365"/>
        <v>54.40028388928318</v>
      </c>
      <c r="M137" s="119">
        <f t="shared" si="365"/>
        <v>109.43986820428336</v>
      </c>
      <c r="N137" s="119">
        <f t="shared" si="365"/>
        <v>55.460042060988435</v>
      </c>
      <c r="O137" s="119">
        <f t="shared" si="365"/>
        <v>39.380772460117548</v>
      </c>
      <c r="P137" s="119">
        <f t="shared" si="365"/>
        <v>74.472326454033777</v>
      </c>
      <c r="Q137" s="119">
        <f t="shared" ref="Q137" si="366">Q136*365/Q25</f>
        <v>90.991501416430594</v>
      </c>
      <c r="R137" s="118">
        <f t="shared" si="251"/>
        <v>3.7872636093414069E-2</v>
      </c>
      <c r="S137" s="128"/>
      <c r="T137" s="119">
        <f t="shared" ref="T137:AC137" si="367">T136*365/T25</f>
        <v>90.991501416430594</v>
      </c>
      <c r="U137" s="119">
        <f t="shared" si="367"/>
        <v>90.991501416430594</v>
      </c>
      <c r="V137" s="119">
        <f t="shared" si="367"/>
        <v>90.991501416430609</v>
      </c>
      <c r="W137" s="119">
        <f t="shared" si="367"/>
        <v>90.991501416430609</v>
      </c>
      <c r="X137" s="119">
        <f t="shared" si="367"/>
        <v>90.991501416430609</v>
      </c>
      <c r="Y137" s="119">
        <f t="shared" si="367"/>
        <v>90.991501416430623</v>
      </c>
      <c r="Z137" s="119">
        <f t="shared" si="367"/>
        <v>90.991501416430594</v>
      </c>
      <c r="AA137" s="119">
        <f t="shared" si="367"/>
        <v>90.991501416430609</v>
      </c>
      <c r="AB137" s="119">
        <f t="shared" si="367"/>
        <v>90.991501416430609</v>
      </c>
      <c r="AC137" s="119">
        <f t="shared" si="367"/>
        <v>90.991501416430594</v>
      </c>
      <c r="AD137" s="118">
        <f t="shared" si="352"/>
        <v>0</v>
      </c>
      <c r="AE137" s="20"/>
      <c r="AF137" s="20"/>
    </row>
    <row r="138" spans="2:32" x14ac:dyDescent="0.2">
      <c r="B138" s="20" t="s">
        <v>366</v>
      </c>
      <c r="C138" s="20"/>
      <c r="D138" s="20"/>
      <c r="E138" s="20"/>
      <c r="F138" s="20"/>
      <c r="G138" s="133">
        <f>G82/G29</f>
        <v>60.294117647058826</v>
      </c>
      <c r="H138" s="133">
        <f t="shared" ref="H138:P138" si="368">H82/H29</f>
        <v>145.83333333333334</v>
      </c>
      <c r="I138" s="133">
        <f t="shared" si="368"/>
        <v>619.44444444444446</v>
      </c>
      <c r="J138" s="133">
        <f t="shared" si="368"/>
        <v>73.230088495575231</v>
      </c>
      <c r="K138" s="133">
        <f t="shared" si="368"/>
        <v>118.97018970189703</v>
      </c>
      <c r="L138" s="133">
        <f t="shared" si="368"/>
        <v>41.869918699186989</v>
      </c>
      <c r="M138" s="133">
        <f t="shared" si="368"/>
        <v>166.13644397313539</v>
      </c>
      <c r="N138" s="133">
        <f t="shared" si="368"/>
        <v>1991.0714285714282</v>
      </c>
      <c r="O138" s="133">
        <f t="shared" si="368"/>
        <v>2446.4285714285711</v>
      </c>
      <c r="P138" s="133">
        <f t="shared" si="368"/>
        <v>2026.785714285714</v>
      </c>
      <c r="Q138" s="133">
        <f t="shared" ref="Q138" si="369">Q82/Q29</f>
        <v>432.07908163265296</v>
      </c>
      <c r="R138" s="118">
        <f t="shared" si="251"/>
        <v>0.47779694905228487</v>
      </c>
      <c r="S138" s="128"/>
      <c r="T138" s="133">
        <f t="shared" ref="T138:AC138" si="370">T82/T29</f>
        <v>411.50388726919329</v>
      </c>
      <c r="U138" s="133">
        <f t="shared" si="370"/>
        <v>391.90846406589833</v>
      </c>
      <c r="V138" s="133">
        <f t="shared" si="370"/>
        <v>373.24615625323645</v>
      </c>
      <c r="W138" s="133">
        <f t="shared" si="370"/>
        <v>355.47252976498709</v>
      </c>
      <c r="X138" s="133">
        <f t="shared" si="370"/>
        <v>338.54526644284476</v>
      </c>
      <c r="Y138" s="133">
        <f t="shared" si="370"/>
        <v>322.42406327889984</v>
      </c>
      <c r="Z138" s="133">
        <f t="shared" si="370"/>
        <v>307.070536456095</v>
      </c>
      <c r="AA138" s="133">
        <f t="shared" si="370"/>
        <v>292.44812995818569</v>
      </c>
      <c r="AB138" s="133">
        <f t="shared" si="370"/>
        <v>278.52202853160543</v>
      </c>
      <c r="AC138" s="133">
        <f t="shared" si="370"/>
        <v>265.25907479200509</v>
      </c>
      <c r="AD138" s="118">
        <f t="shared" si="352"/>
        <v>-4.7619047619047672E-2</v>
      </c>
      <c r="AE138" s="20"/>
      <c r="AF138" s="20"/>
    </row>
    <row r="139" spans="2:32" x14ac:dyDescent="0.2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28"/>
      <c r="S139" s="128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137"/>
      <c r="AE139" s="20"/>
      <c r="AF139" s="20"/>
    </row>
    <row r="140" spans="2:32" x14ac:dyDescent="0.2">
      <c r="B140" s="20" t="s">
        <v>373</v>
      </c>
      <c r="C140" s="20"/>
      <c r="D140" s="20"/>
      <c r="E140" s="20"/>
      <c r="F140" s="20"/>
      <c r="G140" s="180">
        <f>G25/G14</f>
        <v>5.9473684210526319</v>
      </c>
      <c r="H140" s="180">
        <f t="shared" ref="H140:P140" si="371">H25/H14</f>
        <v>6.5170068027210881</v>
      </c>
      <c r="I140" s="180">
        <f t="shared" si="371"/>
        <v>9.4751773049645394</v>
      </c>
      <c r="J140" s="180">
        <f t="shared" si="371"/>
        <v>11.932515337423313</v>
      </c>
      <c r="K140" s="180">
        <f t="shared" si="371"/>
        <v>16.889705882352942</v>
      </c>
      <c r="L140" s="180">
        <f t="shared" si="371"/>
        <v>17.182926829268293</v>
      </c>
      <c r="M140" s="180">
        <f t="shared" si="371"/>
        <v>10.201680672268907</v>
      </c>
      <c r="N140" s="180">
        <f t="shared" si="371"/>
        <v>6.5586206896551724</v>
      </c>
      <c r="O140" s="180">
        <f t="shared" si="371"/>
        <v>9.0916030534351151</v>
      </c>
      <c r="P140" s="180">
        <f t="shared" si="371"/>
        <v>7.8962962962962964</v>
      </c>
      <c r="Q140" s="180">
        <f t="shared" ref="Q140" si="372">Q25/Q14</f>
        <v>7.3982035928143715</v>
      </c>
      <c r="R140" s="118">
        <f t="shared" si="251"/>
        <v>3.1995067419537948E-2</v>
      </c>
      <c r="S140" s="128"/>
      <c r="T140" s="20">
        <f t="shared" ref="T140" si="373">T25/T14</f>
        <v>7.3982035928143715</v>
      </c>
      <c r="U140" s="20">
        <f t="shared" ref="U140:AC140" si="374">U25/U14</f>
        <v>7.3982035928143706</v>
      </c>
      <c r="V140" s="20">
        <f t="shared" si="374"/>
        <v>7.3982035928143706</v>
      </c>
      <c r="W140" s="20">
        <f t="shared" si="374"/>
        <v>7.3982035928143715</v>
      </c>
      <c r="X140" s="20">
        <f t="shared" si="374"/>
        <v>7.3982035928143715</v>
      </c>
      <c r="Y140" s="20">
        <f t="shared" si="374"/>
        <v>7.3982035928143697</v>
      </c>
      <c r="Z140" s="20">
        <f t="shared" si="374"/>
        <v>7.3982035928143706</v>
      </c>
      <c r="AA140" s="20">
        <f t="shared" si="374"/>
        <v>7.3982035928143697</v>
      </c>
      <c r="AB140" s="20">
        <f t="shared" si="374"/>
        <v>7.3982035928143706</v>
      </c>
      <c r="AC140" s="20">
        <f t="shared" si="374"/>
        <v>7.3982035928143706</v>
      </c>
      <c r="AD140" s="118">
        <f t="shared" si="352"/>
        <v>0</v>
      </c>
      <c r="AE140" s="20"/>
      <c r="AF140" s="20"/>
    </row>
    <row r="141" spans="2:32" x14ac:dyDescent="0.2">
      <c r="B141" s="20" t="s">
        <v>374</v>
      </c>
      <c r="C141" s="20"/>
      <c r="D141" s="20"/>
      <c r="E141" s="20"/>
      <c r="F141" s="20"/>
      <c r="G141" s="180">
        <f>G27/G14</f>
        <v>4.8684210526315788</v>
      </c>
      <c r="H141" s="180">
        <f t="shared" ref="H141:P141" si="375">H27/H14</f>
        <v>5.8639455782312924</v>
      </c>
      <c r="I141" s="180">
        <f t="shared" si="375"/>
        <v>7.7234042553191493</v>
      </c>
      <c r="J141" s="180">
        <f t="shared" si="375"/>
        <v>9.595092024539877</v>
      </c>
      <c r="K141" s="180">
        <f t="shared" si="375"/>
        <v>13.286764705882353</v>
      </c>
      <c r="L141" s="180">
        <f t="shared" si="375"/>
        <v>13.817073170731707</v>
      </c>
      <c r="M141" s="180">
        <f t="shared" si="375"/>
        <v>8.1680672268907557</v>
      </c>
      <c r="N141" s="180">
        <f t="shared" si="375"/>
        <v>5.4137931034482758</v>
      </c>
      <c r="O141" s="180">
        <f t="shared" si="375"/>
        <v>7.721374045801527</v>
      </c>
      <c r="P141" s="180">
        <f t="shared" si="375"/>
        <v>6.7703703703703706</v>
      </c>
      <c r="Q141" s="180">
        <f t="shared" ref="Q141" si="376">Q27/Q14</f>
        <v>6.2814371257485027</v>
      </c>
      <c r="R141" s="118">
        <f t="shared" si="251"/>
        <v>3.7322530004534338E-2</v>
      </c>
      <c r="S141" s="128"/>
      <c r="T141" s="20">
        <f t="shared" ref="T141:AC141" si="377">T27/T14</f>
        <v>6.2814371257485027</v>
      </c>
      <c r="U141" s="20">
        <f t="shared" si="377"/>
        <v>6.2814371257485027</v>
      </c>
      <c r="V141" s="20">
        <f t="shared" si="377"/>
        <v>6.2814371257485035</v>
      </c>
      <c r="W141" s="20">
        <f t="shared" si="377"/>
        <v>6.2814371257485035</v>
      </c>
      <c r="X141" s="20">
        <f t="shared" si="377"/>
        <v>6.2814371257485044</v>
      </c>
      <c r="Y141" s="20">
        <f t="shared" si="377"/>
        <v>6.2814371257485044</v>
      </c>
      <c r="Z141" s="20">
        <f t="shared" si="377"/>
        <v>6.2814371257485035</v>
      </c>
      <c r="AA141" s="20">
        <f t="shared" si="377"/>
        <v>6.2814371257485035</v>
      </c>
      <c r="AB141" s="20">
        <f t="shared" si="377"/>
        <v>6.2814371257485035</v>
      </c>
      <c r="AC141" s="20">
        <f t="shared" si="377"/>
        <v>6.2814371257485035</v>
      </c>
      <c r="AD141" s="118">
        <f t="shared" si="352"/>
        <v>0</v>
      </c>
      <c r="AE141" s="20"/>
      <c r="AF141" s="20"/>
    </row>
    <row r="142" spans="2:32" x14ac:dyDescent="0.2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128"/>
      <c r="S142" s="128"/>
      <c r="T142" s="119"/>
      <c r="U142" s="119"/>
      <c r="V142" s="119"/>
      <c r="W142" s="119"/>
      <c r="X142" s="119"/>
      <c r="Y142" s="119"/>
      <c r="Z142" s="119"/>
      <c r="AA142" s="119"/>
      <c r="AB142" s="119"/>
      <c r="AC142" s="119"/>
      <c r="AD142" s="137"/>
      <c r="AE142" s="20"/>
      <c r="AF142" s="20"/>
    </row>
    <row r="143" spans="2:32" x14ac:dyDescent="0.2">
      <c r="B143" s="108" t="s">
        <v>244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3"/>
      <c r="S143" s="23"/>
      <c r="T143" s="122" t="s">
        <v>66</v>
      </c>
      <c r="U143" s="20"/>
      <c r="V143" s="20"/>
      <c r="W143" s="20"/>
      <c r="X143" s="20"/>
      <c r="Y143" s="20"/>
      <c r="Z143" s="20"/>
      <c r="AA143" s="20"/>
      <c r="AB143" s="20"/>
      <c r="AC143" s="20"/>
      <c r="AD143" s="137"/>
      <c r="AE143" s="20"/>
      <c r="AF143" s="20"/>
    </row>
    <row r="144" spans="2:32" x14ac:dyDescent="0.2">
      <c r="B144" s="23" t="s">
        <v>280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5"/>
      <c r="Q144" s="25"/>
      <c r="R144" s="160">
        <f>AVERAGE(G56:Q56)</f>
        <v>310.6349447731921</v>
      </c>
      <c r="S144" s="23"/>
      <c r="T144" s="134"/>
      <c r="U144" s="20"/>
      <c r="V144" s="20"/>
      <c r="W144" s="20"/>
      <c r="X144" s="20"/>
      <c r="Y144" s="20"/>
      <c r="Z144" s="20"/>
      <c r="AA144" s="20"/>
      <c r="AB144" s="20"/>
      <c r="AC144" s="20"/>
      <c r="AD144" s="137"/>
      <c r="AE144" s="20"/>
      <c r="AF144" s="20"/>
    </row>
    <row r="145" spans="2:32" x14ac:dyDescent="0.2">
      <c r="B145" s="20" t="s">
        <v>25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140">
        <f>T145+U145</f>
        <v>457.70845492576768</v>
      </c>
      <c r="T145" s="133">
        <f>PV($C$1, ($AC$3-$T$3), 0, -AC56)</f>
        <v>50.425507746059147</v>
      </c>
      <c r="U145" s="133">
        <f>PV($C$1, ($AC$3-$T$3), 0, -AF56)</f>
        <v>407.28294717970851</v>
      </c>
      <c r="V145" s="20"/>
      <c r="W145" s="20"/>
      <c r="X145" s="20"/>
      <c r="Y145" s="20"/>
      <c r="Z145" s="20"/>
      <c r="AA145" s="20"/>
      <c r="AB145" s="20"/>
      <c r="AC145" s="20"/>
      <c r="AD145" s="137"/>
      <c r="AE145" s="20"/>
      <c r="AF145" s="20"/>
    </row>
    <row r="146" spans="2:32" x14ac:dyDescent="0.2">
      <c r="B146" s="20" t="s">
        <v>272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140">
        <f t="shared" ref="S146:S164" si="378">T146+U146</f>
        <v>2683.2855452791046</v>
      </c>
      <c r="T146" s="133">
        <f>PV($C$1, ($AC$3-$T$3), 0, -AC58)</f>
        <v>295.61620414091828</v>
      </c>
      <c r="U146" s="133">
        <f>PV($C$1, ($AC$3-$T$3), 0, -AF58)</f>
        <v>2387.6693411381862</v>
      </c>
      <c r="V146" s="20"/>
      <c r="W146" s="20"/>
      <c r="X146" s="20"/>
      <c r="Y146" s="20"/>
      <c r="Z146" s="20"/>
      <c r="AA146" s="20"/>
      <c r="AB146" s="20"/>
      <c r="AC146" s="20"/>
      <c r="AD146" s="137"/>
      <c r="AE146" s="20"/>
      <c r="AF146" s="20"/>
    </row>
    <row r="147" spans="2:32" x14ac:dyDescent="0.2">
      <c r="B147" s="20" t="s">
        <v>273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140">
        <f t="shared" si="378"/>
        <v>2656.6464288548523</v>
      </c>
      <c r="T147" s="133">
        <f>PV($C$1, ($AC$3-$T$3), 0, -AC59)</f>
        <v>292.68138622977187</v>
      </c>
      <c r="U147" s="133">
        <f>PV($C$1, ($AC$3-$T$3), 0, -AF59)</f>
        <v>2363.9650426250805</v>
      </c>
      <c r="V147" s="20"/>
      <c r="W147" s="20"/>
      <c r="X147" s="20"/>
      <c r="Y147" s="20"/>
      <c r="Z147" s="20"/>
      <c r="AA147" s="20"/>
      <c r="AB147" s="20"/>
      <c r="AC147" s="20"/>
      <c r="AD147" s="137"/>
      <c r="AE147" s="20"/>
      <c r="AF147" s="20"/>
    </row>
    <row r="148" spans="2:32" x14ac:dyDescent="0.2">
      <c r="B148" s="20" t="s">
        <v>274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140">
        <f t="shared" si="378"/>
        <v>0</v>
      </c>
      <c r="T148" s="133">
        <f>PV($C$1, ($AC$3-$T$3), 0, -AC60)</f>
        <v>0</v>
      </c>
      <c r="U148" s="133">
        <f>PV($C$1, ($AC$3-$T$3), 0, -AF60)</f>
        <v>0</v>
      </c>
      <c r="V148" s="20"/>
      <c r="W148" s="20"/>
      <c r="X148" s="20"/>
      <c r="Y148" s="20"/>
      <c r="Z148" s="20"/>
      <c r="AA148" s="20"/>
      <c r="AB148" s="20"/>
      <c r="AC148" s="20"/>
      <c r="AD148" s="137"/>
      <c r="AE148" s="20"/>
      <c r="AF148" s="20"/>
    </row>
    <row r="149" spans="2:32" x14ac:dyDescent="0.2">
      <c r="B149" s="20" t="s">
        <v>275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140">
        <f t="shared" si="378"/>
        <v>2213.4684010695864</v>
      </c>
      <c r="T149" s="133">
        <f>PV($C$1, ($AC$3-$T$3), 0, -AC66)</f>
        <v>243.85668825342898</v>
      </c>
      <c r="U149" s="133">
        <f>PV($C$1, ($AC$3-$T$3), 0, -AF66)</f>
        <v>1969.6117128161575</v>
      </c>
      <c r="V149" s="20"/>
      <c r="W149" s="20"/>
      <c r="X149" s="20"/>
      <c r="Y149" s="20"/>
      <c r="Z149" s="20"/>
      <c r="AA149" s="20"/>
      <c r="AB149" s="20"/>
      <c r="AC149" s="20"/>
      <c r="AD149" s="137"/>
      <c r="AE149" s="20"/>
      <c r="AF149" s="20"/>
    </row>
    <row r="150" spans="2:32" x14ac:dyDescent="0.2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140"/>
      <c r="T150" s="133"/>
      <c r="U150" s="20"/>
      <c r="V150" s="20"/>
      <c r="W150" s="20"/>
      <c r="X150" s="20"/>
      <c r="Y150" s="20"/>
      <c r="Z150" s="20"/>
      <c r="AA150" s="20"/>
      <c r="AB150" s="20"/>
      <c r="AC150" s="20"/>
      <c r="AD150" s="137"/>
      <c r="AE150" s="20"/>
      <c r="AF150" s="20"/>
    </row>
    <row r="151" spans="2:32" x14ac:dyDescent="0.2">
      <c r="B151" s="20" t="s">
        <v>270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140">
        <f t="shared" si="378"/>
        <v>2683.2855452791046</v>
      </c>
      <c r="T151" s="133">
        <f>PV($C$1, ($AC$3-$T$3), 0, -AC62)</f>
        <v>295.61620414091828</v>
      </c>
      <c r="U151" s="133">
        <f>PV($C$1, ($AC$3-$T$3), 0, -$AF$62)</f>
        <v>2387.6693411381862</v>
      </c>
      <c r="V151" s="20"/>
      <c r="W151" s="20"/>
      <c r="X151" s="20"/>
      <c r="Y151" s="20"/>
      <c r="Z151" s="20"/>
      <c r="AA151" s="20"/>
      <c r="AB151" s="20"/>
      <c r="AC151" s="20"/>
      <c r="AD151" s="137"/>
      <c r="AE151" s="20"/>
      <c r="AF151" s="20"/>
    </row>
    <row r="152" spans="2:32" x14ac:dyDescent="0.2">
      <c r="B152" s="20" t="s">
        <v>271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140">
        <f t="shared" si="378"/>
        <v>469.81714420951818</v>
      </c>
      <c r="T152" s="133">
        <f>PV($C$1, ($AC$3-$T$3), 0, -AC63)</f>
        <v>51.759515887489293</v>
      </c>
      <c r="U152" s="133">
        <f>PV($C$1, ($AC$3-$T$3), 0, -$AF$63)</f>
        <v>418.0576283220289</v>
      </c>
      <c r="V152" s="20"/>
      <c r="W152" s="20"/>
      <c r="X152" s="20"/>
      <c r="Y152" s="20"/>
      <c r="Z152" s="20"/>
      <c r="AA152" s="20"/>
      <c r="AB152" s="20"/>
      <c r="AC152" s="20"/>
      <c r="AD152" s="137"/>
      <c r="AE152" s="20"/>
      <c r="AF152" s="20"/>
    </row>
    <row r="153" spans="2:32" x14ac:dyDescent="0.2">
      <c r="B153" s="20" t="s">
        <v>276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140">
        <f t="shared" si="378"/>
        <v>3862.6718815163995</v>
      </c>
      <c r="T153" s="133">
        <f>PV($C$1, ($AC$3-$T$3), 0, -AC64)</f>
        <v>425.54859711621356</v>
      </c>
      <c r="U153" s="133">
        <f>PV($C$1, ($AC$3-$T$3), 0, -$AF$64)</f>
        <v>3437.1232844001861</v>
      </c>
      <c r="V153" s="20"/>
      <c r="W153" s="20"/>
      <c r="X153" s="20"/>
      <c r="Y153" s="20"/>
      <c r="Z153" s="20"/>
      <c r="AA153" s="20"/>
      <c r="AB153" s="20"/>
      <c r="AC153" s="20"/>
      <c r="AD153" s="137"/>
      <c r="AE153" s="20"/>
      <c r="AF153" s="20"/>
    </row>
    <row r="154" spans="2:32" x14ac:dyDescent="0.2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140"/>
      <c r="T154" s="133"/>
      <c r="U154" s="20"/>
      <c r="V154" s="20"/>
      <c r="W154" s="20"/>
      <c r="X154" s="20"/>
      <c r="Y154" s="20"/>
      <c r="Z154" s="20"/>
      <c r="AA154" s="20"/>
      <c r="AB154" s="20"/>
      <c r="AC154" s="20"/>
      <c r="AD154" s="137"/>
      <c r="AE154" s="20"/>
      <c r="AF154" s="20"/>
    </row>
    <row r="155" spans="2:32" x14ac:dyDescent="0.2">
      <c r="B155" s="20" t="s">
        <v>249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140">
        <f t="shared" si="378"/>
        <v>3392.8547373068818</v>
      </c>
      <c r="T155" s="133">
        <f>PV($C$1, ($AC$3-$T$3), 0, -AC69)</f>
        <v>373.78908122872423</v>
      </c>
      <c r="U155" s="133">
        <f>PV($C$1, ($AC$3-$T$3), 0, -AF69)</f>
        <v>3019.0656560781576</v>
      </c>
      <c r="V155" s="20"/>
      <c r="W155" s="20"/>
      <c r="X155" s="20"/>
      <c r="Y155" s="20"/>
      <c r="Z155" s="20"/>
      <c r="AA155" s="20"/>
      <c r="AB155" s="20"/>
      <c r="AC155" s="20"/>
      <c r="AD155" s="137"/>
      <c r="AE155" s="20"/>
      <c r="AF155" s="20"/>
    </row>
    <row r="156" spans="2:32" x14ac:dyDescent="0.2">
      <c r="B156" s="20" t="s">
        <v>250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140">
        <f t="shared" si="378"/>
        <v>1077.4042642697084</v>
      </c>
      <c r="T156" s="133">
        <f>PV($C$1, ($AC$3-$T$3), 0, -AC70)</f>
        <v>164.34980302419282</v>
      </c>
      <c r="U156" s="133">
        <f>PV($C$1, ($AC$3-$T$3), 0, -AF70)</f>
        <v>913.05446124551565</v>
      </c>
      <c r="V156" s="20"/>
      <c r="W156" s="20"/>
      <c r="X156" s="20"/>
      <c r="Y156" s="20"/>
      <c r="Z156" s="20"/>
      <c r="AA156" s="20"/>
      <c r="AB156" s="20"/>
      <c r="AC156" s="20"/>
      <c r="AD156" s="137"/>
      <c r="AE156" s="20"/>
      <c r="AF156" s="20"/>
    </row>
    <row r="157" spans="2:32" x14ac:dyDescent="0.2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140"/>
      <c r="T157" s="133"/>
      <c r="U157" s="133"/>
      <c r="V157" s="20"/>
      <c r="W157" s="20"/>
      <c r="X157" s="20"/>
      <c r="Y157" s="20"/>
      <c r="Z157" s="20"/>
      <c r="AA157" s="20"/>
      <c r="AB157" s="20"/>
      <c r="AC157" s="20"/>
      <c r="AD157" s="137"/>
      <c r="AE157" s="20"/>
      <c r="AF157" s="20"/>
    </row>
    <row r="158" spans="2:32" x14ac:dyDescent="0.2">
      <c r="B158" s="20" t="s">
        <v>292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140">
        <f t="shared" ref="S158" si="379">T158+U158</f>
        <v>4038.1675992491737</v>
      </c>
      <c r="T158" s="133">
        <f>PV($C$1, ($AC$3-$T$3), 0, -AC12)</f>
        <v>444.88287110372255</v>
      </c>
      <c r="U158" s="133">
        <f>PV($C$1, ($AC$3-$T$3), 0, -AF12)</f>
        <v>3593.284728145451</v>
      </c>
      <c r="V158" s="20"/>
      <c r="W158" s="20"/>
      <c r="X158" s="20"/>
      <c r="Y158" s="20"/>
      <c r="Z158" s="20"/>
      <c r="AA158" s="20"/>
      <c r="AB158" s="20"/>
      <c r="AC158" s="20"/>
      <c r="AD158" s="137"/>
      <c r="AE158" s="20"/>
      <c r="AF158" s="20"/>
    </row>
    <row r="159" spans="2:32" x14ac:dyDescent="0.2">
      <c r="B159" s="20" t="s">
        <v>293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140">
        <f>T159+U159</f>
        <v>3605.5067850439045</v>
      </c>
      <c r="T159" s="140">
        <f>T158/P42</f>
        <v>397.21684919975223</v>
      </c>
      <c r="U159" s="140">
        <f>U158/P42</f>
        <v>3208.2899358441523</v>
      </c>
      <c r="V159" s="20"/>
      <c r="W159" s="20"/>
      <c r="X159" s="20"/>
      <c r="Y159" s="20"/>
      <c r="Z159" s="20"/>
      <c r="AA159" s="20"/>
      <c r="AB159" s="20"/>
      <c r="AC159" s="20"/>
      <c r="AD159" s="137"/>
      <c r="AE159" s="20"/>
      <c r="AF159" s="20"/>
    </row>
    <row r="160" spans="2:32" x14ac:dyDescent="0.2"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140"/>
      <c r="T160" s="140"/>
      <c r="U160" s="140"/>
      <c r="V160" s="20"/>
      <c r="W160" s="20"/>
      <c r="X160" s="20"/>
      <c r="Y160" s="20"/>
      <c r="Z160" s="20"/>
      <c r="AA160" s="20"/>
      <c r="AB160" s="20"/>
      <c r="AC160" s="20"/>
      <c r="AD160" s="137"/>
      <c r="AE160" s="20"/>
      <c r="AF160" s="20"/>
    </row>
    <row r="161" spans="2:32" x14ac:dyDescent="0.2">
      <c r="B161" s="108" t="s">
        <v>296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140"/>
      <c r="T161" s="133"/>
      <c r="U161" s="133"/>
      <c r="V161" s="20"/>
      <c r="W161" s="20"/>
      <c r="X161" s="20"/>
      <c r="Y161" s="20"/>
      <c r="Z161" s="20"/>
      <c r="AA161" s="20"/>
      <c r="AB161" s="20"/>
      <c r="AC161" s="20"/>
      <c r="AD161" s="137"/>
      <c r="AE161" s="20"/>
      <c r="AF161" s="20"/>
    </row>
    <row r="162" spans="2:32" x14ac:dyDescent="0.2">
      <c r="B162" s="20" t="s">
        <v>282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140">
        <f t="shared" ref="S162" si="380">T162+U162</f>
        <v>348.12800322894554</v>
      </c>
      <c r="T162" s="133">
        <f>PV($C$1, ($AC$3-$T$3), 0, -AC72)+PV($C$1, ($AB$3-$T$3), 0, -AC72)+PV($C$1, ($AA$3-$T$3), 0, -AC72)+PV($C$1, ($Z$3-$T$3), 0, -AC72)+PV($C$1, ($Y$3-$T$3), 0, -AC72)+PV($C$1, ($X$3-$T$3), 0, -AC72)+PV($C$1, ($W$3-$T$3), 0, -AC72)+PV($C$1, ($V$3-$T$3), 0, -AC72)+PV($C$1, ($U$3-$T$3), 0, -AC72)+PV($C$1, ($T$3-$T$3), 0, -AC72)</f>
        <v>259.1419128399088</v>
      </c>
      <c r="U162" s="133">
        <f>PV($C$1, ($AC$3-$T$3), 0, -AF72)</f>
        <v>88.986090389036718</v>
      </c>
      <c r="V162" s="20"/>
      <c r="W162" s="20"/>
      <c r="X162" s="20"/>
      <c r="Y162" s="20"/>
      <c r="Z162" s="20"/>
      <c r="AA162" s="20"/>
      <c r="AB162" s="20"/>
      <c r="AC162" s="20"/>
      <c r="AD162" s="137"/>
      <c r="AE162" s="20"/>
      <c r="AF162" s="20"/>
    </row>
    <row r="163" spans="2:32" x14ac:dyDescent="0.2">
      <c r="B163" s="23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140"/>
      <c r="T163" s="133"/>
      <c r="U163" s="133"/>
      <c r="V163" s="20"/>
      <c r="W163" s="20"/>
      <c r="X163" s="20"/>
      <c r="Y163" s="20"/>
      <c r="Z163" s="20"/>
      <c r="AA163" s="20"/>
      <c r="AB163" s="20"/>
      <c r="AC163" s="20"/>
      <c r="AD163" s="137"/>
      <c r="AE163" s="20"/>
      <c r="AF163" s="20"/>
    </row>
    <row r="164" spans="2:32" x14ac:dyDescent="0.2">
      <c r="B164" s="20" t="s">
        <v>289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140">
        <f t="shared" si="378"/>
        <v>461.40630343200286</v>
      </c>
      <c r="T164" s="133">
        <f>PV($C$1, ($AC$3-$T$3), 0, -AC74)+PV($C$1, ($AB$3-$T$3), 0, -AC74)+PV($C$1, ($AA$3-$T$3), 0, -AC74)+PV($C$1, ($Z$3-$T$3), 0, -AC74)+PV($C$1, ($Y$3-$T$3), 0, -AC74)+PV($C$1, ($X$3-$T$3), 0, -AC74)+PV($C$1, ($W$3-$T$3), 0, -AC74)+PV($C$1, ($V$3-$T$3), 0, -AC74)+PV($C$1, ($U$3-$T$3), 0, -AC74)+PV($C$1, ($T$3-$T$3), 0, -AC74)</f>
        <v>343.46479156727264</v>
      </c>
      <c r="U164" s="133">
        <f>PV($C$1, ($AC$3-$T$3), 0, -AF74)</f>
        <v>117.94151186473022</v>
      </c>
      <c r="V164" s="20"/>
      <c r="W164" s="20"/>
      <c r="X164" s="20"/>
      <c r="Y164" s="20"/>
      <c r="Z164" s="20"/>
      <c r="AA164" s="20"/>
      <c r="AB164" s="20"/>
      <c r="AC164" s="20"/>
      <c r="AD164" s="137"/>
      <c r="AE164" s="20"/>
      <c r="AF164" s="20"/>
    </row>
    <row r="165" spans="2:32" x14ac:dyDescent="0.2"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140"/>
      <c r="T165" s="133"/>
      <c r="U165" s="133"/>
      <c r="V165" s="20"/>
      <c r="W165" s="20"/>
      <c r="X165" s="20"/>
      <c r="Y165" s="20"/>
      <c r="Z165" s="20"/>
      <c r="AA165" s="20"/>
      <c r="AB165" s="20"/>
      <c r="AC165" s="20"/>
      <c r="AD165" s="137"/>
      <c r="AE165" s="20"/>
      <c r="AF165" s="20"/>
    </row>
    <row r="166" spans="2:32" x14ac:dyDescent="0.2">
      <c r="B166" s="20" t="s">
        <v>461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140">
        <f t="shared" ref="S166:S169" si="381">T166+U166</f>
        <v>252.91379012871027</v>
      </c>
      <c r="T166" s="133">
        <f>PV($C$1, ($AC$3-$T$3), 0, -AC76)+PV($C$1, ($AB$3-$T$3), 0, -AC76)+PV($C$1, ($AA$3-$T$3), 0, -AC76)+PV($C$1, ($Z$3-$T$3), 0, -AC76)+PV($C$1, ($Y$3-$T$3), 0, -AC76)+PV($C$1, ($X$3-$T$3), 0, -AC76)+PV($C$1, ($W$3-$T$3), 0, -AC76)+PV($C$1, ($V$3-$T$3), 0, -AC76)+PV($C$1, ($U$3-$T$3), 0, -AC76)+PV($C$1, ($T$3-$T$3), 0, -AC76)</f>
        <v>188.26570327478836</v>
      </c>
      <c r="U166" s="133">
        <f>PV($C$1, ($AC$3-$T$3), 0, -AF76)</f>
        <v>64.64808685392191</v>
      </c>
      <c r="V166" s="20"/>
      <c r="W166" s="20"/>
      <c r="X166" s="20"/>
      <c r="Y166" s="20"/>
      <c r="Z166" s="20"/>
      <c r="AA166" s="20"/>
      <c r="AB166" s="20"/>
      <c r="AC166" s="20"/>
      <c r="AD166" s="137"/>
      <c r="AE166" s="20"/>
      <c r="AF166" s="20"/>
    </row>
    <row r="167" spans="2:32" x14ac:dyDescent="0.2">
      <c r="B167" s="20" t="s">
        <v>286</v>
      </c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140">
        <f t="shared" si="381"/>
        <v>1053.8074588696275</v>
      </c>
      <c r="T167" s="133">
        <f>PV($C$1, ($AC$3-$T$3), 0, -AC77)+PV($C$1, ($AB$3-$T$3), 0, -AC77)+PV($C$1, ($AA$3-$T$3), 0, -AC77)+PV($C$1, ($Z$3-$T$3), 0, -AC77)+PV($C$1, ($Y$3-$T$3), 0, -AC77)+PV($C$1, ($X$3-$T$3), 0, -AC77)+PV($C$1, ($W$3-$T$3), 0, -AC77)+PV($C$1, ($V$3-$T$3), 0, -AC77)+PV($C$1, ($U$3-$T$3), 0, -AC77)+PV($C$1, ($T$3-$T$3), 0, -AC77)</f>
        <v>784.44043031161914</v>
      </c>
      <c r="U167" s="133">
        <f>PV($C$1, ($AC$3-$T$3), 0, -AF77)</f>
        <v>269.36702855800831</v>
      </c>
      <c r="V167" s="20"/>
      <c r="W167" s="20"/>
      <c r="X167" s="20"/>
      <c r="Y167" s="20"/>
      <c r="Z167" s="20"/>
      <c r="AA167" s="20"/>
      <c r="AB167" s="20"/>
      <c r="AC167" s="20"/>
      <c r="AD167" s="137"/>
      <c r="AE167" s="20"/>
      <c r="AF167" s="20"/>
    </row>
    <row r="168" spans="2:32" x14ac:dyDescent="0.2">
      <c r="B168" s="20" t="s">
        <v>287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140">
        <f t="shared" si="381"/>
        <v>-800.89366874091706</v>
      </c>
      <c r="T168" s="133">
        <f>PV($C$1, ($AC$3-$T$3), 0, -AC78)+PV($C$1, ($AB$3-$T$3), 0, -AC78)+PV($C$1, ($AA$3-$T$3), 0, -AC78)+PV($C$1, ($Z$3-$T$3), 0, -AC78)+PV($C$1, ($Y$3-$T$3), 0, -AC78)+PV($C$1, ($X$3-$T$3), 0, -AC78)+PV($C$1, ($W$3-$T$3), 0, -AC78)+PV($C$1, ($V$3-$T$3), 0, -AC78)+PV($C$1, ($U$3-$T$3), 0, -AC78)+PV($C$1, ($T$3-$T$3), 0, -AC78)</f>
        <v>-596.17472703683075</v>
      </c>
      <c r="U168" s="133">
        <f>PV($C$1, ($AC$3-$T$3), 0, -AF78)</f>
        <v>-204.71894170408638</v>
      </c>
      <c r="V168" s="20"/>
      <c r="W168" s="20"/>
      <c r="X168" s="20"/>
      <c r="Y168" s="20"/>
      <c r="Z168" s="20"/>
      <c r="AA168" s="20"/>
      <c r="AB168" s="20"/>
      <c r="AC168" s="20"/>
      <c r="AD168" s="137"/>
      <c r="AE168" s="20"/>
      <c r="AF168" s="20"/>
    </row>
    <row r="169" spans="2:32" x14ac:dyDescent="0.2">
      <c r="B169" s="20" t="s">
        <v>288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140">
        <f t="shared" si="381"/>
        <v>-227.62241111583955</v>
      </c>
      <c r="T169" s="133">
        <f>PV($C$1, ($AC$3-$T$3), 0, -AC79)+PV($C$1, ($AB$3-$T$3), 0, -AC79)+PV($C$1, ($AA$3-$T$3), 0, -AC79)+PV($C$1, ($Z$3-$T$3), 0, -AC79)+PV($C$1, ($Y$3-$T$3), 0, -AC79)+PV($C$1, ($X$3-$T$3), 0, -AC79)+PV($C$1, ($W$3-$T$3), 0, -AC79)+PV($C$1, ($V$3-$T$3), 0, -AC79)+PV($C$1, ($U$3-$T$3), 0, -AC79)+PV($C$1, ($T$3-$T$3), 0, -AC79)</f>
        <v>-169.43913294730976</v>
      </c>
      <c r="U169" s="133">
        <f>PV($C$1, ($AC$3-$T$3), 0, -AF79)</f>
        <v>-58.183278168529803</v>
      </c>
      <c r="V169" s="20"/>
      <c r="W169" s="20"/>
      <c r="X169" s="20"/>
      <c r="Y169" s="20"/>
      <c r="Z169" s="20"/>
      <c r="AA169" s="20"/>
      <c r="AB169" s="20"/>
      <c r="AC169" s="20"/>
      <c r="AD169" s="137"/>
      <c r="AE169" s="20"/>
      <c r="AF169" s="20"/>
    </row>
    <row r="170" spans="2:32" x14ac:dyDescent="0.2">
      <c r="B170" s="20" t="s">
        <v>459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5">
        <f>S167+S168+S169</f>
        <v>25.291379012870834</v>
      </c>
      <c r="T170" s="25">
        <f t="shared" ref="T170:U170" si="382">T167+T168+T169</f>
        <v>18.826570327478635</v>
      </c>
      <c r="U170" s="25">
        <f t="shared" si="382"/>
        <v>6.4648086853921356</v>
      </c>
      <c r="V170" s="20"/>
      <c r="W170" s="20"/>
      <c r="X170" s="20"/>
      <c r="Y170" s="20"/>
      <c r="Z170" s="20"/>
      <c r="AA170" s="20"/>
      <c r="AB170" s="20"/>
      <c r="AC170" s="20"/>
      <c r="AD170" s="137"/>
      <c r="AE170" s="20"/>
      <c r="AF170" s="20"/>
    </row>
    <row r="171" spans="2:32" x14ac:dyDescent="0.2"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140"/>
      <c r="T171" s="133"/>
      <c r="U171" s="133"/>
      <c r="V171" s="20"/>
      <c r="W171" s="20"/>
      <c r="X171" s="20"/>
      <c r="Y171" s="20"/>
      <c r="Z171" s="20"/>
      <c r="AA171" s="20"/>
      <c r="AB171" s="20"/>
      <c r="AC171" s="20"/>
      <c r="AD171" s="137"/>
      <c r="AE171" s="20"/>
      <c r="AF171" s="20"/>
    </row>
    <row r="172" spans="2:32" x14ac:dyDescent="0.2">
      <c r="B172" s="20" t="s">
        <v>297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140">
        <f>T172+U172</f>
        <v>118.02643539339832</v>
      </c>
      <c r="T172" s="133">
        <f>PV($C$1, ($AC$3-$T$3), 0, -AC80)+PV($C$1, ($AB$3-$T$3), 0, -AC80)+PV($C$1, ($AA$3-$T$3), 0, -AC80)+PV($C$1, ($Z$3-$T$3), 0, -AC80)+PV($C$1, ($Y$3-$T$3), 0, -AC80)+PV($C$1, ($X$3-$T$3), 0, -AC80)+PV($C$1, ($W$3-$T$3), 0, -AC80)+PV($C$1, ($V$3-$T$3), 0, -AC80)+PV($C$1, ($U$3-$T$3), 0, -AC80)+PV($C$1, ($T$3-$T$3), 0, -AC80)</f>
        <v>87.85732819490137</v>
      </c>
      <c r="U172" s="133">
        <f>PV($C$1, ($AC$3-$T$3), 0, -AF80)</f>
        <v>30.169107198496938</v>
      </c>
      <c r="V172" s="20"/>
      <c r="W172" s="20"/>
      <c r="X172" s="20"/>
      <c r="Y172" s="20"/>
      <c r="Z172" s="20"/>
      <c r="AA172" s="20"/>
      <c r="AB172" s="20"/>
      <c r="AC172" s="20"/>
      <c r="AD172" s="137"/>
      <c r="AE172" s="20"/>
      <c r="AF172" s="20"/>
    </row>
    <row r="173" spans="2:32" x14ac:dyDescent="0.2"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183">
        <v>41729</v>
      </c>
      <c r="P173" s="20">
        <v>3000</v>
      </c>
      <c r="Q173" s="20"/>
      <c r="R173" s="20"/>
      <c r="S173" s="20"/>
      <c r="T173" s="121"/>
      <c r="U173" s="20"/>
      <c r="V173" s="20"/>
      <c r="W173" s="20"/>
      <c r="X173" s="20"/>
      <c r="Y173" s="20"/>
      <c r="Z173" s="20"/>
      <c r="AA173" s="20"/>
      <c r="AB173" s="20"/>
      <c r="AC173" s="20"/>
      <c r="AD173" s="137"/>
      <c r="AE173" s="20"/>
      <c r="AF173" s="20"/>
    </row>
    <row r="174" spans="2:32" x14ac:dyDescent="0.2">
      <c r="B174" s="108" t="s">
        <v>251</v>
      </c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3" t="s">
        <v>389</v>
      </c>
      <c r="P174" s="20">
        <v>3950</v>
      </c>
      <c r="Q174" s="20"/>
      <c r="R174" s="20" t="s">
        <v>391</v>
      </c>
      <c r="S174" s="23" t="s">
        <v>390</v>
      </c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137"/>
      <c r="AE174" s="20"/>
      <c r="AF174" s="20"/>
    </row>
    <row r="175" spans="2:32" x14ac:dyDescent="0.2">
      <c r="B175" s="20" t="s">
        <v>204</v>
      </c>
      <c r="C175" s="22">
        <v>0</v>
      </c>
      <c r="D175" s="22">
        <v>0</v>
      </c>
      <c r="E175" s="22">
        <v>0</v>
      </c>
      <c r="F175" s="22">
        <v>0</v>
      </c>
      <c r="G175" s="22">
        <v>4300</v>
      </c>
      <c r="H175" s="22">
        <v>8400</v>
      </c>
      <c r="I175" s="22">
        <v>19000</v>
      </c>
      <c r="J175" s="22">
        <v>2850</v>
      </c>
      <c r="K175" s="22">
        <v>1550</v>
      </c>
      <c r="L175" s="22">
        <v>450</v>
      </c>
      <c r="M175" s="22">
        <v>1800</v>
      </c>
      <c r="N175" s="22">
        <v>2100</v>
      </c>
      <c r="O175" s="22">
        <v>1580</v>
      </c>
      <c r="P175" s="22">
        <v>1850</v>
      </c>
      <c r="Q175" s="22">
        <v>1200</v>
      </c>
      <c r="R175" s="118">
        <f t="shared" ref="R175:R182" si="383">((P175/G175)^(1/($H$2-$H$1) ))-1</f>
        <v>-8.9457201981565482E-2</v>
      </c>
      <c r="S175" s="31">
        <f>L2-3%</f>
        <v>0.05</v>
      </c>
      <c r="T175" s="119">
        <f t="shared" ref="T175" si="384">P175*(1+$S175)</f>
        <v>1942.5</v>
      </c>
      <c r="U175" s="119">
        <f t="shared" ref="U175:AC175" si="385">T175*(1+$S175)</f>
        <v>2039.625</v>
      </c>
      <c r="V175" s="119">
        <f t="shared" si="385"/>
        <v>2141.6062500000003</v>
      </c>
      <c r="W175" s="119">
        <f t="shared" si="385"/>
        <v>2248.6865625000005</v>
      </c>
      <c r="X175" s="119">
        <f t="shared" si="385"/>
        <v>2361.1208906250008</v>
      </c>
      <c r="Y175" s="119">
        <f t="shared" si="385"/>
        <v>2479.1769351562511</v>
      </c>
      <c r="Z175" s="119">
        <f t="shared" si="385"/>
        <v>2603.135781914064</v>
      </c>
      <c r="AA175" s="119">
        <f t="shared" si="385"/>
        <v>2733.2925710097675</v>
      </c>
      <c r="AB175" s="119">
        <f t="shared" si="385"/>
        <v>2869.957199560256</v>
      </c>
      <c r="AC175" s="119">
        <f t="shared" si="385"/>
        <v>3013.4550595382689</v>
      </c>
      <c r="AD175" s="138">
        <f t="shared" ref="AD175:AD182" si="386">((AC175/G175)^(1/($AC$3-$H$1) ))-1</f>
        <v>-1.761931920361326E-2</v>
      </c>
      <c r="AE175" s="31">
        <v>0.08</v>
      </c>
      <c r="AF175" s="127">
        <f t="shared" ref="AF175:AF185" si="387">(AC175*(1+AD175))/($C$1-AE175)</f>
        <v>29603.600329385212</v>
      </c>
    </row>
    <row r="176" spans="2:32" x14ac:dyDescent="0.2">
      <c r="B176" s="20" t="s">
        <v>360</v>
      </c>
      <c r="C176" s="25"/>
      <c r="D176" s="25"/>
      <c r="E176" s="25"/>
      <c r="F176" s="25"/>
      <c r="G176" s="25">
        <f t="shared" ref="G176:P176" si="388">G175/G50</f>
        <v>0.76106194690265483</v>
      </c>
      <c r="H176" s="25">
        <f t="shared" si="388"/>
        <v>1.0521920668058455</v>
      </c>
      <c r="I176" s="25">
        <f t="shared" si="388"/>
        <v>1.7065868263473052</v>
      </c>
      <c r="J176" s="25">
        <f t="shared" si="388"/>
        <v>1.6557840616966581</v>
      </c>
      <c r="K176" s="25">
        <f t="shared" si="388"/>
        <v>0.82999564649542878</v>
      </c>
      <c r="L176" s="25">
        <f t="shared" si="388"/>
        <v>0.39283179559971609</v>
      </c>
      <c r="M176" s="25">
        <f t="shared" si="388"/>
        <v>1.8237232289950576</v>
      </c>
      <c r="N176" s="25">
        <f t="shared" si="388"/>
        <v>1.2365930599369086</v>
      </c>
      <c r="O176" s="25">
        <f t="shared" si="388"/>
        <v>0.74290512174643164</v>
      </c>
      <c r="P176" s="25">
        <f t="shared" si="388"/>
        <v>0.97185741088180122</v>
      </c>
      <c r="Q176" s="25">
        <f t="shared" ref="Q176" si="389">Q175/Q50</f>
        <v>0.5439093484419264</v>
      </c>
      <c r="R176" s="118">
        <f t="shared" ref="R176" si="390">((P176/G176)^(1/($H$2-$H$1) ))-1</f>
        <v>2.7538398855797785E-2</v>
      </c>
      <c r="S176" s="128"/>
      <c r="T176" s="25">
        <f t="shared" ref="T176:AC176" si="391">T175/T50</f>
        <v>0.85599622285174692</v>
      </c>
      <c r="U176" s="25">
        <f t="shared" si="391"/>
        <v>0.87382947749449169</v>
      </c>
      <c r="V176" s="25">
        <f t="shared" si="391"/>
        <v>0.89203425827562699</v>
      </c>
      <c r="W176" s="25">
        <f t="shared" si="391"/>
        <v>0.91061830532303578</v>
      </c>
      <c r="X176" s="25">
        <f t="shared" si="391"/>
        <v>0.92958952001726591</v>
      </c>
      <c r="Y176" s="25">
        <f t="shared" si="391"/>
        <v>0.94895596835095908</v>
      </c>
      <c r="Z176" s="25">
        <f t="shared" si="391"/>
        <v>0.96872588435827089</v>
      </c>
      <c r="AA176" s="25">
        <f t="shared" si="391"/>
        <v>0.98890767361573506</v>
      </c>
      <c r="AB176" s="25">
        <f t="shared" si="391"/>
        <v>1.0095099168160628</v>
      </c>
      <c r="AC176" s="25">
        <f t="shared" si="391"/>
        <v>1.0305413734163975</v>
      </c>
      <c r="AD176" s="138">
        <f t="shared" ref="AD176" si="392">((AC176/G176)^(1/($AC$3-$H$1) ))-1</f>
        <v>1.527167785915573E-2</v>
      </c>
      <c r="AE176" s="31">
        <v>0.08</v>
      </c>
      <c r="AF176" s="127">
        <f t="shared" ref="AF176" si="393">(AC176*(1+AD176))/($C$1-AE176)</f>
        <v>10.462794692917447</v>
      </c>
    </row>
    <row r="177" spans="2:32" x14ac:dyDescent="0.2">
      <c r="B177" s="20" t="s">
        <v>388</v>
      </c>
      <c r="C177" s="25"/>
      <c r="D177" s="25"/>
      <c r="E177" s="25"/>
      <c r="F177" s="25"/>
      <c r="G177" s="25">
        <f t="shared" ref="G177:P177" si="394">G175/G56</f>
        <v>8.8965517241379306</v>
      </c>
      <c r="H177" s="25">
        <f t="shared" si="394"/>
        <v>13.80821917808219</v>
      </c>
      <c r="I177" s="25">
        <f t="shared" si="394"/>
        <v>15.405405405405403</v>
      </c>
      <c r="J177" s="25">
        <f t="shared" si="394"/>
        <v>15.633495145631066</v>
      </c>
      <c r="K177" s="25">
        <f t="shared" si="394"/>
        <v>7.8780991735537187</v>
      </c>
      <c r="L177" s="25">
        <f t="shared" si="394"/>
        <v>5.1728971962616814</v>
      </c>
      <c r="M177" s="25">
        <f t="shared" si="394"/>
        <v>22.14</v>
      </c>
      <c r="N177" s="25">
        <f t="shared" si="394"/>
        <v>15.372549019607845</v>
      </c>
      <c r="O177" s="25">
        <f t="shared" si="394"/>
        <v>12.730935251798563</v>
      </c>
      <c r="P177" s="25">
        <f t="shared" si="394"/>
        <v>16.062015503875969</v>
      </c>
      <c r="Q177" s="25">
        <f t="shared" ref="Q177" si="395">Q175/Q56</f>
        <v>7.1111111111111125</v>
      </c>
      <c r="R177" s="118">
        <f t="shared" si="383"/>
        <v>6.7846192879474465E-2</v>
      </c>
      <c r="S177" s="128"/>
      <c r="T177" s="119">
        <f t="shared" ref="T177:AC177" si="396">T175/T56</f>
        <v>11.191358024691359</v>
      </c>
      <c r="U177" s="119">
        <f t="shared" si="396"/>
        <v>11.424511316872426</v>
      </c>
      <c r="V177" s="119">
        <f t="shared" si="396"/>
        <v>11.662521969307273</v>
      </c>
      <c r="W177" s="119">
        <f t="shared" si="396"/>
        <v>11.905491177001174</v>
      </c>
      <c r="X177" s="119">
        <f t="shared" si="396"/>
        <v>12.1535222431887</v>
      </c>
      <c r="Y177" s="119">
        <f t="shared" si="396"/>
        <v>12.406720623255133</v>
      </c>
      <c r="Z177" s="119">
        <f t="shared" si="396"/>
        <v>12.665193969572949</v>
      </c>
      <c r="AA177" s="119">
        <f t="shared" si="396"/>
        <v>12.929052177272387</v>
      </c>
      <c r="AB177" s="119">
        <f t="shared" si="396"/>
        <v>13.198407430965563</v>
      </c>
      <c r="AC177" s="119">
        <f t="shared" si="396"/>
        <v>13.473374252444014</v>
      </c>
      <c r="AD177" s="138">
        <f t="shared" si="386"/>
        <v>2.0969417513952981E-2</v>
      </c>
      <c r="AE177" s="31">
        <v>0.08</v>
      </c>
      <c r="AF177" s="127">
        <f t="shared" si="387"/>
        <v>137.55903062465256</v>
      </c>
    </row>
    <row r="178" spans="2:32" x14ac:dyDescent="0.2">
      <c r="B178" s="20" t="s">
        <v>464</v>
      </c>
      <c r="C178" s="25"/>
      <c r="D178" s="25"/>
      <c r="E178" s="25"/>
      <c r="F178" s="25"/>
      <c r="G178" s="25">
        <f t="shared" ref="G178:P178" si="397">G175/G54</f>
        <v>4.1951219512195124</v>
      </c>
      <c r="H178" s="25">
        <f t="shared" si="397"/>
        <v>7.1999999999999993</v>
      </c>
      <c r="I178" s="25">
        <f t="shared" si="397"/>
        <v>10.224215246636771</v>
      </c>
      <c r="J178" s="25">
        <f t="shared" si="397"/>
        <v>9.7296072507552864</v>
      </c>
      <c r="K178" s="25">
        <f t="shared" si="397"/>
        <v>4.3428246013667424</v>
      </c>
      <c r="L178" s="25">
        <f t="shared" si="397"/>
        <v>2.6868932038834954</v>
      </c>
      <c r="M178" s="25">
        <f t="shared" si="397"/>
        <v>11.776595744680851</v>
      </c>
      <c r="N178" s="25">
        <f t="shared" si="397"/>
        <v>10.547085201793724</v>
      </c>
      <c r="O178" s="25">
        <f t="shared" si="397"/>
        <v>6.4583941605839428</v>
      </c>
      <c r="P178" s="25">
        <f t="shared" si="397"/>
        <v>9.1277533039647576</v>
      </c>
      <c r="Q178" s="25">
        <f>Q175/Q54</f>
        <v>4.9594095940959413</v>
      </c>
      <c r="R178" s="118">
        <f t="shared" si="383"/>
        <v>9.0217768582521396E-2</v>
      </c>
      <c r="S178" s="128"/>
      <c r="T178" s="25">
        <f t="shared" ref="T178:AC178" si="398">T175/T54</f>
        <v>7.8050430504305055</v>
      </c>
      <c r="U178" s="25">
        <f t="shared" si="398"/>
        <v>7.9676481139811406</v>
      </c>
      <c r="V178" s="25">
        <f t="shared" si="398"/>
        <v>8.1336407830224164</v>
      </c>
      <c r="W178" s="25">
        <f t="shared" si="398"/>
        <v>8.3030916326687159</v>
      </c>
      <c r="X178" s="25">
        <f t="shared" si="398"/>
        <v>8.4760727083493155</v>
      </c>
      <c r="Y178" s="25">
        <f t="shared" si="398"/>
        <v>8.6526575564399266</v>
      </c>
      <c r="Z178" s="25">
        <f t="shared" si="398"/>
        <v>8.8329212555324279</v>
      </c>
      <c r="AA178" s="25">
        <f t="shared" si="398"/>
        <v>9.0169404483560207</v>
      </c>
      <c r="AB178" s="25">
        <f t="shared" si="398"/>
        <v>9.2047933743634367</v>
      </c>
      <c r="AC178" s="25">
        <f t="shared" si="398"/>
        <v>9.3965599029960103</v>
      </c>
      <c r="AD178" s="138">
        <f t="shared" ref="AD178:AD179" si="399">((AC178/G178)^(1/($AC$3-$H$1) ))-1</f>
        <v>4.1144992860704166E-2</v>
      </c>
      <c r="AE178" s="31">
        <v>0.08</v>
      </c>
      <c r="AF178" s="127">
        <f t="shared" ref="AF178:AF179" si="400">(AC178*(1+AD178))/($C$1-AE178)</f>
        <v>97.831812931199607</v>
      </c>
    </row>
    <row r="179" spans="2:32" x14ac:dyDescent="0.2">
      <c r="B179" s="20" t="s">
        <v>465</v>
      </c>
      <c r="C179" s="25"/>
      <c r="D179" s="25"/>
      <c r="E179" s="25"/>
      <c r="F179" s="25"/>
      <c r="G179" s="25">
        <f t="shared" ref="G179:P179" si="401">G175/G55</f>
        <v>8.7457627118644066</v>
      </c>
      <c r="H179" s="25">
        <f t="shared" si="401"/>
        <v>19.384615384615383</v>
      </c>
      <c r="I179" s="25">
        <f t="shared" si="401"/>
        <v>12.127659574468085</v>
      </c>
      <c r="J179" s="25">
        <f t="shared" si="401"/>
        <v>10.422330097087377</v>
      </c>
      <c r="K179" s="25">
        <f t="shared" si="401"/>
        <v>5.1388140161725069</v>
      </c>
      <c r="L179" s="25">
        <f t="shared" si="401"/>
        <v>3.5941558441558441</v>
      </c>
      <c r="M179" s="25">
        <f t="shared" si="401"/>
        <v>15.268965517241378</v>
      </c>
      <c r="N179" s="25">
        <f t="shared" si="401"/>
        <v>10.361233480176212</v>
      </c>
      <c r="O179" s="25">
        <f t="shared" si="401"/>
        <v>7.5948497854077255</v>
      </c>
      <c r="P179" s="25">
        <f t="shared" si="401"/>
        <v>11.260869565217392</v>
      </c>
      <c r="Q179" s="25">
        <f>Q175/Q55</f>
        <v>5.0149253731343295</v>
      </c>
      <c r="R179" s="118">
        <f t="shared" si="383"/>
        <v>2.8483047396690386E-2</v>
      </c>
      <c r="S179" s="128"/>
      <c r="T179" s="25">
        <f t="shared" ref="T179:AC179" si="402">T175/T55</f>
        <v>7.8924129353233843</v>
      </c>
      <c r="U179" s="25">
        <f t="shared" si="402"/>
        <v>8.0568382048092868</v>
      </c>
      <c r="V179" s="25">
        <f t="shared" si="402"/>
        <v>8.2246890007428135</v>
      </c>
      <c r="W179" s="25">
        <f t="shared" si="402"/>
        <v>8.39603668825829</v>
      </c>
      <c r="X179" s="25">
        <f t="shared" si="402"/>
        <v>8.5709541192636713</v>
      </c>
      <c r="Y179" s="25">
        <f t="shared" si="402"/>
        <v>8.749515663415</v>
      </c>
      <c r="Z179" s="25">
        <f t="shared" si="402"/>
        <v>8.9317972397361451</v>
      </c>
      <c r="AA179" s="25">
        <f t="shared" si="402"/>
        <v>9.1178763488973171</v>
      </c>
      <c r="AB179" s="25">
        <f t="shared" si="402"/>
        <v>9.3078321061660141</v>
      </c>
      <c r="AC179" s="25">
        <f t="shared" si="402"/>
        <v>9.5017452750444722</v>
      </c>
      <c r="AD179" s="138">
        <f t="shared" si="399"/>
        <v>4.1539123421596713E-3</v>
      </c>
      <c r="AE179" s="31">
        <v>0.08</v>
      </c>
      <c r="AF179" s="127">
        <f t="shared" si="400"/>
        <v>95.412146920145375</v>
      </c>
    </row>
    <row r="180" spans="2:32" x14ac:dyDescent="0.2">
      <c r="B180" s="20" t="s">
        <v>258</v>
      </c>
      <c r="C180" s="25"/>
      <c r="D180" s="25"/>
      <c r="E180" s="25"/>
      <c r="F180" s="25"/>
      <c r="G180" s="25">
        <f t="shared" ref="G180:P180" si="403">G175/G59</f>
        <v>1.5636363636363637</v>
      </c>
      <c r="H180" s="25">
        <f t="shared" si="403"/>
        <v>3.1111111111111112</v>
      </c>
      <c r="I180" s="25">
        <f t="shared" si="403"/>
        <v>5.3395784543325524</v>
      </c>
      <c r="J180" s="25">
        <f t="shared" si="403"/>
        <v>5.669894366197183</v>
      </c>
      <c r="K180" s="25">
        <f t="shared" si="403"/>
        <v>2.2562130177514792</v>
      </c>
      <c r="L180" s="25">
        <f t="shared" si="403"/>
        <v>0.66686746987951806</v>
      </c>
      <c r="M180" s="25">
        <f t="shared" si="403"/>
        <v>2.4383259911894273</v>
      </c>
      <c r="N180" s="25">
        <f t="shared" si="403"/>
        <v>2.9510664993726476</v>
      </c>
      <c r="O180" s="25">
        <f t="shared" si="403"/>
        <v>2.0293577981651381</v>
      </c>
      <c r="P180" s="25">
        <f t="shared" si="403"/>
        <v>2.1925925925925931</v>
      </c>
      <c r="Q180" s="25">
        <f t="shared" ref="Q180" si="404">Q175/Q59</f>
        <v>1.2251595259799453</v>
      </c>
      <c r="R180" s="118">
        <f t="shared" si="383"/>
        <v>3.8277817755693722E-2</v>
      </c>
      <c r="S180" s="128"/>
      <c r="T180" s="119">
        <f t="shared" ref="T180:AC180" si="405">T175/T59</f>
        <v>1.9281373442722578</v>
      </c>
      <c r="U180" s="119">
        <f t="shared" si="405"/>
        <v>1.9683068722779298</v>
      </c>
      <c r="V180" s="119">
        <f t="shared" si="405"/>
        <v>2.0093132654503871</v>
      </c>
      <c r="W180" s="119">
        <f t="shared" si="405"/>
        <v>2.0511739584806037</v>
      </c>
      <c r="X180" s="119">
        <f t="shared" si="405"/>
        <v>2.0939067492822829</v>
      </c>
      <c r="Y180" s="119">
        <f t="shared" si="405"/>
        <v>2.1375298065589976</v>
      </c>
      <c r="Z180" s="119">
        <f t="shared" si="405"/>
        <v>2.1820616775289765</v>
      </c>
      <c r="AA180" s="119">
        <f t="shared" si="405"/>
        <v>2.2275212958108304</v>
      </c>
      <c r="AB180" s="119">
        <f t="shared" si="405"/>
        <v>2.2739279894735569</v>
      </c>
      <c r="AC180" s="119">
        <f t="shared" si="405"/>
        <v>2.3213014892542563</v>
      </c>
      <c r="AD180" s="138">
        <f t="shared" si="386"/>
        <v>1.9952130390849643E-2</v>
      </c>
      <c r="AE180" s="31">
        <v>0.08</v>
      </c>
      <c r="AF180" s="127">
        <f t="shared" si="387"/>
        <v>23.67616399244331</v>
      </c>
    </row>
    <row r="181" spans="2:32" x14ac:dyDescent="0.2">
      <c r="B181" s="20" t="s">
        <v>259</v>
      </c>
      <c r="C181" s="25"/>
      <c r="D181" s="25"/>
      <c r="E181" s="25"/>
      <c r="F181" s="25"/>
      <c r="G181" s="25">
        <f t="shared" ref="G181:P181" si="406">G175/G68</f>
        <v>2.8666666666666667</v>
      </c>
      <c r="H181" s="25">
        <f t="shared" si="406"/>
        <v>6.1840490797546002</v>
      </c>
      <c r="I181" s="25">
        <f t="shared" si="406"/>
        <v>4.6247464503042588</v>
      </c>
      <c r="J181" s="25">
        <f t="shared" si="406"/>
        <v>4.5041958041958043</v>
      </c>
      <c r="K181" s="25">
        <f t="shared" si="406"/>
        <v>2.8412816691505216</v>
      </c>
      <c r="L181" s="25">
        <f t="shared" si="406"/>
        <v>0.75614754098360659</v>
      </c>
      <c r="M181" s="25">
        <f t="shared" si="406"/>
        <v>2.6451612903225805</v>
      </c>
      <c r="N181" s="25">
        <f t="shared" si="406"/>
        <v>2.8235294117647065</v>
      </c>
      <c r="O181" s="25">
        <f t="shared" si="406"/>
        <v>2.2774774774774778</v>
      </c>
      <c r="P181" s="25">
        <f t="shared" si="406"/>
        <v>2.4873949579831938</v>
      </c>
      <c r="Q181" s="25">
        <f t="shared" ref="Q181" si="407">Q175/Q68</f>
        <v>1.3742331288343561</v>
      </c>
      <c r="R181" s="118">
        <f t="shared" si="383"/>
        <v>-1.5644549566168009E-2</v>
      </c>
      <c r="S181" s="128"/>
      <c r="T181" s="119">
        <f t="shared" ref="T181:AC181" si="408">T175/T68</f>
        <v>2.162747102931152</v>
      </c>
      <c r="U181" s="119">
        <f t="shared" si="408"/>
        <v>2.2078043342422173</v>
      </c>
      <c r="V181" s="119">
        <f t="shared" si="408"/>
        <v>2.253800257872264</v>
      </c>
      <c r="W181" s="119">
        <f t="shared" si="408"/>
        <v>2.3007544299112697</v>
      </c>
      <c r="X181" s="119">
        <f t="shared" si="408"/>
        <v>2.3486868138677544</v>
      </c>
      <c r="Y181" s="119">
        <f t="shared" si="408"/>
        <v>2.3976177891566661</v>
      </c>
      <c r="Z181" s="119">
        <f t="shared" si="408"/>
        <v>2.447568159764097</v>
      </c>
      <c r="AA181" s="119">
        <f t="shared" si="408"/>
        <v>2.4985591630925161</v>
      </c>
      <c r="AB181" s="119">
        <f t="shared" si="408"/>
        <v>2.5506124789902769</v>
      </c>
      <c r="AC181" s="119">
        <f t="shared" si="408"/>
        <v>2.6037502389692411</v>
      </c>
      <c r="AD181" s="138">
        <f t="shared" si="386"/>
        <v>-4.7983066296831689E-3</v>
      </c>
      <c r="AE181" s="31">
        <v>0.08</v>
      </c>
      <c r="AF181" s="127">
        <f t="shared" si="387"/>
        <v>25.912566469355561</v>
      </c>
    </row>
    <row r="182" spans="2:32" x14ac:dyDescent="0.2">
      <c r="B182" s="20" t="s">
        <v>260</v>
      </c>
      <c r="C182" s="25"/>
      <c r="D182" s="25"/>
      <c r="E182" s="25"/>
      <c r="F182" s="25"/>
      <c r="G182" s="25">
        <f t="shared" ref="G182:P182" si="409">G175/G70</f>
        <v>5.2121212121212119</v>
      </c>
      <c r="H182" s="25">
        <f t="shared" si="409"/>
        <v>9.5094339622641506</v>
      </c>
      <c r="I182" s="25">
        <f t="shared" si="409"/>
        <v>25.333333333333332</v>
      </c>
      <c r="J182" s="25">
        <f t="shared" si="409"/>
        <v>35.005434782608688</v>
      </c>
      <c r="K182" s="25">
        <f t="shared" si="409"/>
        <v>19.859375</v>
      </c>
      <c r="L182" s="25">
        <f t="shared" si="409"/>
        <v>2.6357142857142857</v>
      </c>
      <c r="M182" s="25">
        <f t="shared" si="409"/>
        <v>6.0824175824175821</v>
      </c>
      <c r="N182" s="25">
        <f t="shared" si="409"/>
        <v>8.1384083044982702</v>
      </c>
      <c r="O182" s="25">
        <f t="shared" si="409"/>
        <v>6.8856031128404673</v>
      </c>
      <c r="P182" s="25">
        <f t="shared" si="409"/>
        <v>4.7632183908045977</v>
      </c>
      <c r="Q182" s="25">
        <f t="shared" ref="Q182" si="410">Q175/Q70</f>
        <v>2.1818181818181817</v>
      </c>
      <c r="R182" s="118">
        <f t="shared" si="383"/>
        <v>-9.9571343132378587E-3</v>
      </c>
      <c r="S182" s="128"/>
      <c r="T182" s="119">
        <f t="shared" ref="T182:AC182" si="411">T175/T70</f>
        <v>3.4337121212121215</v>
      </c>
      <c r="U182" s="119">
        <f t="shared" si="411"/>
        <v>3.5052477904040393</v>
      </c>
      <c r="V182" s="119">
        <f t="shared" si="411"/>
        <v>3.5782737860374572</v>
      </c>
      <c r="W182" s="119">
        <f t="shared" si="411"/>
        <v>3.6528211565799049</v>
      </c>
      <c r="X182" s="119">
        <f t="shared" si="411"/>
        <v>3.7289215973419862</v>
      </c>
      <c r="Y182" s="119">
        <f t="shared" si="411"/>
        <v>3.8066074639532781</v>
      </c>
      <c r="Z182" s="119">
        <f t="shared" si="411"/>
        <v>3.8859117861189723</v>
      </c>
      <c r="AA182" s="119">
        <f t="shared" si="411"/>
        <v>3.9668682816631184</v>
      </c>
      <c r="AB182" s="119">
        <f t="shared" si="411"/>
        <v>4.0495113708644341</v>
      </c>
      <c r="AC182" s="119">
        <f t="shared" si="411"/>
        <v>4.133876191090776</v>
      </c>
      <c r="AD182" s="138">
        <f t="shared" si="386"/>
        <v>-1.152168132571918E-2</v>
      </c>
      <c r="AE182" s="31">
        <v>0.08</v>
      </c>
      <c r="AF182" s="127">
        <f t="shared" si="387"/>
        <v>40.862469869770507</v>
      </c>
    </row>
    <row r="183" spans="2:32" x14ac:dyDescent="0.2">
      <c r="B183" s="20" t="s">
        <v>281</v>
      </c>
      <c r="C183" s="25"/>
      <c r="D183" s="25"/>
      <c r="E183" s="25"/>
      <c r="F183" s="25"/>
      <c r="G183" s="182">
        <f t="shared" ref="G183:P183" si="412">G175/G64</f>
        <v>1.7551020408163265</v>
      </c>
      <c r="H183" s="182">
        <f t="shared" si="412"/>
        <v>3.5744680851063828</v>
      </c>
      <c r="I183" s="182">
        <f t="shared" si="412"/>
        <v>21.308411214953271</v>
      </c>
      <c r="J183" s="182">
        <f t="shared" si="412"/>
        <v>-40.765822784810119</v>
      </c>
      <c r="K183" s="182">
        <f t="shared" si="412"/>
        <v>6.8826714801444036</v>
      </c>
      <c r="L183" s="182">
        <f t="shared" si="412"/>
        <v>1.5375000000000001</v>
      </c>
      <c r="M183" s="182">
        <f t="shared" si="412"/>
        <v>4.8130434782608695</v>
      </c>
      <c r="N183" s="182">
        <f t="shared" si="412"/>
        <v>2.4915254237288136</v>
      </c>
      <c r="O183" s="182">
        <f t="shared" si="412"/>
        <v>1.7451676528599607</v>
      </c>
      <c r="P183" s="182">
        <f t="shared" si="412"/>
        <v>1.6392405063291142</v>
      </c>
      <c r="Q183" s="182">
        <f t="shared" ref="Q183" si="413">Q175/Q64</f>
        <v>0.84263322884012548</v>
      </c>
      <c r="R183" s="118">
        <f t="shared" ref="R183:R186" si="414">((P183/G183)^(1/($H$2-$H$1) ))-1</f>
        <v>-7.5595009825421E-3</v>
      </c>
      <c r="S183" s="128"/>
      <c r="T183" s="135">
        <f t="shared" ref="T183:AC183" si="415">T175/T64</f>
        <v>1.3261233019853711</v>
      </c>
      <c r="U183" s="135">
        <f t="shared" si="415"/>
        <v>1.3537508707767327</v>
      </c>
      <c r="V183" s="135">
        <f t="shared" si="415"/>
        <v>1.3819540139179147</v>
      </c>
      <c r="W183" s="135">
        <f t="shared" si="415"/>
        <v>1.4107447225412042</v>
      </c>
      <c r="X183" s="135">
        <f t="shared" si="415"/>
        <v>1.4401352375941463</v>
      </c>
      <c r="Y183" s="135">
        <f t="shared" si="415"/>
        <v>1.4701380550440244</v>
      </c>
      <c r="Z183" s="135">
        <f t="shared" si="415"/>
        <v>1.5007659311907757</v>
      </c>
      <c r="AA183" s="135">
        <f t="shared" si="415"/>
        <v>1.5320318880905841</v>
      </c>
      <c r="AB183" s="135">
        <f t="shared" si="415"/>
        <v>1.5639492190924709</v>
      </c>
      <c r="AC183" s="135">
        <f t="shared" si="415"/>
        <v>1.5965314944902307</v>
      </c>
      <c r="AD183" s="138">
        <f t="shared" ref="AD183" si="416">((AC183/G183)^(1/($AC$3-$H$1) ))-1</f>
        <v>-4.7234859838451992E-3</v>
      </c>
      <c r="AE183" s="31">
        <v>0.08</v>
      </c>
      <c r="AF183" s="127">
        <f t="shared" si="387"/>
        <v>15.889903003532387</v>
      </c>
    </row>
    <row r="184" spans="2:32" x14ac:dyDescent="0.2">
      <c r="B184" s="20" t="s">
        <v>370</v>
      </c>
      <c r="C184" s="161"/>
      <c r="D184" s="161"/>
      <c r="E184" s="161"/>
      <c r="F184" s="161"/>
      <c r="G184" s="161">
        <f t="shared" ref="G184:P184" si="417">G56/G175</f>
        <v>0.1124031007751938</v>
      </c>
      <c r="H184" s="161">
        <f t="shared" si="417"/>
        <v>7.2420634920634927E-2</v>
      </c>
      <c r="I184" s="161">
        <f t="shared" si="417"/>
        <v>6.4912280701754393E-2</v>
      </c>
      <c r="J184" s="161">
        <f t="shared" si="417"/>
        <v>6.3965222791492013E-2</v>
      </c>
      <c r="K184" s="161">
        <f t="shared" si="417"/>
        <v>0.12693417256753212</v>
      </c>
      <c r="L184" s="161">
        <f t="shared" si="417"/>
        <v>0.1933152664859982</v>
      </c>
      <c r="M184" s="161">
        <f t="shared" si="417"/>
        <v>4.5167118337850046E-2</v>
      </c>
      <c r="N184" s="161">
        <f t="shared" si="417"/>
        <v>6.5051020408163254E-2</v>
      </c>
      <c r="O184" s="161">
        <f t="shared" si="417"/>
        <v>7.8548824593128383E-2</v>
      </c>
      <c r="P184" s="161">
        <f t="shared" si="417"/>
        <v>6.2258687258687252E-2</v>
      </c>
      <c r="Q184" s="161">
        <f t="shared" ref="Q184" si="418">Q56/Q175</f>
        <v>0.14062499999999997</v>
      </c>
      <c r="R184" s="118">
        <f t="shared" si="414"/>
        <v>-6.353554784563642E-2</v>
      </c>
      <c r="S184" s="128"/>
      <c r="T184" s="161">
        <f t="shared" ref="T184:AC184" si="419">T56/T175</f>
        <v>8.9354660783232204E-2</v>
      </c>
      <c r="U184" s="161">
        <f t="shared" si="419"/>
        <v>8.7531096277451967E-2</v>
      </c>
      <c r="V184" s="161">
        <f t="shared" si="419"/>
        <v>8.5744747373830477E-2</v>
      </c>
      <c r="W184" s="161">
        <f t="shared" si="419"/>
        <v>8.3994854570282912E-2</v>
      </c>
      <c r="X184" s="161">
        <f t="shared" si="419"/>
        <v>8.2280673864766937E-2</v>
      </c>
      <c r="Y184" s="161">
        <f t="shared" si="419"/>
        <v>8.060147643895535E-2</v>
      </c>
      <c r="Z184" s="161">
        <f t="shared" si="419"/>
        <v>7.8956548348364422E-2</v>
      </c>
      <c r="AA184" s="161">
        <f t="shared" si="419"/>
        <v>7.734519021880594E-2</v>
      </c>
      <c r="AB184" s="161">
        <f t="shared" si="419"/>
        <v>7.5766716949034391E-2</v>
      </c>
      <c r="AC184" s="161">
        <f t="shared" si="419"/>
        <v>7.422045741946226E-2</v>
      </c>
      <c r="AD184" s="138">
        <f t="shared" ref="AD184:AD186" si="420">((AC184/G184)^(1/($AC$3-$H$1) ))-1</f>
        <v>-2.0538732261945025E-2</v>
      </c>
      <c r="AE184" s="31">
        <v>0.08</v>
      </c>
      <c r="AF184" s="127">
        <f t="shared" si="387"/>
        <v>0.72696063316164838</v>
      </c>
    </row>
    <row r="185" spans="2:32" x14ac:dyDescent="0.2">
      <c r="B185" s="20" t="s">
        <v>319</v>
      </c>
      <c r="C185" s="152"/>
      <c r="D185" s="152"/>
      <c r="E185" s="152"/>
      <c r="F185" s="152"/>
      <c r="G185" s="152">
        <f t="shared" ref="G185:P185" si="421">G44/G175</f>
        <v>2.3255813953488372E-2</v>
      </c>
      <c r="H185" s="152">
        <f t="shared" si="421"/>
        <v>1.7857142857142856E-2</v>
      </c>
      <c r="I185" s="152">
        <f t="shared" si="421"/>
        <v>1.5789473684210527E-2</v>
      </c>
      <c r="J185" s="152">
        <f t="shared" si="421"/>
        <v>1.4035087719298246E-2</v>
      </c>
      <c r="K185" s="152">
        <f t="shared" si="421"/>
        <v>2.903225806451613E-2</v>
      </c>
      <c r="L185" s="152">
        <f t="shared" si="421"/>
        <v>3.3333333333333333E-2</v>
      </c>
      <c r="M185" s="152">
        <f t="shared" si="421"/>
        <v>1.6666666666666666E-2</v>
      </c>
      <c r="N185" s="152">
        <f t="shared" si="421"/>
        <v>2.3809523809523808E-2</v>
      </c>
      <c r="O185" s="152">
        <f t="shared" si="421"/>
        <v>1.2658227848101266E-2</v>
      </c>
      <c r="P185" s="152">
        <f t="shared" si="421"/>
        <v>1.6216216216216217E-2</v>
      </c>
      <c r="Q185" s="152">
        <f t="shared" ref="Q185" si="422">Q44/Q175</f>
        <v>2.5000000000000001E-2</v>
      </c>
      <c r="R185" s="118">
        <f t="shared" si="414"/>
        <v>-3.9268571639152872E-2</v>
      </c>
      <c r="S185" s="128"/>
      <c r="T185" s="152">
        <f t="shared" ref="T185:AC185" si="423">T44/T175</f>
        <v>1.6216216216216217E-2</v>
      </c>
      <c r="U185" s="152">
        <f t="shared" si="423"/>
        <v>1.6216216216216217E-2</v>
      </c>
      <c r="V185" s="152">
        <f t="shared" si="423"/>
        <v>1.6216216216216217E-2</v>
      </c>
      <c r="W185" s="152">
        <f t="shared" si="423"/>
        <v>1.6216216216216214E-2</v>
      </c>
      <c r="X185" s="152">
        <f t="shared" si="423"/>
        <v>1.6216216216216214E-2</v>
      </c>
      <c r="Y185" s="152">
        <f t="shared" si="423"/>
        <v>1.6216216216216214E-2</v>
      </c>
      <c r="Z185" s="152">
        <f t="shared" si="423"/>
        <v>1.621621621621621E-2</v>
      </c>
      <c r="AA185" s="152">
        <f t="shared" si="423"/>
        <v>1.621621621621621E-2</v>
      </c>
      <c r="AB185" s="152">
        <f t="shared" si="423"/>
        <v>1.621621621621621E-2</v>
      </c>
      <c r="AC185" s="152">
        <f t="shared" si="423"/>
        <v>1.621621621621621E-2</v>
      </c>
      <c r="AD185" s="138">
        <f t="shared" si="420"/>
        <v>-1.7865653611758514E-2</v>
      </c>
      <c r="AE185" s="31">
        <v>0.08</v>
      </c>
      <c r="AF185" s="127">
        <f t="shared" si="387"/>
        <v>0.15926502914403909</v>
      </c>
    </row>
    <row r="186" spans="2:32" x14ac:dyDescent="0.2">
      <c r="B186" s="20" t="s">
        <v>446</v>
      </c>
      <c r="C186" s="181"/>
      <c r="D186" s="181"/>
      <c r="E186" s="181"/>
      <c r="F186" s="181"/>
      <c r="G186" s="181">
        <f t="shared" ref="G186:O186" si="424">(G177)/($L$2*100)</f>
        <v>1.1120689655172413</v>
      </c>
      <c r="H186" s="181">
        <f t="shared" si="424"/>
        <v>1.7260273972602738</v>
      </c>
      <c r="I186" s="181">
        <f t="shared" si="424"/>
        <v>1.9256756756756754</v>
      </c>
      <c r="J186" s="181">
        <f t="shared" si="424"/>
        <v>1.9541868932038833</v>
      </c>
      <c r="K186" s="181">
        <f t="shared" si="424"/>
        <v>0.98476239669421484</v>
      </c>
      <c r="L186" s="181">
        <f t="shared" si="424"/>
        <v>0.64661214953271018</v>
      </c>
      <c r="M186" s="181">
        <f t="shared" si="424"/>
        <v>2.7675000000000001</v>
      </c>
      <c r="N186" s="181">
        <f t="shared" si="424"/>
        <v>1.9215686274509807</v>
      </c>
      <c r="O186" s="181">
        <f t="shared" si="424"/>
        <v>1.5913669064748204</v>
      </c>
      <c r="P186" s="181">
        <f>(P177)/($L$2*100)</f>
        <v>2.0077519379844961</v>
      </c>
      <c r="Q186" s="181">
        <f>(Q177)/($L$2*100)</f>
        <v>0.88888888888888906</v>
      </c>
      <c r="R186" s="118">
        <f t="shared" si="414"/>
        <v>6.7846192879474465E-2</v>
      </c>
      <c r="S186" s="128"/>
      <c r="T186" s="181">
        <f>(T177)/($L$2*100)</f>
        <v>1.3989197530864199</v>
      </c>
      <c r="U186" s="181">
        <f t="shared" ref="U186:AC186" si="425">(U177)/($L$2*100)</f>
        <v>1.4280639146090532</v>
      </c>
      <c r="V186" s="181">
        <f t="shared" si="425"/>
        <v>1.4578152461634091</v>
      </c>
      <c r="W186" s="181">
        <f t="shared" si="425"/>
        <v>1.4881863971251468</v>
      </c>
      <c r="X186" s="181">
        <f t="shared" si="425"/>
        <v>1.5191902803985875</v>
      </c>
      <c r="Y186" s="181">
        <f t="shared" si="425"/>
        <v>1.5508400779068916</v>
      </c>
      <c r="Z186" s="181">
        <f t="shared" si="425"/>
        <v>1.5831492461966186</v>
      </c>
      <c r="AA186" s="181">
        <f t="shared" si="425"/>
        <v>1.6161315221590484</v>
      </c>
      <c r="AB186" s="181">
        <f t="shared" si="425"/>
        <v>1.6498009288706954</v>
      </c>
      <c r="AC186" s="181">
        <f t="shared" si="425"/>
        <v>1.6841717815555017</v>
      </c>
      <c r="AD186" s="138">
        <f t="shared" si="420"/>
        <v>2.0969417513952981E-2</v>
      </c>
      <c r="AE186" s="31">
        <v>0.08</v>
      </c>
      <c r="AF186" s="181">
        <f>(AF177)/($L$2*100)</f>
        <v>17.194878828081571</v>
      </c>
    </row>
    <row r="187" spans="2:32" x14ac:dyDescent="0.2">
      <c r="B187" s="20" t="s">
        <v>447</v>
      </c>
      <c r="C187" s="152"/>
      <c r="D187" s="152"/>
      <c r="E187" s="152"/>
      <c r="F187" s="152"/>
      <c r="G187" s="152">
        <f t="shared" ref="G187:P187" si="426">G186-1</f>
        <v>0.11206896551724133</v>
      </c>
      <c r="H187" s="152">
        <f t="shared" si="426"/>
        <v>0.72602739726027377</v>
      </c>
      <c r="I187" s="152">
        <f t="shared" si="426"/>
        <v>0.92567567567567544</v>
      </c>
      <c r="J187" s="152">
        <f t="shared" si="426"/>
        <v>0.95418689320388328</v>
      </c>
      <c r="K187" s="152">
        <f t="shared" si="426"/>
        <v>-1.5237603305785163E-2</v>
      </c>
      <c r="L187" s="152">
        <f t="shared" si="426"/>
        <v>-0.35338785046728982</v>
      </c>
      <c r="M187" s="152">
        <f t="shared" si="426"/>
        <v>1.7675000000000001</v>
      </c>
      <c r="N187" s="152">
        <f t="shared" si="426"/>
        <v>0.92156862745098067</v>
      </c>
      <c r="O187" s="152">
        <f t="shared" si="426"/>
        <v>0.59136690647482038</v>
      </c>
      <c r="P187" s="152">
        <f t="shared" si="426"/>
        <v>1.0077519379844961</v>
      </c>
      <c r="Q187" s="152">
        <f>Q186-1</f>
        <v>-0.11111111111111094</v>
      </c>
      <c r="R187" s="128"/>
      <c r="S187" s="128"/>
      <c r="T187" s="135"/>
      <c r="U187" s="135"/>
      <c r="V187" s="135"/>
      <c r="W187" s="135"/>
      <c r="X187" s="135"/>
      <c r="Y187" s="135"/>
      <c r="Z187" s="135"/>
      <c r="AA187" s="135"/>
      <c r="AB187" s="135"/>
      <c r="AC187" s="135"/>
      <c r="AD187" s="137"/>
      <c r="AE187" s="20"/>
      <c r="AF187" s="127"/>
    </row>
    <row r="188" spans="2:32" x14ac:dyDescent="0.2">
      <c r="B188" s="20"/>
      <c r="C188" s="129"/>
      <c r="D188" s="129"/>
      <c r="E188" s="129"/>
      <c r="F188" s="129"/>
      <c r="G188" s="135"/>
      <c r="H188" s="135"/>
      <c r="I188" s="135"/>
      <c r="J188" s="135"/>
      <c r="K188" s="135"/>
      <c r="L188" s="135"/>
      <c r="M188" s="135"/>
      <c r="N188" s="135"/>
      <c r="O188" s="135"/>
      <c r="P188" s="135"/>
      <c r="Q188" s="135"/>
      <c r="R188" s="128"/>
      <c r="S188" s="128"/>
      <c r="T188" s="135"/>
      <c r="U188" s="135"/>
      <c r="V188" s="135"/>
      <c r="W188" s="135"/>
      <c r="X188" s="135"/>
      <c r="Y188" s="135"/>
      <c r="Z188" s="135"/>
      <c r="AA188" s="135"/>
      <c r="AB188" s="135"/>
      <c r="AC188" s="135"/>
      <c r="AD188" s="137"/>
      <c r="AE188" s="20"/>
      <c r="AF188" s="20"/>
    </row>
    <row r="189" spans="2:32" x14ac:dyDescent="0.2">
      <c r="B189" s="108" t="s">
        <v>300</v>
      </c>
      <c r="C189" s="20"/>
      <c r="D189" s="20"/>
      <c r="E189" s="20"/>
      <c r="F189" s="20"/>
      <c r="G189" s="20"/>
      <c r="H189" s="20"/>
      <c r="I189" s="20"/>
      <c r="J189" s="20"/>
      <c r="K189" s="204" t="s">
        <v>350</v>
      </c>
      <c r="L189" s="205"/>
      <c r="M189" s="20"/>
      <c r="N189" s="20"/>
      <c r="O189" s="20"/>
      <c r="P189" s="108" t="s">
        <v>430</v>
      </c>
      <c r="Q189" s="108" t="s">
        <v>429</v>
      </c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137"/>
      <c r="AE189" s="20"/>
      <c r="AF189" s="20"/>
    </row>
    <row r="190" spans="2:32" x14ac:dyDescent="0.2">
      <c r="B190" s="20" t="s">
        <v>298</v>
      </c>
      <c r="C190" s="20" t="s">
        <v>313</v>
      </c>
      <c r="D190" s="20"/>
      <c r="E190" s="20"/>
      <c r="F190" s="20"/>
      <c r="G190" s="20"/>
      <c r="H190" s="20"/>
      <c r="I190" s="20"/>
      <c r="J190" s="20"/>
      <c r="K190" s="20" t="s">
        <v>351</v>
      </c>
      <c r="L190" s="22">
        <v>1</v>
      </c>
      <c r="M190" s="20"/>
      <c r="N190" s="20"/>
      <c r="O190" s="20"/>
      <c r="P190" s="128">
        <f>(Q175-S162)/Q175</f>
        <v>0.70989333064254534</v>
      </c>
      <c r="Q190" s="128">
        <f>(Q175-T162)/Q175</f>
        <v>0.78404840596674263</v>
      </c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137"/>
      <c r="AE190" s="20"/>
      <c r="AF190" s="20"/>
    </row>
    <row r="191" spans="2:32" x14ac:dyDescent="0.2">
      <c r="B191" s="20" t="s">
        <v>348</v>
      </c>
      <c r="C191" s="20" t="s">
        <v>313</v>
      </c>
      <c r="D191" s="20"/>
      <c r="E191" s="20"/>
      <c r="F191" s="20"/>
      <c r="G191" s="20"/>
      <c r="H191" s="20"/>
      <c r="I191" s="20"/>
      <c r="J191" s="20"/>
      <c r="K191" s="172">
        <f>$L$190</f>
        <v>1</v>
      </c>
      <c r="L191" s="20"/>
      <c r="M191" s="128">
        <f>(P175-(K191*S153))/P175</f>
        <v>-1.0879307467656214</v>
      </c>
      <c r="N191" s="20"/>
      <c r="O191" s="20"/>
      <c r="P191" s="128">
        <f>(Q175-S153)/Q175</f>
        <v>-2.2188932345969996</v>
      </c>
      <c r="Q191" s="128">
        <f>(Q175-T153)/Q175</f>
        <v>0.64537616906982198</v>
      </c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137"/>
      <c r="AE191" s="20"/>
      <c r="AF191" s="20"/>
    </row>
    <row r="192" spans="2:32" x14ac:dyDescent="0.2">
      <c r="B192" s="20" t="s">
        <v>349</v>
      </c>
      <c r="C192" s="20" t="s">
        <v>313</v>
      </c>
      <c r="D192" s="20"/>
      <c r="E192" s="20"/>
      <c r="F192" s="20"/>
      <c r="G192" s="20"/>
      <c r="H192" s="20"/>
      <c r="I192" s="20"/>
      <c r="J192" s="20"/>
      <c r="K192" s="172">
        <f>$L$190</f>
        <v>1</v>
      </c>
      <c r="L192" s="20"/>
      <c r="M192" s="128">
        <f>(P175-(K192*S146))/P175</f>
        <v>-0.45042461906978626</v>
      </c>
      <c r="N192" s="20"/>
      <c r="O192" s="20"/>
      <c r="P192" s="128">
        <f>(Q175-S146)/Q175</f>
        <v>-1.2360712877325872</v>
      </c>
      <c r="Q192" s="128">
        <f>(Q175-T146)/Q175</f>
        <v>0.75365316321590148</v>
      </c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137"/>
      <c r="AE192" s="20"/>
      <c r="AF192" s="20"/>
    </row>
    <row r="193" spans="2:46" x14ac:dyDescent="0.2">
      <c r="B193" s="20" t="s">
        <v>352</v>
      </c>
      <c r="C193" s="20" t="s">
        <v>313</v>
      </c>
      <c r="D193" s="20"/>
      <c r="E193" s="20"/>
      <c r="F193" s="20"/>
      <c r="G193" s="20"/>
      <c r="H193" s="20"/>
      <c r="I193" s="20"/>
      <c r="J193" s="20"/>
      <c r="K193" s="172">
        <f>$L$190</f>
        <v>1</v>
      </c>
      <c r="L193" s="20"/>
      <c r="M193" s="128">
        <f>(P175-(K193*S159))/P175</f>
        <v>-0.94892258651021866</v>
      </c>
      <c r="N193" s="20"/>
      <c r="O193" s="20"/>
      <c r="P193" s="128">
        <f>(Q175-S159)/Q175</f>
        <v>-2.0045889875365872</v>
      </c>
      <c r="Q193" s="128">
        <f>(Q175-T159)/Q175</f>
        <v>0.66898595900020652</v>
      </c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137"/>
      <c r="AE193" s="20"/>
      <c r="AF193" s="20"/>
    </row>
    <row r="194" spans="2:46" x14ac:dyDescent="0.2">
      <c r="B194" s="20" t="s">
        <v>399</v>
      </c>
      <c r="C194" s="20" t="s">
        <v>313</v>
      </c>
      <c r="D194" s="20"/>
      <c r="E194" s="20"/>
      <c r="F194" s="20"/>
      <c r="G194" s="20"/>
      <c r="H194" s="20"/>
      <c r="I194" s="20"/>
      <c r="J194" s="20"/>
      <c r="K194" s="172">
        <f>$L$190</f>
        <v>1</v>
      </c>
      <c r="L194" s="20"/>
      <c r="M194" s="128">
        <f>(P175-(K194*S172))/P175</f>
        <v>0.9362019268143793</v>
      </c>
      <c r="N194" s="20"/>
      <c r="O194" s="20"/>
      <c r="P194" s="128">
        <f>(Q175-S172)/Q175</f>
        <v>0.90164463717216814</v>
      </c>
      <c r="Q194" s="128">
        <f>(Q175-T172)/Q175</f>
        <v>0.92678555983758215</v>
      </c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137"/>
      <c r="AE194" s="20"/>
      <c r="AF194" s="20"/>
    </row>
    <row r="195" spans="2:46" x14ac:dyDescent="0.2">
      <c r="B195" s="20" t="s">
        <v>299</v>
      </c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5">
        <f>Q175/S145</f>
        <v>2.6217562448013312</v>
      </c>
      <c r="Q195" s="25">
        <f>Q175/T145</f>
        <v>23.797479760504391</v>
      </c>
      <c r="R195" s="20"/>
      <c r="S195" s="20"/>
      <c r="T195" s="115" t="s">
        <v>11</v>
      </c>
      <c r="U195" s="115" t="s">
        <v>12</v>
      </c>
      <c r="V195" s="115" t="s">
        <v>13</v>
      </c>
      <c r="W195" s="115" t="s">
        <v>14</v>
      </c>
      <c r="X195" s="115" t="s">
        <v>15</v>
      </c>
      <c r="Y195" s="115" t="s">
        <v>234</v>
      </c>
      <c r="Z195" s="115" t="s">
        <v>235</v>
      </c>
      <c r="AA195" s="115" t="s">
        <v>236</v>
      </c>
      <c r="AB195" s="115" t="s">
        <v>237</v>
      </c>
      <c r="AC195" s="115" t="s">
        <v>238</v>
      </c>
      <c r="AD195" s="115" t="s">
        <v>407</v>
      </c>
      <c r="AE195" s="115" t="s">
        <v>408</v>
      </c>
      <c r="AF195" s="115" t="s">
        <v>409</v>
      </c>
      <c r="AG195" s="115" t="s">
        <v>410</v>
      </c>
      <c r="AH195" s="115" t="s">
        <v>411</v>
      </c>
      <c r="AI195" s="115" t="s">
        <v>412</v>
      </c>
      <c r="AJ195" s="115" t="s">
        <v>413</v>
      </c>
      <c r="AK195" s="115" t="s">
        <v>414</v>
      </c>
      <c r="AL195" s="115" t="s">
        <v>415</v>
      </c>
      <c r="AM195" s="115" t="s">
        <v>416</v>
      </c>
      <c r="AN195" s="115" t="s">
        <v>417</v>
      </c>
      <c r="AO195" s="115" t="s">
        <v>418</v>
      </c>
      <c r="AP195" s="115" t="s">
        <v>419</v>
      </c>
      <c r="AQ195" s="115" t="s">
        <v>420</v>
      </c>
      <c r="AR195" s="115" t="s">
        <v>421</v>
      </c>
      <c r="AS195" s="115" t="s">
        <v>422</v>
      </c>
      <c r="AT195" s="115" t="s">
        <v>423</v>
      </c>
    </row>
    <row r="196" spans="2:46" x14ac:dyDescent="0.2">
      <c r="B196" s="20" t="s">
        <v>370</v>
      </c>
      <c r="C196" s="20"/>
      <c r="D196" s="20"/>
      <c r="E196" s="20"/>
      <c r="F196" s="20"/>
      <c r="G196" s="189" t="s">
        <v>448</v>
      </c>
      <c r="H196" s="190"/>
      <c r="I196" s="189" t="s">
        <v>449</v>
      </c>
      <c r="J196" s="190"/>
      <c r="K196" s="20"/>
      <c r="L196" s="189" t="s">
        <v>450</v>
      </c>
      <c r="M196" s="190"/>
      <c r="N196" s="189" t="s">
        <v>451</v>
      </c>
      <c r="O196" s="190"/>
      <c r="P196" s="152">
        <f>1/P195</f>
        <v>0.38142371243813972</v>
      </c>
      <c r="Q196" s="152">
        <f>1/Q195</f>
        <v>4.202125645504929E-2</v>
      </c>
      <c r="R196" s="20"/>
      <c r="S196" s="20"/>
      <c r="T196" s="129">
        <f>Q175-T197</f>
        <v>873.83330798814836</v>
      </c>
      <c r="U196" s="185">
        <f>T196-U197</f>
        <v>531.35828137570411</v>
      </c>
      <c r="V196" s="185">
        <f t="shared" ref="V196:X196" si="427">U196-V197</f>
        <v>171.75950343263759</v>
      </c>
      <c r="W196" s="185">
        <f t="shared" si="427"/>
        <v>-205.81921340758225</v>
      </c>
      <c r="X196" s="185">
        <f t="shared" si="427"/>
        <v>-602.2768660898131</v>
      </c>
      <c r="Y196" s="185">
        <f>X196-Y197</f>
        <v>-1018.5574014061556</v>
      </c>
      <c r="Z196" s="185">
        <f t="shared" ref="Z196:AC196" si="428">Y196-Z197</f>
        <v>-1455.6519634883152</v>
      </c>
      <c r="AA196" s="185">
        <f t="shared" si="428"/>
        <v>-1914.6012536745827</v>
      </c>
      <c r="AB196" s="185">
        <f t="shared" si="428"/>
        <v>-2396.4980083701639</v>
      </c>
      <c r="AC196" s="185">
        <f t="shared" si="428"/>
        <v>-2902.4896008005239</v>
      </c>
      <c r="AD196" s="185">
        <f t="shared" ref="AD196" si="429">AC196-AD197</f>
        <v>-3433.7807728524022</v>
      </c>
      <c r="AE196" s="185">
        <f t="shared" ref="AE196" si="430">AD196-AE197</f>
        <v>-3991.6365035068739</v>
      </c>
      <c r="AF196" s="185">
        <f t="shared" ref="AF196" si="431">AE196-AF197</f>
        <v>-4577.3850206940697</v>
      </c>
      <c r="AG196" s="185">
        <f t="shared" ref="AG196" si="432">AF196-AG197</f>
        <v>-5192.4209637406248</v>
      </c>
      <c r="AH196" s="185">
        <f t="shared" ref="AH196" si="433">AG196-AH197</f>
        <v>-5838.2087039395083</v>
      </c>
      <c r="AI196" s="185">
        <f t="shared" ref="AI196" si="434">AH196-AI197</f>
        <v>-6516.285831148336</v>
      </c>
      <c r="AJ196" s="185">
        <f t="shared" ref="AJ196" si="435">AI196-AJ197</f>
        <v>-7228.2668147176046</v>
      </c>
      <c r="AK196" s="185">
        <f t="shared" ref="AK196" si="436">AJ196-AK197</f>
        <v>-7975.8468474653364</v>
      </c>
      <c r="AL196" s="185">
        <f t="shared" ref="AL196" si="437">AK196-AL197</f>
        <v>-8760.805881850456</v>
      </c>
      <c r="AM196" s="185">
        <f t="shared" ref="AM196" si="438">AL196-AM197</f>
        <v>-9585.0128679548307</v>
      </c>
      <c r="AN196" s="185">
        <f t="shared" ref="AN196" si="439">AM196-AN197</f>
        <v>-10450.430203364424</v>
      </c>
      <c r="AO196" s="185">
        <f t="shared" ref="AO196" si="440">AN196-AO197</f>
        <v>-11359.118405544497</v>
      </c>
      <c r="AP196" s="185">
        <f t="shared" ref="AP196" si="441">AO196-AP197</f>
        <v>-12313.241017833574</v>
      </c>
      <c r="AQ196" s="185">
        <f t="shared" ref="AQ196" si="442">AP196-AQ197</f>
        <v>-13315.069760737106</v>
      </c>
      <c r="AR196" s="185">
        <f t="shared" ref="AR196" si="443">AQ196-AR197</f>
        <v>-14366.989940785814</v>
      </c>
      <c r="AS196" s="185">
        <f t="shared" ref="AS196" si="444">AR196-AS197</f>
        <v>-15471.506129836956</v>
      </c>
      <c r="AT196" s="185">
        <f t="shared" ref="AT196" si="445">AS196-AT197</f>
        <v>-16631.248128340656</v>
      </c>
    </row>
    <row r="197" spans="2:46" x14ac:dyDescent="0.2">
      <c r="B197" s="20" t="s">
        <v>396</v>
      </c>
      <c r="C197" s="20"/>
      <c r="D197" s="20"/>
      <c r="E197" s="20"/>
      <c r="F197" s="20"/>
      <c r="G197" s="191">
        <v>0</v>
      </c>
      <c r="H197" s="190"/>
      <c r="I197" s="191">
        <v>0.05</v>
      </c>
      <c r="J197" s="190"/>
      <c r="K197" s="184">
        <f>P1</f>
        <v>0.05</v>
      </c>
      <c r="L197" s="191">
        <v>0.12</v>
      </c>
      <c r="M197" s="190"/>
      <c r="N197" s="191">
        <v>0.2</v>
      </c>
      <c r="O197" s="190"/>
      <c r="P197" s="181">
        <f>Q175/R144</f>
        <v>3.8630553973126607</v>
      </c>
      <c r="Q197" s="181">
        <f>Q175/R144</f>
        <v>3.8630553973126607</v>
      </c>
      <c r="R197" s="20"/>
      <c r="S197" s="20"/>
      <c r="T197" s="186">
        <f>R144*(1+$K$197)</f>
        <v>326.16669201185169</v>
      </c>
      <c r="U197" s="186">
        <f>T197*(1+$K$197)</f>
        <v>342.47502661244431</v>
      </c>
      <c r="V197" s="186">
        <f t="shared" ref="V197:AC197" si="446">U197*(1+$K$197)</f>
        <v>359.59877794306652</v>
      </c>
      <c r="W197" s="186">
        <f t="shared" si="446"/>
        <v>377.57871684021984</v>
      </c>
      <c r="X197" s="186">
        <f t="shared" si="446"/>
        <v>396.45765268223084</v>
      </c>
      <c r="Y197" s="186">
        <f t="shared" si="446"/>
        <v>416.28053531634242</v>
      </c>
      <c r="Z197" s="186">
        <f t="shared" si="446"/>
        <v>437.09456208215954</v>
      </c>
      <c r="AA197" s="186">
        <f t="shared" si="446"/>
        <v>458.94929018626755</v>
      </c>
      <c r="AB197" s="186">
        <f t="shared" si="446"/>
        <v>481.89675469558097</v>
      </c>
      <c r="AC197" s="186">
        <f t="shared" si="446"/>
        <v>505.99159243036001</v>
      </c>
      <c r="AD197" s="186">
        <f t="shared" ref="AD197" si="447">AC197*(1+$K$197)</f>
        <v>531.29117205187799</v>
      </c>
      <c r="AE197" s="186">
        <f t="shared" ref="AE197" si="448">AD197*(1+$K$197)</f>
        <v>557.85573065447193</v>
      </c>
      <c r="AF197" s="186">
        <f t="shared" ref="AF197" si="449">AE197*(1+$K$197)</f>
        <v>585.7485171871956</v>
      </c>
      <c r="AG197" s="186">
        <f t="shared" ref="AG197" si="450">AF197*(1+$K$197)</f>
        <v>615.03594304655542</v>
      </c>
      <c r="AH197" s="186">
        <f t="shared" ref="AH197" si="451">AG197*(1+$K$197)</f>
        <v>645.78774019888317</v>
      </c>
      <c r="AI197" s="186">
        <f t="shared" ref="AI197" si="452">AH197*(1+$K$197)</f>
        <v>678.07712720882739</v>
      </c>
      <c r="AJ197" s="186">
        <f t="shared" ref="AJ197" si="453">AI197*(1+$K$197)</f>
        <v>711.9809835692688</v>
      </c>
      <c r="AK197" s="186">
        <f t="shared" ref="AK197" si="454">AJ197*(1+$K$197)</f>
        <v>747.58003274773228</v>
      </c>
      <c r="AL197" s="186">
        <f t="shared" ref="AL197" si="455">AK197*(1+$K$197)</f>
        <v>784.95903438511891</v>
      </c>
      <c r="AM197" s="186">
        <f t="shared" ref="AM197" si="456">AL197*(1+$K$197)</f>
        <v>824.20698610437489</v>
      </c>
      <c r="AN197" s="186">
        <f t="shared" ref="AN197" si="457">AM197*(1+$K$197)</f>
        <v>865.41733540959365</v>
      </c>
      <c r="AO197" s="186">
        <f t="shared" ref="AO197" si="458">AN197*(1+$K$197)</f>
        <v>908.6882021800734</v>
      </c>
      <c r="AP197" s="186">
        <f t="shared" ref="AP197" si="459">AO197*(1+$K$197)</f>
        <v>954.1226122890771</v>
      </c>
      <c r="AQ197" s="186">
        <f t="shared" ref="AQ197" si="460">AP197*(1+$K$197)</f>
        <v>1001.828742903531</v>
      </c>
      <c r="AR197" s="186">
        <f t="shared" ref="AR197" si="461">AQ197*(1+$K$197)</f>
        <v>1051.9201800487076</v>
      </c>
      <c r="AS197" s="186">
        <f t="shared" ref="AS197" si="462">AR197*(1+$K$197)</f>
        <v>1104.5161890511431</v>
      </c>
      <c r="AT197" s="186">
        <f t="shared" ref="AT197" si="463">AS197*(1+$K$197)</f>
        <v>1159.7419985037004</v>
      </c>
    </row>
    <row r="198" spans="2:46" x14ac:dyDescent="0.2">
      <c r="B198" s="20" t="s">
        <v>395</v>
      </c>
      <c r="C198" s="20"/>
      <c r="D198" s="20"/>
      <c r="E198" s="23" t="s">
        <v>390</v>
      </c>
      <c r="F198" s="22"/>
      <c r="G198" s="191">
        <v>0</v>
      </c>
      <c r="H198" s="192">
        <f>Q177</f>
        <v>7.1111111111111125</v>
      </c>
      <c r="I198" s="191">
        <v>0.05</v>
      </c>
      <c r="J198" s="190"/>
      <c r="K198" s="184">
        <f>P1</f>
        <v>0.05</v>
      </c>
      <c r="L198" s="191">
        <v>0.12</v>
      </c>
      <c r="M198" s="190"/>
      <c r="N198" s="191">
        <v>0.2</v>
      </c>
      <c r="O198" s="190"/>
      <c r="P198" s="181">
        <f>Q175/Q56</f>
        <v>7.1111111111111125</v>
      </c>
      <c r="Q198" s="181">
        <f>Q175/Q56</f>
        <v>7.1111111111111125</v>
      </c>
      <c r="R198" s="20"/>
      <c r="S198" s="20"/>
      <c r="T198" s="186">
        <f>Q56*(1+$K$198)</f>
        <v>177.18749999999997</v>
      </c>
      <c r="U198" s="186">
        <f>T198*(1+$K$198)</f>
        <v>186.04687499999997</v>
      </c>
      <c r="V198" s="186">
        <f t="shared" ref="V198:AC198" si="464">U198*(1+$K$198)</f>
        <v>195.34921874999998</v>
      </c>
      <c r="W198" s="186">
        <f t="shared" si="464"/>
        <v>205.11667968749998</v>
      </c>
      <c r="X198" s="186">
        <f t="shared" si="464"/>
        <v>215.372513671875</v>
      </c>
      <c r="Y198" s="186">
        <f t="shared" si="464"/>
        <v>226.14113935546877</v>
      </c>
      <c r="Z198" s="186">
        <f t="shared" si="464"/>
        <v>237.44819632324223</v>
      </c>
      <c r="AA198" s="186">
        <f t="shared" si="464"/>
        <v>249.32060613940436</v>
      </c>
      <c r="AB198" s="186">
        <f t="shared" si="464"/>
        <v>261.78663644637459</v>
      </c>
      <c r="AC198" s="186">
        <f t="shared" si="464"/>
        <v>274.87596826869333</v>
      </c>
      <c r="AD198" s="186">
        <f t="shared" ref="AD198" si="465">AC198*(1+$K$198)</f>
        <v>288.61976668212799</v>
      </c>
      <c r="AE198" s="186">
        <f t="shared" ref="AE198" si="466">AD198*(1+$K$198)</f>
        <v>303.0507550162344</v>
      </c>
      <c r="AF198" s="186">
        <f t="shared" ref="AF198" si="467">AE198*(1+$K$198)</f>
        <v>318.20329276704615</v>
      </c>
      <c r="AG198" s="186">
        <f t="shared" ref="AG198" si="468">AF198*(1+$K$198)</f>
        <v>334.11345740539849</v>
      </c>
      <c r="AH198" s="186">
        <f t="shared" ref="AH198" si="469">AG198*(1+$K$198)</f>
        <v>350.81913027566844</v>
      </c>
      <c r="AI198" s="186">
        <f t="shared" ref="AI198" si="470">AH198*(1+$K$198)</f>
        <v>368.36008678945188</v>
      </c>
      <c r="AJ198" s="186">
        <f t="shared" ref="AJ198" si="471">AI198*(1+$K$198)</f>
        <v>386.77809112892447</v>
      </c>
      <c r="AK198" s="186">
        <f t="shared" ref="AK198" si="472">AJ198*(1+$K$198)</f>
        <v>406.11699568537074</v>
      </c>
      <c r="AL198" s="186">
        <f t="shared" ref="AL198" si="473">AK198*(1+$K$198)</f>
        <v>426.4228454696393</v>
      </c>
      <c r="AM198" s="186">
        <f t="shared" ref="AM198" si="474">AL198*(1+$K$198)</f>
        <v>447.74398774312129</v>
      </c>
      <c r="AN198" s="186">
        <f t="shared" ref="AN198" si="475">AM198*(1+$K$198)</f>
        <v>470.1311871302774</v>
      </c>
      <c r="AO198" s="186">
        <f t="shared" ref="AO198" si="476">AN198*(1+$K$198)</f>
        <v>493.63774648679129</v>
      </c>
      <c r="AP198" s="186">
        <f t="shared" ref="AP198" si="477">AO198*(1+$K$198)</f>
        <v>518.31963381113087</v>
      </c>
      <c r="AQ198" s="186">
        <f t="shared" ref="AQ198" si="478">AP198*(1+$K$198)</f>
        <v>544.23561550168745</v>
      </c>
      <c r="AR198" s="186">
        <f t="shared" ref="AR198" si="479">AQ198*(1+$K$198)</f>
        <v>571.44739627677188</v>
      </c>
      <c r="AS198" s="186">
        <f t="shared" ref="AS198" si="480">AR198*(1+$K$198)</f>
        <v>600.01976609061046</v>
      </c>
      <c r="AT198" s="186">
        <f t="shared" ref="AT198" si="481">AS198*(1+$K$198)</f>
        <v>630.02075439514101</v>
      </c>
    </row>
    <row r="199" spans="2:46" x14ac:dyDescent="0.2">
      <c r="B199" s="20"/>
      <c r="C199" s="20"/>
      <c r="D199" s="20"/>
      <c r="E199" s="23" t="s">
        <v>454</v>
      </c>
      <c r="F199" s="22"/>
      <c r="G199" s="191">
        <v>0</v>
      </c>
      <c r="H199" s="192"/>
      <c r="I199" s="191">
        <v>0.05</v>
      </c>
      <c r="J199" s="190"/>
      <c r="K199" s="190"/>
      <c r="L199" s="191">
        <v>0.12</v>
      </c>
      <c r="M199" s="190"/>
      <c r="N199" s="191">
        <v>0.2</v>
      </c>
      <c r="O199" s="20"/>
      <c r="P199" s="20"/>
      <c r="Q199" s="20"/>
      <c r="R199" s="20"/>
      <c r="S199" s="20"/>
      <c r="T199" s="129">
        <f>Q175-T198</f>
        <v>1022.8125</v>
      </c>
      <c r="U199" s="185">
        <f>T199-U198</f>
        <v>836.765625</v>
      </c>
      <c r="V199" s="185">
        <f t="shared" ref="V199:AA199" si="482">U199-V198</f>
        <v>641.41640625000002</v>
      </c>
      <c r="W199" s="185">
        <f t="shared" si="482"/>
        <v>436.29972656250004</v>
      </c>
      <c r="X199" s="185">
        <f t="shared" si="482"/>
        <v>220.92721289062504</v>
      </c>
      <c r="Y199" s="185">
        <f t="shared" si="482"/>
        <v>-5.2139264648437234</v>
      </c>
      <c r="Z199" s="185">
        <f t="shared" si="482"/>
        <v>-242.66212278808595</v>
      </c>
      <c r="AA199" s="185">
        <f t="shared" si="482"/>
        <v>-491.98272892749031</v>
      </c>
      <c r="AB199" s="185">
        <f>AA199-AB198</f>
        <v>-753.76936537386496</v>
      </c>
      <c r="AC199" s="185">
        <f t="shared" ref="AC199" si="483">AB199-AC198</f>
        <v>-1028.6453336425584</v>
      </c>
      <c r="AD199" s="185">
        <f t="shared" ref="AD199" si="484">AC199-AD198</f>
        <v>-1317.2651003246865</v>
      </c>
      <c r="AE199" s="185">
        <f t="shared" ref="AE199" si="485">AD199-AE198</f>
        <v>-1620.315855340921</v>
      </c>
      <c r="AF199" s="185">
        <f t="shared" ref="AF199" si="486">AE199-AF198</f>
        <v>-1938.5191481079671</v>
      </c>
      <c r="AG199" s="185">
        <f t="shared" ref="AG199" si="487">AF199-AG198</f>
        <v>-2272.6326055133654</v>
      </c>
      <c r="AH199" s="185">
        <f t="shared" ref="AH199" si="488">AG199-AH198</f>
        <v>-2623.451735789034</v>
      </c>
      <c r="AI199" s="185">
        <f t="shared" ref="AI199" si="489">AH199-AI198</f>
        <v>-2991.811822578486</v>
      </c>
      <c r="AJ199" s="185">
        <f t="shared" ref="AJ199" si="490">AI199-AJ198</f>
        <v>-3378.5899137074107</v>
      </c>
      <c r="AK199" s="185">
        <f t="shared" ref="AK199" si="491">AJ199-AK198</f>
        <v>-3784.7069093927812</v>
      </c>
      <c r="AL199" s="185">
        <f t="shared" ref="AL199" si="492">AK199-AL198</f>
        <v>-4211.1297548624207</v>
      </c>
      <c r="AM199" s="185">
        <f t="shared" ref="AM199" si="493">AL199-AM198</f>
        <v>-4658.8737426055422</v>
      </c>
      <c r="AN199" s="185">
        <f t="shared" ref="AN199" si="494">AM199-AN198</f>
        <v>-5129.00492973582</v>
      </c>
      <c r="AO199" s="185">
        <f t="shared" ref="AO199" si="495">AN199-AO198</f>
        <v>-5622.642676222611</v>
      </c>
      <c r="AP199" s="185">
        <f t="shared" ref="AP199" si="496">AO199-AP198</f>
        <v>-6140.9623100337421</v>
      </c>
      <c r="AQ199" s="185">
        <f t="shared" ref="AQ199" si="497">AP199-AQ198</f>
        <v>-6685.1979255354299</v>
      </c>
      <c r="AR199" s="185">
        <f t="shared" ref="AR199" si="498">AQ199-AR198</f>
        <v>-7256.6453218122015</v>
      </c>
      <c r="AS199" s="185">
        <f t="shared" ref="AS199" si="499">AR199-AS198</f>
        <v>-7856.665087902812</v>
      </c>
      <c r="AT199" s="185">
        <f t="shared" ref="AT199" si="500">AS199-AT198</f>
        <v>-8486.6858422979531</v>
      </c>
    </row>
    <row r="200" spans="2:46" x14ac:dyDescent="0.2">
      <c r="B200" s="108" t="s">
        <v>301</v>
      </c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 spans="2:46" x14ac:dyDescent="0.2">
      <c r="B201" s="20" t="s">
        <v>304</v>
      </c>
      <c r="C201" s="25"/>
      <c r="D201" s="25"/>
      <c r="E201" s="25"/>
      <c r="F201" s="25"/>
      <c r="G201" s="25">
        <f t="shared" ref="G201:P201" si="501">G10/G7</f>
        <v>0</v>
      </c>
      <c r="H201" s="25">
        <f t="shared" si="501"/>
        <v>0</v>
      </c>
      <c r="I201" s="25">
        <f t="shared" si="501"/>
        <v>0</v>
      </c>
      <c r="J201" s="25">
        <f t="shared" si="501"/>
        <v>0</v>
      </c>
      <c r="K201" s="25">
        <f t="shared" si="501"/>
        <v>0</v>
      </c>
      <c r="L201" s="25">
        <f t="shared" si="501"/>
        <v>0</v>
      </c>
      <c r="M201" s="25">
        <f t="shared" si="501"/>
        <v>0</v>
      </c>
      <c r="N201" s="25">
        <f t="shared" si="501"/>
        <v>0</v>
      </c>
      <c r="O201" s="25">
        <f t="shared" si="501"/>
        <v>0</v>
      </c>
      <c r="P201" s="25">
        <f t="shared" si="501"/>
        <v>0</v>
      </c>
      <c r="Q201" s="25">
        <f t="shared" ref="Q201" si="502">Q10/Q7</f>
        <v>0</v>
      </c>
      <c r="R201" s="118" t="e">
        <f t="shared" ref="R201:R203" si="503">((P201/G201)^(1/($H$2-$H$1) ))-1</f>
        <v>#DIV/0!</v>
      </c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 spans="2:46" x14ac:dyDescent="0.2">
      <c r="B202" s="20" t="s">
        <v>305</v>
      </c>
      <c r="C202" s="112"/>
      <c r="D202" s="112"/>
      <c r="E202" s="112"/>
      <c r="F202" s="112"/>
      <c r="G202" s="112">
        <f>G10/G12</f>
        <v>0</v>
      </c>
      <c r="H202" s="112">
        <f t="shared" ref="H202:P202" si="504">H10/H12</f>
        <v>0</v>
      </c>
      <c r="I202" s="112">
        <f t="shared" si="504"/>
        <v>0</v>
      </c>
      <c r="J202" s="112">
        <f t="shared" si="504"/>
        <v>0</v>
      </c>
      <c r="K202" s="112">
        <f t="shared" si="504"/>
        <v>0</v>
      </c>
      <c r="L202" s="112">
        <f t="shared" si="504"/>
        <v>0</v>
      </c>
      <c r="M202" s="112">
        <f t="shared" si="504"/>
        <v>0</v>
      </c>
      <c r="N202" s="112">
        <f t="shared" si="504"/>
        <v>0</v>
      </c>
      <c r="O202" s="112">
        <f t="shared" si="504"/>
        <v>0</v>
      </c>
      <c r="P202" s="112">
        <f t="shared" si="504"/>
        <v>0</v>
      </c>
      <c r="Q202" s="112">
        <f t="shared" ref="Q202" si="505">Q10/Q12</f>
        <v>0</v>
      </c>
      <c r="R202" s="118" t="e">
        <f t="shared" si="503"/>
        <v>#DIV/0!</v>
      </c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 spans="2:46" x14ac:dyDescent="0.2">
      <c r="B203" s="20" t="s">
        <v>306</v>
      </c>
      <c r="C203" s="25"/>
      <c r="D203" s="25"/>
      <c r="E203" s="25"/>
      <c r="F203" s="25"/>
      <c r="G203" s="25">
        <f>G10/(G12+G13)</f>
        <v>0</v>
      </c>
      <c r="H203" s="25">
        <f t="shared" ref="H203:P203" si="506">H10/(H12+H13)</f>
        <v>0</v>
      </c>
      <c r="I203" s="25">
        <f t="shared" si="506"/>
        <v>0</v>
      </c>
      <c r="J203" s="25">
        <f t="shared" si="506"/>
        <v>0</v>
      </c>
      <c r="K203" s="25">
        <f t="shared" si="506"/>
        <v>0</v>
      </c>
      <c r="L203" s="25">
        <f t="shared" si="506"/>
        <v>0</v>
      </c>
      <c r="M203" s="25">
        <f t="shared" si="506"/>
        <v>0</v>
      </c>
      <c r="N203" s="25">
        <f t="shared" si="506"/>
        <v>0</v>
      </c>
      <c r="O203" s="25">
        <f t="shared" si="506"/>
        <v>0</v>
      </c>
      <c r="P203" s="25">
        <f t="shared" si="506"/>
        <v>0</v>
      </c>
      <c r="Q203" s="25">
        <f t="shared" ref="Q203" si="507">Q10/(Q12+Q13)</f>
        <v>0</v>
      </c>
      <c r="R203" s="118" t="e">
        <f t="shared" si="503"/>
        <v>#DIV/0!</v>
      </c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 spans="2:46" x14ac:dyDescent="0.2"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 spans="2:46" x14ac:dyDescent="0.2"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 spans="2:46" x14ac:dyDescent="0.2">
      <c r="B206" s="20"/>
      <c r="C206" s="174" t="s">
        <v>376</v>
      </c>
      <c r="D206" s="175"/>
      <c r="E206" s="175"/>
      <c r="F206" s="175"/>
      <c r="G206" s="175"/>
      <c r="H206" s="175"/>
      <c r="I206" s="175"/>
      <c r="J206" s="175"/>
      <c r="K206" s="20"/>
      <c r="L206" s="201" t="s">
        <v>336</v>
      </c>
      <c r="M206" s="202"/>
      <c r="N206" s="203"/>
      <c r="O206" s="23" t="s">
        <v>339</v>
      </c>
      <c r="P206" s="20"/>
      <c r="Q206" s="137"/>
      <c r="R206" s="201" t="s">
        <v>337</v>
      </c>
      <c r="S206" s="202"/>
      <c r="T206" s="203"/>
      <c r="U206" s="23" t="s">
        <v>339</v>
      </c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 spans="2:46" x14ac:dyDescent="0.2">
      <c r="B207" s="20"/>
      <c r="C207" s="166" t="s">
        <v>338</v>
      </c>
      <c r="D207" s="166" t="s">
        <v>0</v>
      </c>
      <c r="E207" s="166" t="s">
        <v>377</v>
      </c>
      <c r="F207" s="166" t="s">
        <v>378</v>
      </c>
      <c r="G207" s="166" t="s">
        <v>379</v>
      </c>
      <c r="H207" s="166" t="s">
        <v>380</v>
      </c>
      <c r="I207" s="166" t="s">
        <v>381</v>
      </c>
      <c r="J207" s="166" t="s">
        <v>382</v>
      </c>
      <c r="K207" s="20"/>
      <c r="L207" s="166" t="s">
        <v>338</v>
      </c>
      <c r="M207" s="166"/>
      <c r="N207" s="166" t="s">
        <v>0</v>
      </c>
      <c r="O207" s="166" t="s">
        <v>371</v>
      </c>
      <c r="P207" s="20"/>
      <c r="Q207" s="20"/>
      <c r="R207" s="166" t="s">
        <v>338</v>
      </c>
      <c r="S207" s="166"/>
      <c r="T207" s="166" t="s">
        <v>0</v>
      </c>
      <c r="U207" s="166" t="s">
        <v>371</v>
      </c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 spans="2:46" x14ac:dyDescent="0.2">
      <c r="B208" s="20"/>
      <c r="C208" s="167" t="s">
        <v>340</v>
      </c>
      <c r="D208" s="21">
        <v>4300</v>
      </c>
      <c r="E208" s="176" t="s">
        <v>383</v>
      </c>
      <c r="F208" s="22">
        <v>0</v>
      </c>
      <c r="G208" s="22">
        <v>1</v>
      </c>
      <c r="H208" s="167">
        <f>F208/G208</f>
        <v>0</v>
      </c>
      <c r="I208" s="167">
        <f>H208*D209</f>
        <v>0</v>
      </c>
      <c r="J208" s="177">
        <f>I208+D209</f>
        <v>1</v>
      </c>
      <c r="K208" s="20"/>
      <c r="L208" s="167" t="s">
        <v>340</v>
      </c>
      <c r="M208" s="167"/>
      <c r="N208" s="21">
        <v>450</v>
      </c>
      <c r="O208" s="173">
        <f>N208</f>
        <v>450</v>
      </c>
      <c r="P208" s="20"/>
      <c r="Q208" s="20"/>
      <c r="R208" s="167" t="s">
        <v>340</v>
      </c>
      <c r="S208" s="167"/>
      <c r="T208" s="21">
        <v>4000</v>
      </c>
      <c r="U208" s="173">
        <f>T208</f>
        <v>4000</v>
      </c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 spans="2:32" x14ac:dyDescent="0.2">
      <c r="B209" s="20"/>
      <c r="C209" s="167" t="s">
        <v>341</v>
      </c>
      <c r="D209" s="21">
        <v>1</v>
      </c>
      <c r="E209" s="176" t="s">
        <v>384</v>
      </c>
      <c r="F209" s="22">
        <v>0</v>
      </c>
      <c r="G209" s="22">
        <v>1</v>
      </c>
      <c r="H209" s="167">
        <f>F209/G209</f>
        <v>0</v>
      </c>
      <c r="I209" s="167">
        <f>H209*J208</f>
        <v>0</v>
      </c>
      <c r="J209" s="167">
        <f>I209+J208</f>
        <v>1</v>
      </c>
      <c r="K209" s="20"/>
      <c r="L209" s="167" t="s">
        <v>341</v>
      </c>
      <c r="M209" s="167"/>
      <c r="N209" s="21">
        <v>1</v>
      </c>
      <c r="O209" s="173">
        <f>N209</f>
        <v>1</v>
      </c>
      <c r="P209" s="20"/>
      <c r="Q209" s="20"/>
      <c r="R209" s="167" t="s">
        <v>341</v>
      </c>
      <c r="S209" s="167"/>
      <c r="T209" s="21">
        <v>1</v>
      </c>
      <c r="U209" s="173">
        <f>T209</f>
        <v>1</v>
      </c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 spans="2:32" x14ac:dyDescent="0.2">
      <c r="B210" s="20"/>
      <c r="C210" s="167" t="s">
        <v>343</v>
      </c>
      <c r="D210" s="168">
        <f>D208*D209</f>
        <v>4300</v>
      </c>
      <c r="E210" s="176" t="s">
        <v>397</v>
      </c>
      <c r="F210" s="22">
        <v>0</v>
      </c>
      <c r="G210" s="22">
        <v>1</v>
      </c>
      <c r="H210" s="167">
        <f>F210/G210</f>
        <v>0</v>
      </c>
      <c r="I210" s="167">
        <f>H210*J209</f>
        <v>0</v>
      </c>
      <c r="J210" s="167">
        <f>I210+J209</f>
        <v>1</v>
      </c>
      <c r="K210" s="20"/>
      <c r="L210" s="167" t="s">
        <v>342</v>
      </c>
      <c r="M210" s="167"/>
      <c r="N210" s="168">
        <f>N208*N209</f>
        <v>450</v>
      </c>
      <c r="O210" s="173">
        <f>N210</f>
        <v>450</v>
      </c>
      <c r="P210" s="20"/>
      <c r="Q210" s="20"/>
      <c r="R210" s="167" t="s">
        <v>343</v>
      </c>
      <c r="S210" s="167"/>
      <c r="T210" s="168">
        <f>T208*T209</f>
        <v>4000</v>
      </c>
      <c r="U210" s="173">
        <f>T210</f>
        <v>4000</v>
      </c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 spans="2:32" x14ac:dyDescent="0.2">
      <c r="B211" s="20"/>
      <c r="C211" s="167"/>
      <c r="D211" s="168"/>
      <c r="E211" s="176" t="s">
        <v>455</v>
      </c>
      <c r="F211" s="22">
        <v>0</v>
      </c>
      <c r="G211" s="22">
        <v>1</v>
      </c>
      <c r="H211" s="167">
        <f t="shared" ref="H211:H214" si="508">F211/G211</f>
        <v>0</v>
      </c>
      <c r="I211" s="167">
        <f t="shared" ref="I211:I213" si="509">H211*J210</f>
        <v>0</v>
      </c>
      <c r="J211" s="167">
        <f t="shared" ref="J211:J213" si="510">I211+J210</f>
        <v>1</v>
      </c>
      <c r="K211" s="20"/>
      <c r="L211" s="167" t="s">
        <v>344</v>
      </c>
      <c r="M211" s="167"/>
      <c r="N211" s="21">
        <v>3945</v>
      </c>
      <c r="O211" s="21">
        <v>4311</v>
      </c>
      <c r="P211" s="20"/>
      <c r="Q211" s="20"/>
      <c r="R211" s="167" t="s">
        <v>344</v>
      </c>
      <c r="S211" s="167"/>
      <c r="T211" s="21">
        <v>3900</v>
      </c>
      <c r="U211" s="21">
        <v>4400</v>
      </c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 spans="2:32" x14ac:dyDescent="0.2">
      <c r="B212" s="20"/>
      <c r="C212" s="167"/>
      <c r="D212" s="168"/>
      <c r="E212" s="176" t="s">
        <v>456</v>
      </c>
      <c r="F212" s="22">
        <v>0</v>
      </c>
      <c r="G212" s="22">
        <v>1</v>
      </c>
      <c r="H212" s="167">
        <f t="shared" si="508"/>
        <v>0</v>
      </c>
      <c r="I212" s="167">
        <f t="shared" si="509"/>
        <v>0</v>
      </c>
      <c r="J212" s="167">
        <f t="shared" si="510"/>
        <v>1</v>
      </c>
      <c r="K212" s="20"/>
      <c r="L212" s="167" t="s">
        <v>345</v>
      </c>
      <c r="M212" s="167"/>
      <c r="N212" s="168">
        <f>N211*N209</f>
        <v>3945</v>
      </c>
      <c r="O212" s="168">
        <f>O211*O209</f>
        <v>4311</v>
      </c>
      <c r="P212" s="20"/>
      <c r="Q212" s="20"/>
      <c r="R212" s="167" t="s">
        <v>341</v>
      </c>
      <c r="S212" s="167"/>
      <c r="T212" s="21">
        <v>1</v>
      </c>
      <c r="U212" s="127">
        <f>T212</f>
        <v>1</v>
      </c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 spans="2:32" x14ac:dyDescent="0.2">
      <c r="B213" s="20"/>
      <c r="C213" s="167"/>
      <c r="D213" s="168"/>
      <c r="E213" s="176" t="s">
        <v>457</v>
      </c>
      <c r="F213" s="22">
        <v>0</v>
      </c>
      <c r="G213" s="22">
        <v>1</v>
      </c>
      <c r="H213" s="167">
        <f t="shared" si="508"/>
        <v>0</v>
      </c>
      <c r="I213" s="167">
        <f t="shared" si="509"/>
        <v>0</v>
      </c>
      <c r="J213" s="167">
        <f t="shared" si="510"/>
        <v>1</v>
      </c>
      <c r="K213" s="20"/>
      <c r="L213" s="167"/>
      <c r="M213" s="167"/>
      <c r="N213" s="168"/>
      <c r="O213" s="168"/>
      <c r="P213" s="20"/>
      <c r="Q213" s="20"/>
      <c r="R213" s="167" t="s">
        <v>343</v>
      </c>
      <c r="S213" s="167"/>
      <c r="T213" s="168">
        <f>T212*T211</f>
        <v>3900</v>
      </c>
      <c r="U213" s="168">
        <f>U212*U211</f>
        <v>4400</v>
      </c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 spans="2:32" x14ac:dyDescent="0.2">
      <c r="B214" s="20"/>
      <c r="C214" s="167"/>
      <c r="D214" s="168"/>
      <c r="E214" s="176" t="s">
        <v>385</v>
      </c>
      <c r="F214" s="22">
        <v>100</v>
      </c>
      <c r="G214" s="22">
        <v>10</v>
      </c>
      <c r="H214" s="167">
        <f t="shared" si="508"/>
        <v>10</v>
      </c>
      <c r="I214" s="167">
        <f>H214*J213</f>
        <v>10</v>
      </c>
      <c r="J214" s="167">
        <f>I214</f>
        <v>10</v>
      </c>
      <c r="K214" s="20"/>
      <c r="L214" s="167"/>
      <c r="M214" s="167"/>
      <c r="N214" s="168"/>
      <c r="O214" s="168"/>
      <c r="P214" s="20"/>
      <c r="Q214" s="20"/>
      <c r="R214" s="167"/>
      <c r="S214" s="167"/>
      <c r="T214" s="168"/>
      <c r="U214" s="168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 spans="2:32" x14ac:dyDescent="0.2">
      <c r="B215" s="20"/>
      <c r="C215" s="167"/>
      <c r="D215" s="168"/>
      <c r="E215" s="176" t="s">
        <v>458</v>
      </c>
      <c r="F215" s="22">
        <v>2</v>
      </c>
      <c r="G215" s="22">
        <v>1</v>
      </c>
      <c r="H215" s="167">
        <f>F215/G215</f>
        <v>2</v>
      </c>
      <c r="I215" s="167">
        <f>H215*J214</f>
        <v>20</v>
      </c>
      <c r="J215" s="167">
        <f>I215</f>
        <v>20</v>
      </c>
      <c r="K215" s="20"/>
      <c r="L215" s="169" t="s">
        <v>346</v>
      </c>
      <c r="M215" s="169"/>
      <c r="N215" s="170">
        <f>N212/N210</f>
        <v>8.7666666666666675</v>
      </c>
      <c r="O215" s="170">
        <f>O212/O210</f>
        <v>9.58</v>
      </c>
      <c r="P215" s="20"/>
      <c r="Q215" s="20"/>
      <c r="R215" s="169" t="s">
        <v>346</v>
      </c>
      <c r="S215" s="169"/>
      <c r="T215" s="170">
        <f>T213/T210</f>
        <v>0.97499999999999998</v>
      </c>
      <c r="U215" s="170">
        <f>U213/U210</f>
        <v>1.1000000000000001</v>
      </c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 spans="2:32" x14ac:dyDescent="0.2">
      <c r="B216" s="20"/>
      <c r="C216" s="167" t="s">
        <v>344</v>
      </c>
      <c r="D216" s="21">
        <v>4000</v>
      </c>
      <c r="E216" s="176"/>
      <c r="F216" s="167"/>
      <c r="G216" s="167"/>
      <c r="H216" s="169" t="s">
        <v>386</v>
      </c>
      <c r="I216" s="167"/>
      <c r="J216" s="167">
        <f>J215</f>
        <v>20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 spans="2:32" x14ac:dyDescent="0.2">
      <c r="B217" s="20"/>
      <c r="C217" s="167" t="s">
        <v>341</v>
      </c>
      <c r="D217" s="21">
        <v>10</v>
      </c>
      <c r="E217" s="176" t="s">
        <v>385</v>
      </c>
      <c r="F217" s="22">
        <v>10</v>
      </c>
      <c r="G217" s="22">
        <v>2</v>
      </c>
      <c r="H217" s="167">
        <f>F217/G217</f>
        <v>5</v>
      </c>
      <c r="I217" s="177">
        <f>H217*D209</f>
        <v>5</v>
      </c>
      <c r="J217" s="177">
        <f>I217</f>
        <v>5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 spans="2:32" x14ac:dyDescent="0.2">
      <c r="B218" s="20"/>
      <c r="C218" s="167" t="s">
        <v>343</v>
      </c>
      <c r="D218" s="168">
        <f>D217*D216</f>
        <v>40000</v>
      </c>
      <c r="E218" s="167"/>
      <c r="F218" s="167"/>
      <c r="G218" s="167"/>
      <c r="H218" s="169" t="s">
        <v>386</v>
      </c>
      <c r="I218" s="167"/>
      <c r="J218" s="167">
        <f>J217</f>
        <v>5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 spans="2:32" x14ac:dyDescent="0.2">
      <c r="B219" s="20"/>
      <c r="C219" s="167"/>
      <c r="D219" s="168"/>
      <c r="E219" s="176" t="s">
        <v>385</v>
      </c>
      <c r="F219" s="22">
        <v>10</v>
      </c>
      <c r="G219" s="22">
        <v>2</v>
      </c>
      <c r="H219" s="167">
        <f>F219/G219</f>
        <v>5</v>
      </c>
      <c r="I219" s="167">
        <f>H219*J218</f>
        <v>25</v>
      </c>
      <c r="J219" s="167">
        <f>I219</f>
        <v>25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 spans="2:32" x14ac:dyDescent="0.2">
      <c r="B220" s="20"/>
      <c r="C220" s="169" t="s">
        <v>346</v>
      </c>
      <c r="D220" s="170">
        <f>D218/D210</f>
        <v>9.3023255813953494</v>
      </c>
      <c r="E220" s="176"/>
      <c r="F220" s="167"/>
      <c r="G220" s="167"/>
      <c r="H220" s="169" t="s">
        <v>386</v>
      </c>
      <c r="I220" s="167"/>
      <c r="J220" s="167">
        <f>J219</f>
        <v>25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 spans="2:32" x14ac:dyDescent="0.2"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</row>
    <row r="222" spans="2:32" x14ac:dyDescent="0.2">
      <c r="B222" s="20"/>
      <c r="C222" s="20"/>
      <c r="D222" s="137"/>
      <c r="E222" s="178"/>
      <c r="F222" s="178"/>
      <c r="G222" s="179"/>
      <c r="H222" s="20"/>
      <c r="I222" s="137"/>
      <c r="J222" s="178"/>
      <c r="K222" s="179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</row>
    <row r="223" spans="2:32" ht="14.25" x14ac:dyDescent="0.2">
      <c r="B223" s="20"/>
      <c r="C223" s="20"/>
      <c r="D223" s="194" t="s">
        <v>27</v>
      </c>
      <c r="E223" s="195"/>
      <c r="F223" s="195"/>
      <c r="G223" s="196"/>
      <c r="H223" s="20"/>
      <c r="I223" s="194" t="s">
        <v>392</v>
      </c>
      <c r="J223" s="195"/>
      <c r="K223" s="196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</row>
    <row r="224" spans="2:32" x14ac:dyDescent="0.2">
      <c r="B224" s="20"/>
      <c r="C224" s="20"/>
      <c r="D224" s="20" t="s">
        <v>28</v>
      </c>
      <c r="E224" s="127"/>
      <c r="F224" s="127"/>
      <c r="G224" s="21">
        <f>D210</f>
        <v>4300</v>
      </c>
      <c r="H224" s="20"/>
      <c r="I224" s="20" t="s">
        <v>28</v>
      </c>
      <c r="J224" s="127"/>
      <c r="K224" s="21">
        <f>G224</f>
        <v>4300</v>
      </c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</row>
    <row r="225" spans="2:32" x14ac:dyDescent="0.2">
      <c r="B225" s="20"/>
      <c r="C225" s="20"/>
      <c r="D225" s="20" t="s">
        <v>29</v>
      </c>
      <c r="E225" s="127"/>
      <c r="F225" s="127"/>
      <c r="G225" s="21">
        <f>D218</f>
        <v>40000</v>
      </c>
      <c r="H225" s="20"/>
      <c r="I225" s="20" t="s">
        <v>29</v>
      </c>
      <c r="J225" s="20"/>
      <c r="K225" s="21">
        <f>G225</f>
        <v>40000</v>
      </c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</row>
    <row r="226" spans="2:32" x14ac:dyDescent="0.2">
      <c r="B226" s="20"/>
      <c r="C226" s="20"/>
      <c r="D226" s="20" t="s">
        <v>30</v>
      </c>
      <c r="E226" s="20"/>
      <c r="F226" s="20"/>
      <c r="G226" s="22">
        <v>10</v>
      </c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</row>
    <row r="227" spans="2:32" x14ac:dyDescent="0.2">
      <c r="B227" s="20"/>
      <c r="C227" s="20"/>
      <c r="D227" s="23" t="s">
        <v>31</v>
      </c>
      <c r="E227" s="3"/>
      <c r="F227" s="3"/>
      <c r="G227" s="3">
        <f>((G225/G224)^(1/G226))-1</f>
        <v>0.24985362335515826</v>
      </c>
      <c r="H227" s="20"/>
      <c r="I227" s="23" t="s">
        <v>393</v>
      </c>
      <c r="J227" s="23"/>
      <c r="K227" s="193">
        <f>(K225-K224)/K224</f>
        <v>8.3023255813953494</v>
      </c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</row>
    <row r="228" spans="2:32" x14ac:dyDescent="0.2">
      <c r="C228" s="20"/>
      <c r="D228" s="23" t="s">
        <v>32</v>
      </c>
      <c r="E228" s="165"/>
      <c r="F228" s="165"/>
      <c r="G228" s="24">
        <f>G226*12</f>
        <v>120</v>
      </c>
      <c r="H228" s="20"/>
      <c r="I228" s="23" t="s">
        <v>394</v>
      </c>
      <c r="J228" s="23"/>
      <c r="K228" s="214">
        <f>K225/K224</f>
        <v>9.3023255813953494</v>
      </c>
    </row>
    <row r="229" spans="2:32" x14ac:dyDescent="0.2">
      <c r="C229" s="20"/>
      <c r="D229" s="20" t="s">
        <v>30</v>
      </c>
      <c r="E229" s="25"/>
      <c r="F229" s="25"/>
      <c r="G229" s="25">
        <f>G228/12</f>
        <v>10</v>
      </c>
      <c r="H229" s="20"/>
      <c r="I229" s="20"/>
      <c r="J229" s="20"/>
      <c r="K229" s="20"/>
    </row>
    <row r="230" spans="2:32" x14ac:dyDescent="0.2">
      <c r="C230" s="20"/>
      <c r="D230" s="23" t="s">
        <v>33</v>
      </c>
      <c r="E230" s="3"/>
      <c r="F230" s="3"/>
      <c r="G230" s="3">
        <f>((G225/G224)^(1/G229))-1</f>
        <v>0.24985362335515826</v>
      </c>
      <c r="H230" s="20"/>
      <c r="I230" s="20"/>
      <c r="J230" s="20"/>
      <c r="K230" s="20"/>
    </row>
    <row r="231" spans="2:32" x14ac:dyDescent="0.2">
      <c r="C231" s="20"/>
      <c r="D231" s="20"/>
      <c r="E231" s="20"/>
      <c r="F231" s="20"/>
      <c r="G231" s="20"/>
      <c r="H231" s="20"/>
      <c r="I231" s="20"/>
      <c r="J231" s="20"/>
      <c r="K231" s="20"/>
    </row>
    <row r="232" spans="2:32" x14ac:dyDescent="0.2">
      <c r="C232" s="20"/>
      <c r="D232" s="20"/>
      <c r="E232" s="20"/>
      <c r="F232" s="20"/>
      <c r="G232" s="20"/>
      <c r="H232" s="20"/>
      <c r="I232" s="20"/>
      <c r="J232" s="20"/>
      <c r="K232" s="20"/>
    </row>
  </sheetData>
  <mergeCells count="7">
    <mergeCell ref="D223:G223"/>
    <mergeCell ref="I223:K223"/>
    <mergeCell ref="AE2:AF2"/>
    <mergeCell ref="AE3:AF3"/>
    <mergeCell ref="L206:N206"/>
    <mergeCell ref="R206:T206"/>
    <mergeCell ref="K189:L189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6" t="s">
        <v>27</v>
      </c>
      <c r="K5" s="206"/>
      <c r="M5" s="206" t="s">
        <v>65</v>
      </c>
      <c r="N5" s="206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6" t="s">
        <v>36</v>
      </c>
      <c r="K14" s="206"/>
      <c r="L14" s="206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06" t="s">
        <v>27</v>
      </c>
      <c r="S5" s="206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6" t="s">
        <v>36</v>
      </c>
      <c r="S14" s="206"/>
      <c r="T14" s="206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06" t="s">
        <v>27</v>
      </c>
      <c r="C2" s="206"/>
      <c r="E2" s="206" t="s">
        <v>65</v>
      </c>
      <c r="F2" s="206"/>
      <c r="H2" s="210" t="s">
        <v>36</v>
      </c>
      <c r="I2" s="211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07" t="s">
        <v>68</v>
      </c>
      <c r="E10" s="208"/>
      <c r="F10" s="208"/>
      <c r="G10" s="208"/>
      <c r="H10" s="209"/>
      <c r="I10" s="207" t="s">
        <v>72</v>
      </c>
      <c r="J10" s="208"/>
      <c r="K10" s="208"/>
      <c r="L10" s="209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workbookViewId="0">
      <selection activeCell="D19" sqref="D19"/>
    </sheetView>
  </sheetViews>
  <sheetFormatPr defaultRowHeight="14.25" x14ac:dyDescent="0.2"/>
  <cols>
    <col min="1" max="1" width="9.140625" style="187"/>
    <col min="2" max="2" width="16.5703125" style="187" customWidth="1"/>
    <col min="3" max="3" width="39.7109375" style="187" customWidth="1"/>
    <col min="4" max="5" width="9.140625" style="187"/>
    <col min="6" max="6" width="19" style="187" bestFit="1" customWidth="1"/>
    <col min="7" max="7" width="49" style="187" customWidth="1"/>
    <col min="8" max="16384" width="9.140625" style="187"/>
  </cols>
  <sheetData>
    <row r="3" spans="2:7" x14ac:dyDescent="0.2">
      <c r="B3" s="212" t="s">
        <v>431</v>
      </c>
      <c r="C3" s="213"/>
      <c r="F3" s="212" t="s">
        <v>432</v>
      </c>
      <c r="G3" s="213"/>
    </row>
    <row r="4" spans="2:7" x14ac:dyDescent="0.2">
      <c r="B4" s="188" t="s">
        <v>433</v>
      </c>
      <c r="C4" s="188"/>
      <c r="F4" s="188" t="s">
        <v>434</v>
      </c>
      <c r="G4" s="188"/>
    </row>
    <row r="5" spans="2:7" x14ac:dyDescent="0.2">
      <c r="B5" s="188" t="s">
        <v>435</v>
      </c>
      <c r="C5" s="188"/>
      <c r="F5" s="188" t="s">
        <v>291</v>
      </c>
      <c r="G5" s="188"/>
    </row>
    <row r="6" spans="2:7" x14ac:dyDescent="0.2">
      <c r="B6" s="188" t="s">
        <v>436</v>
      </c>
      <c r="C6" s="188"/>
      <c r="F6" s="188" t="s">
        <v>437</v>
      </c>
      <c r="G6" s="188"/>
    </row>
    <row r="7" spans="2:7" x14ac:dyDescent="0.2">
      <c r="B7" s="188" t="s">
        <v>438</v>
      </c>
      <c r="C7" s="188"/>
      <c r="F7" s="188" t="s">
        <v>439</v>
      </c>
      <c r="G7" s="188"/>
    </row>
    <row r="8" spans="2:7" x14ac:dyDescent="0.2">
      <c r="B8" s="188" t="s">
        <v>440</v>
      </c>
      <c r="C8" s="188"/>
      <c r="F8" s="188" t="s">
        <v>441</v>
      </c>
      <c r="G8" s="188"/>
    </row>
    <row r="9" spans="2:7" x14ac:dyDescent="0.2">
      <c r="B9" s="188" t="s">
        <v>442</v>
      </c>
      <c r="C9" s="188"/>
      <c r="F9" s="188" t="s">
        <v>443</v>
      </c>
      <c r="G9" s="188"/>
    </row>
    <row r="10" spans="2:7" x14ac:dyDescent="0.2">
      <c r="B10" s="188" t="s">
        <v>441</v>
      </c>
      <c r="C10" s="188"/>
      <c r="F10" s="188"/>
      <c r="G10" s="188"/>
    </row>
    <row r="11" spans="2:7" x14ac:dyDescent="0.2">
      <c r="B11" s="188" t="s">
        <v>444</v>
      </c>
      <c r="C11" s="188"/>
      <c r="F11" s="188"/>
      <c r="G11" s="188"/>
    </row>
    <row r="12" spans="2:7" x14ac:dyDescent="0.2">
      <c r="B12" s="188" t="s">
        <v>445</v>
      </c>
      <c r="C12" s="188"/>
      <c r="F12" s="188"/>
      <c r="G12" s="188"/>
    </row>
    <row r="13" spans="2:7" x14ac:dyDescent="0.2">
      <c r="B13" s="188"/>
      <c r="C13" s="188"/>
      <c r="F13" s="188"/>
      <c r="G13" s="188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2014-09-27T16:46:21Z</dcterms:modified>
</cp:coreProperties>
</file>
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1 - Eval Steps" sheetId="16" r:id="rId1"/>
    <sheet name="2 - Analysis" sheetId="15" r:id="rId2"/>
    <sheet name="3 - Forecast" sheetId="18" r:id="rId3"/>
    <sheet name="4. Analysis" sheetId="19" r:id="rId4"/>
    <sheet name="BV calc" sheetId="8" state="hidden" r:id="rId5"/>
    <sheet name="Sheet1" sheetId="11" state="hidden" r:id="rId6"/>
    <sheet name="IOB" sheetId="9" state="hidden" r:id="rId7"/>
    <sheet name="Template" sheetId="12" state="hidden" r:id="rId8"/>
  </sheets>
  <calcPr calcId="144525"/>
</workbook>
</file>

<file path=xl/calcChain.xml><?xml version="1.0" encoding="utf-8"?>
<calcChain xmlns="http://schemas.openxmlformats.org/spreadsheetml/2006/main">
  <c r="C21" i="15" l="1"/>
  <c r="Q9" i="18"/>
  <c r="Q13" i="18"/>
  <c r="Q12" i="18"/>
  <c r="H82" i="18"/>
  <c r="I82" i="18"/>
  <c r="J82" i="18"/>
  <c r="K82" i="18"/>
  <c r="L82" i="18"/>
  <c r="M82" i="18"/>
  <c r="N82" i="18"/>
  <c r="O82" i="18"/>
  <c r="P82" i="18"/>
  <c r="Q82" i="18" s="1"/>
  <c r="G82" i="18"/>
  <c r="H39" i="18"/>
  <c r="I39" i="18"/>
  <c r="J39" i="18"/>
  <c r="K39" i="18"/>
  <c r="L39" i="18"/>
  <c r="M39" i="18"/>
  <c r="N39" i="18"/>
  <c r="O39" i="18"/>
  <c r="P39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AD14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R14" i="18"/>
  <c r="Q14" i="18"/>
  <c r="R182" i="18"/>
  <c r="R181" i="18"/>
  <c r="L185" i="18"/>
  <c r="L182" i="18"/>
  <c r="L181" i="18"/>
  <c r="H88" i="18"/>
  <c r="I88" i="18"/>
  <c r="J88" i="18"/>
  <c r="K88" i="18"/>
  <c r="L88" i="18"/>
  <c r="M88" i="18"/>
  <c r="N88" i="18"/>
  <c r="O88" i="18"/>
  <c r="P88" i="18"/>
  <c r="G88" i="18"/>
  <c r="Q88" i="18" s="1"/>
  <c r="H85" i="18"/>
  <c r="I85" i="18"/>
  <c r="J85" i="18"/>
  <c r="K85" i="18"/>
  <c r="L85" i="18"/>
  <c r="M85" i="18"/>
  <c r="N85" i="18"/>
  <c r="O85" i="18"/>
  <c r="P85" i="18"/>
  <c r="G85" i="18"/>
  <c r="H86" i="18"/>
  <c r="I86" i="18"/>
  <c r="J86" i="18"/>
  <c r="K86" i="18"/>
  <c r="L86" i="18"/>
  <c r="M86" i="18"/>
  <c r="N86" i="18"/>
  <c r="O86" i="18"/>
  <c r="P86" i="18"/>
  <c r="G86" i="18"/>
  <c r="H116" i="18"/>
  <c r="H117" i="18" s="1"/>
  <c r="I116" i="18"/>
  <c r="I117" i="18" s="1"/>
  <c r="J116" i="18"/>
  <c r="J117" i="18" s="1"/>
  <c r="K116" i="18"/>
  <c r="K117" i="18" s="1"/>
  <c r="L116" i="18"/>
  <c r="L117" i="18" s="1"/>
  <c r="M116" i="18"/>
  <c r="M117" i="18" s="1"/>
  <c r="N116" i="18"/>
  <c r="N117" i="18" s="1"/>
  <c r="O116" i="18"/>
  <c r="O117" i="18" s="1"/>
  <c r="P116" i="18"/>
  <c r="P117" i="18" s="1"/>
  <c r="G116" i="18"/>
  <c r="G117" i="18" s="1"/>
  <c r="Q120" i="18" l="1"/>
  <c r="AC14" i="18"/>
  <c r="AE14" i="18"/>
  <c r="Q85" i="18"/>
  <c r="Q117" i="18"/>
  <c r="Q116" i="18"/>
  <c r="Q86" i="18"/>
  <c r="P81" i="18"/>
  <c r="P80" i="18"/>
  <c r="C81" i="18"/>
  <c r="D81" i="18"/>
  <c r="E81" i="18"/>
  <c r="F81" i="18"/>
  <c r="H81" i="18"/>
  <c r="I81" i="18"/>
  <c r="J81" i="18"/>
  <c r="K81" i="18"/>
  <c r="L81" i="18"/>
  <c r="M81" i="18"/>
  <c r="N81" i="18"/>
  <c r="O81" i="18"/>
  <c r="G81" i="18"/>
  <c r="G80" i="18"/>
  <c r="H114" i="18"/>
  <c r="I114" i="18"/>
  <c r="J114" i="18"/>
  <c r="K114" i="18"/>
  <c r="L114" i="18"/>
  <c r="M114" i="18"/>
  <c r="N114" i="18"/>
  <c r="O114" i="18"/>
  <c r="P114" i="18"/>
  <c r="G114" i="18"/>
  <c r="H113" i="18"/>
  <c r="I113" i="18"/>
  <c r="J113" i="18"/>
  <c r="K113" i="18"/>
  <c r="L113" i="18"/>
  <c r="M113" i="18"/>
  <c r="N113" i="18"/>
  <c r="O113" i="18"/>
  <c r="P113" i="18"/>
  <c r="G113" i="18"/>
  <c r="H110" i="18"/>
  <c r="I110" i="18"/>
  <c r="J110" i="18"/>
  <c r="K110" i="18"/>
  <c r="L110" i="18"/>
  <c r="M110" i="18"/>
  <c r="N110" i="18"/>
  <c r="O110" i="18"/>
  <c r="P110" i="18"/>
  <c r="G110" i="18"/>
  <c r="H111" i="18"/>
  <c r="I111" i="18"/>
  <c r="J111" i="18"/>
  <c r="K111" i="18"/>
  <c r="L111" i="18"/>
  <c r="M111" i="18"/>
  <c r="N111" i="18"/>
  <c r="O111" i="18"/>
  <c r="P111" i="18"/>
  <c r="G111" i="18"/>
  <c r="H109" i="18"/>
  <c r="I109" i="18"/>
  <c r="J109" i="18"/>
  <c r="K109" i="18"/>
  <c r="L109" i="18"/>
  <c r="M109" i="18"/>
  <c r="N109" i="18"/>
  <c r="O109" i="18"/>
  <c r="P109" i="18"/>
  <c r="G109" i="18"/>
  <c r="H108" i="18"/>
  <c r="I108" i="18"/>
  <c r="J108" i="18"/>
  <c r="K108" i="18"/>
  <c r="L108" i="18"/>
  <c r="M108" i="18"/>
  <c r="N108" i="18"/>
  <c r="O108" i="18"/>
  <c r="P108" i="18"/>
  <c r="G108" i="18"/>
  <c r="R154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H103" i="18"/>
  <c r="I103" i="18"/>
  <c r="J103" i="18"/>
  <c r="K103" i="18"/>
  <c r="L103" i="18"/>
  <c r="M103" i="18"/>
  <c r="N103" i="18"/>
  <c r="O103" i="18"/>
  <c r="P103" i="18"/>
  <c r="G103" i="18"/>
  <c r="B105" i="18"/>
  <c r="B104" i="18"/>
  <c r="K169" i="18"/>
  <c r="K168" i="18"/>
  <c r="K167" i="18"/>
  <c r="S4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3" i="18"/>
  <c r="H93" i="18"/>
  <c r="I93" i="18"/>
  <c r="J93" i="18"/>
  <c r="K93" i="18"/>
  <c r="L93" i="18"/>
  <c r="M93" i="18"/>
  <c r="N93" i="18"/>
  <c r="O93" i="18"/>
  <c r="P93" i="18"/>
  <c r="Q186" i="18"/>
  <c r="K185" i="18"/>
  <c r="Q183" i="18"/>
  <c r="R183" i="18" s="1"/>
  <c r="R186" i="18" s="1"/>
  <c r="K183" i="18"/>
  <c r="L183" i="18" s="1"/>
  <c r="L188" i="18" s="1"/>
  <c r="F101" i="18"/>
  <c r="H101" i="18"/>
  <c r="I101" i="18"/>
  <c r="J101" i="18"/>
  <c r="K101" i="18"/>
  <c r="L101" i="18"/>
  <c r="M101" i="18"/>
  <c r="N101" i="18"/>
  <c r="O101" i="18"/>
  <c r="P101" i="18"/>
  <c r="G101" i="18"/>
  <c r="F100" i="18"/>
  <c r="H100" i="18"/>
  <c r="I100" i="18"/>
  <c r="J100" i="18"/>
  <c r="K100" i="18"/>
  <c r="L100" i="18"/>
  <c r="M100" i="18"/>
  <c r="N100" i="18"/>
  <c r="O100" i="18"/>
  <c r="P100" i="18"/>
  <c r="G100" i="18"/>
  <c r="Q111" i="18" l="1"/>
  <c r="R188" i="18"/>
  <c r="Q81" i="18"/>
  <c r="Q108" i="18"/>
  <c r="Q114" i="18"/>
  <c r="Q113" i="18"/>
  <c r="Q109" i="18"/>
  <c r="Q110" i="18"/>
  <c r="Q103" i="18"/>
  <c r="Q104" i="18"/>
  <c r="Q105" i="18"/>
  <c r="Q93" i="18"/>
  <c r="AC32" i="18"/>
  <c r="AE32" i="18"/>
  <c r="K188" i="18"/>
  <c r="Q188" i="18"/>
  <c r="Q101" i="18"/>
  <c r="Q100" i="18"/>
  <c r="R9" i="18"/>
  <c r="R10" i="18"/>
  <c r="R12" i="18"/>
  <c r="S12" i="18" s="1"/>
  <c r="R13" i="18"/>
  <c r="S13" i="18" s="1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8" i="18"/>
  <c r="AD49" i="18"/>
  <c r="AD50" i="18"/>
  <c r="AD52" i="18"/>
  <c r="AD53" i="18"/>
  <c r="AD54" i="18"/>
  <c r="AD56" i="18"/>
  <c r="AD57" i="18"/>
  <c r="AD58" i="18"/>
  <c r="AD59" i="18"/>
  <c r="AD61" i="18"/>
  <c r="AD62" i="18"/>
  <c r="AD64" i="18"/>
  <c r="AD66" i="18"/>
  <c r="AD67" i="18"/>
  <c r="AD68" i="18"/>
  <c r="AD69" i="18"/>
  <c r="AD70" i="18"/>
  <c r="AD72" i="18"/>
  <c r="AD73" i="18"/>
  <c r="AD74" i="18"/>
  <c r="AD7" i="18"/>
  <c r="AD6" i="18"/>
  <c r="G90" i="18" l="1"/>
  <c r="F90" i="18"/>
  <c r="H90" i="18"/>
  <c r="I90" i="18"/>
  <c r="J90" i="18"/>
  <c r="K90" i="18"/>
  <c r="L90" i="18"/>
  <c r="M90" i="18"/>
  <c r="N90" i="18"/>
  <c r="O90" i="18"/>
  <c r="P90" i="18"/>
  <c r="Q90" i="18" l="1"/>
  <c r="H84" i="18"/>
  <c r="I84" i="18"/>
  <c r="J84" i="18"/>
  <c r="K84" i="18"/>
  <c r="L84" i="18"/>
  <c r="M84" i="18"/>
  <c r="N84" i="18"/>
  <c r="O84" i="18"/>
  <c r="P84" i="18"/>
  <c r="H87" i="18"/>
  <c r="I87" i="18"/>
  <c r="J87" i="18"/>
  <c r="K87" i="18"/>
  <c r="L87" i="18"/>
  <c r="M87" i="18"/>
  <c r="N87" i="18"/>
  <c r="O87" i="18"/>
  <c r="P87" i="18"/>
  <c r="G87" i="18"/>
  <c r="G84" i="18"/>
  <c r="S29" i="18"/>
  <c r="Q29" i="18"/>
  <c r="L30" i="18"/>
  <c r="K30" i="18"/>
  <c r="J30" i="18"/>
  <c r="I30" i="18"/>
  <c r="H30" i="18"/>
  <c r="G30" i="18"/>
  <c r="T29" i="18" l="1"/>
  <c r="Q87" i="18"/>
  <c r="Q84" i="18"/>
  <c r="H92" i="18"/>
  <c r="I92" i="18"/>
  <c r="J92" i="18"/>
  <c r="K92" i="18"/>
  <c r="L92" i="18"/>
  <c r="M92" i="18"/>
  <c r="N92" i="18"/>
  <c r="O92" i="18"/>
  <c r="P92" i="18"/>
  <c r="G92" i="18"/>
  <c r="H91" i="18"/>
  <c r="I91" i="18"/>
  <c r="J91" i="18"/>
  <c r="K91" i="18"/>
  <c r="L91" i="18"/>
  <c r="M91" i="18"/>
  <c r="N91" i="18"/>
  <c r="O91" i="18"/>
  <c r="P91" i="18"/>
  <c r="G91" i="18"/>
  <c r="U29" i="18" l="1"/>
  <c r="Q91" i="18"/>
  <c r="Q92" i="18"/>
  <c r="AE61" i="18"/>
  <c r="V29" i="18" l="1"/>
  <c r="C162" i="18"/>
  <c r="D162" i="18"/>
  <c r="E162" i="18"/>
  <c r="F162" i="18"/>
  <c r="G162" i="18"/>
  <c r="H162" i="18"/>
  <c r="I162" i="18"/>
  <c r="J162" i="18"/>
  <c r="K162" i="18"/>
  <c r="L162" i="18"/>
  <c r="M162" i="18"/>
  <c r="N162" i="18"/>
  <c r="O162" i="18"/>
  <c r="P162" i="18"/>
  <c r="C9" i="15"/>
  <c r="D62" i="18"/>
  <c r="E62" i="18"/>
  <c r="E95" i="18" s="1"/>
  <c r="E96" i="18" s="1"/>
  <c r="F62" i="18"/>
  <c r="F95" i="18" s="1"/>
  <c r="F96" i="18" s="1"/>
  <c r="G62" i="18"/>
  <c r="G95" i="18" s="1"/>
  <c r="G96" i="18" s="1"/>
  <c r="H62" i="18"/>
  <c r="H95" i="18" s="1"/>
  <c r="H96" i="18" s="1"/>
  <c r="I62" i="18"/>
  <c r="I95" i="18" s="1"/>
  <c r="I96" i="18" s="1"/>
  <c r="J62" i="18"/>
  <c r="J95" i="18" s="1"/>
  <c r="J96" i="18" s="1"/>
  <c r="K62" i="18"/>
  <c r="K95" i="18" s="1"/>
  <c r="K96" i="18" s="1"/>
  <c r="L62" i="18"/>
  <c r="L95" i="18" s="1"/>
  <c r="L96" i="18" s="1"/>
  <c r="M62" i="18"/>
  <c r="M95" i="18" s="1"/>
  <c r="M96" i="18" s="1"/>
  <c r="N62" i="18"/>
  <c r="N95" i="18" s="1"/>
  <c r="N96" i="18" s="1"/>
  <c r="O62" i="18"/>
  <c r="O95" i="18" s="1"/>
  <c r="O96" i="18" s="1"/>
  <c r="P62" i="18"/>
  <c r="P95" i="18" s="1"/>
  <c r="C62" i="18"/>
  <c r="S41" i="18"/>
  <c r="S62" i="18" s="1"/>
  <c r="S95" i="18" s="1"/>
  <c r="S96" i="18" s="1"/>
  <c r="Q41" i="18"/>
  <c r="W29" i="18" l="1"/>
  <c r="Q162" i="18"/>
  <c r="N97" i="18"/>
  <c r="N98" i="18" s="1"/>
  <c r="J97" i="18"/>
  <c r="J98" i="18" s="1"/>
  <c r="L97" i="18"/>
  <c r="L98" i="18" s="1"/>
  <c r="H97" i="18"/>
  <c r="H98" i="18" s="1"/>
  <c r="M97" i="18"/>
  <c r="M98" i="18" s="1"/>
  <c r="I97" i="18"/>
  <c r="I98" i="18" s="1"/>
  <c r="F97" i="18"/>
  <c r="F98" i="18" s="1"/>
  <c r="O97" i="18"/>
  <c r="O98" i="18" s="1"/>
  <c r="K97" i="18"/>
  <c r="K98" i="18" s="1"/>
  <c r="G97" i="18"/>
  <c r="G98" i="18" s="1"/>
  <c r="P96" i="18"/>
  <c r="Q95" i="18"/>
  <c r="T41" i="18"/>
  <c r="U41" i="18" s="1"/>
  <c r="V41" i="18" s="1"/>
  <c r="W41" i="18" s="1"/>
  <c r="X29" i="18" l="1"/>
  <c r="P97" i="18"/>
  <c r="Q96" i="18"/>
  <c r="U62" i="18"/>
  <c r="X41" i="18"/>
  <c r="W62" i="18"/>
  <c r="V62" i="18"/>
  <c r="T62" i="18"/>
  <c r="C72" i="18"/>
  <c r="D72" i="18"/>
  <c r="E72" i="18"/>
  <c r="F72" i="18"/>
  <c r="G72" i="18"/>
  <c r="G118" i="18" s="1"/>
  <c r="H72" i="18"/>
  <c r="H118" i="18" s="1"/>
  <c r="I72" i="18"/>
  <c r="I118" i="18" s="1"/>
  <c r="J72" i="18"/>
  <c r="J118" i="18" s="1"/>
  <c r="K72" i="18"/>
  <c r="K118" i="18" s="1"/>
  <c r="L72" i="18"/>
  <c r="L118" i="18" s="1"/>
  <c r="M72" i="18"/>
  <c r="M118" i="18" s="1"/>
  <c r="N72" i="18"/>
  <c r="N118" i="18" s="1"/>
  <c r="O72" i="18"/>
  <c r="O118" i="18" s="1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P73" i="18"/>
  <c r="P72" i="18"/>
  <c r="P118" i="18" s="1"/>
  <c r="Q118" i="18" s="1"/>
  <c r="C80" i="18"/>
  <c r="D80" i="18"/>
  <c r="E80" i="18"/>
  <c r="F80" i="18"/>
  <c r="H80" i="18"/>
  <c r="I80" i="18"/>
  <c r="J80" i="18"/>
  <c r="K80" i="18"/>
  <c r="L80" i="18"/>
  <c r="M80" i="18"/>
  <c r="N80" i="18"/>
  <c r="O80" i="18"/>
  <c r="C78" i="18"/>
  <c r="D78" i="18"/>
  <c r="E78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F78" i="18"/>
  <c r="G78" i="18"/>
  <c r="H78" i="18"/>
  <c r="I78" i="18"/>
  <c r="J78" i="18"/>
  <c r="K78" i="18"/>
  <c r="L78" i="18"/>
  <c r="M78" i="18"/>
  <c r="N78" i="18"/>
  <c r="O78" i="18"/>
  <c r="P79" i="18"/>
  <c r="G39" i="18"/>
  <c r="G28" i="18"/>
  <c r="G11" i="18"/>
  <c r="G8" i="18"/>
  <c r="G26" i="18"/>
  <c r="Y29" i="18" l="1"/>
  <c r="Q74" i="18"/>
  <c r="Y41" i="18"/>
  <c r="X62" i="18"/>
  <c r="Q72" i="18"/>
  <c r="Q73" i="18"/>
  <c r="Q79" i="18"/>
  <c r="Q80" i="18"/>
  <c r="P78" i="18"/>
  <c r="Q78" i="18" s="1"/>
  <c r="C174" i="18"/>
  <c r="D174" i="18"/>
  <c r="E174" i="18"/>
  <c r="F174" i="18"/>
  <c r="C175" i="18"/>
  <c r="D175" i="18"/>
  <c r="E175" i="18"/>
  <c r="F175" i="18"/>
  <c r="C176" i="18"/>
  <c r="D176" i="18"/>
  <c r="E176" i="18"/>
  <c r="F176" i="18"/>
  <c r="H176" i="18"/>
  <c r="I176" i="18"/>
  <c r="J176" i="18"/>
  <c r="K176" i="18"/>
  <c r="L176" i="18"/>
  <c r="M176" i="18"/>
  <c r="N176" i="18"/>
  <c r="O176" i="18"/>
  <c r="P176" i="18"/>
  <c r="G176" i="18"/>
  <c r="H175" i="18"/>
  <c r="I175" i="18"/>
  <c r="J175" i="18"/>
  <c r="K175" i="18"/>
  <c r="L175" i="18"/>
  <c r="M175" i="18"/>
  <c r="N175" i="18"/>
  <c r="O175" i="18"/>
  <c r="P175" i="18"/>
  <c r="G175" i="18"/>
  <c r="H174" i="18"/>
  <c r="I174" i="18"/>
  <c r="J174" i="18"/>
  <c r="K174" i="18"/>
  <c r="L174" i="18"/>
  <c r="M174" i="18"/>
  <c r="N174" i="18"/>
  <c r="O174" i="18"/>
  <c r="P174" i="18"/>
  <c r="G174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1" i="18" s="1"/>
  <c r="H44" i="18"/>
  <c r="H155" i="18" s="1"/>
  <c r="I44" i="18"/>
  <c r="I155" i="18" s="1"/>
  <c r="J44" i="18"/>
  <c r="J155" i="18" s="1"/>
  <c r="K44" i="18"/>
  <c r="K155" i="18" s="1"/>
  <c r="L44" i="18"/>
  <c r="L155" i="18" s="1"/>
  <c r="M44" i="18"/>
  <c r="M155" i="18" s="1"/>
  <c r="N44" i="18"/>
  <c r="N155" i="18" s="1"/>
  <c r="O44" i="18"/>
  <c r="O155" i="18" s="1"/>
  <c r="P44" i="18"/>
  <c r="P155" i="18" s="1"/>
  <c r="C44" i="18"/>
  <c r="C155" i="18" s="1"/>
  <c r="D44" i="18"/>
  <c r="D155" i="18" s="1"/>
  <c r="E44" i="18"/>
  <c r="E155" i="18" s="1"/>
  <c r="F44" i="18"/>
  <c r="F155" i="18" s="1"/>
  <c r="G44" i="18"/>
  <c r="G155" i="18" s="1"/>
  <c r="M28" i="18"/>
  <c r="L28" i="18"/>
  <c r="K28" i="18"/>
  <c r="J28" i="18"/>
  <c r="I28" i="18"/>
  <c r="H28" i="18"/>
  <c r="M26" i="18"/>
  <c r="L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5" i="18" s="1"/>
  <c r="Q36" i="18"/>
  <c r="Q155" i="18" l="1"/>
  <c r="Z29" i="18"/>
  <c r="Z41" i="18"/>
  <c r="Y62" i="18"/>
  <c r="T36" i="18"/>
  <c r="T85" i="18" s="1"/>
  <c r="Q176" i="18"/>
  <c r="Q45" i="18"/>
  <c r="Q44" i="18"/>
  <c r="Q175" i="18"/>
  <c r="Q174" i="18"/>
  <c r="Q31" i="18"/>
  <c r="Q34" i="18"/>
  <c r="AA29" i="18" l="1"/>
  <c r="AA41" i="18"/>
  <c r="Z62" i="18"/>
  <c r="U36" i="18"/>
  <c r="U85" i="18" s="1"/>
  <c r="I69" i="18"/>
  <c r="J69" i="18"/>
  <c r="K69" i="18"/>
  <c r="L69" i="18"/>
  <c r="M69" i="18"/>
  <c r="N69" i="18"/>
  <c r="O69" i="18"/>
  <c r="P69" i="18"/>
  <c r="I70" i="18"/>
  <c r="J70" i="18"/>
  <c r="K70" i="18"/>
  <c r="L70" i="18"/>
  <c r="M70" i="18"/>
  <c r="N70" i="18"/>
  <c r="O70" i="18"/>
  <c r="P70" i="18"/>
  <c r="I64" i="18"/>
  <c r="I66" i="18" s="1"/>
  <c r="J64" i="18"/>
  <c r="J66" i="18" s="1"/>
  <c r="K64" i="18"/>
  <c r="K66" i="18" s="1"/>
  <c r="L64" i="18"/>
  <c r="L66" i="18" s="1"/>
  <c r="M64" i="18"/>
  <c r="M66" i="18" s="1"/>
  <c r="N64" i="18"/>
  <c r="N66" i="18" s="1"/>
  <c r="O64" i="18"/>
  <c r="O66" i="18" s="1"/>
  <c r="P64" i="18"/>
  <c r="P66" i="18" s="1"/>
  <c r="I67" i="18"/>
  <c r="J67" i="18"/>
  <c r="K67" i="18"/>
  <c r="L67" i="18"/>
  <c r="M67" i="18"/>
  <c r="N67" i="18"/>
  <c r="O67" i="18"/>
  <c r="P67" i="18"/>
  <c r="I68" i="18"/>
  <c r="J68" i="18"/>
  <c r="K68" i="18"/>
  <c r="L68" i="18"/>
  <c r="M68" i="18"/>
  <c r="N68" i="18"/>
  <c r="O68" i="18"/>
  <c r="P68" i="18"/>
  <c r="C67" i="18"/>
  <c r="D67" i="18"/>
  <c r="E67" i="18"/>
  <c r="F67" i="18"/>
  <c r="G67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H70" i="18"/>
  <c r="H69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4" i="18"/>
  <c r="C66" i="18" s="1"/>
  <c r="D64" i="18"/>
  <c r="D66" i="18" s="1"/>
  <c r="E64" i="18"/>
  <c r="E66" i="18" s="1"/>
  <c r="F64" i="18"/>
  <c r="F66" i="18" s="1"/>
  <c r="G64" i="18"/>
  <c r="G66" i="18" s="1"/>
  <c r="H64" i="18"/>
  <c r="H66" i="18" s="1"/>
  <c r="H68" i="18"/>
  <c r="H67" i="18"/>
  <c r="T23" i="18" l="1"/>
  <c r="S88" i="18"/>
  <c r="AB29" i="18"/>
  <c r="AE31" i="18"/>
  <c r="AC31" i="18"/>
  <c r="AC22" i="18"/>
  <c r="AE22" i="18"/>
  <c r="AB41" i="18"/>
  <c r="AE41" i="18" s="1"/>
  <c r="AA62" i="18"/>
  <c r="V36" i="18"/>
  <c r="V85" i="18" s="1"/>
  <c r="Q69" i="18"/>
  <c r="Q70" i="18"/>
  <c r="Q68" i="18"/>
  <c r="Q66" i="18"/>
  <c r="Q67" i="18"/>
  <c r="Q22" i="18"/>
  <c r="Q21" i="18"/>
  <c r="Q64" i="18"/>
  <c r="S20" i="18"/>
  <c r="T21" i="18"/>
  <c r="Q62" i="18"/>
  <c r="Q154" i="18"/>
  <c r="U23" i="18" l="1"/>
  <c r="T88" i="18"/>
  <c r="AE29" i="18"/>
  <c r="AC29" i="18"/>
  <c r="T20" i="18"/>
  <c r="T64" i="18" s="1"/>
  <c r="S64" i="18"/>
  <c r="AB62" i="18"/>
  <c r="AC41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0" i="18"/>
  <c r="Q7" i="18"/>
  <c r="Q6" i="18"/>
  <c r="S18" i="18"/>
  <c r="S25" i="18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5" i="18" s="1"/>
  <c r="O60" i="18"/>
  <c r="O159" i="18" s="1"/>
  <c r="O59" i="18"/>
  <c r="O57" i="18"/>
  <c r="O56" i="18"/>
  <c r="O54" i="18"/>
  <c r="O160" i="18" s="1"/>
  <c r="O53" i="18"/>
  <c r="O52" i="18"/>
  <c r="O50" i="18"/>
  <c r="O49" i="18"/>
  <c r="O157" i="18" s="1"/>
  <c r="O48" i="18"/>
  <c r="O47" i="18"/>
  <c r="S111" i="18" l="1"/>
  <c r="S121" i="18"/>
  <c r="S110" i="18"/>
  <c r="S82" i="18"/>
  <c r="S120" i="18"/>
  <c r="V23" i="18"/>
  <c r="U88" i="18"/>
  <c r="S104" i="18"/>
  <c r="S105" i="18"/>
  <c r="S103" i="18"/>
  <c r="S93" i="18"/>
  <c r="P98" i="18"/>
  <c r="Q98" i="18" s="1"/>
  <c r="Q97" i="18"/>
  <c r="S84" i="18"/>
  <c r="S101" i="18"/>
  <c r="S100" i="18"/>
  <c r="T18" i="18"/>
  <c r="S142" i="18"/>
  <c r="AE62" i="18"/>
  <c r="O156" i="18"/>
  <c r="O161" i="18"/>
  <c r="U20" i="18"/>
  <c r="AC62" i="18"/>
  <c r="T27" i="18"/>
  <c r="X36" i="18"/>
  <c r="X85" i="18" s="1"/>
  <c r="T25" i="18"/>
  <c r="S78" i="18"/>
  <c r="V21" i="18"/>
  <c r="AC33" i="18"/>
  <c r="AC34" i="18"/>
  <c r="AC9" i="18"/>
  <c r="O58" i="18"/>
  <c r="O158" i="18" s="1"/>
  <c r="D54" i="18"/>
  <c r="E54" i="18"/>
  <c r="F54" i="18"/>
  <c r="G54" i="18"/>
  <c r="G160" i="18" s="1"/>
  <c r="H54" i="18"/>
  <c r="H160" i="18" s="1"/>
  <c r="I54" i="18"/>
  <c r="I160" i="18" s="1"/>
  <c r="J54" i="18"/>
  <c r="J160" i="18" s="1"/>
  <c r="K54" i="18"/>
  <c r="K160" i="18" s="1"/>
  <c r="L54" i="18"/>
  <c r="L160" i="18" s="1"/>
  <c r="M54" i="18"/>
  <c r="M160" i="18" s="1"/>
  <c r="N54" i="18"/>
  <c r="N160" i="18" s="1"/>
  <c r="P54" i="18"/>
  <c r="C54" i="18"/>
  <c r="C53" i="18"/>
  <c r="T111" i="18" l="1"/>
  <c r="T121" i="18"/>
  <c r="T110" i="18"/>
  <c r="T82" i="18"/>
  <c r="T120" i="18"/>
  <c r="W23" i="18"/>
  <c r="V88" i="18"/>
  <c r="T142" i="18"/>
  <c r="R142" i="18" s="1"/>
  <c r="P166" i="18" s="1"/>
  <c r="T103" i="18"/>
  <c r="T105" i="18"/>
  <c r="T104" i="18"/>
  <c r="T93" i="18"/>
  <c r="T84" i="18"/>
  <c r="T101" i="18"/>
  <c r="T100" i="18"/>
  <c r="U18" i="18"/>
  <c r="V20" i="18"/>
  <c r="U64" i="18"/>
  <c r="U27" i="18"/>
  <c r="U25" i="18"/>
  <c r="T78" i="18"/>
  <c r="Y36" i="18"/>
  <c r="Y85" i="18" s="1"/>
  <c r="W21" i="18"/>
  <c r="P160" i="18"/>
  <c r="Q160" i="18" s="1"/>
  <c r="Q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D52" i="18"/>
  <c r="E52" i="18"/>
  <c r="F52" i="18"/>
  <c r="G52" i="18"/>
  <c r="H52" i="18"/>
  <c r="I52" i="18"/>
  <c r="J52" i="18"/>
  <c r="K52" i="18"/>
  <c r="L52" i="18"/>
  <c r="M52" i="18"/>
  <c r="N52" i="18"/>
  <c r="P52" i="18"/>
  <c r="C52" i="18"/>
  <c r="U111" i="18" l="1"/>
  <c r="U121" i="18"/>
  <c r="U110" i="18"/>
  <c r="U82" i="18"/>
  <c r="U120" i="18"/>
  <c r="X23" i="18"/>
  <c r="W88" i="18"/>
  <c r="U105" i="18"/>
  <c r="U104" i="18"/>
  <c r="U103" i="18"/>
  <c r="U93" i="18"/>
  <c r="U84" i="18"/>
  <c r="U101" i="18"/>
  <c r="U100" i="18"/>
  <c r="V18" i="18"/>
  <c r="W20" i="18"/>
  <c r="V64" i="18"/>
  <c r="V27" i="18"/>
  <c r="V25" i="18"/>
  <c r="U78" i="18"/>
  <c r="Z36" i="18"/>
  <c r="Z85" i="18" s="1"/>
  <c r="X21" i="18"/>
  <c r="Q52" i="18"/>
  <c r="Q53" i="18"/>
  <c r="C46" i="15"/>
  <c r="V111" i="18" l="1"/>
  <c r="V121" i="18"/>
  <c r="V110" i="18"/>
  <c r="V82" i="18"/>
  <c r="V120" i="18"/>
  <c r="Y23" i="18"/>
  <c r="X88" i="18"/>
  <c r="V93" i="18"/>
  <c r="V105" i="18"/>
  <c r="V104" i="18"/>
  <c r="V103" i="18"/>
  <c r="V84" i="18"/>
  <c r="V101" i="18"/>
  <c r="V100" i="18"/>
  <c r="W18" i="18"/>
  <c r="X20" i="18"/>
  <c r="W64" i="18"/>
  <c r="W27" i="18"/>
  <c r="W25" i="18"/>
  <c r="V78" i="18"/>
  <c r="AA36" i="18"/>
  <c r="AA85" i="18" s="1"/>
  <c r="Y21" i="18"/>
  <c r="S154" i="18"/>
  <c r="C47" i="18"/>
  <c r="D47" i="18"/>
  <c r="E47" i="18"/>
  <c r="F47" i="18"/>
  <c r="H47" i="18"/>
  <c r="I47" i="18"/>
  <c r="J47" i="18"/>
  <c r="K47" i="18"/>
  <c r="L47" i="18"/>
  <c r="L161" i="18" s="1"/>
  <c r="M47" i="18"/>
  <c r="N47" i="18"/>
  <c r="N161" i="18" s="1"/>
  <c r="P47" i="18"/>
  <c r="D60" i="18"/>
  <c r="D159" i="18" s="1"/>
  <c r="E60" i="18"/>
  <c r="E159" i="18" s="1"/>
  <c r="F60" i="18"/>
  <c r="F159" i="18" s="1"/>
  <c r="G60" i="18"/>
  <c r="H60" i="18"/>
  <c r="H159" i="18" s="1"/>
  <c r="I60" i="18"/>
  <c r="I159" i="18" s="1"/>
  <c r="J60" i="18"/>
  <c r="J159" i="18" s="1"/>
  <c r="K60" i="18"/>
  <c r="K159" i="18" s="1"/>
  <c r="L60" i="18"/>
  <c r="L159" i="18" s="1"/>
  <c r="M60" i="18"/>
  <c r="M159" i="18" s="1"/>
  <c r="N60" i="18"/>
  <c r="P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7" i="18"/>
  <c r="E57" i="18"/>
  <c r="F57" i="18"/>
  <c r="G57" i="18"/>
  <c r="H57" i="18"/>
  <c r="I57" i="18"/>
  <c r="J57" i="18"/>
  <c r="K57" i="18"/>
  <c r="L57" i="18"/>
  <c r="M57" i="18"/>
  <c r="N57" i="18"/>
  <c r="P57" i="18"/>
  <c r="D56" i="18"/>
  <c r="D58" i="18" s="1"/>
  <c r="D158" i="18" s="1"/>
  <c r="E56" i="18"/>
  <c r="E58" i="18" s="1"/>
  <c r="E158" i="18" s="1"/>
  <c r="F56" i="18"/>
  <c r="G56" i="18"/>
  <c r="H56" i="18"/>
  <c r="I56" i="18"/>
  <c r="J56" i="18"/>
  <c r="K56" i="18"/>
  <c r="L56" i="18"/>
  <c r="M56" i="18"/>
  <c r="N56" i="18"/>
  <c r="P56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D49" i="18"/>
  <c r="D157" i="18" s="1"/>
  <c r="E49" i="18"/>
  <c r="E157" i="18" s="1"/>
  <c r="F49" i="18"/>
  <c r="F157" i="18" s="1"/>
  <c r="G49" i="18"/>
  <c r="H49" i="18"/>
  <c r="H157" i="18" s="1"/>
  <c r="I49" i="18"/>
  <c r="I157" i="18" s="1"/>
  <c r="J49" i="18"/>
  <c r="J157" i="18" s="1"/>
  <c r="K49" i="18"/>
  <c r="K157" i="18" s="1"/>
  <c r="L49" i="18"/>
  <c r="L157" i="18" s="1"/>
  <c r="M49" i="18"/>
  <c r="M157" i="18" s="1"/>
  <c r="N49" i="18"/>
  <c r="P49" i="18"/>
  <c r="C60" i="18"/>
  <c r="C159" i="18" s="1"/>
  <c r="C59" i="18"/>
  <c r="C57" i="18"/>
  <c r="C56" i="18"/>
  <c r="C50" i="18"/>
  <c r="C49" i="18"/>
  <c r="C157" i="18" s="1"/>
  <c r="D48" i="18"/>
  <c r="E48" i="18"/>
  <c r="F48" i="18"/>
  <c r="G48" i="18"/>
  <c r="H48" i="18"/>
  <c r="I48" i="18"/>
  <c r="J48" i="18"/>
  <c r="K48" i="18"/>
  <c r="L48" i="18"/>
  <c r="M48" i="18"/>
  <c r="N48" i="18"/>
  <c r="P48" i="18"/>
  <c r="C48" i="18"/>
  <c r="S15" i="18"/>
  <c r="S108" i="18" s="1"/>
  <c r="S16" i="18"/>
  <c r="S116" i="18" s="1"/>
  <c r="S117" i="18" s="1"/>
  <c r="S38" i="18"/>
  <c r="S86" i="18" s="1"/>
  <c r="S10" i="18"/>
  <c r="S7" i="18"/>
  <c r="S6" i="18"/>
  <c r="W111" i="18" l="1"/>
  <c r="W121" i="18"/>
  <c r="W110" i="18"/>
  <c r="W82" i="18"/>
  <c r="W120" i="18"/>
  <c r="Z23" i="18"/>
  <c r="Y88" i="18"/>
  <c r="S80" i="18"/>
  <c r="S81" i="18"/>
  <c r="S114" i="18"/>
  <c r="S113" i="18"/>
  <c r="S87" i="18"/>
  <c r="S109" i="18"/>
  <c r="H161" i="18"/>
  <c r="H156" i="18"/>
  <c r="W93" i="18"/>
  <c r="W104" i="18"/>
  <c r="W103" i="18"/>
  <c r="W105" i="18"/>
  <c r="S92" i="18"/>
  <c r="S97" i="18"/>
  <c r="S98" i="18" s="1"/>
  <c r="W84" i="18"/>
  <c r="W101" i="18"/>
  <c r="W100" i="18"/>
  <c r="S90" i="18"/>
  <c r="S91" i="18"/>
  <c r="X18" i="18"/>
  <c r="D156" i="18"/>
  <c r="D160" i="18" s="1"/>
  <c r="D161" i="18"/>
  <c r="E156" i="18"/>
  <c r="E160" i="18" s="1"/>
  <c r="E161" i="18"/>
  <c r="C156" i="18"/>
  <c r="C160" i="18" s="1"/>
  <c r="C161" i="18"/>
  <c r="P156" i="18"/>
  <c r="P161" i="18"/>
  <c r="Q161" i="18" s="1"/>
  <c r="K156" i="18"/>
  <c r="K161" i="18"/>
  <c r="F156" i="18"/>
  <c r="F160" i="18" s="1"/>
  <c r="F161" i="18"/>
  <c r="J156" i="18"/>
  <c r="J161" i="18"/>
  <c r="M156" i="18"/>
  <c r="M161" i="18"/>
  <c r="I156" i="18"/>
  <c r="I161" i="18"/>
  <c r="Q124" i="18"/>
  <c r="Y20" i="18"/>
  <c r="X64" i="18"/>
  <c r="H58" i="18"/>
  <c r="H158" i="18" s="1"/>
  <c r="X27" i="18"/>
  <c r="T12" i="18"/>
  <c r="T15" i="18"/>
  <c r="T108" i="18" s="1"/>
  <c r="T13" i="18"/>
  <c r="T10" i="18"/>
  <c r="T16" i="18"/>
  <c r="T116" i="18" s="1"/>
  <c r="T117" i="18" s="1"/>
  <c r="T6" i="18"/>
  <c r="T7" i="18"/>
  <c r="X25" i="18"/>
  <c r="W78" i="18"/>
  <c r="T38" i="18"/>
  <c r="T86" i="18" s="1"/>
  <c r="S79" i="18"/>
  <c r="AB36" i="18"/>
  <c r="F58" i="18"/>
  <c r="F158" i="18" s="1"/>
  <c r="L58" i="18"/>
  <c r="L158" i="18" s="1"/>
  <c r="K58" i="18"/>
  <c r="K158" i="18" s="1"/>
  <c r="J58" i="18"/>
  <c r="J158" i="18" s="1"/>
  <c r="Z21" i="18"/>
  <c r="C58" i="18"/>
  <c r="C158" i="18" s="1"/>
  <c r="T154" i="18"/>
  <c r="I58" i="18"/>
  <c r="I158" i="18" s="1"/>
  <c r="Q48" i="18"/>
  <c r="G157" i="18"/>
  <c r="Q49" i="18"/>
  <c r="Q50" i="18"/>
  <c r="Q57" i="18"/>
  <c r="Q59" i="18"/>
  <c r="G156" i="18"/>
  <c r="Q47" i="18"/>
  <c r="G159" i="18"/>
  <c r="Q60" i="18"/>
  <c r="G58" i="18"/>
  <c r="Q56" i="18"/>
  <c r="N157" i="18"/>
  <c r="N156" i="18"/>
  <c r="N159" i="18"/>
  <c r="P157" i="18"/>
  <c r="L156" i="18"/>
  <c r="N58" i="18"/>
  <c r="M58" i="18"/>
  <c r="M158" i="18" s="1"/>
  <c r="P159" i="18"/>
  <c r="P58" i="18"/>
  <c r="S57" i="18"/>
  <c r="C6" i="12"/>
  <c r="C26" i="15"/>
  <c r="C58" i="15"/>
  <c r="C57" i="15"/>
  <c r="C54" i="15"/>
  <c r="C53" i="15"/>
  <c r="C50" i="15"/>
  <c r="C49" i="15"/>
  <c r="C45" i="15"/>
  <c r="X111" i="18" l="1"/>
  <c r="X121" i="18"/>
  <c r="X110" i="18"/>
  <c r="X82" i="18"/>
  <c r="X120" i="18"/>
  <c r="AE36" i="18"/>
  <c r="AB85" i="18"/>
  <c r="AC85" i="18" s="1"/>
  <c r="AA23" i="18"/>
  <c r="Z88" i="18"/>
  <c r="T114" i="18"/>
  <c r="T113" i="18"/>
  <c r="T87" i="18"/>
  <c r="T109" i="18"/>
  <c r="T81" i="18"/>
  <c r="X103" i="18"/>
  <c r="X104" i="18"/>
  <c r="X105" i="18"/>
  <c r="X93" i="18"/>
  <c r="X84" i="18"/>
  <c r="X101" i="18"/>
  <c r="X100" i="18"/>
  <c r="T90" i="18"/>
  <c r="T91" i="18"/>
  <c r="T92" i="18"/>
  <c r="Y18" i="18"/>
  <c r="Z20" i="18"/>
  <c r="Y64" i="18"/>
  <c r="S56" i="18"/>
  <c r="S73" i="18"/>
  <c r="S52" i="18"/>
  <c r="S54" i="18"/>
  <c r="S160" i="18" s="1"/>
  <c r="S60" i="18"/>
  <c r="S159" i="18" s="1"/>
  <c r="S70" i="18"/>
  <c r="S72" i="18"/>
  <c r="S118" i="18" s="1"/>
  <c r="S45" i="18"/>
  <c r="S44" i="18"/>
  <c r="S155" i="18" s="1"/>
  <c r="S53" i="18"/>
  <c r="S49" i="18"/>
  <c r="S50" i="18"/>
  <c r="S59" i="18"/>
  <c r="S48" i="18"/>
  <c r="S74" i="18"/>
  <c r="S47" i="18"/>
  <c r="Y27" i="18"/>
  <c r="U15" i="18"/>
  <c r="U108" i="18" s="1"/>
  <c r="U13" i="18"/>
  <c r="U12" i="18"/>
  <c r="S58" i="18"/>
  <c r="U16" i="18"/>
  <c r="U116" i="18" s="1"/>
  <c r="U117" i="18" s="1"/>
  <c r="U10" i="18"/>
  <c r="U7" i="18"/>
  <c r="U6" i="18"/>
  <c r="AC36" i="18"/>
  <c r="Y25" i="18"/>
  <c r="X78" i="18"/>
  <c r="U38" i="18"/>
  <c r="U86" i="18" s="1"/>
  <c r="T80" i="18"/>
  <c r="T79" i="18"/>
  <c r="T40" i="18"/>
  <c r="T95" i="18" s="1"/>
  <c r="T96" i="18" s="1"/>
  <c r="T97" i="18" s="1"/>
  <c r="T98" i="18" s="1"/>
  <c r="S67" i="18"/>
  <c r="S68" i="18"/>
  <c r="S69" i="18"/>
  <c r="S66" i="18"/>
  <c r="AA21" i="18"/>
  <c r="U154" i="18"/>
  <c r="Q157" i="18"/>
  <c r="Q156" i="18"/>
  <c r="Q159" i="18"/>
  <c r="G158" i="18"/>
  <c r="Q58" i="18"/>
  <c r="N158" i="18"/>
  <c r="P158" i="18"/>
  <c r="C16" i="15"/>
  <c r="C10" i="15"/>
  <c r="Y111" i="18" l="1"/>
  <c r="Y121" i="18"/>
  <c r="Y110" i="18"/>
  <c r="Y82" i="18"/>
  <c r="Y120" i="18"/>
  <c r="AB23" i="18"/>
  <c r="AA88" i="18"/>
  <c r="U87" i="18"/>
  <c r="U109" i="18"/>
  <c r="U114" i="18"/>
  <c r="U113" i="18"/>
  <c r="U81" i="18"/>
  <c r="Y105" i="18"/>
  <c r="Y104" i="18"/>
  <c r="Y103" i="18"/>
  <c r="Y93" i="18"/>
  <c r="T56" i="18"/>
  <c r="Y84" i="18"/>
  <c r="Y101" i="18"/>
  <c r="Y100" i="18"/>
  <c r="U90" i="18"/>
  <c r="U91" i="18"/>
  <c r="U92" i="18"/>
  <c r="T52" i="18"/>
  <c r="Z18" i="18"/>
  <c r="AA20" i="18"/>
  <c r="Z64" i="18"/>
  <c r="T54" i="18"/>
  <c r="T160" i="18" s="1"/>
  <c r="T60" i="18"/>
  <c r="T159" i="18" s="1"/>
  <c r="T70" i="18"/>
  <c r="T72" i="18"/>
  <c r="T118" i="18" s="1"/>
  <c r="T44" i="18"/>
  <c r="T155" i="18" s="1"/>
  <c r="T45" i="18"/>
  <c r="T49" i="18"/>
  <c r="T48" i="18"/>
  <c r="T59" i="18"/>
  <c r="T74" i="18"/>
  <c r="T53" i="18"/>
  <c r="T50" i="18"/>
  <c r="T47" i="18"/>
  <c r="T57" i="18"/>
  <c r="T73" i="18"/>
  <c r="Z27" i="18"/>
  <c r="V13" i="18"/>
  <c r="V12" i="18"/>
  <c r="V15" i="18"/>
  <c r="V108" i="18" s="1"/>
  <c r="V10" i="18"/>
  <c r="V16" i="18"/>
  <c r="V116" i="18" s="1"/>
  <c r="V117" i="18" s="1"/>
  <c r="V6" i="18"/>
  <c r="V7" i="18"/>
  <c r="V38" i="18"/>
  <c r="V86" i="18" s="1"/>
  <c r="U80" i="18"/>
  <c r="U79" i="18"/>
  <c r="Z25" i="18"/>
  <c r="Y78" i="18"/>
  <c r="U40" i="18"/>
  <c r="U95" i="18" s="1"/>
  <c r="U96" i="18" s="1"/>
  <c r="U97" i="18" s="1"/>
  <c r="U98" i="18" s="1"/>
  <c r="T69" i="18"/>
  <c r="T68" i="18"/>
  <c r="T67" i="18"/>
  <c r="T66" i="18"/>
  <c r="AB21" i="18"/>
  <c r="AE21" i="18" s="1"/>
  <c r="S158" i="18"/>
  <c r="V154" i="18"/>
  <c r="S156" i="18"/>
  <c r="S157" i="18"/>
  <c r="Q158" i="18"/>
  <c r="D31" i="8"/>
  <c r="D29" i="8"/>
  <c r="D28" i="8"/>
  <c r="D13" i="8"/>
  <c r="D30" i="8" s="1"/>
  <c r="E14" i="8"/>
  <c r="F14" i="8" s="1"/>
  <c r="G14" i="8" s="1"/>
  <c r="H14" i="8" s="1"/>
  <c r="I14" i="8" s="1"/>
  <c r="Z111" i="18" l="1"/>
  <c r="Z121" i="18"/>
  <c r="Z110" i="18"/>
  <c r="Z82" i="18"/>
  <c r="Z120" i="18"/>
  <c r="AE23" i="18"/>
  <c r="AB88" i="18"/>
  <c r="AC88" i="18" s="1"/>
  <c r="AC23" i="18"/>
  <c r="V81" i="18"/>
  <c r="V113" i="18"/>
  <c r="V114" i="18"/>
  <c r="V87" i="18"/>
  <c r="V109" i="18"/>
  <c r="Z105" i="18"/>
  <c r="Z104" i="18"/>
  <c r="Z103" i="18"/>
  <c r="Z93" i="18"/>
  <c r="U56" i="18"/>
  <c r="T58" i="18"/>
  <c r="T158" i="18" s="1"/>
  <c r="Z84" i="18"/>
  <c r="Z101" i="18"/>
  <c r="Z100" i="18"/>
  <c r="V90" i="18"/>
  <c r="V92" i="18"/>
  <c r="V91" i="18"/>
  <c r="AA18" i="18"/>
  <c r="AB20" i="18"/>
  <c r="AE20" i="18" s="1"/>
  <c r="AA64" i="18"/>
  <c r="U74" i="18"/>
  <c r="U73" i="18"/>
  <c r="U52" i="18"/>
  <c r="U60" i="18"/>
  <c r="U159" i="18" s="1"/>
  <c r="U59" i="18"/>
  <c r="U54" i="18"/>
  <c r="U160" i="18" s="1"/>
  <c r="U57" i="18"/>
  <c r="U48" i="18"/>
  <c r="U70" i="18"/>
  <c r="U72" i="18"/>
  <c r="U118" i="18" s="1"/>
  <c r="U45" i="18"/>
  <c r="U44" i="18"/>
  <c r="U155" i="18" s="1"/>
  <c r="U53" i="18"/>
  <c r="U49" i="18"/>
  <c r="U50" i="18"/>
  <c r="U47" i="18"/>
  <c r="AA27" i="18"/>
  <c r="W12" i="18"/>
  <c r="W15" i="18"/>
  <c r="W108" i="18" s="1"/>
  <c r="W13" i="18"/>
  <c r="W16" i="18"/>
  <c r="W116" i="18" s="1"/>
  <c r="W117" i="18" s="1"/>
  <c r="W10" i="18"/>
  <c r="W7" i="18"/>
  <c r="W6" i="18"/>
  <c r="AA25" i="18"/>
  <c r="Z78" i="18"/>
  <c r="W38" i="18"/>
  <c r="W86" i="18" s="1"/>
  <c r="V79" i="18"/>
  <c r="V80" i="18"/>
  <c r="V40" i="18"/>
  <c r="V95" i="18" s="1"/>
  <c r="V96" i="18" s="1"/>
  <c r="V97" i="18" s="1"/>
  <c r="V98" i="18" s="1"/>
  <c r="U69" i="18"/>
  <c r="U67" i="18"/>
  <c r="U68" i="18"/>
  <c r="U66" i="18"/>
  <c r="AC21" i="18"/>
  <c r="W154" i="18"/>
  <c r="T156" i="18"/>
  <c r="T157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A111" i="18" l="1"/>
  <c r="AA121" i="18"/>
  <c r="AA110" i="18"/>
  <c r="AA82" i="18"/>
  <c r="AA120" i="18"/>
  <c r="W114" i="18"/>
  <c r="W113" i="18"/>
  <c r="W87" i="18"/>
  <c r="W109" i="18"/>
  <c r="W81" i="18"/>
  <c r="AA104" i="18"/>
  <c r="AA103" i="18"/>
  <c r="AA105" i="18"/>
  <c r="AA93" i="18"/>
  <c r="U58" i="18"/>
  <c r="U158" i="18" s="1"/>
  <c r="AA84" i="18"/>
  <c r="AA101" i="18"/>
  <c r="AA100" i="18"/>
  <c r="V59" i="18"/>
  <c r="W90" i="18"/>
  <c r="W92" i="18"/>
  <c r="W91" i="18"/>
  <c r="AB18" i="18"/>
  <c r="V74" i="18"/>
  <c r="V50" i="18"/>
  <c r="V57" i="18"/>
  <c r="AC20" i="18"/>
  <c r="AB64" i="18"/>
  <c r="V48" i="18"/>
  <c r="V56" i="18"/>
  <c r="V53" i="18"/>
  <c r="V73" i="18"/>
  <c r="V49" i="18"/>
  <c r="V54" i="18"/>
  <c r="V160" i="18" s="1"/>
  <c r="V70" i="18"/>
  <c r="V72" i="18"/>
  <c r="V118" i="18" s="1"/>
  <c r="V44" i="18"/>
  <c r="V155" i="18" s="1"/>
  <c r="V45" i="18"/>
  <c r="V52" i="18"/>
  <c r="V60" i="18"/>
  <c r="V159" i="18" s="1"/>
  <c r="V47" i="18"/>
  <c r="AB27" i="18"/>
  <c r="AB121" i="18" s="1"/>
  <c r="AC121" i="18" s="1"/>
  <c r="X15" i="18"/>
  <c r="X108" i="18" s="1"/>
  <c r="X13" i="18"/>
  <c r="X12" i="18"/>
  <c r="X10" i="18"/>
  <c r="X16" i="18"/>
  <c r="X116" i="18" s="1"/>
  <c r="X117" i="18" s="1"/>
  <c r="X6" i="18"/>
  <c r="X7" i="18"/>
  <c r="X38" i="18"/>
  <c r="X86" i="18" s="1"/>
  <c r="W80" i="18"/>
  <c r="W79" i="18"/>
  <c r="AB25" i="18"/>
  <c r="AA78" i="18"/>
  <c r="W40" i="18"/>
  <c r="W95" i="18" s="1"/>
  <c r="W96" i="18" s="1"/>
  <c r="W97" i="18" s="1"/>
  <c r="W98" i="18" s="1"/>
  <c r="V69" i="18"/>
  <c r="V67" i="18"/>
  <c r="V68" i="18"/>
  <c r="V66" i="18"/>
  <c r="X154" i="18"/>
  <c r="U156" i="18"/>
  <c r="U157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B110" i="18" l="1"/>
  <c r="AC110" i="18" s="1"/>
  <c r="AB82" i="18"/>
  <c r="AC82" i="18" s="1"/>
  <c r="AB120" i="18"/>
  <c r="AC120" i="18" s="1"/>
  <c r="X87" i="18"/>
  <c r="X109" i="18"/>
  <c r="X114" i="18"/>
  <c r="X113" i="18"/>
  <c r="AE27" i="18"/>
  <c r="AB111" i="18"/>
  <c r="AC111" i="18" s="1"/>
  <c r="X81" i="18"/>
  <c r="AB103" i="18"/>
  <c r="AC103" i="18" s="1"/>
  <c r="AB105" i="18"/>
  <c r="AC105" i="18" s="1"/>
  <c r="AB104" i="18"/>
  <c r="AC10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3" i="18"/>
  <c r="AC93" i="18" s="1"/>
  <c r="V58" i="18"/>
  <c r="V158" i="18" s="1"/>
  <c r="W57" i="18"/>
  <c r="AB84" i="18"/>
  <c r="AC84" i="18" s="1"/>
  <c r="AB101" i="18"/>
  <c r="AC101" i="18" s="1"/>
  <c r="AB100" i="18"/>
  <c r="AC100" i="18" s="1"/>
  <c r="X90" i="18"/>
  <c r="X92" i="18"/>
  <c r="X91" i="18"/>
  <c r="AE25" i="18"/>
  <c r="AE18" i="18"/>
  <c r="AC18" i="18"/>
  <c r="S144" i="18"/>
  <c r="AE64" i="18"/>
  <c r="AC6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0" i="18"/>
  <c r="W159" i="18" s="1"/>
  <c r="W59" i="18"/>
  <c r="W54" i="18"/>
  <c r="W160" i="18" s="1"/>
  <c r="W56" i="18"/>
  <c r="W53" i="18"/>
  <c r="W73" i="18"/>
  <c r="W52" i="18"/>
  <c r="W74" i="18"/>
  <c r="W70" i="18"/>
  <c r="W72" i="18"/>
  <c r="W118" i="18" s="1"/>
  <c r="W45" i="18"/>
  <c r="W44" i="18"/>
  <c r="W155" i="18" s="1"/>
  <c r="W48" i="18"/>
  <c r="W49" i="18"/>
  <c r="W50" i="18"/>
  <c r="W47" i="18"/>
  <c r="AC27" i="18"/>
  <c r="Y12" i="18"/>
  <c r="Y15" i="18"/>
  <c r="Y108" i="18" s="1"/>
  <c r="Y13" i="18"/>
  <c r="Y10" i="18"/>
  <c r="Y16" i="18"/>
  <c r="Y116" i="18" s="1"/>
  <c r="Y117" i="18" s="1"/>
  <c r="Y7" i="18"/>
  <c r="Y6" i="18"/>
  <c r="AC25" i="18"/>
  <c r="AB78" i="18"/>
  <c r="AC78" i="18" s="1"/>
  <c r="Y38" i="18"/>
  <c r="Y86" i="18" s="1"/>
  <c r="X80" i="18"/>
  <c r="X79" i="18"/>
  <c r="O31" i="9"/>
  <c r="O32" i="9" s="1"/>
  <c r="X40" i="18"/>
  <c r="X95" i="18" s="1"/>
  <c r="X96" i="18" s="1"/>
  <c r="X97" i="18" s="1"/>
  <c r="X98" i="18" s="1"/>
  <c r="W69" i="18"/>
  <c r="W67" i="18"/>
  <c r="W68" i="18"/>
  <c r="W66" i="18"/>
  <c r="Y154" i="18"/>
  <c r="V156" i="18"/>
  <c r="V157" i="18"/>
  <c r="P31" i="11"/>
  <c r="N32" i="11"/>
  <c r="T19" i="9"/>
  <c r="D22" i="9"/>
  <c r="Y114" i="18" l="1"/>
  <c r="Y113" i="18"/>
  <c r="Y87" i="18"/>
  <c r="Y109" i="18"/>
  <c r="Y81" i="18"/>
  <c r="W58" i="18"/>
  <c r="W158" i="18" s="1"/>
  <c r="X50" i="18"/>
  <c r="Y90" i="18"/>
  <c r="Y91" i="18"/>
  <c r="Y92" i="18"/>
  <c r="T144" i="18"/>
  <c r="R144" i="18" s="1"/>
  <c r="X52" i="18"/>
  <c r="X59" i="18"/>
  <c r="X47" i="18"/>
  <c r="X54" i="18"/>
  <c r="X160" i="18" s="1"/>
  <c r="X49" i="18"/>
  <c r="X48" i="18"/>
  <c r="X70" i="18"/>
  <c r="X72" i="18"/>
  <c r="X118" i="18" s="1"/>
  <c r="X45" i="18"/>
  <c r="X44" i="18"/>
  <c r="X155" i="18" s="1"/>
  <c r="X74" i="18"/>
  <c r="X53" i="18"/>
  <c r="X60" i="18"/>
  <c r="X159" i="18" s="1"/>
  <c r="X57" i="18"/>
  <c r="X56" i="18"/>
  <c r="X73" i="18"/>
  <c r="Z13" i="18"/>
  <c r="Z12" i="18"/>
  <c r="Z15" i="18"/>
  <c r="Z108" i="18" s="1"/>
  <c r="Z10" i="18"/>
  <c r="Z16" i="18"/>
  <c r="Z116" i="18" s="1"/>
  <c r="Z117" i="18" s="1"/>
  <c r="Z6" i="18"/>
  <c r="Z7" i="18"/>
  <c r="Z38" i="18"/>
  <c r="Z86" i="18" s="1"/>
  <c r="Y80" i="18"/>
  <c r="Y79" i="18"/>
  <c r="Y40" i="18"/>
  <c r="Y95" i="18" s="1"/>
  <c r="Y96" i="18" s="1"/>
  <c r="Y97" i="18" s="1"/>
  <c r="Y98" i="18" s="1"/>
  <c r="X69" i="18"/>
  <c r="X67" i="18"/>
  <c r="X68" i="18"/>
  <c r="X66" i="18"/>
  <c r="Z154" i="18"/>
  <c r="W156" i="18"/>
  <c r="W157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87" i="18" l="1"/>
  <c r="Z109" i="18"/>
  <c r="Z113" i="18"/>
  <c r="Z114" i="18"/>
  <c r="Z81" i="18"/>
  <c r="Z90" i="18"/>
  <c r="Z91" i="18"/>
  <c r="Z92" i="18"/>
  <c r="X58" i="18"/>
  <c r="X158" i="18" s="1"/>
  <c r="Y70" i="18"/>
  <c r="Y72" i="18"/>
  <c r="Y118" i="18" s="1"/>
  <c r="Y44" i="18"/>
  <c r="Y155" i="18" s="1"/>
  <c r="Y45" i="18"/>
  <c r="Y54" i="18"/>
  <c r="Y160" i="18" s="1"/>
  <c r="Y60" i="18"/>
  <c r="Y159" i="18" s="1"/>
  <c r="Y59" i="18"/>
  <c r="Y57" i="18"/>
  <c r="Y48" i="18"/>
  <c r="Y47" i="18"/>
  <c r="Y53" i="18"/>
  <c r="Y49" i="18"/>
  <c r="Y50" i="18"/>
  <c r="Y56" i="18"/>
  <c r="Y73" i="18"/>
  <c r="Y52" i="18"/>
  <c r="Y74" i="18"/>
  <c r="AA12" i="18"/>
  <c r="AA15" i="18"/>
  <c r="AA108" i="18" s="1"/>
  <c r="AA13" i="18"/>
  <c r="AA10" i="18"/>
  <c r="AA16" i="18"/>
  <c r="AA116" i="18" s="1"/>
  <c r="AA117" i="18" s="1"/>
  <c r="AA7" i="18"/>
  <c r="AA6" i="18"/>
  <c r="AA38" i="18"/>
  <c r="AA86" i="18" s="1"/>
  <c r="Z79" i="18"/>
  <c r="Z80" i="18"/>
  <c r="Z40" i="18"/>
  <c r="Z95" i="18" s="1"/>
  <c r="Z96" i="18" s="1"/>
  <c r="Z97" i="18" s="1"/>
  <c r="Z98" i="18" s="1"/>
  <c r="Y69" i="18"/>
  <c r="Y67" i="18"/>
  <c r="Y68" i="18"/>
  <c r="Y66" i="18"/>
  <c r="AA154" i="18"/>
  <c r="X156" i="18"/>
  <c r="X157" i="18"/>
  <c r="N34" i="11"/>
  <c r="O33" i="11"/>
  <c r="D25" i="8"/>
  <c r="D23" i="8"/>
  <c r="AA81" i="18" l="1"/>
  <c r="AA113" i="18"/>
  <c r="AA114" i="18"/>
  <c r="AA87" i="18"/>
  <c r="AA109" i="18"/>
  <c r="AA90" i="18"/>
  <c r="AA91" i="18"/>
  <c r="AA92" i="18"/>
  <c r="Y58" i="18"/>
  <c r="Y158" i="18" s="1"/>
  <c r="Z70" i="18"/>
  <c r="Z72" i="18"/>
  <c r="Z118" i="18" s="1"/>
  <c r="Z45" i="18"/>
  <c r="Z44" i="18"/>
  <c r="Z155" i="18" s="1"/>
  <c r="Z48" i="18"/>
  <c r="Z59" i="18"/>
  <c r="Z49" i="18"/>
  <c r="Z54" i="18"/>
  <c r="Z160" i="18" s="1"/>
  <c r="Z57" i="18"/>
  <c r="Z56" i="18"/>
  <c r="Z74" i="18"/>
  <c r="Z60" i="18"/>
  <c r="Z159" i="18" s="1"/>
  <c r="Z47" i="18"/>
  <c r="Z53" i="18"/>
  <c r="Z73" i="18"/>
  <c r="Z52" i="18"/>
  <c r="Z50" i="18"/>
  <c r="AB15" i="18"/>
  <c r="AB13" i="18"/>
  <c r="AE13" i="18" s="1"/>
  <c r="AB12" i="18"/>
  <c r="AB109" i="18" s="1"/>
  <c r="AC109" i="18" s="1"/>
  <c r="AB10" i="18"/>
  <c r="AB16" i="18"/>
  <c r="AB6" i="18"/>
  <c r="AE6" i="18" s="1"/>
  <c r="AB7" i="18"/>
  <c r="AE7" i="18" s="1"/>
  <c r="AB38" i="18"/>
  <c r="AB86" i="18" s="1"/>
  <c r="AC86" i="18" s="1"/>
  <c r="AA80" i="18"/>
  <c r="AA79" i="18"/>
  <c r="AA40" i="18"/>
  <c r="AA95" i="18" s="1"/>
  <c r="AA96" i="18" s="1"/>
  <c r="AA97" i="18" s="1"/>
  <c r="AA98" i="18" s="1"/>
  <c r="Z69" i="18"/>
  <c r="Z67" i="18"/>
  <c r="Z68" i="18"/>
  <c r="Z66" i="18"/>
  <c r="AB154" i="18"/>
  <c r="Y156" i="18"/>
  <c r="Y157" i="18"/>
  <c r="N35" i="11"/>
  <c r="O34" i="11"/>
  <c r="D35" i="8"/>
  <c r="E5" i="8"/>
  <c r="E18" i="8" s="1"/>
  <c r="D18" i="8"/>
  <c r="D19" i="8"/>
  <c r="D21" i="8"/>
  <c r="D20" i="8"/>
  <c r="AE16" i="18" l="1"/>
  <c r="AB116" i="18"/>
  <c r="AB114" i="18"/>
  <c r="AC114" i="18" s="1"/>
  <c r="AB113" i="18"/>
  <c r="AC113" i="18" s="1"/>
  <c r="AE15" i="18"/>
  <c r="AB108" i="18"/>
  <c r="AC108" i="18" s="1"/>
  <c r="AB81" i="18"/>
  <c r="AC81" i="18" s="1"/>
  <c r="AE10" i="18"/>
  <c r="AB90" i="18"/>
  <c r="AC90" i="18" s="1"/>
  <c r="AE12" i="18"/>
  <c r="AB87" i="18"/>
  <c r="AC87" i="18" s="1"/>
  <c r="AE38" i="18"/>
  <c r="AB91" i="18"/>
  <c r="AC91" i="18" s="1"/>
  <c r="AB92" i="18"/>
  <c r="AC92" i="18" s="1"/>
  <c r="Z58" i="18"/>
  <c r="Z158" i="18" s="1"/>
  <c r="AA70" i="18"/>
  <c r="AA72" i="18"/>
  <c r="AA118" i="18" s="1"/>
  <c r="AA44" i="18"/>
  <c r="AA155" i="18" s="1"/>
  <c r="AA45" i="18"/>
  <c r="AA52" i="18"/>
  <c r="AA60" i="18"/>
  <c r="AA159" i="18" s="1"/>
  <c r="AA47" i="18"/>
  <c r="AA54" i="18"/>
  <c r="AA160" i="18" s="1"/>
  <c r="AA57" i="18"/>
  <c r="AA73" i="18"/>
  <c r="AA48" i="18"/>
  <c r="AA49" i="18"/>
  <c r="AA50" i="18"/>
  <c r="AA53" i="18"/>
  <c r="AA74" i="18"/>
  <c r="AA56" i="18"/>
  <c r="AA59" i="18"/>
  <c r="AC15" i="18"/>
  <c r="AC13" i="18"/>
  <c r="S138" i="18"/>
  <c r="AC12" i="18"/>
  <c r="AC10" i="18"/>
  <c r="AC16" i="18"/>
  <c r="AC7" i="18"/>
  <c r="AC6" i="18"/>
  <c r="AB80" i="18"/>
  <c r="AC80" i="18" s="1"/>
  <c r="AB79" i="18"/>
  <c r="AC79" i="18" s="1"/>
  <c r="AC38" i="18"/>
  <c r="AB40" i="18"/>
  <c r="AB95" i="18" s="1"/>
  <c r="AB96" i="18" s="1"/>
  <c r="AB97" i="18" s="1"/>
  <c r="AB98" i="18" s="1"/>
  <c r="AA69" i="18"/>
  <c r="AA67" i="18"/>
  <c r="AA68" i="18"/>
  <c r="AA66" i="18"/>
  <c r="AC154" i="18"/>
  <c r="AE154" i="18" s="1"/>
  <c r="Z156" i="18"/>
  <c r="Z157" i="18"/>
  <c r="N36" i="11"/>
  <c r="O35" i="11"/>
  <c r="F5" i="8"/>
  <c r="G5" i="8" s="1"/>
  <c r="H5" i="8" s="1"/>
  <c r="I5" i="8" s="1"/>
  <c r="AC116" i="18" l="1"/>
  <c r="AB117" i="18"/>
  <c r="AC117" i="18" s="1"/>
  <c r="AE40" i="18"/>
  <c r="T138" i="18"/>
  <c r="T139" i="18" s="1"/>
  <c r="AA58" i="18"/>
  <c r="AA158" i="18" s="1"/>
  <c r="AB70" i="18"/>
  <c r="AB72" i="18"/>
  <c r="AB44" i="18"/>
  <c r="AB155" i="18" s="1"/>
  <c r="AC155" i="18" s="1"/>
  <c r="AE155" i="18" s="1"/>
  <c r="AB45" i="18"/>
  <c r="AB52" i="18"/>
  <c r="AB57" i="18"/>
  <c r="AB47" i="18"/>
  <c r="AE47" i="18" s="1"/>
  <c r="AB54" i="18"/>
  <c r="AB50" i="18"/>
  <c r="AB73" i="18"/>
  <c r="AB49" i="18"/>
  <c r="AE49" i="18" s="1"/>
  <c r="AB48" i="18"/>
  <c r="AB59" i="18"/>
  <c r="AB74" i="18"/>
  <c r="AB53" i="18"/>
  <c r="AB60" i="18"/>
  <c r="AB56" i="18"/>
  <c r="S139" i="18"/>
  <c r="AB69" i="18"/>
  <c r="AB67" i="18"/>
  <c r="AC40" i="18"/>
  <c r="AB68" i="18"/>
  <c r="AB66" i="18"/>
  <c r="AA156" i="18"/>
  <c r="AA157" i="18"/>
  <c r="N37" i="11"/>
  <c r="O36" i="11"/>
  <c r="F18" i="8"/>
  <c r="G18" i="8"/>
  <c r="AE72" i="18" l="1"/>
  <c r="AB118" i="18"/>
  <c r="AC118" i="18" s="1"/>
  <c r="AC95" i="18"/>
  <c r="R138" i="18"/>
  <c r="R139" i="18"/>
  <c r="AC73" i="18"/>
  <c r="AE73" i="18"/>
  <c r="AC45" i="18"/>
  <c r="AE45" i="18"/>
  <c r="S135" i="18"/>
  <c r="AE59" i="18"/>
  <c r="AB159" i="18"/>
  <c r="AC159" i="18" s="1"/>
  <c r="AE159" i="18" s="1"/>
  <c r="AE60" i="18"/>
  <c r="AC44" i="18"/>
  <c r="AE44" i="18"/>
  <c r="AC57" i="18"/>
  <c r="AE57" i="18"/>
  <c r="S129" i="18"/>
  <c r="AE56" i="18"/>
  <c r="S128" i="18"/>
  <c r="AE50" i="18"/>
  <c r="AB160" i="18"/>
  <c r="AC160" i="18" s="1"/>
  <c r="AE160" i="18" s="1"/>
  <c r="AE54" i="18"/>
  <c r="AC53" i="18"/>
  <c r="AE53" i="18"/>
  <c r="S126" i="18"/>
  <c r="AE48" i="18"/>
  <c r="S131" i="18"/>
  <c r="AE52" i="18"/>
  <c r="AC74" i="18"/>
  <c r="AE74" i="18"/>
  <c r="S151" i="18"/>
  <c r="AE70" i="18"/>
  <c r="S149" i="18"/>
  <c r="AE69" i="18"/>
  <c r="S148" i="18"/>
  <c r="AE68" i="18"/>
  <c r="S146" i="18"/>
  <c r="AE66" i="18"/>
  <c r="S147" i="18"/>
  <c r="AE67" i="18"/>
  <c r="AC59" i="18"/>
  <c r="S132" i="18"/>
  <c r="AC48" i="18"/>
  <c r="AC50" i="18"/>
  <c r="T128" i="18" s="1"/>
  <c r="AC52" i="18"/>
  <c r="S133" i="18"/>
  <c r="AC70" i="18"/>
  <c r="AC56" i="18"/>
  <c r="S136" i="18"/>
  <c r="AB58" i="18"/>
  <c r="AC54" i="18"/>
  <c r="AC60" i="18"/>
  <c r="AC72" i="18"/>
  <c r="AC68" i="18"/>
  <c r="AC67" i="18"/>
  <c r="AC66" i="18"/>
  <c r="AC69" i="18"/>
  <c r="S125" i="18"/>
  <c r="AC47" i="18"/>
  <c r="T125" i="18" s="1"/>
  <c r="AB156" i="18"/>
  <c r="AC49" i="18"/>
  <c r="T127" i="18" s="1"/>
  <c r="AB157" i="18"/>
  <c r="S127" i="18"/>
  <c r="N38" i="11"/>
  <c r="O37" i="11"/>
  <c r="H18" i="8"/>
  <c r="P169" i="18" l="1"/>
  <c r="M169" i="18"/>
  <c r="AC96" i="18"/>
  <c r="T136" i="18"/>
  <c r="R136" i="18" s="1"/>
  <c r="T126" i="18"/>
  <c r="R126" i="18" s="1"/>
  <c r="T135" i="18"/>
  <c r="R135" i="18" s="1"/>
  <c r="T131" i="18"/>
  <c r="R131" i="18" s="1"/>
  <c r="T133" i="18"/>
  <c r="R133" i="18" s="1"/>
  <c r="T151" i="18"/>
  <c r="R151" i="18" s="1"/>
  <c r="T148" i="18"/>
  <c r="R148" i="18" s="1"/>
  <c r="AC58" i="18"/>
  <c r="AE58" i="18"/>
  <c r="T129" i="18"/>
  <c r="R129" i="18" s="1"/>
  <c r="R128" i="18"/>
  <c r="T132" i="18"/>
  <c r="R132" i="18" s="1"/>
  <c r="T146" i="18"/>
  <c r="R146" i="18" s="1"/>
  <c r="AB158" i="18"/>
  <c r="AC158" i="18" s="1"/>
  <c r="AE158" i="18" s="1"/>
  <c r="T149" i="18"/>
  <c r="R149" i="18" s="1"/>
  <c r="T147" i="18"/>
  <c r="R147" i="18" s="1"/>
  <c r="R125" i="18"/>
  <c r="P170" i="18" s="1"/>
  <c r="P171" i="18" s="1"/>
  <c r="AC157" i="18"/>
  <c r="AE157" i="18" s="1"/>
  <c r="AC156" i="18"/>
  <c r="AE156" i="18" s="1"/>
  <c r="R127" i="18"/>
  <c r="N39" i="11"/>
  <c r="O38" i="11"/>
  <c r="I18" i="8"/>
  <c r="P168" i="18" l="1"/>
  <c r="M168" i="18"/>
  <c r="P167" i="18"/>
  <c r="M167" i="18"/>
  <c r="AC98" i="18"/>
  <c r="AC97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1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ability for company to pay interest on outstanding debt.
Lesser ratio is risky...</t>
        </r>
      </text>
    </comment>
  </commentList>
</comments>
</file>

<file path=xl/sharedStrings.xml><?xml version="1.0" encoding="utf-8"?>
<sst xmlns="http://schemas.openxmlformats.org/spreadsheetml/2006/main" count="551" uniqueCount="393">
  <si>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</si>
  <si>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</si>
  <si>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</si>
  <si>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</si>
  <si>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</si>
  <si>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</si>
  <si>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</si>
  <si>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</si>
  <si>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</si>
  <si>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</si>
  <si>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</si>
  <si>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</si>
  <si>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</si>
  <si>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</si>
  <si>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</si>
  <si>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</si>
  <si>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</si>
  <si>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</si>
  <si>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</si>
  <si>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</si>
  <si>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</si>
  <si>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</si>
  <si>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</si>
  <si>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</si>
  <si>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</si>
  <si>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</si>
  <si>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</si>
  <si>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</si>
  <si>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</si>
  <si>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</si>
  <si>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</si>
  <si>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</si>
  <si>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</si>
  <si>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</si>
  <si>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</si>
  <si>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</si>
  <si>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</si>
  <si>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</si>
  <si>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</si>
  <si>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</si>
  <si>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</si>
  <si>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</si>
  <si>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</si>
  <si>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</si>
  <si>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</si>
  <si>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</si>
  <si>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</si>
  <si>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</si>
  <si>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</si>
  <si>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</si>
  <si>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</si>
  <si>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</si>
  <si>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</si>
  <si>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</si>
  <si>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</si>
  <si>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</si>
  <si>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</si>
  <si>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</si>
  <si>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</si>
  <si>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</si>
  <si>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</si>
  <si>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</si>
  <si>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</si>
  <si>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</si>
  <si>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</si>
  <si>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</si>
  <si>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</si>
  <si>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</si>
  <si>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</si>
  <si>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</si>
  <si>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</si>
  <si>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</si>
  <si>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</si>
  <si>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</si>
  <si>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</si>
  <si>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</si>
  <si>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</si>
  <si>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</si>
  <si>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</si>
  <si>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</si>
  <si>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</si>
  <si>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</si>
  <si>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</si>
  <si>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</si>
  <si>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</si>
  <si>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</si>
  <si>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</si>
  <si>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</si>
  <si>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</si>
  <si>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</si>
  <si>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</si>
  <si>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</si>
  <si>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</si>
  <si>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</si>
  <si>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</si>
  <si>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</si>
  <si>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</si>
  <si>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</si>
  <si>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</si>
  <si>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</si>
  <si>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</si>
  <si>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</si>
  <si>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</si>
  <si>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</si>
  <si>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</si>
  <si>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</si>
  <si>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</si>
  <si>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</si>
  <si>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</si>
  <si>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</si>
  <si>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</si>
  <si>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</si>
  <si>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</si>
  <si>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</si>
  <si>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</si>
  <si>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</si>
  <si>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</si>
  <si>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</si>
  <si>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</si>
  <si>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</si>
  <si>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</si>
  <si>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</si>
  <si>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</si>
  <si>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</si>
  <si>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</si>
  <si>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</si>
  <si>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</si>
  <si>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</si>
  <si>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</si>
  <si>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</si>
  <si>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</si>
  <si>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</si>
  <si>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</si>
  <si>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</si>
  <si>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</si>
  <si>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</si>
  <si>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</si>
  <si>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</si>
  <si>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</si>
  <si>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</si>
  <si>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</si>
  <si>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</si>
  <si>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</si>
  <si>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</si>
  <si>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</si>
  <si>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</si>
  <si>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</si>
  <si>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</si>
  <si>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</si>
  <si>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</si>
  <si>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</si>
  <si>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</si>
  <si>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</si>
  <si>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</si>
  <si>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</si>
  <si>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</si>
  <si>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</si>
  <si>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</si>
  <si>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</si>
  <si>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</si>
  <si>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</si>
  <si>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</si>
  <si>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</si>
  <si>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</si>
  <si>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</si>
  <si>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</si>
  <si>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</si>
  <si>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</si>
  <si>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</si>
  <si>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</si>
  <si>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</si>
  <si>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</si>
  <si>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</si>
  <si>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</si>
  <si>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</si>
  <si>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</si>
  <si>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</si>
  <si>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</si>
  <si>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</si>
  <si>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</si>
  <si>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</si>
  <si>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</si>
  <si>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</si>
  <si>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</si>
  <si>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</si>
  <si>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</si>
  <si>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</si>
  <si>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</si>
  <si>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</si>
  <si>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</si>
  <si>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</si>
  <si>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</si>
  <si>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</si>
  <si>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</si>
  <si>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</si>
  <si>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</si>
  <si>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</si>
  <si>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</si>
  <si>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</si>
  <si>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</si>
  <si>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</si>
  <si>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</si>
  <si>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</si>
  <si>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</si>
  <si>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</si>
  <si>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</si>
  <si>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</si>
  <si>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</si>
  <si>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</si>
  <si>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</si>
  <si>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</si>
  <si>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</si>
  <si>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</si>
  <si>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</si>
  <si>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</si>
  <si>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</si>
  <si>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</si>
  <si>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</si>
  <si>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</si>
  <si>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</si>
  <si>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</si>
  <si>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</si>
  <si>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</si>
  <si>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</si>
  <si>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</si>
  <si>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</si>
  <si>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</si>
  <si>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</si>
  <si>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</si>
  <si>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</si>
  <si>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</si>
  <si>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</si>
  <si>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</si>
  <si>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</si>
  <si>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</si>
  <si>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</si>
  <si>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</si>
  <si>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</si>
  <si>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</si>
  <si>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</si>
  <si>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</si>
  <si>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</si>
  <si>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</si>
  <si>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</si>
  <si>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</si>
  <si>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</si>
  <si>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</si>
  <si>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</si>
  <si>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</si>
  <si>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</si>
  <si>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</si>
  <si>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</si>
  <si>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</si>
  <si>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</si>
  <si>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</si>
  <si>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</si>
  <si>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</si>
  <si>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</si>
  <si>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</si>
  <si>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</si>
  <si>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</si>
  <si>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</si>
  <si>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</si>
  <si>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</si>
  <si>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</si>
  <si>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</si>
  <si>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</si>
  <si>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</si>
  <si>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</si>
  <si>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</si>
  <si>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</si>
  <si>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</si>
  <si>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</si>
  <si>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</si>
  <si>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</si>
  <si>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</si>
  <si>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</si>
  <si>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</si>
  <si>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</si>
  <si>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</si>
  <si>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</si>
  <si>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</si>
  <si>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</si>
  <si>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</si>
  <si>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</si>
  <si>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</si>
  <si>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</si>
  <si>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</si>
  <si>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</si>
  <si>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</si>
  <si>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</si>
  <si>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</si>
  <si>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</si>
  <si>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</si>
  <si>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</si>
  <si>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</si>
  <si>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</si>
  <si>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</si>
  <si>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</si>
  <si>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</si>
  <si>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</si>
  <si>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</si>
  <si>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</si>
  <si>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</si>
  <si>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</si>
  <si>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</si>
  <si>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</si>
  <si>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</si>
  <si>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</si>
  <si>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</si>
  <si>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</si>
  <si>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</si>
  <si>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</si>
  <si>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</si>
  <si>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</si>
  <si>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</si>
  <si>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</si>
  <si>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</si>
  <si>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</si>
  <si>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</si>
  <si>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</si>
  <si>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</si>
  <si>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</si>
  <si>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</si>
  <si>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</si>
  <si>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</si>
  <si>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</si>
  <si>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</si>
  <si>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</si>
  <si>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</si>
  <si>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</si>
  <si>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</si>
  <si>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</si>
  <si>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</si>
  <si>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</si>
  <si>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</si>
  <si>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</si>
  <si>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</si>
  <si>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</si>
  <si>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</si>
  <si>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</si>
  <si>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</si>
  <si>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</si>
  <si>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</si>
  <si>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</si>
  <si>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</si>
  <si>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</si>
  <si>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</si>
  <si>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</si>
  <si>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</si>
  <si>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</si>
  <si>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</si>
  <si>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</si>
  <si>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</si>
  <si>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</si>
  <si>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</si>
  <si>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</si>
  <si>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</si>
  <si>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</si>
  <si>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</si>
  <si>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</si>
  <si>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</si>
  <si>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</si>
  <si>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</si>
  <si>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</si>
  <si>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</si>
  <si>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</si>
  <si>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</si>
  <si>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</si>
  <si>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</si>
  <si>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</si>
  <si>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</si>
  <si>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</si>
  <si>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</si>
  <si>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</si>
  <si>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</si>
  <si>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</si>
  <si>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</si>
  <si>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Industry/Sector</t>
  </si>
  <si>
    <t>Qualitative Description</t>
  </si>
  <si>
    <t>Management</t>
  </si>
  <si>
    <t>Brand</t>
  </si>
  <si>
    <t>Firm</t>
  </si>
  <si>
    <t>Differentiation</t>
  </si>
  <si>
    <t>Competition</t>
  </si>
  <si>
    <t>General</t>
  </si>
  <si>
    <t>Downside</t>
  </si>
  <si>
    <t>Key People</t>
  </si>
  <si>
    <t>Quantitative Description</t>
  </si>
  <si>
    <t>History</t>
  </si>
  <si>
    <t>Expected RoR</t>
  </si>
  <si>
    <t>Growth Style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</si>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</sst>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4" fontId="4" fillId="5" borderId="1" xfId="0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5" borderId="0" xfId="0" applyFont="1" applyFill="1"/>
    <xf numFmtId="0" fontId="14" fillId="5" borderId="1" xfId="0" applyFont="1" applyFill="1" applyBorder="1"/>
    <xf numFmtId="0" fontId="15" fillId="4" borderId="4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85984"/>
        <c:axId val="101787520"/>
      </c:lineChart>
      <c:catAx>
        <c:axId val="101785984"/>
        <c:scaling>
          <c:orientation val="minMax"/>
        </c:scaling>
        <c:delete val="0"/>
        <c:axPos val="b"/>
        <c:majorTickMark val="out"/>
        <c:minorTickMark val="none"/>
        <c:tickLblPos val="nextTo"/>
        <c:crossAx val="101787520"/>
        <c:crosses val="autoZero"/>
        <c:auto val="1"/>
        <c:lblAlgn val="ctr"/>
        <c:lblOffset val="100"/>
        <c:noMultiLvlLbl val="0"/>
      </c:catAx>
      <c:valAx>
        <c:axId val="10178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78598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8" sqref="D8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topLeftCell="A29" zoomScale="80" zoomScaleNormal="80" workbookViewId="0">
      <selection activeCell="C65" sqref="C65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189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E6" sqref="E6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5" t="s">
        <v>292</v>
      </c>
      <c r="AE2" s="176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7" t="s">
        <v>293</v>
      </c>
      <c r="AE3" s="178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-0.01</v>
      </c>
      <c r="H6" s="147">
        <v>-0.01</v>
      </c>
      <c r="I6" s="147">
        <v>-0.01</v>
      </c>
      <c r="J6" s="147">
        <v>-2.2999999999999998</v>
      </c>
      <c r="K6" s="147"/>
      <c r="L6" s="147">
        <v>447</v>
      </c>
      <c r="M6" s="147">
        <v>3598</v>
      </c>
      <c r="N6" s="147">
        <v>4107</v>
      </c>
      <c r="O6" s="147">
        <v>3861</v>
      </c>
      <c r="P6" s="147">
        <v>1900</v>
      </c>
      <c r="Q6" s="118">
        <f>((P6/G6)^(1/($H$2-$H$1) ))-1</f>
        <v>-4.8594745181524877</v>
      </c>
      <c r="R6" s="31">
        <f>$L$2</f>
        <v>0.12</v>
      </c>
      <c r="S6" s="154">
        <f>P6*(1+$R6)</f>
        <v>2128</v>
      </c>
      <c r="T6" s="154">
        <f>S6*(1+$R6)</f>
        <v>2383.36</v>
      </c>
      <c r="U6" s="154">
        <f t="shared" ref="U6:AB6" si="0">T6*(1+$R6)</f>
        <v>2669.3632000000002</v>
      </c>
      <c r="V6" s="154">
        <f t="shared" si="0"/>
        <v>2989.6867840000004</v>
      </c>
      <c r="W6" s="154">
        <f t="shared" si="0"/>
        <v>3348.4491980800008</v>
      </c>
      <c r="X6" s="154">
        <f t="shared" si="0"/>
        <v>3750.2631018496013</v>
      </c>
      <c r="Y6" s="154">
        <f t="shared" si="0"/>
        <v>4200.2946740715543</v>
      </c>
      <c r="Z6" s="154">
        <f t="shared" si="0"/>
        <v>4704.3300349601413</v>
      </c>
      <c r="AA6" s="154">
        <f t="shared" si="0"/>
        <v>5268.849639155359</v>
      </c>
      <c r="AB6" s="154">
        <f t="shared" si="0"/>
        <v>5901.1115958540022</v>
      </c>
      <c r="AC6" s="138">
        <f>((AB6/G6)^(1/($AB$3-$H$1) ))-1</f>
        <v>-3.0124882775724098</v>
      </c>
      <c r="AD6" s="31">
        <f>$L$1</f>
        <v>0.08</v>
      </c>
      <c r="AE6" s="146">
        <f t="shared" ref="AE6:AE41" si="1">(AB6*(1+AD6))/($C$1-AD6)</f>
        <v>45522.860882302302</v>
      </c>
    </row>
    <row r="7" spans="2:31" x14ac:dyDescent="0.2">
      <c r="B7" s="20" t="s">
        <v>240</v>
      </c>
      <c r="C7" s="141"/>
      <c r="D7" s="141"/>
      <c r="E7" s="147"/>
      <c r="F7" s="147"/>
      <c r="G7" s="147">
        <v>0.94</v>
      </c>
      <c r="H7" s="147">
        <v>0.94</v>
      </c>
      <c r="I7" s="147">
        <v>11</v>
      </c>
      <c r="J7" s="147">
        <v>279</v>
      </c>
      <c r="K7" s="147"/>
      <c r="L7" s="147">
        <v>2288</v>
      </c>
      <c r="M7" s="147">
        <v>5778</v>
      </c>
      <c r="N7" s="147">
        <v>6287</v>
      </c>
      <c r="O7" s="147">
        <v>6041</v>
      </c>
      <c r="P7" s="147">
        <v>4293</v>
      </c>
      <c r="Q7" s="118">
        <f>((P7/G7)^(1/($H$2-$H$1) ))-1</f>
        <v>1.5505033174984502</v>
      </c>
      <c r="R7" s="31">
        <f>$L$2</f>
        <v>0.12</v>
      </c>
      <c r="S7" s="154">
        <f t="shared" ref="S7:S16" si="2">P7*(1+$R7)</f>
        <v>4808.1600000000008</v>
      </c>
      <c r="T7" s="154">
        <f t="shared" ref="T7:AB7" si="3">S7*(1+$R7)</f>
        <v>5385.1392000000014</v>
      </c>
      <c r="U7" s="154">
        <f t="shared" si="3"/>
        <v>6031.3559040000018</v>
      </c>
      <c r="V7" s="154">
        <f t="shared" si="3"/>
        <v>6755.1186124800024</v>
      </c>
      <c r="W7" s="154">
        <f t="shared" si="3"/>
        <v>7565.7328459776036</v>
      </c>
      <c r="X7" s="154">
        <f t="shared" si="3"/>
        <v>8473.6207874949159</v>
      </c>
      <c r="Y7" s="154">
        <f t="shared" si="3"/>
        <v>9490.4552819943074</v>
      </c>
      <c r="Z7" s="154">
        <f t="shared" si="3"/>
        <v>10629.309915833624</v>
      </c>
      <c r="AA7" s="154">
        <f t="shared" si="3"/>
        <v>11904.827105733661</v>
      </c>
      <c r="AB7" s="154">
        <f t="shared" si="3"/>
        <v>13333.406358421702</v>
      </c>
      <c r="AC7" s="138">
        <f>((AB7/G7)^(1/($AB$3-$H$1) ))-1</f>
        <v>0.65392757288960635</v>
      </c>
      <c r="AD7" s="31">
        <f>$L$1</f>
        <v>0.08</v>
      </c>
      <c r="AE7" s="146">
        <f t="shared" si="1"/>
        <v>102857.70619353883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</v>
      </c>
      <c r="I8" s="151">
        <f t="shared" ref="I8:P8" si="4">(I7-H7)/I7</f>
        <v>0.91454545454545455</v>
      </c>
      <c r="J8" s="151">
        <f t="shared" si="4"/>
        <v>0.96057347670250892</v>
      </c>
      <c r="K8" s="151" t="e">
        <f t="shared" si="4"/>
        <v>#DIV/0!</v>
      </c>
      <c r="L8" s="151">
        <f t="shared" si="4"/>
        <v>1</v>
      </c>
      <c r="M8" s="151">
        <f t="shared" si="4"/>
        <v>0.60401523018345449</v>
      </c>
      <c r="N8" s="151">
        <f t="shared" si="4"/>
        <v>8.0960712581517422E-2</v>
      </c>
      <c r="O8" s="151">
        <f t="shared" si="4"/>
        <v>-4.0721734812117202E-2</v>
      </c>
      <c r="P8" s="151">
        <f t="shared" si="4"/>
        <v>-0.40717447006755181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>
        <v>0</v>
      </c>
      <c r="H9" s="147">
        <v>0</v>
      </c>
      <c r="I9" s="147">
        <v>3</v>
      </c>
      <c r="J9" s="147">
        <v>231</v>
      </c>
      <c r="K9" s="147"/>
      <c r="L9" s="147">
        <v>562</v>
      </c>
      <c r="M9" s="147">
        <v>1494</v>
      </c>
      <c r="N9" s="147">
        <v>3630</v>
      </c>
      <c r="O9" s="147">
        <v>5450</v>
      </c>
      <c r="P9" s="147">
        <v>12294</v>
      </c>
      <c r="Q9" s="118" t="e">
        <f t="shared" ref="Q9:Q16" si="5">((P9/G9)^(1/($H$2-$H$1) ))-1</f>
        <v>#DIV/0!</v>
      </c>
      <c r="R9" s="31">
        <f t="shared" ref="R9:R38" si="6">$L$2</f>
        <v>0.12</v>
      </c>
      <c r="S9" s="154">
        <f t="shared" ref="S9" si="7">P9*(1+$R9)</f>
        <v>13769.28</v>
      </c>
      <c r="T9" s="154">
        <f t="shared" ref="T9" si="8">S9*(1+$R9)</f>
        <v>15421.593600000002</v>
      </c>
      <c r="U9" s="154">
        <f t="shared" ref="U9" si="9">T9*(1+$R9)</f>
        <v>17272.184832000003</v>
      </c>
      <c r="V9" s="154">
        <f t="shared" ref="V9" si="10">U9*(1+$R9)</f>
        <v>19344.847011840004</v>
      </c>
      <c r="W9" s="154">
        <f t="shared" ref="W9" si="11">V9*(1+$R9)</f>
        <v>21666.228653260805</v>
      </c>
      <c r="X9" s="154">
        <f t="shared" ref="X9" si="12">W9*(1+$R9)</f>
        <v>24266.176091652105</v>
      </c>
      <c r="Y9" s="154">
        <f t="shared" ref="Y9" si="13">X9*(1+$R9)</f>
        <v>27178.117222650362</v>
      </c>
      <c r="Z9" s="154">
        <f t="shared" ref="Z9" si="14">Y9*(1+$R9)</f>
        <v>30439.491289368409</v>
      </c>
      <c r="AA9" s="154">
        <f t="shared" ref="AA9" si="15">Z9*(1+$R9)</f>
        <v>34092.230244092621</v>
      </c>
      <c r="AB9" s="154">
        <f t="shared" ref="AB9" si="16">AA9*(1+$R9)</f>
        <v>38183.297873383737</v>
      </c>
      <c r="AC9" s="138" t="e">
        <f>((AB9/G9)^(1/($AB$3-$H$1) ))-1</f>
        <v>#DIV/0!</v>
      </c>
      <c r="AD9" s="31">
        <f t="shared" ref="AD9:AD73" si="17">$L$1</f>
        <v>0.08</v>
      </c>
      <c r="AE9" s="146">
        <f t="shared" si="1"/>
        <v>294556.86930896027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144</v>
      </c>
      <c r="K10" s="147"/>
      <c r="L10" s="147">
        <v>4990</v>
      </c>
      <c r="M10" s="147">
        <v>10570</v>
      </c>
      <c r="N10" s="147">
        <v>24502</v>
      </c>
      <c r="O10" s="147">
        <v>38600</v>
      </c>
      <c r="P10" s="147">
        <v>37602</v>
      </c>
      <c r="Q10" s="118" t="e">
        <f t="shared" si="5"/>
        <v>#DIV/0!</v>
      </c>
      <c r="R10" s="31">
        <f t="shared" si="6"/>
        <v>0.12</v>
      </c>
      <c r="S10" s="154">
        <f t="shared" si="2"/>
        <v>42114.240000000005</v>
      </c>
      <c r="T10" s="154">
        <f t="shared" ref="T10:AB10" si="18">S10*(1+$R10)</f>
        <v>47167.948800000013</v>
      </c>
      <c r="U10" s="154">
        <f t="shared" si="18"/>
        <v>52828.102656000017</v>
      </c>
      <c r="V10" s="154">
        <f t="shared" si="18"/>
        <v>59167.474974720026</v>
      </c>
      <c r="W10" s="154">
        <f t="shared" si="18"/>
        <v>66267.571971686441</v>
      </c>
      <c r="X10" s="154">
        <f t="shared" si="18"/>
        <v>74219.680608288822</v>
      </c>
      <c r="Y10" s="154">
        <f t="shared" si="18"/>
        <v>83126.042281283488</v>
      </c>
      <c r="Z10" s="154">
        <f t="shared" si="18"/>
        <v>93101.167355037513</v>
      </c>
      <c r="AA10" s="154">
        <f t="shared" si="18"/>
        <v>104273.30743764203</v>
      </c>
      <c r="AB10" s="154">
        <f t="shared" si="18"/>
        <v>116786.10433015908</v>
      </c>
      <c r="AC10" s="138" t="e">
        <f t="shared" ref="AC10:AC40" si="19">((AB10/G10)^(1/($AB$3-$H$1) ))-1</f>
        <v>#DIV/0!</v>
      </c>
      <c r="AD10" s="31">
        <f t="shared" si="17"/>
        <v>0.08</v>
      </c>
      <c r="AE10" s="146">
        <f t="shared" si="1"/>
        <v>900921.37626122718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>
        <f t="shared" si="20"/>
        <v>1</v>
      </c>
      <c r="K11" s="148" t="e">
        <f t="shared" si="20"/>
        <v>#DIV/0!</v>
      </c>
      <c r="L11" s="148">
        <f t="shared" si="20"/>
        <v>1</v>
      </c>
      <c r="M11" s="148">
        <f t="shared" si="20"/>
        <v>0.52790917691579942</v>
      </c>
      <c r="N11" s="148">
        <f t="shared" si="20"/>
        <v>0.56860664435556285</v>
      </c>
      <c r="O11" s="148">
        <f t="shared" si="20"/>
        <v>0.36523316062176164</v>
      </c>
      <c r="P11" s="148">
        <f t="shared" si="20"/>
        <v>-2.6541141428647413E-2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0.01</v>
      </c>
      <c r="H12" s="147">
        <v>0.01</v>
      </c>
      <c r="I12" s="147">
        <v>0.27</v>
      </c>
      <c r="J12" s="147">
        <v>50</v>
      </c>
      <c r="K12" s="147"/>
      <c r="L12" s="147">
        <v>559</v>
      </c>
      <c r="M12" s="147">
        <v>212</v>
      </c>
      <c r="N12" s="147">
        <v>1255</v>
      </c>
      <c r="O12" s="147">
        <v>3241</v>
      </c>
      <c r="P12" s="147">
        <v>1718</v>
      </c>
      <c r="Q12" s="118">
        <f t="shared" si="5"/>
        <v>2.8165349161413786</v>
      </c>
      <c r="R12" s="31">
        <f t="shared" si="6"/>
        <v>0.12</v>
      </c>
      <c r="S12" s="154">
        <f t="shared" ref="S12:S14" si="21">P12*(1+$R12)</f>
        <v>1924.16</v>
      </c>
      <c r="T12" s="154">
        <f t="shared" ref="T12:AB12" si="22">S12*(1+$R12)</f>
        <v>2155.0592000000001</v>
      </c>
      <c r="U12" s="154">
        <f t="shared" si="22"/>
        <v>2413.6663040000003</v>
      </c>
      <c r="V12" s="154">
        <f t="shared" si="22"/>
        <v>2703.3062604800007</v>
      </c>
      <c r="W12" s="154">
        <f t="shared" si="22"/>
        <v>3027.7030117376012</v>
      </c>
      <c r="X12" s="154">
        <f t="shared" si="22"/>
        <v>3391.0273731461139</v>
      </c>
      <c r="Y12" s="154">
        <f t="shared" si="22"/>
        <v>3797.9506579236477</v>
      </c>
      <c r="Z12" s="154">
        <f t="shared" si="22"/>
        <v>4253.7047368744861</v>
      </c>
      <c r="AA12" s="154">
        <f t="shared" si="22"/>
        <v>4764.1493052994247</v>
      </c>
      <c r="AB12" s="154">
        <f t="shared" si="22"/>
        <v>5335.8472219353562</v>
      </c>
      <c r="AC12" s="138" t="e">
        <f>((AB12/#REF!)^(1/($AB$3-$H$1) ))-1</f>
        <v>#REF!</v>
      </c>
      <c r="AD12" s="31">
        <f t="shared" si="17"/>
        <v>0.08</v>
      </c>
      <c r="AE12" s="146">
        <f t="shared" si="1"/>
        <v>41162.249997787032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0</v>
      </c>
      <c r="H13" s="147">
        <v>0</v>
      </c>
      <c r="I13" s="147">
        <v>0</v>
      </c>
      <c r="J13" s="147">
        <v>0</v>
      </c>
      <c r="K13" s="147"/>
      <c r="L13" s="147">
        <v>0</v>
      </c>
      <c r="M13" s="147">
        <v>0.01</v>
      </c>
      <c r="N13" s="147">
        <v>10</v>
      </c>
      <c r="O13" s="147">
        <v>19</v>
      </c>
      <c r="P13" s="147">
        <v>22.37</v>
      </c>
      <c r="Q13" s="118" t="e">
        <f t="shared" si="5"/>
        <v>#DIV/0!</v>
      </c>
      <c r="R13" s="31">
        <f t="shared" si="6"/>
        <v>0.12</v>
      </c>
      <c r="S13" s="154">
        <f t="shared" si="21"/>
        <v>25.054400000000005</v>
      </c>
      <c r="T13" s="154">
        <f t="shared" ref="T13:AB13" si="23">S13*(1+$R13)</f>
        <v>28.060928000000008</v>
      </c>
      <c r="U13" s="154">
        <f t="shared" si="23"/>
        <v>31.42823936000001</v>
      </c>
      <c r="V13" s="154">
        <f t="shared" si="23"/>
        <v>35.199628083200011</v>
      </c>
      <c r="W13" s="154">
        <f t="shared" si="23"/>
        <v>39.423583453184015</v>
      </c>
      <c r="X13" s="154">
        <f t="shared" si="23"/>
        <v>44.154413467566101</v>
      </c>
      <c r="Y13" s="154">
        <f t="shared" si="23"/>
        <v>49.452943083674036</v>
      </c>
      <c r="Z13" s="154">
        <f t="shared" si="23"/>
        <v>55.387296253714929</v>
      </c>
      <c r="AA13" s="154">
        <f t="shared" si="23"/>
        <v>62.033771804160729</v>
      </c>
      <c r="AB13" s="154">
        <f t="shared" si="23"/>
        <v>69.477824420660028</v>
      </c>
      <c r="AC13" s="138" t="e">
        <f>((AB13/#REF!)^(1/($AB$3-$H$1) ))-1</f>
        <v>#REF!</v>
      </c>
      <c r="AD13" s="31">
        <f t="shared" si="17"/>
        <v>0.08</v>
      </c>
      <c r="AE13" s="146">
        <f t="shared" si="1"/>
        <v>535.97178838794878</v>
      </c>
    </row>
    <row r="14" spans="2:31" x14ac:dyDescent="0.2">
      <c r="B14" s="20" t="s">
        <v>374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4">((P14/G14)^(1/($H$2-$H$1) ))-1</f>
        <v>#DIV/0!</v>
      </c>
      <c r="R14" s="31">
        <f t="shared" si="6"/>
        <v>0.12</v>
      </c>
      <c r="S14" s="154">
        <f t="shared" si="21"/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0.08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0.01</v>
      </c>
      <c r="H15" s="147">
        <v>0.01</v>
      </c>
      <c r="I15" s="147">
        <v>1.34</v>
      </c>
      <c r="J15" s="147">
        <v>50</v>
      </c>
      <c r="K15" s="147"/>
      <c r="L15" s="147">
        <v>975</v>
      </c>
      <c r="M15" s="147">
        <v>2393</v>
      </c>
      <c r="N15" s="147">
        <v>2540</v>
      </c>
      <c r="O15" s="147">
        <v>8839</v>
      </c>
      <c r="P15" s="147">
        <v>4032</v>
      </c>
      <c r="Q15" s="118">
        <f t="shared" si="5"/>
        <v>3.1960012965328888</v>
      </c>
      <c r="R15" s="31">
        <f t="shared" si="6"/>
        <v>0.12</v>
      </c>
      <c r="S15" s="154">
        <f t="shared" si="2"/>
        <v>4515.84</v>
      </c>
      <c r="T15" s="154">
        <f t="shared" ref="T15:AB15" si="36">S15*(1+$R15)</f>
        <v>5057.7408000000005</v>
      </c>
      <c r="U15" s="154">
        <f t="shared" si="36"/>
        <v>5664.6696960000008</v>
      </c>
      <c r="V15" s="154">
        <f t="shared" si="36"/>
        <v>6344.4300595200011</v>
      </c>
      <c r="W15" s="154">
        <f t="shared" si="36"/>
        <v>7105.7616666624017</v>
      </c>
      <c r="X15" s="154">
        <f t="shared" si="36"/>
        <v>7958.4530666618903</v>
      </c>
      <c r="Y15" s="154">
        <f t="shared" si="36"/>
        <v>8913.4674346613174</v>
      </c>
      <c r="Z15" s="154">
        <f t="shared" si="36"/>
        <v>9983.0835268206756</v>
      </c>
      <c r="AA15" s="154">
        <f t="shared" si="36"/>
        <v>11181.053550039158</v>
      </c>
      <c r="AB15" s="154">
        <f t="shared" si="36"/>
        <v>12522.779976043857</v>
      </c>
      <c r="AC15" s="138">
        <f t="shared" si="19"/>
        <v>1.0937827546140606</v>
      </c>
      <c r="AD15" s="31">
        <f t="shared" si="17"/>
        <v>0.08</v>
      </c>
      <c r="AE15" s="146">
        <f t="shared" si="1"/>
        <v>96604.302672338337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0.01</v>
      </c>
      <c r="H16" s="147">
        <v>0.01</v>
      </c>
      <c r="I16" s="147">
        <v>-1.53</v>
      </c>
      <c r="J16" s="147">
        <v>-180</v>
      </c>
      <c r="K16" s="147"/>
      <c r="L16" s="147">
        <v>413</v>
      </c>
      <c r="M16" s="147">
        <v>895</v>
      </c>
      <c r="N16" s="147">
        <v>-1092</v>
      </c>
      <c r="O16" s="147">
        <v>2655</v>
      </c>
      <c r="P16" s="147">
        <v>-6191</v>
      </c>
      <c r="Q16" s="118">
        <f t="shared" si="5"/>
        <v>-5.4007731093826514</v>
      </c>
      <c r="R16" s="31">
        <f t="shared" si="6"/>
        <v>0.12</v>
      </c>
      <c r="S16" s="154">
        <f t="shared" si="2"/>
        <v>-6933.920000000001</v>
      </c>
      <c r="T16" s="154">
        <f t="shared" ref="T16:AB16" si="37">S16*(1+$R16)</f>
        <v>-7765.9904000000015</v>
      </c>
      <c r="U16" s="154">
        <f t="shared" si="37"/>
        <v>-8697.9092480000018</v>
      </c>
      <c r="V16" s="154">
        <f t="shared" si="37"/>
        <v>-9741.6583577600031</v>
      </c>
      <c r="W16" s="154">
        <f t="shared" si="37"/>
        <v>-10910.657360691204</v>
      </c>
      <c r="X16" s="154">
        <f t="shared" si="37"/>
        <v>-12219.936243974151</v>
      </c>
      <c r="Y16" s="154">
        <f t="shared" si="37"/>
        <v>-13686.32859325105</v>
      </c>
      <c r="Z16" s="154">
        <f t="shared" si="37"/>
        <v>-15328.688024441177</v>
      </c>
      <c r="AA16" s="154">
        <f t="shared" si="37"/>
        <v>-17168.130587374118</v>
      </c>
      <c r="AB16" s="154">
        <f t="shared" si="37"/>
        <v>-19228.306257859014</v>
      </c>
      <c r="AC16" s="138">
        <f t="shared" si="19"/>
        <v>-3.1415772192818778</v>
      </c>
      <c r="AD16" s="31">
        <f t="shared" si="17"/>
        <v>0.08</v>
      </c>
      <c r="AE16" s="146">
        <f t="shared" si="1"/>
        <v>-148332.64827491241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/>
      <c r="G18" s="147">
        <v>0</v>
      </c>
      <c r="H18" s="147">
        <v>0</v>
      </c>
      <c r="I18" s="147">
        <v>0.18</v>
      </c>
      <c r="J18" s="147">
        <v>1.04</v>
      </c>
      <c r="K18" s="147"/>
      <c r="L18" s="147">
        <v>337</v>
      </c>
      <c r="M18" s="147">
        <v>2787</v>
      </c>
      <c r="N18" s="147">
        <v>8747</v>
      </c>
      <c r="O18" s="147">
        <v>15804</v>
      </c>
      <c r="P18" s="147">
        <v>29088</v>
      </c>
      <c r="Q18" s="118" t="e">
        <f>((P18/G18)^(1/($H$2-$H$1) ))-1</f>
        <v>#DIV/0!</v>
      </c>
      <c r="R18" s="31">
        <f t="shared" si="6"/>
        <v>0.12</v>
      </c>
      <c r="S18" s="154">
        <f t="shared" ref="S18:S34" si="38">P18*(1+$R18)</f>
        <v>32578.560000000001</v>
      </c>
      <c r="T18" s="154">
        <f t="shared" ref="T18:T34" si="39">S18*(1+$R18)</f>
        <v>36487.987200000003</v>
      </c>
      <c r="U18" s="154">
        <f t="shared" ref="U18:U34" si="40">T18*(1+$R18)</f>
        <v>40866.545664000005</v>
      </c>
      <c r="V18" s="154">
        <f t="shared" ref="V18:V34" si="41">U18*(1+$R18)</f>
        <v>45770.531143680011</v>
      </c>
      <c r="W18" s="154">
        <f t="shared" ref="W18:W36" si="42">V18*(1+$R18)</f>
        <v>51262.994880921615</v>
      </c>
      <c r="X18" s="154">
        <f t="shared" ref="X18:X36" si="43">W18*(1+$R18)</f>
        <v>57414.554266632214</v>
      </c>
      <c r="Y18" s="154">
        <f t="shared" ref="Y18:Y36" si="44">X18*(1+$R18)</f>
        <v>64304.300778628087</v>
      </c>
      <c r="Z18" s="154">
        <f t="shared" ref="Z18:Z36" si="45">Y18*(1+$R18)</f>
        <v>72020.816872063471</v>
      </c>
      <c r="AA18" s="154">
        <f t="shared" ref="AA18:AA36" si="46">Z18*(1+$R18)</f>
        <v>80663.31489671109</v>
      </c>
      <c r="AB18" s="154">
        <f t="shared" ref="AB18:AB36" si="47">AA18*(1+$R18)</f>
        <v>90342.912684316427</v>
      </c>
      <c r="AC18" s="138" t="e">
        <f t="shared" si="19"/>
        <v>#DIV/0!</v>
      </c>
      <c r="AD18" s="31">
        <f t="shared" si="17"/>
        <v>0.08</v>
      </c>
      <c r="AE18" s="146">
        <f t="shared" si="1"/>
        <v>696931.04070758377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0.08</v>
      </c>
      <c r="AE20" s="146">
        <f t="shared" si="1"/>
        <v>0</v>
      </c>
    </row>
    <row r="21" spans="2:31" x14ac:dyDescent="0.2">
      <c r="B21" s="20" t="s">
        <v>285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0.08</v>
      </c>
      <c r="AE21" s="146">
        <f t="shared" si="1"/>
        <v>0</v>
      </c>
    </row>
    <row r="22" spans="2:31" x14ac:dyDescent="0.2">
      <c r="B22" s="20" t="s">
        <v>286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0.08</v>
      </c>
      <c r="AE22" s="146">
        <f t="shared" si="1"/>
        <v>0</v>
      </c>
    </row>
    <row r="23" spans="2:31" x14ac:dyDescent="0.2">
      <c r="B23" s="20" t="s">
        <v>296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0.08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>
        <v>0</v>
      </c>
      <c r="M25" s="147">
        <v>467</v>
      </c>
      <c r="N25" s="147">
        <v>2153</v>
      </c>
      <c r="O25" s="147">
        <v>4092</v>
      </c>
      <c r="P25" s="147">
        <v>6994</v>
      </c>
      <c r="Q25" s="118" t="e">
        <f>((P25/G25)^(1/($H$2-$H$1) ))-1</f>
        <v>#DIV/0!</v>
      </c>
      <c r="R25" s="31">
        <f t="shared" si="6"/>
        <v>0.12</v>
      </c>
      <c r="S25" s="154">
        <f t="shared" si="38"/>
        <v>7833.2800000000007</v>
      </c>
      <c r="T25" s="154">
        <f t="shared" si="39"/>
        <v>8773.2736000000023</v>
      </c>
      <c r="U25" s="154">
        <f t="shared" si="40"/>
        <v>9826.0664320000033</v>
      </c>
      <c r="V25" s="154">
        <f t="shared" si="41"/>
        <v>11005.194403840005</v>
      </c>
      <c r="W25" s="154">
        <f t="shared" si="42"/>
        <v>12325.817732300808</v>
      </c>
      <c r="X25" s="154">
        <f t="shared" si="43"/>
        <v>13804.915860176905</v>
      </c>
      <c r="Y25" s="154">
        <f t="shared" si="44"/>
        <v>15461.505763398134</v>
      </c>
      <c r="Z25" s="154">
        <f t="shared" si="45"/>
        <v>17316.886455005912</v>
      </c>
      <c r="AA25" s="154">
        <f t="shared" si="46"/>
        <v>19394.912829606623</v>
      </c>
      <c r="AB25" s="154">
        <f t="shared" si="47"/>
        <v>21722.302369159421</v>
      </c>
      <c r="AC25" s="138" t="e">
        <f t="shared" si="19"/>
        <v>#DIV/0!</v>
      </c>
      <c r="AD25" s="31">
        <f t="shared" si="17"/>
        <v>0.08</v>
      </c>
      <c r="AE25" s="146">
        <f t="shared" si="1"/>
        <v>167572.04684780125</v>
      </c>
    </row>
    <row r="26" spans="2:31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70">(I25-H25)/I25</f>
        <v>#DIV/0!</v>
      </c>
      <c r="J26" s="148" t="e">
        <f t="shared" ref="J26" si="71">(J25-I25)/J25</f>
        <v>#DIV/0!</v>
      </c>
      <c r="K26" s="148" t="e">
        <f t="shared" ref="K26" si="72">(K25-J25)/K25</f>
        <v>#DIV/0!</v>
      </c>
      <c r="L26" s="148" t="e">
        <f t="shared" ref="L26" si="73">(L25-K25)/L25</f>
        <v>#DIV/0!</v>
      </c>
      <c r="M26" s="148">
        <f t="shared" ref="M26" si="74">(M25-L25)/M25</f>
        <v>1</v>
      </c>
      <c r="N26" s="148">
        <f t="shared" ref="N26" si="75">(N25-M25)/N25</f>
        <v>0.78309335810496983</v>
      </c>
      <c r="O26" s="148">
        <f t="shared" ref="O26" si="76">(O25-N25)/O25</f>
        <v>0.47385141739980452</v>
      </c>
      <c r="P26" s="148">
        <f t="shared" ref="P26" si="77">(P25-O25)/P25</f>
        <v>0.41492708035458964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>
        <v>6</v>
      </c>
      <c r="M27" s="147">
        <v>191</v>
      </c>
      <c r="N27" s="147">
        <v>915</v>
      </c>
      <c r="O27" s="147">
        <v>2764</v>
      </c>
      <c r="P27" s="147">
        <v>5819</v>
      </c>
      <c r="Q27" s="118" t="e">
        <f>((P27/G27)^(1/($H$2-$H$1) ))-1</f>
        <v>#DIV/0!</v>
      </c>
      <c r="R27" s="31">
        <f t="shared" si="6"/>
        <v>0.12</v>
      </c>
      <c r="S27" s="154">
        <f t="shared" si="38"/>
        <v>6517.2800000000007</v>
      </c>
      <c r="T27" s="154">
        <f t="shared" si="39"/>
        <v>7299.3536000000013</v>
      </c>
      <c r="U27" s="154">
        <f t="shared" si="40"/>
        <v>8175.2760320000025</v>
      </c>
      <c r="V27" s="154">
        <f t="shared" si="41"/>
        <v>9156.3091558400029</v>
      </c>
      <c r="W27" s="154">
        <f t="shared" si="42"/>
        <v>10255.066254540805</v>
      </c>
      <c r="X27" s="154">
        <f t="shared" si="43"/>
        <v>11485.674205085703</v>
      </c>
      <c r="Y27" s="154">
        <f t="shared" si="44"/>
        <v>12863.955109695988</v>
      </c>
      <c r="Z27" s="154">
        <f t="shared" si="45"/>
        <v>14407.629722859507</v>
      </c>
      <c r="AA27" s="154">
        <f t="shared" si="46"/>
        <v>16136.545289602649</v>
      </c>
      <c r="AB27" s="154">
        <f t="shared" si="47"/>
        <v>18072.93072435497</v>
      </c>
      <c r="AC27" s="138" t="e">
        <f t="shared" si="19"/>
        <v>#DIV/0!</v>
      </c>
      <c r="AD27" s="31">
        <f t="shared" si="17"/>
        <v>0.08</v>
      </c>
      <c r="AE27" s="146">
        <f t="shared" si="1"/>
        <v>139419.75130216693</v>
      </c>
    </row>
    <row r="28" spans="2:31" s="123" customFormat="1" x14ac:dyDescent="0.2">
      <c r="B28" s="23"/>
      <c r="C28" s="149"/>
      <c r="D28" s="149"/>
      <c r="E28" s="150"/>
      <c r="F28" s="150"/>
      <c r="G28" s="148" t="e">
        <f t="shared" ref="G28:M28" si="78">(G27-F27)/G27</f>
        <v>#DIV/0!</v>
      </c>
      <c r="H28" s="148" t="e">
        <f t="shared" si="78"/>
        <v>#DIV/0!</v>
      </c>
      <c r="I28" s="148" t="e">
        <f t="shared" si="78"/>
        <v>#DIV/0!</v>
      </c>
      <c r="J28" s="148" t="e">
        <f t="shared" si="78"/>
        <v>#DIV/0!</v>
      </c>
      <c r="K28" s="148" t="e">
        <f t="shared" si="78"/>
        <v>#DIV/0!</v>
      </c>
      <c r="L28" s="148">
        <f t="shared" si="78"/>
        <v>1</v>
      </c>
      <c r="M28" s="148">
        <f t="shared" si="78"/>
        <v>0.96858638743455494</v>
      </c>
      <c r="N28" s="148">
        <f t="shared" ref="N28" si="79">(N27-M27)/N27</f>
        <v>0.79125683060109286</v>
      </c>
      <c r="O28" s="148">
        <f t="shared" ref="O28" si="80">(O27-N27)/O27</f>
        <v>0.66895803183791602</v>
      </c>
      <c r="P28" s="148">
        <f t="shared" ref="P28" si="81">(P27-O27)/P27</f>
        <v>0.52500429627083689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0.08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 x14ac:dyDescent="0.2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 x14ac:dyDescent="0.2">
      <c r="B33" s="20" t="s">
        <v>317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>
        <v>0</v>
      </c>
      <c r="M33" s="147">
        <v>167</v>
      </c>
      <c r="N33" s="147">
        <v>721</v>
      </c>
      <c r="O33" s="147">
        <v>2300</v>
      </c>
      <c r="P33" s="147">
        <v>65.790000000000006</v>
      </c>
      <c r="Q33" s="118" t="e">
        <f>((P33/G33)^(1/($H$2-$H$1) ))-1</f>
        <v>#DIV/0!</v>
      </c>
      <c r="R33" s="31">
        <f t="shared" si="6"/>
        <v>0.12</v>
      </c>
      <c r="S33" s="154">
        <f t="shared" si="38"/>
        <v>73.68480000000001</v>
      </c>
      <c r="T33" s="154">
        <f t="shared" si="39"/>
        <v>82.526976000000019</v>
      </c>
      <c r="U33" s="154">
        <f t="shared" si="40"/>
        <v>92.430213120000033</v>
      </c>
      <c r="V33" s="154">
        <f t="shared" si="41"/>
        <v>103.52183869440005</v>
      </c>
      <c r="W33" s="154">
        <f t="shared" si="42"/>
        <v>115.94445933772806</v>
      </c>
      <c r="X33" s="154">
        <f t="shared" si="43"/>
        <v>129.85779445825546</v>
      </c>
      <c r="Y33" s="154">
        <f t="shared" si="44"/>
        <v>145.44072979324613</v>
      </c>
      <c r="Z33" s="154">
        <f t="shared" si="45"/>
        <v>162.89361736843568</v>
      </c>
      <c r="AA33" s="154">
        <f t="shared" si="46"/>
        <v>182.44085145264799</v>
      </c>
      <c r="AB33" s="154">
        <f t="shared" si="47"/>
        <v>204.33375362696577</v>
      </c>
      <c r="AC33" s="138" t="e">
        <f t="shared" si="19"/>
        <v>#DIV/0!</v>
      </c>
      <c r="AD33" s="31">
        <f t="shared" si="17"/>
        <v>0.08</v>
      </c>
      <c r="AE33" s="146">
        <f t="shared" si="1"/>
        <v>1576.2889565508788</v>
      </c>
    </row>
    <row r="34" spans="2:31" x14ac:dyDescent="0.2">
      <c r="B34" s="20" t="s">
        <v>309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>
        <v>6</v>
      </c>
      <c r="M34" s="147">
        <v>1.5</v>
      </c>
      <c r="N34" s="147">
        <v>115</v>
      </c>
      <c r="O34" s="147">
        <v>286</v>
      </c>
      <c r="P34" s="147">
        <v>4956</v>
      </c>
      <c r="Q34" s="118" t="e">
        <f>((P34/G34)^(1/($H$2-$H$1) ))-1</f>
        <v>#DIV/0!</v>
      </c>
      <c r="R34" s="31">
        <f t="shared" si="6"/>
        <v>0.12</v>
      </c>
      <c r="S34" s="154">
        <f t="shared" si="38"/>
        <v>5550.72</v>
      </c>
      <c r="T34" s="154">
        <f t="shared" si="39"/>
        <v>6216.8064000000013</v>
      </c>
      <c r="U34" s="154">
        <f t="shared" si="40"/>
        <v>6962.8231680000017</v>
      </c>
      <c r="V34" s="154">
        <f t="shared" si="41"/>
        <v>7798.3619481600026</v>
      </c>
      <c r="W34" s="154">
        <f t="shared" si="42"/>
        <v>8734.1653819392031</v>
      </c>
      <c r="X34" s="154">
        <f t="shared" si="43"/>
        <v>9782.265227771908</v>
      </c>
      <c r="Y34" s="154">
        <f t="shared" si="44"/>
        <v>10956.137055104538</v>
      </c>
      <c r="Z34" s="154">
        <f t="shared" si="45"/>
        <v>12270.873501717084</v>
      </c>
      <c r="AA34" s="154">
        <f t="shared" si="46"/>
        <v>13743.378321923135</v>
      </c>
      <c r="AB34" s="154">
        <f t="shared" si="47"/>
        <v>15392.583720553914</v>
      </c>
      <c r="AC34" s="138" t="e">
        <f t="shared" si="19"/>
        <v>#DIV/0!</v>
      </c>
      <c r="AD34" s="31">
        <f t="shared" si="17"/>
        <v>0.08</v>
      </c>
      <c r="AE34" s="146">
        <f t="shared" si="1"/>
        <v>118742.78870141591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>
        <v>-5</v>
      </c>
      <c r="M36" s="147">
        <v>243</v>
      </c>
      <c r="N36" s="147">
        <v>1220</v>
      </c>
      <c r="O36" s="147">
        <v>1325</v>
      </c>
      <c r="P36" s="147">
        <v>959.61</v>
      </c>
      <c r="Q36" s="118" t="e">
        <f>((P36/G36)^(1/($H$2-$H$1) ))-1</f>
        <v>#DIV/0!</v>
      </c>
      <c r="R36" s="31">
        <f t="shared" si="6"/>
        <v>0.12</v>
      </c>
      <c r="S36" s="154">
        <f t="shared" ref="S36" si="102">P36*(1+$R36)</f>
        <v>1074.7632000000001</v>
      </c>
      <c r="T36" s="154">
        <f t="shared" ref="T36" si="103">S36*(1+$R36)</f>
        <v>1203.7347840000002</v>
      </c>
      <c r="U36" s="154">
        <f t="shared" ref="U36" si="104">T36*(1+$R36)</f>
        <v>1348.1829580800004</v>
      </c>
      <c r="V36" s="154">
        <f t="shared" ref="V36" si="105">U36*(1+$R36)</f>
        <v>1509.9649130496007</v>
      </c>
      <c r="W36" s="154">
        <f t="shared" si="42"/>
        <v>1691.160702615553</v>
      </c>
      <c r="X36" s="154">
        <f t="shared" si="43"/>
        <v>1894.0999869294194</v>
      </c>
      <c r="Y36" s="154">
        <f t="shared" si="44"/>
        <v>2121.39198536095</v>
      </c>
      <c r="Z36" s="154">
        <f t="shared" si="45"/>
        <v>2375.9590236042641</v>
      </c>
      <c r="AA36" s="154">
        <f t="shared" si="46"/>
        <v>2661.0741064367762</v>
      </c>
      <c r="AB36" s="154">
        <f t="shared" si="47"/>
        <v>2980.4029992091896</v>
      </c>
      <c r="AC36" s="138" t="e">
        <f t="shared" si="19"/>
        <v>#DIV/0!</v>
      </c>
      <c r="AD36" s="31">
        <f t="shared" si="17"/>
        <v>0.08</v>
      </c>
      <c r="AE36" s="146">
        <f t="shared" si="1"/>
        <v>22991.680279613745</v>
      </c>
    </row>
    <row r="37" spans="2:31" s="123" customFormat="1" x14ac:dyDescent="0.2">
      <c r="B37" s="23"/>
      <c r="C37" s="149"/>
      <c r="D37" s="149"/>
      <c r="E37" s="150"/>
      <c r="F37" s="150"/>
      <c r="G37" s="148" t="e">
        <f t="shared" ref="G37" si="106">(G36-F36)/G36</f>
        <v>#DIV/0!</v>
      </c>
      <c r="H37" s="148" t="e">
        <f t="shared" ref="H37" si="107">(H36-G36)/H36</f>
        <v>#DIV/0!</v>
      </c>
      <c r="I37" s="148" t="e">
        <f t="shared" ref="I37" si="108">(I36-H36)/I36</f>
        <v>#DIV/0!</v>
      </c>
      <c r="J37" s="148" t="e">
        <f t="shared" ref="J37" si="109">(J36-I36)/J36</f>
        <v>#DIV/0!</v>
      </c>
      <c r="K37" s="148" t="e">
        <f t="shared" ref="K37" si="110">(K36-J36)/K36</f>
        <v>#DIV/0!</v>
      </c>
      <c r="L37" s="148">
        <f t="shared" ref="L37" si="111">(L36-K36)/L36</f>
        <v>1</v>
      </c>
      <c r="M37" s="148">
        <f t="shared" ref="M37" si="112">(M36-L36)/M36</f>
        <v>1.0205761316872428</v>
      </c>
      <c r="N37" s="148">
        <f t="shared" ref="N37" si="113">(N36-M36)/N36</f>
        <v>0.80081967213114758</v>
      </c>
      <c r="O37" s="148">
        <f t="shared" ref="O37" si="114">(O36-N36)/O36</f>
        <v>7.9245283018867921E-2</v>
      </c>
      <c r="P37" s="148">
        <f t="shared" ref="P37" si="115">(P36-O36)/P36</f>
        <v>-0.38076927084961598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/>
      <c r="G38" s="147"/>
      <c r="H38" s="147"/>
      <c r="I38" s="147"/>
      <c r="J38" s="147"/>
      <c r="K38" s="147"/>
      <c r="L38" s="147">
        <v>-5.24</v>
      </c>
      <c r="M38" s="147">
        <v>170</v>
      </c>
      <c r="N38" s="147">
        <v>514</v>
      </c>
      <c r="O38" s="147">
        <v>-294.5</v>
      </c>
      <c r="P38" s="147">
        <v>-2295</v>
      </c>
      <c r="Q38" s="118" t="e">
        <f>((P38/G38)^(1/($H$2-$H$1) ))-1</f>
        <v>#DIV/0!</v>
      </c>
      <c r="R38" s="31">
        <f t="shared" si="6"/>
        <v>0.12</v>
      </c>
      <c r="S38" s="154">
        <f>P38*(1+$R38)</f>
        <v>-2570.4</v>
      </c>
      <c r="T38" s="154">
        <f t="shared" ref="T38:AB38" si="116">S38*(1+$R38)</f>
        <v>-2878.8480000000004</v>
      </c>
      <c r="U38" s="154">
        <f t="shared" si="116"/>
        <v>-3224.3097600000006</v>
      </c>
      <c r="V38" s="154">
        <f t="shared" si="116"/>
        <v>-3611.2269312000008</v>
      </c>
      <c r="W38" s="154">
        <f t="shared" si="116"/>
        <v>-4044.5741629440013</v>
      </c>
      <c r="X38" s="154">
        <f t="shared" si="116"/>
        <v>-4529.9230624972815</v>
      </c>
      <c r="Y38" s="154">
        <f t="shared" si="116"/>
        <v>-5073.5138299969558</v>
      </c>
      <c r="Z38" s="154">
        <f t="shared" si="116"/>
        <v>-5682.3354895965913</v>
      </c>
      <c r="AA38" s="154">
        <f t="shared" si="116"/>
        <v>-6364.2157483481833</v>
      </c>
      <c r="AB38" s="154">
        <f t="shared" si="116"/>
        <v>-7127.9216381499664</v>
      </c>
      <c r="AC38" s="138" t="e">
        <f t="shared" si="19"/>
        <v>#DIV/0!</v>
      </c>
      <c r="AD38" s="31">
        <f t="shared" si="17"/>
        <v>0.08</v>
      </c>
      <c r="AE38" s="146">
        <f t="shared" si="1"/>
        <v>-54986.82406572831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>(G38-F38)/G38</f>
        <v>#DIV/0!</v>
      </c>
      <c r="H39" s="148" t="e">
        <f t="shared" ref="H39:P39" si="117">(H38-G38)/H38</f>
        <v>#DIV/0!</v>
      </c>
      <c r="I39" s="148" t="e">
        <f t="shared" si="117"/>
        <v>#DIV/0!</v>
      </c>
      <c r="J39" s="148" t="e">
        <f t="shared" si="117"/>
        <v>#DIV/0!</v>
      </c>
      <c r="K39" s="148" t="e">
        <f t="shared" si="117"/>
        <v>#DIV/0!</v>
      </c>
      <c r="L39" s="148">
        <f t="shared" si="117"/>
        <v>1</v>
      </c>
      <c r="M39" s="148">
        <f t="shared" si="117"/>
        <v>1.0308235294117647</v>
      </c>
      <c r="N39" s="148">
        <f t="shared" si="117"/>
        <v>0.66926070038910501</v>
      </c>
      <c r="O39" s="148">
        <f t="shared" si="117"/>
        <v>2.7453310696095077</v>
      </c>
      <c r="P39" s="148">
        <f t="shared" si="117"/>
        <v>0.87167755991285401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47"/>
      <c r="G40" s="147"/>
      <c r="H40" s="147"/>
      <c r="I40" s="147"/>
      <c r="J40" s="147"/>
      <c r="K40" s="147"/>
      <c r="L40" s="147">
        <v>184.19</v>
      </c>
      <c r="M40" s="147">
        <v>218</v>
      </c>
      <c r="N40" s="147">
        <v>218</v>
      </c>
      <c r="O40" s="147">
        <v>218</v>
      </c>
      <c r="P40" s="147">
        <v>239.3272</v>
      </c>
      <c r="Q40" s="118" t="e">
        <f>((P40/G40)^(1/($H$2-$H$1) ))-1</f>
        <v>#DIV/0!</v>
      </c>
      <c r="R40" s="31">
        <v>0.15</v>
      </c>
      <c r="S40" s="154">
        <f>P40*(1+$R40)</f>
        <v>275.22627999999997</v>
      </c>
      <c r="T40" s="154">
        <f t="shared" ref="T40:AB40" si="118">S40*(1+$R40)</f>
        <v>316.51022199999994</v>
      </c>
      <c r="U40" s="154">
        <f t="shared" si="118"/>
        <v>363.98675529999991</v>
      </c>
      <c r="V40" s="154">
        <f t="shared" si="118"/>
        <v>418.58476859499984</v>
      </c>
      <c r="W40" s="154">
        <f t="shared" si="118"/>
        <v>481.37248388424979</v>
      </c>
      <c r="X40" s="154">
        <f t="shared" si="118"/>
        <v>553.57835646688716</v>
      </c>
      <c r="Y40" s="154">
        <f t="shared" si="118"/>
        <v>636.61510993692013</v>
      </c>
      <c r="Z40" s="154">
        <f t="shared" si="118"/>
        <v>732.10737642745812</v>
      </c>
      <c r="AA40" s="154">
        <f t="shared" si="118"/>
        <v>841.92348289157678</v>
      </c>
      <c r="AB40" s="154">
        <f t="shared" si="118"/>
        <v>968.21200532531327</v>
      </c>
      <c r="AC40" s="138" t="e">
        <f t="shared" si="19"/>
        <v>#DIV/0!</v>
      </c>
      <c r="AD40" s="31">
        <f t="shared" si="17"/>
        <v>0.08</v>
      </c>
      <c r="AE40" s="146">
        <f t="shared" si="1"/>
        <v>7469.0640410809883</v>
      </c>
    </row>
    <row r="41" spans="2:31" x14ac:dyDescent="0.2">
      <c r="B41" s="20" t="s">
        <v>283</v>
      </c>
      <c r="C41" s="145"/>
      <c r="D41" s="145"/>
      <c r="E41" s="145"/>
      <c r="F41" s="147"/>
      <c r="G41" s="147"/>
      <c r="H41" s="147"/>
      <c r="I41" s="147"/>
      <c r="J41" s="147"/>
      <c r="K41" s="173"/>
      <c r="L41" s="20"/>
      <c r="M41" s="20"/>
      <c r="N41" s="20"/>
      <c r="O41" s="20"/>
      <c r="P41" s="20"/>
      <c r="Q41" s="118" t="e">
        <f>((P41/G41)^(1/($H$2-$H$1) ))-1</f>
        <v>#DIV/0!</v>
      </c>
      <c r="R41" s="31">
        <v>0.05</v>
      </c>
      <c r="S41" s="154">
        <f t="shared" ref="S41" si="119">P41*(1+$R41)</f>
        <v>0</v>
      </c>
      <c r="T41" s="154">
        <f t="shared" ref="T41" si="120">S41*(1+$R41)</f>
        <v>0</v>
      </c>
      <c r="U41" s="154">
        <f t="shared" ref="U41" si="121">T41*(1+$R41)</f>
        <v>0</v>
      </c>
      <c r="V41" s="154">
        <f t="shared" ref="V41" si="122">U41*(1+$R41)</f>
        <v>0</v>
      </c>
      <c r="W41" s="154">
        <f t="shared" ref="W41" si="123">V41*(1+$R41)</f>
        <v>0</v>
      </c>
      <c r="X41" s="154">
        <f t="shared" ref="X41" si="124">W41*(1+$R41)</f>
        <v>0</v>
      </c>
      <c r="Y41" s="154">
        <f t="shared" ref="Y41" si="125">X41*(1+$R41)</f>
        <v>0</v>
      </c>
      <c r="Z41" s="154">
        <f t="shared" ref="Z41" si="126">Y41*(1+$R41)</f>
        <v>0</v>
      </c>
      <c r="AA41" s="154">
        <f t="shared" ref="AA41" si="127">Z41*(1+$R41)</f>
        <v>0</v>
      </c>
      <c r="AB41" s="154">
        <f t="shared" ref="AB41" si="128">AA41*(1+$R41)</f>
        <v>0</v>
      </c>
      <c r="AC41" s="138" t="e">
        <f t="shared" ref="AC41" si="129">((AB41/G41)^(1/($AB$3-$H$1) ))-1</f>
        <v>#DIV/0!</v>
      </c>
      <c r="AD41" s="31">
        <f t="shared" si="17"/>
        <v>0.08</v>
      </c>
      <c r="AE41" s="146">
        <f t="shared" si="1"/>
        <v>0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 t="e">
        <f t="shared" si="130"/>
        <v>#DIV/0!</v>
      </c>
      <c r="G44" s="133" t="e">
        <f t="shared" si="130"/>
        <v>#DIV/0!</v>
      </c>
      <c r="H44" s="133" t="e">
        <f t="shared" si="130"/>
        <v>#DIV/0!</v>
      </c>
      <c r="I44" s="133" t="e">
        <f t="shared" si="130"/>
        <v>#DIV/0!</v>
      </c>
      <c r="J44" s="133" t="e">
        <f t="shared" si="130"/>
        <v>#DIV/0!</v>
      </c>
      <c r="K44" s="133" t="e">
        <f t="shared" si="130"/>
        <v>#DIV/0!</v>
      </c>
      <c r="L44" s="133">
        <f t="shared" si="130"/>
        <v>0</v>
      </c>
      <c r="M44" s="133">
        <f t="shared" si="130"/>
        <v>2.1422018348623855</v>
      </c>
      <c r="N44" s="133">
        <f t="shared" si="130"/>
        <v>9.876146788990825</v>
      </c>
      <c r="O44" s="133">
        <f t="shared" si="130"/>
        <v>18.770642201834864</v>
      </c>
      <c r="P44" s="133">
        <f t="shared" si="130"/>
        <v>29.22359013100057</v>
      </c>
      <c r="Q44" s="118" t="e">
        <f>((P44/G44)^(1/($H$2-$H$1) ))-1</f>
        <v>#DIV/0!</v>
      </c>
      <c r="R44" s="128"/>
      <c r="S44" s="158">
        <f t="shared" ref="S44:AB44" si="131">S25/S40</f>
        <v>28.461235605844038</v>
      </c>
      <c r="T44" s="158">
        <f t="shared" si="131"/>
        <v>27.718768590039421</v>
      </c>
      <c r="U44" s="158">
        <f t="shared" si="131"/>
        <v>26.995670278994918</v>
      </c>
      <c r="V44" s="158">
        <f t="shared" si="131"/>
        <v>26.291435402151578</v>
      </c>
      <c r="W44" s="158">
        <f t="shared" si="131"/>
        <v>25.605571869921544</v>
      </c>
      <c r="X44" s="158">
        <f t="shared" si="131"/>
        <v>24.937600429836639</v>
      </c>
      <c r="Y44" s="158">
        <f t="shared" si="131"/>
        <v>24.28705433166699</v>
      </c>
      <c r="Z44" s="158">
        <f t="shared" si="131"/>
        <v>23.653479001275681</v>
      </c>
      <c r="AA44" s="158">
        <f t="shared" si="131"/>
        <v>23.036431722981536</v>
      </c>
      <c r="AB44" s="158">
        <f t="shared" si="131"/>
        <v>22.435481330208109</v>
      </c>
      <c r="AC44" s="138" t="e">
        <f t="shared" ref="AC44" si="132">((AB44/G44)^(1/($AB$3-$H$1) ))-1</f>
        <v>#DIV/0!</v>
      </c>
      <c r="AD44" s="31">
        <f t="shared" si="17"/>
        <v>0.08</v>
      </c>
      <c r="AE44" s="146">
        <f t="shared" ref="AE44:AE45" si="133">(AB44*(1+AD44))/($C$1-AD44)</f>
        <v>173.07371311874826</v>
      </c>
    </row>
    <row r="45" spans="2:31" x14ac:dyDescent="0.2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 t="e">
        <f t="shared" si="134"/>
        <v>#DIV/0!</v>
      </c>
      <c r="G45" s="133" t="e">
        <f t="shared" si="134"/>
        <v>#DIV/0!</v>
      </c>
      <c r="H45" s="133" t="e">
        <f t="shared" si="134"/>
        <v>#DIV/0!</v>
      </c>
      <c r="I45" s="133" t="e">
        <f t="shared" si="134"/>
        <v>#DIV/0!</v>
      </c>
      <c r="J45" s="133" t="e">
        <f t="shared" si="134"/>
        <v>#DIV/0!</v>
      </c>
      <c r="K45" s="133" t="e">
        <f t="shared" si="134"/>
        <v>#DIV/0!</v>
      </c>
      <c r="L45" s="133">
        <f t="shared" si="134"/>
        <v>3.2575058363646235E-2</v>
      </c>
      <c r="M45" s="133">
        <f t="shared" si="134"/>
        <v>0.87614678899082565</v>
      </c>
      <c r="N45" s="133">
        <f t="shared" si="134"/>
        <v>4.1972477064220186</v>
      </c>
      <c r="O45" s="133">
        <f t="shared" si="134"/>
        <v>12.678899082568808</v>
      </c>
      <c r="P45" s="133">
        <f t="shared" si="134"/>
        <v>24.313993561952007</v>
      </c>
      <c r="Q45" s="118" t="e">
        <f>((P45/G45)^(1/($H$2-$H$1) ))-1</f>
        <v>#DIV/0!</v>
      </c>
      <c r="R45" s="128"/>
      <c r="S45" s="158">
        <f t="shared" ref="S45:AB45" si="135">S27/S40</f>
        <v>23.679715469031525</v>
      </c>
      <c r="T45" s="158">
        <f t="shared" si="135"/>
        <v>23.061983761143747</v>
      </c>
      <c r="U45" s="158">
        <f t="shared" si="135"/>
        <v>22.460366793461741</v>
      </c>
      <c r="V45" s="158">
        <f t="shared" si="135"/>
        <v>21.874444181458394</v>
      </c>
      <c r="W45" s="158">
        <f t="shared" si="135"/>
        <v>21.303806507159486</v>
      </c>
      <c r="X45" s="158">
        <f t="shared" si="135"/>
        <v>20.748055033059678</v>
      </c>
      <c r="Y45" s="158">
        <f t="shared" si="135"/>
        <v>20.206801423501602</v>
      </c>
      <c r="Z45" s="158">
        <f t="shared" si="135"/>
        <v>19.679667473323303</v>
      </c>
      <c r="AA45" s="158">
        <f t="shared" si="135"/>
        <v>19.166284843584435</v>
      </c>
      <c r="AB45" s="158">
        <f t="shared" si="135"/>
        <v>18.666294804186585</v>
      </c>
      <c r="AC45" s="138" t="e">
        <f t="shared" ref="AC45" si="136">((AB45/G45)^(1/($AB$3-$H$1) ))-1</f>
        <v>#DIV/0!</v>
      </c>
      <c r="AD45" s="31">
        <f t="shared" si="17"/>
        <v>0.08</v>
      </c>
      <c r="AE45" s="146">
        <f t="shared" si="133"/>
        <v>143.99713134658222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 t="e">
        <f t="shared" si="137"/>
        <v>#DIV/0!</v>
      </c>
      <c r="G47" s="133" t="e">
        <f t="shared" si="137"/>
        <v>#DIV/0!</v>
      </c>
      <c r="H47" s="133" t="e">
        <f t="shared" si="137"/>
        <v>#DIV/0!</v>
      </c>
      <c r="I47" s="133" t="e">
        <f t="shared" si="137"/>
        <v>#DIV/0!</v>
      </c>
      <c r="J47" s="133" t="e">
        <f t="shared" si="137"/>
        <v>#DIV/0!</v>
      </c>
      <c r="K47" s="133" t="e">
        <f t="shared" si="137"/>
        <v>#DIV/0!</v>
      </c>
      <c r="L47" s="133">
        <f t="shared" si="137"/>
        <v>-2.8448884304251045E-2</v>
      </c>
      <c r="M47" s="133">
        <f t="shared" si="137"/>
        <v>0.77981651376146788</v>
      </c>
      <c r="N47" s="133">
        <f t="shared" si="137"/>
        <v>2.3577981651376145</v>
      </c>
      <c r="O47" s="133">
        <f t="shared" si="137"/>
        <v>-1.3509174311926606</v>
      </c>
      <c r="P47" s="133">
        <f t="shared" si="137"/>
        <v>-9.5893822348650719</v>
      </c>
      <c r="Q47" s="118" t="e">
        <f>((P47/G47)^(1/($H$2-$H$1) ))-1</f>
        <v>#DIV/0!</v>
      </c>
      <c r="R47" s="128"/>
      <c r="S47" s="158">
        <f t="shared" ref="S47:AB47" si="138">S38/S40</f>
        <v>-9.3392244374338098</v>
      </c>
      <c r="T47" s="158">
        <f t="shared" si="138"/>
        <v>-9.095592495587713</v>
      </c>
      <c r="U47" s="158">
        <f t="shared" si="138"/>
        <v>-8.8583161696158594</v>
      </c>
      <c r="V47" s="158">
        <f t="shared" si="138"/>
        <v>-8.6272296608432733</v>
      </c>
      <c r="W47" s="158">
        <f t="shared" si="138"/>
        <v>-8.4021714957777984</v>
      </c>
      <c r="X47" s="158">
        <f t="shared" si="138"/>
        <v>-8.1829844132792484</v>
      </c>
      <c r="Y47" s="158">
        <f t="shared" si="138"/>
        <v>-7.9695152546719665</v>
      </c>
      <c r="Z47" s="158">
        <f t="shared" si="138"/>
        <v>-7.7616148567240035</v>
      </c>
      <c r="AA47" s="158">
        <f t="shared" si="138"/>
        <v>-7.5591379474181615</v>
      </c>
      <c r="AB47" s="158">
        <f t="shared" si="138"/>
        <v>-7.3619430444420368</v>
      </c>
      <c r="AC47" s="138" t="e">
        <f t="shared" ref="AC47:AC60" si="139">((AB47/G47)^(1/($AB$3-$H$1) ))-1</f>
        <v>#DIV/0!</v>
      </c>
      <c r="AD47" s="31">
        <f t="shared" si="17"/>
        <v>0.08</v>
      </c>
      <c r="AE47" s="146">
        <f t="shared" ref="AE47:AE74" si="140">(AB47*(1+AD47))/($C$1-AD47)</f>
        <v>-56.792132057124284</v>
      </c>
    </row>
    <row r="48" spans="2:31" x14ac:dyDescent="0.2">
      <c r="B48" s="20" t="s">
        <v>245</v>
      </c>
      <c r="C48" s="25">
        <f t="shared" ref="C48:P48" si="141">C7/C40</f>
        <v>0</v>
      </c>
      <c r="D48" s="25">
        <f t="shared" si="141"/>
        <v>0</v>
      </c>
      <c r="E48" s="25">
        <f t="shared" si="141"/>
        <v>0</v>
      </c>
      <c r="F48" s="133" t="e">
        <f t="shared" si="141"/>
        <v>#DIV/0!</v>
      </c>
      <c r="G48" s="133" t="e">
        <f t="shared" si="141"/>
        <v>#DIV/0!</v>
      </c>
      <c r="H48" s="133" t="e">
        <f t="shared" si="141"/>
        <v>#DIV/0!</v>
      </c>
      <c r="I48" s="133" t="e">
        <f t="shared" si="141"/>
        <v>#DIV/0!</v>
      </c>
      <c r="J48" s="133" t="e">
        <f t="shared" si="141"/>
        <v>#DIV/0!</v>
      </c>
      <c r="K48" s="133" t="e">
        <f t="shared" si="141"/>
        <v>#DIV/0!</v>
      </c>
      <c r="L48" s="133">
        <f t="shared" si="141"/>
        <v>12.421955589337097</v>
      </c>
      <c r="M48" s="133">
        <f t="shared" si="141"/>
        <v>26.504587155963304</v>
      </c>
      <c r="N48" s="133">
        <f t="shared" si="141"/>
        <v>28.839449541284402</v>
      </c>
      <c r="O48" s="133">
        <f t="shared" si="141"/>
        <v>27.711009174311926</v>
      </c>
      <c r="P48" s="133">
        <f t="shared" si="141"/>
        <v>17.937785592277017</v>
      </c>
      <c r="Q48" s="118" t="e">
        <f>((P48/G48)^(1/($H$2-$H$1) ))-1</f>
        <v>#DIV/0!</v>
      </c>
      <c r="R48" s="128"/>
      <c r="S48" s="158">
        <f t="shared" ref="S48:AB48" si="142">S7/S40</f>
        <v>17.469843359435011</v>
      </c>
      <c r="T48" s="158">
        <f t="shared" si="142"/>
        <v>17.014108315275841</v>
      </c>
      <c r="U48" s="158">
        <f t="shared" si="142"/>
        <v>16.57026201139908</v>
      </c>
      <c r="V48" s="158">
        <f t="shared" si="142"/>
        <v>16.137994306753892</v>
      </c>
      <c r="W48" s="158">
        <f t="shared" si="142"/>
        <v>15.717003150925532</v>
      </c>
      <c r="X48" s="158">
        <f t="shared" si="142"/>
        <v>15.306994373075304</v>
      </c>
      <c r="Y48" s="158">
        <f t="shared" si="142"/>
        <v>14.907681476386387</v>
      </c>
      <c r="Z48" s="158">
        <f t="shared" si="142"/>
        <v>14.51878543787196</v>
      </c>
      <c r="AA48" s="158">
        <f t="shared" si="142"/>
        <v>14.140034513405737</v>
      </c>
      <c r="AB48" s="158">
        <f t="shared" si="142"/>
        <v>13.771164047838633</v>
      </c>
      <c r="AC48" s="138" t="e">
        <f t="shared" si="139"/>
        <v>#DIV/0!</v>
      </c>
      <c r="AD48" s="31">
        <f t="shared" si="17"/>
        <v>0.08</v>
      </c>
      <c r="AE48" s="146">
        <f t="shared" si="140"/>
        <v>106.2346940833266</v>
      </c>
    </row>
    <row r="49" spans="2:31" x14ac:dyDescent="0.2">
      <c r="B49" s="20" t="s">
        <v>246</v>
      </c>
      <c r="C49" s="127">
        <f t="shared" ref="C49:P49" si="143">C6/C40</f>
        <v>0</v>
      </c>
      <c r="D49" s="127">
        <f t="shared" si="143"/>
        <v>0</v>
      </c>
      <c r="E49" s="127">
        <f t="shared" si="143"/>
        <v>0</v>
      </c>
      <c r="F49" s="144" t="e">
        <f t="shared" si="143"/>
        <v>#DIV/0!</v>
      </c>
      <c r="G49" s="144" t="e">
        <f t="shared" si="143"/>
        <v>#DIV/0!</v>
      </c>
      <c r="H49" s="144" t="e">
        <f t="shared" si="143"/>
        <v>#DIV/0!</v>
      </c>
      <c r="I49" s="144" t="e">
        <f t="shared" si="143"/>
        <v>#DIV/0!</v>
      </c>
      <c r="J49" s="144" t="e">
        <f t="shared" si="143"/>
        <v>#DIV/0!</v>
      </c>
      <c r="K49" s="144" t="e">
        <f t="shared" si="143"/>
        <v>#DIV/0!</v>
      </c>
      <c r="L49" s="144">
        <f t="shared" si="143"/>
        <v>2.4268418480916445</v>
      </c>
      <c r="M49" s="144">
        <f t="shared" si="143"/>
        <v>16.504587155963304</v>
      </c>
      <c r="N49" s="144">
        <f t="shared" si="143"/>
        <v>18.839449541284402</v>
      </c>
      <c r="O49" s="144">
        <f t="shared" si="143"/>
        <v>17.711009174311926</v>
      </c>
      <c r="P49" s="144">
        <f t="shared" si="143"/>
        <v>7.9389221116530004</v>
      </c>
      <c r="Q49" s="118" t="e">
        <f>((P49/G49)^(1/($H$2-$H$1) ))-1</f>
        <v>#DIV/0!</v>
      </c>
      <c r="R49" s="128"/>
      <c r="S49" s="157">
        <f t="shared" ref="S49:AB49" si="144">S6/S40</f>
        <v>7.7318197956968362</v>
      </c>
      <c r="T49" s="157">
        <f t="shared" si="144"/>
        <v>7.5301201488525722</v>
      </c>
      <c r="U49" s="157">
        <f t="shared" si="144"/>
        <v>7.3336822319259838</v>
      </c>
      <c r="V49" s="157">
        <f t="shared" si="144"/>
        <v>7.1423687823974813</v>
      </c>
      <c r="W49" s="157">
        <f t="shared" si="144"/>
        <v>6.9560461185088522</v>
      </c>
      <c r="X49" s="157">
        <f t="shared" si="144"/>
        <v>6.7745840458521016</v>
      </c>
      <c r="Y49" s="157">
        <f t="shared" si="144"/>
        <v>6.5978557663950923</v>
      </c>
      <c r="Z49" s="157">
        <f t="shared" si="144"/>
        <v>6.4257377898804391</v>
      </c>
      <c r="AA49" s="157">
        <f t="shared" si="144"/>
        <v>6.2581098475357333</v>
      </c>
      <c r="AB49" s="157">
        <f t="shared" si="144"/>
        <v>6.0948548080348015</v>
      </c>
      <c r="AC49" s="138" t="e">
        <f t="shared" si="139"/>
        <v>#DIV/0!</v>
      </c>
      <c r="AD49" s="31">
        <f t="shared" si="17"/>
        <v>0.08</v>
      </c>
      <c r="AE49" s="146">
        <f t="shared" si="140"/>
        <v>47.017451376268468</v>
      </c>
    </row>
    <row r="50" spans="2:31" x14ac:dyDescent="0.2">
      <c r="B50" s="20" t="s">
        <v>247</v>
      </c>
      <c r="C50" s="127">
        <f t="shared" ref="C50:P50" si="145">C10/C40</f>
        <v>0</v>
      </c>
      <c r="D50" s="127">
        <f t="shared" si="145"/>
        <v>0</v>
      </c>
      <c r="E50" s="127">
        <f t="shared" si="145"/>
        <v>0</v>
      </c>
      <c r="F50" s="144" t="e">
        <f t="shared" si="145"/>
        <v>#DIV/0!</v>
      </c>
      <c r="G50" s="144" t="e">
        <f t="shared" si="145"/>
        <v>#DIV/0!</v>
      </c>
      <c r="H50" s="144" t="e">
        <f t="shared" si="145"/>
        <v>#DIV/0!</v>
      </c>
      <c r="I50" s="144" t="e">
        <f t="shared" si="145"/>
        <v>#DIV/0!</v>
      </c>
      <c r="J50" s="144" t="e">
        <f t="shared" si="145"/>
        <v>#DIV/0!</v>
      </c>
      <c r="K50" s="144" t="e">
        <f t="shared" si="145"/>
        <v>#DIV/0!</v>
      </c>
      <c r="L50" s="144">
        <f t="shared" si="145"/>
        <v>27.091590205765787</v>
      </c>
      <c r="M50" s="144">
        <f t="shared" si="145"/>
        <v>48.486238532110093</v>
      </c>
      <c r="N50" s="144">
        <f t="shared" si="145"/>
        <v>112.39449541284404</v>
      </c>
      <c r="O50" s="144">
        <f t="shared" si="145"/>
        <v>177.06422018348624</v>
      </c>
      <c r="P50" s="144">
        <f t="shared" si="145"/>
        <v>157.11544696967164</v>
      </c>
      <c r="Q50" s="118" t="e">
        <f>((P50/G50)^(1/($H$2-$H$1) ))-1</f>
        <v>#DIV/0!</v>
      </c>
      <c r="R50" s="128"/>
      <c r="S50" s="157">
        <f t="shared" ref="S50:AB50" si="146">S10/S40</f>
        <v>153.01678313568024</v>
      </c>
      <c r="T50" s="157">
        <f t="shared" si="146"/>
        <v>149.0250409669234</v>
      </c>
      <c r="U50" s="157">
        <f t="shared" si="146"/>
        <v>145.13743120256891</v>
      </c>
      <c r="V50" s="157">
        <f t="shared" si="146"/>
        <v>141.3512373451106</v>
      </c>
      <c r="W50" s="157">
        <f t="shared" si="146"/>
        <v>137.66381376219471</v>
      </c>
      <c r="X50" s="157">
        <f t="shared" si="146"/>
        <v>134.07258383796358</v>
      </c>
      <c r="Y50" s="157">
        <f t="shared" si="146"/>
        <v>130.57503817262543</v>
      </c>
      <c r="Z50" s="157">
        <f t="shared" si="146"/>
        <v>127.16873282899175</v>
      </c>
      <c r="AA50" s="157">
        <f t="shared" si="146"/>
        <v>123.85128762475721</v>
      </c>
      <c r="AB50" s="157">
        <f t="shared" si="146"/>
        <v>120.62038446932877</v>
      </c>
      <c r="AC50" s="138" t="e">
        <f t="shared" si="139"/>
        <v>#DIV/0!</v>
      </c>
      <c r="AD50" s="31">
        <f t="shared" si="17"/>
        <v>0.08</v>
      </c>
      <c r="AE50" s="146">
        <f t="shared" si="140"/>
        <v>930.50010876339331</v>
      </c>
    </row>
    <row r="51" spans="2:31" x14ac:dyDescent="0.2">
      <c r="B51" s="20"/>
      <c r="C51" s="127"/>
      <c r="D51" s="127"/>
      <c r="E51" s="127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28"/>
      <c r="R51" s="128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39"/>
      <c r="AD51" s="137"/>
      <c r="AE51" s="146"/>
    </row>
    <row r="52" spans="2:31" x14ac:dyDescent="0.2">
      <c r="B52" s="20" t="s">
        <v>271</v>
      </c>
      <c r="C52" s="127">
        <f t="shared" ref="C52:P52" si="147">(C7-C10)/C40</f>
        <v>0</v>
      </c>
      <c r="D52" s="127">
        <f t="shared" si="147"/>
        <v>0</v>
      </c>
      <c r="E52" s="127">
        <f t="shared" si="147"/>
        <v>0</v>
      </c>
      <c r="F52" s="144" t="e">
        <f t="shared" si="147"/>
        <v>#DIV/0!</v>
      </c>
      <c r="G52" s="144" t="e">
        <f t="shared" si="147"/>
        <v>#DIV/0!</v>
      </c>
      <c r="H52" s="144" t="e">
        <f t="shared" si="147"/>
        <v>#DIV/0!</v>
      </c>
      <c r="I52" s="144" t="e">
        <f t="shared" si="147"/>
        <v>#DIV/0!</v>
      </c>
      <c r="J52" s="144" t="e">
        <f t="shared" si="147"/>
        <v>#DIV/0!</v>
      </c>
      <c r="K52" s="144" t="e">
        <f t="shared" si="147"/>
        <v>#DIV/0!</v>
      </c>
      <c r="L52" s="144">
        <f t="shared" si="147"/>
        <v>-14.669634616428688</v>
      </c>
      <c r="M52" s="144">
        <f t="shared" si="147"/>
        <v>-21.98165137614679</v>
      </c>
      <c r="N52" s="144">
        <f t="shared" si="147"/>
        <v>-83.555045871559628</v>
      </c>
      <c r="O52" s="144">
        <f t="shared" si="147"/>
        <v>-149.35321100917432</v>
      </c>
      <c r="P52" s="144">
        <f t="shared" si="147"/>
        <v>-139.17766137739463</v>
      </c>
      <c r="Q52" s="118" t="e">
        <f>((P52/G52)^(1/($H$2-$H$1) ))-1</f>
        <v>#DIV/0!</v>
      </c>
      <c r="R52" s="128"/>
      <c r="S52" s="157">
        <f t="shared" ref="S52:AB52" si="148">(S7-S10)/S40</f>
        <v>-135.54693977624521</v>
      </c>
      <c r="T52" s="157">
        <f t="shared" si="148"/>
        <v>-132.01093265164755</v>
      </c>
      <c r="U52" s="157">
        <f t="shared" si="148"/>
        <v>-128.56716919116982</v>
      </c>
      <c r="V52" s="157">
        <f t="shared" si="148"/>
        <v>-125.21324303835672</v>
      </c>
      <c r="W52" s="157">
        <f t="shared" si="148"/>
        <v>-121.94681061126919</v>
      </c>
      <c r="X52" s="157">
        <f t="shared" si="148"/>
        <v>-118.76558946488828</v>
      </c>
      <c r="Y52" s="157">
        <f t="shared" si="148"/>
        <v>-115.66735669623905</v>
      </c>
      <c r="Z52" s="157">
        <f t="shared" si="148"/>
        <v>-112.64994739111978</v>
      </c>
      <c r="AA52" s="157">
        <f t="shared" si="148"/>
        <v>-109.71125311135145</v>
      </c>
      <c r="AB52" s="157">
        <f t="shared" si="148"/>
        <v>-106.84922042149013</v>
      </c>
      <c r="AC52" s="138" t="e">
        <f t="shared" si="139"/>
        <v>#DIV/0!</v>
      </c>
      <c r="AD52" s="31">
        <f t="shared" si="17"/>
        <v>0.08</v>
      </c>
      <c r="AE52" s="146">
        <f t="shared" si="140"/>
        <v>-824.26541468006667</v>
      </c>
    </row>
    <row r="53" spans="2:31" x14ac:dyDescent="0.2">
      <c r="B53" s="20" t="s">
        <v>272</v>
      </c>
      <c r="C53" s="127">
        <f t="shared" ref="C53:P53" si="149">(C7-C10-C9)/C40</f>
        <v>0</v>
      </c>
      <c r="D53" s="127">
        <f t="shared" si="149"/>
        <v>0</v>
      </c>
      <c r="E53" s="127">
        <f t="shared" si="149"/>
        <v>0</v>
      </c>
      <c r="F53" s="144" t="e">
        <f t="shared" si="149"/>
        <v>#DIV/0!</v>
      </c>
      <c r="G53" s="144" t="e">
        <f t="shared" si="149"/>
        <v>#DIV/0!</v>
      </c>
      <c r="H53" s="144" t="e">
        <f t="shared" si="149"/>
        <v>#DIV/0!</v>
      </c>
      <c r="I53" s="144" t="e">
        <f t="shared" si="149"/>
        <v>#DIV/0!</v>
      </c>
      <c r="J53" s="144" t="e">
        <f t="shared" si="149"/>
        <v>#DIV/0!</v>
      </c>
      <c r="K53" s="144" t="e">
        <f t="shared" si="149"/>
        <v>#DIV/0!</v>
      </c>
      <c r="L53" s="144">
        <f t="shared" si="149"/>
        <v>-17.720831749823553</v>
      </c>
      <c r="M53" s="144">
        <f t="shared" si="149"/>
        <v>-28.834862385321102</v>
      </c>
      <c r="N53" s="144">
        <f t="shared" si="149"/>
        <v>-100.20642201834862</v>
      </c>
      <c r="O53" s="144">
        <f t="shared" si="149"/>
        <v>-174.35321100917432</v>
      </c>
      <c r="P53" s="144">
        <f t="shared" si="149"/>
        <v>-190.5466658198483</v>
      </c>
      <c r="Q53" s="118" t="e">
        <f>((P53/G53)^(1/($H$2-$H$1) ))-1</f>
        <v>#DIV/0!</v>
      </c>
      <c r="R53" s="128"/>
      <c r="S53" s="157">
        <f t="shared" ref="S53:AB53" si="150">(S7-S10-S9)/S40</f>
        <v>-185.57588323324359</v>
      </c>
      <c r="T53" s="157">
        <f t="shared" si="150"/>
        <v>-180.73477323585468</v>
      </c>
      <c r="U53" s="157">
        <f t="shared" si="150"/>
        <v>-176.01995306448458</v>
      </c>
      <c r="V53" s="157">
        <f t="shared" si="150"/>
        <v>-171.42812820193285</v>
      </c>
      <c r="W53" s="157">
        <f t="shared" si="150"/>
        <v>-166.95609007492595</v>
      </c>
      <c r="X53" s="157">
        <f t="shared" si="150"/>
        <v>-162.60071381210182</v>
      </c>
      <c r="Y53" s="157">
        <f t="shared" si="150"/>
        <v>-158.35895606048183</v>
      </c>
      <c r="Z53" s="157">
        <f t="shared" si="150"/>
        <v>-154.22785285890404</v>
      </c>
      <c r="AA53" s="157">
        <f t="shared" si="150"/>
        <v>-150.20451756693265</v>
      </c>
      <c r="AB53" s="157">
        <f t="shared" si="150"/>
        <v>-146.28613884779529</v>
      </c>
      <c r="AC53" s="138" t="e">
        <f t="shared" si="139"/>
        <v>#DIV/0!</v>
      </c>
      <c r="AD53" s="31">
        <f t="shared" si="17"/>
        <v>0.08</v>
      </c>
      <c r="AE53" s="146">
        <f t="shared" si="140"/>
        <v>-1128.4930711115635</v>
      </c>
    </row>
    <row r="54" spans="2:31" x14ac:dyDescent="0.2">
      <c r="B54" s="20" t="s">
        <v>277</v>
      </c>
      <c r="C54" s="127">
        <f t="shared" ref="C54:P54" si="151">(C7+C15-C10-C9)/C40</f>
        <v>0</v>
      </c>
      <c r="D54" s="127">
        <f t="shared" si="151"/>
        <v>0</v>
      </c>
      <c r="E54" s="127">
        <f t="shared" si="151"/>
        <v>0</v>
      </c>
      <c r="F54" s="144" t="e">
        <f t="shared" si="151"/>
        <v>#DIV/0!</v>
      </c>
      <c r="G54" s="144" t="e">
        <f t="shared" si="151"/>
        <v>#DIV/0!</v>
      </c>
      <c r="H54" s="144" t="e">
        <f t="shared" si="151"/>
        <v>#DIV/0!</v>
      </c>
      <c r="I54" s="144" t="e">
        <f t="shared" si="151"/>
        <v>#DIV/0!</v>
      </c>
      <c r="J54" s="144" t="e">
        <f t="shared" si="151"/>
        <v>#DIV/0!</v>
      </c>
      <c r="K54" s="144" t="e">
        <f t="shared" si="151"/>
        <v>#DIV/0!</v>
      </c>
      <c r="L54" s="144">
        <f t="shared" si="151"/>
        <v>-12.427384765731039</v>
      </c>
      <c r="M54" s="144">
        <f t="shared" si="151"/>
        <v>-17.857798165137616</v>
      </c>
      <c r="N54" s="144">
        <f t="shared" si="151"/>
        <v>-88.555045871559628</v>
      </c>
      <c r="O54" s="144">
        <f t="shared" si="151"/>
        <v>-133.80733944954127</v>
      </c>
      <c r="P54" s="144">
        <f t="shared" si="151"/>
        <v>-173.69943742290889</v>
      </c>
      <c r="Q54" s="118" t="e">
        <f>((P54/G54)^(1/($H$2-$H$1) ))-1</f>
        <v>#DIV/0!</v>
      </c>
      <c r="R54" s="128"/>
      <c r="S54" s="157">
        <f t="shared" ref="S54:AB54" si="152">(S7+S15-S10-S9)/S40</f>
        <v>-169.16814775100696</v>
      </c>
      <c r="T54" s="157">
        <f t="shared" si="152"/>
        <v>-164.75506563576332</v>
      </c>
      <c r="U54" s="157">
        <f t="shared" si="152"/>
        <v>-160.45710740178691</v>
      </c>
      <c r="V54" s="157">
        <f t="shared" si="152"/>
        <v>-156.27126981739249</v>
      </c>
      <c r="W54" s="157">
        <f t="shared" si="152"/>
        <v>-152.19462799606924</v>
      </c>
      <c r="X54" s="157">
        <f t="shared" si="152"/>
        <v>-148.22433335269361</v>
      </c>
      <c r="Y54" s="157">
        <f t="shared" si="152"/>
        <v>-144.35761161305814</v>
      </c>
      <c r="Z54" s="157">
        <f t="shared" si="152"/>
        <v>-140.5917608753262</v>
      </c>
      <c r="AA54" s="157">
        <f t="shared" si="152"/>
        <v>-136.92414972205682</v>
      </c>
      <c r="AB54" s="157">
        <f t="shared" si="152"/>
        <v>-133.35221538148147</v>
      </c>
      <c r="AC54" s="138" t="e">
        <f t="shared" si="139"/>
        <v>#DIV/0!</v>
      </c>
      <c r="AD54" s="31">
        <f t="shared" si="17"/>
        <v>0.08</v>
      </c>
      <c r="AE54" s="146">
        <f t="shared" si="140"/>
        <v>-1028.7170900857141</v>
      </c>
    </row>
    <row r="55" spans="2:31" x14ac:dyDescent="0.2">
      <c r="B55" s="20"/>
      <c r="C55" s="127"/>
      <c r="D55" s="127"/>
      <c r="E55" s="127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28"/>
      <c r="R55" s="128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39"/>
      <c r="AD55" s="137"/>
      <c r="AE55" s="154"/>
    </row>
    <row r="56" spans="2:31" x14ac:dyDescent="0.2">
      <c r="B56" s="20" t="s">
        <v>248</v>
      </c>
      <c r="C56" s="127">
        <f t="shared" ref="C56:F56" si="153">C12/C40</f>
        <v>0</v>
      </c>
      <c r="D56" s="127">
        <f t="shared" si="153"/>
        <v>0</v>
      </c>
      <c r="E56" s="127">
        <f t="shared" si="153"/>
        <v>0</v>
      </c>
      <c r="F56" s="144" t="e">
        <f t="shared" si="153"/>
        <v>#DIV/0!</v>
      </c>
      <c r="G56" s="144" t="e">
        <f>#REF!/G40</f>
        <v>#REF!</v>
      </c>
      <c r="H56" s="144" t="e">
        <f>#REF!/H40</f>
        <v>#REF!</v>
      </c>
      <c r="I56" s="144" t="e">
        <f>#REF!/I40</f>
        <v>#REF!</v>
      </c>
      <c r="J56" s="144" t="e">
        <f>#REF!/J40</f>
        <v>#REF!</v>
      </c>
      <c r="K56" s="144" t="e">
        <f>#REF!/K40</f>
        <v>#REF!</v>
      </c>
      <c r="L56" s="144" t="e">
        <f>#REF!/L40</f>
        <v>#REF!</v>
      </c>
      <c r="M56" s="144" t="e">
        <f>#REF!/M40</f>
        <v>#REF!</v>
      </c>
      <c r="N56" s="144" t="e">
        <f>#REF!/N40</f>
        <v>#REF!</v>
      </c>
      <c r="O56" s="144" t="e">
        <f>#REF!/O40</f>
        <v>#REF!</v>
      </c>
      <c r="P56" s="144" t="e">
        <f>#REF!/P40</f>
        <v>#REF!</v>
      </c>
      <c r="Q56" s="118" t="e">
        <f>((P56/G56)^(1/($H$2-$H$1) ))-1</f>
        <v>#REF!</v>
      </c>
      <c r="R56" s="128"/>
      <c r="S56" s="157">
        <f t="shared" ref="S56:AB56" si="154">S12/S40</f>
        <v>6.9911928468458759</v>
      </c>
      <c r="T56" s="157">
        <f t="shared" si="154"/>
        <v>6.8088139030151149</v>
      </c>
      <c r="U56" s="157">
        <f t="shared" si="154"/>
        <v>6.6311926707625473</v>
      </c>
      <c r="V56" s="157">
        <f t="shared" si="154"/>
        <v>6.4582050358730916</v>
      </c>
      <c r="W56" s="157">
        <f t="shared" si="154"/>
        <v>6.2897301218937951</v>
      </c>
      <c r="X56" s="157">
        <f t="shared" si="154"/>
        <v>6.12565020567048</v>
      </c>
      <c r="Y56" s="157">
        <f t="shared" si="154"/>
        <v>5.9658506350877731</v>
      </c>
      <c r="Z56" s="157">
        <f t="shared" si="154"/>
        <v>5.81021974895505</v>
      </c>
      <c r="AA56" s="157">
        <f t="shared" si="154"/>
        <v>5.65864879898231</v>
      </c>
      <c r="AB56" s="157">
        <f t="shared" si="154"/>
        <v>5.5110318737914685</v>
      </c>
      <c r="AC56" s="138" t="e">
        <f t="shared" si="139"/>
        <v>#REF!</v>
      </c>
      <c r="AD56" s="31">
        <f t="shared" si="17"/>
        <v>0.08</v>
      </c>
      <c r="AE56" s="146">
        <f t="shared" si="140"/>
        <v>42.513674454962754</v>
      </c>
    </row>
    <row r="57" spans="2:31" x14ac:dyDescent="0.2">
      <c r="B57" s="20" t="s">
        <v>255</v>
      </c>
      <c r="C57" s="127">
        <f t="shared" ref="C57:F57" si="155">C13/C40</f>
        <v>0</v>
      </c>
      <c r="D57" s="127">
        <f t="shared" si="155"/>
        <v>0</v>
      </c>
      <c r="E57" s="127">
        <f t="shared" si="155"/>
        <v>0</v>
      </c>
      <c r="F57" s="144" t="e">
        <f t="shared" si="155"/>
        <v>#DIV/0!</v>
      </c>
      <c r="G57" s="144" t="e">
        <f>#REF!/G40</f>
        <v>#REF!</v>
      </c>
      <c r="H57" s="144" t="e">
        <f>#REF!/H40</f>
        <v>#REF!</v>
      </c>
      <c r="I57" s="144" t="e">
        <f>#REF!/I40</f>
        <v>#REF!</v>
      </c>
      <c r="J57" s="144" t="e">
        <f>#REF!/J40</f>
        <v>#REF!</v>
      </c>
      <c r="K57" s="144" t="e">
        <f>#REF!/K40</f>
        <v>#REF!</v>
      </c>
      <c r="L57" s="144" t="e">
        <f>#REF!/L40</f>
        <v>#REF!</v>
      </c>
      <c r="M57" s="144" t="e">
        <f>#REF!/M40</f>
        <v>#REF!</v>
      </c>
      <c r="N57" s="144" t="e">
        <f>#REF!/N40</f>
        <v>#REF!</v>
      </c>
      <c r="O57" s="144" t="e">
        <f>#REF!/O40</f>
        <v>#REF!</v>
      </c>
      <c r="P57" s="144" t="e">
        <f>#REF!/P40</f>
        <v>#REF!</v>
      </c>
      <c r="Q57" s="118" t="e">
        <f>((P57/G57)^(1/($H$2-$H$1) ))-1</f>
        <v>#REF!</v>
      </c>
      <c r="R57" s="128"/>
      <c r="S57" s="157">
        <f t="shared" ref="S57:AB57" si="156">S13/S40</f>
        <v>9.1032004647230658E-2</v>
      </c>
      <c r="T57" s="157">
        <f t="shared" si="156"/>
        <v>8.8657256699911619E-2</v>
      </c>
      <c r="U57" s="157">
        <f t="shared" si="156"/>
        <v>8.6344458699044363E-2</v>
      </c>
      <c r="V57" s="157">
        <f t="shared" si="156"/>
        <v>8.4091994559069308E-2</v>
      </c>
      <c r="W57" s="157">
        <f t="shared" si="156"/>
        <v>8.1898290353180553E-2</v>
      </c>
      <c r="X57" s="157">
        <f t="shared" si="156"/>
        <v>7.9761813213532387E-2</v>
      </c>
      <c r="Y57" s="157">
        <f t="shared" si="156"/>
        <v>7.7681070260135904E-2</v>
      </c>
      <c r="Z57" s="157">
        <f t="shared" si="156"/>
        <v>7.5654607557697595E-2</v>
      </c>
      <c r="AA57" s="157">
        <f t="shared" si="156"/>
        <v>7.3681009099670708E-2</v>
      </c>
      <c r="AB57" s="157">
        <f t="shared" si="156"/>
        <v>7.1758895818809745E-2</v>
      </c>
      <c r="AC57" s="138" t="e">
        <f t="shared" si="139"/>
        <v>#REF!</v>
      </c>
      <c r="AD57" s="31">
        <f t="shared" si="17"/>
        <v>0.08</v>
      </c>
      <c r="AE57" s="146">
        <f t="shared" si="140"/>
        <v>0.55356862488796088</v>
      </c>
    </row>
    <row r="58" spans="2:31" x14ac:dyDescent="0.2">
      <c r="B58" s="20" t="s">
        <v>256</v>
      </c>
      <c r="C58" s="127">
        <f>(C56+C57)</f>
        <v>0</v>
      </c>
      <c r="D58" s="127">
        <f t="shared" ref="D58:P58" si="157">(D56+D57)</f>
        <v>0</v>
      </c>
      <c r="E58" s="127">
        <f t="shared" si="157"/>
        <v>0</v>
      </c>
      <c r="F58" s="144" t="e">
        <f t="shared" si="157"/>
        <v>#DIV/0!</v>
      </c>
      <c r="G58" s="144" t="e">
        <f t="shared" si="157"/>
        <v>#REF!</v>
      </c>
      <c r="H58" s="144" t="e">
        <f t="shared" si="157"/>
        <v>#REF!</v>
      </c>
      <c r="I58" s="144" t="e">
        <f t="shared" si="157"/>
        <v>#REF!</v>
      </c>
      <c r="J58" s="144" t="e">
        <f t="shared" si="157"/>
        <v>#REF!</v>
      </c>
      <c r="K58" s="144" t="e">
        <f t="shared" si="157"/>
        <v>#REF!</v>
      </c>
      <c r="L58" s="144" t="e">
        <f t="shared" si="157"/>
        <v>#REF!</v>
      </c>
      <c r="M58" s="144" t="e">
        <f t="shared" si="157"/>
        <v>#REF!</v>
      </c>
      <c r="N58" s="144" t="e">
        <f t="shared" si="157"/>
        <v>#REF!</v>
      </c>
      <c r="O58" s="144" t="e">
        <f t="shared" ref="O58" si="158">(O56+O57)</f>
        <v>#REF!</v>
      </c>
      <c r="P58" s="144" t="e">
        <f t="shared" si="157"/>
        <v>#REF!</v>
      </c>
      <c r="Q58" s="118" t="e">
        <f>((P58/G58)^(1/($H$2-$H$1) ))-1</f>
        <v>#REF!</v>
      </c>
      <c r="R58" s="128"/>
      <c r="S58" s="157">
        <f t="shared" ref="S58:AB58" si="159">(S56+S57)</f>
        <v>7.0822248514931063</v>
      </c>
      <c r="T58" s="157">
        <f t="shared" si="159"/>
        <v>6.8974711597150264</v>
      </c>
      <c r="U58" s="157">
        <f t="shared" si="159"/>
        <v>6.7175371294615918</v>
      </c>
      <c r="V58" s="157">
        <f t="shared" si="159"/>
        <v>6.5422970304321613</v>
      </c>
      <c r="W58" s="157">
        <f t="shared" si="159"/>
        <v>6.3716284122469755</v>
      </c>
      <c r="X58" s="157">
        <f t="shared" si="159"/>
        <v>6.2054120188840125</v>
      </c>
      <c r="Y58" s="157">
        <f t="shared" si="159"/>
        <v>6.0435317053479087</v>
      </c>
      <c r="Z58" s="157">
        <f t="shared" si="159"/>
        <v>5.8858743565127476</v>
      </c>
      <c r="AA58" s="157">
        <f t="shared" si="159"/>
        <v>5.7323298080819809</v>
      </c>
      <c r="AB58" s="157">
        <f t="shared" si="159"/>
        <v>5.5827907696102779</v>
      </c>
      <c r="AC58" s="138" t="e">
        <f t="shared" si="139"/>
        <v>#REF!</v>
      </c>
      <c r="AD58" s="31">
        <f t="shared" si="17"/>
        <v>0.08</v>
      </c>
      <c r="AE58" s="146">
        <f t="shared" si="140"/>
        <v>43.067243079850712</v>
      </c>
    </row>
    <row r="59" spans="2:31" x14ac:dyDescent="0.2">
      <c r="B59" s="20" t="s">
        <v>249</v>
      </c>
      <c r="C59" s="127">
        <f t="shared" ref="C59:P59" si="160">C15/C40</f>
        <v>0</v>
      </c>
      <c r="D59" s="127">
        <f t="shared" si="160"/>
        <v>0</v>
      </c>
      <c r="E59" s="127">
        <f t="shared" si="160"/>
        <v>0</v>
      </c>
      <c r="F59" s="144" t="e">
        <f t="shared" si="160"/>
        <v>#DIV/0!</v>
      </c>
      <c r="G59" s="144" t="e">
        <f t="shared" si="160"/>
        <v>#DIV/0!</v>
      </c>
      <c r="H59" s="144" t="e">
        <f t="shared" si="160"/>
        <v>#DIV/0!</v>
      </c>
      <c r="I59" s="144" t="e">
        <f t="shared" si="160"/>
        <v>#DIV/0!</v>
      </c>
      <c r="J59" s="144" t="e">
        <f t="shared" si="160"/>
        <v>#DIV/0!</v>
      </c>
      <c r="K59" s="144" t="e">
        <f t="shared" si="160"/>
        <v>#DIV/0!</v>
      </c>
      <c r="L59" s="144">
        <f t="shared" si="160"/>
        <v>5.2934469840925136</v>
      </c>
      <c r="M59" s="144">
        <f t="shared" si="160"/>
        <v>10.977064220183486</v>
      </c>
      <c r="N59" s="144">
        <f t="shared" si="160"/>
        <v>11.651376146788991</v>
      </c>
      <c r="O59" s="144">
        <f t="shared" si="160"/>
        <v>40.545871559633028</v>
      </c>
      <c r="P59" s="144">
        <f t="shared" si="160"/>
        <v>16.847228396939421</v>
      </c>
      <c r="Q59" s="118" t="e">
        <f>((P59/G59)^(1/($H$2-$H$1) ))-1</f>
        <v>#DIV/0!</v>
      </c>
      <c r="R59" s="128"/>
      <c r="S59" s="157">
        <f t="shared" ref="S59:AB59" si="161">S15/S40</f>
        <v>16.407735482236653</v>
      </c>
      <c r="T59" s="157">
        <f t="shared" si="161"/>
        <v>15.979707600091354</v>
      </c>
      <c r="U59" s="157">
        <f t="shared" si="161"/>
        <v>15.562845662697667</v>
      </c>
      <c r="V59" s="157">
        <f t="shared" si="161"/>
        <v>15.156858384540339</v>
      </c>
      <c r="W59" s="157">
        <f t="shared" si="161"/>
        <v>14.761462078856681</v>
      </c>
      <c r="X59" s="157">
        <f t="shared" si="161"/>
        <v>14.376380459408248</v>
      </c>
      <c r="Y59" s="157">
        <f t="shared" si="161"/>
        <v>14.001344447423689</v>
      </c>
      <c r="Z59" s="157">
        <f t="shared" si="161"/>
        <v>13.636091983577854</v>
      </c>
      <c r="AA59" s="157">
        <f t="shared" si="161"/>
        <v>13.280367844875824</v>
      </c>
      <c r="AB59" s="157">
        <f t="shared" si="161"/>
        <v>12.933923466313848</v>
      </c>
      <c r="AC59" s="138" t="e">
        <f t="shared" si="139"/>
        <v>#DIV/0!</v>
      </c>
      <c r="AD59" s="31">
        <f t="shared" si="17"/>
        <v>0.08</v>
      </c>
      <c r="AE59" s="146">
        <f t="shared" si="140"/>
        <v>99.775981025849674</v>
      </c>
    </row>
    <row r="60" spans="2:31" x14ac:dyDescent="0.2">
      <c r="B60" s="20" t="s">
        <v>250</v>
      </c>
      <c r="C60" s="127">
        <f t="shared" ref="C60:P60" si="162">C16/C40</f>
        <v>0</v>
      </c>
      <c r="D60" s="127">
        <f t="shared" si="162"/>
        <v>0</v>
      </c>
      <c r="E60" s="127">
        <f t="shared" si="162"/>
        <v>0</v>
      </c>
      <c r="F60" s="144" t="e">
        <f t="shared" si="162"/>
        <v>#DIV/0!</v>
      </c>
      <c r="G60" s="144" t="e">
        <f t="shared" si="162"/>
        <v>#DIV/0!</v>
      </c>
      <c r="H60" s="144" t="e">
        <f t="shared" si="162"/>
        <v>#DIV/0!</v>
      </c>
      <c r="I60" s="144" t="e">
        <f t="shared" si="162"/>
        <v>#DIV/0!</v>
      </c>
      <c r="J60" s="144" t="e">
        <f t="shared" si="162"/>
        <v>#DIV/0!</v>
      </c>
      <c r="K60" s="144" t="e">
        <f t="shared" si="162"/>
        <v>#DIV/0!</v>
      </c>
      <c r="L60" s="144">
        <f t="shared" si="162"/>
        <v>2.2422498506976494</v>
      </c>
      <c r="M60" s="144">
        <f t="shared" si="162"/>
        <v>4.1055045871559637</v>
      </c>
      <c r="N60" s="144">
        <f t="shared" si="162"/>
        <v>-5.0091743119266052</v>
      </c>
      <c r="O60" s="144">
        <f t="shared" si="162"/>
        <v>12.178899082568808</v>
      </c>
      <c r="P60" s="144">
        <f t="shared" si="162"/>
        <v>-25.868350943812487</v>
      </c>
      <c r="Q60" s="118" t="e">
        <f>((P60/G60)^(1/($H$2-$H$1) ))-1</f>
        <v>#DIV/0!</v>
      </c>
      <c r="R60" s="128"/>
      <c r="S60" s="157">
        <f t="shared" ref="S60:AB60" si="163">S16/S40</f>
        <v>-25.193524397452169</v>
      </c>
      <c r="T60" s="157">
        <f t="shared" si="163"/>
        <v>-24.536302021866462</v>
      </c>
      <c r="U60" s="157">
        <f t="shared" si="163"/>
        <v>-23.896224577817772</v>
      </c>
      <c r="V60" s="157">
        <f t="shared" si="163"/>
        <v>-23.272844806222533</v>
      </c>
      <c r="W60" s="157">
        <f t="shared" si="163"/>
        <v>-22.665727115625426</v>
      </c>
      <c r="X60" s="157">
        <f t="shared" si="163"/>
        <v>-22.074447277826511</v>
      </c>
      <c r="Y60" s="157">
        <f t="shared" si="163"/>
        <v>-21.498592131448433</v>
      </c>
      <c r="Z60" s="157">
        <f t="shared" si="163"/>
        <v>-20.937759293236738</v>
      </c>
      <c r="AA60" s="157">
        <f t="shared" si="163"/>
        <v>-20.391556876891432</v>
      </c>
      <c r="AB60" s="157">
        <f t="shared" si="163"/>
        <v>-19.859603219233396</v>
      </c>
      <c r="AC60" s="138" t="e">
        <f t="shared" si="139"/>
        <v>#DIV/0!</v>
      </c>
      <c r="AD60" s="137"/>
      <c r="AE60" s="146">
        <f t="shared" si="140"/>
        <v>-90.270923723788158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31">
        <f t="shared" si="17"/>
        <v>0.08</v>
      </c>
      <c r="AE61" s="146">
        <f t="shared" si="140"/>
        <v>0</v>
      </c>
    </row>
    <row r="62" spans="2:31" x14ac:dyDescent="0.2">
      <c r="B62" s="20" t="s">
        <v>283</v>
      </c>
      <c r="C62" s="159">
        <f>C41</f>
        <v>0</v>
      </c>
      <c r="D62" s="159">
        <f t="shared" ref="D62:P62" si="164">D41</f>
        <v>0</v>
      </c>
      <c r="E62" s="159">
        <f t="shared" si="164"/>
        <v>0</v>
      </c>
      <c r="F62" s="159">
        <f t="shared" si="164"/>
        <v>0</v>
      </c>
      <c r="G62" s="159">
        <f t="shared" si="164"/>
        <v>0</v>
      </c>
      <c r="H62" s="159">
        <f t="shared" si="164"/>
        <v>0</v>
      </c>
      <c r="I62" s="159">
        <f t="shared" si="164"/>
        <v>0</v>
      </c>
      <c r="J62" s="159">
        <f t="shared" si="164"/>
        <v>0</v>
      </c>
      <c r="K62" s="159">
        <f t="shared" si="164"/>
        <v>0</v>
      </c>
      <c r="L62" s="159">
        <f t="shared" si="164"/>
        <v>0</v>
      </c>
      <c r="M62" s="159">
        <f t="shared" si="164"/>
        <v>0</v>
      </c>
      <c r="N62" s="159">
        <f t="shared" si="164"/>
        <v>0</v>
      </c>
      <c r="O62" s="159">
        <f t="shared" si="164"/>
        <v>0</v>
      </c>
      <c r="P62" s="159">
        <f t="shared" si="164"/>
        <v>0</v>
      </c>
      <c r="Q62" s="118" t="e">
        <f>((P62/G62)^(1/($H$2-$H$1) ))-1</f>
        <v>#DIV/0!</v>
      </c>
      <c r="R62" s="128"/>
      <c r="S62" s="159">
        <f t="shared" ref="S62:AB62" si="165">S41</f>
        <v>0</v>
      </c>
      <c r="T62" s="159">
        <f t="shared" si="165"/>
        <v>0</v>
      </c>
      <c r="U62" s="159">
        <f t="shared" si="165"/>
        <v>0</v>
      </c>
      <c r="V62" s="159">
        <f t="shared" si="165"/>
        <v>0</v>
      </c>
      <c r="W62" s="159">
        <f t="shared" si="165"/>
        <v>0</v>
      </c>
      <c r="X62" s="159">
        <f t="shared" si="165"/>
        <v>0</v>
      </c>
      <c r="Y62" s="159">
        <f t="shared" si="165"/>
        <v>0</v>
      </c>
      <c r="Z62" s="159">
        <f t="shared" si="165"/>
        <v>0</v>
      </c>
      <c r="AA62" s="159">
        <f t="shared" si="165"/>
        <v>0</v>
      </c>
      <c r="AB62" s="159">
        <f t="shared" si="165"/>
        <v>0</v>
      </c>
      <c r="AC62" s="138" t="e">
        <f t="shared" ref="AC62" si="166">((AB62/G62)^(1/($AB$3-$H$1) ))-1</f>
        <v>#DIV/0!</v>
      </c>
      <c r="AD62" s="31">
        <f t="shared" si="17"/>
        <v>0.08</v>
      </c>
      <c r="AE62" s="146">
        <f t="shared" si="140"/>
        <v>0</v>
      </c>
    </row>
    <row r="63" spans="2:31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39"/>
      <c r="AD63" s="137"/>
      <c r="AE63" s="154"/>
    </row>
    <row r="64" spans="2:31" x14ac:dyDescent="0.2">
      <c r="B64" s="20" t="s">
        <v>318</v>
      </c>
      <c r="C64" s="127">
        <f t="shared" ref="C64:P64" si="167">C20+C21</f>
        <v>0</v>
      </c>
      <c r="D64" s="127">
        <f t="shared" si="167"/>
        <v>0</v>
      </c>
      <c r="E64" s="127">
        <f t="shared" si="167"/>
        <v>0</v>
      </c>
      <c r="F64" s="144">
        <f t="shared" si="167"/>
        <v>0</v>
      </c>
      <c r="G64" s="144">
        <f t="shared" si="167"/>
        <v>0</v>
      </c>
      <c r="H64" s="144">
        <f t="shared" si="167"/>
        <v>0</v>
      </c>
      <c r="I64" s="144">
        <f t="shared" si="167"/>
        <v>0</v>
      </c>
      <c r="J64" s="144">
        <f t="shared" si="167"/>
        <v>0</v>
      </c>
      <c r="K64" s="144">
        <f t="shared" si="167"/>
        <v>0</v>
      </c>
      <c r="L64" s="144">
        <f t="shared" si="167"/>
        <v>0</v>
      </c>
      <c r="M64" s="144">
        <f t="shared" si="167"/>
        <v>0</v>
      </c>
      <c r="N64" s="144">
        <f t="shared" si="167"/>
        <v>0</v>
      </c>
      <c r="O64" s="144">
        <f t="shared" si="167"/>
        <v>0</v>
      </c>
      <c r="P64" s="144">
        <f t="shared" si="167"/>
        <v>0</v>
      </c>
      <c r="Q64" s="118" t="e">
        <f>((P64/G64)^(1/($H$2-$H$1) ))-1</f>
        <v>#DIV/0!</v>
      </c>
      <c r="R64" s="128"/>
      <c r="S64" s="144">
        <f t="shared" ref="S64:AB64" si="168">S20+S21</f>
        <v>0</v>
      </c>
      <c r="T64" s="144">
        <f t="shared" si="168"/>
        <v>0</v>
      </c>
      <c r="U64" s="144">
        <f t="shared" si="168"/>
        <v>0</v>
      </c>
      <c r="V64" s="144">
        <f t="shared" si="168"/>
        <v>0</v>
      </c>
      <c r="W64" s="144">
        <f t="shared" si="168"/>
        <v>0</v>
      </c>
      <c r="X64" s="144">
        <f t="shared" si="168"/>
        <v>0</v>
      </c>
      <c r="Y64" s="144">
        <f t="shared" si="168"/>
        <v>0</v>
      </c>
      <c r="Z64" s="144">
        <f t="shared" si="168"/>
        <v>0</v>
      </c>
      <c r="AA64" s="144">
        <f t="shared" si="168"/>
        <v>0</v>
      </c>
      <c r="AB64" s="144">
        <f t="shared" si="168"/>
        <v>0</v>
      </c>
      <c r="AC64" s="138" t="e">
        <f t="shared" ref="AC64:AC69" si="169">((AB64/G64)^(1/($AB$3-$H$1) ))-1</f>
        <v>#DIV/0!</v>
      </c>
      <c r="AD64" s="31">
        <f t="shared" si="17"/>
        <v>0.08</v>
      </c>
      <c r="AE64" s="146">
        <f t="shared" si="140"/>
        <v>0</v>
      </c>
    </row>
    <row r="65" spans="2:31" x14ac:dyDescent="0.2">
      <c r="B65" s="20"/>
      <c r="C65" s="127"/>
      <c r="D65" s="127"/>
      <c r="E65" s="127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28"/>
      <c r="R65" s="128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39"/>
      <c r="AD65" s="137"/>
      <c r="AE65" s="146"/>
    </row>
    <row r="66" spans="2:31" x14ac:dyDescent="0.2">
      <c r="B66" s="20" t="s">
        <v>319</v>
      </c>
      <c r="C66" s="127">
        <f t="shared" ref="C66:P66" si="170">C64/C40</f>
        <v>0</v>
      </c>
      <c r="D66" s="127">
        <f t="shared" si="170"/>
        <v>0</v>
      </c>
      <c r="E66" s="127">
        <f t="shared" si="170"/>
        <v>0</v>
      </c>
      <c r="F66" s="144" t="e">
        <f t="shared" si="170"/>
        <v>#DIV/0!</v>
      </c>
      <c r="G66" s="144" t="e">
        <f t="shared" si="170"/>
        <v>#DIV/0!</v>
      </c>
      <c r="H66" s="144" t="e">
        <f t="shared" si="170"/>
        <v>#DIV/0!</v>
      </c>
      <c r="I66" s="144" t="e">
        <f t="shared" si="170"/>
        <v>#DIV/0!</v>
      </c>
      <c r="J66" s="144" t="e">
        <f t="shared" si="170"/>
        <v>#DIV/0!</v>
      </c>
      <c r="K66" s="144" t="e">
        <f t="shared" si="170"/>
        <v>#DIV/0!</v>
      </c>
      <c r="L66" s="144">
        <f t="shared" si="170"/>
        <v>0</v>
      </c>
      <c r="M66" s="144">
        <f t="shared" si="170"/>
        <v>0</v>
      </c>
      <c r="N66" s="144">
        <f t="shared" si="170"/>
        <v>0</v>
      </c>
      <c r="O66" s="144">
        <f t="shared" si="170"/>
        <v>0</v>
      </c>
      <c r="P66" s="144">
        <f t="shared" si="170"/>
        <v>0</v>
      </c>
      <c r="Q66" s="118" t="e">
        <f>((P66/G66)^(1/($H$2-$H$1) ))-1</f>
        <v>#DIV/0!</v>
      </c>
      <c r="R66" s="128"/>
      <c r="S66" s="146">
        <f t="shared" ref="S66:AB66" si="171">S64/S40</f>
        <v>0</v>
      </c>
      <c r="T66" s="146">
        <f t="shared" si="171"/>
        <v>0</v>
      </c>
      <c r="U66" s="146">
        <f t="shared" si="171"/>
        <v>0</v>
      </c>
      <c r="V66" s="146">
        <f t="shared" si="171"/>
        <v>0</v>
      </c>
      <c r="W66" s="146">
        <f t="shared" si="171"/>
        <v>0</v>
      </c>
      <c r="X66" s="146">
        <f t="shared" si="171"/>
        <v>0</v>
      </c>
      <c r="Y66" s="146">
        <f t="shared" si="171"/>
        <v>0</v>
      </c>
      <c r="Z66" s="146">
        <f t="shared" si="171"/>
        <v>0</v>
      </c>
      <c r="AA66" s="146">
        <f t="shared" si="171"/>
        <v>0</v>
      </c>
      <c r="AB66" s="146">
        <f t="shared" si="171"/>
        <v>0</v>
      </c>
      <c r="AC66" s="138" t="e">
        <f t="shared" si="169"/>
        <v>#DIV/0!</v>
      </c>
      <c r="AD66" s="31">
        <f t="shared" si="17"/>
        <v>0.08</v>
      </c>
      <c r="AE66" s="146">
        <f t="shared" si="140"/>
        <v>0</v>
      </c>
    </row>
    <row r="67" spans="2:31" x14ac:dyDescent="0.2">
      <c r="B67" s="20" t="s">
        <v>288</v>
      </c>
      <c r="C67" s="127">
        <f t="shared" ref="C67:P67" si="172">C20/C40</f>
        <v>0</v>
      </c>
      <c r="D67" s="127">
        <f t="shared" si="172"/>
        <v>0</v>
      </c>
      <c r="E67" s="127">
        <f t="shared" si="172"/>
        <v>0</v>
      </c>
      <c r="F67" s="144" t="e">
        <f t="shared" si="172"/>
        <v>#DIV/0!</v>
      </c>
      <c r="G67" s="144" t="e">
        <f t="shared" si="172"/>
        <v>#DIV/0!</v>
      </c>
      <c r="H67" s="144" t="e">
        <f t="shared" si="172"/>
        <v>#DIV/0!</v>
      </c>
      <c r="I67" s="144" t="e">
        <f t="shared" si="172"/>
        <v>#DIV/0!</v>
      </c>
      <c r="J67" s="144" t="e">
        <f t="shared" si="172"/>
        <v>#DIV/0!</v>
      </c>
      <c r="K67" s="144" t="e">
        <f t="shared" si="172"/>
        <v>#DIV/0!</v>
      </c>
      <c r="L67" s="144">
        <f t="shared" si="172"/>
        <v>0</v>
      </c>
      <c r="M67" s="144">
        <f t="shared" si="172"/>
        <v>0</v>
      </c>
      <c r="N67" s="144">
        <f t="shared" si="172"/>
        <v>0</v>
      </c>
      <c r="O67" s="144">
        <f t="shared" si="172"/>
        <v>0</v>
      </c>
      <c r="P67" s="144">
        <f t="shared" si="172"/>
        <v>0</v>
      </c>
      <c r="Q67" s="118" t="e">
        <f>((P67/G67)^(1/($H$2-$H$1) ))-1</f>
        <v>#DIV/0!</v>
      </c>
      <c r="R67" s="128"/>
      <c r="S67" s="146">
        <f t="shared" ref="S67:AB67" si="173">S20/S40</f>
        <v>0</v>
      </c>
      <c r="T67" s="146">
        <f t="shared" si="173"/>
        <v>0</v>
      </c>
      <c r="U67" s="146">
        <f t="shared" si="173"/>
        <v>0</v>
      </c>
      <c r="V67" s="146">
        <f t="shared" si="173"/>
        <v>0</v>
      </c>
      <c r="W67" s="146">
        <f t="shared" si="173"/>
        <v>0</v>
      </c>
      <c r="X67" s="146">
        <f t="shared" si="173"/>
        <v>0</v>
      </c>
      <c r="Y67" s="146">
        <f t="shared" si="173"/>
        <v>0</v>
      </c>
      <c r="Z67" s="146">
        <f t="shared" si="173"/>
        <v>0</v>
      </c>
      <c r="AA67" s="146">
        <f t="shared" si="173"/>
        <v>0</v>
      </c>
      <c r="AB67" s="146">
        <f t="shared" si="173"/>
        <v>0</v>
      </c>
      <c r="AC67" s="138" t="e">
        <f t="shared" si="169"/>
        <v>#DIV/0!</v>
      </c>
      <c r="AD67" s="31">
        <f t="shared" si="17"/>
        <v>0.08</v>
      </c>
      <c r="AE67" s="146">
        <f t="shared" si="140"/>
        <v>0</v>
      </c>
    </row>
    <row r="68" spans="2:31" x14ac:dyDescent="0.2">
      <c r="B68" s="20" t="s">
        <v>289</v>
      </c>
      <c r="C68" s="127">
        <f t="shared" ref="C68:P68" si="174">C21/C40</f>
        <v>0</v>
      </c>
      <c r="D68" s="127">
        <f t="shared" si="174"/>
        <v>0</v>
      </c>
      <c r="E68" s="127">
        <f t="shared" si="174"/>
        <v>0</v>
      </c>
      <c r="F68" s="144" t="e">
        <f t="shared" si="174"/>
        <v>#DIV/0!</v>
      </c>
      <c r="G68" s="144" t="e">
        <f t="shared" si="174"/>
        <v>#DIV/0!</v>
      </c>
      <c r="H68" s="144" t="e">
        <f t="shared" si="174"/>
        <v>#DIV/0!</v>
      </c>
      <c r="I68" s="144" t="e">
        <f t="shared" si="174"/>
        <v>#DIV/0!</v>
      </c>
      <c r="J68" s="144" t="e">
        <f t="shared" si="174"/>
        <v>#DIV/0!</v>
      </c>
      <c r="K68" s="144" t="e">
        <f t="shared" si="174"/>
        <v>#DIV/0!</v>
      </c>
      <c r="L68" s="144">
        <f t="shared" si="174"/>
        <v>0</v>
      </c>
      <c r="M68" s="144">
        <f t="shared" si="174"/>
        <v>0</v>
      </c>
      <c r="N68" s="144">
        <f t="shared" si="174"/>
        <v>0</v>
      </c>
      <c r="O68" s="144">
        <f t="shared" si="174"/>
        <v>0</v>
      </c>
      <c r="P68" s="144">
        <f t="shared" si="174"/>
        <v>0</v>
      </c>
      <c r="Q68" s="118" t="e">
        <f>((P68/G68)^(1/($H$2-$H$1) ))-1</f>
        <v>#DIV/0!</v>
      </c>
      <c r="R68" s="128"/>
      <c r="S68" s="146">
        <f t="shared" ref="S68:AB68" si="175">S21/S40</f>
        <v>0</v>
      </c>
      <c r="T68" s="146">
        <f t="shared" si="175"/>
        <v>0</v>
      </c>
      <c r="U68" s="146">
        <f t="shared" si="175"/>
        <v>0</v>
      </c>
      <c r="V68" s="146">
        <f t="shared" si="175"/>
        <v>0</v>
      </c>
      <c r="W68" s="146">
        <f t="shared" si="175"/>
        <v>0</v>
      </c>
      <c r="X68" s="146">
        <f t="shared" si="175"/>
        <v>0</v>
      </c>
      <c r="Y68" s="146">
        <f t="shared" si="175"/>
        <v>0</v>
      </c>
      <c r="Z68" s="146">
        <f t="shared" si="175"/>
        <v>0</v>
      </c>
      <c r="AA68" s="146">
        <f t="shared" si="175"/>
        <v>0</v>
      </c>
      <c r="AB68" s="146">
        <f t="shared" si="175"/>
        <v>0</v>
      </c>
      <c r="AC68" s="138" t="e">
        <f t="shared" si="169"/>
        <v>#DIV/0!</v>
      </c>
      <c r="AD68" s="31">
        <f t="shared" si="17"/>
        <v>0.08</v>
      </c>
      <c r="AE68" s="146">
        <f t="shared" si="140"/>
        <v>0</v>
      </c>
    </row>
    <row r="69" spans="2:31" x14ac:dyDescent="0.2">
      <c r="B69" s="20" t="s">
        <v>290</v>
      </c>
      <c r="C69" s="127">
        <f t="shared" ref="C69:P69" si="176">C22/C40</f>
        <v>0</v>
      </c>
      <c r="D69" s="127">
        <f t="shared" si="176"/>
        <v>0</v>
      </c>
      <c r="E69" s="127">
        <f t="shared" si="176"/>
        <v>0</v>
      </c>
      <c r="F69" s="144" t="e">
        <f t="shared" si="176"/>
        <v>#DIV/0!</v>
      </c>
      <c r="G69" s="144" t="e">
        <f t="shared" si="176"/>
        <v>#DIV/0!</v>
      </c>
      <c r="H69" s="144" t="e">
        <f t="shared" si="176"/>
        <v>#DIV/0!</v>
      </c>
      <c r="I69" s="144" t="e">
        <f t="shared" si="176"/>
        <v>#DIV/0!</v>
      </c>
      <c r="J69" s="144" t="e">
        <f t="shared" si="176"/>
        <v>#DIV/0!</v>
      </c>
      <c r="K69" s="144" t="e">
        <f t="shared" si="176"/>
        <v>#DIV/0!</v>
      </c>
      <c r="L69" s="144">
        <f t="shared" si="176"/>
        <v>0</v>
      </c>
      <c r="M69" s="144">
        <f t="shared" si="176"/>
        <v>0</v>
      </c>
      <c r="N69" s="144">
        <f t="shared" si="176"/>
        <v>0</v>
      </c>
      <c r="O69" s="144">
        <f t="shared" si="176"/>
        <v>0</v>
      </c>
      <c r="P69" s="144">
        <f t="shared" si="176"/>
        <v>0</v>
      </c>
      <c r="Q69" s="118" t="e">
        <f>((P69/G69)^(1/($H$2-$H$1) ))-1</f>
        <v>#DIV/0!</v>
      </c>
      <c r="R69" s="128"/>
      <c r="S69" s="146">
        <f t="shared" ref="S69:AB69" si="177">S22/S40</f>
        <v>0</v>
      </c>
      <c r="T69" s="146">
        <f t="shared" si="177"/>
        <v>0</v>
      </c>
      <c r="U69" s="146">
        <f t="shared" si="177"/>
        <v>0</v>
      </c>
      <c r="V69" s="146">
        <f t="shared" si="177"/>
        <v>0</v>
      </c>
      <c r="W69" s="146">
        <f t="shared" si="177"/>
        <v>0</v>
      </c>
      <c r="X69" s="146">
        <f t="shared" si="177"/>
        <v>0</v>
      </c>
      <c r="Y69" s="146">
        <f t="shared" si="177"/>
        <v>0</v>
      </c>
      <c r="Z69" s="146">
        <f t="shared" si="177"/>
        <v>0</v>
      </c>
      <c r="AA69" s="146">
        <f t="shared" si="177"/>
        <v>0</v>
      </c>
      <c r="AB69" s="146">
        <f t="shared" si="177"/>
        <v>0</v>
      </c>
      <c r="AC69" s="138" t="e">
        <f t="shared" si="169"/>
        <v>#DIV/0!</v>
      </c>
      <c r="AD69" s="31">
        <f t="shared" si="17"/>
        <v>0.08</v>
      </c>
      <c r="AE69" s="146">
        <f t="shared" si="140"/>
        <v>0</v>
      </c>
    </row>
    <row r="70" spans="2:31" x14ac:dyDescent="0.2">
      <c r="B70" s="20" t="s">
        <v>297</v>
      </c>
      <c r="C70" s="127">
        <f t="shared" ref="C70:P70" si="178">C23/C40</f>
        <v>0</v>
      </c>
      <c r="D70" s="127">
        <f t="shared" si="178"/>
        <v>0</v>
      </c>
      <c r="E70" s="127">
        <f t="shared" si="178"/>
        <v>0</v>
      </c>
      <c r="F70" s="144" t="e">
        <f t="shared" si="178"/>
        <v>#DIV/0!</v>
      </c>
      <c r="G70" s="144" t="e">
        <f t="shared" si="178"/>
        <v>#DIV/0!</v>
      </c>
      <c r="H70" s="144" t="e">
        <f t="shared" si="178"/>
        <v>#DIV/0!</v>
      </c>
      <c r="I70" s="144" t="e">
        <f t="shared" si="178"/>
        <v>#DIV/0!</v>
      </c>
      <c r="J70" s="144" t="e">
        <f t="shared" si="178"/>
        <v>#DIV/0!</v>
      </c>
      <c r="K70" s="144" t="e">
        <f t="shared" si="178"/>
        <v>#DIV/0!</v>
      </c>
      <c r="L70" s="144">
        <f t="shared" si="178"/>
        <v>0</v>
      </c>
      <c r="M70" s="144">
        <f t="shared" si="178"/>
        <v>0</v>
      </c>
      <c r="N70" s="144">
        <f t="shared" si="178"/>
        <v>0</v>
      </c>
      <c r="O70" s="144">
        <f t="shared" si="178"/>
        <v>0</v>
      </c>
      <c r="P70" s="144">
        <f t="shared" si="178"/>
        <v>0</v>
      </c>
      <c r="Q70" s="118" t="e">
        <f>((P70/G70)^(1/($H$2-$H$1) ))-1</f>
        <v>#DIV/0!</v>
      </c>
      <c r="R70" s="128"/>
      <c r="S70" s="146">
        <f t="shared" ref="S70:AB70" si="179">S23/S40</f>
        <v>0</v>
      </c>
      <c r="T70" s="146">
        <f t="shared" si="179"/>
        <v>0</v>
      </c>
      <c r="U70" s="146">
        <f t="shared" si="179"/>
        <v>0</v>
      </c>
      <c r="V70" s="146">
        <f t="shared" si="179"/>
        <v>0</v>
      </c>
      <c r="W70" s="146">
        <f t="shared" si="179"/>
        <v>0</v>
      </c>
      <c r="X70" s="146">
        <f t="shared" si="179"/>
        <v>0</v>
      </c>
      <c r="Y70" s="146">
        <f t="shared" si="179"/>
        <v>0</v>
      </c>
      <c r="Z70" s="146">
        <f t="shared" si="179"/>
        <v>0</v>
      </c>
      <c r="AA70" s="146">
        <f t="shared" si="179"/>
        <v>0</v>
      </c>
      <c r="AB70" s="146">
        <f t="shared" si="179"/>
        <v>0</v>
      </c>
      <c r="AC70" s="138" t="e">
        <f t="shared" ref="AC70" si="180">((AB70/G70)^(1/($AB$3-$H$1) ))-1</f>
        <v>#DIV/0!</v>
      </c>
      <c r="AD70" s="31">
        <f t="shared" si="17"/>
        <v>0.08</v>
      </c>
      <c r="AE70" s="146">
        <f t="shared" si="140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39"/>
      <c r="AD71" s="137"/>
      <c r="AE71" s="154"/>
    </row>
    <row r="72" spans="2:31" x14ac:dyDescent="0.2">
      <c r="B72" s="20" t="s">
        <v>312</v>
      </c>
      <c r="C72" s="144">
        <f t="shared" ref="C72:P72" si="181">C36/C40</f>
        <v>0</v>
      </c>
      <c r="D72" s="144">
        <f t="shared" si="181"/>
        <v>0</v>
      </c>
      <c r="E72" s="144">
        <f t="shared" si="181"/>
        <v>0</v>
      </c>
      <c r="F72" s="144" t="e">
        <f t="shared" si="181"/>
        <v>#DIV/0!</v>
      </c>
      <c r="G72" s="144" t="e">
        <f t="shared" si="181"/>
        <v>#DIV/0!</v>
      </c>
      <c r="H72" s="144" t="e">
        <f t="shared" si="181"/>
        <v>#DIV/0!</v>
      </c>
      <c r="I72" s="144" t="e">
        <f t="shared" si="181"/>
        <v>#DIV/0!</v>
      </c>
      <c r="J72" s="144" t="e">
        <f t="shared" si="181"/>
        <v>#DIV/0!</v>
      </c>
      <c r="K72" s="144" t="e">
        <f t="shared" si="181"/>
        <v>#DIV/0!</v>
      </c>
      <c r="L72" s="144">
        <f t="shared" si="181"/>
        <v>-2.7145881969705195E-2</v>
      </c>
      <c r="M72" s="144">
        <f t="shared" si="181"/>
        <v>1.1146788990825689</v>
      </c>
      <c r="N72" s="144">
        <f t="shared" si="181"/>
        <v>5.5963302752293576</v>
      </c>
      <c r="O72" s="144">
        <f t="shared" si="181"/>
        <v>6.0779816513761471</v>
      </c>
      <c r="P72" s="144">
        <f t="shared" si="181"/>
        <v>4.0096152881912293</v>
      </c>
      <c r="Q72" s="118" t="e">
        <f>((P72/G72)^(1/($H$2-$H$1) ))-1</f>
        <v>#DIV/0!</v>
      </c>
      <c r="R72" s="128"/>
      <c r="S72" s="144">
        <f t="shared" ref="S72:AB72" si="182">S36/S40</f>
        <v>3.9050166284992849</v>
      </c>
      <c r="T72" s="144">
        <f t="shared" si="182"/>
        <v>3.8031466294949565</v>
      </c>
      <c r="U72" s="144">
        <f t="shared" si="182"/>
        <v>3.7039341087255235</v>
      </c>
      <c r="V72" s="144">
        <f t="shared" si="182"/>
        <v>3.6073097406718153</v>
      </c>
      <c r="W72" s="144">
        <f t="shared" si="182"/>
        <v>3.5132060083064642</v>
      </c>
      <c r="X72" s="144">
        <f t="shared" si="182"/>
        <v>3.4215571559158615</v>
      </c>
      <c r="Y72" s="144">
        <f t="shared" si="182"/>
        <v>3.3322991431528401</v>
      </c>
      <c r="Z72" s="144">
        <f t="shared" si="182"/>
        <v>3.2453696002879835</v>
      </c>
      <c r="AA72" s="144">
        <f t="shared" si="182"/>
        <v>3.1607077846282978</v>
      </c>
      <c r="AB72" s="144">
        <f t="shared" si="182"/>
        <v>3.0782545380727773</v>
      </c>
      <c r="AC72" s="138" t="e">
        <f t="shared" ref="AC72:AC74" si="183">((AB72/G72)^(1/($AB$3-$H$1) ))-1</f>
        <v>#DIV/0!</v>
      </c>
      <c r="AD72" s="31">
        <f t="shared" si="17"/>
        <v>0.08</v>
      </c>
      <c r="AE72" s="146">
        <f t="shared" si="140"/>
        <v>23.746535007989994</v>
      </c>
    </row>
    <row r="73" spans="2:31" x14ac:dyDescent="0.2">
      <c r="B73" s="20" t="s">
        <v>313</v>
      </c>
      <c r="C73" s="144">
        <f t="shared" ref="C73:P73" si="184">C38/C40</f>
        <v>0</v>
      </c>
      <c r="D73" s="144">
        <f t="shared" si="184"/>
        <v>0</v>
      </c>
      <c r="E73" s="144">
        <f t="shared" si="184"/>
        <v>0</v>
      </c>
      <c r="F73" s="144" t="e">
        <f t="shared" si="184"/>
        <v>#DIV/0!</v>
      </c>
      <c r="G73" s="144" t="e">
        <f t="shared" si="184"/>
        <v>#DIV/0!</v>
      </c>
      <c r="H73" s="144" t="e">
        <f t="shared" si="184"/>
        <v>#DIV/0!</v>
      </c>
      <c r="I73" s="144" t="e">
        <f t="shared" si="184"/>
        <v>#DIV/0!</v>
      </c>
      <c r="J73" s="144" t="e">
        <f t="shared" si="184"/>
        <v>#DIV/0!</v>
      </c>
      <c r="K73" s="144" t="e">
        <f t="shared" si="184"/>
        <v>#DIV/0!</v>
      </c>
      <c r="L73" s="144">
        <f t="shared" si="184"/>
        <v>-2.8448884304251045E-2</v>
      </c>
      <c r="M73" s="144">
        <f t="shared" si="184"/>
        <v>0.77981651376146788</v>
      </c>
      <c r="N73" s="144">
        <f t="shared" si="184"/>
        <v>2.3577981651376145</v>
      </c>
      <c r="O73" s="144">
        <f t="shared" si="184"/>
        <v>-1.3509174311926606</v>
      </c>
      <c r="P73" s="144">
        <f t="shared" si="184"/>
        <v>-9.5893822348650719</v>
      </c>
      <c r="Q73" s="118" t="e">
        <f>((P73/G73)^(1/($H$2-$H$1) ))-1</f>
        <v>#DIV/0!</v>
      </c>
      <c r="R73" s="128"/>
      <c r="S73" s="144">
        <f t="shared" ref="S73:AB73" si="185">S38/S40</f>
        <v>-9.3392244374338098</v>
      </c>
      <c r="T73" s="144">
        <f t="shared" si="185"/>
        <v>-9.095592495587713</v>
      </c>
      <c r="U73" s="144">
        <f t="shared" si="185"/>
        <v>-8.8583161696158594</v>
      </c>
      <c r="V73" s="144">
        <f t="shared" si="185"/>
        <v>-8.6272296608432733</v>
      </c>
      <c r="W73" s="144">
        <f t="shared" si="185"/>
        <v>-8.4021714957777984</v>
      </c>
      <c r="X73" s="144">
        <f t="shared" si="185"/>
        <v>-8.1829844132792484</v>
      </c>
      <c r="Y73" s="144">
        <f t="shared" si="185"/>
        <v>-7.9695152546719665</v>
      </c>
      <c r="Z73" s="144">
        <f t="shared" si="185"/>
        <v>-7.7616148567240035</v>
      </c>
      <c r="AA73" s="144">
        <f t="shared" si="185"/>
        <v>-7.5591379474181615</v>
      </c>
      <c r="AB73" s="144">
        <f t="shared" si="185"/>
        <v>-7.3619430444420368</v>
      </c>
      <c r="AC73" s="138" t="e">
        <f t="shared" si="183"/>
        <v>#DIV/0!</v>
      </c>
      <c r="AD73" s="31">
        <f t="shared" si="17"/>
        <v>0.08</v>
      </c>
      <c r="AE73" s="146">
        <f t="shared" si="140"/>
        <v>-56.792132057124284</v>
      </c>
    </row>
    <row r="74" spans="2:31" x14ac:dyDescent="0.2">
      <c r="B74" s="20" t="s">
        <v>314</v>
      </c>
      <c r="C74" s="144">
        <f t="shared" ref="C74:P74" si="186">C6/C40</f>
        <v>0</v>
      </c>
      <c r="D74" s="144">
        <f t="shared" si="186"/>
        <v>0</v>
      </c>
      <c r="E74" s="144">
        <f t="shared" si="186"/>
        <v>0</v>
      </c>
      <c r="F74" s="144" t="e">
        <f t="shared" si="186"/>
        <v>#DIV/0!</v>
      </c>
      <c r="G74" s="144" t="e">
        <f t="shared" si="186"/>
        <v>#DIV/0!</v>
      </c>
      <c r="H74" s="144" t="e">
        <f t="shared" si="186"/>
        <v>#DIV/0!</v>
      </c>
      <c r="I74" s="144" t="e">
        <f t="shared" si="186"/>
        <v>#DIV/0!</v>
      </c>
      <c r="J74" s="144" t="e">
        <f t="shared" si="186"/>
        <v>#DIV/0!</v>
      </c>
      <c r="K74" s="144" t="e">
        <f t="shared" si="186"/>
        <v>#DIV/0!</v>
      </c>
      <c r="L74" s="144">
        <f t="shared" si="186"/>
        <v>2.4268418480916445</v>
      </c>
      <c r="M74" s="144">
        <f t="shared" si="186"/>
        <v>16.504587155963304</v>
      </c>
      <c r="N74" s="144">
        <f t="shared" si="186"/>
        <v>18.839449541284402</v>
      </c>
      <c r="O74" s="144">
        <f t="shared" si="186"/>
        <v>17.711009174311926</v>
      </c>
      <c r="P74" s="144">
        <f t="shared" si="186"/>
        <v>7.9389221116530004</v>
      </c>
      <c r="Q74" s="118" t="e">
        <f>((P74/G74)^(1/($H$2-$H$1) ))-1</f>
        <v>#DIV/0!</v>
      </c>
      <c r="R74" s="128"/>
      <c r="S74" s="144">
        <f t="shared" ref="S74:AB74" si="187">S6/S40</f>
        <v>7.7318197956968362</v>
      </c>
      <c r="T74" s="144">
        <f t="shared" si="187"/>
        <v>7.5301201488525722</v>
      </c>
      <c r="U74" s="144">
        <f t="shared" si="187"/>
        <v>7.3336822319259838</v>
      </c>
      <c r="V74" s="144">
        <f t="shared" si="187"/>
        <v>7.1423687823974813</v>
      </c>
      <c r="W74" s="144">
        <f t="shared" si="187"/>
        <v>6.9560461185088522</v>
      </c>
      <c r="X74" s="144">
        <f t="shared" si="187"/>
        <v>6.7745840458521016</v>
      </c>
      <c r="Y74" s="144">
        <f t="shared" si="187"/>
        <v>6.5978557663950923</v>
      </c>
      <c r="Z74" s="144">
        <f t="shared" si="187"/>
        <v>6.4257377898804391</v>
      </c>
      <c r="AA74" s="144">
        <f t="shared" si="187"/>
        <v>6.2581098475357333</v>
      </c>
      <c r="AB74" s="144">
        <f t="shared" si="187"/>
        <v>6.0948548080348015</v>
      </c>
      <c r="AC74" s="138" t="e">
        <f t="shared" si="183"/>
        <v>#DIV/0!</v>
      </c>
      <c r="AD74" s="31">
        <f t="shared" ref="AD74" si="188">$L$1</f>
        <v>0.08</v>
      </c>
      <c r="AE74" s="146">
        <f t="shared" si="140"/>
        <v>47.017451376268468</v>
      </c>
    </row>
    <row r="75" spans="2:31" x14ac:dyDescent="0.2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4"/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108" t="s">
        <v>311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spans="2:31" x14ac:dyDescent="0.2">
      <c r="B78" s="20" t="s">
        <v>310</v>
      </c>
      <c r="C78" s="152" t="e">
        <f t="shared" ref="C78:P78" si="189">C36/C25</f>
        <v>#DIV/0!</v>
      </c>
      <c r="D78" s="152" t="e">
        <f t="shared" si="189"/>
        <v>#DIV/0!</v>
      </c>
      <c r="E78" s="152" t="e">
        <f t="shared" si="189"/>
        <v>#DIV/0!</v>
      </c>
      <c r="F78" s="152" t="e">
        <f t="shared" si="189"/>
        <v>#DIV/0!</v>
      </c>
      <c r="G78" s="152" t="e">
        <f t="shared" si="189"/>
        <v>#DIV/0!</v>
      </c>
      <c r="H78" s="152" t="e">
        <f t="shared" si="189"/>
        <v>#DIV/0!</v>
      </c>
      <c r="I78" s="152" t="e">
        <f t="shared" si="189"/>
        <v>#DIV/0!</v>
      </c>
      <c r="J78" s="152" t="e">
        <f t="shared" si="189"/>
        <v>#DIV/0!</v>
      </c>
      <c r="K78" s="152" t="e">
        <f t="shared" si="189"/>
        <v>#DIV/0!</v>
      </c>
      <c r="L78" s="152" t="e">
        <f t="shared" si="189"/>
        <v>#DIV/0!</v>
      </c>
      <c r="M78" s="152">
        <f t="shared" si="189"/>
        <v>0.52034261241970026</v>
      </c>
      <c r="N78" s="152">
        <f t="shared" si="189"/>
        <v>0.56665118439386897</v>
      </c>
      <c r="O78" s="152">
        <f t="shared" si="189"/>
        <v>0.32380254154447702</v>
      </c>
      <c r="P78" s="152">
        <f t="shared" si="189"/>
        <v>0.13720474692593651</v>
      </c>
      <c r="Q78" s="118" t="e">
        <f t="shared" ref="Q78:Q120" si="190">((P78/G78)^(1/($H$2-$H$1) ))-1</f>
        <v>#DIV/0!</v>
      </c>
      <c r="R78" s="152"/>
      <c r="S78" s="152">
        <f t="shared" ref="S78:AB78" si="191">S36/S25</f>
        <v>0.13720474692593651</v>
      </c>
      <c r="T78" s="152">
        <f t="shared" si="191"/>
        <v>0.13720474692593651</v>
      </c>
      <c r="U78" s="152">
        <f t="shared" si="191"/>
        <v>0.13720474692593651</v>
      </c>
      <c r="V78" s="152">
        <f t="shared" si="191"/>
        <v>0.13720474692593651</v>
      </c>
      <c r="W78" s="152">
        <f t="shared" si="191"/>
        <v>0.13720474692593651</v>
      </c>
      <c r="X78" s="152">
        <f t="shared" si="191"/>
        <v>0.13720474692593651</v>
      </c>
      <c r="Y78" s="152">
        <f t="shared" si="191"/>
        <v>0.13720474692593654</v>
      </c>
      <c r="Z78" s="152">
        <f t="shared" si="191"/>
        <v>0.13720474692593651</v>
      </c>
      <c r="AA78" s="152">
        <f t="shared" si="191"/>
        <v>0.13720474692593654</v>
      </c>
      <c r="AB78" s="152">
        <f t="shared" si="191"/>
        <v>0.13720474692593651</v>
      </c>
      <c r="AC78" s="138" t="e">
        <f t="shared" ref="AC78:AC108" si="192">((AB78/G78)^(1/($AB$3-$H$1) ))-1</f>
        <v>#DIV/0!</v>
      </c>
      <c r="AD78" s="146"/>
      <c r="AE78" s="146"/>
    </row>
    <row r="79" spans="2:31" x14ac:dyDescent="0.2">
      <c r="B79" s="20" t="s">
        <v>267</v>
      </c>
      <c r="C79" s="152" t="e">
        <f t="shared" ref="C79:P79" si="193">C38/C25</f>
        <v>#DIV/0!</v>
      </c>
      <c r="D79" s="152" t="e">
        <f t="shared" si="193"/>
        <v>#DIV/0!</v>
      </c>
      <c r="E79" s="152" t="e">
        <f t="shared" si="193"/>
        <v>#DIV/0!</v>
      </c>
      <c r="F79" s="152" t="e">
        <f t="shared" si="193"/>
        <v>#DIV/0!</v>
      </c>
      <c r="G79" s="152" t="e">
        <f t="shared" si="193"/>
        <v>#DIV/0!</v>
      </c>
      <c r="H79" s="152" t="e">
        <f t="shared" si="193"/>
        <v>#DIV/0!</v>
      </c>
      <c r="I79" s="152" t="e">
        <f t="shared" si="193"/>
        <v>#DIV/0!</v>
      </c>
      <c r="J79" s="152" t="e">
        <f t="shared" si="193"/>
        <v>#DIV/0!</v>
      </c>
      <c r="K79" s="152" t="e">
        <f t="shared" si="193"/>
        <v>#DIV/0!</v>
      </c>
      <c r="L79" s="152" t="e">
        <f t="shared" si="193"/>
        <v>#DIV/0!</v>
      </c>
      <c r="M79" s="152">
        <f t="shared" si="193"/>
        <v>0.36402569593147749</v>
      </c>
      <c r="N79" s="152">
        <f t="shared" si="193"/>
        <v>0.23873664653971202</v>
      </c>
      <c r="O79" s="152">
        <f t="shared" si="193"/>
        <v>-7.1969696969696975E-2</v>
      </c>
      <c r="P79" s="152">
        <f t="shared" si="193"/>
        <v>-0.32813840434658281</v>
      </c>
      <c r="Q79" s="118" t="e">
        <f t="shared" si="190"/>
        <v>#DIV/0!</v>
      </c>
      <c r="R79" s="152"/>
      <c r="S79" s="152">
        <f t="shared" ref="S79:AB79" si="194">S38/S25</f>
        <v>-0.32813840434658276</v>
      </c>
      <c r="T79" s="152">
        <f t="shared" si="194"/>
        <v>-0.32813840434658276</v>
      </c>
      <c r="U79" s="152">
        <f t="shared" si="194"/>
        <v>-0.32813840434658276</v>
      </c>
      <c r="V79" s="152">
        <f t="shared" si="194"/>
        <v>-0.3281384043465827</v>
      </c>
      <c r="W79" s="152">
        <f t="shared" si="194"/>
        <v>-0.3281384043465827</v>
      </c>
      <c r="X79" s="152">
        <f t="shared" si="194"/>
        <v>-0.3281384043465827</v>
      </c>
      <c r="Y79" s="152">
        <f t="shared" si="194"/>
        <v>-0.3281384043465827</v>
      </c>
      <c r="Z79" s="152">
        <f t="shared" si="194"/>
        <v>-0.3281384043465827</v>
      </c>
      <c r="AA79" s="152">
        <f t="shared" si="194"/>
        <v>-0.32813840434658276</v>
      </c>
      <c r="AB79" s="152">
        <f t="shared" si="194"/>
        <v>-0.32813840434658276</v>
      </c>
      <c r="AC79" s="138" t="e">
        <f t="shared" si="192"/>
        <v>#DIV/0!</v>
      </c>
      <c r="AD79" s="146"/>
      <c r="AE79" s="146"/>
    </row>
    <row r="80" spans="2:31" x14ac:dyDescent="0.2">
      <c r="B80" s="20" t="s">
        <v>360</v>
      </c>
      <c r="C80" s="152" t="e">
        <f t="shared" ref="C80:O80" si="195">C38/C7</f>
        <v>#DIV/0!</v>
      </c>
      <c r="D80" s="152" t="e">
        <f t="shared" si="195"/>
        <v>#DIV/0!</v>
      </c>
      <c r="E80" s="152" t="e">
        <f t="shared" si="195"/>
        <v>#DIV/0!</v>
      </c>
      <c r="F80" s="152" t="e">
        <f t="shared" si="195"/>
        <v>#DIV/0!</v>
      </c>
      <c r="G80" s="152">
        <f>G38/G7</f>
        <v>0</v>
      </c>
      <c r="H80" s="152">
        <f t="shared" si="195"/>
        <v>0</v>
      </c>
      <c r="I80" s="152">
        <f t="shared" si="195"/>
        <v>0</v>
      </c>
      <c r="J80" s="152">
        <f t="shared" si="195"/>
        <v>0</v>
      </c>
      <c r="K80" s="152" t="e">
        <f t="shared" si="195"/>
        <v>#DIV/0!</v>
      </c>
      <c r="L80" s="152">
        <f t="shared" si="195"/>
        <v>-2.2902097902097905E-3</v>
      </c>
      <c r="M80" s="152">
        <f t="shared" si="195"/>
        <v>2.9421945309795777E-2</v>
      </c>
      <c r="N80" s="152">
        <f t="shared" si="195"/>
        <v>8.1756004453634484E-2</v>
      </c>
      <c r="O80" s="152">
        <f t="shared" si="195"/>
        <v>-4.8750206919384205E-2</v>
      </c>
      <c r="P80" s="152">
        <f t="shared" ref="P80" si="196">P38/P7</f>
        <v>-0.53459119496855345</v>
      </c>
      <c r="Q80" s="118" t="e">
        <f t="shared" si="190"/>
        <v>#DIV/0!</v>
      </c>
      <c r="R80" s="20"/>
      <c r="S80" s="152">
        <f t="shared" ref="S80" si="197">S38/S7</f>
        <v>-0.53459119496855334</v>
      </c>
      <c r="T80" s="152">
        <f t="shared" ref="T80:AB80" si="198">T38/T7</f>
        <v>-0.53459119496855334</v>
      </c>
      <c r="U80" s="152">
        <f t="shared" si="198"/>
        <v>-0.53459119496855334</v>
      </c>
      <c r="V80" s="152">
        <f t="shared" si="198"/>
        <v>-0.53459119496855334</v>
      </c>
      <c r="W80" s="152">
        <f t="shared" si="198"/>
        <v>-0.53459119496855334</v>
      </c>
      <c r="X80" s="152">
        <f t="shared" si="198"/>
        <v>-0.53459119496855334</v>
      </c>
      <c r="Y80" s="152">
        <f t="shared" si="198"/>
        <v>-0.53459119496855334</v>
      </c>
      <c r="Z80" s="152">
        <f t="shared" si="198"/>
        <v>-0.53459119496855345</v>
      </c>
      <c r="AA80" s="152">
        <f t="shared" si="198"/>
        <v>-0.53459119496855345</v>
      </c>
      <c r="AB80" s="152">
        <f t="shared" si="198"/>
        <v>-0.53459119496855345</v>
      </c>
      <c r="AC80" s="138" t="e">
        <f t="shared" si="192"/>
        <v>#DIV/0!</v>
      </c>
      <c r="AD80" s="146"/>
      <c r="AE80" s="146"/>
    </row>
    <row r="81" spans="2:31" x14ac:dyDescent="0.2">
      <c r="B81" s="20" t="s">
        <v>361</v>
      </c>
      <c r="C81" s="152" t="e">
        <f t="shared" ref="C81:F81" si="199">(C38)/(C7+C10)</f>
        <v>#DIV/0!</v>
      </c>
      <c r="D81" s="152" t="e">
        <f t="shared" si="199"/>
        <v>#DIV/0!</v>
      </c>
      <c r="E81" s="152" t="e">
        <f t="shared" si="199"/>
        <v>#DIV/0!</v>
      </c>
      <c r="F81" s="152" t="e">
        <f t="shared" si="199"/>
        <v>#DIV/0!</v>
      </c>
      <c r="G81" s="152">
        <f>(G38)/(G7+G10)</f>
        <v>0</v>
      </c>
      <c r="H81" s="152">
        <f t="shared" ref="H81:O81" si="200">(H38)/(H7+H10)</f>
        <v>0</v>
      </c>
      <c r="I81" s="152">
        <f t="shared" si="200"/>
        <v>0</v>
      </c>
      <c r="J81" s="152">
        <f t="shared" si="200"/>
        <v>0</v>
      </c>
      <c r="K81" s="152" t="e">
        <f t="shared" si="200"/>
        <v>#DIV/0!</v>
      </c>
      <c r="L81" s="152">
        <f t="shared" si="200"/>
        <v>-7.1997801593844471E-4</v>
      </c>
      <c r="M81" s="152">
        <f t="shared" si="200"/>
        <v>1.0398825544409102E-2</v>
      </c>
      <c r="N81" s="152">
        <f t="shared" si="200"/>
        <v>1.6694273929000619E-2</v>
      </c>
      <c r="O81" s="152">
        <f t="shared" si="200"/>
        <v>-6.597074438296633E-3</v>
      </c>
      <c r="P81" s="152">
        <f t="shared" ref="P81" si="201">(P38)/(P7+P10)</f>
        <v>-5.4779806659505909E-2</v>
      </c>
      <c r="Q81" s="118" t="e">
        <f t="shared" si="190"/>
        <v>#DIV/0!</v>
      </c>
      <c r="R81" s="20"/>
      <c r="S81" s="152">
        <f t="shared" ref="S81:AB81" si="202">(S38)/(S7+S10)</f>
        <v>-5.4779806659505902E-2</v>
      </c>
      <c r="T81" s="152">
        <f t="shared" si="202"/>
        <v>-5.4779806659505895E-2</v>
      </c>
      <c r="U81" s="152">
        <f t="shared" si="202"/>
        <v>-5.4779806659505895E-2</v>
      </c>
      <c r="V81" s="152">
        <f t="shared" si="202"/>
        <v>-5.4779806659505895E-2</v>
      </c>
      <c r="W81" s="152">
        <f t="shared" si="202"/>
        <v>-5.4779806659505895E-2</v>
      </c>
      <c r="X81" s="152">
        <f t="shared" si="202"/>
        <v>-5.4779806659505888E-2</v>
      </c>
      <c r="Y81" s="152">
        <f t="shared" si="202"/>
        <v>-5.4779806659505888E-2</v>
      </c>
      <c r="Z81" s="152">
        <f t="shared" si="202"/>
        <v>-5.4779806659505888E-2</v>
      </c>
      <c r="AA81" s="152">
        <f t="shared" si="202"/>
        <v>-5.4779806659505895E-2</v>
      </c>
      <c r="AB81" s="152">
        <f t="shared" si="202"/>
        <v>-5.4779806659505895E-2</v>
      </c>
      <c r="AC81" s="138" t="e">
        <f t="shared" si="192"/>
        <v>#DIV/0!</v>
      </c>
      <c r="AD81" s="146"/>
      <c r="AE81" s="146"/>
    </row>
    <row r="82" spans="2:31" x14ac:dyDescent="0.2">
      <c r="B82" s="20" t="s">
        <v>377</v>
      </c>
      <c r="C82" s="152"/>
      <c r="D82" s="152"/>
      <c r="E82" s="152"/>
      <c r="F82" s="152"/>
      <c r="G82" s="152" t="e">
        <f>G20/G25</f>
        <v>#DIV/0!</v>
      </c>
      <c r="H82" s="152" t="e">
        <f t="shared" ref="H82:P82" si="203">H20/H25</f>
        <v>#DIV/0!</v>
      </c>
      <c r="I82" s="152" t="e">
        <f t="shared" si="203"/>
        <v>#DIV/0!</v>
      </c>
      <c r="J82" s="152" t="e">
        <f t="shared" si="203"/>
        <v>#DIV/0!</v>
      </c>
      <c r="K82" s="152" t="e">
        <f t="shared" si="203"/>
        <v>#DIV/0!</v>
      </c>
      <c r="L82" s="152" t="e">
        <f t="shared" si="203"/>
        <v>#DIV/0!</v>
      </c>
      <c r="M82" s="152">
        <f t="shared" si="203"/>
        <v>0</v>
      </c>
      <c r="N82" s="152">
        <f t="shared" si="203"/>
        <v>0</v>
      </c>
      <c r="O82" s="152">
        <f t="shared" si="203"/>
        <v>0</v>
      </c>
      <c r="P82" s="152">
        <f t="shared" si="203"/>
        <v>0</v>
      </c>
      <c r="Q82" s="118" t="e">
        <f t="shared" si="190"/>
        <v>#DIV/0!</v>
      </c>
      <c r="R82" s="20"/>
      <c r="S82" s="152">
        <f t="shared" ref="S82:AB82" si="204">S20/S25</f>
        <v>0</v>
      </c>
      <c r="T82" s="152">
        <f t="shared" si="204"/>
        <v>0</v>
      </c>
      <c r="U82" s="152">
        <f t="shared" si="204"/>
        <v>0</v>
      </c>
      <c r="V82" s="152">
        <f t="shared" si="204"/>
        <v>0</v>
      </c>
      <c r="W82" s="152">
        <f t="shared" si="204"/>
        <v>0</v>
      </c>
      <c r="X82" s="152">
        <f t="shared" si="204"/>
        <v>0</v>
      </c>
      <c r="Y82" s="152">
        <f t="shared" si="204"/>
        <v>0</v>
      </c>
      <c r="Z82" s="152">
        <f t="shared" si="204"/>
        <v>0</v>
      </c>
      <c r="AA82" s="152">
        <f t="shared" si="204"/>
        <v>0</v>
      </c>
      <c r="AB82" s="152">
        <f t="shared" si="204"/>
        <v>0</v>
      </c>
      <c r="AC82" s="138" t="e">
        <f t="shared" si="192"/>
        <v>#DIV/0!</v>
      </c>
      <c r="AD82" s="146"/>
      <c r="AE82" s="146"/>
    </row>
    <row r="83" spans="2:31" x14ac:dyDescent="0.2">
      <c r="B83" s="20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20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3"/>
      <c r="AD83" s="146"/>
      <c r="AE83" s="146"/>
    </row>
    <row r="84" spans="2:31" x14ac:dyDescent="0.2">
      <c r="B84" s="20" t="s">
        <v>324</v>
      </c>
      <c r="C84" s="152"/>
      <c r="D84" s="152"/>
      <c r="E84" s="152"/>
      <c r="F84" s="152"/>
      <c r="G84" s="152" t="e">
        <f>G29/G25</f>
        <v>#DIV/0!</v>
      </c>
      <c r="H84" s="152" t="e">
        <f t="shared" ref="H84:P84" si="205">H29/H25</f>
        <v>#DIV/0!</v>
      </c>
      <c r="I84" s="152" t="e">
        <f t="shared" si="205"/>
        <v>#DIV/0!</v>
      </c>
      <c r="J84" s="152" t="e">
        <f t="shared" si="205"/>
        <v>#DIV/0!</v>
      </c>
      <c r="K84" s="152" t="e">
        <f t="shared" si="205"/>
        <v>#DIV/0!</v>
      </c>
      <c r="L84" s="152" t="e">
        <f t="shared" si="205"/>
        <v>#DIV/0!</v>
      </c>
      <c r="M84" s="152">
        <f t="shared" si="205"/>
        <v>0</v>
      </c>
      <c r="N84" s="152">
        <f t="shared" si="205"/>
        <v>0</v>
      </c>
      <c r="O84" s="152">
        <f t="shared" si="205"/>
        <v>0</v>
      </c>
      <c r="P84" s="152">
        <f t="shared" si="205"/>
        <v>0</v>
      </c>
      <c r="Q84" s="118" t="e">
        <f t="shared" si="190"/>
        <v>#DIV/0!</v>
      </c>
      <c r="R84" s="20"/>
      <c r="S84" s="152">
        <f t="shared" ref="S84:AB84" si="206">S29/S25</f>
        <v>0</v>
      </c>
      <c r="T84" s="152">
        <f t="shared" si="206"/>
        <v>0</v>
      </c>
      <c r="U84" s="152">
        <f t="shared" si="206"/>
        <v>0</v>
      </c>
      <c r="V84" s="152">
        <f t="shared" si="206"/>
        <v>0</v>
      </c>
      <c r="W84" s="152">
        <f t="shared" si="206"/>
        <v>0</v>
      </c>
      <c r="X84" s="152">
        <f t="shared" si="206"/>
        <v>0</v>
      </c>
      <c r="Y84" s="152">
        <f t="shared" si="206"/>
        <v>0</v>
      </c>
      <c r="Z84" s="152">
        <f t="shared" si="206"/>
        <v>0</v>
      </c>
      <c r="AA84" s="152">
        <f t="shared" si="206"/>
        <v>0</v>
      </c>
      <c r="AB84" s="152">
        <f t="shared" si="206"/>
        <v>0</v>
      </c>
      <c r="AC84" s="138" t="e">
        <f t="shared" si="192"/>
        <v>#DIV/0!</v>
      </c>
      <c r="AD84" s="146"/>
      <c r="AE84" s="146"/>
    </row>
    <row r="85" spans="2:31" x14ac:dyDescent="0.2">
      <c r="B85" s="20" t="s">
        <v>370</v>
      </c>
      <c r="C85" s="152"/>
      <c r="D85" s="152"/>
      <c r="E85" s="152"/>
      <c r="F85" s="152"/>
      <c r="G85" s="152" t="e">
        <f>G29/G36</f>
        <v>#DIV/0!</v>
      </c>
      <c r="H85" s="152" t="e">
        <f t="shared" ref="H85:P85" si="207">H29/H36</f>
        <v>#DIV/0!</v>
      </c>
      <c r="I85" s="152" t="e">
        <f t="shared" si="207"/>
        <v>#DIV/0!</v>
      </c>
      <c r="J85" s="152" t="e">
        <f t="shared" si="207"/>
        <v>#DIV/0!</v>
      </c>
      <c r="K85" s="152" t="e">
        <f t="shared" si="207"/>
        <v>#DIV/0!</v>
      </c>
      <c r="L85" s="152">
        <f t="shared" si="207"/>
        <v>0</v>
      </c>
      <c r="M85" s="152">
        <f t="shared" si="207"/>
        <v>0</v>
      </c>
      <c r="N85" s="152">
        <f t="shared" si="207"/>
        <v>0</v>
      </c>
      <c r="O85" s="152">
        <f t="shared" si="207"/>
        <v>0</v>
      </c>
      <c r="P85" s="152">
        <f t="shared" si="207"/>
        <v>0</v>
      </c>
      <c r="Q85" s="118" t="e">
        <f t="shared" ref="Q85" si="208">((P85/G85)^(1/($H$2-$H$1) ))-1</f>
        <v>#DIV/0!</v>
      </c>
      <c r="R85" s="20"/>
      <c r="S85" s="152">
        <f t="shared" ref="S85:AB85" si="209">S29/S36</f>
        <v>0</v>
      </c>
      <c r="T85" s="152">
        <f t="shared" si="209"/>
        <v>0</v>
      </c>
      <c r="U85" s="152">
        <f t="shared" si="209"/>
        <v>0</v>
      </c>
      <c r="V85" s="152">
        <f t="shared" si="209"/>
        <v>0</v>
      </c>
      <c r="W85" s="152">
        <f t="shared" si="209"/>
        <v>0</v>
      </c>
      <c r="X85" s="152">
        <f t="shared" si="209"/>
        <v>0</v>
      </c>
      <c r="Y85" s="152">
        <f t="shared" si="209"/>
        <v>0</v>
      </c>
      <c r="Z85" s="152">
        <f t="shared" si="209"/>
        <v>0</v>
      </c>
      <c r="AA85" s="152">
        <f t="shared" si="209"/>
        <v>0</v>
      </c>
      <c r="AB85" s="152">
        <f t="shared" si="209"/>
        <v>0</v>
      </c>
      <c r="AC85" s="138" t="e">
        <f t="shared" ref="AC85" si="210">((AB85/G85)^(1/($AB$3-$H$1) ))-1</f>
        <v>#DIV/0!</v>
      </c>
      <c r="AD85" s="146"/>
      <c r="AE85" s="146"/>
    </row>
    <row r="86" spans="2:31" ht="12" customHeight="1" x14ac:dyDescent="0.2">
      <c r="B86" s="20" t="s">
        <v>369</v>
      </c>
      <c r="C86" s="152"/>
      <c r="D86" s="152"/>
      <c r="E86" s="152"/>
      <c r="F86" s="152"/>
      <c r="G86" s="171" t="e">
        <f t="shared" ref="G86:P86" si="211">G29/G38</f>
        <v>#DIV/0!</v>
      </c>
      <c r="H86" s="171" t="e">
        <f t="shared" si="211"/>
        <v>#DIV/0!</v>
      </c>
      <c r="I86" s="171" t="e">
        <f t="shared" si="211"/>
        <v>#DIV/0!</v>
      </c>
      <c r="J86" s="171" t="e">
        <f t="shared" si="211"/>
        <v>#DIV/0!</v>
      </c>
      <c r="K86" s="171" t="e">
        <f t="shared" si="211"/>
        <v>#DIV/0!</v>
      </c>
      <c r="L86" s="171">
        <f t="shared" si="211"/>
        <v>0</v>
      </c>
      <c r="M86" s="171">
        <f t="shared" si="211"/>
        <v>0</v>
      </c>
      <c r="N86" s="171">
        <f t="shared" si="211"/>
        <v>0</v>
      </c>
      <c r="O86" s="171">
        <f t="shared" si="211"/>
        <v>0</v>
      </c>
      <c r="P86" s="171">
        <f t="shared" si="211"/>
        <v>0</v>
      </c>
      <c r="Q86" s="118" t="e">
        <f t="shared" ref="Q86" si="212">((P86/G86)^(1/($H$2-$H$1) ))-1</f>
        <v>#DIV/0!</v>
      </c>
      <c r="R86" s="20"/>
      <c r="S86" s="171">
        <f t="shared" ref="S86:AB86" si="213">S29/S38</f>
        <v>0</v>
      </c>
      <c r="T86" s="171">
        <f t="shared" si="213"/>
        <v>0</v>
      </c>
      <c r="U86" s="171">
        <f t="shared" si="213"/>
        <v>0</v>
      </c>
      <c r="V86" s="171">
        <f t="shared" si="213"/>
        <v>0</v>
      </c>
      <c r="W86" s="171">
        <f t="shared" si="213"/>
        <v>0</v>
      </c>
      <c r="X86" s="171">
        <f t="shared" si="213"/>
        <v>0</v>
      </c>
      <c r="Y86" s="171">
        <f t="shared" si="213"/>
        <v>0</v>
      </c>
      <c r="Z86" s="171">
        <f t="shared" si="213"/>
        <v>0</v>
      </c>
      <c r="AA86" s="171">
        <f t="shared" si="213"/>
        <v>0</v>
      </c>
      <c r="AB86" s="171">
        <f t="shared" si="213"/>
        <v>0</v>
      </c>
      <c r="AC86" s="138" t="e">
        <f t="shared" ref="AC86" si="214">((AB86/G86)^(1/($AB$3-$H$1) ))-1</f>
        <v>#DIV/0!</v>
      </c>
      <c r="AD86" s="146"/>
      <c r="AE86" s="146"/>
    </row>
    <row r="87" spans="2:31" ht="12" customHeight="1" x14ac:dyDescent="0.2">
      <c r="B87" s="20" t="s">
        <v>326</v>
      </c>
      <c r="C87" s="152"/>
      <c r="D87" s="152"/>
      <c r="E87" s="152"/>
      <c r="F87" s="152"/>
      <c r="G87" s="171" t="e">
        <f>G29/#REF!</f>
        <v>#REF!</v>
      </c>
      <c r="H87" s="171" t="e">
        <f>H29/#REF!</f>
        <v>#REF!</v>
      </c>
      <c r="I87" s="171" t="e">
        <f>I29/#REF!</f>
        <v>#REF!</v>
      </c>
      <c r="J87" s="171" t="e">
        <f>J29/#REF!</f>
        <v>#REF!</v>
      </c>
      <c r="K87" s="171" t="e">
        <f>K29/#REF!</f>
        <v>#REF!</v>
      </c>
      <c r="L87" s="171" t="e">
        <f>L29/#REF!</f>
        <v>#REF!</v>
      </c>
      <c r="M87" s="171" t="e">
        <f>M29/#REF!</f>
        <v>#REF!</v>
      </c>
      <c r="N87" s="171" t="e">
        <f>N29/#REF!</f>
        <v>#REF!</v>
      </c>
      <c r="O87" s="171" t="e">
        <f>O29/#REF!</f>
        <v>#REF!</v>
      </c>
      <c r="P87" s="171" t="e">
        <f>P29/#REF!</f>
        <v>#REF!</v>
      </c>
      <c r="Q87" s="118" t="e">
        <f t="shared" si="190"/>
        <v>#REF!</v>
      </c>
      <c r="R87" s="20"/>
      <c r="S87" s="152">
        <f t="shared" ref="S87:AB87" si="215">S29/S12</f>
        <v>0</v>
      </c>
      <c r="T87" s="152">
        <f t="shared" si="215"/>
        <v>0</v>
      </c>
      <c r="U87" s="152">
        <f t="shared" si="215"/>
        <v>0</v>
      </c>
      <c r="V87" s="152">
        <f t="shared" si="215"/>
        <v>0</v>
      </c>
      <c r="W87" s="152">
        <f t="shared" si="215"/>
        <v>0</v>
      </c>
      <c r="X87" s="152">
        <f t="shared" si="215"/>
        <v>0</v>
      </c>
      <c r="Y87" s="152">
        <f t="shared" si="215"/>
        <v>0</v>
      </c>
      <c r="Z87" s="152">
        <f t="shared" si="215"/>
        <v>0</v>
      </c>
      <c r="AA87" s="152">
        <f t="shared" si="215"/>
        <v>0</v>
      </c>
      <c r="AB87" s="152">
        <f t="shared" si="215"/>
        <v>0</v>
      </c>
      <c r="AC87" s="138" t="e">
        <f t="shared" si="192"/>
        <v>#REF!</v>
      </c>
      <c r="AD87" s="146"/>
      <c r="AE87" s="146"/>
    </row>
    <row r="88" spans="2:31" ht="12" customHeight="1" x14ac:dyDescent="0.2">
      <c r="B88" s="20" t="s">
        <v>371</v>
      </c>
      <c r="C88" s="152"/>
      <c r="D88" s="152"/>
      <c r="E88" s="152"/>
      <c r="F88" s="152"/>
      <c r="G88" s="171" t="e">
        <f>G29/G23</f>
        <v>#DIV/0!</v>
      </c>
      <c r="H88" s="171" t="e">
        <f t="shared" ref="H88:P88" si="216">H29/H23</f>
        <v>#DIV/0!</v>
      </c>
      <c r="I88" s="171" t="e">
        <f t="shared" si="216"/>
        <v>#DIV/0!</v>
      </c>
      <c r="J88" s="171" t="e">
        <f t="shared" si="216"/>
        <v>#DIV/0!</v>
      </c>
      <c r="K88" s="171" t="e">
        <f t="shared" si="216"/>
        <v>#DIV/0!</v>
      </c>
      <c r="L88" s="171" t="e">
        <f t="shared" si="216"/>
        <v>#DIV/0!</v>
      </c>
      <c r="M88" s="171" t="e">
        <f t="shared" si="216"/>
        <v>#DIV/0!</v>
      </c>
      <c r="N88" s="171" t="e">
        <f t="shared" si="216"/>
        <v>#DIV/0!</v>
      </c>
      <c r="O88" s="171" t="e">
        <f t="shared" si="216"/>
        <v>#DIV/0!</v>
      </c>
      <c r="P88" s="171" t="e">
        <f t="shared" si="216"/>
        <v>#DIV/0!</v>
      </c>
      <c r="Q88" s="118" t="e">
        <f t="shared" ref="Q88" si="217">((P88/G88)^(1/($H$2-$H$1) ))-1</f>
        <v>#DIV/0!</v>
      </c>
      <c r="R88" s="20"/>
      <c r="S88" s="171" t="e">
        <f t="shared" ref="S88:AB88" si="218">S29/S23</f>
        <v>#DIV/0!</v>
      </c>
      <c r="T88" s="171" t="e">
        <f t="shared" si="218"/>
        <v>#DIV/0!</v>
      </c>
      <c r="U88" s="171" t="e">
        <f t="shared" si="218"/>
        <v>#DIV/0!</v>
      </c>
      <c r="V88" s="171" t="e">
        <f t="shared" si="218"/>
        <v>#DIV/0!</v>
      </c>
      <c r="W88" s="171" t="e">
        <f t="shared" si="218"/>
        <v>#DIV/0!</v>
      </c>
      <c r="X88" s="171" t="e">
        <f t="shared" si="218"/>
        <v>#DIV/0!</v>
      </c>
      <c r="Y88" s="171" t="e">
        <f t="shared" si="218"/>
        <v>#DIV/0!</v>
      </c>
      <c r="Z88" s="171" t="e">
        <f t="shared" si="218"/>
        <v>#DIV/0!</v>
      </c>
      <c r="AA88" s="171" t="e">
        <f t="shared" si="218"/>
        <v>#DIV/0!</v>
      </c>
      <c r="AB88" s="171" t="e">
        <f t="shared" si="218"/>
        <v>#DIV/0!</v>
      </c>
      <c r="AC88" s="138" t="e">
        <f t="shared" ref="AC88" si="219">((AB88/G88)^(1/($AB$3-$H$1) ))-1</f>
        <v>#DIV/0!</v>
      </c>
      <c r="AD88" s="146"/>
      <c r="AE88" s="146"/>
    </row>
    <row r="89" spans="2:31" ht="12" customHeight="1" x14ac:dyDescent="0.2">
      <c r="B89" s="20"/>
      <c r="C89" s="152"/>
      <c r="D89" s="152"/>
      <c r="E89" s="152"/>
      <c r="F89" s="152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38"/>
      <c r="AD89" s="146"/>
      <c r="AE89" s="146"/>
    </row>
    <row r="90" spans="2:31" x14ac:dyDescent="0.2">
      <c r="B90" s="20" t="s">
        <v>327</v>
      </c>
      <c r="C90" s="152"/>
      <c r="D90" s="152"/>
      <c r="E90" s="152"/>
      <c r="F90" s="163">
        <f>F12+F13-F10</f>
        <v>0</v>
      </c>
      <c r="G90" s="163" t="e">
        <f>#REF!+#REF!-G10</f>
        <v>#REF!</v>
      </c>
      <c r="H90" s="163" t="e">
        <f>#REF!+#REF!-H10</f>
        <v>#REF!</v>
      </c>
      <c r="I90" s="163" t="e">
        <f>#REF!+#REF!-I10</f>
        <v>#REF!</v>
      </c>
      <c r="J90" s="163" t="e">
        <f>#REF!+#REF!-J10</f>
        <v>#REF!</v>
      </c>
      <c r="K90" s="163" t="e">
        <f>#REF!+#REF!-K10</f>
        <v>#REF!</v>
      </c>
      <c r="L90" s="163" t="e">
        <f>#REF!+#REF!-L10</f>
        <v>#REF!</v>
      </c>
      <c r="M90" s="163" t="e">
        <f>#REF!+#REF!-M10</f>
        <v>#REF!</v>
      </c>
      <c r="N90" s="163" t="e">
        <f>#REF!+#REF!-N10</f>
        <v>#REF!</v>
      </c>
      <c r="O90" s="163" t="e">
        <f>#REF!+#REF!-O10</f>
        <v>#REF!</v>
      </c>
      <c r="P90" s="163" t="e">
        <f>#REF!+#REF!-P10</f>
        <v>#REF!</v>
      </c>
      <c r="Q90" s="118" t="e">
        <f t="shared" si="190"/>
        <v>#REF!</v>
      </c>
      <c r="R90" s="20"/>
      <c r="S90" s="163">
        <f t="shared" ref="S90:AB90" si="220">S12+S13-S10</f>
        <v>-40165.025600000008</v>
      </c>
      <c r="T90" s="163">
        <f t="shared" si="220"/>
        <v>-44984.828672000011</v>
      </c>
      <c r="U90" s="163">
        <f t="shared" si="220"/>
        <v>-50383.008112640018</v>
      </c>
      <c r="V90" s="163">
        <f t="shared" si="220"/>
        <v>-56428.969086156823</v>
      </c>
      <c r="W90" s="163">
        <f t="shared" si="220"/>
        <v>-63200.445376495656</v>
      </c>
      <c r="X90" s="163">
        <f t="shared" si="220"/>
        <v>-70784.498821675137</v>
      </c>
      <c r="Y90" s="163">
        <f t="shared" si="220"/>
        <v>-79278.63868027617</v>
      </c>
      <c r="Z90" s="163">
        <f t="shared" si="220"/>
        <v>-88792.075321909317</v>
      </c>
      <c r="AA90" s="163">
        <f t="shared" si="220"/>
        <v>-99447.124360538437</v>
      </c>
      <c r="AB90" s="163">
        <f t="shared" si="220"/>
        <v>-111380.77928380307</v>
      </c>
      <c r="AC90" s="138" t="e">
        <f t="shared" si="192"/>
        <v>#REF!</v>
      </c>
      <c r="AD90" s="146"/>
      <c r="AE90" s="146"/>
    </row>
    <row r="91" spans="2:31" ht="12" customHeight="1" x14ac:dyDescent="0.2">
      <c r="B91" s="20" t="s">
        <v>322</v>
      </c>
      <c r="C91" s="20"/>
      <c r="D91" s="20"/>
      <c r="E91" s="20"/>
      <c r="F91" s="20"/>
      <c r="G91" s="152" t="e">
        <f t="shared" ref="G91:P91" si="221">G38/G18</f>
        <v>#DIV/0!</v>
      </c>
      <c r="H91" s="152" t="e">
        <f t="shared" si="221"/>
        <v>#DIV/0!</v>
      </c>
      <c r="I91" s="152">
        <f t="shared" si="221"/>
        <v>0</v>
      </c>
      <c r="J91" s="152">
        <f t="shared" si="221"/>
        <v>0</v>
      </c>
      <c r="K91" s="152" t="e">
        <f t="shared" si="221"/>
        <v>#DIV/0!</v>
      </c>
      <c r="L91" s="152">
        <f t="shared" si="221"/>
        <v>-1.5548961424332345E-2</v>
      </c>
      <c r="M91" s="152">
        <f t="shared" si="221"/>
        <v>6.0997488338715468E-2</v>
      </c>
      <c r="N91" s="152">
        <f t="shared" si="221"/>
        <v>5.8763004458671546E-2</v>
      </c>
      <c r="O91" s="152">
        <f t="shared" si="221"/>
        <v>-1.8634522905593521E-2</v>
      </c>
      <c r="P91" s="152">
        <f t="shared" si="221"/>
        <v>-7.8898514851485149E-2</v>
      </c>
      <c r="Q91" s="118" t="e">
        <f t="shared" si="190"/>
        <v>#DIV/0!</v>
      </c>
      <c r="R91" s="20"/>
      <c r="S91" s="152">
        <f t="shared" ref="S91:AB91" si="222">S38/S18</f>
        <v>-7.8898514851485149E-2</v>
      </c>
      <c r="T91" s="152">
        <f t="shared" si="222"/>
        <v>-7.8898514851485149E-2</v>
      </c>
      <c r="U91" s="152">
        <f t="shared" si="222"/>
        <v>-7.8898514851485149E-2</v>
      </c>
      <c r="V91" s="152">
        <f t="shared" si="222"/>
        <v>-7.8898514851485149E-2</v>
      </c>
      <c r="W91" s="152">
        <f t="shared" si="222"/>
        <v>-7.8898514851485149E-2</v>
      </c>
      <c r="X91" s="152">
        <f t="shared" si="222"/>
        <v>-7.8898514851485149E-2</v>
      </c>
      <c r="Y91" s="152">
        <f t="shared" si="222"/>
        <v>-7.8898514851485149E-2</v>
      </c>
      <c r="Z91" s="152">
        <f t="shared" si="222"/>
        <v>-7.8898514851485135E-2</v>
      </c>
      <c r="AA91" s="152">
        <f t="shared" si="222"/>
        <v>-7.8898514851485149E-2</v>
      </c>
      <c r="AB91" s="152">
        <f t="shared" si="222"/>
        <v>-7.8898514851485163E-2</v>
      </c>
      <c r="AC91" s="138" t="e">
        <f t="shared" si="192"/>
        <v>#DIV/0!</v>
      </c>
      <c r="AD91" s="20"/>
      <c r="AE91" s="20"/>
    </row>
    <row r="92" spans="2:31" x14ac:dyDescent="0.2">
      <c r="B92" s="20" t="s">
        <v>323</v>
      </c>
      <c r="C92" s="20"/>
      <c r="D92" s="20"/>
      <c r="E92" s="20"/>
      <c r="F92" s="20"/>
      <c r="G92" s="152" t="e">
        <f t="shared" ref="G92:P92" si="223">G38/G25</f>
        <v>#DIV/0!</v>
      </c>
      <c r="H92" s="152" t="e">
        <f t="shared" si="223"/>
        <v>#DIV/0!</v>
      </c>
      <c r="I92" s="152" t="e">
        <f t="shared" si="223"/>
        <v>#DIV/0!</v>
      </c>
      <c r="J92" s="152" t="e">
        <f t="shared" si="223"/>
        <v>#DIV/0!</v>
      </c>
      <c r="K92" s="152" t="e">
        <f t="shared" si="223"/>
        <v>#DIV/0!</v>
      </c>
      <c r="L92" s="152" t="e">
        <f t="shared" si="223"/>
        <v>#DIV/0!</v>
      </c>
      <c r="M92" s="152">
        <f t="shared" si="223"/>
        <v>0.36402569593147749</v>
      </c>
      <c r="N92" s="152">
        <f t="shared" si="223"/>
        <v>0.23873664653971202</v>
      </c>
      <c r="O92" s="152">
        <f t="shared" si="223"/>
        <v>-7.1969696969696975E-2</v>
      </c>
      <c r="P92" s="152">
        <f t="shared" si="223"/>
        <v>-0.32813840434658281</v>
      </c>
      <c r="Q92" s="118" t="e">
        <f t="shared" si="190"/>
        <v>#DIV/0!</v>
      </c>
      <c r="R92" s="20"/>
      <c r="S92" s="152">
        <f t="shared" ref="S92:AB92" si="224">S38/S25</f>
        <v>-0.32813840434658276</v>
      </c>
      <c r="T92" s="152">
        <f t="shared" si="224"/>
        <v>-0.32813840434658276</v>
      </c>
      <c r="U92" s="152">
        <f t="shared" si="224"/>
        <v>-0.32813840434658276</v>
      </c>
      <c r="V92" s="152">
        <f t="shared" si="224"/>
        <v>-0.3281384043465827</v>
      </c>
      <c r="W92" s="152">
        <f t="shared" si="224"/>
        <v>-0.3281384043465827</v>
      </c>
      <c r="X92" s="152">
        <f t="shared" si="224"/>
        <v>-0.3281384043465827</v>
      </c>
      <c r="Y92" s="152">
        <f t="shared" si="224"/>
        <v>-0.3281384043465827</v>
      </c>
      <c r="Z92" s="152">
        <f t="shared" si="224"/>
        <v>-0.3281384043465827</v>
      </c>
      <c r="AA92" s="152">
        <f t="shared" si="224"/>
        <v>-0.32813840434658276</v>
      </c>
      <c r="AB92" s="152">
        <f t="shared" si="224"/>
        <v>-0.32813840434658276</v>
      </c>
      <c r="AC92" s="138" t="e">
        <f t="shared" si="192"/>
        <v>#DIV/0!</v>
      </c>
      <c r="AD92" s="20"/>
      <c r="AE92" s="20"/>
    </row>
    <row r="93" spans="2:31" x14ac:dyDescent="0.2">
      <c r="B93" s="20" t="s">
        <v>349</v>
      </c>
      <c r="C93" s="20"/>
      <c r="D93" s="20"/>
      <c r="E93" s="152"/>
      <c r="F93" s="152"/>
      <c r="G93" s="152" t="e">
        <f t="shared" ref="G93:O93" si="225">G25/G18</f>
        <v>#DIV/0!</v>
      </c>
      <c r="H93" s="152" t="e">
        <f t="shared" si="225"/>
        <v>#DIV/0!</v>
      </c>
      <c r="I93" s="152">
        <f t="shared" si="225"/>
        <v>0</v>
      </c>
      <c r="J93" s="152">
        <f t="shared" si="225"/>
        <v>0</v>
      </c>
      <c r="K93" s="152" t="e">
        <f t="shared" si="225"/>
        <v>#DIV/0!</v>
      </c>
      <c r="L93" s="152">
        <f t="shared" si="225"/>
        <v>0</v>
      </c>
      <c r="M93" s="152">
        <f t="shared" si="225"/>
        <v>0.16756368855400072</v>
      </c>
      <c r="N93" s="152">
        <f t="shared" si="225"/>
        <v>0.24614153424031096</v>
      </c>
      <c r="O93" s="152">
        <f t="shared" si="225"/>
        <v>0.25892179195140469</v>
      </c>
      <c r="P93" s="152">
        <f>P25/P18</f>
        <v>0.24044279427942794</v>
      </c>
      <c r="Q93" s="118" t="e">
        <f t="shared" si="190"/>
        <v>#DIV/0!</v>
      </c>
      <c r="R93" s="20"/>
      <c r="S93" s="152">
        <f>S25/S18</f>
        <v>0.24044279427942794</v>
      </c>
      <c r="T93" s="152">
        <f t="shared" ref="T93:AB93" si="226">T25/T18</f>
        <v>0.240442794279428</v>
      </c>
      <c r="U93" s="152">
        <f t="shared" si="226"/>
        <v>0.240442794279428</v>
      </c>
      <c r="V93" s="152">
        <f t="shared" si="226"/>
        <v>0.240442794279428</v>
      </c>
      <c r="W93" s="152">
        <f t="shared" si="226"/>
        <v>0.24044279427942802</v>
      </c>
      <c r="X93" s="152">
        <f t="shared" si="226"/>
        <v>0.240442794279428</v>
      </c>
      <c r="Y93" s="152">
        <f t="shared" si="226"/>
        <v>0.240442794279428</v>
      </c>
      <c r="Z93" s="152">
        <f t="shared" si="226"/>
        <v>0.24044279427942797</v>
      </c>
      <c r="AA93" s="152">
        <f t="shared" si="226"/>
        <v>0.24044279427942797</v>
      </c>
      <c r="AB93" s="152">
        <f t="shared" si="226"/>
        <v>0.240442794279428</v>
      </c>
      <c r="AC93" s="138" t="e">
        <f t="shared" si="192"/>
        <v>#DIV/0!</v>
      </c>
      <c r="AD93" s="20"/>
      <c r="AE93" s="20"/>
    </row>
    <row r="94" spans="2:31" x14ac:dyDescent="0.2">
      <c r="B94" s="20"/>
      <c r="C94" s="20"/>
      <c r="D94" s="20"/>
      <c r="E94" s="20"/>
      <c r="F94" s="20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28"/>
      <c r="R94" s="20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28"/>
      <c r="AD94" s="20"/>
      <c r="AE94" s="20"/>
    </row>
    <row r="95" spans="2:31" x14ac:dyDescent="0.2">
      <c r="B95" s="20" t="s">
        <v>335</v>
      </c>
      <c r="C95" s="20"/>
      <c r="D95" s="20"/>
      <c r="E95" s="165">
        <f t="shared" ref="E95:F95" si="227">E62*E40</f>
        <v>0</v>
      </c>
      <c r="F95" s="165">
        <f t="shared" si="227"/>
        <v>0</v>
      </c>
      <c r="G95" s="165">
        <f>G62*G40</f>
        <v>0</v>
      </c>
      <c r="H95" s="165">
        <f t="shared" ref="H95:P95" si="228">H62*H40</f>
        <v>0</v>
      </c>
      <c r="I95" s="165">
        <f t="shared" si="228"/>
        <v>0</v>
      </c>
      <c r="J95" s="165">
        <f t="shared" si="228"/>
        <v>0</v>
      </c>
      <c r="K95" s="165">
        <f t="shared" si="228"/>
        <v>0</v>
      </c>
      <c r="L95" s="165">
        <f t="shared" si="228"/>
        <v>0</v>
      </c>
      <c r="M95" s="165">
        <f t="shared" si="228"/>
        <v>0</v>
      </c>
      <c r="N95" s="165">
        <f t="shared" si="228"/>
        <v>0</v>
      </c>
      <c r="O95" s="165">
        <f t="shared" si="228"/>
        <v>0</v>
      </c>
      <c r="P95" s="165">
        <f t="shared" si="228"/>
        <v>0</v>
      </c>
      <c r="Q95" s="118" t="e">
        <f t="shared" si="190"/>
        <v>#DIV/0!</v>
      </c>
      <c r="R95" s="20"/>
      <c r="S95" s="165">
        <f t="shared" ref="S95:AB95" si="229">S62*S40</f>
        <v>0</v>
      </c>
      <c r="T95" s="165">
        <f t="shared" si="229"/>
        <v>0</v>
      </c>
      <c r="U95" s="165">
        <f t="shared" si="229"/>
        <v>0</v>
      </c>
      <c r="V95" s="165">
        <f t="shared" si="229"/>
        <v>0</v>
      </c>
      <c r="W95" s="165">
        <f t="shared" si="229"/>
        <v>0</v>
      </c>
      <c r="X95" s="165">
        <f t="shared" si="229"/>
        <v>0</v>
      </c>
      <c r="Y95" s="165">
        <f t="shared" si="229"/>
        <v>0</v>
      </c>
      <c r="Z95" s="165">
        <f t="shared" si="229"/>
        <v>0</v>
      </c>
      <c r="AA95" s="165">
        <f t="shared" si="229"/>
        <v>0</v>
      </c>
      <c r="AB95" s="165">
        <f t="shared" si="229"/>
        <v>0</v>
      </c>
      <c r="AC95" s="138" t="e">
        <f t="shared" si="192"/>
        <v>#DIV/0!</v>
      </c>
      <c r="AD95" s="20"/>
      <c r="AE95" s="20"/>
    </row>
    <row r="96" spans="2:31" x14ac:dyDescent="0.2">
      <c r="B96" s="20" t="s">
        <v>336</v>
      </c>
      <c r="C96" s="20"/>
      <c r="D96" s="20"/>
      <c r="E96" s="165">
        <f>(E95*0.17)+E95</f>
        <v>0</v>
      </c>
      <c r="F96" s="165">
        <f>(F95*0.17)+F95</f>
        <v>0</v>
      </c>
      <c r="G96" s="165">
        <f t="shared" ref="G96:P96" si="230">(G95*0.17)+G95</f>
        <v>0</v>
      </c>
      <c r="H96" s="165">
        <f t="shared" si="230"/>
        <v>0</v>
      </c>
      <c r="I96" s="165">
        <f t="shared" si="230"/>
        <v>0</v>
      </c>
      <c r="J96" s="165">
        <f t="shared" si="230"/>
        <v>0</v>
      </c>
      <c r="K96" s="165">
        <f t="shared" si="230"/>
        <v>0</v>
      </c>
      <c r="L96" s="165">
        <f t="shared" si="230"/>
        <v>0</v>
      </c>
      <c r="M96" s="165">
        <f t="shared" si="230"/>
        <v>0</v>
      </c>
      <c r="N96" s="165">
        <f t="shared" si="230"/>
        <v>0</v>
      </c>
      <c r="O96" s="165">
        <f t="shared" si="230"/>
        <v>0</v>
      </c>
      <c r="P96" s="165">
        <f t="shared" si="230"/>
        <v>0</v>
      </c>
      <c r="Q96" s="118" t="e">
        <f t="shared" si="190"/>
        <v>#DIV/0!</v>
      </c>
      <c r="R96" s="20"/>
      <c r="S96" s="165">
        <f t="shared" ref="S96:AB96" si="231">(S95*0.17)+S95</f>
        <v>0</v>
      </c>
      <c r="T96" s="165">
        <f t="shared" si="231"/>
        <v>0</v>
      </c>
      <c r="U96" s="165">
        <f t="shared" si="231"/>
        <v>0</v>
      </c>
      <c r="V96" s="165">
        <f t="shared" si="231"/>
        <v>0</v>
      </c>
      <c r="W96" s="165">
        <f t="shared" si="231"/>
        <v>0</v>
      </c>
      <c r="X96" s="165">
        <f t="shared" si="231"/>
        <v>0</v>
      </c>
      <c r="Y96" s="165">
        <f t="shared" si="231"/>
        <v>0</v>
      </c>
      <c r="Z96" s="165">
        <f t="shared" si="231"/>
        <v>0</v>
      </c>
      <c r="AA96" s="165">
        <f t="shared" si="231"/>
        <v>0</v>
      </c>
      <c r="AB96" s="165">
        <f t="shared" si="231"/>
        <v>0</v>
      </c>
      <c r="AC96" s="138" t="e">
        <f t="shared" si="192"/>
        <v>#DIV/0!</v>
      </c>
      <c r="AD96" s="20"/>
      <c r="AE96" s="20"/>
    </row>
    <row r="97" spans="2:31" x14ac:dyDescent="0.2">
      <c r="B97" s="20" t="s">
        <v>337</v>
      </c>
      <c r="C97" s="20"/>
      <c r="D97" s="20"/>
      <c r="E97" s="20"/>
      <c r="F97" s="152" t="e">
        <f t="shared" ref="F97:P97" si="232">F96/F38</f>
        <v>#DIV/0!</v>
      </c>
      <c r="G97" s="152" t="e">
        <f t="shared" si="232"/>
        <v>#DIV/0!</v>
      </c>
      <c r="H97" s="152" t="e">
        <f t="shared" si="232"/>
        <v>#DIV/0!</v>
      </c>
      <c r="I97" s="152" t="e">
        <f t="shared" si="232"/>
        <v>#DIV/0!</v>
      </c>
      <c r="J97" s="152" t="e">
        <f t="shared" si="232"/>
        <v>#DIV/0!</v>
      </c>
      <c r="K97" s="152" t="e">
        <f t="shared" si="232"/>
        <v>#DIV/0!</v>
      </c>
      <c r="L97" s="152">
        <f t="shared" si="232"/>
        <v>0</v>
      </c>
      <c r="M97" s="152">
        <f t="shared" si="232"/>
        <v>0</v>
      </c>
      <c r="N97" s="152">
        <f t="shared" si="232"/>
        <v>0</v>
      </c>
      <c r="O97" s="152">
        <f t="shared" si="232"/>
        <v>0</v>
      </c>
      <c r="P97" s="152">
        <f t="shared" si="232"/>
        <v>0</v>
      </c>
      <c r="Q97" s="118" t="e">
        <f t="shared" si="190"/>
        <v>#DIV/0!</v>
      </c>
      <c r="R97" s="20"/>
      <c r="S97" s="152">
        <f t="shared" ref="S97:AB97" si="233">S96/S38</f>
        <v>0</v>
      </c>
      <c r="T97" s="152">
        <f t="shared" si="233"/>
        <v>0</v>
      </c>
      <c r="U97" s="152">
        <f t="shared" si="233"/>
        <v>0</v>
      </c>
      <c r="V97" s="152">
        <f t="shared" si="233"/>
        <v>0</v>
      </c>
      <c r="W97" s="152">
        <f t="shared" si="233"/>
        <v>0</v>
      </c>
      <c r="X97" s="152">
        <f t="shared" si="233"/>
        <v>0</v>
      </c>
      <c r="Y97" s="152">
        <f t="shared" si="233"/>
        <v>0</v>
      </c>
      <c r="Z97" s="152">
        <f t="shared" si="233"/>
        <v>0</v>
      </c>
      <c r="AA97" s="152">
        <f t="shared" si="233"/>
        <v>0</v>
      </c>
      <c r="AB97" s="152">
        <f t="shared" si="233"/>
        <v>0</v>
      </c>
      <c r="AC97" s="138" t="e">
        <f t="shared" si="192"/>
        <v>#DIV/0!</v>
      </c>
      <c r="AD97" s="20"/>
      <c r="AE97" s="20"/>
    </row>
    <row r="98" spans="2:31" x14ac:dyDescent="0.2">
      <c r="B98" s="20" t="s">
        <v>330</v>
      </c>
      <c r="C98" s="20"/>
      <c r="D98" s="20"/>
      <c r="E98" s="20"/>
      <c r="F98" s="152" t="e">
        <f>1-F97</f>
        <v>#DIV/0!</v>
      </c>
      <c r="G98" s="152" t="e">
        <f>1-G97</f>
        <v>#DIV/0!</v>
      </c>
      <c r="H98" s="152" t="e">
        <f t="shared" ref="H98:P98" si="234">1-H97</f>
        <v>#DIV/0!</v>
      </c>
      <c r="I98" s="152" t="e">
        <f t="shared" si="234"/>
        <v>#DIV/0!</v>
      </c>
      <c r="J98" s="152" t="e">
        <f t="shared" si="234"/>
        <v>#DIV/0!</v>
      </c>
      <c r="K98" s="152" t="e">
        <f t="shared" si="234"/>
        <v>#DIV/0!</v>
      </c>
      <c r="L98" s="152">
        <f t="shared" si="234"/>
        <v>1</v>
      </c>
      <c r="M98" s="152">
        <f t="shared" si="234"/>
        <v>1</v>
      </c>
      <c r="N98" s="152">
        <f t="shared" si="234"/>
        <v>1</v>
      </c>
      <c r="O98" s="152">
        <f t="shared" si="234"/>
        <v>1</v>
      </c>
      <c r="P98" s="152">
        <f t="shared" si="234"/>
        <v>1</v>
      </c>
      <c r="Q98" s="118" t="e">
        <f t="shared" si="190"/>
        <v>#DIV/0!</v>
      </c>
      <c r="R98" s="20"/>
      <c r="S98" s="152">
        <f t="shared" ref="S98:AB98" si="235">1-S97</f>
        <v>1</v>
      </c>
      <c r="T98" s="152">
        <f t="shared" si="235"/>
        <v>1</v>
      </c>
      <c r="U98" s="152">
        <f t="shared" si="235"/>
        <v>1</v>
      </c>
      <c r="V98" s="152">
        <f t="shared" si="235"/>
        <v>1</v>
      </c>
      <c r="W98" s="152">
        <f t="shared" si="235"/>
        <v>1</v>
      </c>
      <c r="X98" s="152">
        <f t="shared" si="235"/>
        <v>1</v>
      </c>
      <c r="Y98" s="152">
        <f t="shared" si="235"/>
        <v>1</v>
      </c>
      <c r="Z98" s="152">
        <f t="shared" si="235"/>
        <v>1</v>
      </c>
      <c r="AA98" s="152">
        <f t="shared" si="235"/>
        <v>1</v>
      </c>
      <c r="AB98" s="152">
        <f t="shared" si="235"/>
        <v>1</v>
      </c>
      <c r="AC98" s="138" t="e">
        <f t="shared" si="192"/>
        <v>#DIV/0!</v>
      </c>
      <c r="AD98" s="20"/>
      <c r="AE98" s="20"/>
    </row>
    <row r="99" spans="2:31" x14ac:dyDescent="0.2">
      <c r="B99" s="20"/>
      <c r="C99" s="20"/>
      <c r="D99" s="20"/>
      <c r="E99" s="20"/>
      <c r="F99" s="20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28"/>
      <c r="R99" s="20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28"/>
      <c r="AD99" s="20"/>
      <c r="AE99" s="20"/>
    </row>
    <row r="100" spans="2:31" x14ac:dyDescent="0.2">
      <c r="B100" s="20" t="s">
        <v>334</v>
      </c>
      <c r="C100" s="152"/>
      <c r="D100" s="152"/>
      <c r="E100" s="152"/>
      <c r="F100" s="152" t="e">
        <f>F31/F25</f>
        <v>#DIV/0!</v>
      </c>
      <c r="G100" s="152" t="e">
        <f>G31/G25</f>
        <v>#DIV/0!</v>
      </c>
      <c r="H100" s="152" t="e">
        <f t="shared" ref="H100:P100" si="236">H31/H25</f>
        <v>#DIV/0!</v>
      </c>
      <c r="I100" s="152" t="e">
        <f t="shared" si="236"/>
        <v>#DIV/0!</v>
      </c>
      <c r="J100" s="152" t="e">
        <f t="shared" si="236"/>
        <v>#DIV/0!</v>
      </c>
      <c r="K100" s="152" t="e">
        <f t="shared" si="236"/>
        <v>#DIV/0!</v>
      </c>
      <c r="L100" s="152" t="e">
        <f t="shared" si="236"/>
        <v>#DIV/0!</v>
      </c>
      <c r="M100" s="152">
        <f t="shared" si="236"/>
        <v>0</v>
      </c>
      <c r="N100" s="152">
        <f t="shared" si="236"/>
        <v>0</v>
      </c>
      <c r="O100" s="152">
        <f t="shared" si="236"/>
        <v>0</v>
      </c>
      <c r="P100" s="152">
        <f t="shared" si="236"/>
        <v>0</v>
      </c>
      <c r="Q100" s="118" t="e">
        <f t="shared" si="190"/>
        <v>#DIV/0!</v>
      </c>
      <c r="R100" s="20"/>
      <c r="S100" s="152">
        <f t="shared" ref="S100:AB100" si="237">S31/S25</f>
        <v>0</v>
      </c>
      <c r="T100" s="152">
        <f t="shared" si="237"/>
        <v>0</v>
      </c>
      <c r="U100" s="152">
        <f t="shared" si="237"/>
        <v>0</v>
      </c>
      <c r="V100" s="152">
        <f t="shared" si="237"/>
        <v>0</v>
      </c>
      <c r="W100" s="152">
        <f t="shared" si="237"/>
        <v>0</v>
      </c>
      <c r="X100" s="152">
        <f t="shared" si="237"/>
        <v>0</v>
      </c>
      <c r="Y100" s="152">
        <f t="shared" si="237"/>
        <v>0</v>
      </c>
      <c r="Z100" s="152">
        <f t="shared" si="237"/>
        <v>0</v>
      </c>
      <c r="AA100" s="152">
        <f t="shared" si="237"/>
        <v>0</v>
      </c>
      <c r="AB100" s="152">
        <f t="shared" si="237"/>
        <v>0</v>
      </c>
      <c r="AC100" s="138" t="e">
        <f t="shared" si="192"/>
        <v>#DIV/0!</v>
      </c>
      <c r="AD100" s="20"/>
      <c r="AE100" s="20"/>
    </row>
    <row r="101" spans="2:31" x14ac:dyDescent="0.2">
      <c r="B101" s="20" t="s">
        <v>331</v>
      </c>
      <c r="C101" s="152"/>
      <c r="D101" s="152"/>
      <c r="E101" s="152"/>
      <c r="F101" s="152" t="e">
        <f>F32/F25</f>
        <v>#DIV/0!</v>
      </c>
      <c r="G101" s="152" t="e">
        <f>G32/G25</f>
        <v>#DIV/0!</v>
      </c>
      <c r="H101" s="152" t="e">
        <f t="shared" ref="H101:P101" si="238">H32/H25</f>
        <v>#DIV/0!</v>
      </c>
      <c r="I101" s="152" t="e">
        <f t="shared" si="238"/>
        <v>#DIV/0!</v>
      </c>
      <c r="J101" s="152" t="e">
        <f t="shared" si="238"/>
        <v>#DIV/0!</v>
      </c>
      <c r="K101" s="152" t="e">
        <f t="shared" si="238"/>
        <v>#DIV/0!</v>
      </c>
      <c r="L101" s="152" t="e">
        <f t="shared" si="238"/>
        <v>#DIV/0!</v>
      </c>
      <c r="M101" s="152">
        <f t="shared" si="238"/>
        <v>0</v>
      </c>
      <c r="N101" s="152">
        <f t="shared" si="238"/>
        <v>0</v>
      </c>
      <c r="O101" s="152">
        <f t="shared" si="238"/>
        <v>0</v>
      </c>
      <c r="P101" s="152">
        <f t="shared" si="238"/>
        <v>0</v>
      </c>
      <c r="Q101" s="118" t="e">
        <f t="shared" si="190"/>
        <v>#DIV/0!</v>
      </c>
      <c r="R101" s="20"/>
      <c r="S101" s="152">
        <f t="shared" ref="S101:AB101" si="239">S32/S25</f>
        <v>0</v>
      </c>
      <c r="T101" s="152">
        <f t="shared" si="239"/>
        <v>0</v>
      </c>
      <c r="U101" s="152">
        <f t="shared" si="239"/>
        <v>0</v>
      </c>
      <c r="V101" s="152">
        <f t="shared" si="239"/>
        <v>0</v>
      </c>
      <c r="W101" s="152">
        <f t="shared" si="239"/>
        <v>0</v>
      </c>
      <c r="X101" s="152">
        <f t="shared" si="239"/>
        <v>0</v>
      </c>
      <c r="Y101" s="152">
        <f t="shared" si="239"/>
        <v>0</v>
      </c>
      <c r="Z101" s="152">
        <f t="shared" si="239"/>
        <v>0</v>
      </c>
      <c r="AA101" s="152">
        <f t="shared" si="239"/>
        <v>0</v>
      </c>
      <c r="AB101" s="152">
        <f t="shared" si="239"/>
        <v>0</v>
      </c>
      <c r="AC101" s="138" t="e">
        <f t="shared" si="192"/>
        <v>#DIV/0!</v>
      </c>
      <c r="AD101" s="20"/>
      <c r="AE101" s="20"/>
    </row>
    <row r="102" spans="2:31" x14ac:dyDescent="0.2">
      <c r="B102" s="20"/>
      <c r="C102" s="20"/>
      <c r="D102" s="20"/>
      <c r="E102" s="20"/>
      <c r="F102" s="20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28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28"/>
      <c r="AD102" s="20"/>
      <c r="AE102" s="20"/>
    </row>
    <row r="103" spans="2:31" x14ac:dyDescent="0.2">
      <c r="B103" s="20" t="s">
        <v>355</v>
      </c>
      <c r="C103" s="20"/>
      <c r="D103" s="20"/>
      <c r="E103" s="20"/>
      <c r="F103" s="20"/>
      <c r="G103" s="152" t="e">
        <f>G27/G25</f>
        <v>#DIV/0!</v>
      </c>
      <c r="H103" s="152" t="e">
        <f t="shared" ref="H103:P103" si="240">H27/H25</f>
        <v>#DIV/0!</v>
      </c>
      <c r="I103" s="152" t="e">
        <f t="shared" si="240"/>
        <v>#DIV/0!</v>
      </c>
      <c r="J103" s="152" t="e">
        <f t="shared" si="240"/>
        <v>#DIV/0!</v>
      </c>
      <c r="K103" s="152" t="e">
        <f t="shared" si="240"/>
        <v>#DIV/0!</v>
      </c>
      <c r="L103" s="152" t="e">
        <f t="shared" si="240"/>
        <v>#DIV/0!</v>
      </c>
      <c r="M103" s="152">
        <f t="shared" si="240"/>
        <v>0.4089935760171306</v>
      </c>
      <c r="N103" s="152">
        <f t="shared" si="240"/>
        <v>0.42498838829540175</v>
      </c>
      <c r="O103" s="152">
        <f t="shared" si="240"/>
        <v>0.6754643206256109</v>
      </c>
      <c r="P103" s="152">
        <f t="shared" si="240"/>
        <v>0.83199885616242497</v>
      </c>
      <c r="Q103" s="118" t="e">
        <f t="shared" si="190"/>
        <v>#DIV/0!</v>
      </c>
      <c r="R103" s="20"/>
      <c r="S103" s="152">
        <f t="shared" ref="S103:AB103" si="241">S27/S25</f>
        <v>0.83199885616242497</v>
      </c>
      <c r="T103" s="152">
        <f t="shared" si="241"/>
        <v>0.83199885616242486</v>
      </c>
      <c r="U103" s="152">
        <f t="shared" si="241"/>
        <v>0.83199885616242486</v>
      </c>
      <c r="V103" s="152">
        <f t="shared" si="241"/>
        <v>0.83199885616242475</v>
      </c>
      <c r="W103" s="152">
        <f t="shared" si="241"/>
        <v>0.83199885616242486</v>
      </c>
      <c r="X103" s="152">
        <f t="shared" si="241"/>
        <v>0.83199885616242486</v>
      </c>
      <c r="Y103" s="152">
        <f t="shared" si="241"/>
        <v>0.83199885616242486</v>
      </c>
      <c r="Z103" s="152">
        <f t="shared" si="241"/>
        <v>0.83199885616242486</v>
      </c>
      <c r="AA103" s="152">
        <f t="shared" si="241"/>
        <v>0.83199885616242486</v>
      </c>
      <c r="AB103" s="152">
        <f t="shared" si="241"/>
        <v>0.83199885616242486</v>
      </c>
      <c r="AC103" s="138" t="e">
        <f t="shared" si="192"/>
        <v>#DIV/0!</v>
      </c>
      <c r="AD103" s="20"/>
      <c r="AE103" s="20"/>
    </row>
    <row r="104" spans="2:31" x14ac:dyDescent="0.2">
      <c r="B104" s="20" t="str">
        <f>B33</f>
        <v>Top Expenses ( Raw material )</v>
      </c>
      <c r="C104" s="20"/>
      <c r="D104" s="20"/>
      <c r="E104" s="20"/>
      <c r="F104" s="20"/>
      <c r="G104" s="152" t="e">
        <f>G33/G25</f>
        <v>#DIV/0!</v>
      </c>
      <c r="H104" s="152" t="e">
        <f t="shared" ref="H104:P104" si="242">H33/H25</f>
        <v>#DIV/0!</v>
      </c>
      <c r="I104" s="152" t="e">
        <f t="shared" si="242"/>
        <v>#DIV/0!</v>
      </c>
      <c r="J104" s="152" t="e">
        <f t="shared" si="242"/>
        <v>#DIV/0!</v>
      </c>
      <c r="K104" s="152" t="e">
        <f t="shared" si="242"/>
        <v>#DIV/0!</v>
      </c>
      <c r="L104" s="152" t="e">
        <f t="shared" si="242"/>
        <v>#DIV/0!</v>
      </c>
      <c r="M104" s="152">
        <f t="shared" si="242"/>
        <v>0.35760171306209848</v>
      </c>
      <c r="N104" s="152">
        <f t="shared" si="242"/>
        <v>0.33488156061309798</v>
      </c>
      <c r="O104" s="152">
        <f t="shared" si="242"/>
        <v>0.5620723362658846</v>
      </c>
      <c r="P104" s="152">
        <f t="shared" si="242"/>
        <v>9.4066342579353732E-3</v>
      </c>
      <c r="Q104" s="118" t="e">
        <f t="shared" si="190"/>
        <v>#DIV/0!</v>
      </c>
      <c r="R104" s="20"/>
      <c r="S104" s="152">
        <f t="shared" ref="S104:AB104" si="243">S33/S25</f>
        <v>9.4066342579353732E-3</v>
      </c>
      <c r="T104" s="152">
        <f t="shared" si="243"/>
        <v>9.4066342579353732E-3</v>
      </c>
      <c r="U104" s="152">
        <f t="shared" si="243"/>
        <v>9.4066342579353732E-3</v>
      </c>
      <c r="V104" s="152">
        <f t="shared" si="243"/>
        <v>9.4066342579353732E-3</v>
      </c>
      <c r="W104" s="152">
        <f t="shared" si="243"/>
        <v>9.4066342579353732E-3</v>
      </c>
      <c r="X104" s="152">
        <f t="shared" si="243"/>
        <v>9.4066342579353732E-3</v>
      </c>
      <c r="Y104" s="152">
        <f t="shared" si="243"/>
        <v>9.406634257935375E-3</v>
      </c>
      <c r="Z104" s="152">
        <f t="shared" si="243"/>
        <v>9.406634257935375E-3</v>
      </c>
      <c r="AA104" s="152">
        <f t="shared" si="243"/>
        <v>9.406634257935375E-3</v>
      </c>
      <c r="AB104" s="152">
        <f t="shared" si="243"/>
        <v>9.406634257935375E-3</v>
      </c>
      <c r="AC104" s="138" t="e">
        <f t="shared" si="192"/>
        <v>#DIV/0!</v>
      </c>
      <c r="AD104" s="20"/>
      <c r="AE104" s="20"/>
    </row>
    <row r="105" spans="2:31" x14ac:dyDescent="0.2">
      <c r="B105" s="20" t="str">
        <f>B34</f>
        <v>2nd highest Expenses Comp. ( Empl )</v>
      </c>
      <c r="C105" s="20"/>
      <c r="D105" s="20"/>
      <c r="E105" s="20"/>
      <c r="F105" s="20"/>
      <c r="G105" s="152" t="e">
        <f>G34/G25</f>
        <v>#DIV/0!</v>
      </c>
      <c r="H105" s="152" t="e">
        <f t="shared" ref="H105:P105" si="244">H34/H25</f>
        <v>#DIV/0!</v>
      </c>
      <c r="I105" s="152" t="e">
        <f t="shared" si="244"/>
        <v>#DIV/0!</v>
      </c>
      <c r="J105" s="152" t="e">
        <f t="shared" si="244"/>
        <v>#DIV/0!</v>
      </c>
      <c r="K105" s="152" t="e">
        <f t="shared" si="244"/>
        <v>#DIV/0!</v>
      </c>
      <c r="L105" s="152" t="e">
        <f t="shared" si="244"/>
        <v>#DIV/0!</v>
      </c>
      <c r="M105" s="152">
        <f t="shared" si="244"/>
        <v>3.2119914346895075E-3</v>
      </c>
      <c r="N105" s="152">
        <f t="shared" si="244"/>
        <v>5.3413841151881095E-2</v>
      </c>
      <c r="O105" s="152">
        <f t="shared" si="244"/>
        <v>6.9892473118279563E-2</v>
      </c>
      <c r="P105" s="152">
        <f t="shared" si="244"/>
        <v>0.70860737775235916</v>
      </c>
      <c r="Q105" s="118" t="e">
        <f t="shared" si="190"/>
        <v>#DIV/0!</v>
      </c>
      <c r="R105" s="20"/>
      <c r="S105" s="152">
        <f t="shared" ref="S105:AB105" si="245">S34/S25</f>
        <v>0.70860737775235916</v>
      </c>
      <c r="T105" s="152">
        <f t="shared" si="245"/>
        <v>0.70860737775235916</v>
      </c>
      <c r="U105" s="152">
        <f t="shared" si="245"/>
        <v>0.70860737775235916</v>
      </c>
      <c r="V105" s="152">
        <f t="shared" si="245"/>
        <v>0.70860737775235905</v>
      </c>
      <c r="W105" s="152">
        <f t="shared" si="245"/>
        <v>0.70860737775235894</v>
      </c>
      <c r="X105" s="152">
        <f t="shared" si="245"/>
        <v>0.70860737775235905</v>
      </c>
      <c r="Y105" s="152">
        <f t="shared" si="245"/>
        <v>0.70860737775235905</v>
      </c>
      <c r="Z105" s="152">
        <f t="shared" si="245"/>
        <v>0.70860737775235905</v>
      </c>
      <c r="AA105" s="152">
        <f t="shared" si="245"/>
        <v>0.70860737775235905</v>
      </c>
      <c r="AB105" s="152">
        <f t="shared" si="245"/>
        <v>0.70860737775235905</v>
      </c>
      <c r="AC105" s="138" t="e">
        <f t="shared" si="192"/>
        <v>#DIV/0!</v>
      </c>
      <c r="AD105" s="20"/>
      <c r="AE105" s="20"/>
    </row>
    <row r="106" spans="2:31" x14ac:dyDescent="0.2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128"/>
      <c r="R106" s="128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39"/>
      <c r="AD106" s="20"/>
      <c r="AE106" s="20"/>
    </row>
    <row r="107" spans="2:31" x14ac:dyDescent="0.2">
      <c r="B107" s="108" t="s">
        <v>363</v>
      </c>
      <c r="C107" s="20"/>
      <c r="D107" s="20"/>
      <c r="E107" s="20"/>
      <c r="F107" s="20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118"/>
      <c r="R107" s="128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138"/>
      <c r="AD107" s="20"/>
      <c r="AE107" s="20"/>
    </row>
    <row r="108" spans="2:31" x14ac:dyDescent="0.2">
      <c r="B108" s="20" t="s">
        <v>366</v>
      </c>
      <c r="C108" s="20"/>
      <c r="D108" s="20"/>
      <c r="E108" s="20"/>
      <c r="F108" s="20"/>
      <c r="G108" s="25" t="e">
        <f>G15/G9</f>
        <v>#DIV/0!</v>
      </c>
      <c r="H108" s="25" t="e">
        <f t="shared" ref="H108:AB108" si="246">H15/H9</f>
        <v>#DIV/0!</v>
      </c>
      <c r="I108" s="25">
        <f t="shared" si="246"/>
        <v>0.44666666666666671</v>
      </c>
      <c r="J108" s="25">
        <f t="shared" si="246"/>
        <v>0.21645021645021645</v>
      </c>
      <c r="K108" s="25" t="e">
        <f t="shared" si="246"/>
        <v>#DIV/0!</v>
      </c>
      <c r="L108" s="25">
        <f t="shared" si="246"/>
        <v>1.7348754448398576</v>
      </c>
      <c r="M108" s="25">
        <f t="shared" si="246"/>
        <v>1.6017402945113788</v>
      </c>
      <c r="N108" s="25">
        <f t="shared" si="246"/>
        <v>0.69972451790633605</v>
      </c>
      <c r="O108" s="25">
        <f t="shared" si="246"/>
        <v>1.6218348623853212</v>
      </c>
      <c r="P108" s="25">
        <f t="shared" si="246"/>
        <v>0.32796486090775989</v>
      </c>
      <c r="Q108" s="118" t="e">
        <f t="shared" si="190"/>
        <v>#DIV/0!</v>
      </c>
      <c r="R108" s="20"/>
      <c r="S108" s="20">
        <f t="shared" si="246"/>
        <v>0.32796486090775989</v>
      </c>
      <c r="T108" s="20">
        <f t="shared" si="246"/>
        <v>0.32796486090775989</v>
      </c>
      <c r="U108" s="20">
        <f t="shared" si="246"/>
        <v>0.32796486090775989</v>
      </c>
      <c r="V108" s="20">
        <f t="shared" si="246"/>
        <v>0.32796486090775989</v>
      </c>
      <c r="W108" s="20">
        <f t="shared" si="246"/>
        <v>0.32796486090775989</v>
      </c>
      <c r="X108" s="20">
        <f t="shared" si="246"/>
        <v>0.32796486090775984</v>
      </c>
      <c r="Y108" s="20">
        <f t="shared" si="246"/>
        <v>0.32796486090775984</v>
      </c>
      <c r="Z108" s="20">
        <f t="shared" si="246"/>
        <v>0.32796486090775978</v>
      </c>
      <c r="AA108" s="20">
        <f t="shared" si="246"/>
        <v>0.32796486090775978</v>
      </c>
      <c r="AB108" s="20">
        <f t="shared" si="246"/>
        <v>0.32796486090775978</v>
      </c>
      <c r="AC108" s="138" t="e">
        <f t="shared" si="192"/>
        <v>#DIV/0!</v>
      </c>
      <c r="AD108" s="20"/>
      <c r="AE108" s="20"/>
    </row>
    <row r="109" spans="2:31" x14ac:dyDescent="0.2">
      <c r="B109" s="20" t="s">
        <v>356</v>
      </c>
      <c r="C109" s="20"/>
      <c r="D109" s="20"/>
      <c r="E109" s="20"/>
      <c r="F109" s="20"/>
      <c r="G109" s="25" t="e">
        <f>#REF!/G9</f>
        <v>#REF!</v>
      </c>
      <c r="H109" s="25" t="e">
        <f>#REF!/H9</f>
        <v>#REF!</v>
      </c>
      <c r="I109" s="25" t="e">
        <f>#REF!/I9</f>
        <v>#REF!</v>
      </c>
      <c r="J109" s="25" t="e">
        <f>#REF!/J9</f>
        <v>#REF!</v>
      </c>
      <c r="K109" s="25" t="e">
        <f>#REF!/K9</f>
        <v>#REF!</v>
      </c>
      <c r="L109" s="25" t="e">
        <f>#REF!/L9</f>
        <v>#REF!</v>
      </c>
      <c r="M109" s="25" t="e">
        <f>#REF!/M9</f>
        <v>#REF!</v>
      </c>
      <c r="N109" s="25" t="e">
        <f>#REF!/N9</f>
        <v>#REF!</v>
      </c>
      <c r="O109" s="25" t="e">
        <f>#REF!/O9</f>
        <v>#REF!</v>
      </c>
      <c r="P109" s="25" t="e">
        <f>#REF!/P9</f>
        <v>#REF!</v>
      </c>
      <c r="Q109" s="118" t="e">
        <f t="shared" si="190"/>
        <v>#REF!</v>
      </c>
      <c r="R109" s="128"/>
      <c r="S109" s="20">
        <f t="shared" ref="S109:AB109" si="247">S12/S9</f>
        <v>0.13974296404750286</v>
      </c>
      <c r="T109" s="20">
        <f t="shared" si="247"/>
        <v>0.13974296404750283</v>
      </c>
      <c r="U109" s="20">
        <f t="shared" si="247"/>
        <v>0.13974296404750283</v>
      </c>
      <c r="V109" s="20">
        <f t="shared" si="247"/>
        <v>0.13974296404750286</v>
      </c>
      <c r="W109" s="20">
        <f t="shared" si="247"/>
        <v>0.13974296404750286</v>
      </c>
      <c r="X109" s="20">
        <f t="shared" si="247"/>
        <v>0.13974296404750286</v>
      </c>
      <c r="Y109" s="20">
        <f t="shared" si="247"/>
        <v>0.13974296404750286</v>
      </c>
      <c r="Z109" s="20">
        <f t="shared" si="247"/>
        <v>0.13974296404750286</v>
      </c>
      <c r="AA109" s="20">
        <f t="shared" si="247"/>
        <v>0.13974296404750286</v>
      </c>
      <c r="AB109" s="20">
        <f t="shared" si="247"/>
        <v>0.13974296404750286</v>
      </c>
      <c r="AC109" s="118">
        <f t="shared" ref="AC109" si="248">((AB109/S109)^(1/($H$2-$H$1) ))-1</f>
        <v>0</v>
      </c>
      <c r="AD109" s="20"/>
      <c r="AE109" s="20"/>
    </row>
    <row r="110" spans="2:31" x14ac:dyDescent="0.2">
      <c r="B110" s="20" t="s">
        <v>358</v>
      </c>
      <c r="C110" s="20"/>
      <c r="D110" s="20"/>
      <c r="E110" s="20"/>
      <c r="F110" s="20"/>
      <c r="G110" s="25">
        <f>G25/360</f>
        <v>0</v>
      </c>
      <c r="H110" s="25">
        <f t="shared" ref="H110:P110" si="249">H25/360</f>
        <v>0</v>
      </c>
      <c r="I110" s="25">
        <f t="shared" si="249"/>
        <v>0</v>
      </c>
      <c r="J110" s="25">
        <f t="shared" si="249"/>
        <v>0</v>
      </c>
      <c r="K110" s="25">
        <f t="shared" si="249"/>
        <v>0</v>
      </c>
      <c r="L110" s="25">
        <f t="shared" si="249"/>
        <v>0</v>
      </c>
      <c r="M110" s="25">
        <f t="shared" si="249"/>
        <v>1.2972222222222223</v>
      </c>
      <c r="N110" s="25">
        <f t="shared" si="249"/>
        <v>5.9805555555555552</v>
      </c>
      <c r="O110" s="25">
        <f t="shared" si="249"/>
        <v>11.366666666666667</v>
      </c>
      <c r="P110" s="25">
        <f t="shared" si="249"/>
        <v>19.427777777777777</v>
      </c>
      <c r="Q110" s="118" t="e">
        <f t="shared" si="190"/>
        <v>#DIV/0!</v>
      </c>
      <c r="R110" s="128"/>
      <c r="S110" s="25">
        <f t="shared" ref="S110:AB110" si="250">S25/360</f>
        <v>21.759111111111114</v>
      </c>
      <c r="T110" s="25">
        <f t="shared" si="250"/>
        <v>24.37020444444445</v>
      </c>
      <c r="U110" s="25">
        <f t="shared" si="250"/>
        <v>27.294628977777787</v>
      </c>
      <c r="V110" s="25">
        <f t="shared" si="250"/>
        <v>30.569984455111125</v>
      </c>
      <c r="W110" s="25">
        <f t="shared" si="250"/>
        <v>34.238382589724466</v>
      </c>
      <c r="X110" s="25">
        <f t="shared" si="250"/>
        <v>38.346988500491406</v>
      </c>
      <c r="Y110" s="25">
        <f t="shared" si="250"/>
        <v>42.94862712055037</v>
      </c>
      <c r="Z110" s="25">
        <f t="shared" si="250"/>
        <v>48.102462375016422</v>
      </c>
      <c r="AA110" s="25">
        <f t="shared" si="250"/>
        <v>53.874757860018399</v>
      </c>
      <c r="AB110" s="25">
        <f t="shared" si="250"/>
        <v>60.339728803220616</v>
      </c>
      <c r="AC110" s="118">
        <f t="shared" ref="AC110:AC121" si="251">((AB110/S110)^(1/($H$2-$H$1) ))-1</f>
        <v>0.12000000000000011</v>
      </c>
      <c r="AD110" s="20"/>
      <c r="AE110" s="20"/>
    </row>
    <row r="111" spans="2:31" x14ac:dyDescent="0.2">
      <c r="B111" s="20" t="s">
        <v>357</v>
      </c>
      <c r="C111" s="20"/>
      <c r="D111" s="20"/>
      <c r="E111" s="20"/>
      <c r="F111" s="20"/>
      <c r="G111" s="25">
        <f>G27/360</f>
        <v>0</v>
      </c>
      <c r="H111" s="25">
        <f t="shared" ref="H111:P111" si="252">H27/360</f>
        <v>0</v>
      </c>
      <c r="I111" s="25">
        <f t="shared" si="252"/>
        <v>0</v>
      </c>
      <c r="J111" s="25">
        <f t="shared" si="252"/>
        <v>0</v>
      </c>
      <c r="K111" s="25">
        <f t="shared" si="252"/>
        <v>0</v>
      </c>
      <c r="L111" s="25">
        <f t="shared" si="252"/>
        <v>1.6666666666666666E-2</v>
      </c>
      <c r="M111" s="25">
        <f t="shared" si="252"/>
        <v>0.53055555555555556</v>
      </c>
      <c r="N111" s="25">
        <f t="shared" si="252"/>
        <v>2.5416666666666665</v>
      </c>
      <c r="O111" s="25">
        <f t="shared" si="252"/>
        <v>7.677777777777778</v>
      </c>
      <c r="P111" s="25">
        <f t="shared" si="252"/>
        <v>16.163888888888888</v>
      </c>
      <c r="Q111" s="118" t="e">
        <f t="shared" si="190"/>
        <v>#DIV/0!</v>
      </c>
      <c r="R111" s="128"/>
      <c r="S111" s="25">
        <f t="shared" ref="S111:AB111" si="253">S27/360</f>
        <v>18.103555555555559</v>
      </c>
      <c r="T111" s="25">
        <f t="shared" si="253"/>
        <v>20.275982222222225</v>
      </c>
      <c r="U111" s="25">
        <f t="shared" si="253"/>
        <v>22.709100088888896</v>
      </c>
      <c r="V111" s="25">
        <f t="shared" si="253"/>
        <v>25.434192099555563</v>
      </c>
      <c r="W111" s="25">
        <f t="shared" si="253"/>
        <v>28.486295151502237</v>
      </c>
      <c r="X111" s="25">
        <f t="shared" si="253"/>
        <v>31.904650569682509</v>
      </c>
      <c r="Y111" s="25">
        <f t="shared" si="253"/>
        <v>35.73320863804441</v>
      </c>
      <c r="Z111" s="25">
        <f t="shared" si="253"/>
        <v>40.021193674609741</v>
      </c>
      <c r="AA111" s="25">
        <f t="shared" si="253"/>
        <v>44.823736915562911</v>
      </c>
      <c r="AB111" s="25">
        <f t="shared" si="253"/>
        <v>50.202585345430471</v>
      </c>
      <c r="AC111" s="118">
        <f t="shared" si="251"/>
        <v>0.12000000000000011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128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128"/>
      <c r="AD112" s="20"/>
      <c r="AE112" s="20"/>
    </row>
    <row r="113" spans="2:31" x14ac:dyDescent="0.2">
      <c r="B113" s="20" t="s">
        <v>367</v>
      </c>
      <c r="C113" s="20"/>
      <c r="D113" s="20"/>
      <c r="E113" s="20"/>
      <c r="F113" s="20"/>
      <c r="G113" s="25">
        <f>G10/G7</f>
        <v>0</v>
      </c>
      <c r="H113" s="25">
        <f t="shared" ref="H113:P113" si="254">H10/H7</f>
        <v>0</v>
      </c>
      <c r="I113" s="25">
        <f t="shared" si="254"/>
        <v>0</v>
      </c>
      <c r="J113" s="25">
        <f t="shared" si="254"/>
        <v>0.5161290322580645</v>
      </c>
      <c r="K113" s="25" t="e">
        <f t="shared" si="254"/>
        <v>#DIV/0!</v>
      </c>
      <c r="L113" s="25">
        <f t="shared" si="254"/>
        <v>2.1809440559440558</v>
      </c>
      <c r="M113" s="25">
        <f t="shared" si="254"/>
        <v>1.8293527172031845</v>
      </c>
      <c r="N113" s="25">
        <f t="shared" si="254"/>
        <v>3.8972482901224748</v>
      </c>
      <c r="O113" s="25">
        <f t="shared" si="254"/>
        <v>6.3896705843403412</v>
      </c>
      <c r="P113" s="25">
        <f t="shared" si="254"/>
        <v>8.7589098532494756</v>
      </c>
      <c r="Q113" s="118" t="e">
        <f t="shared" si="190"/>
        <v>#DIV/0!</v>
      </c>
      <c r="R113" s="128"/>
      <c r="S113" s="25">
        <f t="shared" ref="S113:AB113" si="255">S10/S7</f>
        <v>8.7589098532494756</v>
      </c>
      <c r="T113" s="25">
        <f t="shared" si="255"/>
        <v>8.7589098532494756</v>
      </c>
      <c r="U113" s="25">
        <f t="shared" si="255"/>
        <v>8.7589098532494756</v>
      </c>
      <c r="V113" s="25">
        <f t="shared" si="255"/>
        <v>8.7589098532494774</v>
      </c>
      <c r="W113" s="25">
        <f t="shared" si="255"/>
        <v>8.7589098532494774</v>
      </c>
      <c r="X113" s="25">
        <f t="shared" si="255"/>
        <v>8.7589098532494774</v>
      </c>
      <c r="Y113" s="25">
        <f t="shared" si="255"/>
        <v>8.7589098532494774</v>
      </c>
      <c r="Z113" s="25">
        <f t="shared" si="255"/>
        <v>8.7589098532494774</v>
      </c>
      <c r="AA113" s="25">
        <f t="shared" si="255"/>
        <v>8.7589098532494774</v>
      </c>
      <c r="AB113" s="25">
        <f t="shared" si="255"/>
        <v>8.7589098532494774</v>
      </c>
      <c r="AC113" s="118">
        <f t="shared" si="251"/>
        <v>0</v>
      </c>
      <c r="AD113" s="20"/>
      <c r="AE113" s="20"/>
    </row>
    <row r="114" spans="2:31" x14ac:dyDescent="0.2">
      <c r="B114" s="20" t="s">
        <v>359</v>
      </c>
      <c r="C114" s="20"/>
      <c r="D114" s="20"/>
      <c r="E114" s="20"/>
      <c r="F114" s="20"/>
      <c r="G114" s="25">
        <f>G10/(G10+G7)</f>
        <v>0</v>
      </c>
      <c r="H114" s="25">
        <f t="shared" ref="H114:P114" si="256">H10/(H10+H7)</f>
        <v>0</v>
      </c>
      <c r="I114" s="25">
        <f t="shared" si="256"/>
        <v>0</v>
      </c>
      <c r="J114" s="25">
        <f t="shared" si="256"/>
        <v>0.34042553191489361</v>
      </c>
      <c r="K114" s="25" t="e">
        <f t="shared" si="256"/>
        <v>#DIV/0!</v>
      </c>
      <c r="L114" s="25">
        <f t="shared" si="256"/>
        <v>0.68562791975817527</v>
      </c>
      <c r="M114" s="25">
        <f t="shared" si="256"/>
        <v>0.6465622706141424</v>
      </c>
      <c r="N114" s="25">
        <f t="shared" si="256"/>
        <v>0.79580369612523949</v>
      </c>
      <c r="O114" s="25">
        <f t="shared" si="256"/>
        <v>0.86467597052037359</v>
      </c>
      <c r="P114" s="25">
        <f t="shared" si="256"/>
        <v>0.89752953813104186</v>
      </c>
      <c r="Q114" s="118" t="e">
        <f t="shared" si="190"/>
        <v>#DIV/0!</v>
      </c>
      <c r="R114" s="128"/>
      <c r="S114" s="25">
        <f t="shared" ref="S114:AB114" si="257">S10/(S10+S7)</f>
        <v>0.89752953813104186</v>
      </c>
      <c r="T114" s="25">
        <f t="shared" si="257"/>
        <v>0.89752953813104186</v>
      </c>
      <c r="U114" s="25">
        <f t="shared" si="257"/>
        <v>0.89752953813104186</v>
      </c>
      <c r="V114" s="25">
        <f t="shared" si="257"/>
        <v>0.89752953813104197</v>
      </c>
      <c r="W114" s="25">
        <f t="shared" si="257"/>
        <v>0.89752953813104186</v>
      </c>
      <c r="X114" s="25">
        <f t="shared" si="257"/>
        <v>0.89752953813104186</v>
      </c>
      <c r="Y114" s="25">
        <f t="shared" si="257"/>
        <v>0.89752953813104197</v>
      </c>
      <c r="Z114" s="25">
        <f t="shared" si="257"/>
        <v>0.89752953813104186</v>
      </c>
      <c r="AA114" s="25">
        <f t="shared" si="257"/>
        <v>0.89752953813104186</v>
      </c>
      <c r="AB114" s="25">
        <f t="shared" si="257"/>
        <v>0.89752953813104186</v>
      </c>
      <c r="AC114" s="118">
        <f t="shared" si="251"/>
        <v>0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128"/>
      <c r="R115" s="128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137"/>
      <c r="AD115" s="20"/>
      <c r="AE115" s="20"/>
    </row>
    <row r="116" spans="2:31" x14ac:dyDescent="0.2">
      <c r="B116" s="20" t="s">
        <v>364</v>
      </c>
      <c r="C116" s="20"/>
      <c r="D116" s="20"/>
      <c r="E116" s="20"/>
      <c r="F116" s="20"/>
      <c r="G116" s="25">
        <f>G16</f>
        <v>0.01</v>
      </c>
      <c r="H116" s="25">
        <f t="shared" ref="H116:P116" si="258">H16</f>
        <v>0.01</v>
      </c>
      <c r="I116" s="25">
        <f t="shared" si="258"/>
        <v>-1.53</v>
      </c>
      <c r="J116" s="25">
        <f t="shared" si="258"/>
        <v>-180</v>
      </c>
      <c r="K116" s="25">
        <f t="shared" si="258"/>
        <v>0</v>
      </c>
      <c r="L116" s="25">
        <f t="shared" si="258"/>
        <v>413</v>
      </c>
      <c r="M116" s="25">
        <f t="shared" si="258"/>
        <v>895</v>
      </c>
      <c r="N116" s="25">
        <f t="shared" si="258"/>
        <v>-1092</v>
      </c>
      <c r="O116" s="25">
        <f t="shared" si="258"/>
        <v>2655</v>
      </c>
      <c r="P116" s="25">
        <f t="shared" si="258"/>
        <v>-6191</v>
      </c>
      <c r="Q116" s="118">
        <f t="shared" si="190"/>
        <v>-5.4007731093826514</v>
      </c>
      <c r="R116" s="128"/>
      <c r="S116" s="25">
        <f t="shared" ref="S116:AB116" si="259">S16</f>
        <v>-6933.920000000001</v>
      </c>
      <c r="T116" s="25">
        <f t="shared" si="259"/>
        <v>-7765.9904000000015</v>
      </c>
      <c r="U116" s="25">
        <f t="shared" si="259"/>
        <v>-8697.9092480000018</v>
      </c>
      <c r="V116" s="25">
        <f t="shared" si="259"/>
        <v>-9741.6583577600031</v>
      </c>
      <c r="W116" s="25">
        <f t="shared" si="259"/>
        <v>-10910.657360691204</v>
      </c>
      <c r="X116" s="25">
        <f t="shared" si="259"/>
        <v>-12219.936243974151</v>
      </c>
      <c r="Y116" s="25">
        <f t="shared" si="259"/>
        <v>-13686.32859325105</v>
      </c>
      <c r="Z116" s="25">
        <f t="shared" si="259"/>
        <v>-15328.688024441177</v>
      </c>
      <c r="AA116" s="25">
        <f t="shared" si="259"/>
        <v>-17168.130587374118</v>
      </c>
      <c r="AB116" s="25">
        <f t="shared" si="259"/>
        <v>-19228.306257859014</v>
      </c>
      <c r="AC116" s="118">
        <f t="shared" si="251"/>
        <v>0.12000000000000011</v>
      </c>
      <c r="AD116" s="20"/>
      <c r="AE116" s="20"/>
    </row>
    <row r="117" spans="2:31" x14ac:dyDescent="0.2">
      <c r="B117" s="20" t="s">
        <v>365</v>
      </c>
      <c r="C117" s="20"/>
      <c r="D117" s="20"/>
      <c r="E117" s="20"/>
      <c r="F117" s="20"/>
      <c r="G117" s="119" t="e">
        <f t="shared" ref="G117:P117" si="260">G116*365/G25</f>
        <v>#DIV/0!</v>
      </c>
      <c r="H117" s="119" t="e">
        <f t="shared" si="260"/>
        <v>#DIV/0!</v>
      </c>
      <c r="I117" s="119" t="e">
        <f t="shared" si="260"/>
        <v>#DIV/0!</v>
      </c>
      <c r="J117" s="119" t="e">
        <f t="shared" si="260"/>
        <v>#DIV/0!</v>
      </c>
      <c r="K117" s="119" t="e">
        <f t="shared" si="260"/>
        <v>#DIV/0!</v>
      </c>
      <c r="L117" s="119" t="e">
        <f t="shared" si="260"/>
        <v>#DIV/0!</v>
      </c>
      <c r="M117" s="119">
        <f t="shared" si="260"/>
        <v>699.51820128479653</v>
      </c>
      <c r="N117" s="119">
        <f t="shared" si="260"/>
        <v>-185.12772875058059</v>
      </c>
      <c r="O117" s="119">
        <f t="shared" si="260"/>
        <v>236.82184750733137</v>
      </c>
      <c r="P117" s="119">
        <f t="shared" si="260"/>
        <v>-323.09336574206463</v>
      </c>
      <c r="Q117" s="118" t="e">
        <f t="shared" si="190"/>
        <v>#DIV/0!</v>
      </c>
      <c r="R117" s="128"/>
      <c r="S117" s="119">
        <f t="shared" ref="S117:AB117" si="261">S116*365/S25</f>
        <v>-323.09336574206463</v>
      </c>
      <c r="T117" s="119">
        <f t="shared" si="261"/>
        <v>-323.09336574206463</v>
      </c>
      <c r="U117" s="119">
        <f t="shared" si="261"/>
        <v>-323.09336574206458</v>
      </c>
      <c r="V117" s="119">
        <f t="shared" si="261"/>
        <v>-323.09336574206458</v>
      </c>
      <c r="W117" s="119">
        <f t="shared" si="261"/>
        <v>-323.09336574206458</v>
      </c>
      <c r="X117" s="119">
        <f t="shared" si="261"/>
        <v>-323.09336574206458</v>
      </c>
      <c r="Y117" s="119">
        <f t="shared" si="261"/>
        <v>-323.09336574206463</v>
      </c>
      <c r="Z117" s="119">
        <f t="shared" si="261"/>
        <v>-323.09336574206458</v>
      </c>
      <c r="AA117" s="119">
        <f t="shared" si="261"/>
        <v>-323.09336574206458</v>
      </c>
      <c r="AB117" s="119">
        <f t="shared" si="261"/>
        <v>-323.09336574206458</v>
      </c>
      <c r="AC117" s="118">
        <f t="shared" si="251"/>
        <v>0</v>
      </c>
      <c r="AD117" s="20"/>
      <c r="AE117" s="20"/>
    </row>
    <row r="118" spans="2:31" x14ac:dyDescent="0.2">
      <c r="B118" s="20" t="s">
        <v>368</v>
      </c>
      <c r="C118" s="20"/>
      <c r="D118" s="20"/>
      <c r="E118" s="20"/>
      <c r="F118" s="20"/>
      <c r="G118" s="133" t="e">
        <f>G72/G29</f>
        <v>#DIV/0!</v>
      </c>
      <c r="H118" s="133" t="e">
        <f t="shared" ref="H118:P118" si="262">H72/H29</f>
        <v>#DIV/0!</v>
      </c>
      <c r="I118" s="133" t="e">
        <f t="shared" si="262"/>
        <v>#DIV/0!</v>
      </c>
      <c r="J118" s="133" t="e">
        <f t="shared" si="262"/>
        <v>#DIV/0!</v>
      </c>
      <c r="K118" s="133" t="e">
        <f t="shared" si="262"/>
        <v>#DIV/0!</v>
      </c>
      <c r="L118" s="133" t="e">
        <f t="shared" si="262"/>
        <v>#DIV/0!</v>
      </c>
      <c r="M118" s="133" t="e">
        <f t="shared" si="262"/>
        <v>#DIV/0!</v>
      </c>
      <c r="N118" s="133" t="e">
        <f t="shared" si="262"/>
        <v>#DIV/0!</v>
      </c>
      <c r="O118" s="133" t="e">
        <f t="shared" si="262"/>
        <v>#DIV/0!</v>
      </c>
      <c r="P118" s="133" t="e">
        <f t="shared" si="262"/>
        <v>#DIV/0!</v>
      </c>
      <c r="Q118" s="118" t="e">
        <f t="shared" si="190"/>
        <v>#DIV/0!</v>
      </c>
      <c r="R118" s="128"/>
      <c r="S118" s="133" t="e">
        <f t="shared" ref="S118:AB118" si="263">S72/S29</f>
        <v>#DIV/0!</v>
      </c>
      <c r="T118" s="133" t="e">
        <f t="shared" si="263"/>
        <v>#DIV/0!</v>
      </c>
      <c r="U118" s="133" t="e">
        <f t="shared" si="263"/>
        <v>#DIV/0!</v>
      </c>
      <c r="V118" s="133" t="e">
        <f t="shared" si="263"/>
        <v>#DIV/0!</v>
      </c>
      <c r="W118" s="133" t="e">
        <f t="shared" si="263"/>
        <v>#DIV/0!</v>
      </c>
      <c r="X118" s="133" t="e">
        <f t="shared" si="263"/>
        <v>#DIV/0!</v>
      </c>
      <c r="Y118" s="133" t="e">
        <f t="shared" si="263"/>
        <v>#DIV/0!</v>
      </c>
      <c r="Z118" s="133" t="e">
        <f t="shared" si="263"/>
        <v>#DIV/0!</v>
      </c>
      <c r="AA118" s="133" t="e">
        <f t="shared" si="263"/>
        <v>#DIV/0!</v>
      </c>
      <c r="AB118" s="133" t="e">
        <f t="shared" si="263"/>
        <v>#DIV/0!</v>
      </c>
      <c r="AC118" s="118" t="e">
        <f t="shared" si="251"/>
        <v>#DIV/0!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 x14ac:dyDescent="0.2">
      <c r="B120" s="20" t="s">
        <v>375</v>
      </c>
      <c r="C120" s="20"/>
      <c r="D120" s="20"/>
      <c r="E120" s="20"/>
      <c r="F120" s="20"/>
      <c r="G120" s="20" t="e">
        <f>G25/G14</f>
        <v>#DIV/0!</v>
      </c>
      <c r="H120" s="20" t="e">
        <f t="shared" ref="H120:P120" si="264">H25/H14</f>
        <v>#DIV/0!</v>
      </c>
      <c r="I120" s="20" t="e">
        <f t="shared" si="264"/>
        <v>#DIV/0!</v>
      </c>
      <c r="J120" s="20" t="e">
        <f t="shared" si="264"/>
        <v>#DIV/0!</v>
      </c>
      <c r="K120" s="20" t="e">
        <f t="shared" si="264"/>
        <v>#DIV/0!</v>
      </c>
      <c r="L120" s="20" t="e">
        <f t="shared" si="264"/>
        <v>#DIV/0!</v>
      </c>
      <c r="M120" s="20" t="e">
        <f t="shared" si="264"/>
        <v>#DIV/0!</v>
      </c>
      <c r="N120" s="20" t="e">
        <f t="shared" si="264"/>
        <v>#DIV/0!</v>
      </c>
      <c r="O120" s="20" t="e">
        <f t="shared" si="264"/>
        <v>#DIV/0!</v>
      </c>
      <c r="P120" s="20" t="e">
        <f t="shared" si="264"/>
        <v>#DIV/0!</v>
      </c>
      <c r="Q120" s="118" t="e">
        <f t="shared" si="190"/>
        <v>#DIV/0!</v>
      </c>
      <c r="R120" s="128"/>
      <c r="S120" s="20" t="e">
        <f t="shared" ref="S120" si="265">S25/S14</f>
        <v>#DIV/0!</v>
      </c>
      <c r="T120" s="20" t="e">
        <f t="shared" ref="T120:AB120" si="266">T25/T14</f>
        <v>#DIV/0!</v>
      </c>
      <c r="U120" s="20" t="e">
        <f t="shared" si="266"/>
        <v>#DIV/0!</v>
      </c>
      <c r="V120" s="20" t="e">
        <f t="shared" si="266"/>
        <v>#DIV/0!</v>
      </c>
      <c r="W120" s="20" t="e">
        <f t="shared" si="266"/>
        <v>#DIV/0!</v>
      </c>
      <c r="X120" s="20" t="e">
        <f t="shared" si="266"/>
        <v>#DIV/0!</v>
      </c>
      <c r="Y120" s="20" t="e">
        <f t="shared" si="266"/>
        <v>#DIV/0!</v>
      </c>
      <c r="Z120" s="20" t="e">
        <f t="shared" si="266"/>
        <v>#DIV/0!</v>
      </c>
      <c r="AA120" s="20" t="e">
        <f t="shared" si="266"/>
        <v>#DIV/0!</v>
      </c>
      <c r="AB120" s="20" t="e">
        <f t="shared" si="266"/>
        <v>#DIV/0!</v>
      </c>
      <c r="AC120" s="118" t="e">
        <f t="shared" si="251"/>
        <v>#DIV/0!</v>
      </c>
      <c r="AD120" s="20"/>
      <c r="AE120" s="20"/>
    </row>
    <row r="121" spans="2:31" x14ac:dyDescent="0.2">
      <c r="B121" s="20" t="s">
        <v>376</v>
      </c>
      <c r="C121" s="20"/>
      <c r="D121" s="20"/>
      <c r="E121" s="20"/>
      <c r="F121" s="20"/>
      <c r="G121" s="20" t="e">
        <f>G27/G14</f>
        <v>#DIV/0!</v>
      </c>
      <c r="H121" s="20" t="e">
        <f t="shared" ref="H121:P121" si="267">H27/H14</f>
        <v>#DIV/0!</v>
      </c>
      <c r="I121" s="20" t="e">
        <f t="shared" si="267"/>
        <v>#DIV/0!</v>
      </c>
      <c r="J121" s="20" t="e">
        <f t="shared" si="267"/>
        <v>#DIV/0!</v>
      </c>
      <c r="K121" s="20" t="e">
        <f t="shared" si="267"/>
        <v>#DIV/0!</v>
      </c>
      <c r="L121" s="20" t="e">
        <f t="shared" si="267"/>
        <v>#DIV/0!</v>
      </c>
      <c r="M121" s="20" t="e">
        <f t="shared" si="267"/>
        <v>#DIV/0!</v>
      </c>
      <c r="N121" s="20" t="e">
        <f t="shared" si="267"/>
        <v>#DIV/0!</v>
      </c>
      <c r="O121" s="20" t="e">
        <f t="shared" si="267"/>
        <v>#DIV/0!</v>
      </c>
      <c r="P121" s="20" t="e">
        <f t="shared" si="267"/>
        <v>#DIV/0!</v>
      </c>
      <c r="Q121" s="118"/>
      <c r="R121" s="128"/>
      <c r="S121" s="20" t="e">
        <f t="shared" ref="S121:AB121" si="268">S27/S14</f>
        <v>#DIV/0!</v>
      </c>
      <c r="T121" s="20" t="e">
        <f t="shared" si="268"/>
        <v>#DIV/0!</v>
      </c>
      <c r="U121" s="20" t="e">
        <f t="shared" si="268"/>
        <v>#DIV/0!</v>
      </c>
      <c r="V121" s="20" t="e">
        <f t="shared" si="268"/>
        <v>#DIV/0!</v>
      </c>
      <c r="W121" s="20" t="e">
        <f t="shared" si="268"/>
        <v>#DIV/0!</v>
      </c>
      <c r="X121" s="20" t="e">
        <f t="shared" si="268"/>
        <v>#DIV/0!</v>
      </c>
      <c r="Y121" s="20" t="e">
        <f t="shared" si="268"/>
        <v>#DIV/0!</v>
      </c>
      <c r="Z121" s="20" t="e">
        <f t="shared" si="268"/>
        <v>#DIV/0!</v>
      </c>
      <c r="AA121" s="20" t="e">
        <f t="shared" si="268"/>
        <v>#DIV/0!</v>
      </c>
      <c r="AB121" s="20" t="e">
        <f t="shared" si="268"/>
        <v>#DIV/0!</v>
      </c>
      <c r="AC121" s="118" t="e">
        <f t="shared" si="251"/>
        <v>#DIV/0!</v>
      </c>
      <c r="AD121" s="20"/>
      <c r="AE121" s="20"/>
    </row>
    <row r="122" spans="2:31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28"/>
      <c r="R122" s="128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37"/>
      <c r="AD122" s="20"/>
      <c r="AE122" s="20"/>
    </row>
    <row r="123" spans="2:31" x14ac:dyDescent="0.2">
      <c r="B123" s="108" t="s">
        <v>244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3"/>
      <c r="R123" s="23"/>
      <c r="S123" s="122" t="s">
        <v>66</v>
      </c>
      <c r="T123" s="20"/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 x14ac:dyDescent="0.2">
      <c r="B124" s="23" t="s">
        <v>281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5"/>
      <c r="Q124" s="160" t="e">
        <f>AVERAGE(G47:P47)</f>
        <v>#DIV/0!</v>
      </c>
      <c r="R124" s="23"/>
      <c r="S124" s="134"/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0" t="s">
        <v>25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>
        <f>S125+T125</f>
        <v>-10.714842019078914</v>
      </c>
      <c r="S125" s="133">
        <f>PV($C$1, ($AB$3-$S$3), 0, -AB47)</f>
        <v>-1.2295720349762689</v>
      </c>
      <c r="T125" s="133">
        <f>PV($C$1, ($AB$3-$S$3), 0, -AE47)</f>
        <v>-9.4852699841026453</v>
      </c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273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 t="shared" ref="R126:R144" si="269">S126+T126</f>
        <v>20.043057423924086</v>
      </c>
      <c r="S126" s="133">
        <f>PV($C$1, ($AB$3-$S$3), 0, -AB48)</f>
        <v>2.3000229830732559</v>
      </c>
      <c r="T126" s="133">
        <f>PV($C$1, ($AB$3-$S$3), 0, -AE48)</f>
        <v>17.743034440850831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si="269"/>
        <v>8.8706753099128264</v>
      </c>
      <c r="S127" s="133">
        <f>PV($C$1, ($AB$3-$S$3), 0, -AB49)</f>
        <v>1.0179463470391767</v>
      </c>
      <c r="T127" s="133">
        <f>PV($C$1, ($AB$3-$S$3), 0, -AE49)</f>
        <v>7.8527289628736492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275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69"/>
        <v>175.55533315965377</v>
      </c>
      <c r="S128" s="133">
        <f>PV($C$1, ($AB$3-$S$3), 0, -AB50)</f>
        <v>20.145693969140599</v>
      </c>
      <c r="T128" s="133">
        <f>PV($C$1, ($AB$3-$S$3), 0, -AE50)</f>
        <v>155.40963919051316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276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69"/>
        <v>8.0209579907527555</v>
      </c>
      <c r="S129" s="133">
        <f>PV($C$1, ($AB$3-$S$3), 0, -AB56)</f>
        <v>0.92043780221752947</v>
      </c>
      <c r="T129" s="133">
        <f>PV($C$1, ($AB$3-$S$3), 0, -AE56)</f>
        <v>7.100520188535226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/>
      <c r="S130" s="133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 t="s">
        <v>271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>
        <f t="shared" si="269"/>
        <v>-155.51227573572967</v>
      </c>
      <c r="S131" s="133">
        <f>PV($C$1, ($AB$3-$S$3), 0, -AB52)</f>
        <v>-17.84567098606734</v>
      </c>
      <c r="T131" s="133">
        <f>PV($C$1, ($AB$3-$S$3), 0, -$AE$52)</f>
        <v>-137.66660474966233</v>
      </c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272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69"/>
        <v>-212.91021376734452</v>
      </c>
      <c r="S132" s="133">
        <f>PV($C$1, ($AB$3-$S$3), 0, -AB53)</f>
        <v>-24.432319612646094</v>
      </c>
      <c r="T132" s="133">
        <f>PV($C$1, ($AB$3-$S$3), 0, -$AE$53)</f>
        <v>-188.47789415469842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277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69"/>
        <v>-194.08570700441373</v>
      </c>
      <c r="S133" s="133">
        <f>PV($C$1, ($AB$3-$S$3), 0, -AB54)</f>
        <v>-22.272130311981911</v>
      </c>
      <c r="T133" s="133">
        <f>PV($C$1, ($AB$3-$S$3), 0, -$AE$54)</f>
        <v>-171.81357669243184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/>
      <c r="S134" s="133"/>
      <c r="T134" s="20"/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 t="s">
        <v>249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>
        <f t="shared" si="269"/>
        <v>18.824506762930788</v>
      </c>
      <c r="S135" s="133">
        <f>PV($C$1, ($AB$3-$S$3), 0, -AB59)</f>
        <v>2.160189300664189</v>
      </c>
      <c r="T135" s="133">
        <f>PV($C$1, ($AB$3-$S$3), 0, -AE59)</f>
        <v>16.664317462266599</v>
      </c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250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69"/>
        <v>-18.393706024195794</v>
      </c>
      <c r="S136" s="133">
        <f>PV($C$1, ($AB$3-$S$3), 0, -AB60)</f>
        <v>-3.3168978076418645</v>
      </c>
      <c r="T136" s="133">
        <f>PV($C$1, ($AB$3-$S$3), 0, -AE60)</f>
        <v>-15.07680821655393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/>
      <c r="S137" s="133"/>
      <c r="T137" s="133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294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 t="shared" ref="R138" si="270">S138+T138</f>
        <v>7765.9878208568216</v>
      </c>
      <c r="S138" s="133">
        <f>PV($C$1, ($AB$3-$S$3), 0, -AB12)</f>
        <v>891.17893026225818</v>
      </c>
      <c r="T138" s="133">
        <f>PV($C$1, ($AB$3-$S$3), 0, -AE12)</f>
        <v>6874.8088905945633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295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>S139+T139</f>
        <v>32.449248647277955</v>
      </c>
      <c r="S139" s="140">
        <f>S138/P40</f>
        <v>3.7236842709991098</v>
      </c>
      <c r="T139" s="140">
        <f>T138/P40</f>
        <v>28.725564376278847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/>
      <c r="S140" s="140"/>
      <c r="T140" s="14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108" t="s">
        <v>298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33"/>
      <c r="T141" s="133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283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ref="R142" si="271">S142+T142</f>
        <v>0</v>
      </c>
      <c r="S142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0</v>
      </c>
      <c r="T142" s="133">
        <f>PV($C$1, ($AB$3-$S$3), 0, -AE62)</f>
        <v>0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3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133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291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69"/>
        <v>0</v>
      </c>
      <c r="S144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44" s="133">
        <f>PV($C$1, ($AB$3-$S$3), 0, -AE64)</f>
        <v>0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/>
      <c r="S145" s="133"/>
      <c r="T145" s="133"/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287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ref="R146:R149" si="272">S146+T146</f>
        <v>0</v>
      </c>
      <c r="S146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46" s="133">
        <f>PV($C$1, ($AB$3-$S$3), 0, -AE66)</f>
        <v>0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si="272"/>
        <v>0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47" s="133">
        <f>PV($C$1, ($AB$3-$S$3), 0, -AE67)</f>
        <v>0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2"/>
        <v>0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48" s="133">
        <f>PV($C$1, ($AB$3-$S$3), 0, -AE68)</f>
        <v>0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290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2"/>
        <v>0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49" s="133">
        <f>PV($C$1, ($AB$3-$S$3), 0, -AE69)</f>
        <v>0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>S151+T151</f>
        <v>0</v>
      </c>
      <c r="S151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1" s="133">
        <f>PV($C$1, ($AB$3-$S$3), 0, -AE70)</f>
        <v>0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21"/>
      <c r="T152" s="20"/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108" t="s">
        <v>251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 t="s">
        <v>204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118" t="e">
        <f t="shared" ref="Q154:Q159" si="273">((P154/G154)^(1/($H$2-$H$1) ))-1</f>
        <v>#DIV/0!</v>
      </c>
      <c r="R154" s="31">
        <f>L2-3%</f>
        <v>0.09</v>
      </c>
      <c r="S154" s="119">
        <f t="shared" ref="S154" si="274">P154*(1+$R154)</f>
        <v>0</v>
      </c>
      <c r="T154" s="119">
        <f t="shared" ref="T154:AB154" si="275">S154*(1+$R154)</f>
        <v>0</v>
      </c>
      <c r="U154" s="119">
        <f t="shared" si="275"/>
        <v>0</v>
      </c>
      <c r="V154" s="119">
        <f t="shared" si="275"/>
        <v>0</v>
      </c>
      <c r="W154" s="119">
        <f t="shared" si="275"/>
        <v>0</v>
      </c>
      <c r="X154" s="119">
        <f t="shared" si="275"/>
        <v>0</v>
      </c>
      <c r="Y154" s="119">
        <f t="shared" si="275"/>
        <v>0</v>
      </c>
      <c r="Z154" s="119">
        <f t="shared" si="275"/>
        <v>0</v>
      </c>
      <c r="AA154" s="119">
        <f t="shared" si="275"/>
        <v>0</v>
      </c>
      <c r="AB154" s="119">
        <f t="shared" si="275"/>
        <v>0</v>
      </c>
      <c r="AC154" s="138" t="e">
        <f t="shared" ref="AC154:AC159" si="276">((AB154/G154)^(1/($AB$3-$H$1) ))-1</f>
        <v>#DIV/0!</v>
      </c>
      <c r="AD154" s="31">
        <v>0.08</v>
      </c>
      <c r="AE154" s="127" t="e">
        <f t="shared" ref="AE154:AE160" si="277">(AB154*(1+AC154))/($C$1-AD154)</f>
        <v>#DIV/0!</v>
      </c>
    </row>
    <row r="155" spans="2:31" x14ac:dyDescent="0.2">
      <c r="B155" s="20" t="s">
        <v>362</v>
      </c>
      <c r="C155" s="25" t="e">
        <f t="shared" ref="C155:P155" si="278">C154/C44</f>
        <v>#DIV/0!</v>
      </c>
      <c r="D155" s="25" t="e">
        <f t="shared" si="278"/>
        <v>#DIV/0!</v>
      </c>
      <c r="E155" s="25" t="e">
        <f t="shared" si="278"/>
        <v>#DIV/0!</v>
      </c>
      <c r="F155" s="25" t="e">
        <f t="shared" si="278"/>
        <v>#DIV/0!</v>
      </c>
      <c r="G155" s="25" t="e">
        <f t="shared" si="278"/>
        <v>#DIV/0!</v>
      </c>
      <c r="H155" s="25" t="e">
        <f t="shared" si="278"/>
        <v>#DIV/0!</v>
      </c>
      <c r="I155" s="25" t="e">
        <f t="shared" si="278"/>
        <v>#DIV/0!</v>
      </c>
      <c r="J155" s="25" t="e">
        <f t="shared" si="278"/>
        <v>#DIV/0!</v>
      </c>
      <c r="K155" s="25" t="e">
        <f t="shared" si="278"/>
        <v>#DIV/0!</v>
      </c>
      <c r="L155" s="25" t="e">
        <f t="shared" si="278"/>
        <v>#DIV/0!</v>
      </c>
      <c r="M155" s="25">
        <f t="shared" si="278"/>
        <v>0</v>
      </c>
      <c r="N155" s="25">
        <f t="shared" si="278"/>
        <v>0</v>
      </c>
      <c r="O155" s="25">
        <f t="shared" si="278"/>
        <v>0</v>
      </c>
      <c r="P155" s="25">
        <f t="shared" si="278"/>
        <v>0</v>
      </c>
      <c r="Q155" s="118" t="e">
        <f t="shared" ref="Q155" si="279">((P155/G155)^(1/($H$2-$H$1) ))-1</f>
        <v>#DIV/0!</v>
      </c>
      <c r="R155" s="128"/>
      <c r="S155" s="25">
        <f t="shared" ref="S155:AB155" si="280">S154/S44</f>
        <v>0</v>
      </c>
      <c r="T155" s="25">
        <f t="shared" si="280"/>
        <v>0</v>
      </c>
      <c r="U155" s="25">
        <f t="shared" si="280"/>
        <v>0</v>
      </c>
      <c r="V155" s="25">
        <f t="shared" si="280"/>
        <v>0</v>
      </c>
      <c r="W155" s="25">
        <f t="shared" si="280"/>
        <v>0</v>
      </c>
      <c r="X155" s="25">
        <f t="shared" si="280"/>
        <v>0</v>
      </c>
      <c r="Y155" s="25">
        <f t="shared" si="280"/>
        <v>0</v>
      </c>
      <c r="Z155" s="25">
        <f t="shared" si="280"/>
        <v>0</v>
      </c>
      <c r="AA155" s="25">
        <f t="shared" si="280"/>
        <v>0</v>
      </c>
      <c r="AB155" s="25">
        <f t="shared" si="280"/>
        <v>0</v>
      </c>
      <c r="AC155" s="138" t="e">
        <f t="shared" ref="AC155" si="281">((AB155/G155)^(1/($AB$3-$H$1) ))-1</f>
        <v>#DIV/0!</v>
      </c>
      <c r="AD155" s="31">
        <v>0.08</v>
      </c>
      <c r="AE155" s="127" t="e">
        <f t="shared" ref="AE155" si="282">(AB155*(1+AC155))/($C$1-AD155)</f>
        <v>#DIV/0!</v>
      </c>
    </row>
    <row r="156" spans="2:31" x14ac:dyDescent="0.2">
      <c r="B156" s="20" t="s">
        <v>42</v>
      </c>
      <c r="C156" s="25" t="e">
        <f t="shared" ref="C156:P156" si="283">C154/C47</f>
        <v>#DIV/0!</v>
      </c>
      <c r="D156" s="25" t="e">
        <f t="shared" si="283"/>
        <v>#DIV/0!</v>
      </c>
      <c r="E156" s="25" t="e">
        <f t="shared" si="283"/>
        <v>#DIV/0!</v>
      </c>
      <c r="F156" s="25" t="e">
        <f t="shared" si="283"/>
        <v>#DIV/0!</v>
      </c>
      <c r="G156" s="25" t="e">
        <f t="shared" si="283"/>
        <v>#DIV/0!</v>
      </c>
      <c r="H156" s="25" t="e">
        <f t="shared" si="283"/>
        <v>#DIV/0!</v>
      </c>
      <c r="I156" s="25" t="e">
        <f t="shared" si="283"/>
        <v>#DIV/0!</v>
      </c>
      <c r="J156" s="25" t="e">
        <f t="shared" si="283"/>
        <v>#DIV/0!</v>
      </c>
      <c r="K156" s="25" t="e">
        <f t="shared" si="283"/>
        <v>#DIV/0!</v>
      </c>
      <c r="L156" s="25">
        <f t="shared" si="283"/>
        <v>0</v>
      </c>
      <c r="M156" s="25">
        <f t="shared" si="283"/>
        <v>0</v>
      </c>
      <c r="N156" s="25">
        <f t="shared" si="283"/>
        <v>0</v>
      </c>
      <c r="O156" s="25">
        <f t="shared" si="283"/>
        <v>0</v>
      </c>
      <c r="P156" s="25">
        <f t="shared" si="283"/>
        <v>0</v>
      </c>
      <c r="Q156" s="118" t="e">
        <f t="shared" si="273"/>
        <v>#DIV/0!</v>
      </c>
      <c r="R156" s="128"/>
      <c r="S156" s="119">
        <f t="shared" ref="S156:AB156" si="284">S154/S47</f>
        <v>0</v>
      </c>
      <c r="T156" s="119">
        <f t="shared" si="284"/>
        <v>0</v>
      </c>
      <c r="U156" s="119">
        <f t="shared" si="284"/>
        <v>0</v>
      </c>
      <c r="V156" s="119">
        <f t="shared" si="284"/>
        <v>0</v>
      </c>
      <c r="W156" s="119">
        <f t="shared" si="284"/>
        <v>0</v>
      </c>
      <c r="X156" s="119">
        <f t="shared" si="284"/>
        <v>0</v>
      </c>
      <c r="Y156" s="119">
        <f t="shared" si="284"/>
        <v>0</v>
      </c>
      <c r="Z156" s="119">
        <f t="shared" si="284"/>
        <v>0</v>
      </c>
      <c r="AA156" s="119">
        <f t="shared" si="284"/>
        <v>0</v>
      </c>
      <c r="AB156" s="119">
        <f t="shared" si="284"/>
        <v>0</v>
      </c>
      <c r="AC156" s="138" t="e">
        <f t="shared" si="276"/>
        <v>#DIV/0!</v>
      </c>
      <c r="AD156" s="31">
        <v>0.08</v>
      </c>
      <c r="AE156" s="127" t="e">
        <f t="shared" si="277"/>
        <v>#DIV/0!</v>
      </c>
    </row>
    <row r="157" spans="2:31" x14ac:dyDescent="0.2">
      <c r="B157" s="20" t="s">
        <v>259</v>
      </c>
      <c r="C157" s="25" t="e">
        <f t="shared" ref="C157:P157" si="285">C154/C49</f>
        <v>#DIV/0!</v>
      </c>
      <c r="D157" s="25" t="e">
        <f t="shared" si="285"/>
        <v>#DIV/0!</v>
      </c>
      <c r="E157" s="25" t="e">
        <f t="shared" si="285"/>
        <v>#DIV/0!</v>
      </c>
      <c r="F157" s="25" t="e">
        <f t="shared" si="285"/>
        <v>#DIV/0!</v>
      </c>
      <c r="G157" s="25" t="e">
        <f t="shared" si="285"/>
        <v>#DIV/0!</v>
      </c>
      <c r="H157" s="25" t="e">
        <f t="shared" si="285"/>
        <v>#DIV/0!</v>
      </c>
      <c r="I157" s="25" t="e">
        <f t="shared" si="285"/>
        <v>#DIV/0!</v>
      </c>
      <c r="J157" s="25" t="e">
        <f t="shared" si="285"/>
        <v>#DIV/0!</v>
      </c>
      <c r="K157" s="25" t="e">
        <f t="shared" si="285"/>
        <v>#DIV/0!</v>
      </c>
      <c r="L157" s="25">
        <f t="shared" si="285"/>
        <v>0</v>
      </c>
      <c r="M157" s="25">
        <f t="shared" si="285"/>
        <v>0</v>
      </c>
      <c r="N157" s="25">
        <f t="shared" si="285"/>
        <v>0</v>
      </c>
      <c r="O157" s="25">
        <f t="shared" si="285"/>
        <v>0</v>
      </c>
      <c r="P157" s="25">
        <f t="shared" si="285"/>
        <v>0</v>
      </c>
      <c r="Q157" s="118" t="e">
        <f t="shared" si="273"/>
        <v>#DIV/0!</v>
      </c>
      <c r="R157" s="128"/>
      <c r="S157" s="119">
        <f t="shared" ref="S157:AB157" si="286">S154/S49</f>
        <v>0</v>
      </c>
      <c r="T157" s="119">
        <f t="shared" si="286"/>
        <v>0</v>
      </c>
      <c r="U157" s="119">
        <f t="shared" si="286"/>
        <v>0</v>
      </c>
      <c r="V157" s="119">
        <f t="shared" si="286"/>
        <v>0</v>
      </c>
      <c r="W157" s="119">
        <f t="shared" si="286"/>
        <v>0</v>
      </c>
      <c r="X157" s="119">
        <f t="shared" si="286"/>
        <v>0</v>
      </c>
      <c r="Y157" s="119">
        <f t="shared" si="286"/>
        <v>0</v>
      </c>
      <c r="Z157" s="119">
        <f t="shared" si="286"/>
        <v>0</v>
      </c>
      <c r="AA157" s="119">
        <f t="shared" si="286"/>
        <v>0</v>
      </c>
      <c r="AB157" s="119">
        <f t="shared" si="286"/>
        <v>0</v>
      </c>
      <c r="AC157" s="138" t="e">
        <f t="shared" si="276"/>
        <v>#DIV/0!</v>
      </c>
      <c r="AD157" s="31">
        <v>0.08</v>
      </c>
      <c r="AE157" s="127" t="e">
        <f t="shared" si="277"/>
        <v>#DIV/0!</v>
      </c>
    </row>
    <row r="158" spans="2:31" x14ac:dyDescent="0.2">
      <c r="B158" s="20" t="s">
        <v>260</v>
      </c>
      <c r="C158" s="25" t="e">
        <f t="shared" ref="C158:P158" si="287">C154/C58</f>
        <v>#DIV/0!</v>
      </c>
      <c r="D158" s="25" t="e">
        <f t="shared" si="287"/>
        <v>#DIV/0!</v>
      </c>
      <c r="E158" s="25" t="e">
        <f t="shared" si="287"/>
        <v>#DIV/0!</v>
      </c>
      <c r="F158" s="25" t="e">
        <f t="shared" si="287"/>
        <v>#DIV/0!</v>
      </c>
      <c r="G158" s="25" t="e">
        <f t="shared" si="287"/>
        <v>#REF!</v>
      </c>
      <c r="H158" s="25" t="e">
        <f t="shared" si="287"/>
        <v>#REF!</v>
      </c>
      <c r="I158" s="25" t="e">
        <f t="shared" si="287"/>
        <v>#REF!</v>
      </c>
      <c r="J158" s="25" t="e">
        <f t="shared" si="287"/>
        <v>#REF!</v>
      </c>
      <c r="K158" s="25" t="e">
        <f t="shared" si="287"/>
        <v>#REF!</v>
      </c>
      <c r="L158" s="25" t="e">
        <f t="shared" si="287"/>
        <v>#REF!</v>
      </c>
      <c r="M158" s="25" t="e">
        <f t="shared" si="287"/>
        <v>#REF!</v>
      </c>
      <c r="N158" s="25" t="e">
        <f t="shared" si="287"/>
        <v>#REF!</v>
      </c>
      <c r="O158" s="25" t="e">
        <f t="shared" si="287"/>
        <v>#REF!</v>
      </c>
      <c r="P158" s="25" t="e">
        <f t="shared" si="287"/>
        <v>#REF!</v>
      </c>
      <c r="Q158" s="118" t="e">
        <f t="shared" si="273"/>
        <v>#REF!</v>
      </c>
      <c r="R158" s="128"/>
      <c r="S158" s="119">
        <f t="shared" ref="S158:AB158" si="288">S154/S58</f>
        <v>0</v>
      </c>
      <c r="T158" s="119">
        <f t="shared" si="288"/>
        <v>0</v>
      </c>
      <c r="U158" s="119">
        <f t="shared" si="288"/>
        <v>0</v>
      </c>
      <c r="V158" s="119">
        <f t="shared" si="288"/>
        <v>0</v>
      </c>
      <c r="W158" s="119">
        <f t="shared" si="288"/>
        <v>0</v>
      </c>
      <c r="X158" s="119">
        <f t="shared" si="288"/>
        <v>0</v>
      </c>
      <c r="Y158" s="119">
        <f t="shared" si="288"/>
        <v>0</v>
      </c>
      <c r="Z158" s="119">
        <f t="shared" si="288"/>
        <v>0</v>
      </c>
      <c r="AA158" s="119">
        <f t="shared" si="288"/>
        <v>0</v>
      </c>
      <c r="AB158" s="119">
        <f t="shared" si="288"/>
        <v>0</v>
      </c>
      <c r="AC158" s="138" t="e">
        <f t="shared" si="276"/>
        <v>#REF!</v>
      </c>
      <c r="AD158" s="31">
        <v>0.08</v>
      </c>
      <c r="AE158" s="127" t="e">
        <f t="shared" si="277"/>
        <v>#REF!</v>
      </c>
    </row>
    <row r="159" spans="2:31" x14ac:dyDescent="0.2">
      <c r="B159" s="20" t="s">
        <v>261</v>
      </c>
      <c r="C159" s="25" t="e">
        <f t="shared" ref="C159:P159" si="289">C154/C60</f>
        <v>#DIV/0!</v>
      </c>
      <c r="D159" s="25" t="e">
        <f t="shared" si="289"/>
        <v>#DIV/0!</v>
      </c>
      <c r="E159" s="25" t="e">
        <f t="shared" si="289"/>
        <v>#DIV/0!</v>
      </c>
      <c r="F159" s="25" t="e">
        <f t="shared" si="289"/>
        <v>#DIV/0!</v>
      </c>
      <c r="G159" s="25" t="e">
        <f t="shared" si="289"/>
        <v>#DIV/0!</v>
      </c>
      <c r="H159" s="25" t="e">
        <f t="shared" si="289"/>
        <v>#DIV/0!</v>
      </c>
      <c r="I159" s="25" t="e">
        <f t="shared" si="289"/>
        <v>#DIV/0!</v>
      </c>
      <c r="J159" s="25" t="e">
        <f t="shared" si="289"/>
        <v>#DIV/0!</v>
      </c>
      <c r="K159" s="25" t="e">
        <f t="shared" si="289"/>
        <v>#DIV/0!</v>
      </c>
      <c r="L159" s="25">
        <f t="shared" si="289"/>
        <v>0</v>
      </c>
      <c r="M159" s="25">
        <f t="shared" si="289"/>
        <v>0</v>
      </c>
      <c r="N159" s="25">
        <f t="shared" si="289"/>
        <v>0</v>
      </c>
      <c r="O159" s="25">
        <f t="shared" si="289"/>
        <v>0</v>
      </c>
      <c r="P159" s="25">
        <f t="shared" si="289"/>
        <v>0</v>
      </c>
      <c r="Q159" s="118" t="e">
        <f t="shared" si="273"/>
        <v>#DIV/0!</v>
      </c>
      <c r="R159" s="128"/>
      <c r="S159" s="119">
        <f t="shared" ref="S159:AB159" si="290">S154/S60</f>
        <v>0</v>
      </c>
      <c r="T159" s="119">
        <f t="shared" si="290"/>
        <v>0</v>
      </c>
      <c r="U159" s="119">
        <f t="shared" si="290"/>
        <v>0</v>
      </c>
      <c r="V159" s="119">
        <f t="shared" si="290"/>
        <v>0</v>
      </c>
      <c r="W159" s="119">
        <f t="shared" si="290"/>
        <v>0</v>
      </c>
      <c r="X159" s="119">
        <f t="shared" si="290"/>
        <v>0</v>
      </c>
      <c r="Y159" s="119">
        <f t="shared" si="290"/>
        <v>0</v>
      </c>
      <c r="Z159" s="119">
        <f t="shared" si="290"/>
        <v>0</v>
      </c>
      <c r="AA159" s="119">
        <f t="shared" si="290"/>
        <v>0</v>
      </c>
      <c r="AB159" s="119">
        <f t="shared" si="290"/>
        <v>0</v>
      </c>
      <c r="AC159" s="138" t="e">
        <f t="shared" si="276"/>
        <v>#DIV/0!</v>
      </c>
      <c r="AD159" s="31">
        <v>0.08</v>
      </c>
      <c r="AE159" s="127" t="e">
        <f t="shared" si="277"/>
        <v>#DIV/0!</v>
      </c>
    </row>
    <row r="160" spans="2:31" x14ac:dyDescent="0.2">
      <c r="B160" s="20" t="s">
        <v>282</v>
      </c>
      <c r="C160" s="25" t="e">
        <f>C156/C106</f>
        <v>#DIV/0!</v>
      </c>
      <c r="D160" s="25" t="e">
        <f>D156/D106</f>
        <v>#DIV/0!</v>
      </c>
      <c r="E160" s="25" t="e">
        <f>E156/E106</f>
        <v>#DIV/0!</v>
      </c>
      <c r="F160" s="25" t="e">
        <f>F156/F106</f>
        <v>#DIV/0!</v>
      </c>
      <c r="G160" s="25" t="e">
        <f t="shared" ref="G160:P160" si="291">G154/G54</f>
        <v>#DIV/0!</v>
      </c>
      <c r="H160" s="25" t="e">
        <f t="shared" si="291"/>
        <v>#DIV/0!</v>
      </c>
      <c r="I160" s="25" t="e">
        <f t="shared" si="291"/>
        <v>#DIV/0!</v>
      </c>
      <c r="J160" s="25" t="e">
        <f t="shared" si="291"/>
        <v>#DIV/0!</v>
      </c>
      <c r="K160" s="25" t="e">
        <f t="shared" si="291"/>
        <v>#DIV/0!</v>
      </c>
      <c r="L160" s="25">
        <f t="shared" si="291"/>
        <v>0</v>
      </c>
      <c r="M160" s="25">
        <f t="shared" si="291"/>
        <v>0</v>
      </c>
      <c r="N160" s="25">
        <f t="shared" si="291"/>
        <v>0</v>
      </c>
      <c r="O160" s="25">
        <f t="shared" si="291"/>
        <v>0</v>
      </c>
      <c r="P160" s="25">
        <f t="shared" si="291"/>
        <v>0</v>
      </c>
      <c r="Q160" s="118" t="e">
        <f t="shared" ref="Q160:Q162" si="292">((P160/G160)^(1/($H$2-$H$1) ))-1</f>
        <v>#DIV/0!</v>
      </c>
      <c r="R160" s="128"/>
      <c r="S160" s="135">
        <f t="shared" ref="S160:AB160" si="293">S154/S54</f>
        <v>0</v>
      </c>
      <c r="T160" s="135">
        <f t="shared" si="293"/>
        <v>0</v>
      </c>
      <c r="U160" s="135">
        <f t="shared" si="293"/>
        <v>0</v>
      </c>
      <c r="V160" s="135">
        <f t="shared" si="293"/>
        <v>0</v>
      </c>
      <c r="W160" s="135">
        <f t="shared" si="293"/>
        <v>0</v>
      </c>
      <c r="X160" s="135">
        <f t="shared" si="293"/>
        <v>0</v>
      </c>
      <c r="Y160" s="135">
        <f t="shared" si="293"/>
        <v>0</v>
      </c>
      <c r="Z160" s="135">
        <f t="shared" si="293"/>
        <v>0</v>
      </c>
      <c r="AA160" s="135">
        <f t="shared" si="293"/>
        <v>0</v>
      </c>
      <c r="AB160" s="135">
        <f t="shared" si="293"/>
        <v>0</v>
      </c>
      <c r="AC160" s="138" t="e">
        <f t="shared" ref="AC160" si="294">((AB160/G160)^(1/($AB$3-$H$1) ))-1</f>
        <v>#DIV/0!</v>
      </c>
      <c r="AD160" s="31">
        <v>0.08</v>
      </c>
      <c r="AE160" s="127" t="e">
        <f t="shared" si="277"/>
        <v>#DIV/0!</v>
      </c>
    </row>
    <row r="161" spans="2:31" x14ac:dyDescent="0.2">
      <c r="B161" s="20" t="s">
        <v>372</v>
      </c>
      <c r="C161" s="161" t="e">
        <f t="shared" ref="C161:P161" si="295">C47/C154</f>
        <v>#DIV/0!</v>
      </c>
      <c r="D161" s="161" t="e">
        <f t="shared" si="295"/>
        <v>#DIV/0!</v>
      </c>
      <c r="E161" s="161" t="e">
        <f t="shared" si="295"/>
        <v>#DIV/0!</v>
      </c>
      <c r="F161" s="161" t="e">
        <f t="shared" si="295"/>
        <v>#DIV/0!</v>
      </c>
      <c r="G161" s="161" t="e">
        <f t="shared" si="295"/>
        <v>#DIV/0!</v>
      </c>
      <c r="H161" s="161" t="e">
        <f t="shared" si="295"/>
        <v>#DIV/0!</v>
      </c>
      <c r="I161" s="161" t="e">
        <f t="shared" si="295"/>
        <v>#DIV/0!</v>
      </c>
      <c r="J161" s="161" t="e">
        <f t="shared" si="295"/>
        <v>#DIV/0!</v>
      </c>
      <c r="K161" s="161" t="e">
        <f t="shared" si="295"/>
        <v>#DIV/0!</v>
      </c>
      <c r="L161" s="161" t="e">
        <f t="shared" si="295"/>
        <v>#DIV/0!</v>
      </c>
      <c r="M161" s="161" t="e">
        <f t="shared" si="295"/>
        <v>#DIV/0!</v>
      </c>
      <c r="N161" s="161" t="e">
        <f t="shared" si="295"/>
        <v>#DIV/0!</v>
      </c>
      <c r="O161" s="161" t="e">
        <f t="shared" si="295"/>
        <v>#DIV/0!</v>
      </c>
      <c r="P161" s="161" t="e">
        <f t="shared" si="295"/>
        <v>#DIV/0!</v>
      </c>
      <c r="Q161" s="118" t="e">
        <f t="shared" si="292"/>
        <v>#DIV/0!</v>
      </c>
      <c r="R161" s="128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8"/>
      <c r="AD161" s="31"/>
      <c r="AE161" s="127"/>
    </row>
    <row r="162" spans="2:31" x14ac:dyDescent="0.2">
      <c r="B162" s="20" t="s">
        <v>321</v>
      </c>
      <c r="C162" s="152" t="e">
        <f t="shared" ref="C162:P162" si="296">C41/C154</f>
        <v>#DIV/0!</v>
      </c>
      <c r="D162" s="152" t="e">
        <f t="shared" si="296"/>
        <v>#DIV/0!</v>
      </c>
      <c r="E162" s="152" t="e">
        <f t="shared" si="296"/>
        <v>#DIV/0!</v>
      </c>
      <c r="F162" s="152" t="e">
        <f t="shared" si="296"/>
        <v>#DIV/0!</v>
      </c>
      <c r="G162" s="152" t="e">
        <f t="shared" si="296"/>
        <v>#DIV/0!</v>
      </c>
      <c r="H162" s="152" t="e">
        <f t="shared" si="296"/>
        <v>#DIV/0!</v>
      </c>
      <c r="I162" s="152" t="e">
        <f t="shared" si="296"/>
        <v>#DIV/0!</v>
      </c>
      <c r="J162" s="152" t="e">
        <f t="shared" si="296"/>
        <v>#DIV/0!</v>
      </c>
      <c r="K162" s="152" t="e">
        <f t="shared" si="296"/>
        <v>#DIV/0!</v>
      </c>
      <c r="L162" s="152" t="e">
        <f t="shared" si="296"/>
        <v>#DIV/0!</v>
      </c>
      <c r="M162" s="152" t="e">
        <f t="shared" si="296"/>
        <v>#DIV/0!</v>
      </c>
      <c r="N162" s="152" t="e">
        <f t="shared" si="296"/>
        <v>#DIV/0!</v>
      </c>
      <c r="O162" s="152" t="e">
        <f t="shared" si="296"/>
        <v>#DIV/0!</v>
      </c>
      <c r="P162" s="152" t="e">
        <f t="shared" si="296"/>
        <v>#DIV/0!</v>
      </c>
      <c r="Q162" s="118" t="e">
        <f t="shared" si="292"/>
        <v>#DIV/0!</v>
      </c>
      <c r="R162" s="128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8"/>
      <c r="AD162" s="31"/>
      <c r="AE162" s="127"/>
    </row>
    <row r="163" spans="2:31" x14ac:dyDescent="0.2">
      <c r="B163" s="20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28"/>
      <c r="R163" s="128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8"/>
      <c r="AD163" s="31"/>
      <c r="AE163" s="127"/>
    </row>
    <row r="164" spans="2:31" x14ac:dyDescent="0.2">
      <c r="B164" s="20"/>
      <c r="C164" s="129"/>
      <c r="D164" s="129"/>
      <c r="E164" s="129"/>
      <c r="F164" s="129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 x14ac:dyDescent="0.2">
      <c r="B165" s="108" t="s">
        <v>302</v>
      </c>
      <c r="C165" s="20"/>
      <c r="D165" s="20"/>
      <c r="E165" s="20"/>
      <c r="F165" s="20"/>
      <c r="G165" s="20"/>
      <c r="H165" s="20"/>
      <c r="I165" s="20"/>
      <c r="J165" s="20"/>
      <c r="K165" s="182" t="s">
        <v>352</v>
      </c>
      <c r="L165" s="183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20" t="s">
        <v>300</v>
      </c>
      <c r="C166" s="20" t="s">
        <v>315</v>
      </c>
      <c r="D166" s="20"/>
      <c r="E166" s="20"/>
      <c r="F166" s="20"/>
      <c r="G166" s="20"/>
      <c r="H166" s="20"/>
      <c r="I166" s="20"/>
      <c r="J166" s="20"/>
      <c r="K166" s="20" t="s">
        <v>353</v>
      </c>
      <c r="L166" s="22">
        <v>1</v>
      </c>
      <c r="M166" s="20"/>
      <c r="N166" s="20"/>
      <c r="O166" s="20"/>
      <c r="P166" s="128" t="e">
        <f>(P154-R142)/P154</f>
        <v>#DIV/0!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350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172">
        <f>L166</f>
        <v>1</v>
      </c>
      <c r="L167" s="20"/>
      <c r="M167" s="128" t="e">
        <f>(P154-(K167*R133))/P154</f>
        <v>#DIV/0!</v>
      </c>
      <c r="N167" s="20"/>
      <c r="O167" s="20"/>
      <c r="P167" s="128" t="e">
        <f>(P154-R133)/P154</f>
        <v>#DIV/0!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351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L166</f>
        <v>1</v>
      </c>
      <c r="L168" s="20"/>
      <c r="M168" s="128" t="e">
        <f>(P154-(K167*R126))/P154</f>
        <v>#DIV/0!</v>
      </c>
      <c r="N168" s="20"/>
      <c r="O168" s="20"/>
      <c r="P168" s="128" t="e">
        <f>(P154-R126)/P154</f>
        <v>#DIV/0!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354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L166</f>
        <v>1</v>
      </c>
      <c r="L169" s="20"/>
      <c r="M169" s="128" t="e">
        <f>(P154-(K167*R139))/P154</f>
        <v>#DIV/0!</v>
      </c>
      <c r="N169" s="20"/>
      <c r="O169" s="20"/>
      <c r="P169" s="128" t="e">
        <f>(P154-R139)/P154</f>
        <v>#DIV/0!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5">
        <f>P154/R125</f>
        <v>0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372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152" t="e">
        <f>1/P170</f>
        <v>#DIV/0!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spans="2:31" x14ac:dyDescent="0.2">
      <c r="B173" s="108" t="s">
        <v>303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 x14ac:dyDescent="0.2">
      <c r="B174" s="20" t="s">
        <v>306</v>
      </c>
      <c r="C174" s="25" t="e">
        <f t="shared" ref="C174:P174" si="297">C10/C7</f>
        <v>#DIV/0!</v>
      </c>
      <c r="D174" s="25" t="e">
        <f t="shared" si="297"/>
        <v>#DIV/0!</v>
      </c>
      <c r="E174" s="25" t="e">
        <f t="shared" si="297"/>
        <v>#DIV/0!</v>
      </c>
      <c r="F174" s="25" t="e">
        <f t="shared" si="297"/>
        <v>#DIV/0!</v>
      </c>
      <c r="G174" s="25">
        <f t="shared" si="297"/>
        <v>0</v>
      </c>
      <c r="H174" s="25">
        <f t="shared" si="297"/>
        <v>0</v>
      </c>
      <c r="I174" s="25">
        <f t="shared" si="297"/>
        <v>0</v>
      </c>
      <c r="J174" s="25">
        <f t="shared" si="297"/>
        <v>0.5161290322580645</v>
      </c>
      <c r="K174" s="25" t="e">
        <f t="shared" si="297"/>
        <v>#DIV/0!</v>
      </c>
      <c r="L174" s="25">
        <f t="shared" si="297"/>
        <v>2.1809440559440558</v>
      </c>
      <c r="M174" s="25">
        <f t="shared" si="297"/>
        <v>1.8293527172031845</v>
      </c>
      <c r="N174" s="25">
        <f t="shared" si="297"/>
        <v>3.8972482901224748</v>
      </c>
      <c r="O174" s="25">
        <f t="shared" si="297"/>
        <v>6.3896705843403412</v>
      </c>
      <c r="P174" s="25">
        <f t="shared" si="297"/>
        <v>8.7589098532494756</v>
      </c>
      <c r="Q174" s="118" t="e">
        <f t="shared" ref="Q174:Q176" si="298">((P174/G174)^(1/($H$2-$H$1) ))-1</f>
        <v>#DIV/0!</v>
      </c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 x14ac:dyDescent="0.2">
      <c r="B175" s="20" t="s">
        <v>307</v>
      </c>
      <c r="C175" s="112" t="e">
        <f>C10/C12</f>
        <v>#DIV/0!</v>
      </c>
      <c r="D175" s="112" t="e">
        <f>D10/D12</f>
        <v>#DIV/0!</v>
      </c>
      <c r="E175" s="112" t="e">
        <f>E10/E12</f>
        <v>#DIV/0!</v>
      </c>
      <c r="F175" s="112" t="e">
        <f>F10/F12</f>
        <v>#DIV/0!</v>
      </c>
      <c r="G175" s="112" t="e">
        <f>G10/#REF!</f>
        <v>#REF!</v>
      </c>
      <c r="H175" s="112" t="e">
        <f>H10/#REF!</f>
        <v>#REF!</v>
      </c>
      <c r="I175" s="112" t="e">
        <f>I10/#REF!</f>
        <v>#REF!</v>
      </c>
      <c r="J175" s="112" t="e">
        <f>J10/#REF!</f>
        <v>#REF!</v>
      </c>
      <c r="K175" s="112" t="e">
        <f>K10/#REF!</f>
        <v>#REF!</v>
      </c>
      <c r="L175" s="112" t="e">
        <f>L10/#REF!</f>
        <v>#REF!</v>
      </c>
      <c r="M175" s="112" t="e">
        <f>M10/#REF!</f>
        <v>#REF!</v>
      </c>
      <c r="N175" s="112" t="e">
        <f>N10/#REF!</f>
        <v>#REF!</v>
      </c>
      <c r="O175" s="112" t="e">
        <f>O10/#REF!</f>
        <v>#REF!</v>
      </c>
      <c r="P175" s="112" t="e">
        <f>P10/#REF!</f>
        <v>#REF!</v>
      </c>
      <c r="Q175" s="118" t="e">
        <f t="shared" si="298"/>
        <v>#REF!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 x14ac:dyDescent="0.2">
      <c r="B176" s="20" t="s">
        <v>308</v>
      </c>
      <c r="C176" s="25" t="e">
        <f>C10/(C12+C13)</f>
        <v>#DIV/0!</v>
      </c>
      <c r="D176" s="25" t="e">
        <f>D10/(D12+D13)</f>
        <v>#DIV/0!</v>
      </c>
      <c r="E176" s="25" t="e">
        <f>E10/(E12+E13)</f>
        <v>#DIV/0!</v>
      </c>
      <c r="F176" s="25" t="e">
        <f>F10/(F12+F13)</f>
        <v>#DIV/0!</v>
      </c>
      <c r="G176" s="25" t="e">
        <f>G10/(#REF!+#REF!)</f>
        <v>#REF!</v>
      </c>
      <c r="H176" s="25" t="e">
        <f>H10/(#REF!+#REF!)</f>
        <v>#REF!</v>
      </c>
      <c r="I176" s="25" t="e">
        <f>I10/(#REF!+#REF!)</f>
        <v>#REF!</v>
      </c>
      <c r="J176" s="25" t="e">
        <f>J10/(#REF!+#REF!)</f>
        <v>#REF!</v>
      </c>
      <c r="K176" s="25" t="e">
        <f>K10/(#REF!+#REF!)</f>
        <v>#REF!</v>
      </c>
      <c r="L176" s="25" t="e">
        <f>L10/(#REF!+#REF!)</f>
        <v>#REF!</v>
      </c>
      <c r="M176" s="25" t="e">
        <f>M10/(#REF!+#REF!)</f>
        <v>#REF!</v>
      </c>
      <c r="N176" s="25" t="e">
        <f>N10/(#REF!+#REF!)</f>
        <v>#REF!</v>
      </c>
      <c r="O176" s="25" t="e">
        <f>O10/(#REF!+#REF!)</f>
        <v>#REF!</v>
      </c>
      <c r="P176" s="25" t="e">
        <f>P10/(#REF!+#REF!)</f>
        <v>#REF!</v>
      </c>
      <c r="Q176" s="118" t="e">
        <f t="shared" si="298"/>
        <v>#REF!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 x14ac:dyDescent="0.2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 x14ac:dyDescent="0.2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 x14ac:dyDescent="0.2">
      <c r="B179" s="20"/>
      <c r="C179" s="20"/>
      <c r="D179" s="20"/>
      <c r="E179" s="20"/>
      <c r="F179" s="20"/>
      <c r="G179" s="20"/>
      <c r="H179" s="20"/>
      <c r="I179" s="179" t="s">
        <v>338</v>
      </c>
      <c r="J179" s="180"/>
      <c r="K179" s="181"/>
      <c r="L179" s="23" t="s">
        <v>341</v>
      </c>
      <c r="M179" s="20"/>
      <c r="N179" s="20"/>
      <c r="O179" s="179" t="s">
        <v>339</v>
      </c>
      <c r="P179" s="180"/>
      <c r="Q179" s="181"/>
      <c r="R179" s="23" t="s">
        <v>341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 x14ac:dyDescent="0.2">
      <c r="B180" s="20"/>
      <c r="C180" s="20"/>
      <c r="D180" s="20"/>
      <c r="E180" s="20"/>
      <c r="F180" s="20"/>
      <c r="G180" s="20"/>
      <c r="H180" s="20"/>
      <c r="I180" s="166" t="s">
        <v>340</v>
      </c>
      <c r="J180" s="166"/>
      <c r="K180" s="166" t="s">
        <v>0</v>
      </c>
      <c r="L180" s="166" t="s">
        <v>373</v>
      </c>
      <c r="M180" s="20"/>
      <c r="N180" s="20"/>
      <c r="O180" s="166" t="s">
        <v>340</v>
      </c>
      <c r="P180" s="166"/>
      <c r="Q180" s="166" t="s">
        <v>0</v>
      </c>
      <c r="R180" s="166" t="s">
        <v>373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 x14ac:dyDescent="0.2">
      <c r="B181" s="20"/>
      <c r="C181" s="20"/>
      <c r="D181" s="20"/>
      <c r="E181" s="20"/>
      <c r="F181" s="20"/>
      <c r="G181" s="20"/>
      <c r="H181" s="20"/>
      <c r="I181" s="167" t="s">
        <v>342</v>
      </c>
      <c r="J181" s="167"/>
      <c r="K181" s="21">
        <v>0</v>
      </c>
      <c r="L181" s="174">
        <f>K181</f>
        <v>0</v>
      </c>
      <c r="M181" s="20"/>
      <c r="N181" s="20"/>
      <c r="O181" s="167" t="s">
        <v>342</v>
      </c>
      <c r="P181" s="167"/>
      <c r="Q181" s="21">
        <v>0</v>
      </c>
      <c r="R181" s="174">
        <f>Q181</f>
        <v>0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 x14ac:dyDescent="0.2">
      <c r="B182" s="20"/>
      <c r="C182" s="20"/>
      <c r="D182" s="20"/>
      <c r="E182" s="20"/>
      <c r="F182" s="20"/>
      <c r="G182" s="20"/>
      <c r="H182" s="20"/>
      <c r="I182" s="167" t="s">
        <v>343</v>
      </c>
      <c r="J182" s="167"/>
      <c r="K182" s="21">
        <v>0</v>
      </c>
      <c r="L182" s="174">
        <f>K182</f>
        <v>0</v>
      </c>
      <c r="M182" s="20"/>
      <c r="N182" s="20"/>
      <c r="O182" s="167" t="s">
        <v>343</v>
      </c>
      <c r="P182" s="167"/>
      <c r="Q182" s="21">
        <v>0</v>
      </c>
      <c r="R182" s="174">
        <f>Q182</f>
        <v>0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 x14ac:dyDescent="0.2">
      <c r="B183" s="20"/>
      <c r="C183" s="20"/>
      <c r="D183" s="20"/>
      <c r="E183" s="20"/>
      <c r="F183" s="20"/>
      <c r="G183" s="20"/>
      <c r="H183" s="20"/>
      <c r="I183" s="167" t="s">
        <v>344</v>
      </c>
      <c r="J183" s="167"/>
      <c r="K183" s="168">
        <f>K181*K182</f>
        <v>0</v>
      </c>
      <c r="L183" s="174">
        <f>K183</f>
        <v>0</v>
      </c>
      <c r="M183" s="20"/>
      <c r="N183" s="20"/>
      <c r="O183" s="167" t="s">
        <v>345</v>
      </c>
      <c r="P183" s="167"/>
      <c r="Q183" s="168">
        <f>Q181*Q182</f>
        <v>0</v>
      </c>
      <c r="R183" s="174">
        <f>Q183</f>
        <v>0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 x14ac:dyDescent="0.2">
      <c r="B184" s="20"/>
      <c r="C184" s="20"/>
      <c r="D184" s="20"/>
      <c r="E184" s="20"/>
      <c r="F184" s="20"/>
      <c r="G184" s="20"/>
      <c r="H184" s="20"/>
      <c r="I184" s="167" t="s">
        <v>346</v>
      </c>
      <c r="J184" s="167"/>
      <c r="K184" s="21">
        <v>0</v>
      </c>
      <c r="L184" s="21">
        <v>0</v>
      </c>
      <c r="M184" s="20"/>
      <c r="N184" s="20"/>
      <c r="O184" s="167" t="s">
        <v>346</v>
      </c>
      <c r="P184" s="167"/>
      <c r="Q184" s="21">
        <v>0</v>
      </c>
      <c r="R184" s="21">
        <v>0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 x14ac:dyDescent="0.2">
      <c r="B185" s="20"/>
      <c r="C185" s="20"/>
      <c r="D185" s="20"/>
      <c r="E185" s="20"/>
      <c r="F185" s="20"/>
      <c r="G185" s="20"/>
      <c r="H185" s="20"/>
      <c r="I185" s="167" t="s">
        <v>347</v>
      </c>
      <c r="J185" s="167"/>
      <c r="K185" s="168">
        <f>K184*K182</f>
        <v>0</v>
      </c>
      <c r="L185" s="168">
        <f>L184*L182</f>
        <v>0</v>
      </c>
      <c r="M185" s="20"/>
      <c r="N185" s="20"/>
      <c r="O185" s="167" t="s">
        <v>343</v>
      </c>
      <c r="P185" s="167"/>
      <c r="Q185" s="21">
        <v>0</v>
      </c>
      <c r="R185" s="21">
        <v>0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 x14ac:dyDescent="0.2">
      <c r="B186" s="20"/>
      <c r="C186" s="20"/>
      <c r="D186" s="20"/>
      <c r="E186" s="20"/>
      <c r="F186" s="20"/>
      <c r="G186" s="20"/>
      <c r="H186" s="20"/>
      <c r="I186" s="167"/>
      <c r="J186" s="167"/>
      <c r="K186" s="168"/>
      <c r="L186" s="168"/>
      <c r="M186" s="20"/>
      <c r="N186" s="20"/>
      <c r="O186" s="167" t="s">
        <v>345</v>
      </c>
      <c r="P186" s="167"/>
      <c r="Q186" s="168">
        <f>Q185*Q184</f>
        <v>0</v>
      </c>
      <c r="R186" s="168">
        <f>R185*R183</f>
        <v>0</v>
      </c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 x14ac:dyDescent="0.2">
      <c r="B187" s="20"/>
      <c r="C187" s="20"/>
      <c r="D187" s="20"/>
      <c r="E187" s="20"/>
      <c r="F187" s="20"/>
      <c r="G187" s="20"/>
      <c r="H187" s="20"/>
      <c r="I187" s="167"/>
      <c r="J187" s="167"/>
      <c r="K187" s="168"/>
      <c r="L187" s="168"/>
      <c r="M187" s="20"/>
      <c r="N187" s="20"/>
      <c r="O187" s="167"/>
      <c r="P187" s="167"/>
      <c r="Q187" s="168"/>
      <c r="R187" s="168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 x14ac:dyDescent="0.2">
      <c r="B188" s="20"/>
      <c r="C188" s="20"/>
      <c r="D188" s="20"/>
      <c r="E188" s="20"/>
      <c r="F188" s="20"/>
      <c r="G188" s="20"/>
      <c r="H188" s="20"/>
      <c r="I188" s="169" t="s">
        <v>348</v>
      </c>
      <c r="J188" s="169"/>
      <c r="K188" s="170" t="e">
        <f>K185/K183</f>
        <v>#DIV/0!</v>
      </c>
      <c r="L188" s="170" t="e">
        <f>L185/L183</f>
        <v>#DIV/0!</v>
      </c>
      <c r="M188" s="20"/>
      <c r="N188" s="20"/>
      <c r="O188" s="169" t="s">
        <v>348</v>
      </c>
      <c r="P188" s="169"/>
      <c r="Q188" s="170" t="e">
        <f>Q186/Q183</f>
        <v>#DIV/0!</v>
      </c>
      <c r="R188" s="170" t="e">
        <f>R185/R183</f>
        <v>#DIV/0!</v>
      </c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 x14ac:dyDescent="0.2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</sheetData>
  <mergeCells count="5">
    <mergeCell ref="AD2:AE2"/>
    <mergeCell ref="AD3:AE3"/>
    <mergeCell ref="I179:K179"/>
    <mergeCell ref="O179:Q179"/>
    <mergeCell ref="K165:L165"/>
  </mergeCells>
  <pageMargins left="0.7" right="0.7" top="0.75" bottom="0.75" header="0.3" footer="0.3"/>
  <pageSetup orientation="portrait" r:id="rId1"/>
  <ignoredErrors>
    <ignoredError sqref="C156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tabSelected="1" workbookViewId="0">
      <selection activeCell="C27" sqref="C27"/>
    </sheetView>
  </sheetViews>
  <sheetFormatPr defaultRowHeight="14.25" x14ac:dyDescent="0.2"/>
  <cols>
    <col min="1" max="1" width="9.140625" style="190"/>
    <col min="2" max="2" width="16.5703125" style="190" customWidth="1"/>
    <col min="3" max="3" width="39.7109375" style="190" customWidth="1"/>
    <col min="4" max="5" width="9.140625" style="190"/>
    <col min="6" max="6" width="19" style="190" bestFit="1" customWidth="1"/>
    <col min="7" max="7" width="49" style="190" customWidth="1"/>
    <col min="8" max="16384" width="9.140625" style="190"/>
  </cols>
  <sheetData>
    <row r="3" spans="2:7" x14ac:dyDescent="0.2">
      <c r="B3" s="192" t="s">
        <v>379</v>
      </c>
      <c r="C3" s="193"/>
      <c r="F3" s="192" t="s">
        <v>388</v>
      </c>
      <c r="G3" s="193"/>
    </row>
    <row r="4" spans="2:7" x14ac:dyDescent="0.2">
      <c r="B4" s="191" t="s">
        <v>378</v>
      </c>
      <c r="C4" s="191"/>
      <c r="F4" s="191" t="s">
        <v>389</v>
      </c>
      <c r="G4" s="191"/>
    </row>
    <row r="5" spans="2:7" x14ac:dyDescent="0.2">
      <c r="B5" s="191" t="s">
        <v>380</v>
      </c>
      <c r="C5" s="191"/>
      <c r="F5" s="191" t="s">
        <v>293</v>
      </c>
      <c r="G5" s="191"/>
    </row>
    <row r="6" spans="2:7" x14ac:dyDescent="0.2">
      <c r="B6" s="191" t="s">
        <v>381</v>
      </c>
      <c r="C6" s="191"/>
      <c r="F6" s="191" t="s">
        <v>390</v>
      </c>
      <c r="G6" s="191"/>
    </row>
    <row r="7" spans="2:7" x14ac:dyDescent="0.2">
      <c r="B7" s="191" t="s">
        <v>382</v>
      </c>
      <c r="C7" s="191"/>
      <c r="F7" s="191" t="s">
        <v>391</v>
      </c>
      <c r="G7" s="191"/>
    </row>
    <row r="8" spans="2:7" x14ac:dyDescent="0.2">
      <c r="B8" s="191" t="s">
        <v>383</v>
      </c>
      <c r="C8" s="191"/>
      <c r="F8" s="191" t="s">
        <v>385</v>
      </c>
      <c r="G8" s="191"/>
    </row>
    <row r="9" spans="2:7" x14ac:dyDescent="0.2">
      <c r="B9" s="191" t="s">
        <v>384</v>
      </c>
      <c r="C9" s="191"/>
      <c r="F9" s="191" t="s">
        <v>392</v>
      </c>
      <c r="G9" s="191"/>
    </row>
    <row r="10" spans="2:7" x14ac:dyDescent="0.2">
      <c r="B10" s="191" t="s">
        <v>385</v>
      </c>
      <c r="C10" s="191"/>
      <c r="F10" s="191"/>
      <c r="G10" s="191"/>
    </row>
    <row r="11" spans="2:7" x14ac:dyDescent="0.2">
      <c r="B11" s="191" t="s">
        <v>386</v>
      </c>
      <c r="C11" s="191"/>
      <c r="F11" s="191"/>
      <c r="G11" s="191"/>
    </row>
    <row r="12" spans="2:7" x14ac:dyDescent="0.2">
      <c r="B12" s="191" t="s">
        <v>387</v>
      </c>
      <c r="C12" s="191"/>
      <c r="F12" s="191"/>
      <c r="G12" s="191"/>
    </row>
    <row r="13" spans="2:7" x14ac:dyDescent="0.2">
      <c r="B13" s="191"/>
      <c r="C13" s="191"/>
      <c r="F13" s="191"/>
      <c r="G13" s="191"/>
    </row>
  </sheetData>
  <mergeCells count="2">
    <mergeCell ref="B3:C3"/>
    <mergeCell ref="F3: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4" t="s">
        <v>27</v>
      </c>
      <c r="K5" s="184"/>
      <c r="M5" s="184" t="s">
        <v>65</v>
      </c>
      <c r="N5" s="18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4" t="s">
        <v>36</v>
      </c>
      <c r="K14" s="184"/>
      <c r="L14" s="18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84" t="s">
        <v>27</v>
      </c>
      <c r="S5" s="184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4" t="s">
        <v>36</v>
      </c>
      <c r="S14" s="184"/>
      <c r="T14" s="184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84" t="s">
        <v>27</v>
      </c>
      <c r="C2" s="184"/>
      <c r="E2" s="184" t="s">
        <v>65</v>
      </c>
      <c r="F2" s="184"/>
      <c r="H2" s="188" t="s">
        <v>36</v>
      </c>
      <c r="I2" s="18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85" t="s">
        <v>68</v>
      </c>
      <c r="E10" s="186"/>
      <c r="F10" s="186"/>
      <c r="G10" s="186"/>
      <c r="H10" s="187"/>
      <c r="I10" s="185" t="s">
        <v>72</v>
      </c>
      <c r="J10" s="186"/>
      <c r="K10" s="186"/>
      <c r="L10" s="18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4. Analysis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2014-04-27T05:50:50Z</dcterms:modified>
</cp:coreProperties>
</file>
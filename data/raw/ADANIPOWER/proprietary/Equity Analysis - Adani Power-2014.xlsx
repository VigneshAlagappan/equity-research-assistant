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47" i="18"/>
  <c r="G46"/>
  <c r="G45"/>
  <c r="G44"/>
  <c r="Q43"/>
  <c r="P43"/>
  <c r="O43"/>
  <c r="N43"/>
  <c r="M43"/>
  <c r="L43"/>
  <c r="K43"/>
  <c r="J43"/>
  <c r="I43"/>
  <c r="G42"/>
  <c r="H43" s="1"/>
  <c r="Q41"/>
  <c r="P41"/>
  <c r="O41"/>
  <c r="N41"/>
  <c r="M41"/>
  <c r="L41"/>
  <c r="K41"/>
  <c r="J41"/>
  <c r="I41"/>
  <c r="G40"/>
  <c r="H41" s="1"/>
  <c r="Q39"/>
  <c r="P39"/>
  <c r="O39"/>
  <c r="N39"/>
  <c r="M39"/>
  <c r="L39"/>
  <c r="K39"/>
  <c r="J39"/>
  <c r="I39"/>
  <c r="G38"/>
  <c r="H39" s="1"/>
  <c r="Q37"/>
  <c r="P37"/>
  <c r="O37"/>
  <c r="N37"/>
  <c r="M37"/>
  <c r="L37"/>
  <c r="K37"/>
  <c r="J37"/>
  <c r="I37"/>
  <c r="G36"/>
  <c r="H37" s="1"/>
  <c r="G34"/>
  <c r="G33"/>
  <c r="G32"/>
  <c r="G31"/>
  <c r="Q30"/>
  <c r="P30"/>
  <c r="O30"/>
  <c r="N30"/>
  <c r="M30"/>
  <c r="L30"/>
  <c r="K30"/>
  <c r="J30"/>
  <c r="I30"/>
  <c r="G29"/>
  <c r="H30" s="1"/>
  <c r="Q28"/>
  <c r="P28"/>
  <c r="O28"/>
  <c r="N28"/>
  <c r="M28"/>
  <c r="L28"/>
  <c r="K28"/>
  <c r="J28"/>
  <c r="I28"/>
  <c r="G27"/>
  <c r="H28" s="1"/>
  <c r="Q26"/>
  <c r="P26"/>
  <c r="O26"/>
  <c r="N26"/>
  <c r="M26"/>
  <c r="L26"/>
  <c r="K26"/>
  <c r="J26"/>
  <c r="I26"/>
  <c r="G25"/>
  <c r="H26" s="1"/>
  <c r="G23"/>
  <c r="G22"/>
  <c r="G21"/>
  <c r="G20"/>
  <c r="G18"/>
  <c r="G16"/>
  <c r="G15"/>
  <c r="G14"/>
  <c r="G13"/>
  <c r="M12"/>
  <c r="G12"/>
  <c r="Q11"/>
  <c r="P11"/>
  <c r="O11"/>
  <c r="N11"/>
  <c r="M11"/>
  <c r="L11"/>
  <c r="K11"/>
  <c r="J11"/>
  <c r="I11"/>
  <c r="G10"/>
  <c r="H11" s="1"/>
  <c r="G9"/>
  <c r="Q8"/>
  <c r="P8"/>
  <c r="O8"/>
  <c r="N8"/>
  <c r="M8"/>
  <c r="L8"/>
  <c r="K8"/>
  <c r="J8"/>
  <c r="I8"/>
  <c r="G7"/>
  <c r="H8" s="1"/>
  <c r="G6"/>
  <c r="G8" l="1"/>
  <c r="G26"/>
  <c r="G28"/>
  <c r="G30"/>
  <c r="G37"/>
  <c r="G39"/>
  <c r="G41"/>
  <c r="G43"/>
  <c r="G11"/>
  <c r="C1"/>
  <c r="AE55" l="1"/>
  <c r="AE54"/>
  <c r="AE52"/>
  <c r="G55"/>
  <c r="G179" s="1"/>
  <c r="H55"/>
  <c r="H179" s="1"/>
  <c r="I55"/>
  <c r="I179" s="1"/>
  <c r="J55"/>
  <c r="J179" s="1"/>
  <c r="K55"/>
  <c r="K179" s="1"/>
  <c r="L55"/>
  <c r="L179" s="1"/>
  <c r="M55"/>
  <c r="M179" s="1"/>
  <c r="N55"/>
  <c r="N179" s="1"/>
  <c r="O55"/>
  <c r="O179" s="1"/>
  <c r="P55"/>
  <c r="Q55"/>
  <c r="Q179" s="1"/>
  <c r="R54"/>
  <c r="G54"/>
  <c r="G178" s="1"/>
  <c r="H54"/>
  <c r="H178" s="1"/>
  <c r="I54"/>
  <c r="I178" s="1"/>
  <c r="J54"/>
  <c r="J178" s="1"/>
  <c r="K54"/>
  <c r="K178" s="1"/>
  <c r="L54"/>
  <c r="L178" s="1"/>
  <c r="M54"/>
  <c r="M178" s="1"/>
  <c r="N54"/>
  <c r="N178" s="1"/>
  <c r="O54"/>
  <c r="O178" s="1"/>
  <c r="P54"/>
  <c r="P178" s="1"/>
  <c r="Q54"/>
  <c r="Q178" s="1"/>
  <c r="R55" l="1"/>
  <c r="P179"/>
  <c r="R179" s="1"/>
  <c r="R178"/>
  <c r="G121" l="1"/>
  <c r="H121"/>
  <c r="I121"/>
  <c r="J121"/>
  <c r="K121"/>
  <c r="L121"/>
  <c r="M121"/>
  <c r="N121"/>
  <c r="O121"/>
  <c r="P121"/>
  <c r="R121" s="1"/>
  <c r="Q121"/>
  <c r="Q120"/>
  <c r="H214" l="1"/>
  <c r="H211"/>
  <c r="H212"/>
  <c r="H213"/>
  <c r="Q203" l="1"/>
  <c r="Q202"/>
  <c r="Q201"/>
  <c r="Q185"/>
  <c r="Q50"/>
  <c r="Q176" s="1"/>
  <c r="Q51"/>
  <c r="Q52"/>
  <c r="Q93" s="1"/>
  <c r="Q56"/>
  <c r="P198" s="1"/>
  <c r="Q57"/>
  <c r="Q58"/>
  <c r="Q59"/>
  <c r="Q180" s="1"/>
  <c r="Q60"/>
  <c r="Q62"/>
  <c r="Q63"/>
  <c r="Q64"/>
  <c r="Q183" s="1"/>
  <c r="Q66"/>
  <c r="Q67"/>
  <c r="Q69"/>
  <c r="Q70"/>
  <c r="Q182" s="1"/>
  <c r="Q72"/>
  <c r="Q74"/>
  <c r="Q76" s="1"/>
  <c r="Q77"/>
  <c r="Q78"/>
  <c r="Q79"/>
  <c r="Q80"/>
  <c r="Q82"/>
  <c r="Q138" s="1"/>
  <c r="Q83"/>
  <c r="Q84"/>
  <c r="Q88"/>
  <c r="Q89"/>
  <c r="Q90"/>
  <c r="Q91"/>
  <c r="Q92"/>
  <c r="Q95"/>
  <c r="Q101" s="1"/>
  <c r="Q96"/>
  <c r="Q97"/>
  <c r="Q103" s="1"/>
  <c r="Q98"/>
  <c r="Q104" s="1"/>
  <c r="Q99"/>
  <c r="Q105" s="1"/>
  <c r="Q102"/>
  <c r="Q108"/>
  <c r="Q109"/>
  <c r="Q110"/>
  <c r="Q111"/>
  <c r="Q113"/>
  <c r="Q114" s="1"/>
  <c r="Q119"/>
  <c r="Q123"/>
  <c r="Q124"/>
  <c r="Q125"/>
  <c r="Q128"/>
  <c r="Q129"/>
  <c r="Q130"/>
  <c r="Q131"/>
  <c r="Q133"/>
  <c r="Q134"/>
  <c r="Q136"/>
  <c r="Q137" s="1"/>
  <c r="Q140"/>
  <c r="Q141"/>
  <c r="T17"/>
  <c r="T19"/>
  <c r="T24"/>
  <c r="T35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198" l="1"/>
  <c r="Q177"/>
  <c r="Q186" s="1"/>
  <c r="Q187" s="1"/>
  <c r="Q68"/>
  <c r="Q181" s="1"/>
  <c r="Q115"/>
  <c r="Q116" s="1"/>
  <c r="Q117"/>
  <c r="Q184"/>
  <c r="L93"/>
  <c r="H52"/>
  <c r="H93" s="1"/>
  <c r="I52"/>
  <c r="I93" s="1"/>
  <c r="J52"/>
  <c r="J93" s="1"/>
  <c r="K52"/>
  <c r="K93" s="1"/>
  <c r="L52"/>
  <c r="M52"/>
  <c r="M93" s="1"/>
  <c r="N52"/>
  <c r="N93" s="1"/>
  <c r="O52"/>
  <c r="O93" s="1"/>
  <c r="P52"/>
  <c r="P93" s="1"/>
  <c r="G52"/>
  <c r="G93" s="1"/>
  <c r="H198" l="1"/>
  <c r="R93"/>
  <c r="R52"/>
  <c r="S44"/>
  <c r="T44" s="1"/>
  <c r="T42"/>
  <c r="K194" l="1"/>
  <c r="K193"/>
  <c r="K192"/>
  <c r="K191"/>
  <c r="AE38" l="1"/>
  <c r="S38"/>
  <c r="T38" l="1"/>
  <c r="T55" s="1"/>
  <c r="U38" l="1"/>
  <c r="K198"/>
  <c r="T198" s="1"/>
  <c r="T199" s="1"/>
  <c r="K197"/>
  <c r="V38" l="1"/>
  <c r="U212"/>
  <c r="U213" s="1"/>
  <c r="D210"/>
  <c r="G224" s="1"/>
  <c r="K224" s="1"/>
  <c r="H210"/>
  <c r="L108"/>
  <c r="J108"/>
  <c r="H108"/>
  <c r="G108"/>
  <c r="I108"/>
  <c r="K108"/>
  <c r="M108"/>
  <c r="N108"/>
  <c r="O108"/>
  <c r="P108"/>
  <c r="H141"/>
  <c r="I141"/>
  <c r="J141"/>
  <c r="K141"/>
  <c r="L141"/>
  <c r="M141"/>
  <c r="N141"/>
  <c r="O141"/>
  <c r="P141"/>
  <c r="H140"/>
  <c r="I140"/>
  <c r="J140"/>
  <c r="K140"/>
  <c r="L140"/>
  <c r="M140"/>
  <c r="N140"/>
  <c r="O140"/>
  <c r="P140"/>
  <c r="G228"/>
  <c r="G229" s="1"/>
  <c r="AE57"/>
  <c r="H57"/>
  <c r="I57"/>
  <c r="J57"/>
  <c r="K57"/>
  <c r="L57"/>
  <c r="M57"/>
  <c r="N57"/>
  <c r="O57"/>
  <c r="P57"/>
  <c r="G57"/>
  <c r="H219"/>
  <c r="D218"/>
  <c r="G225" s="1"/>
  <c r="K225" s="1"/>
  <c r="H217"/>
  <c r="I217" s="1"/>
  <c r="J217" s="1"/>
  <c r="J218" s="1"/>
  <c r="H215"/>
  <c r="H209"/>
  <c r="H208"/>
  <c r="I208" s="1"/>
  <c r="J208" s="1"/>
  <c r="W38" l="1"/>
  <c r="G230"/>
  <c r="G227"/>
  <c r="D220"/>
  <c r="K228"/>
  <c r="R57"/>
  <c r="K227"/>
  <c r="I209"/>
  <c r="J209" s="1"/>
  <c r="I219"/>
  <c r="J219" s="1"/>
  <c r="J220" s="1"/>
  <c r="H92"/>
  <c r="I92"/>
  <c r="J92"/>
  <c r="K92"/>
  <c r="L92"/>
  <c r="M92"/>
  <c r="N92"/>
  <c r="O92"/>
  <c r="P92"/>
  <c r="G92"/>
  <c r="G141"/>
  <c r="G140"/>
  <c r="AE14"/>
  <c r="S14"/>
  <c r="U209"/>
  <c r="U208"/>
  <c r="O209"/>
  <c r="O212" s="1"/>
  <c r="O208"/>
  <c r="H99"/>
  <c r="H105" s="1"/>
  <c r="I99"/>
  <c r="I105" s="1"/>
  <c r="J99"/>
  <c r="J105" s="1"/>
  <c r="K99"/>
  <c r="K105" s="1"/>
  <c r="L99"/>
  <c r="L105" s="1"/>
  <c r="M99"/>
  <c r="M105" s="1"/>
  <c r="N99"/>
  <c r="N105" s="1"/>
  <c r="O99"/>
  <c r="O105" s="1"/>
  <c r="P99"/>
  <c r="P105" s="1"/>
  <c r="G99"/>
  <c r="G105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136"/>
  <c r="H137" s="1"/>
  <c r="I136"/>
  <c r="I137" s="1"/>
  <c r="J136"/>
  <c r="J137" s="1"/>
  <c r="K136"/>
  <c r="K137" s="1"/>
  <c r="L136"/>
  <c r="L137" s="1"/>
  <c r="M136"/>
  <c r="M137" s="1"/>
  <c r="N136"/>
  <c r="N137" s="1"/>
  <c r="O136"/>
  <c r="O137" s="1"/>
  <c r="P136"/>
  <c r="P137" s="1"/>
  <c r="G136"/>
  <c r="G137" s="1"/>
  <c r="X38" l="1"/>
  <c r="R105"/>
  <c r="R102"/>
  <c r="T14"/>
  <c r="U14" s="1"/>
  <c r="V14" s="1"/>
  <c r="W14" s="1"/>
  <c r="X14" s="1"/>
  <c r="Y14" s="1"/>
  <c r="Z14" s="1"/>
  <c r="AA14" s="1"/>
  <c r="AB14" s="1"/>
  <c r="AC14" s="1"/>
  <c r="R103"/>
  <c r="I210"/>
  <c r="J210" s="1"/>
  <c r="R140"/>
  <c r="R141"/>
  <c r="R92"/>
  <c r="R99"/>
  <c r="R96"/>
  <c r="R137"/>
  <c r="R136"/>
  <c r="R97"/>
  <c r="P91"/>
  <c r="P90"/>
  <c r="H91"/>
  <c r="I91"/>
  <c r="J91"/>
  <c r="K91"/>
  <c r="L91"/>
  <c r="M91"/>
  <c r="N91"/>
  <c r="O91"/>
  <c r="G91"/>
  <c r="G90"/>
  <c r="H134"/>
  <c r="I134"/>
  <c r="J134"/>
  <c r="K134"/>
  <c r="L134"/>
  <c r="M134"/>
  <c r="N134"/>
  <c r="O134"/>
  <c r="P134"/>
  <c r="G134"/>
  <c r="H133"/>
  <c r="I133"/>
  <c r="J133"/>
  <c r="K133"/>
  <c r="L133"/>
  <c r="M133"/>
  <c r="N133"/>
  <c r="O133"/>
  <c r="P133"/>
  <c r="G133"/>
  <c r="H130"/>
  <c r="I130"/>
  <c r="J130"/>
  <c r="K130"/>
  <c r="L130"/>
  <c r="M130"/>
  <c r="N130"/>
  <c r="O130"/>
  <c r="P130"/>
  <c r="G130"/>
  <c r="H131"/>
  <c r="I131"/>
  <c r="J131"/>
  <c r="K131"/>
  <c r="L131"/>
  <c r="M131"/>
  <c r="N131"/>
  <c r="O131"/>
  <c r="P131"/>
  <c r="G131"/>
  <c r="H129"/>
  <c r="I129"/>
  <c r="J129"/>
  <c r="K129"/>
  <c r="L129"/>
  <c r="M129"/>
  <c r="N129"/>
  <c r="O129"/>
  <c r="P129"/>
  <c r="G129"/>
  <c r="H128"/>
  <c r="I128"/>
  <c r="J128"/>
  <c r="K128"/>
  <c r="L128"/>
  <c r="M128"/>
  <c r="N128"/>
  <c r="O128"/>
  <c r="P128"/>
  <c r="G128"/>
  <c r="S175"/>
  <c r="H125"/>
  <c r="I125"/>
  <c r="J125"/>
  <c r="K125"/>
  <c r="L125"/>
  <c r="M125"/>
  <c r="N125"/>
  <c r="O125"/>
  <c r="P125"/>
  <c r="G125"/>
  <c r="H124"/>
  <c r="I124"/>
  <c r="J124"/>
  <c r="K124"/>
  <c r="L124"/>
  <c r="M124"/>
  <c r="N124"/>
  <c r="O124"/>
  <c r="P124"/>
  <c r="G124"/>
  <c r="H123"/>
  <c r="I123"/>
  <c r="J123"/>
  <c r="K123"/>
  <c r="L123"/>
  <c r="M123"/>
  <c r="N123"/>
  <c r="O123"/>
  <c r="P123"/>
  <c r="G123"/>
  <c r="B125"/>
  <c r="B124"/>
  <c r="AE32"/>
  <c r="S32"/>
  <c r="G111"/>
  <c r="H111"/>
  <c r="I111"/>
  <c r="J111"/>
  <c r="K111"/>
  <c r="L111"/>
  <c r="M111"/>
  <c r="N111"/>
  <c r="O111"/>
  <c r="P111"/>
  <c r="T213"/>
  <c r="N212"/>
  <c r="T210"/>
  <c r="U210" s="1"/>
  <c r="U215" s="1"/>
  <c r="N210"/>
  <c r="O210" s="1"/>
  <c r="O215" s="1"/>
  <c r="H120"/>
  <c r="I120"/>
  <c r="J120"/>
  <c r="K120"/>
  <c r="L120"/>
  <c r="M120"/>
  <c r="N120"/>
  <c r="O120"/>
  <c r="P120"/>
  <c r="G120"/>
  <c r="H119"/>
  <c r="I119"/>
  <c r="J119"/>
  <c r="K119"/>
  <c r="L119"/>
  <c r="M119"/>
  <c r="N119"/>
  <c r="O119"/>
  <c r="P119"/>
  <c r="G119"/>
  <c r="I211" l="1"/>
  <c r="J211" s="1"/>
  <c r="I212" s="1"/>
  <c r="J212" s="1"/>
  <c r="I213" s="1"/>
  <c r="J213" s="1"/>
  <c r="I214" s="1"/>
  <c r="J214" s="1"/>
  <c r="I215" s="1"/>
  <c r="J215" s="1"/>
  <c r="J216" s="1"/>
  <c r="Y38"/>
  <c r="AD14"/>
  <c r="AF14"/>
  <c r="T32"/>
  <c r="U32" s="1"/>
  <c r="V32" s="1"/>
  <c r="W32" s="1"/>
  <c r="X32" s="1"/>
  <c r="Y32" s="1"/>
  <c r="Z32" s="1"/>
  <c r="AA32" s="1"/>
  <c r="AB32" s="1"/>
  <c r="AC32" s="1"/>
  <c r="AD32" s="1"/>
  <c r="R131"/>
  <c r="R91"/>
  <c r="R128"/>
  <c r="R134"/>
  <c r="R133"/>
  <c r="R129"/>
  <c r="R130"/>
  <c r="R123"/>
  <c r="R124"/>
  <c r="R125"/>
  <c r="R111"/>
  <c r="N215"/>
  <c r="T215"/>
  <c r="R120"/>
  <c r="R119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T54" s="1"/>
  <c r="S40"/>
  <c r="T40" s="1"/>
  <c r="T52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6"/>
  <c r="AE58"/>
  <c r="AE59"/>
  <c r="AE60"/>
  <c r="AE62"/>
  <c r="AE63"/>
  <c r="AE64"/>
  <c r="AE66"/>
  <c r="AE67"/>
  <c r="AE68"/>
  <c r="AE69"/>
  <c r="AE71"/>
  <c r="AE72"/>
  <c r="AE74"/>
  <c r="AE76"/>
  <c r="AE77"/>
  <c r="AE78"/>
  <c r="AE79"/>
  <c r="AE80"/>
  <c r="AE82"/>
  <c r="AE83"/>
  <c r="AE84"/>
  <c r="AE7"/>
  <c r="AE6"/>
  <c r="Z38" l="1"/>
  <c r="AF32"/>
  <c r="T93"/>
  <c r="T31"/>
  <c r="R108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H98"/>
  <c r="H104" s="1"/>
  <c r="I98"/>
  <c r="I104" s="1"/>
  <c r="J98"/>
  <c r="J104" s="1"/>
  <c r="K98"/>
  <c r="K104" s="1"/>
  <c r="L98"/>
  <c r="L104" s="1"/>
  <c r="M98"/>
  <c r="M104" s="1"/>
  <c r="N98"/>
  <c r="N104" s="1"/>
  <c r="O98"/>
  <c r="O104" s="1"/>
  <c r="P98"/>
  <c r="P104" s="1"/>
  <c r="G98"/>
  <c r="G104" s="1"/>
  <c r="G95"/>
  <c r="G101" s="1"/>
  <c r="AA38" l="1"/>
  <c r="U31"/>
  <c r="T121"/>
  <c r="R101"/>
  <c r="R104"/>
  <c r="U29"/>
  <c r="R98"/>
  <c r="R95"/>
  <c r="H110"/>
  <c r="I110"/>
  <c r="J110"/>
  <c r="K110"/>
  <c r="L110"/>
  <c r="M110"/>
  <c r="N110"/>
  <c r="O110"/>
  <c r="P110"/>
  <c r="G110"/>
  <c r="H109"/>
  <c r="I109"/>
  <c r="J109"/>
  <c r="K109"/>
  <c r="L109"/>
  <c r="M109"/>
  <c r="N109"/>
  <c r="O109"/>
  <c r="P109"/>
  <c r="G109"/>
  <c r="AB38" l="1"/>
  <c r="V31"/>
  <c r="V29"/>
  <c r="R109"/>
  <c r="R110"/>
  <c r="AF71"/>
  <c r="AC38" l="1"/>
  <c r="W31"/>
  <c r="W29"/>
  <c r="G185"/>
  <c r="H185"/>
  <c r="I185"/>
  <c r="J185"/>
  <c r="K185"/>
  <c r="L185"/>
  <c r="M185"/>
  <c r="N185"/>
  <c r="O185"/>
  <c r="P185"/>
  <c r="C9" i="15"/>
  <c r="G72" i="18"/>
  <c r="G113" s="1"/>
  <c r="G114" s="1"/>
  <c r="G117" s="1"/>
  <c r="H72"/>
  <c r="H113" s="1"/>
  <c r="H114" s="1"/>
  <c r="H117" s="1"/>
  <c r="I72"/>
  <c r="I113" s="1"/>
  <c r="I114" s="1"/>
  <c r="I117" s="1"/>
  <c r="J72"/>
  <c r="J113" s="1"/>
  <c r="J114" s="1"/>
  <c r="J117" s="1"/>
  <c r="K72"/>
  <c r="K113" s="1"/>
  <c r="K114" s="1"/>
  <c r="K117" s="1"/>
  <c r="L72"/>
  <c r="L113" s="1"/>
  <c r="L114" s="1"/>
  <c r="L117" s="1"/>
  <c r="M72"/>
  <c r="M113" s="1"/>
  <c r="M114" s="1"/>
  <c r="M117" s="1"/>
  <c r="N72"/>
  <c r="N113" s="1"/>
  <c r="N114" s="1"/>
  <c r="N117" s="1"/>
  <c r="O72"/>
  <c r="O113" s="1"/>
  <c r="O114" s="1"/>
  <c r="O117" s="1"/>
  <c r="P72"/>
  <c r="P113" s="1"/>
  <c r="AD38" l="1"/>
  <c r="AF38"/>
  <c r="X31"/>
  <c r="T72"/>
  <c r="T113" s="1"/>
  <c r="T114" s="1"/>
  <c r="T117" s="1"/>
  <c r="X29"/>
  <c r="R185"/>
  <c r="N115"/>
  <c r="N116" s="1"/>
  <c r="J115"/>
  <c r="J116" s="1"/>
  <c r="L115"/>
  <c r="L116" s="1"/>
  <c r="H115"/>
  <c r="H116" s="1"/>
  <c r="M115"/>
  <c r="M116" s="1"/>
  <c r="I115"/>
  <c r="I116" s="1"/>
  <c r="O115"/>
  <c r="O116" s="1"/>
  <c r="K115"/>
  <c r="K116" s="1"/>
  <c r="G115"/>
  <c r="G116" s="1"/>
  <c r="P114"/>
  <c r="P117" s="1"/>
  <c r="R117" s="1"/>
  <c r="R113"/>
  <c r="U44"/>
  <c r="Y31" l="1"/>
  <c r="V44"/>
  <c r="Y29"/>
  <c r="P115"/>
  <c r="R114"/>
  <c r="U72"/>
  <c r="G82"/>
  <c r="G138" s="1"/>
  <c r="H82"/>
  <c r="H138" s="1"/>
  <c r="I82"/>
  <c r="I138" s="1"/>
  <c r="J82"/>
  <c r="J138" s="1"/>
  <c r="K82"/>
  <c r="K138" s="1"/>
  <c r="L82"/>
  <c r="L138" s="1"/>
  <c r="M82"/>
  <c r="M138" s="1"/>
  <c r="N82"/>
  <c r="N138" s="1"/>
  <c r="O82"/>
  <c r="O138" s="1"/>
  <c r="G83"/>
  <c r="H83"/>
  <c r="I83"/>
  <c r="J83"/>
  <c r="K83"/>
  <c r="L83"/>
  <c r="M83"/>
  <c r="N83"/>
  <c r="O83"/>
  <c r="G84"/>
  <c r="H84"/>
  <c r="I84"/>
  <c r="J84"/>
  <c r="K84"/>
  <c r="L84"/>
  <c r="M84"/>
  <c r="N84"/>
  <c r="O84"/>
  <c r="P84"/>
  <c r="P83"/>
  <c r="P82"/>
  <c r="P138" s="1"/>
  <c r="H90"/>
  <c r="I90"/>
  <c r="J90"/>
  <c r="K90"/>
  <c r="L90"/>
  <c r="M90"/>
  <c r="N90"/>
  <c r="O90"/>
  <c r="G89"/>
  <c r="H89"/>
  <c r="I89"/>
  <c r="J89"/>
  <c r="K89"/>
  <c r="L89"/>
  <c r="M89"/>
  <c r="N89"/>
  <c r="O89"/>
  <c r="G88"/>
  <c r="H88"/>
  <c r="I88"/>
  <c r="J88"/>
  <c r="K88"/>
  <c r="L88"/>
  <c r="M88"/>
  <c r="N88"/>
  <c r="O88"/>
  <c r="P89"/>
  <c r="Z31" l="1"/>
  <c r="W44"/>
  <c r="V72"/>
  <c r="R138"/>
  <c r="Z29"/>
  <c r="R84"/>
  <c r="R82"/>
  <c r="R83"/>
  <c r="R89"/>
  <c r="R90"/>
  <c r="P88"/>
  <c r="R88" s="1"/>
  <c r="H203"/>
  <c r="I203"/>
  <c r="J203"/>
  <c r="K203"/>
  <c r="L203"/>
  <c r="M203"/>
  <c r="N203"/>
  <c r="O203"/>
  <c r="P203"/>
  <c r="G203"/>
  <c r="H202"/>
  <c r="I202"/>
  <c r="J202"/>
  <c r="K202"/>
  <c r="L202"/>
  <c r="M202"/>
  <c r="N202"/>
  <c r="O202"/>
  <c r="P202"/>
  <c r="G202"/>
  <c r="H201"/>
  <c r="I201"/>
  <c r="J201"/>
  <c r="K201"/>
  <c r="L201"/>
  <c r="M201"/>
  <c r="N201"/>
  <c r="O201"/>
  <c r="P201"/>
  <c r="G201"/>
  <c r="H51"/>
  <c r="I51"/>
  <c r="J51"/>
  <c r="K51"/>
  <c r="L51"/>
  <c r="M51"/>
  <c r="N51"/>
  <c r="O51"/>
  <c r="P51"/>
  <c r="G51"/>
  <c r="G56"/>
  <c r="H50"/>
  <c r="H176" s="1"/>
  <c r="I50"/>
  <c r="I176" s="1"/>
  <c r="J50"/>
  <c r="J176" s="1"/>
  <c r="K50"/>
  <c r="K176" s="1"/>
  <c r="L50"/>
  <c r="L176" s="1"/>
  <c r="M50"/>
  <c r="M176" s="1"/>
  <c r="N50"/>
  <c r="N176" s="1"/>
  <c r="O50"/>
  <c r="O176" s="1"/>
  <c r="P50"/>
  <c r="P176" s="1"/>
  <c r="G50"/>
  <c r="G176" s="1"/>
  <c r="T96"/>
  <c r="T102" s="1"/>
  <c r="AA31" l="1"/>
  <c r="G184"/>
  <c r="X44"/>
  <c r="W72"/>
  <c r="R176"/>
  <c r="AA29"/>
  <c r="U36"/>
  <c r="R203"/>
  <c r="R51"/>
  <c r="R50"/>
  <c r="R202"/>
  <c r="R201"/>
  <c r="U96" l="1"/>
  <c r="U102" s="1"/>
  <c r="AB31"/>
  <c r="Y44"/>
  <c r="X72"/>
  <c r="AB29"/>
  <c r="V36"/>
  <c r="I79"/>
  <c r="J79"/>
  <c r="K79"/>
  <c r="L79"/>
  <c r="M79"/>
  <c r="N79"/>
  <c r="O79"/>
  <c r="P79"/>
  <c r="I80"/>
  <c r="J80"/>
  <c r="K80"/>
  <c r="L80"/>
  <c r="M80"/>
  <c r="N80"/>
  <c r="O80"/>
  <c r="P80"/>
  <c r="I74"/>
  <c r="I76" s="1"/>
  <c r="J74"/>
  <c r="J76" s="1"/>
  <c r="K74"/>
  <c r="K76" s="1"/>
  <c r="L74"/>
  <c r="L76" s="1"/>
  <c r="M74"/>
  <c r="M76" s="1"/>
  <c r="N74"/>
  <c r="N76" s="1"/>
  <c r="O74"/>
  <c r="O76" s="1"/>
  <c r="P74"/>
  <c r="P76" s="1"/>
  <c r="I77"/>
  <c r="J77"/>
  <c r="K77"/>
  <c r="L77"/>
  <c r="M77"/>
  <c r="N77"/>
  <c r="O77"/>
  <c r="P77"/>
  <c r="I78"/>
  <c r="J78"/>
  <c r="K78"/>
  <c r="L78"/>
  <c r="M78"/>
  <c r="N78"/>
  <c r="O78"/>
  <c r="P78"/>
  <c r="G77"/>
  <c r="G78"/>
  <c r="G79"/>
  <c r="G80"/>
  <c r="H80"/>
  <c r="H79"/>
  <c r="U22"/>
  <c r="V22" s="1"/>
  <c r="W22" s="1"/>
  <c r="X22" s="1"/>
  <c r="Y22" s="1"/>
  <c r="Z22" s="1"/>
  <c r="AA22" s="1"/>
  <c r="AB22" s="1"/>
  <c r="AC22" s="1"/>
  <c r="G74"/>
  <c r="G76" s="1"/>
  <c r="H74"/>
  <c r="H76" s="1"/>
  <c r="H78"/>
  <c r="H77"/>
  <c r="V96" l="1"/>
  <c r="V102" s="1"/>
  <c r="AC31"/>
  <c r="AD31" s="1"/>
  <c r="Z44"/>
  <c r="Y72"/>
  <c r="U23"/>
  <c r="T99"/>
  <c r="T105" s="1"/>
  <c r="AC29"/>
  <c r="AD22"/>
  <c r="AF22"/>
  <c r="W36"/>
  <c r="R79"/>
  <c r="R80"/>
  <c r="R78"/>
  <c r="R76"/>
  <c r="R77"/>
  <c r="R74"/>
  <c r="T57"/>
  <c r="U21"/>
  <c r="R72"/>
  <c r="R175"/>
  <c r="AF31" l="1"/>
  <c r="W96"/>
  <c r="W102" s="1"/>
  <c r="Z72"/>
  <c r="AA44"/>
  <c r="V23"/>
  <c r="U99"/>
  <c r="U105" s="1"/>
  <c r="AF29"/>
  <c r="AD29"/>
  <c r="U20"/>
  <c r="T74"/>
  <c r="V21"/>
  <c r="C19" i="15"/>
  <c r="U9" i="18"/>
  <c r="V9" s="1"/>
  <c r="W9" s="1"/>
  <c r="X9" s="1"/>
  <c r="Y9" s="1"/>
  <c r="Z9" s="1"/>
  <c r="AA9" s="1"/>
  <c r="AB9" s="1"/>
  <c r="AC9" s="1"/>
  <c r="AF9" s="1"/>
  <c r="T92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O70"/>
  <c r="O182" s="1"/>
  <c r="O69"/>
  <c r="O67"/>
  <c r="O66"/>
  <c r="O64"/>
  <c r="O183" s="1"/>
  <c r="O63"/>
  <c r="O62"/>
  <c r="O60"/>
  <c r="O59"/>
  <c r="O180" s="1"/>
  <c r="O58"/>
  <c r="O56"/>
  <c r="X96" l="1"/>
  <c r="X102" s="1"/>
  <c r="AA72"/>
  <c r="AB44"/>
  <c r="U74"/>
  <c r="T130"/>
  <c r="T140"/>
  <c r="T131"/>
  <c r="T141"/>
  <c r="W23"/>
  <c r="V99"/>
  <c r="V105" s="1"/>
  <c r="T124"/>
  <c r="T125"/>
  <c r="T123"/>
  <c r="T111"/>
  <c r="P116"/>
  <c r="R116" s="1"/>
  <c r="R115"/>
  <c r="T95"/>
  <c r="T101" s="1"/>
  <c r="T120"/>
  <c r="T119"/>
  <c r="U18"/>
  <c r="O177"/>
  <c r="O186" s="1"/>
  <c r="O187" s="1"/>
  <c r="O184"/>
  <c r="V20"/>
  <c r="U27"/>
  <c r="Y36"/>
  <c r="U25"/>
  <c r="T88"/>
  <c r="W21"/>
  <c r="AD33"/>
  <c r="AD34"/>
  <c r="AD9"/>
  <c r="O68"/>
  <c r="O181" s="1"/>
  <c r="G64"/>
  <c r="G183" s="1"/>
  <c r="H64"/>
  <c r="H183" s="1"/>
  <c r="I64"/>
  <c r="I183" s="1"/>
  <c r="J64"/>
  <c r="J183" s="1"/>
  <c r="K64"/>
  <c r="K183" s="1"/>
  <c r="L64"/>
  <c r="L183" s="1"/>
  <c r="M64"/>
  <c r="M183" s="1"/>
  <c r="N64"/>
  <c r="N183" s="1"/>
  <c r="P64"/>
  <c r="Y96" l="1"/>
  <c r="Y102" s="1"/>
  <c r="U92"/>
  <c r="U121"/>
  <c r="AC44"/>
  <c r="AB72"/>
  <c r="U131"/>
  <c r="U141"/>
  <c r="U130"/>
  <c r="U140"/>
  <c r="X23"/>
  <c r="W99"/>
  <c r="W105" s="1"/>
  <c r="U123"/>
  <c r="U125"/>
  <c r="U124"/>
  <c r="U111"/>
  <c r="U95"/>
  <c r="U101" s="1"/>
  <c r="U120"/>
  <c r="U119"/>
  <c r="V18"/>
  <c r="W20"/>
  <c r="V74"/>
  <c r="V27"/>
  <c r="V25"/>
  <c r="V121" s="1"/>
  <c r="U88"/>
  <c r="Z36"/>
  <c r="X21"/>
  <c r="P183"/>
  <c r="R183" s="1"/>
  <c r="R64"/>
  <c r="G63"/>
  <c r="H63"/>
  <c r="I63"/>
  <c r="J63"/>
  <c r="K63"/>
  <c r="L63"/>
  <c r="M63"/>
  <c r="N63"/>
  <c r="P63"/>
  <c r="G62"/>
  <c r="H62"/>
  <c r="I62"/>
  <c r="J62"/>
  <c r="K62"/>
  <c r="L62"/>
  <c r="M62"/>
  <c r="N62"/>
  <c r="P62"/>
  <c r="Z96" l="1"/>
  <c r="Z102" s="1"/>
  <c r="AF44"/>
  <c r="AC72"/>
  <c r="AD44"/>
  <c r="V130"/>
  <c r="V140"/>
  <c r="V131"/>
  <c r="V141"/>
  <c r="V92"/>
  <c r="Y23"/>
  <c r="X99"/>
  <c r="X105" s="1"/>
  <c r="V125"/>
  <c r="V124"/>
  <c r="V123"/>
  <c r="V111"/>
  <c r="V95"/>
  <c r="V101" s="1"/>
  <c r="V120"/>
  <c r="V119"/>
  <c r="W18"/>
  <c r="X20"/>
  <c r="W74"/>
  <c r="W27"/>
  <c r="W25"/>
  <c r="V88"/>
  <c r="AA36"/>
  <c r="Y21"/>
  <c r="R62"/>
  <c r="R63"/>
  <c r="C46" i="15"/>
  <c r="AA96" i="18" l="1"/>
  <c r="AA102" s="1"/>
  <c r="W92"/>
  <c r="W121"/>
  <c r="T162"/>
  <c r="Q190" s="1"/>
  <c r="AF72"/>
  <c r="U162" s="1"/>
  <c r="AD72"/>
  <c r="W131"/>
  <c r="W141"/>
  <c r="W130"/>
  <c r="W140"/>
  <c r="Z23"/>
  <c r="Y99"/>
  <c r="Y105" s="1"/>
  <c r="W111"/>
  <c r="W125"/>
  <c r="W124"/>
  <c r="W123"/>
  <c r="W95"/>
  <c r="W101" s="1"/>
  <c r="W120"/>
  <c r="W119"/>
  <c r="X18"/>
  <c r="Y20"/>
  <c r="X74"/>
  <c r="X27"/>
  <c r="X25"/>
  <c r="X121" s="1"/>
  <c r="W88"/>
  <c r="AB36"/>
  <c r="Z21"/>
  <c r="T175"/>
  <c r="H56"/>
  <c r="R144" s="1"/>
  <c r="I56"/>
  <c r="J56"/>
  <c r="K56"/>
  <c r="L56"/>
  <c r="L184" s="1"/>
  <c r="M56"/>
  <c r="N56"/>
  <c r="N184" s="1"/>
  <c r="P56"/>
  <c r="G70"/>
  <c r="H70"/>
  <c r="H182" s="1"/>
  <c r="I70"/>
  <c r="I182" s="1"/>
  <c r="J70"/>
  <c r="J182" s="1"/>
  <c r="K70"/>
  <c r="K182" s="1"/>
  <c r="L70"/>
  <c r="L182" s="1"/>
  <c r="M70"/>
  <c r="M182" s="1"/>
  <c r="N70"/>
  <c r="P70"/>
  <c r="G69"/>
  <c r="H69"/>
  <c r="I69"/>
  <c r="J69"/>
  <c r="K69"/>
  <c r="L69"/>
  <c r="M69"/>
  <c r="N69"/>
  <c r="P69"/>
  <c r="G67"/>
  <c r="H67"/>
  <c r="I67"/>
  <c r="J67"/>
  <c r="K67"/>
  <c r="L67"/>
  <c r="M67"/>
  <c r="N67"/>
  <c r="P67"/>
  <c r="G66"/>
  <c r="H66"/>
  <c r="I66"/>
  <c r="J66"/>
  <c r="K66"/>
  <c r="L66"/>
  <c r="M66"/>
  <c r="N66"/>
  <c r="P66"/>
  <c r="G60"/>
  <c r="H60"/>
  <c r="I60"/>
  <c r="J60"/>
  <c r="K60"/>
  <c r="L60"/>
  <c r="M60"/>
  <c r="N60"/>
  <c r="P60"/>
  <c r="G59"/>
  <c r="H59"/>
  <c r="H180" s="1"/>
  <c r="I59"/>
  <c r="I180" s="1"/>
  <c r="J59"/>
  <c r="J180" s="1"/>
  <c r="K59"/>
  <c r="K180" s="1"/>
  <c r="L59"/>
  <c r="L180" s="1"/>
  <c r="M59"/>
  <c r="M180" s="1"/>
  <c r="N59"/>
  <c r="P59"/>
  <c r="G58"/>
  <c r="H58"/>
  <c r="I58"/>
  <c r="J58"/>
  <c r="K58"/>
  <c r="L58"/>
  <c r="M58"/>
  <c r="N58"/>
  <c r="P58"/>
  <c r="T128"/>
  <c r="T136"/>
  <c r="T137" s="1"/>
  <c r="T97"/>
  <c r="T103" s="1"/>
  <c r="T185" l="1"/>
  <c r="T179"/>
  <c r="T178"/>
  <c r="T197"/>
  <c r="T196" s="1"/>
  <c r="Q197"/>
  <c r="P197"/>
  <c r="AB96"/>
  <c r="AB102" s="1"/>
  <c r="T108"/>
  <c r="S162"/>
  <c r="P190" s="1"/>
  <c r="X130"/>
  <c r="X140"/>
  <c r="X92"/>
  <c r="X131"/>
  <c r="X141"/>
  <c r="AA23"/>
  <c r="Z99"/>
  <c r="Z105" s="1"/>
  <c r="T90"/>
  <c r="T91"/>
  <c r="T134"/>
  <c r="T133"/>
  <c r="T98"/>
  <c r="T104" s="1"/>
  <c r="T129"/>
  <c r="H184"/>
  <c r="H177"/>
  <c r="H186" s="1"/>
  <c r="H187" s="1"/>
  <c r="X111"/>
  <c r="X124"/>
  <c r="X123"/>
  <c r="X125"/>
  <c r="T110"/>
  <c r="T115"/>
  <c r="T116" s="1"/>
  <c r="X95"/>
  <c r="X101" s="1"/>
  <c r="X120"/>
  <c r="X119"/>
  <c r="T109"/>
  <c r="Y18"/>
  <c r="P177"/>
  <c r="P186" s="1"/>
  <c r="P184"/>
  <c r="R184" s="1"/>
  <c r="K177"/>
  <c r="K186" s="1"/>
  <c r="K187" s="1"/>
  <c r="K184"/>
  <c r="J177"/>
  <c r="J186" s="1"/>
  <c r="J187" s="1"/>
  <c r="J184"/>
  <c r="M177"/>
  <c r="M186" s="1"/>
  <c r="M187" s="1"/>
  <c r="M184"/>
  <c r="I177"/>
  <c r="I186" s="1"/>
  <c r="I187" s="1"/>
  <c r="I184"/>
  <c r="Z20"/>
  <c r="Y74"/>
  <c r="H68"/>
  <c r="H181" s="1"/>
  <c r="Y27"/>
  <c r="U12"/>
  <c r="U15"/>
  <c r="U128" s="1"/>
  <c r="U13"/>
  <c r="U10"/>
  <c r="U16"/>
  <c r="U136" s="1"/>
  <c r="U137" s="1"/>
  <c r="U6"/>
  <c r="U7"/>
  <c r="Y25"/>
  <c r="X88"/>
  <c r="U40"/>
  <c r="T89"/>
  <c r="AC36"/>
  <c r="L68"/>
  <c r="L181" s="1"/>
  <c r="K68"/>
  <c r="K181" s="1"/>
  <c r="J68"/>
  <c r="J181" s="1"/>
  <c r="AA21"/>
  <c r="U175"/>
  <c r="U185" s="1"/>
  <c r="I68"/>
  <c r="I181" s="1"/>
  <c r="R58"/>
  <c r="G180"/>
  <c r="R59"/>
  <c r="R60"/>
  <c r="R67"/>
  <c r="R69"/>
  <c r="G177"/>
  <c r="G186" s="1"/>
  <c r="G187" s="1"/>
  <c r="R56"/>
  <c r="G182"/>
  <c r="R70"/>
  <c r="G68"/>
  <c r="R66"/>
  <c r="N180"/>
  <c r="N177"/>
  <c r="N186" s="1"/>
  <c r="N187" s="1"/>
  <c r="N182"/>
  <c r="P180"/>
  <c r="L177"/>
  <c r="L186" s="1"/>
  <c r="L187" s="1"/>
  <c r="N68"/>
  <c r="M68"/>
  <c r="M181" s="1"/>
  <c r="P182"/>
  <c r="P68"/>
  <c r="T67"/>
  <c r="C6" i="12"/>
  <c r="C26" i="15"/>
  <c r="C58"/>
  <c r="C57"/>
  <c r="C54"/>
  <c r="C53"/>
  <c r="C50"/>
  <c r="C49"/>
  <c r="C45"/>
  <c r="Y92" i="18" l="1"/>
  <c r="Y121"/>
  <c r="P187"/>
  <c r="R186"/>
  <c r="U97"/>
  <c r="U103" s="1"/>
  <c r="U52"/>
  <c r="U93" s="1"/>
  <c r="U198"/>
  <c r="V198" s="1"/>
  <c r="W198" s="1"/>
  <c r="X198" s="1"/>
  <c r="Y198" s="1"/>
  <c r="Z198" s="1"/>
  <c r="AA198" s="1"/>
  <c r="AB198" s="1"/>
  <c r="AC198" s="1"/>
  <c r="AD198" s="1"/>
  <c r="AE198" s="1"/>
  <c r="AF198" s="1"/>
  <c r="AG198" s="1"/>
  <c r="AH198" s="1"/>
  <c r="AI198" s="1"/>
  <c r="AJ198" s="1"/>
  <c r="AK198" s="1"/>
  <c r="AL198" s="1"/>
  <c r="AM198" s="1"/>
  <c r="AN198" s="1"/>
  <c r="AO198" s="1"/>
  <c r="AP198" s="1"/>
  <c r="AQ198" s="1"/>
  <c r="AR198" s="1"/>
  <c r="AS198" s="1"/>
  <c r="AT198" s="1"/>
  <c r="U108"/>
  <c r="Y130"/>
  <c r="Y140"/>
  <c r="Y131"/>
  <c r="Y141"/>
  <c r="AF36"/>
  <c r="AC96"/>
  <c r="AB23"/>
  <c r="AA99"/>
  <c r="AA105" s="1"/>
  <c r="U134"/>
  <c r="U133"/>
  <c r="U98"/>
  <c r="U104" s="1"/>
  <c r="U129"/>
  <c r="U91"/>
  <c r="Y123"/>
  <c r="Y124"/>
  <c r="Y125"/>
  <c r="Y111"/>
  <c r="Y95"/>
  <c r="Y101" s="1"/>
  <c r="Y120"/>
  <c r="Y119"/>
  <c r="U109"/>
  <c r="U110"/>
  <c r="Z18"/>
  <c r="AA20"/>
  <c r="Z74"/>
  <c r="T66"/>
  <c r="T83"/>
  <c r="T62"/>
  <c r="T64"/>
  <c r="T183" s="1"/>
  <c r="T70"/>
  <c r="T182" s="1"/>
  <c r="T80"/>
  <c r="T82"/>
  <c r="T138" s="1"/>
  <c r="T51"/>
  <c r="T50"/>
  <c r="T176" s="1"/>
  <c r="T63"/>
  <c r="T59"/>
  <c r="T60"/>
  <c r="T69"/>
  <c r="T58"/>
  <c r="T84"/>
  <c r="T56"/>
  <c r="T184" s="1"/>
  <c r="Z27"/>
  <c r="V15"/>
  <c r="V128" s="1"/>
  <c r="V13"/>
  <c r="V12"/>
  <c r="T68"/>
  <c r="V16"/>
  <c r="V136" s="1"/>
  <c r="V137" s="1"/>
  <c r="V10"/>
  <c r="V7"/>
  <c r="V6"/>
  <c r="AD36"/>
  <c r="Z25"/>
  <c r="Y88"/>
  <c r="V40"/>
  <c r="U90"/>
  <c r="U89"/>
  <c r="U42"/>
  <c r="T77"/>
  <c r="T78"/>
  <c r="T79"/>
  <c r="T76"/>
  <c r="AB21"/>
  <c r="V175"/>
  <c r="V185" s="1"/>
  <c r="R180"/>
  <c r="R177"/>
  <c r="R182"/>
  <c r="G181"/>
  <c r="R68"/>
  <c r="N181"/>
  <c r="P181"/>
  <c r="C16" i="15"/>
  <c r="C21"/>
  <c r="C10"/>
  <c r="U55" i="18" l="1"/>
  <c r="U179" s="1"/>
  <c r="U54"/>
  <c r="U178" s="1"/>
  <c r="Z92"/>
  <c r="Z121"/>
  <c r="V97"/>
  <c r="V103" s="1"/>
  <c r="V52"/>
  <c r="V93" s="1"/>
  <c r="U199"/>
  <c r="V199" s="1"/>
  <c r="W199" s="1"/>
  <c r="X199" s="1"/>
  <c r="Y199" s="1"/>
  <c r="Z199" s="1"/>
  <c r="AA199" s="1"/>
  <c r="AB199" s="1"/>
  <c r="AC199" s="1"/>
  <c r="AD199" s="1"/>
  <c r="AE199" s="1"/>
  <c r="AF199" s="1"/>
  <c r="AG199" s="1"/>
  <c r="AH199" s="1"/>
  <c r="AI199" s="1"/>
  <c r="AJ199" s="1"/>
  <c r="AK199" s="1"/>
  <c r="AL199" s="1"/>
  <c r="AM199" s="1"/>
  <c r="AN199" s="1"/>
  <c r="AO199" s="1"/>
  <c r="AP199" s="1"/>
  <c r="AQ199" s="1"/>
  <c r="AR199" s="1"/>
  <c r="AS199" s="1"/>
  <c r="AT199" s="1"/>
  <c r="AD96"/>
  <c r="AC102"/>
  <c r="AD102" s="1"/>
  <c r="U197"/>
  <c r="V197" s="1"/>
  <c r="W197" s="1"/>
  <c r="X197" s="1"/>
  <c r="Y197" s="1"/>
  <c r="Z197" s="1"/>
  <c r="AA197" s="1"/>
  <c r="AB197" s="1"/>
  <c r="AC197" s="1"/>
  <c r="AD197" s="1"/>
  <c r="V108"/>
  <c r="U113"/>
  <c r="U114" s="1"/>
  <c r="U57"/>
  <c r="Z130"/>
  <c r="Z140"/>
  <c r="Z131"/>
  <c r="Z141"/>
  <c r="AC23"/>
  <c r="AB99"/>
  <c r="AB105" s="1"/>
  <c r="V98"/>
  <c r="V104" s="1"/>
  <c r="V129"/>
  <c r="V134"/>
  <c r="V133"/>
  <c r="V91"/>
  <c r="Z125"/>
  <c r="Z124"/>
  <c r="Z123"/>
  <c r="Z111"/>
  <c r="U66"/>
  <c r="Z95"/>
  <c r="Z101" s="1"/>
  <c r="Z120"/>
  <c r="Z119"/>
  <c r="V109"/>
  <c r="V110"/>
  <c r="U62"/>
  <c r="AA18"/>
  <c r="AB20"/>
  <c r="AA74"/>
  <c r="U64"/>
  <c r="U183" s="1"/>
  <c r="U70"/>
  <c r="U182" s="1"/>
  <c r="U80"/>
  <c r="U82"/>
  <c r="U138" s="1"/>
  <c r="U50"/>
  <c r="U176" s="1"/>
  <c r="U51"/>
  <c r="U59"/>
  <c r="U58"/>
  <c r="U69"/>
  <c r="U84"/>
  <c r="U63"/>
  <c r="U60"/>
  <c r="U56"/>
  <c r="U184" s="1"/>
  <c r="U67"/>
  <c r="U83"/>
  <c r="AA27"/>
  <c r="W13"/>
  <c r="W12"/>
  <c r="W15"/>
  <c r="W128" s="1"/>
  <c r="W10"/>
  <c r="W16"/>
  <c r="W136" s="1"/>
  <c r="W137" s="1"/>
  <c r="W6"/>
  <c r="W7"/>
  <c r="W40"/>
  <c r="V90"/>
  <c r="V89"/>
  <c r="AA25"/>
  <c r="Z88"/>
  <c r="V42"/>
  <c r="U79"/>
  <c r="U78"/>
  <c r="U77"/>
  <c r="U76"/>
  <c r="AC21"/>
  <c r="AF21" s="1"/>
  <c r="T181"/>
  <c r="W175"/>
  <c r="W185" s="1"/>
  <c r="T177"/>
  <c r="T186" s="1"/>
  <c r="T180"/>
  <c r="R181"/>
  <c r="D31" i="8"/>
  <c r="D29"/>
  <c r="D28"/>
  <c r="D13"/>
  <c r="D30" s="1"/>
  <c r="E14"/>
  <c r="F14" s="1"/>
  <c r="G14" s="1"/>
  <c r="H14" s="1"/>
  <c r="I14" s="1"/>
  <c r="V55" i="18" l="1"/>
  <c r="V179" s="1"/>
  <c r="V54"/>
  <c r="V178" s="1"/>
  <c r="AA92"/>
  <c r="AA121"/>
  <c r="U115"/>
  <c r="U116" s="1"/>
  <c r="U117"/>
  <c r="W97"/>
  <c r="W103" s="1"/>
  <c r="W52"/>
  <c r="W93" s="1"/>
  <c r="U196"/>
  <c r="V196" s="1"/>
  <c r="W196" s="1"/>
  <c r="X196" s="1"/>
  <c r="Y196" s="1"/>
  <c r="Z196" s="1"/>
  <c r="AA196" s="1"/>
  <c r="AB196" s="1"/>
  <c r="AC196" s="1"/>
  <c r="AD196" s="1"/>
  <c r="AE197"/>
  <c r="AF197" s="1"/>
  <c r="AG197" s="1"/>
  <c r="AH197" s="1"/>
  <c r="AI197" s="1"/>
  <c r="AJ197" s="1"/>
  <c r="AK197" s="1"/>
  <c r="AL197" s="1"/>
  <c r="AM197" s="1"/>
  <c r="AN197" s="1"/>
  <c r="AO197" s="1"/>
  <c r="AP197" s="1"/>
  <c r="AQ197" s="1"/>
  <c r="AR197" s="1"/>
  <c r="AS197" s="1"/>
  <c r="AT197" s="1"/>
  <c r="W108"/>
  <c r="V113"/>
  <c r="V114" s="1"/>
  <c r="V57"/>
  <c r="AA130"/>
  <c r="AA140"/>
  <c r="AA131"/>
  <c r="AA141"/>
  <c r="AF23"/>
  <c r="AC99"/>
  <c r="AD23"/>
  <c r="W91"/>
  <c r="W133"/>
  <c r="W134"/>
  <c r="W98"/>
  <c r="W104" s="1"/>
  <c r="W129"/>
  <c r="AA125"/>
  <c r="AA124"/>
  <c r="AA123"/>
  <c r="AA111"/>
  <c r="V66"/>
  <c r="U68"/>
  <c r="U181" s="1"/>
  <c r="AA95"/>
  <c r="AA101" s="1"/>
  <c r="AA120"/>
  <c r="AA119"/>
  <c r="W110"/>
  <c r="W109"/>
  <c r="AB18"/>
  <c r="AC20"/>
  <c r="AB74"/>
  <c r="V84"/>
  <c r="V83"/>
  <c r="V62"/>
  <c r="V70"/>
  <c r="V182" s="1"/>
  <c r="V69"/>
  <c r="V64"/>
  <c r="V183" s="1"/>
  <c r="V67"/>
  <c r="V58"/>
  <c r="V80"/>
  <c r="V82"/>
  <c r="V138" s="1"/>
  <c r="V51"/>
  <c r="V50"/>
  <c r="V176" s="1"/>
  <c r="V63"/>
  <c r="V59"/>
  <c r="V60"/>
  <c r="V56"/>
  <c r="V184" s="1"/>
  <c r="AB27"/>
  <c r="X12"/>
  <c r="X15"/>
  <c r="X128" s="1"/>
  <c r="X13"/>
  <c r="X16"/>
  <c r="X136" s="1"/>
  <c r="X137" s="1"/>
  <c r="X10"/>
  <c r="X7"/>
  <c r="X6"/>
  <c r="AB25"/>
  <c r="AB121" s="1"/>
  <c r="AA88"/>
  <c r="X40"/>
  <c r="W89"/>
  <c r="W90"/>
  <c r="W42"/>
  <c r="V79"/>
  <c r="V77"/>
  <c r="V78"/>
  <c r="V76"/>
  <c r="AD21"/>
  <c r="X175"/>
  <c r="X185" s="1"/>
  <c r="U177"/>
  <c r="U186" s="1"/>
  <c r="U180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55" i="18" l="1"/>
  <c r="W179" s="1"/>
  <c r="W54"/>
  <c r="W178" s="1"/>
  <c r="V115"/>
  <c r="V116" s="1"/>
  <c r="V117"/>
  <c r="X97"/>
  <c r="X103" s="1"/>
  <c r="X52"/>
  <c r="X93" s="1"/>
  <c r="AE196"/>
  <c r="AF196" s="1"/>
  <c r="AG196" s="1"/>
  <c r="AH196" s="1"/>
  <c r="AI196" s="1"/>
  <c r="AJ196" s="1"/>
  <c r="AK196" s="1"/>
  <c r="AL196" s="1"/>
  <c r="AM196" s="1"/>
  <c r="AN196" s="1"/>
  <c r="AO196" s="1"/>
  <c r="AP196" s="1"/>
  <c r="AQ196" s="1"/>
  <c r="AR196" s="1"/>
  <c r="AS196" s="1"/>
  <c r="AT196" s="1"/>
  <c r="AD99"/>
  <c r="AC105"/>
  <c r="AD105" s="1"/>
  <c r="X108"/>
  <c r="W113"/>
  <c r="W114" s="1"/>
  <c r="W57"/>
  <c r="AB130"/>
  <c r="AB140"/>
  <c r="AB131"/>
  <c r="AB141"/>
  <c r="AF20"/>
  <c r="AB92"/>
  <c r="X134"/>
  <c r="X133"/>
  <c r="X98"/>
  <c r="X104" s="1"/>
  <c r="X129"/>
  <c r="X91"/>
  <c r="AB124"/>
  <c r="AB123"/>
  <c r="AB125"/>
  <c r="AB111"/>
  <c r="V68"/>
  <c r="V181" s="1"/>
  <c r="AB95"/>
  <c r="AB101" s="1"/>
  <c r="AB120"/>
  <c r="AB119"/>
  <c r="W69"/>
  <c r="X110"/>
  <c r="X109"/>
  <c r="AC18"/>
  <c r="W84"/>
  <c r="W60"/>
  <c r="W67"/>
  <c r="AD20"/>
  <c r="AC74"/>
  <c r="W58"/>
  <c r="W66"/>
  <c r="W63"/>
  <c r="W83"/>
  <c r="W59"/>
  <c r="W64"/>
  <c r="W183" s="1"/>
  <c r="W80"/>
  <c r="W82"/>
  <c r="W138" s="1"/>
  <c r="W50"/>
  <c r="W176" s="1"/>
  <c r="W51"/>
  <c r="W62"/>
  <c r="W70"/>
  <c r="W182" s="1"/>
  <c r="W56"/>
  <c r="W184" s="1"/>
  <c r="AC27"/>
  <c r="AC141" s="1"/>
  <c r="AD141" s="1"/>
  <c r="Y15"/>
  <c r="Y128" s="1"/>
  <c r="Y13"/>
  <c r="Y12"/>
  <c r="Y10"/>
  <c r="Y16"/>
  <c r="Y136" s="1"/>
  <c r="Y137" s="1"/>
  <c r="Y6"/>
  <c r="Y7"/>
  <c r="Y40"/>
  <c r="X90"/>
  <c r="X89"/>
  <c r="AC25"/>
  <c r="AB88"/>
  <c r="X42"/>
  <c r="W79"/>
  <c r="W77"/>
  <c r="W78"/>
  <c r="W76"/>
  <c r="Y175"/>
  <c r="Y185" s="1"/>
  <c r="V177"/>
  <c r="V186" s="1"/>
  <c r="V180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55" i="18" l="1"/>
  <c r="X179" s="1"/>
  <c r="X54"/>
  <c r="X178" s="1"/>
  <c r="AC92"/>
  <c r="AD92" s="1"/>
  <c r="AC121"/>
  <c r="AD121" s="1"/>
  <c r="W115"/>
  <c r="W116" s="1"/>
  <c r="W117"/>
  <c r="Y97"/>
  <c r="Y103" s="1"/>
  <c r="Y52"/>
  <c r="Y93" s="1"/>
  <c r="Y108"/>
  <c r="X113"/>
  <c r="X114" s="1"/>
  <c r="X57"/>
  <c r="AC130"/>
  <c r="AD130" s="1"/>
  <c r="AC140"/>
  <c r="AD140" s="1"/>
  <c r="Y98"/>
  <c r="Y104" s="1"/>
  <c r="Y129"/>
  <c r="Y134"/>
  <c r="Y133"/>
  <c r="AF27"/>
  <c r="AC131"/>
  <c r="AD131" s="1"/>
  <c r="Y91"/>
  <c r="AC123"/>
  <c r="AD123" s="1"/>
  <c r="AC125"/>
  <c r="AD125" s="1"/>
  <c r="AC124"/>
  <c r="AD124" s="1"/>
  <c r="N32" i="9"/>
  <c r="N33" s="1"/>
  <c r="N34" s="1"/>
  <c r="N35" s="1"/>
  <c r="N36" s="1"/>
  <c r="N37" s="1"/>
  <c r="N38" s="1"/>
  <c r="N39" s="1"/>
  <c r="N40" s="1"/>
  <c r="N41" s="1"/>
  <c r="N42" s="1"/>
  <c r="M45"/>
  <c r="AC111" i="18"/>
  <c r="AD111" s="1"/>
  <c r="W68"/>
  <c r="W181" s="1"/>
  <c r="X67"/>
  <c r="AC95"/>
  <c r="AC120"/>
  <c r="AD120" s="1"/>
  <c r="AC119"/>
  <c r="AD119" s="1"/>
  <c r="Y110"/>
  <c r="Y109"/>
  <c r="AF25"/>
  <c r="AF18"/>
  <c r="AD18"/>
  <c r="T164"/>
  <c r="AF74"/>
  <c r="AD74"/>
  <c r="M32" i="9"/>
  <c r="M33" s="1"/>
  <c r="M34" s="1"/>
  <c r="M35" s="1"/>
  <c r="M36" s="1"/>
  <c r="M37" s="1"/>
  <c r="M38" s="1"/>
  <c r="M39" s="1"/>
  <c r="M40" s="1"/>
  <c r="M41" s="1"/>
  <c r="P32"/>
  <c r="X70" i="18"/>
  <c r="X182" s="1"/>
  <c r="X69"/>
  <c r="X64"/>
  <c r="X183" s="1"/>
  <c r="X66"/>
  <c r="X63"/>
  <c r="X83"/>
  <c r="X62"/>
  <c r="X84"/>
  <c r="X80"/>
  <c r="X82"/>
  <c r="X138" s="1"/>
  <c r="X51"/>
  <c r="X50"/>
  <c r="X176" s="1"/>
  <c r="X58"/>
  <c r="X59"/>
  <c r="X60"/>
  <c r="X56"/>
  <c r="X184" s="1"/>
  <c r="AD27"/>
  <c r="Z12"/>
  <c r="Z15"/>
  <c r="Z128" s="1"/>
  <c r="Z13"/>
  <c r="Z10"/>
  <c r="Z16"/>
  <c r="Z136" s="1"/>
  <c r="Z137" s="1"/>
  <c r="Z7"/>
  <c r="Z6"/>
  <c r="AD25"/>
  <c r="AC88"/>
  <c r="AD88" s="1"/>
  <c r="Z40"/>
  <c r="Y90"/>
  <c r="Y89"/>
  <c r="O31" i="9"/>
  <c r="O32" s="1"/>
  <c r="Y42" i="18"/>
  <c r="X79"/>
  <c r="X77"/>
  <c r="X78"/>
  <c r="X76"/>
  <c r="Z175"/>
  <c r="Z185" s="1"/>
  <c r="W177"/>
  <c r="W186" s="1"/>
  <c r="W180"/>
  <c r="P31" i="11"/>
  <c r="N32"/>
  <c r="T19" i="9"/>
  <c r="D22"/>
  <c r="Y55" i="18" l="1"/>
  <c r="Y179" s="1"/>
  <c r="Y54"/>
  <c r="Y178" s="1"/>
  <c r="X115"/>
  <c r="X116" s="1"/>
  <c r="X117"/>
  <c r="Z97"/>
  <c r="Z103" s="1"/>
  <c r="Z52"/>
  <c r="Z93" s="1"/>
  <c r="AD95"/>
  <c r="AC101"/>
  <c r="AD101" s="1"/>
  <c r="Z108"/>
  <c r="Y113"/>
  <c r="Y114" s="1"/>
  <c r="Y57"/>
  <c r="Z134"/>
  <c r="Z133"/>
  <c r="Z98"/>
  <c r="Z104" s="1"/>
  <c r="Z129"/>
  <c r="Z91"/>
  <c r="X68"/>
  <c r="X181" s="1"/>
  <c r="Y60"/>
  <c r="Z109"/>
  <c r="Z110"/>
  <c r="U164"/>
  <c r="S164" s="1"/>
  <c r="Y62"/>
  <c r="Y69"/>
  <c r="Y56"/>
  <c r="Y184" s="1"/>
  <c r="Y64"/>
  <c r="Y183" s="1"/>
  <c r="Y59"/>
  <c r="Y58"/>
  <c r="Y80"/>
  <c r="Y82"/>
  <c r="Y138" s="1"/>
  <c r="Y51"/>
  <c r="Y50"/>
  <c r="Y176" s="1"/>
  <c r="Y84"/>
  <c r="Y63"/>
  <c r="Y70"/>
  <c r="Y182" s="1"/>
  <c r="Y67"/>
  <c r="Y66"/>
  <c r="Y83"/>
  <c r="AA13"/>
  <c r="AA12"/>
  <c r="AA15"/>
  <c r="AA128" s="1"/>
  <c r="AA10"/>
  <c r="AA16"/>
  <c r="AA136" s="1"/>
  <c r="AA137" s="1"/>
  <c r="AA6"/>
  <c r="AA7"/>
  <c r="AA40"/>
  <c r="Z90"/>
  <c r="Z89"/>
  <c r="Z42"/>
  <c r="Y79"/>
  <c r="Y77"/>
  <c r="Y78"/>
  <c r="Y76"/>
  <c r="AA175"/>
  <c r="AA185" s="1"/>
  <c r="X177"/>
  <c r="X186" s="1"/>
  <c r="X180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55" i="18" l="1"/>
  <c r="Z179" s="1"/>
  <c r="Z54"/>
  <c r="Z178" s="1"/>
  <c r="Y115"/>
  <c r="Y116" s="1"/>
  <c r="Y117"/>
  <c r="AA97"/>
  <c r="AA103" s="1"/>
  <c r="AA52"/>
  <c r="AA93" s="1"/>
  <c r="AA108"/>
  <c r="Z113"/>
  <c r="Z114" s="1"/>
  <c r="Z57"/>
  <c r="AA98"/>
  <c r="AA104" s="1"/>
  <c r="AA129"/>
  <c r="AA133"/>
  <c r="AA134"/>
  <c r="AA91"/>
  <c r="AA109"/>
  <c r="AA110"/>
  <c r="Y68"/>
  <c r="Y181" s="1"/>
  <c r="Z80"/>
  <c r="Z82"/>
  <c r="Z138" s="1"/>
  <c r="Z50"/>
  <c r="Z176" s="1"/>
  <c r="Z51"/>
  <c r="Z64"/>
  <c r="Z183" s="1"/>
  <c r="Z70"/>
  <c r="Z182" s="1"/>
  <c r="Z69"/>
  <c r="Z67"/>
  <c r="Z58"/>
  <c r="Z56"/>
  <c r="Z184" s="1"/>
  <c r="Z63"/>
  <c r="Z59"/>
  <c r="Z60"/>
  <c r="Z66"/>
  <c r="Z83"/>
  <c r="Z62"/>
  <c r="Z84"/>
  <c r="AB12"/>
  <c r="AB15"/>
  <c r="AB128" s="1"/>
  <c r="AB13"/>
  <c r="AB10"/>
  <c r="AB16"/>
  <c r="AB136" s="1"/>
  <c r="AB137" s="1"/>
  <c r="AB7"/>
  <c r="AB6"/>
  <c r="AB40"/>
  <c r="AA89"/>
  <c r="AA90"/>
  <c r="AA42"/>
  <c r="Z79"/>
  <c r="Z77"/>
  <c r="Z78"/>
  <c r="Z76"/>
  <c r="AB175"/>
  <c r="AB185" s="1"/>
  <c r="Y177"/>
  <c r="Y186" s="1"/>
  <c r="Y180"/>
  <c r="N34" i="11"/>
  <c r="O33"/>
  <c r="D25" i="8"/>
  <c r="D23"/>
  <c r="AA55" i="18" l="1"/>
  <c r="AA179" s="1"/>
  <c r="AA54"/>
  <c r="AA178" s="1"/>
  <c r="Z115"/>
  <c r="Z116" s="1"/>
  <c r="Z117"/>
  <c r="AB97"/>
  <c r="AB103" s="1"/>
  <c r="AB52"/>
  <c r="AB93" s="1"/>
  <c r="AB108"/>
  <c r="AA113"/>
  <c r="AA114" s="1"/>
  <c r="AA57"/>
  <c r="AB91"/>
  <c r="AB133"/>
  <c r="AB134"/>
  <c r="AB98"/>
  <c r="AB104" s="1"/>
  <c r="AB129"/>
  <c r="AB109"/>
  <c r="AB110"/>
  <c r="Z68"/>
  <c r="Z181" s="1"/>
  <c r="AA80"/>
  <c r="AA82"/>
  <c r="AA138" s="1"/>
  <c r="AA51"/>
  <c r="AA50"/>
  <c r="AA176" s="1"/>
  <c r="AA58"/>
  <c r="AA69"/>
  <c r="AA59"/>
  <c r="AA64"/>
  <c r="AA183" s="1"/>
  <c r="AA67"/>
  <c r="AA66"/>
  <c r="AA84"/>
  <c r="AA70"/>
  <c r="AA182" s="1"/>
  <c r="AA56"/>
  <c r="AA184" s="1"/>
  <c r="AA63"/>
  <c r="AA83"/>
  <c r="AA62"/>
  <c r="AA60"/>
  <c r="AC15"/>
  <c r="AC13"/>
  <c r="AF13" s="1"/>
  <c r="AC12"/>
  <c r="AC129" s="1"/>
  <c r="AD129" s="1"/>
  <c r="AC10"/>
  <c r="AC16"/>
  <c r="AC6"/>
  <c r="AF6" s="1"/>
  <c r="AC7"/>
  <c r="AF7" s="1"/>
  <c r="AC40"/>
  <c r="AB90"/>
  <c r="AB89"/>
  <c r="AB42"/>
  <c r="AA79"/>
  <c r="AA77"/>
  <c r="AA78"/>
  <c r="AA76"/>
  <c r="AC175"/>
  <c r="AC185" s="1"/>
  <c r="Z177"/>
  <c r="Z186" s="1"/>
  <c r="Z180"/>
  <c r="N35" i="11"/>
  <c r="O34"/>
  <c r="D35" i="8"/>
  <c r="E5"/>
  <c r="E18" s="1"/>
  <c r="D18"/>
  <c r="D19"/>
  <c r="D21"/>
  <c r="D20"/>
  <c r="AB55" i="18" l="1"/>
  <c r="AB179" s="1"/>
  <c r="AB54"/>
  <c r="AB178" s="1"/>
  <c r="AA115"/>
  <c r="AA116" s="1"/>
  <c r="AA117"/>
  <c r="AC97"/>
  <c r="AC103" s="1"/>
  <c r="AD103" s="1"/>
  <c r="AC52"/>
  <c r="AC108"/>
  <c r="AD185"/>
  <c r="AF185" s="1"/>
  <c r="AB113"/>
  <c r="AB114" s="1"/>
  <c r="AB57"/>
  <c r="AF16"/>
  <c r="AC136"/>
  <c r="AC134"/>
  <c r="AD134" s="1"/>
  <c r="AC133"/>
  <c r="AD133" s="1"/>
  <c r="AF15"/>
  <c r="AC128"/>
  <c r="AD128" s="1"/>
  <c r="AC91"/>
  <c r="AD91" s="1"/>
  <c r="AF10"/>
  <c r="AD108"/>
  <c r="AF12"/>
  <c r="AC98"/>
  <c r="AF40"/>
  <c r="AC109"/>
  <c r="AD109" s="1"/>
  <c r="AC110"/>
  <c r="AD110" s="1"/>
  <c r="AA68"/>
  <c r="AA181" s="1"/>
  <c r="AB80"/>
  <c r="AB82"/>
  <c r="AB138" s="1"/>
  <c r="AB50"/>
  <c r="AB176" s="1"/>
  <c r="AB51"/>
  <c r="AB62"/>
  <c r="AB70"/>
  <c r="AB182" s="1"/>
  <c r="AB56"/>
  <c r="AB184" s="1"/>
  <c r="AB64"/>
  <c r="AB183" s="1"/>
  <c r="AB67"/>
  <c r="AB83"/>
  <c r="AB58"/>
  <c r="AB59"/>
  <c r="AB60"/>
  <c r="AB63"/>
  <c r="AB84"/>
  <c r="AB66"/>
  <c r="AB69"/>
  <c r="AD15"/>
  <c r="AD13"/>
  <c r="T158"/>
  <c r="AD12"/>
  <c r="AD10"/>
  <c r="AD16"/>
  <c r="AD7"/>
  <c r="AD6"/>
  <c r="AC90"/>
  <c r="AD90" s="1"/>
  <c r="AC89"/>
  <c r="AD89" s="1"/>
  <c r="AD40"/>
  <c r="AC42"/>
  <c r="AB79"/>
  <c r="AB77"/>
  <c r="AB78"/>
  <c r="AB76"/>
  <c r="AD175"/>
  <c r="AF175" s="1"/>
  <c r="AA177"/>
  <c r="AA186" s="1"/>
  <c r="AA180"/>
  <c r="N36" i="11"/>
  <c r="O35"/>
  <c r="F5" i="8"/>
  <c r="G5" s="1"/>
  <c r="H5" s="1"/>
  <c r="I5" s="1"/>
  <c r="AD52" i="18" l="1"/>
  <c r="AF52"/>
  <c r="AC55"/>
  <c r="AC179" s="1"/>
  <c r="AD179" s="1"/>
  <c r="AF179" s="1"/>
  <c r="AC54"/>
  <c r="AC178" s="1"/>
  <c r="AD178" s="1"/>
  <c r="AF178" s="1"/>
  <c r="AB115"/>
  <c r="AB116" s="1"/>
  <c r="AB117"/>
  <c r="AD97"/>
  <c r="AC93"/>
  <c r="AD93" s="1"/>
  <c r="AD98"/>
  <c r="AC104"/>
  <c r="AD104" s="1"/>
  <c r="AC113"/>
  <c r="AC114" s="1"/>
  <c r="AC57"/>
  <c r="AD136"/>
  <c r="AC137"/>
  <c r="AD137" s="1"/>
  <c r="AF42"/>
  <c r="U158"/>
  <c r="U159" s="1"/>
  <c r="AB68"/>
  <c r="AB181" s="1"/>
  <c r="AC80"/>
  <c r="AC82"/>
  <c r="AC50"/>
  <c r="AC176" s="1"/>
  <c r="AD176" s="1"/>
  <c r="AF176" s="1"/>
  <c r="AC51"/>
  <c r="AC62"/>
  <c r="AC67"/>
  <c r="AC56"/>
  <c r="AC64"/>
  <c r="AC60"/>
  <c r="AC83"/>
  <c r="AC59"/>
  <c r="AF59" s="1"/>
  <c r="AC58"/>
  <c r="AC69"/>
  <c r="AC84"/>
  <c r="AC63"/>
  <c r="AC70"/>
  <c r="AC66"/>
  <c r="T159"/>
  <c r="Q193" s="1"/>
  <c r="AC79"/>
  <c r="AC77"/>
  <c r="AD42"/>
  <c r="AC78"/>
  <c r="AC76"/>
  <c r="AB177"/>
  <c r="AB186" s="1"/>
  <c r="AB180"/>
  <c r="N37" i="11"/>
  <c r="O36"/>
  <c r="F18" i="8"/>
  <c r="G18"/>
  <c r="AD54" i="18" l="1"/>
  <c r="AF54"/>
  <c r="AD55"/>
  <c r="AF55"/>
  <c r="AC115"/>
  <c r="AC116" s="1"/>
  <c r="AC117"/>
  <c r="AF56"/>
  <c r="AC184"/>
  <c r="AF57"/>
  <c r="AD57"/>
  <c r="AF82"/>
  <c r="AC138"/>
  <c r="AD138" s="1"/>
  <c r="AD113"/>
  <c r="S158"/>
  <c r="S159"/>
  <c r="AD83"/>
  <c r="AF83"/>
  <c r="AD51"/>
  <c r="AF51"/>
  <c r="T155"/>
  <c r="AF69"/>
  <c r="AC182"/>
  <c r="AD182" s="1"/>
  <c r="AF182" s="1"/>
  <c r="AF70"/>
  <c r="AD50"/>
  <c r="AF50"/>
  <c r="AD67"/>
  <c r="AF67"/>
  <c r="T149"/>
  <c r="AF66"/>
  <c r="T148"/>
  <c r="AF60"/>
  <c r="AC183"/>
  <c r="AD183" s="1"/>
  <c r="AF183" s="1"/>
  <c r="AF64"/>
  <c r="AD63"/>
  <c r="AF63"/>
  <c r="T146"/>
  <c r="Q192" s="1"/>
  <c r="AF58"/>
  <c r="T151"/>
  <c r="AF62"/>
  <c r="AD84"/>
  <c r="AF84"/>
  <c r="T172"/>
  <c r="Q194" s="1"/>
  <c r="AF80"/>
  <c r="T169"/>
  <c r="AF79"/>
  <c r="T168"/>
  <c r="AF78"/>
  <c r="T166"/>
  <c r="AF76"/>
  <c r="T167"/>
  <c r="AF77"/>
  <c r="AD69"/>
  <c r="T152"/>
  <c r="AD58"/>
  <c r="AD60"/>
  <c r="U148" s="1"/>
  <c r="AD62"/>
  <c r="T153"/>
  <c r="Q191" s="1"/>
  <c r="AD80"/>
  <c r="AD66"/>
  <c r="T156"/>
  <c r="AC68"/>
  <c r="AD64"/>
  <c r="AD70"/>
  <c r="AD82"/>
  <c r="AD78"/>
  <c r="AD77"/>
  <c r="AD76"/>
  <c r="AD79"/>
  <c r="T145"/>
  <c r="Q195" s="1"/>
  <c r="Q196" s="1"/>
  <c r="AD56"/>
  <c r="AC177"/>
  <c r="AC186" s="1"/>
  <c r="AD186" s="1"/>
  <c r="AD59"/>
  <c r="U147" s="1"/>
  <c r="AC180"/>
  <c r="T147"/>
  <c r="N38" i="11"/>
  <c r="O37"/>
  <c r="H18" i="8"/>
  <c r="T170" i="18" l="1"/>
  <c r="M193"/>
  <c r="P193"/>
  <c r="AD184"/>
  <c r="AF184" s="1"/>
  <c r="U145"/>
  <c r="S145" s="1"/>
  <c r="AD114"/>
  <c r="U156"/>
  <c r="S156" s="1"/>
  <c r="U146"/>
  <c r="S146" s="1"/>
  <c r="U155"/>
  <c r="S155" s="1"/>
  <c r="U151"/>
  <c r="S151" s="1"/>
  <c r="U153"/>
  <c r="S153" s="1"/>
  <c r="P191" s="1"/>
  <c r="U172"/>
  <c r="S172" s="1"/>
  <c r="P194" s="1"/>
  <c r="U168"/>
  <c r="S168" s="1"/>
  <c r="AD68"/>
  <c r="AF68"/>
  <c r="U149"/>
  <c r="S149" s="1"/>
  <c r="S148"/>
  <c r="U152"/>
  <c r="S152" s="1"/>
  <c r="U166"/>
  <c r="S166" s="1"/>
  <c r="AC181"/>
  <c r="AD181" s="1"/>
  <c r="AF181" s="1"/>
  <c r="U169"/>
  <c r="S169" s="1"/>
  <c r="U167"/>
  <c r="AD180"/>
  <c r="AF180" s="1"/>
  <c r="AD177"/>
  <c r="AF177" s="1"/>
  <c r="AF186" s="1"/>
  <c r="S147"/>
  <c r="N39" i="11"/>
  <c r="O38"/>
  <c r="I18" i="8"/>
  <c r="S167" i="18" l="1"/>
  <c r="S170" s="1"/>
  <c r="U170"/>
  <c r="M192"/>
  <c r="P192"/>
  <c r="P195"/>
  <c r="P196" s="1"/>
  <c r="M194"/>
  <c r="M191"/>
  <c r="AD116"/>
  <c r="AD115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<sst xmlns="http://schemas.openxmlformats.org/spreadsheetml/2006/main" count="660" uniqueCount="466">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</sst>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62468096"/>
        <c:axId val="62469632"/>
      </c:lineChart>
      <c:catAx>
        <c:axId val="62468096"/>
        <c:scaling>
          <c:orientation val="minMax"/>
        </c:scaling>
        <c:axPos val="b"/>
        <c:tickLblPos val="nextTo"/>
        <c:crossAx val="62469632"/>
        <c:crosses val="autoZero"/>
        <c:auto val="1"/>
        <c:lblAlgn val="ctr"/>
        <c:lblOffset val="100"/>
      </c:catAx>
      <c:valAx>
        <c:axId val="62469632"/>
        <c:scaling>
          <c:orientation val="minMax"/>
        </c:scaling>
        <c:axPos val="l"/>
        <c:majorGridlines/>
        <c:numFmt formatCode="General" sourceLinked="1"/>
        <c:tickLblPos val="nextTo"/>
        <c:crossAx val="6246809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318</v>
      </c>
      <c r="C9" s="151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32"/>
  <sheetViews>
    <sheetView tabSelected="1" zoomScale="80" zoomScaleNormal="80" workbookViewId="0">
      <pane xSplit="2" ySplit="3" topLeftCell="E4" activePane="bottomRight" state="frozen"/>
      <selection pane="topRight" activeCell="C1" sqref="C1"/>
      <selection pane="bottomLeft" activeCell="A5" sqref="A5"/>
      <selection pane="bottomRight" activeCell="P17" sqref="P17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f>P2</f>
        <v>0.22</v>
      </c>
      <c r="F1" s="104" t="s">
        <v>252</v>
      </c>
      <c r="H1" s="126">
        <v>2004</v>
      </c>
      <c r="J1" s="104" t="s">
        <v>326</v>
      </c>
      <c r="L1" s="163">
        <v>0.05</v>
      </c>
      <c r="N1" s="104" t="s">
        <v>397</v>
      </c>
      <c r="P1" s="163">
        <v>0.05</v>
      </c>
    </row>
    <row r="2" spans="2:32">
      <c r="B2" s="152" t="s">
        <v>314</v>
      </c>
      <c r="C2" s="120"/>
      <c r="F2" s="104" t="s">
        <v>253</v>
      </c>
      <c r="H2" s="126">
        <v>2013</v>
      </c>
      <c r="J2" s="104" t="s">
        <v>327</v>
      </c>
      <c r="L2" s="163">
        <v>0.12</v>
      </c>
      <c r="N2" s="104" t="s">
        <v>465</v>
      </c>
      <c r="P2" s="163">
        <v>0.22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8" t="s">
        <v>290</v>
      </c>
      <c r="AF2" s="199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0" t="s">
        <v>291</v>
      </c>
      <c r="AF3" s="201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>
      <c r="B6" s="20" t="s">
        <v>16</v>
      </c>
      <c r="C6" s="140"/>
      <c r="D6" s="140"/>
      <c r="E6" s="146"/>
      <c r="F6" s="146"/>
      <c r="G6" s="146">
        <f>L6</f>
        <v>446</v>
      </c>
      <c r="H6" s="146"/>
      <c r="I6" s="146"/>
      <c r="J6" s="146"/>
      <c r="K6" s="146"/>
      <c r="L6" s="146">
        <v>446</v>
      </c>
      <c r="M6" s="146">
        <v>3597</v>
      </c>
      <c r="N6" s="146">
        <v>4107</v>
      </c>
      <c r="O6" s="146">
        <v>3861</v>
      </c>
      <c r="P6" s="146">
        <v>1900</v>
      </c>
      <c r="Q6" s="146">
        <v>3671</v>
      </c>
      <c r="R6" s="118">
        <f>((Q6/G6)^(1/($H$2-$H$1) ))-1</f>
        <v>0.26391135035581414</v>
      </c>
      <c r="S6" s="31">
        <f>$L$2</f>
        <v>0.12</v>
      </c>
      <c r="T6" s="153">
        <f>Q6*(1+$S6)</f>
        <v>4111.5200000000004</v>
      </c>
      <c r="U6" s="153">
        <f>T6*(1+$S6)</f>
        <v>4604.9024000000009</v>
      </c>
      <c r="V6" s="153">
        <f t="shared" ref="V6:AC6" si="0">U6*(1+$S6)</f>
        <v>5157.4906880000017</v>
      </c>
      <c r="W6" s="153">
        <f t="shared" si="0"/>
        <v>5776.3895705600025</v>
      </c>
      <c r="X6" s="153">
        <f t="shared" si="0"/>
        <v>6469.5563190272032</v>
      </c>
      <c r="Y6" s="153">
        <f t="shared" si="0"/>
        <v>7245.9030773104687</v>
      </c>
      <c r="Z6" s="153">
        <f t="shared" si="0"/>
        <v>8115.4114465877255</v>
      </c>
      <c r="AA6" s="153">
        <f t="shared" si="0"/>
        <v>9089.2608201782532</v>
      </c>
      <c r="AB6" s="153">
        <f t="shared" si="0"/>
        <v>10179.972118599644</v>
      </c>
      <c r="AC6" s="153">
        <f t="shared" si="0"/>
        <v>11401.568772831602</v>
      </c>
      <c r="AD6" s="137">
        <f>((AC6/G6)^(1/($AC$3-$H$1) ))-1</f>
        <v>0.17593004742765794</v>
      </c>
      <c r="AE6" s="31">
        <f>$L$1</f>
        <v>0.05</v>
      </c>
      <c r="AF6" s="145">
        <f t="shared" ref="AF6:AF44" si="1">(AC6*(1+AE6))/($C$1-AE6)</f>
        <v>70421.454185136376</v>
      </c>
    </row>
    <row r="7" spans="2:32">
      <c r="B7" s="20" t="s">
        <v>240</v>
      </c>
      <c r="C7" s="140"/>
      <c r="D7" s="140"/>
      <c r="E7" s="146"/>
      <c r="F7" s="146"/>
      <c r="G7" s="146">
        <f>L7</f>
        <v>2288</v>
      </c>
      <c r="H7" s="146"/>
      <c r="I7" s="146"/>
      <c r="J7" s="146"/>
      <c r="K7" s="146"/>
      <c r="L7" s="146">
        <v>2288</v>
      </c>
      <c r="M7" s="146">
        <v>5778</v>
      </c>
      <c r="N7" s="146">
        <v>6287</v>
      </c>
      <c r="O7" s="146">
        <v>6041</v>
      </c>
      <c r="P7" s="146">
        <v>4293</v>
      </c>
      <c r="Q7" s="146">
        <v>6543</v>
      </c>
      <c r="R7" s="118">
        <f>((Q7/G7)^(1/($H$2-$H$1) ))-1</f>
        <v>0.12383440193083395</v>
      </c>
      <c r="S7" s="31">
        <f>$L$2</f>
        <v>0.12</v>
      </c>
      <c r="T7" s="153">
        <f t="shared" ref="T7:T44" si="2">Q7*(1+$S7)</f>
        <v>7328.1600000000008</v>
      </c>
      <c r="U7" s="153">
        <f t="shared" ref="U7:AC7" si="3">T7*(1+$S7)</f>
        <v>8207.5392000000011</v>
      </c>
      <c r="V7" s="153">
        <f t="shared" si="3"/>
        <v>9192.4439040000016</v>
      </c>
      <c r="W7" s="153">
        <f t="shared" si="3"/>
        <v>10295.537172480002</v>
      </c>
      <c r="X7" s="153">
        <f t="shared" si="3"/>
        <v>11531.001633177604</v>
      </c>
      <c r="Y7" s="153">
        <f t="shared" si="3"/>
        <v>12914.721829158918</v>
      </c>
      <c r="Z7" s="153">
        <f t="shared" si="3"/>
        <v>14464.488448657989</v>
      </c>
      <c r="AA7" s="153">
        <f t="shared" si="3"/>
        <v>16200.227062496948</v>
      </c>
      <c r="AB7" s="153">
        <f t="shared" si="3"/>
        <v>18144.254309996584</v>
      </c>
      <c r="AC7" s="153">
        <f t="shared" si="3"/>
        <v>20321.564827196176</v>
      </c>
      <c r="AD7" s="137">
        <f>((AC7/G7)^(1/($AC$3-$H$1) ))-1</f>
        <v>0.11538565916984811</v>
      </c>
      <c r="AE7" s="31">
        <f>$L$1</f>
        <v>0.05</v>
      </c>
      <c r="AF7" s="145">
        <f t="shared" si="1"/>
        <v>125515.54746209405</v>
      </c>
    </row>
    <row r="8" spans="2:32">
      <c r="B8" s="20"/>
      <c r="C8" s="140"/>
      <c r="D8" s="140"/>
      <c r="E8" s="146"/>
      <c r="F8" s="146"/>
      <c r="G8" s="147">
        <f>(G7-F7)/G7</f>
        <v>1</v>
      </c>
      <c r="H8" s="150" t="e">
        <f>(H7-G7)/H7</f>
        <v>#DIV/0!</v>
      </c>
      <c r="I8" s="150" t="e">
        <f t="shared" ref="I8:Q8" si="4">(I7-H7)/I7</f>
        <v>#DIV/0!</v>
      </c>
      <c r="J8" s="150" t="e">
        <f t="shared" si="4"/>
        <v>#DIV/0!</v>
      </c>
      <c r="K8" s="150" t="e">
        <f t="shared" si="4"/>
        <v>#DIV/0!</v>
      </c>
      <c r="L8" s="150">
        <f t="shared" si="4"/>
        <v>1</v>
      </c>
      <c r="M8" s="150">
        <f t="shared" si="4"/>
        <v>0.60401523018345449</v>
      </c>
      <c r="N8" s="150">
        <f t="shared" si="4"/>
        <v>8.0960712581517422E-2</v>
      </c>
      <c r="O8" s="150">
        <f t="shared" si="4"/>
        <v>-4.0721734812117202E-2</v>
      </c>
      <c r="P8" s="150">
        <f t="shared" si="4"/>
        <v>-0.40717447006755181</v>
      </c>
      <c r="Q8" s="150">
        <f t="shared" si="4"/>
        <v>0.34387895460797802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>
      <c r="B9" s="20" t="s">
        <v>269</v>
      </c>
      <c r="C9" s="140"/>
      <c r="D9" s="140"/>
      <c r="E9" s="146"/>
      <c r="F9" s="146"/>
      <c r="G9" s="146">
        <f>L9</f>
        <v>562</v>
      </c>
      <c r="H9" s="146"/>
      <c r="I9" s="146"/>
      <c r="J9" s="146"/>
      <c r="K9" s="146"/>
      <c r="L9" s="146">
        <v>562</v>
      </c>
      <c r="M9" s="146">
        <v>1494</v>
      </c>
      <c r="N9" s="146">
        <v>3630</v>
      </c>
      <c r="O9" s="146">
        <v>8045</v>
      </c>
      <c r="P9" s="146">
        <v>12294</v>
      </c>
      <c r="Q9" s="146">
        <v>11530</v>
      </c>
      <c r="R9" s="118">
        <f>((Q9/G9)^(1/($H$2-$H$1) ))-1</f>
        <v>0.39890463842857904</v>
      </c>
      <c r="S9" s="31">
        <f t="shared" ref="S9:S40" si="5">$L$2</f>
        <v>0.12</v>
      </c>
      <c r="T9" s="153">
        <f t="shared" si="2"/>
        <v>12913.6</v>
      </c>
      <c r="U9" s="153">
        <f t="shared" ref="U9" si="6">T9*(1+$S9)</f>
        <v>14463.232000000002</v>
      </c>
      <c r="V9" s="153">
        <f t="shared" ref="V9" si="7">U9*(1+$S9)</f>
        <v>16198.819840000004</v>
      </c>
      <c r="W9" s="153">
        <f t="shared" ref="W9" si="8">V9*(1+$S9)</f>
        <v>18142.678220800008</v>
      </c>
      <c r="X9" s="153">
        <f t="shared" ref="X9" si="9">W9*(1+$S9)</f>
        <v>20319.799607296012</v>
      </c>
      <c r="Y9" s="153">
        <f t="shared" ref="Y9" si="10">X9*(1+$S9)</f>
        <v>22758.175560171538</v>
      </c>
      <c r="Z9" s="153">
        <f t="shared" ref="Z9" si="11">Y9*(1+$S9)</f>
        <v>25489.156627392123</v>
      </c>
      <c r="AA9" s="153">
        <f t="shared" ref="AA9" si="12">Z9*(1+$S9)</f>
        <v>28547.855422679182</v>
      </c>
      <c r="AB9" s="153">
        <f t="shared" ref="AB9" si="13">AA9*(1+$S9)</f>
        <v>31973.598073400688</v>
      </c>
      <c r="AC9" s="153">
        <f t="shared" ref="AC9" si="14">AB9*(1+$S9)</f>
        <v>35810.429842208774</v>
      </c>
      <c r="AD9" s="137">
        <f>((AC9/G9)^(1/($AC$3-$H$1) ))-1</f>
        <v>0.23087417806643717</v>
      </c>
      <c r="AE9" s="31">
        <f t="shared" ref="AE9:AE83" si="15">$L$1</f>
        <v>0.05</v>
      </c>
      <c r="AF9" s="145">
        <f t="shared" si="1"/>
        <v>221182.066672466</v>
      </c>
    </row>
    <row r="10" spans="2:32">
      <c r="B10" s="20" t="s">
        <v>4</v>
      </c>
      <c r="C10" s="140"/>
      <c r="D10" s="140"/>
      <c r="E10" s="146"/>
      <c r="F10" s="146"/>
      <c r="G10" s="146">
        <f>L10</f>
        <v>4989</v>
      </c>
      <c r="H10" s="146"/>
      <c r="I10" s="146"/>
      <c r="J10" s="146"/>
      <c r="K10" s="146"/>
      <c r="L10" s="146">
        <v>4989</v>
      </c>
      <c r="M10" s="146">
        <v>10570</v>
      </c>
      <c r="N10" s="146">
        <v>24502</v>
      </c>
      <c r="O10" s="146">
        <v>36005</v>
      </c>
      <c r="P10" s="146">
        <v>37602</v>
      </c>
      <c r="Q10" s="146">
        <v>39768</v>
      </c>
      <c r="R10" s="118">
        <f>((Q10/G10)^(1/($H$2-$H$1) ))-1</f>
        <v>0.2594151585460045</v>
      </c>
      <c r="S10" s="31">
        <f t="shared" si="5"/>
        <v>0.12</v>
      </c>
      <c r="T10" s="153">
        <f t="shared" si="2"/>
        <v>44540.160000000003</v>
      </c>
      <c r="U10" s="153">
        <f t="shared" ref="U10:AC10" si="16">T10*(1+$S10)</f>
        <v>49884.979200000009</v>
      </c>
      <c r="V10" s="153">
        <f t="shared" si="16"/>
        <v>55871.176704000012</v>
      </c>
      <c r="W10" s="153">
        <f t="shared" si="16"/>
        <v>62575.717908480023</v>
      </c>
      <c r="X10" s="153">
        <f t="shared" si="16"/>
        <v>70084.804057497633</v>
      </c>
      <c r="Y10" s="153">
        <f t="shared" si="16"/>
        <v>78494.98054439736</v>
      </c>
      <c r="Z10" s="153">
        <f t="shared" si="16"/>
        <v>87914.378209725051</v>
      </c>
      <c r="AA10" s="153">
        <f t="shared" si="16"/>
        <v>98464.103594892062</v>
      </c>
      <c r="AB10" s="153">
        <f t="shared" si="16"/>
        <v>110279.79602627912</v>
      </c>
      <c r="AC10" s="153">
        <f t="shared" si="16"/>
        <v>123513.37154943262</v>
      </c>
      <c r="AD10" s="137">
        <f t="shared" ref="AD10:AD42" si="17">((AC10/G10)^(1/($AC$3-$H$1) ))-1</f>
        <v>0.17404575782730491</v>
      </c>
      <c r="AE10" s="31">
        <f t="shared" si="15"/>
        <v>0.05</v>
      </c>
      <c r="AF10" s="145">
        <f t="shared" si="1"/>
        <v>762876.70662884857</v>
      </c>
    </row>
    <row r="11" spans="2:32">
      <c r="B11" s="20"/>
      <c r="C11" s="140"/>
      <c r="D11" s="140"/>
      <c r="E11" s="146"/>
      <c r="F11" s="146"/>
      <c r="G11" s="147">
        <f>(G10-F10)/G10</f>
        <v>1</v>
      </c>
      <c r="H11" s="147" t="e">
        <f t="shared" ref="H11:Q11" si="18">(H10-G10)/H10</f>
        <v>#DIV/0!</v>
      </c>
      <c r="I11" s="147" t="e">
        <f t="shared" si="18"/>
        <v>#DIV/0!</v>
      </c>
      <c r="J11" s="147" t="e">
        <f t="shared" si="18"/>
        <v>#DIV/0!</v>
      </c>
      <c r="K11" s="147" t="e">
        <f t="shared" si="18"/>
        <v>#DIV/0!</v>
      </c>
      <c r="L11" s="147">
        <f t="shared" si="18"/>
        <v>1</v>
      </c>
      <c r="M11" s="147">
        <f t="shared" si="18"/>
        <v>0.52800378429517503</v>
      </c>
      <c r="N11" s="147">
        <f t="shared" si="18"/>
        <v>0.56860664435556285</v>
      </c>
      <c r="O11" s="147">
        <f t="shared" si="18"/>
        <v>0.3194834050826274</v>
      </c>
      <c r="P11" s="147">
        <f t="shared" si="18"/>
        <v>4.2471145151853622E-2</v>
      </c>
      <c r="Q11" s="147">
        <f t="shared" si="18"/>
        <v>5.4465902232951113E-2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>
      <c r="B12" s="20" t="s">
        <v>2</v>
      </c>
      <c r="C12" s="140"/>
      <c r="D12" s="140"/>
      <c r="E12" s="146"/>
      <c r="F12" s="146"/>
      <c r="G12" s="146">
        <f>L12</f>
        <v>558</v>
      </c>
      <c r="H12" s="146"/>
      <c r="I12" s="146"/>
      <c r="J12" s="146"/>
      <c r="K12" s="146"/>
      <c r="L12" s="146">
        <v>558</v>
      </c>
      <c r="M12" s="146">
        <f>953+213</f>
        <v>1166</v>
      </c>
      <c r="N12" s="146">
        <v>1255</v>
      </c>
      <c r="O12" s="146">
        <v>3240</v>
      </c>
      <c r="P12" s="146">
        <v>1718</v>
      </c>
      <c r="Q12" s="146">
        <v>830</v>
      </c>
      <c r="R12" s="118">
        <f>((Q12/G12)^(1/($H$2-$H$1) ))-1</f>
        <v>4.5106220319525603E-2</v>
      </c>
      <c r="S12" s="31">
        <f t="shared" si="5"/>
        <v>0.12</v>
      </c>
      <c r="T12" s="153">
        <f t="shared" si="2"/>
        <v>929.60000000000014</v>
      </c>
      <c r="U12" s="153">
        <f t="shared" ref="U12:AC12" si="19">T12*(1+$S12)</f>
        <v>1041.1520000000003</v>
      </c>
      <c r="V12" s="153">
        <f t="shared" si="19"/>
        <v>1166.0902400000004</v>
      </c>
      <c r="W12" s="153">
        <f t="shared" si="19"/>
        <v>1306.0210688000006</v>
      </c>
      <c r="X12" s="153">
        <f t="shared" si="19"/>
        <v>1462.7435970560009</v>
      </c>
      <c r="Y12" s="153">
        <f t="shared" si="19"/>
        <v>1638.2728287027212</v>
      </c>
      <c r="Z12" s="153">
        <f t="shared" si="19"/>
        <v>1834.865568147048</v>
      </c>
      <c r="AA12" s="153">
        <f t="shared" si="19"/>
        <v>2055.0494363246939</v>
      </c>
      <c r="AB12" s="153">
        <f t="shared" si="19"/>
        <v>2301.6553686836573</v>
      </c>
      <c r="AC12" s="153">
        <f t="shared" si="19"/>
        <v>2577.8540129256967</v>
      </c>
      <c r="AD12" s="137">
        <f t="shared" si="17"/>
        <v>7.9521275644698131E-2</v>
      </c>
      <c r="AE12" s="31">
        <f t="shared" si="15"/>
        <v>0.05</v>
      </c>
      <c r="AF12" s="145">
        <f t="shared" si="1"/>
        <v>15922.039491599893</v>
      </c>
    </row>
    <row r="13" spans="2:32">
      <c r="B13" s="20" t="s">
        <v>218</v>
      </c>
      <c r="C13" s="140"/>
      <c r="D13" s="140"/>
      <c r="E13" s="146"/>
      <c r="F13" s="146"/>
      <c r="G13" s="146">
        <f t="shared" ref="G13:G47" si="20">L13</f>
        <v>0</v>
      </c>
      <c r="H13" s="146"/>
      <c r="I13" s="146"/>
      <c r="J13" s="146"/>
      <c r="K13" s="146"/>
      <c r="L13" s="146">
        <v>0</v>
      </c>
      <c r="M13" s="146">
        <v>0.01</v>
      </c>
      <c r="N13" s="146">
        <v>10</v>
      </c>
      <c r="O13" s="146">
        <v>19</v>
      </c>
      <c r="P13" s="146">
        <v>23</v>
      </c>
      <c r="Q13" s="146">
        <v>115</v>
      </c>
      <c r="R13" s="118" t="e">
        <f>((Q13/G13)^(1/($H$2-$H$1) ))-1</f>
        <v>#DIV/0!</v>
      </c>
      <c r="S13" s="31">
        <f t="shared" si="5"/>
        <v>0.12</v>
      </c>
      <c r="T13" s="153">
        <f t="shared" si="2"/>
        <v>128.80000000000001</v>
      </c>
      <c r="U13" s="153">
        <f t="shared" ref="U13:AC13" si="21">T13*(1+$S13)</f>
        <v>144.25600000000003</v>
      </c>
      <c r="V13" s="153">
        <f t="shared" si="21"/>
        <v>161.56672000000006</v>
      </c>
      <c r="W13" s="153">
        <f t="shared" si="21"/>
        <v>180.95472640000008</v>
      </c>
      <c r="X13" s="153">
        <f t="shared" si="21"/>
        <v>202.66929356800011</v>
      </c>
      <c r="Y13" s="153">
        <f t="shared" si="21"/>
        <v>226.98960879616016</v>
      </c>
      <c r="Z13" s="153">
        <f t="shared" si="21"/>
        <v>254.22836185169939</v>
      </c>
      <c r="AA13" s="153">
        <f t="shared" si="21"/>
        <v>284.73576527390333</v>
      </c>
      <c r="AB13" s="153">
        <f t="shared" si="21"/>
        <v>318.90405710677175</v>
      </c>
      <c r="AC13" s="153">
        <f t="shared" si="21"/>
        <v>357.1725439595844</v>
      </c>
      <c r="AD13" s="137" t="e">
        <f t="shared" si="17"/>
        <v>#DIV/0!</v>
      </c>
      <c r="AE13" s="31">
        <f t="shared" si="15"/>
        <v>0.05</v>
      </c>
      <c r="AF13" s="145">
        <f t="shared" si="1"/>
        <v>2206.0657126915507</v>
      </c>
    </row>
    <row r="14" spans="2:32">
      <c r="B14" s="20" t="s">
        <v>372</v>
      </c>
      <c r="C14" s="140"/>
      <c r="D14" s="140"/>
      <c r="E14" s="146"/>
      <c r="F14" s="146"/>
      <c r="G14" s="146">
        <f t="shared" si="20"/>
        <v>0</v>
      </c>
      <c r="H14" s="146"/>
      <c r="I14" s="146"/>
      <c r="J14" s="146"/>
      <c r="K14" s="146"/>
      <c r="L14" s="146">
        <v>0</v>
      </c>
      <c r="M14" s="146">
        <v>10</v>
      </c>
      <c r="N14" s="146">
        <v>283</v>
      </c>
      <c r="O14" s="146">
        <v>827</v>
      </c>
      <c r="P14" s="146">
        <v>1555</v>
      </c>
      <c r="Q14" s="146">
        <v>1281</v>
      </c>
      <c r="R14" s="118" t="e">
        <f>((Q14/G14)^(1/($H$2-$H$1) ))-1</f>
        <v>#DIV/0!</v>
      </c>
      <c r="S14" s="31">
        <f t="shared" si="5"/>
        <v>0.12</v>
      </c>
      <c r="T14" s="153">
        <f t="shared" si="2"/>
        <v>1434.72</v>
      </c>
      <c r="U14" s="153">
        <f t="shared" ref="U14" si="22">T14*(1+$S14)</f>
        <v>1606.8864000000001</v>
      </c>
      <c r="V14" s="153">
        <f t="shared" ref="V14" si="23">U14*(1+$S14)</f>
        <v>1799.7127680000003</v>
      </c>
      <c r="W14" s="153">
        <f t="shared" ref="W14" si="24">V14*(1+$S14)</f>
        <v>2015.6783001600006</v>
      </c>
      <c r="X14" s="153">
        <f t="shared" ref="X14" si="25">W14*(1+$S14)</f>
        <v>2257.5596961792007</v>
      </c>
      <c r="Y14" s="153">
        <f t="shared" ref="Y14" si="26">X14*(1+$S14)</f>
        <v>2528.4668597207051</v>
      </c>
      <c r="Z14" s="153">
        <f t="shared" ref="Z14" si="27">Y14*(1+$S14)</f>
        <v>2831.8828828871901</v>
      </c>
      <c r="AA14" s="153">
        <f t="shared" ref="AA14" si="28">Z14*(1+$S14)</f>
        <v>3171.7088288336531</v>
      </c>
      <c r="AB14" s="153">
        <f t="shared" ref="AB14" si="29">AA14*(1+$S14)</f>
        <v>3552.3138882936919</v>
      </c>
      <c r="AC14" s="153">
        <f t="shared" ref="AC14" si="30">AB14*(1+$S14)</f>
        <v>3978.5915548889352</v>
      </c>
      <c r="AD14" s="137" t="e">
        <f t="shared" ref="AD14" si="31">((AC14/G14)^(1/($AC$3-$H$1) ))-1</f>
        <v>#DIV/0!</v>
      </c>
      <c r="AE14" s="31">
        <f t="shared" si="15"/>
        <v>0.05</v>
      </c>
      <c r="AF14" s="145">
        <f t="shared" ref="AF14" si="32">(AC14*(1+AE14))/($C$1-AE14)</f>
        <v>24573.653721372837</v>
      </c>
    </row>
    <row r="15" spans="2:32">
      <c r="B15" s="20" t="s">
        <v>19</v>
      </c>
      <c r="C15" s="140"/>
      <c r="D15" s="140"/>
      <c r="E15" s="146"/>
      <c r="F15" s="146"/>
      <c r="G15" s="146">
        <f t="shared" si="20"/>
        <v>558</v>
      </c>
      <c r="H15" s="146"/>
      <c r="I15" s="146"/>
      <c r="J15" s="146"/>
      <c r="K15" s="146"/>
      <c r="L15" s="146">
        <v>558</v>
      </c>
      <c r="M15" s="146">
        <v>478</v>
      </c>
      <c r="N15" s="146">
        <v>1956</v>
      </c>
      <c r="O15" s="146">
        <v>4516</v>
      </c>
      <c r="P15" s="146">
        <v>4032</v>
      </c>
      <c r="Q15" s="146">
        <v>3654</v>
      </c>
      <c r="R15" s="118">
        <f>((Q15/G15)^(1/($H$2-$H$1) ))-1</f>
        <v>0.23220110462283916</v>
      </c>
      <c r="S15" s="31">
        <f t="shared" si="5"/>
        <v>0.12</v>
      </c>
      <c r="T15" s="153">
        <f t="shared" si="2"/>
        <v>4092.4800000000005</v>
      </c>
      <c r="U15" s="153">
        <f t="shared" ref="U15:AC15" si="33">T15*(1+$S15)</f>
        <v>4583.5776000000005</v>
      </c>
      <c r="V15" s="153">
        <f t="shared" si="33"/>
        <v>5133.6069120000011</v>
      </c>
      <c r="W15" s="153">
        <f t="shared" si="33"/>
        <v>5749.6397414400017</v>
      </c>
      <c r="X15" s="153">
        <f t="shared" si="33"/>
        <v>6439.5965104128027</v>
      </c>
      <c r="Y15" s="153">
        <f t="shared" si="33"/>
        <v>7212.3480916623394</v>
      </c>
      <c r="Z15" s="153">
        <f t="shared" si="33"/>
        <v>8077.8298626618207</v>
      </c>
      <c r="AA15" s="153">
        <f t="shared" si="33"/>
        <v>9047.1694461812403</v>
      </c>
      <c r="AB15" s="153">
        <f t="shared" si="33"/>
        <v>10132.82977972299</v>
      </c>
      <c r="AC15" s="153">
        <f t="shared" si="33"/>
        <v>11348.76935328975</v>
      </c>
      <c r="AD15" s="137">
        <f t="shared" si="17"/>
        <v>0.16256094322092407</v>
      </c>
      <c r="AE15" s="31">
        <f t="shared" si="15"/>
        <v>0.05</v>
      </c>
      <c r="AF15" s="145">
        <f t="shared" si="1"/>
        <v>70095.340123260234</v>
      </c>
    </row>
    <row r="16" spans="2:32">
      <c r="B16" s="20" t="s">
        <v>23</v>
      </c>
      <c r="C16" s="140"/>
      <c r="D16" s="140"/>
      <c r="E16" s="146"/>
      <c r="F16" s="146"/>
      <c r="G16" s="146">
        <f t="shared" si="20"/>
        <v>413</v>
      </c>
      <c r="H16" s="146"/>
      <c r="I16" s="146"/>
      <c r="J16" s="146"/>
      <c r="K16" s="146"/>
      <c r="L16" s="146">
        <v>413</v>
      </c>
      <c r="M16" s="146">
        <v>894</v>
      </c>
      <c r="N16" s="146">
        <v>-1091</v>
      </c>
      <c r="O16" s="146">
        <v>61</v>
      </c>
      <c r="P16" s="146">
        <v>-6191</v>
      </c>
      <c r="Q16" s="146">
        <v>-3827</v>
      </c>
      <c r="R16" s="118">
        <f>((Q16/G16)^(1/($H$2-$H$1) ))-1</f>
        <v>-2.2806612468057854</v>
      </c>
      <c r="S16" s="31">
        <f t="shared" si="5"/>
        <v>0.12</v>
      </c>
      <c r="T16" s="153">
        <f t="shared" si="2"/>
        <v>-4286.2400000000007</v>
      </c>
      <c r="U16" s="153">
        <f t="shared" ref="U16:AC16" si="34">T16*(1+$S16)</f>
        <v>-4800.5888000000014</v>
      </c>
      <c r="V16" s="153">
        <f t="shared" si="34"/>
        <v>-5376.6594560000021</v>
      </c>
      <c r="W16" s="153">
        <f t="shared" si="34"/>
        <v>-6021.8585907200031</v>
      </c>
      <c r="X16" s="153">
        <f t="shared" si="34"/>
        <v>-6744.4816216064046</v>
      </c>
      <c r="Y16" s="153">
        <f t="shared" si="34"/>
        <v>-7553.8194161991742</v>
      </c>
      <c r="Z16" s="153">
        <f t="shared" si="34"/>
        <v>-8460.277746143076</v>
      </c>
      <c r="AA16" s="153">
        <f t="shared" si="34"/>
        <v>-9475.511075680246</v>
      </c>
      <c r="AB16" s="153">
        <f t="shared" si="34"/>
        <v>-10612.572404761877</v>
      </c>
      <c r="AC16" s="153">
        <f t="shared" si="34"/>
        <v>-11886.081093333303</v>
      </c>
      <c r="AD16" s="137" t="e">
        <f t="shared" si="17"/>
        <v>#NUM!</v>
      </c>
      <c r="AE16" s="31">
        <f t="shared" si="15"/>
        <v>0.05</v>
      </c>
      <c r="AF16" s="145">
        <f t="shared" si="1"/>
        <v>-73414.03028235276</v>
      </c>
    </row>
    <row r="17" spans="2:3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>
      <c r="B18" s="20" t="s">
        <v>277</v>
      </c>
      <c r="C18" s="140"/>
      <c r="D18" s="140"/>
      <c r="E18" s="146"/>
      <c r="F18" s="146"/>
      <c r="G18" s="146">
        <f t="shared" si="20"/>
        <v>337</v>
      </c>
      <c r="H18" s="146"/>
      <c r="I18" s="146"/>
      <c r="J18" s="146"/>
      <c r="K18" s="146"/>
      <c r="L18" s="146">
        <v>337</v>
      </c>
      <c r="M18" s="146">
        <v>2787</v>
      </c>
      <c r="N18" s="146">
        <v>8747</v>
      </c>
      <c r="O18" s="146">
        <v>15804</v>
      </c>
      <c r="P18" s="146">
        <v>29088</v>
      </c>
      <c r="Q18" s="146">
        <v>46364</v>
      </c>
      <c r="R18" s="118">
        <f>((Q18/G18)^(1/($H$2-$H$1) ))-1</f>
        <v>0.72829063779304892</v>
      </c>
      <c r="S18" s="31">
        <f t="shared" si="5"/>
        <v>0.12</v>
      </c>
      <c r="T18" s="153">
        <f t="shared" si="2"/>
        <v>51927.680000000008</v>
      </c>
      <c r="U18" s="153">
        <f t="shared" ref="U18:U34" si="35">T18*(1+$S18)</f>
        <v>58159.001600000011</v>
      </c>
      <c r="V18" s="153">
        <f t="shared" ref="V18:V34" si="36">U18*(1+$S18)</f>
        <v>65138.081792000019</v>
      </c>
      <c r="W18" s="153">
        <f t="shared" ref="W18:W34" si="37">V18*(1+$S18)</f>
        <v>72954.651607040025</v>
      </c>
      <c r="X18" s="153">
        <f t="shared" ref="X18:X36" si="38">W18*(1+$S18)</f>
        <v>81709.209799884833</v>
      </c>
      <c r="Y18" s="153">
        <f t="shared" ref="Y18:Y36" si="39">X18*(1+$S18)</f>
        <v>91514.314975871021</v>
      </c>
      <c r="Z18" s="153">
        <f t="shared" ref="Z18:Z36" si="40">Y18*(1+$S18)</f>
        <v>102496.03277297555</v>
      </c>
      <c r="AA18" s="153">
        <f t="shared" ref="AA18:AA36" si="41">Z18*(1+$S18)</f>
        <v>114795.55670573263</v>
      </c>
      <c r="AB18" s="153">
        <f t="shared" ref="AB18:AB36" si="42">AA18*(1+$S18)</f>
        <v>128571.02351042055</v>
      </c>
      <c r="AC18" s="153">
        <f t="shared" ref="AC18:AC36" si="43">AB18*(1+$S18)</f>
        <v>143999.54633167104</v>
      </c>
      <c r="AD18" s="137">
        <f t="shared" si="17"/>
        <v>0.3537440510307861</v>
      </c>
      <c r="AE18" s="31">
        <f t="shared" si="15"/>
        <v>0.05</v>
      </c>
      <c r="AF18" s="145">
        <f t="shared" si="1"/>
        <v>889408.96263679187</v>
      </c>
    </row>
    <row r="19" spans="2:3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>
      <c r="B20" s="20" t="s">
        <v>283</v>
      </c>
      <c r="C20" s="140"/>
      <c r="D20" s="140"/>
      <c r="E20" s="146"/>
      <c r="F20" s="146"/>
      <c r="G20" s="146">
        <f t="shared" si="20"/>
        <v>-2</v>
      </c>
      <c r="H20" s="146"/>
      <c r="I20" s="146"/>
      <c r="J20" s="146"/>
      <c r="K20" s="146"/>
      <c r="L20" s="146">
        <v>-2</v>
      </c>
      <c r="M20" s="146">
        <v>161</v>
      </c>
      <c r="N20" s="146">
        <v>884</v>
      </c>
      <c r="O20" s="146">
        <v>893</v>
      </c>
      <c r="P20" s="146">
        <v>1969</v>
      </c>
      <c r="Q20" s="146">
        <v>3385</v>
      </c>
      <c r="R20" s="118">
        <f>((Q20/G20)^(1/($H$2-$H$1) ))-1</f>
        <v>-3.2841541444034532</v>
      </c>
      <c r="S20" s="31">
        <f t="shared" si="5"/>
        <v>0.12</v>
      </c>
      <c r="T20" s="153">
        <f t="shared" si="2"/>
        <v>3791.2000000000003</v>
      </c>
      <c r="U20" s="153">
        <f t="shared" ref="U20:U22" si="44">T20*(1+$S20)</f>
        <v>4246.1440000000011</v>
      </c>
      <c r="V20" s="153">
        <f t="shared" ref="V20:V22" si="45">U20*(1+$S20)</f>
        <v>4755.6812800000016</v>
      </c>
      <c r="W20" s="153">
        <f t="shared" ref="W20:W22" si="46">V20*(1+$S20)</f>
        <v>5326.3630336000024</v>
      </c>
      <c r="X20" s="153">
        <f t="shared" ref="X20:X22" si="47">W20*(1+$S20)</f>
        <v>5965.5265976320034</v>
      </c>
      <c r="Y20" s="153">
        <f t="shared" ref="Y20:Y22" si="48">X20*(1+$S20)</f>
        <v>6681.3897893478443</v>
      </c>
      <c r="Z20" s="153">
        <f t="shared" ref="Z20:Z22" si="49">Y20*(1+$S20)</f>
        <v>7483.1565640695862</v>
      </c>
      <c r="AA20" s="153">
        <f t="shared" ref="AA20:AA22" si="50">Z20*(1+$S20)</f>
        <v>8381.1353517579373</v>
      </c>
      <c r="AB20" s="153">
        <f t="shared" ref="AB20:AB22" si="51">AA20*(1+$S20)</f>
        <v>9386.87159396889</v>
      </c>
      <c r="AC20" s="153">
        <f t="shared" ref="AC20:AC22" si="52">AB20*(1+$S20)</f>
        <v>10513.296185245157</v>
      </c>
      <c r="AD20" s="137" t="e">
        <f t="shared" ref="AD20:AD22" si="53">((AC20/G20)^(1/($AC$3-$H$1) ))-1</f>
        <v>#NUM!</v>
      </c>
      <c r="AE20" s="31">
        <f t="shared" si="15"/>
        <v>0.05</v>
      </c>
      <c r="AF20" s="145">
        <f t="shared" si="1"/>
        <v>64935.064673573041</v>
      </c>
    </row>
    <row r="21" spans="2:32">
      <c r="B21" s="20" t="s">
        <v>284</v>
      </c>
      <c r="C21" s="140"/>
      <c r="D21" s="140"/>
      <c r="E21" s="146"/>
      <c r="F21" s="146"/>
      <c r="G21" s="146">
        <f t="shared" si="20"/>
        <v>-4139</v>
      </c>
      <c r="H21" s="146"/>
      <c r="I21" s="146"/>
      <c r="J21" s="146"/>
      <c r="K21" s="146"/>
      <c r="L21" s="146">
        <v>-4139</v>
      </c>
      <c r="M21" s="146">
        <v>-7189</v>
      </c>
      <c r="N21" s="146">
        <v>-7708</v>
      </c>
      <c r="O21" s="146">
        <v>-9253</v>
      </c>
      <c r="P21" s="146">
        <v>379</v>
      </c>
      <c r="Q21" s="146">
        <v>-31</v>
      </c>
      <c r="R21" s="118">
        <f>((Q21/G21)^(1/($H$2-$H$1) ))-1</f>
        <v>-0.41946342648786794</v>
      </c>
      <c r="S21" s="31">
        <f t="shared" si="5"/>
        <v>0.12</v>
      </c>
      <c r="T21" s="153">
        <f t="shared" si="2"/>
        <v>-34.720000000000006</v>
      </c>
      <c r="U21" s="153">
        <f t="shared" si="44"/>
        <v>-38.886400000000009</v>
      </c>
      <c r="V21" s="153">
        <f t="shared" si="45"/>
        <v>-43.552768000000015</v>
      </c>
      <c r="W21" s="153">
        <f t="shared" si="46"/>
        <v>-48.77910016000002</v>
      </c>
      <c r="X21" s="153">
        <f t="shared" si="47"/>
        <v>-54.632592179200024</v>
      </c>
      <c r="Y21" s="153">
        <f t="shared" si="48"/>
        <v>-61.18850324070403</v>
      </c>
      <c r="Z21" s="153">
        <f t="shared" si="49"/>
        <v>-68.531123629588521</v>
      </c>
      <c r="AA21" s="153">
        <f t="shared" si="50"/>
        <v>-76.754858465139151</v>
      </c>
      <c r="AB21" s="153">
        <f t="shared" si="51"/>
        <v>-85.96544148095586</v>
      </c>
      <c r="AC21" s="153">
        <f t="shared" si="52"/>
        <v>-96.281294458670573</v>
      </c>
      <c r="AD21" s="137">
        <f t="shared" si="53"/>
        <v>-0.17142404758751906</v>
      </c>
      <c r="AE21" s="31">
        <f t="shared" si="15"/>
        <v>0.05</v>
      </c>
      <c r="AF21" s="145">
        <f t="shared" si="1"/>
        <v>-594.67858342120076</v>
      </c>
    </row>
    <row r="22" spans="2:32">
      <c r="B22" s="20" t="s">
        <v>285</v>
      </c>
      <c r="C22" s="140"/>
      <c r="D22" s="140"/>
      <c r="E22" s="146"/>
      <c r="F22" s="146"/>
      <c r="G22" s="146">
        <f t="shared" si="20"/>
        <v>4443</v>
      </c>
      <c r="H22" s="146"/>
      <c r="I22" s="146"/>
      <c r="J22" s="146"/>
      <c r="K22" s="146"/>
      <c r="L22" s="146">
        <v>4443</v>
      </c>
      <c r="M22" s="146">
        <v>7560</v>
      </c>
      <c r="N22" s="146">
        <v>6654</v>
      </c>
      <c r="O22" s="146">
        <v>8234</v>
      </c>
      <c r="P22" s="146">
        <v>-2394</v>
      </c>
      <c r="Q22" s="146">
        <v>-3352</v>
      </c>
      <c r="R22" s="118">
        <f>((Q22/G22)^(1/($H$2-$H$1) ))-1</f>
        <v>-1.9691769515160642</v>
      </c>
      <c r="S22" s="31">
        <f t="shared" si="5"/>
        <v>0.12</v>
      </c>
      <c r="T22" s="153">
        <f t="shared" si="2"/>
        <v>-3754.2400000000002</v>
      </c>
      <c r="U22" s="153">
        <f t="shared" si="44"/>
        <v>-4204.7488000000003</v>
      </c>
      <c r="V22" s="153">
        <f t="shared" si="45"/>
        <v>-4709.3186560000004</v>
      </c>
      <c r="W22" s="153">
        <f t="shared" si="46"/>
        <v>-5274.436894720001</v>
      </c>
      <c r="X22" s="153">
        <f t="shared" si="47"/>
        <v>-5907.3693220864016</v>
      </c>
      <c r="Y22" s="153">
        <f t="shared" si="48"/>
        <v>-6616.2536407367706</v>
      </c>
      <c r="Z22" s="153">
        <f t="shared" si="49"/>
        <v>-7410.2040776251843</v>
      </c>
      <c r="AA22" s="153">
        <f t="shared" si="50"/>
        <v>-8299.428566940207</v>
      </c>
      <c r="AB22" s="153">
        <f t="shared" si="51"/>
        <v>-9295.3599949730324</v>
      </c>
      <c r="AC22" s="153">
        <f t="shared" si="52"/>
        <v>-10410.803194369797</v>
      </c>
      <c r="AD22" s="137" t="e">
        <f t="shared" si="53"/>
        <v>#NUM!</v>
      </c>
      <c r="AE22" s="31">
        <f t="shared" si="15"/>
        <v>0.05</v>
      </c>
      <c r="AF22" s="145">
        <f t="shared" si="1"/>
        <v>-64302.019729931104</v>
      </c>
    </row>
    <row r="23" spans="2:32">
      <c r="B23" s="20" t="s">
        <v>294</v>
      </c>
      <c r="C23" s="140"/>
      <c r="D23" s="140"/>
      <c r="E23" s="146"/>
      <c r="F23" s="146"/>
      <c r="G23" s="146">
        <f t="shared" si="20"/>
        <v>494</v>
      </c>
      <c r="H23" s="146"/>
      <c r="I23" s="146"/>
      <c r="J23" s="146"/>
      <c r="K23" s="146"/>
      <c r="L23" s="146">
        <v>494</v>
      </c>
      <c r="M23" s="146">
        <v>1026</v>
      </c>
      <c r="N23" s="146">
        <v>856</v>
      </c>
      <c r="O23" s="146">
        <v>326</v>
      </c>
      <c r="P23" s="146">
        <v>281</v>
      </c>
      <c r="Q23" s="146">
        <v>81</v>
      </c>
      <c r="R23" s="118">
        <f>((Q23/G23)^(1/($H$2-$H$1) ))-1</f>
        <v>-0.18200453362528057</v>
      </c>
      <c r="S23" s="31">
        <f t="shared" si="5"/>
        <v>0.12</v>
      </c>
      <c r="T23" s="153">
        <f t="shared" si="2"/>
        <v>90.720000000000013</v>
      </c>
      <c r="U23" s="153">
        <f t="shared" ref="U23" si="54">T23*(1+$S23)</f>
        <v>101.60640000000002</v>
      </c>
      <c r="V23" s="153">
        <f t="shared" ref="V23" si="55">U23*(1+$S23)</f>
        <v>113.79916800000004</v>
      </c>
      <c r="W23" s="153">
        <f t="shared" ref="W23" si="56">V23*(1+$S23)</f>
        <v>127.45506816000005</v>
      </c>
      <c r="X23" s="153">
        <f t="shared" ref="X23" si="57">W23*(1+$S23)</f>
        <v>142.74967633920008</v>
      </c>
      <c r="Y23" s="153">
        <f t="shared" ref="Y23" si="58">X23*(1+$S23)</f>
        <v>159.87963749990411</v>
      </c>
      <c r="Z23" s="153">
        <f t="shared" ref="Z23" si="59">Y23*(1+$S23)</f>
        <v>179.06519399989261</v>
      </c>
      <c r="AA23" s="153">
        <f t="shared" ref="AA23" si="60">Z23*(1+$S23)</f>
        <v>200.55301727987975</v>
      </c>
      <c r="AB23" s="153">
        <f t="shared" ref="AB23" si="61">AA23*(1+$S23)</f>
        <v>224.61937935346535</v>
      </c>
      <c r="AC23" s="153">
        <f t="shared" ref="AC23" si="62">AB23*(1+$S23)</f>
        <v>251.57370487588122</v>
      </c>
      <c r="AD23" s="137">
        <f t="shared" ref="AD23" si="63">((AC23/G23)^(1/($AC$3-$H$1) ))-1</f>
        <v>-3.3177130384371534E-2</v>
      </c>
      <c r="AE23" s="31">
        <f t="shared" si="15"/>
        <v>0.05</v>
      </c>
      <c r="AF23" s="145">
        <f t="shared" si="1"/>
        <v>1553.8375889392667</v>
      </c>
    </row>
    <row r="24" spans="2:3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>
      <c r="B25" s="20" t="s">
        <v>89</v>
      </c>
      <c r="C25" s="140"/>
      <c r="D25" s="140"/>
      <c r="E25" s="146"/>
      <c r="F25" s="146"/>
      <c r="G25" s="146">
        <f t="shared" si="20"/>
        <v>0.01</v>
      </c>
      <c r="H25" s="146"/>
      <c r="I25" s="146"/>
      <c r="J25" s="146"/>
      <c r="K25" s="146"/>
      <c r="L25" s="146">
        <v>0.01</v>
      </c>
      <c r="M25" s="146">
        <v>467</v>
      </c>
      <c r="N25" s="146">
        <v>2153</v>
      </c>
      <c r="O25" s="146">
        <v>4092</v>
      </c>
      <c r="P25" s="146">
        <v>6994</v>
      </c>
      <c r="Q25" s="146">
        <v>15994</v>
      </c>
      <c r="R25" s="118">
        <f>((Q25/G25)^(1/($H$2-$H$1) ))-1</f>
        <v>3.8902218944887252</v>
      </c>
      <c r="S25" s="31">
        <f t="shared" si="5"/>
        <v>0.12</v>
      </c>
      <c r="T25" s="153">
        <f t="shared" si="2"/>
        <v>17913.280000000002</v>
      </c>
      <c r="U25" s="153">
        <f t="shared" si="35"/>
        <v>20062.873600000006</v>
      </c>
      <c r="V25" s="153">
        <f t="shared" si="36"/>
        <v>22470.418432000009</v>
      </c>
      <c r="W25" s="153">
        <f t="shared" si="37"/>
        <v>25166.868643840015</v>
      </c>
      <c r="X25" s="153">
        <f t="shared" si="38"/>
        <v>28186.892881100819</v>
      </c>
      <c r="Y25" s="153">
        <f t="shared" si="39"/>
        <v>31569.32002683292</v>
      </c>
      <c r="Z25" s="153">
        <f t="shared" si="40"/>
        <v>35357.638430052873</v>
      </c>
      <c r="AA25" s="153">
        <f t="shared" si="41"/>
        <v>39600.555041659223</v>
      </c>
      <c r="AB25" s="153">
        <f t="shared" si="42"/>
        <v>44352.621646658336</v>
      </c>
      <c r="AC25" s="153">
        <f t="shared" si="43"/>
        <v>49674.93624425734</v>
      </c>
      <c r="AD25" s="137">
        <f t="shared" si="17"/>
        <v>1.1617569600660191</v>
      </c>
      <c r="AE25" s="31">
        <f t="shared" si="15"/>
        <v>0.05</v>
      </c>
      <c r="AF25" s="145">
        <f t="shared" si="1"/>
        <v>306815.7826851189</v>
      </c>
    </row>
    <row r="26" spans="2:32" s="123" customFormat="1">
      <c r="B26" s="23"/>
      <c r="C26" s="148"/>
      <c r="D26" s="148"/>
      <c r="E26" s="149"/>
      <c r="F26" s="149"/>
      <c r="G26" s="147">
        <f>(G25-F25)/G25</f>
        <v>1</v>
      </c>
      <c r="H26" s="147" t="e">
        <f>(H25-G25)/H25</f>
        <v>#DIV/0!</v>
      </c>
      <c r="I26" s="147" t="e">
        <f t="shared" ref="I26:Q26" si="64">(I25-H25)/I25</f>
        <v>#DIV/0!</v>
      </c>
      <c r="J26" s="147" t="e">
        <f t="shared" si="64"/>
        <v>#DIV/0!</v>
      </c>
      <c r="K26" s="147" t="e">
        <f t="shared" si="64"/>
        <v>#DIV/0!</v>
      </c>
      <c r="L26" s="147">
        <f t="shared" si="64"/>
        <v>1</v>
      </c>
      <c r="M26" s="147">
        <f t="shared" si="64"/>
        <v>0.99997858672376871</v>
      </c>
      <c r="N26" s="147">
        <f t="shared" si="64"/>
        <v>0.78309335810496983</v>
      </c>
      <c r="O26" s="147">
        <f t="shared" si="64"/>
        <v>0.47385141739980452</v>
      </c>
      <c r="P26" s="147">
        <f t="shared" si="64"/>
        <v>0.41492708035458964</v>
      </c>
      <c r="Q26" s="147">
        <f t="shared" si="64"/>
        <v>0.56271101663123668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>
      <c r="B27" s="20" t="s">
        <v>261</v>
      </c>
      <c r="C27" s="140"/>
      <c r="D27" s="140"/>
      <c r="E27" s="146"/>
      <c r="F27" s="146"/>
      <c r="G27" s="146">
        <f t="shared" si="20"/>
        <v>0.01</v>
      </c>
      <c r="H27" s="146"/>
      <c r="I27" s="146"/>
      <c r="J27" s="146"/>
      <c r="K27" s="146"/>
      <c r="L27" s="146">
        <v>0.01</v>
      </c>
      <c r="M27" s="146">
        <v>191</v>
      </c>
      <c r="N27" s="146">
        <v>915</v>
      </c>
      <c r="O27" s="146">
        <v>2764</v>
      </c>
      <c r="P27" s="146">
        <v>5819</v>
      </c>
      <c r="Q27" s="146">
        <v>11095</v>
      </c>
      <c r="R27" s="118">
        <f>((Q27/G27)^(1/($H$2-$H$1) ))-1</f>
        <v>3.6954888309797784</v>
      </c>
      <c r="S27" s="31">
        <f t="shared" si="5"/>
        <v>0.12</v>
      </c>
      <c r="T27" s="153">
        <f t="shared" si="2"/>
        <v>12426.400000000001</v>
      </c>
      <c r="U27" s="153">
        <f t="shared" si="35"/>
        <v>13917.568000000003</v>
      </c>
      <c r="V27" s="153">
        <f t="shared" si="36"/>
        <v>15587.676160000005</v>
      </c>
      <c r="W27" s="153">
        <f t="shared" si="37"/>
        <v>17458.197299200008</v>
      </c>
      <c r="X27" s="153">
        <f t="shared" si="38"/>
        <v>19553.180975104013</v>
      </c>
      <c r="Y27" s="153">
        <f t="shared" si="39"/>
        <v>21899.562692116495</v>
      </c>
      <c r="Z27" s="153">
        <f t="shared" si="40"/>
        <v>24527.510215170478</v>
      </c>
      <c r="AA27" s="153">
        <f t="shared" si="41"/>
        <v>27470.811440990939</v>
      </c>
      <c r="AB27" s="153">
        <f t="shared" si="42"/>
        <v>30767.308813909855</v>
      </c>
      <c r="AC27" s="153">
        <f t="shared" si="43"/>
        <v>34459.385871579041</v>
      </c>
      <c r="AD27" s="137">
        <f t="shared" si="17"/>
        <v>1.1225863970975554</v>
      </c>
      <c r="AE27" s="31">
        <f t="shared" si="15"/>
        <v>0.05</v>
      </c>
      <c r="AF27" s="145">
        <f t="shared" si="1"/>
        <v>212837.38332445885</v>
      </c>
    </row>
    <row r="28" spans="2:32" s="123" customFormat="1">
      <c r="B28" s="23"/>
      <c r="C28" s="148"/>
      <c r="D28" s="148"/>
      <c r="E28" s="149"/>
      <c r="F28" s="149"/>
      <c r="G28" s="147">
        <f t="shared" ref="G28:Q28" si="65">(G27-F27)/G27</f>
        <v>1</v>
      </c>
      <c r="H28" s="147" t="e">
        <f t="shared" si="65"/>
        <v>#DIV/0!</v>
      </c>
      <c r="I28" s="147" t="e">
        <f t="shared" si="65"/>
        <v>#DIV/0!</v>
      </c>
      <c r="J28" s="147" t="e">
        <f t="shared" si="65"/>
        <v>#DIV/0!</v>
      </c>
      <c r="K28" s="147" t="e">
        <f t="shared" si="65"/>
        <v>#DIV/0!</v>
      </c>
      <c r="L28" s="147">
        <f t="shared" si="65"/>
        <v>1</v>
      </c>
      <c r="M28" s="147">
        <f t="shared" si="65"/>
        <v>0.99994764397905767</v>
      </c>
      <c r="N28" s="147">
        <f t="shared" si="65"/>
        <v>0.79125683060109286</v>
      </c>
      <c r="O28" s="147">
        <f t="shared" si="65"/>
        <v>0.66895803183791602</v>
      </c>
      <c r="P28" s="147">
        <f t="shared" si="65"/>
        <v>0.52500429627083689</v>
      </c>
      <c r="Q28" s="147">
        <f t="shared" si="65"/>
        <v>0.47552951780081115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>
      <c r="B29" s="20" t="s">
        <v>323</v>
      </c>
      <c r="C29" s="148"/>
      <c r="D29" s="148"/>
      <c r="E29" s="149"/>
      <c r="F29" s="146"/>
      <c r="G29" s="146">
        <f t="shared" si="20"/>
        <v>0.01</v>
      </c>
      <c r="H29" s="146"/>
      <c r="I29" s="146"/>
      <c r="J29" s="146"/>
      <c r="K29" s="146"/>
      <c r="L29" s="146">
        <v>0.01</v>
      </c>
      <c r="M29" s="146">
        <v>38</v>
      </c>
      <c r="N29" s="146">
        <v>236</v>
      </c>
      <c r="O29" s="146">
        <v>737</v>
      </c>
      <c r="P29" s="146">
        <v>1702</v>
      </c>
      <c r="Q29" s="146">
        <v>4010</v>
      </c>
      <c r="R29" s="118">
        <f>((Q29/G29)^(1/($H$2-$H$1) ))-1</f>
        <v>3.1934512342154395</v>
      </c>
      <c r="S29" s="31">
        <f t="shared" si="5"/>
        <v>0.12</v>
      </c>
      <c r="T29" s="153">
        <f t="shared" si="2"/>
        <v>4491.2000000000007</v>
      </c>
      <c r="U29" s="153">
        <f t="shared" ref="U29" si="66">T29*(1+$S29)</f>
        <v>5030.1440000000011</v>
      </c>
      <c r="V29" s="153">
        <f t="shared" ref="V29" si="67">U29*(1+$S29)</f>
        <v>5633.7612800000015</v>
      </c>
      <c r="W29" s="153">
        <f t="shared" ref="W29" si="68">V29*(1+$S29)</f>
        <v>6309.8126336000023</v>
      </c>
      <c r="X29" s="153">
        <f t="shared" ref="X29" si="69">W29*(1+$S29)</f>
        <v>7066.9901496320035</v>
      </c>
      <c r="Y29" s="153">
        <f t="shared" ref="Y29" si="70">X29*(1+$S29)</f>
        <v>7915.0289675878448</v>
      </c>
      <c r="Z29" s="153">
        <f t="shared" ref="Z29" si="71">Y29*(1+$S29)</f>
        <v>8864.8324436983876</v>
      </c>
      <c r="AA29" s="153">
        <f t="shared" ref="AA29" si="72">Z29*(1+$S29)</f>
        <v>9928.6123369421948</v>
      </c>
      <c r="AB29" s="153">
        <f t="shared" ref="AB29" si="73">AA29*(1+$S29)</f>
        <v>11120.04581737526</v>
      </c>
      <c r="AC29" s="153">
        <f t="shared" ref="AC29" si="74">AB29*(1+$S29)</f>
        <v>12454.451315460292</v>
      </c>
      <c r="AD29" s="137">
        <f t="shared" ref="AD29" si="75">((AC29/G29)^(1/($AC$3-$H$1) ))-1</f>
        <v>1.0172802190780801</v>
      </c>
      <c r="AE29" s="31">
        <f t="shared" si="15"/>
        <v>0.05</v>
      </c>
      <c r="AF29" s="145">
        <f t="shared" ref="AF29" si="76">(AC29*(1+AE29))/($C$1-AE29)</f>
        <v>76924.552242548874</v>
      </c>
    </row>
    <row r="30" spans="2:32" s="123" customFormat="1">
      <c r="B30" s="23"/>
      <c r="C30" s="148"/>
      <c r="D30" s="148"/>
      <c r="E30" s="149"/>
      <c r="F30" s="149"/>
      <c r="G30" s="147">
        <f t="shared" ref="G30:Q30" si="77">(G29-F29)/G29</f>
        <v>1</v>
      </c>
      <c r="H30" s="147" t="e">
        <f t="shared" si="77"/>
        <v>#DIV/0!</v>
      </c>
      <c r="I30" s="147" t="e">
        <f t="shared" si="77"/>
        <v>#DIV/0!</v>
      </c>
      <c r="J30" s="147" t="e">
        <f t="shared" si="77"/>
        <v>#DIV/0!</v>
      </c>
      <c r="K30" s="147" t="e">
        <f t="shared" si="77"/>
        <v>#DIV/0!</v>
      </c>
      <c r="L30" s="147">
        <f t="shared" si="77"/>
        <v>1</v>
      </c>
      <c r="M30" s="147">
        <f t="shared" si="77"/>
        <v>0.99973684210526326</v>
      </c>
      <c r="N30" s="147">
        <f t="shared" si="77"/>
        <v>0.83898305084745761</v>
      </c>
      <c r="O30" s="147">
        <f t="shared" si="77"/>
        <v>0.67978290366350069</v>
      </c>
      <c r="P30" s="147">
        <f t="shared" si="77"/>
        <v>0.56698002350176269</v>
      </c>
      <c r="Q30" s="147">
        <f t="shared" si="77"/>
        <v>0.57556109725685789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>
      <c r="B31" s="20" t="s">
        <v>331</v>
      </c>
      <c r="C31" s="140"/>
      <c r="D31" s="140"/>
      <c r="E31" s="146"/>
      <c r="F31" s="146"/>
      <c r="G31" s="146">
        <f t="shared" si="20"/>
        <v>0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0.12</v>
      </c>
      <c r="T31" s="153">
        <f t="shared" si="2"/>
        <v>0</v>
      </c>
      <c r="U31" s="153">
        <f>T31*(1+$S31)</f>
        <v>0</v>
      </c>
      <c r="V31" s="153">
        <f t="shared" ref="V31:AC32" si="78">U31*(1+$S31)</f>
        <v>0</v>
      </c>
      <c r="W31" s="153">
        <f t="shared" si="78"/>
        <v>0</v>
      </c>
      <c r="X31" s="153">
        <f t="shared" si="78"/>
        <v>0</v>
      </c>
      <c r="Y31" s="153">
        <f t="shared" si="78"/>
        <v>0</v>
      </c>
      <c r="Z31" s="153">
        <f t="shared" si="78"/>
        <v>0</v>
      </c>
      <c r="AA31" s="153">
        <f t="shared" si="78"/>
        <v>0</v>
      </c>
      <c r="AB31" s="153">
        <f t="shared" si="78"/>
        <v>0</v>
      </c>
      <c r="AC31" s="153">
        <f t="shared" si="78"/>
        <v>0</v>
      </c>
      <c r="AD31" s="137" t="e">
        <f t="shared" ref="AD31" si="79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>
      <c r="B32" s="20" t="s">
        <v>330</v>
      </c>
      <c r="C32" s="140"/>
      <c r="D32" s="140"/>
      <c r="E32" s="146"/>
      <c r="F32" s="146"/>
      <c r="G32" s="146">
        <f t="shared" si="20"/>
        <v>0</v>
      </c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0.12</v>
      </c>
      <c r="T32" s="153">
        <f t="shared" si="2"/>
        <v>0</v>
      </c>
      <c r="U32" s="153">
        <f>T32*(1+$S32)</f>
        <v>0</v>
      </c>
      <c r="V32" s="153">
        <f t="shared" si="78"/>
        <v>0</v>
      </c>
      <c r="W32" s="153">
        <f t="shared" si="78"/>
        <v>0</v>
      </c>
      <c r="X32" s="153">
        <f t="shared" si="78"/>
        <v>0</v>
      </c>
      <c r="Y32" s="153">
        <f t="shared" si="78"/>
        <v>0</v>
      </c>
      <c r="Z32" s="153">
        <f t="shared" si="78"/>
        <v>0</v>
      </c>
      <c r="AA32" s="153">
        <f t="shared" si="78"/>
        <v>0</v>
      </c>
      <c r="AB32" s="153">
        <f t="shared" si="78"/>
        <v>0</v>
      </c>
      <c r="AC32" s="153">
        <f t="shared" si="78"/>
        <v>0</v>
      </c>
      <c r="AD32" s="137" t="e">
        <f t="shared" ref="AD32" si="80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>
      <c r="B33" s="20" t="s">
        <v>315</v>
      </c>
      <c r="C33" s="140"/>
      <c r="D33" s="140"/>
      <c r="E33" s="146"/>
      <c r="F33" s="146"/>
      <c r="G33" s="146">
        <f t="shared" si="20"/>
        <v>0.01</v>
      </c>
      <c r="H33" s="146"/>
      <c r="I33" s="146"/>
      <c r="J33" s="146"/>
      <c r="K33" s="146"/>
      <c r="L33" s="146">
        <v>0.01</v>
      </c>
      <c r="M33" s="146">
        <v>0.38</v>
      </c>
      <c r="N33" s="146">
        <v>10</v>
      </c>
      <c r="O33" s="146">
        <v>43</v>
      </c>
      <c r="P33" s="146">
        <v>66</v>
      </c>
      <c r="Q33" s="146">
        <v>446</v>
      </c>
      <c r="R33" s="118">
        <f>((Q33/G33)^(1/($H$2-$H$1) ))-1</f>
        <v>2.2854341124427644</v>
      </c>
      <c r="S33" s="31">
        <f t="shared" si="5"/>
        <v>0.12</v>
      </c>
      <c r="T33" s="153">
        <f t="shared" si="2"/>
        <v>499.52000000000004</v>
      </c>
      <c r="U33" s="153">
        <f t="shared" si="35"/>
        <v>559.46240000000012</v>
      </c>
      <c r="V33" s="153">
        <f t="shared" si="36"/>
        <v>626.59788800000024</v>
      </c>
      <c r="W33" s="153">
        <f t="shared" si="37"/>
        <v>701.78963456000031</v>
      </c>
      <c r="X33" s="153">
        <f t="shared" si="38"/>
        <v>786.0043907072004</v>
      </c>
      <c r="Y33" s="153">
        <f t="shared" si="39"/>
        <v>880.32491759206448</v>
      </c>
      <c r="Z33" s="153">
        <f t="shared" si="40"/>
        <v>985.96390770311234</v>
      </c>
      <c r="AA33" s="153">
        <f t="shared" si="41"/>
        <v>1104.279576627486</v>
      </c>
      <c r="AB33" s="153">
        <f t="shared" si="42"/>
        <v>1236.7931258227845</v>
      </c>
      <c r="AC33" s="153">
        <f t="shared" si="43"/>
        <v>1385.2083009215189</v>
      </c>
      <c r="AD33" s="137">
        <f t="shared" si="17"/>
        <v>0.80748938007060045</v>
      </c>
      <c r="AE33" s="31">
        <f t="shared" si="15"/>
        <v>0.05</v>
      </c>
      <c r="AF33" s="145">
        <f t="shared" si="1"/>
        <v>8555.698329221148</v>
      </c>
    </row>
    <row r="34" spans="2:32">
      <c r="B34" s="20" t="s">
        <v>307</v>
      </c>
      <c r="C34" s="140"/>
      <c r="D34" s="140"/>
      <c r="E34" s="146"/>
      <c r="F34" s="146"/>
      <c r="G34" s="146">
        <f t="shared" si="20"/>
        <v>0</v>
      </c>
      <c r="H34" s="146"/>
      <c r="I34" s="146"/>
      <c r="J34" s="146"/>
      <c r="K34" s="146"/>
      <c r="L34" s="146">
        <v>0</v>
      </c>
      <c r="M34" s="146">
        <v>167</v>
      </c>
      <c r="N34" s="146">
        <v>721</v>
      </c>
      <c r="O34" s="146">
        <v>2300</v>
      </c>
      <c r="P34" s="146">
        <v>0</v>
      </c>
      <c r="Q34" s="146">
        <v>9167</v>
      </c>
      <c r="R34" s="118" t="e">
        <f>((Q34/G34)^(1/($H$2-$H$1) ))-1</f>
        <v>#DIV/0!</v>
      </c>
      <c r="S34" s="31">
        <f t="shared" si="5"/>
        <v>0.12</v>
      </c>
      <c r="T34" s="153">
        <f t="shared" si="2"/>
        <v>10267.040000000001</v>
      </c>
      <c r="U34" s="153">
        <f t="shared" si="35"/>
        <v>11499.084800000002</v>
      </c>
      <c r="V34" s="153">
        <f t="shared" si="36"/>
        <v>12878.974976000003</v>
      </c>
      <c r="W34" s="153">
        <f t="shared" si="37"/>
        <v>14424.451973120005</v>
      </c>
      <c r="X34" s="153">
        <f t="shared" si="38"/>
        <v>16155.386209894408</v>
      </c>
      <c r="Y34" s="153">
        <f t="shared" si="39"/>
        <v>18094.03255508174</v>
      </c>
      <c r="Z34" s="153">
        <f t="shared" si="40"/>
        <v>20265.316461691549</v>
      </c>
      <c r="AA34" s="153">
        <f t="shared" si="41"/>
        <v>22697.154437094538</v>
      </c>
      <c r="AB34" s="153">
        <f t="shared" si="42"/>
        <v>25420.812969545885</v>
      </c>
      <c r="AC34" s="153">
        <f t="shared" si="43"/>
        <v>28471.310525891393</v>
      </c>
      <c r="AD34" s="137" t="e">
        <f t="shared" si="17"/>
        <v>#DIV/0!</v>
      </c>
      <c r="AE34" s="31">
        <f t="shared" si="15"/>
        <v>0.05</v>
      </c>
      <c r="AF34" s="145">
        <f t="shared" si="1"/>
        <v>175852.21207168215</v>
      </c>
    </row>
    <row r="35" spans="2:3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>
      <c r="B36" s="20" t="s">
        <v>278</v>
      </c>
      <c r="C36" s="140"/>
      <c r="D36" s="140"/>
      <c r="E36" s="146"/>
      <c r="F36" s="146"/>
      <c r="G36" s="146">
        <f t="shared" si="20"/>
        <v>0.01</v>
      </c>
      <c r="H36" s="146"/>
      <c r="I36" s="146"/>
      <c r="J36" s="146"/>
      <c r="K36" s="146"/>
      <c r="L36" s="146">
        <v>0.01</v>
      </c>
      <c r="M36" s="146">
        <v>243</v>
      </c>
      <c r="N36" s="146">
        <v>1220</v>
      </c>
      <c r="O36" s="146">
        <v>1325</v>
      </c>
      <c r="P36" s="146">
        <v>959</v>
      </c>
      <c r="Q36" s="146">
        <v>4672</v>
      </c>
      <c r="R36" s="118">
        <f>((Q36/G36)^(1/($H$2-$H$1) ))-1</f>
        <v>3.2652526291199706</v>
      </c>
      <c r="S36" s="31">
        <f t="shared" si="5"/>
        <v>0.12</v>
      </c>
      <c r="T36" s="153">
        <f t="shared" si="2"/>
        <v>5232.6400000000003</v>
      </c>
      <c r="U36" s="153">
        <f t="shared" ref="U36" si="81">T36*(1+$S36)</f>
        <v>5860.5568000000012</v>
      </c>
      <c r="V36" s="153">
        <f t="shared" ref="V36" si="82">U36*(1+$S36)</f>
        <v>6563.8236160000024</v>
      </c>
      <c r="W36" s="153">
        <f t="shared" ref="W36" si="83">V36*(1+$S36)</f>
        <v>7351.4824499200031</v>
      </c>
      <c r="X36" s="153">
        <f t="shared" si="38"/>
        <v>8233.6603439104038</v>
      </c>
      <c r="Y36" s="153">
        <f t="shared" si="39"/>
        <v>9221.6995851796528</v>
      </c>
      <c r="Z36" s="153">
        <f t="shared" si="40"/>
        <v>10328.303535401212</v>
      </c>
      <c r="AA36" s="153">
        <f t="shared" si="41"/>
        <v>11567.699959649359</v>
      </c>
      <c r="AB36" s="153">
        <f t="shared" si="42"/>
        <v>12955.823954807283</v>
      </c>
      <c r="AC36" s="153">
        <f t="shared" si="43"/>
        <v>14510.522829384159</v>
      </c>
      <c r="AD36" s="137">
        <f t="shared" si="17"/>
        <v>1.0327508579680544</v>
      </c>
      <c r="AE36" s="31">
        <f t="shared" si="15"/>
        <v>0.05</v>
      </c>
      <c r="AF36" s="145">
        <f t="shared" si="1"/>
        <v>89623.817475608055</v>
      </c>
    </row>
    <row r="37" spans="2:32" s="123" customFormat="1">
      <c r="B37" s="23"/>
      <c r="C37" s="148"/>
      <c r="D37" s="148"/>
      <c r="E37" s="149"/>
      <c r="F37" s="149"/>
      <c r="G37" s="147">
        <f t="shared" ref="G37:Q37" si="84">(G36-F36)/G36</f>
        <v>1</v>
      </c>
      <c r="H37" s="147" t="e">
        <f t="shared" si="84"/>
        <v>#DIV/0!</v>
      </c>
      <c r="I37" s="147" t="e">
        <f t="shared" si="84"/>
        <v>#DIV/0!</v>
      </c>
      <c r="J37" s="147" t="e">
        <f t="shared" si="84"/>
        <v>#DIV/0!</v>
      </c>
      <c r="K37" s="147" t="e">
        <f t="shared" si="84"/>
        <v>#DIV/0!</v>
      </c>
      <c r="L37" s="147">
        <f t="shared" si="84"/>
        <v>1</v>
      </c>
      <c r="M37" s="147">
        <f t="shared" si="84"/>
        <v>0.99995884773662558</v>
      </c>
      <c r="N37" s="147">
        <f t="shared" si="84"/>
        <v>0.80081967213114758</v>
      </c>
      <c r="O37" s="147">
        <f t="shared" si="84"/>
        <v>7.9245283018867921E-2</v>
      </c>
      <c r="P37" s="147">
        <f t="shared" si="84"/>
        <v>-0.38164754953076119</v>
      </c>
      <c r="Q37" s="147">
        <f t="shared" si="84"/>
        <v>0.79473458904109584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>
      <c r="B38" s="20" t="s">
        <v>399</v>
      </c>
      <c r="C38" s="148"/>
      <c r="D38" s="148"/>
      <c r="E38" s="149"/>
      <c r="F38" s="149"/>
      <c r="G38" s="146">
        <f t="shared" si="20"/>
        <v>0.01</v>
      </c>
      <c r="H38" s="146"/>
      <c r="I38" s="146"/>
      <c r="J38" s="146"/>
      <c r="K38" s="146"/>
      <c r="L38" s="146">
        <v>0.01</v>
      </c>
      <c r="M38" s="146">
        <v>202</v>
      </c>
      <c r="N38" s="146">
        <v>813</v>
      </c>
      <c r="O38" s="146">
        <v>0.34</v>
      </c>
      <c r="P38" s="146">
        <v>-1818</v>
      </c>
      <c r="Q38" s="146">
        <v>-1369</v>
      </c>
      <c r="R38" s="118">
        <f>((Q38/G38)^(1/($H$2-$H$1) ))-1</f>
        <v>-4.7214440521818553</v>
      </c>
      <c r="S38" s="31">
        <f t="shared" si="5"/>
        <v>0.12</v>
      </c>
      <c r="T38" s="153">
        <f t="shared" si="2"/>
        <v>-1533.2800000000002</v>
      </c>
      <c r="U38" s="153">
        <f t="shared" ref="U38" si="85">T38*(1+$S38)</f>
        <v>-1717.2736000000004</v>
      </c>
      <c r="V38" s="153">
        <f t="shared" ref="V38" si="86">U38*(1+$S38)</f>
        <v>-1923.3464320000007</v>
      </c>
      <c r="W38" s="153">
        <f t="shared" ref="W38" si="87">V38*(1+$S38)</f>
        <v>-2154.1480038400009</v>
      </c>
      <c r="X38" s="153">
        <f t="shared" ref="X38" si="88">W38*(1+$S38)</f>
        <v>-2412.6457643008011</v>
      </c>
      <c r="Y38" s="153">
        <f t="shared" ref="Y38" si="89">X38*(1+$S38)</f>
        <v>-2702.1632560168973</v>
      </c>
      <c r="Z38" s="153">
        <f t="shared" ref="Z38" si="90">Y38*(1+$S38)</f>
        <v>-3026.4228467389253</v>
      </c>
      <c r="AA38" s="153">
        <f t="shared" ref="AA38" si="91">Z38*(1+$S38)</f>
        <v>-3389.5935883475968</v>
      </c>
      <c r="AB38" s="153">
        <f t="shared" ref="AB38" si="92">AA38*(1+$S38)</f>
        <v>-3796.3448189493088</v>
      </c>
      <c r="AC38" s="153">
        <f t="shared" ref="AC38" si="93">AB38*(1+$S38)</f>
        <v>-4251.9061972232266</v>
      </c>
      <c r="AD38" s="137" t="e">
        <f t="shared" ref="AD38" si="94">((AC38/G38)^(1/($AC$3-$H$1) ))-1</f>
        <v>#NUM!</v>
      </c>
      <c r="AE38" s="31">
        <f t="shared" si="15"/>
        <v>0.05</v>
      </c>
      <c r="AF38" s="145">
        <f t="shared" ref="AF38" si="95">(AC38*(1+AE38))/($C$1-AE38)</f>
        <v>-26261.773571084639</v>
      </c>
    </row>
    <row r="39" spans="2:32" s="123" customFormat="1">
      <c r="B39" s="23"/>
      <c r="C39" s="148"/>
      <c r="D39" s="148"/>
      <c r="E39" s="149"/>
      <c r="F39" s="149"/>
      <c r="G39" s="147">
        <f t="shared" ref="G39:Q39" si="96">(G38-F38)/G38</f>
        <v>1</v>
      </c>
      <c r="H39" s="147" t="e">
        <f t="shared" si="96"/>
        <v>#DIV/0!</v>
      </c>
      <c r="I39" s="147" t="e">
        <f t="shared" si="96"/>
        <v>#DIV/0!</v>
      </c>
      <c r="J39" s="147" t="e">
        <f t="shared" si="96"/>
        <v>#DIV/0!</v>
      </c>
      <c r="K39" s="147" t="e">
        <f t="shared" si="96"/>
        <v>#DIV/0!</v>
      </c>
      <c r="L39" s="147">
        <f t="shared" si="96"/>
        <v>1</v>
      </c>
      <c r="M39" s="147">
        <f t="shared" si="96"/>
        <v>0.99995049504950495</v>
      </c>
      <c r="N39" s="147">
        <f t="shared" si="96"/>
        <v>0.75153751537515379</v>
      </c>
      <c r="O39" s="147">
        <f t="shared" si="96"/>
        <v>-2390.1764705882351</v>
      </c>
      <c r="P39" s="147">
        <f t="shared" si="96"/>
        <v>1.0001870187018702</v>
      </c>
      <c r="Q39" s="147">
        <f t="shared" si="96"/>
        <v>-0.32797662527392257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>
      <c r="B40" s="20" t="s">
        <v>400</v>
      </c>
      <c r="C40" s="140"/>
      <c r="D40" s="140"/>
      <c r="E40" s="146"/>
      <c r="F40" s="146"/>
      <c r="G40" s="146">
        <f t="shared" si="20"/>
        <v>0.01</v>
      </c>
      <c r="H40" s="146"/>
      <c r="I40" s="146"/>
      <c r="J40" s="146"/>
      <c r="K40" s="146"/>
      <c r="L40" s="146">
        <v>0.01</v>
      </c>
      <c r="M40" s="146">
        <v>170</v>
      </c>
      <c r="N40" s="146">
        <v>513</v>
      </c>
      <c r="O40" s="146">
        <v>-295</v>
      </c>
      <c r="P40" s="146">
        <v>-2995</v>
      </c>
      <c r="Q40" s="146">
        <v>-290</v>
      </c>
      <c r="R40" s="118">
        <f>((Q40/G40)^(1/($H$2-$H$1) ))-1</f>
        <v>-4.1320017768229409</v>
      </c>
      <c r="S40" s="31">
        <f t="shared" si="5"/>
        <v>0.12</v>
      </c>
      <c r="T40" s="153">
        <f t="shared" si="2"/>
        <v>-324.8</v>
      </c>
      <c r="U40" s="153">
        <f t="shared" ref="U40:AC40" si="97">T40*(1+$S40)</f>
        <v>-363.77600000000007</v>
      </c>
      <c r="V40" s="153">
        <f t="shared" si="97"/>
        <v>-407.42912000000013</v>
      </c>
      <c r="W40" s="153">
        <f t="shared" si="97"/>
        <v>-456.32061440000018</v>
      </c>
      <c r="X40" s="153">
        <f t="shared" si="97"/>
        <v>-511.07908812800025</v>
      </c>
      <c r="Y40" s="153">
        <f t="shared" si="97"/>
        <v>-572.40857870336038</v>
      </c>
      <c r="Z40" s="153">
        <f t="shared" si="97"/>
        <v>-641.09760814776371</v>
      </c>
      <c r="AA40" s="153">
        <f t="shared" si="97"/>
        <v>-718.02932112549547</v>
      </c>
      <c r="AB40" s="153">
        <f t="shared" si="97"/>
        <v>-804.19283966055502</v>
      </c>
      <c r="AC40" s="153">
        <f t="shared" si="97"/>
        <v>-900.69598041982169</v>
      </c>
      <c r="AD40" s="137" t="e">
        <f t="shared" si="17"/>
        <v>#NUM!</v>
      </c>
      <c r="AE40" s="31">
        <f t="shared" si="15"/>
        <v>0.05</v>
      </c>
      <c r="AF40" s="145">
        <f t="shared" si="1"/>
        <v>-5563.1222320047818</v>
      </c>
    </row>
    <row r="41" spans="2:32" s="123" customFormat="1">
      <c r="B41" s="23"/>
      <c r="C41" s="148"/>
      <c r="D41" s="148"/>
      <c r="E41" s="149"/>
      <c r="F41" s="149"/>
      <c r="G41" s="147">
        <f>(G40-F40)/G40</f>
        <v>1</v>
      </c>
      <c r="H41" s="147" t="e">
        <f t="shared" ref="H41:Q41" si="98">(H40-G40)/H40</f>
        <v>#DIV/0!</v>
      </c>
      <c r="I41" s="147" t="e">
        <f t="shared" si="98"/>
        <v>#DIV/0!</v>
      </c>
      <c r="J41" s="147" t="e">
        <f t="shared" si="98"/>
        <v>#DIV/0!</v>
      </c>
      <c r="K41" s="147" t="e">
        <f t="shared" si="98"/>
        <v>#DIV/0!</v>
      </c>
      <c r="L41" s="147">
        <f t="shared" si="98"/>
        <v>1</v>
      </c>
      <c r="M41" s="147">
        <f t="shared" si="98"/>
        <v>0.99994117647058833</v>
      </c>
      <c r="N41" s="147">
        <f t="shared" si="98"/>
        <v>0.66861598440545811</v>
      </c>
      <c r="O41" s="147">
        <f t="shared" si="98"/>
        <v>2.7389830508474575</v>
      </c>
      <c r="P41" s="147">
        <f t="shared" si="98"/>
        <v>0.90150250417362265</v>
      </c>
      <c r="Q41" s="147">
        <f t="shared" si="98"/>
        <v>-9.3275862068965516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>
      <c r="B42" s="20" t="s">
        <v>239</v>
      </c>
      <c r="C42" s="141"/>
      <c r="D42" s="141"/>
      <c r="E42" s="144"/>
      <c r="F42" s="144"/>
      <c r="G42" s="146">
        <f t="shared" si="20"/>
        <v>0.01</v>
      </c>
      <c r="H42" s="144"/>
      <c r="I42" s="144"/>
      <c r="J42" s="144"/>
      <c r="K42" s="144"/>
      <c r="L42" s="144">
        <v>0.01</v>
      </c>
      <c r="M42" s="144">
        <v>218</v>
      </c>
      <c r="N42" s="144">
        <v>218</v>
      </c>
      <c r="O42" s="144">
        <v>218</v>
      </c>
      <c r="P42" s="144">
        <v>239</v>
      </c>
      <c r="Q42" s="144">
        <v>287</v>
      </c>
      <c r="R42" s="118">
        <f>((Q42/G42)^(1/($H$2-$H$1) ))-1</f>
        <v>2.1283851144268624</v>
      </c>
      <c r="S42" s="31">
        <v>0.01</v>
      </c>
      <c r="T42" s="153">
        <f t="shared" si="2"/>
        <v>289.87</v>
      </c>
      <c r="U42" s="153">
        <f t="shared" ref="U42:AC42" si="99">T42*(1+$S42)</f>
        <v>292.76870000000002</v>
      </c>
      <c r="V42" s="153">
        <f t="shared" si="99"/>
        <v>295.69638700000002</v>
      </c>
      <c r="W42" s="153">
        <f t="shared" si="99"/>
        <v>298.65335087</v>
      </c>
      <c r="X42" s="153">
        <f t="shared" si="99"/>
        <v>301.6398843787</v>
      </c>
      <c r="Y42" s="153">
        <f t="shared" si="99"/>
        <v>304.65628322248699</v>
      </c>
      <c r="Z42" s="153">
        <f t="shared" si="99"/>
        <v>307.70284605471187</v>
      </c>
      <c r="AA42" s="153">
        <f t="shared" si="99"/>
        <v>310.779874515259</v>
      </c>
      <c r="AB42" s="153">
        <f t="shared" si="99"/>
        <v>313.88767326041159</v>
      </c>
      <c r="AC42" s="153">
        <f t="shared" si="99"/>
        <v>317.02654999301569</v>
      </c>
      <c r="AD42" s="137">
        <f t="shared" si="17"/>
        <v>0.67901579513006771</v>
      </c>
      <c r="AE42" s="31">
        <f t="shared" si="15"/>
        <v>0.05</v>
      </c>
      <c r="AF42" s="145">
        <f t="shared" si="1"/>
        <v>1958.1051617215676</v>
      </c>
    </row>
    <row r="43" spans="2:32">
      <c r="B43" s="20"/>
      <c r="C43" s="141"/>
      <c r="D43" s="141"/>
      <c r="E43" s="142"/>
      <c r="F43" s="146"/>
      <c r="G43" s="147">
        <f>(G42-F42)/G42</f>
        <v>1</v>
      </c>
      <c r="H43" s="147" t="e">
        <f t="shared" ref="H43:Q43" si="100">(H42-G42)/H42</f>
        <v>#DIV/0!</v>
      </c>
      <c r="I43" s="147" t="e">
        <f t="shared" si="100"/>
        <v>#DIV/0!</v>
      </c>
      <c r="J43" s="147" t="e">
        <f t="shared" si="100"/>
        <v>#DIV/0!</v>
      </c>
      <c r="K43" s="147" t="e">
        <f t="shared" si="100"/>
        <v>#DIV/0!</v>
      </c>
      <c r="L43" s="147">
        <f t="shared" si="100"/>
        <v>1</v>
      </c>
      <c r="M43" s="147">
        <f t="shared" si="100"/>
        <v>0.99995412844036702</v>
      </c>
      <c r="N43" s="147">
        <f t="shared" si="100"/>
        <v>0</v>
      </c>
      <c r="O43" s="147">
        <f t="shared" si="100"/>
        <v>0</v>
      </c>
      <c r="P43" s="147">
        <f t="shared" si="100"/>
        <v>8.7866108786610872E-2</v>
      </c>
      <c r="Q43" s="147">
        <f t="shared" si="100"/>
        <v>0.1672473867595819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>
      <c r="B44" s="20" t="s">
        <v>282</v>
      </c>
      <c r="C44" s="144"/>
      <c r="D44" s="144"/>
      <c r="E44" s="144"/>
      <c r="F44" s="146"/>
      <c r="G44" s="146">
        <f t="shared" si="20"/>
        <v>0</v>
      </c>
      <c r="H44" s="144">
        <v>0</v>
      </c>
      <c r="I44" s="144">
        <v>0</v>
      </c>
      <c r="J44" s="144">
        <v>0</v>
      </c>
      <c r="K44" s="144">
        <v>0</v>
      </c>
      <c r="L44" s="144">
        <v>0</v>
      </c>
      <c r="M44" s="144">
        <v>0</v>
      </c>
      <c r="N44" s="144">
        <v>0</v>
      </c>
      <c r="O44" s="144">
        <v>0</v>
      </c>
      <c r="P44" s="144">
        <v>0</v>
      </c>
      <c r="Q44" s="144">
        <v>0</v>
      </c>
      <c r="R44" s="118" t="e">
        <f>((Q44/G44)^(1/($H$2-$H$1) ))-1</f>
        <v>#DIV/0!</v>
      </c>
      <c r="S44" s="31">
        <f>P1</f>
        <v>0.05</v>
      </c>
      <c r="T44" s="153">
        <f t="shared" si="2"/>
        <v>0</v>
      </c>
      <c r="U44" s="153">
        <f t="shared" ref="U44" si="101">T44*(1+$S44)</f>
        <v>0</v>
      </c>
      <c r="V44" s="153">
        <f t="shared" ref="V44" si="102">U44*(1+$S44)</f>
        <v>0</v>
      </c>
      <c r="W44" s="153">
        <f t="shared" ref="W44" si="103">V44*(1+$S44)</f>
        <v>0</v>
      </c>
      <c r="X44" s="153">
        <f t="shared" ref="X44" si="104">W44*(1+$S44)</f>
        <v>0</v>
      </c>
      <c r="Y44" s="153">
        <f t="shared" ref="Y44" si="105">X44*(1+$S44)</f>
        <v>0</v>
      </c>
      <c r="Z44" s="153">
        <f t="shared" ref="Z44" si="106">Y44*(1+$S44)</f>
        <v>0</v>
      </c>
      <c r="AA44" s="153">
        <f t="shared" ref="AA44" si="107">Z44*(1+$S44)</f>
        <v>0</v>
      </c>
      <c r="AB44" s="153">
        <f t="shared" ref="AB44" si="108">AA44*(1+$S44)</f>
        <v>0</v>
      </c>
      <c r="AC44" s="153">
        <f t="shared" ref="AC44" si="109">AB44*(1+$S44)</f>
        <v>0</v>
      </c>
      <c r="AD44" s="137" t="e">
        <f t="shared" ref="AD44" si="110">((AC44/G44)^(1/($AC$3-$H$1) ))-1</f>
        <v>#DIV/0!</v>
      </c>
      <c r="AE44" s="31">
        <f t="shared" si="15"/>
        <v>0.05</v>
      </c>
      <c r="AF44" s="145">
        <f t="shared" si="1"/>
        <v>0</v>
      </c>
    </row>
    <row r="45" spans="2:32">
      <c r="B45" s="20" t="s">
        <v>425</v>
      </c>
      <c r="C45" s="20"/>
      <c r="D45" s="20"/>
      <c r="E45" s="127"/>
      <c r="F45" s="127"/>
      <c r="G45" s="146">
        <f t="shared" si="20"/>
        <v>0</v>
      </c>
      <c r="H45" s="146">
        <v>0</v>
      </c>
      <c r="I45" s="146">
        <v>0</v>
      </c>
      <c r="J45" s="146">
        <v>0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28"/>
      <c r="S45" s="128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8"/>
      <c r="AE45" s="136"/>
      <c r="AF45" s="153"/>
    </row>
    <row r="46" spans="2:32">
      <c r="B46" s="20" t="s">
        <v>423</v>
      </c>
      <c r="C46" s="20"/>
      <c r="D46" s="20"/>
      <c r="E46" s="127"/>
      <c r="F46" s="127"/>
      <c r="G46" s="146">
        <f t="shared" si="20"/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28"/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>
      <c r="B47" s="20" t="s">
        <v>424</v>
      </c>
      <c r="C47" s="20"/>
      <c r="D47" s="20"/>
      <c r="E47" s="127"/>
      <c r="F47" s="127"/>
      <c r="G47" s="146">
        <f t="shared" si="20"/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28"/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>
      <c r="B50" s="20" t="s">
        <v>302</v>
      </c>
      <c r="C50" s="133"/>
      <c r="D50" s="133"/>
      <c r="E50" s="133"/>
      <c r="F50" s="133"/>
      <c r="G50" s="133">
        <f t="shared" ref="G50:P50" si="111">G25/G42</f>
        <v>1</v>
      </c>
      <c r="H50" s="133" t="e">
        <f t="shared" si="111"/>
        <v>#DIV/0!</v>
      </c>
      <c r="I50" s="133" t="e">
        <f t="shared" si="111"/>
        <v>#DIV/0!</v>
      </c>
      <c r="J50" s="133" t="e">
        <f t="shared" si="111"/>
        <v>#DIV/0!</v>
      </c>
      <c r="K50" s="133" t="e">
        <f t="shared" si="111"/>
        <v>#DIV/0!</v>
      </c>
      <c r="L50" s="133">
        <f t="shared" si="111"/>
        <v>1</v>
      </c>
      <c r="M50" s="133">
        <f t="shared" si="111"/>
        <v>2.1422018348623855</v>
      </c>
      <c r="N50" s="133">
        <f t="shared" si="111"/>
        <v>9.876146788990825</v>
      </c>
      <c r="O50" s="133">
        <f t="shared" si="111"/>
        <v>18.770642201834864</v>
      </c>
      <c r="P50" s="133">
        <f t="shared" si="111"/>
        <v>29.263598326359833</v>
      </c>
      <c r="Q50" s="133">
        <f t="shared" ref="Q50" si="112">Q25/Q42</f>
        <v>55.728222996515676</v>
      </c>
      <c r="R50" s="118">
        <f>((P50/G50)^(1/($H$2-$H$1) ))-1</f>
        <v>0.45520876868906046</v>
      </c>
      <c r="S50" s="128"/>
      <c r="T50" s="157">
        <f t="shared" ref="T50:AC50" si="113">T25/T42</f>
        <v>61.797633421878778</v>
      </c>
      <c r="U50" s="157">
        <f t="shared" si="113"/>
        <v>68.528068745053702</v>
      </c>
      <c r="V50" s="157">
        <f t="shared" si="113"/>
        <v>75.991521776693233</v>
      </c>
      <c r="W50" s="157">
        <f t="shared" si="113"/>
        <v>84.267826128610324</v>
      </c>
      <c r="X50" s="157">
        <f t="shared" si="113"/>
        <v>93.445510162419382</v>
      </c>
      <c r="Y50" s="157">
        <f t="shared" si="113"/>
        <v>103.62274394248487</v>
      </c>
      <c r="Z50" s="157">
        <f t="shared" si="113"/>
        <v>114.90838932235947</v>
      </c>
      <c r="AA50" s="157">
        <f t="shared" si="113"/>
        <v>127.4231643970719</v>
      </c>
      <c r="AB50" s="157">
        <f t="shared" si="113"/>
        <v>141.30093477695104</v>
      </c>
      <c r="AC50" s="157">
        <f t="shared" si="113"/>
        <v>156.69014549523285</v>
      </c>
      <c r="AD50" s="137">
        <f t="shared" ref="AD50" si="114">((AC50/G50)^(1/($AC$3-$H$1) ))-1</f>
        <v>0.28751436784342754</v>
      </c>
      <c r="AE50" s="31">
        <f t="shared" si="15"/>
        <v>0.05</v>
      </c>
      <c r="AF50" s="145">
        <f t="shared" ref="AF50:AF51" si="115">(AC50*(1+AE50))/($C$1-AE50)</f>
        <v>967.79207511761479</v>
      </c>
    </row>
    <row r="51" spans="2:32">
      <c r="B51" s="20" t="s">
        <v>303</v>
      </c>
      <c r="C51" s="133"/>
      <c r="D51" s="133"/>
      <c r="E51" s="133"/>
      <c r="F51" s="133"/>
      <c r="G51" s="133">
        <f t="shared" ref="G51:P51" si="116">G27/G42</f>
        <v>1</v>
      </c>
      <c r="H51" s="133" t="e">
        <f t="shared" si="116"/>
        <v>#DIV/0!</v>
      </c>
      <c r="I51" s="133" t="e">
        <f t="shared" si="116"/>
        <v>#DIV/0!</v>
      </c>
      <c r="J51" s="133" t="e">
        <f t="shared" si="116"/>
        <v>#DIV/0!</v>
      </c>
      <c r="K51" s="133" t="e">
        <f t="shared" si="116"/>
        <v>#DIV/0!</v>
      </c>
      <c r="L51" s="133">
        <f t="shared" si="116"/>
        <v>1</v>
      </c>
      <c r="M51" s="133">
        <f t="shared" si="116"/>
        <v>0.87614678899082565</v>
      </c>
      <c r="N51" s="133">
        <f t="shared" si="116"/>
        <v>4.1972477064220186</v>
      </c>
      <c r="O51" s="133">
        <f t="shared" si="116"/>
        <v>12.678899082568808</v>
      </c>
      <c r="P51" s="133">
        <f t="shared" si="116"/>
        <v>24.347280334728033</v>
      </c>
      <c r="Q51" s="133">
        <f t="shared" ref="Q51" si="117">Q27/Q42</f>
        <v>38.658536585365852</v>
      </c>
      <c r="R51" s="118">
        <f>((P51/G51)^(1/($H$2-$H$1) ))-1</f>
        <v>0.42577189861641407</v>
      </c>
      <c r="S51" s="128"/>
      <c r="T51" s="157">
        <f t="shared" ref="T51:AC51" si="118">T27/T42</f>
        <v>42.868872253078969</v>
      </c>
      <c r="U51" s="157">
        <f t="shared" si="118"/>
        <v>47.537759330146976</v>
      </c>
      <c r="V51" s="157">
        <f t="shared" si="118"/>
        <v>52.715139059172891</v>
      </c>
      <c r="W51" s="157">
        <f t="shared" si="118"/>
        <v>58.45639182799372</v>
      </c>
      <c r="X51" s="157">
        <f t="shared" si="118"/>
        <v>64.822929551834633</v>
      </c>
      <c r="Y51" s="157">
        <f t="shared" si="118"/>
        <v>71.882852572331473</v>
      </c>
      <c r="Z51" s="157">
        <f t="shared" si="118"/>
        <v>79.711678100011142</v>
      </c>
      <c r="AA51" s="157">
        <f t="shared" si="118"/>
        <v>88.393147992091585</v>
      </c>
      <c r="AB51" s="157">
        <f t="shared" si="118"/>
        <v>98.020124506081757</v>
      </c>
      <c r="AC51" s="157">
        <f t="shared" si="118"/>
        <v>108.69558361070455</v>
      </c>
      <c r="AD51" s="137">
        <f t="shared" ref="AD51" si="119">((AC51/G51)^(1/($AC$3-$H$1) ))-1</f>
        <v>0.26418488929886785</v>
      </c>
      <c r="AE51" s="31">
        <f t="shared" si="15"/>
        <v>0.05</v>
      </c>
      <c r="AF51" s="145">
        <f t="shared" si="115"/>
        <v>671.35507524258696</v>
      </c>
    </row>
    <row r="52" spans="2:32">
      <c r="B52" s="20" t="s">
        <v>426</v>
      </c>
      <c r="C52" s="133"/>
      <c r="D52" s="133"/>
      <c r="E52" s="133"/>
      <c r="F52" s="133"/>
      <c r="G52" s="133">
        <f>G38-G40</f>
        <v>0</v>
      </c>
      <c r="H52" s="133">
        <f t="shared" ref="H52:P52" si="120">H38-H40</f>
        <v>0</v>
      </c>
      <c r="I52" s="133">
        <f t="shared" si="120"/>
        <v>0</v>
      </c>
      <c r="J52" s="133">
        <f t="shared" si="120"/>
        <v>0</v>
      </c>
      <c r="K52" s="133">
        <f t="shared" si="120"/>
        <v>0</v>
      </c>
      <c r="L52" s="133">
        <f t="shared" si="120"/>
        <v>0</v>
      </c>
      <c r="M52" s="133">
        <f t="shared" si="120"/>
        <v>32</v>
      </c>
      <c r="N52" s="133">
        <f t="shared" si="120"/>
        <v>300</v>
      </c>
      <c r="O52" s="133">
        <f t="shared" si="120"/>
        <v>295.33999999999997</v>
      </c>
      <c r="P52" s="133">
        <f t="shared" si="120"/>
        <v>1177</v>
      </c>
      <c r="Q52" s="133">
        <f t="shared" ref="Q52" si="121">Q38-Q40</f>
        <v>-1079</v>
      </c>
      <c r="R52" s="118" t="e">
        <f>((P52/G52)^(1/($H$2-$H$1) ))-1</f>
        <v>#DIV/0!</v>
      </c>
      <c r="S52" s="128"/>
      <c r="T52" s="133">
        <f t="shared" ref="T52:AC52" si="122">T38-T40</f>
        <v>-1208.4800000000002</v>
      </c>
      <c r="U52" s="133">
        <f t="shared" si="122"/>
        <v>-1353.4976000000004</v>
      </c>
      <c r="V52" s="133">
        <f t="shared" si="122"/>
        <v>-1515.9173120000005</v>
      </c>
      <c r="W52" s="133">
        <f t="shared" si="122"/>
        <v>-1697.8273894400008</v>
      </c>
      <c r="X52" s="133">
        <f t="shared" si="122"/>
        <v>-1901.566676172801</v>
      </c>
      <c r="Y52" s="133">
        <f t="shared" si="122"/>
        <v>-2129.7546773135368</v>
      </c>
      <c r="Z52" s="133">
        <f t="shared" si="122"/>
        <v>-2385.3252385911615</v>
      </c>
      <c r="AA52" s="133">
        <f t="shared" si="122"/>
        <v>-2671.5642672221011</v>
      </c>
      <c r="AB52" s="133">
        <f t="shared" si="122"/>
        <v>-2992.1519792887539</v>
      </c>
      <c r="AC52" s="133">
        <f t="shared" si="122"/>
        <v>-3351.2102168034048</v>
      </c>
      <c r="AD52" s="137" t="e">
        <f t="shared" ref="AD52" si="123">((AC52/G52)^(1/($AC$3-$H$1) ))-1</f>
        <v>#DIV/0!</v>
      </c>
      <c r="AE52" s="31">
        <f t="shared" si="15"/>
        <v>0.05</v>
      </c>
      <c r="AF52" s="145">
        <f t="shared" ref="AF52" si="124">(AC52*(1+AE52))/($C$1-AE52)</f>
        <v>-20698.651339079857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19"/>
      <c r="AE53" s="136"/>
      <c r="AF53" s="145"/>
    </row>
    <row r="54" spans="2:32">
      <c r="B54" s="20" t="s">
        <v>461</v>
      </c>
      <c r="C54" s="133"/>
      <c r="D54" s="133"/>
      <c r="E54" s="133"/>
      <c r="F54" s="133"/>
      <c r="G54" s="129">
        <f t="shared" ref="G54:P54" si="125">G36/G42</f>
        <v>1</v>
      </c>
      <c r="H54" s="129" t="e">
        <f t="shared" si="125"/>
        <v>#DIV/0!</v>
      </c>
      <c r="I54" s="129" t="e">
        <f t="shared" si="125"/>
        <v>#DIV/0!</v>
      </c>
      <c r="J54" s="129" t="e">
        <f t="shared" si="125"/>
        <v>#DIV/0!</v>
      </c>
      <c r="K54" s="129" t="e">
        <f t="shared" si="125"/>
        <v>#DIV/0!</v>
      </c>
      <c r="L54" s="129">
        <f t="shared" si="125"/>
        <v>1</v>
      </c>
      <c r="M54" s="129">
        <f t="shared" si="125"/>
        <v>1.1146788990825689</v>
      </c>
      <c r="N54" s="129">
        <f t="shared" si="125"/>
        <v>5.5963302752293576</v>
      </c>
      <c r="O54" s="129">
        <f t="shared" si="125"/>
        <v>6.0779816513761471</v>
      </c>
      <c r="P54" s="129">
        <f t="shared" si="125"/>
        <v>4.01255230125523</v>
      </c>
      <c r="Q54" s="129">
        <f>Q36/Q42</f>
        <v>16.278745644599304</v>
      </c>
      <c r="R54" s="118">
        <f t="shared" ref="R54:R60" si="126">((P54/G54)^(1/($H$2-$H$1) ))-1</f>
        <v>0.16693521296826419</v>
      </c>
      <c r="S54" s="128"/>
      <c r="T54" s="129">
        <f>T36/T42</f>
        <v>18.051678338565566</v>
      </c>
      <c r="U54" s="129">
        <f t="shared" ref="U54:AC54" si="127">U36/U42</f>
        <v>20.017702712072708</v>
      </c>
      <c r="V54" s="129">
        <f t="shared" si="127"/>
        <v>22.197848552001421</v>
      </c>
      <c r="W54" s="129">
        <f t="shared" si="127"/>
        <v>24.615436018060986</v>
      </c>
      <c r="X54" s="129">
        <f t="shared" si="127"/>
        <v>27.296325089334953</v>
      </c>
      <c r="Y54" s="129">
        <f t="shared" si="127"/>
        <v>30.269192178272426</v>
      </c>
      <c r="Z54" s="129">
        <f t="shared" si="127"/>
        <v>33.565836870955565</v>
      </c>
      <c r="AA54" s="129">
        <f t="shared" si="127"/>
        <v>37.221522074723005</v>
      </c>
      <c r="AB54" s="129">
        <f t="shared" si="127"/>
        <v>41.275351211574034</v>
      </c>
      <c r="AC54" s="129">
        <f t="shared" si="127"/>
        <v>45.770686492042501</v>
      </c>
      <c r="AD54" s="137">
        <f t="shared" ref="AD54:AD55" si="128">((AC54/G54)^(1/($AC$3-$H$1) ))-1</f>
        <v>0.21068000900526607</v>
      </c>
      <c r="AE54" s="31">
        <f t="shared" si="15"/>
        <v>0.05</v>
      </c>
      <c r="AF54" s="145">
        <f t="shared" ref="AF54:AF55" si="129">(AC54*(1+AE54))/($C$1-AE54)</f>
        <v>282.70129892143899</v>
      </c>
    </row>
    <row r="55" spans="2:32">
      <c r="B55" s="20" t="s">
        <v>462</v>
      </c>
      <c r="C55" s="133"/>
      <c r="D55" s="133"/>
      <c r="E55" s="133"/>
      <c r="F55" s="133"/>
      <c r="G55" s="129">
        <f t="shared" ref="G55:P55" si="130">G38/G42</f>
        <v>1</v>
      </c>
      <c r="H55" s="129" t="e">
        <f t="shared" si="130"/>
        <v>#DIV/0!</v>
      </c>
      <c r="I55" s="129" t="e">
        <f t="shared" si="130"/>
        <v>#DIV/0!</v>
      </c>
      <c r="J55" s="129" t="e">
        <f t="shared" si="130"/>
        <v>#DIV/0!</v>
      </c>
      <c r="K55" s="129" t="e">
        <f t="shared" si="130"/>
        <v>#DIV/0!</v>
      </c>
      <c r="L55" s="129">
        <f t="shared" si="130"/>
        <v>1</v>
      </c>
      <c r="M55" s="129">
        <f t="shared" si="130"/>
        <v>0.92660550458715596</v>
      </c>
      <c r="N55" s="129">
        <f t="shared" si="130"/>
        <v>3.7293577981651378</v>
      </c>
      <c r="O55" s="129">
        <f t="shared" si="130"/>
        <v>1.5596330275229359E-3</v>
      </c>
      <c r="P55" s="129">
        <f t="shared" si="130"/>
        <v>-7.6066945606694558</v>
      </c>
      <c r="Q55" s="129">
        <f>Q38/Q42</f>
        <v>-4.7700348432055746</v>
      </c>
      <c r="R55" s="118">
        <f t="shared" si="126"/>
        <v>-2.2528834262446988</v>
      </c>
      <c r="S55" s="128"/>
      <c r="T55" s="129">
        <f>T38/T42</f>
        <v>-5.2895435885051922</v>
      </c>
      <c r="U55" s="129">
        <f t="shared" ref="U55:AC55" si="131">U38/U42</f>
        <v>-5.8656324941839761</v>
      </c>
      <c r="V55" s="129">
        <f t="shared" si="131"/>
        <v>-6.5044637559267864</v>
      </c>
      <c r="W55" s="129">
        <f t="shared" si="131"/>
        <v>-7.2128706996415861</v>
      </c>
      <c r="X55" s="129">
        <f t="shared" si="131"/>
        <v>-7.9984308748500759</v>
      </c>
      <c r="Y55" s="129">
        <f t="shared" si="131"/>
        <v>-8.8695471087446389</v>
      </c>
      <c r="Z55" s="129">
        <f t="shared" si="131"/>
        <v>-9.8355373879148473</v>
      </c>
      <c r="AA55" s="129">
        <f t="shared" si="131"/>
        <v>-10.906734529172901</v>
      </c>
      <c r="AB55" s="129">
        <f t="shared" si="131"/>
        <v>-12.094596705617477</v>
      </c>
      <c r="AC55" s="129">
        <f t="shared" si="131"/>
        <v>-13.41183001018968</v>
      </c>
      <c r="AD55" s="137" t="e">
        <f t="shared" si="128"/>
        <v>#NUM!</v>
      </c>
      <c r="AE55" s="31">
        <f t="shared" si="15"/>
        <v>0.05</v>
      </c>
      <c r="AF55" s="145">
        <f t="shared" si="129"/>
        <v>-82.837773592348043</v>
      </c>
    </row>
    <row r="56" spans="2:32">
      <c r="B56" s="20" t="s">
        <v>257</v>
      </c>
      <c r="C56" s="25"/>
      <c r="D56" s="25"/>
      <c r="E56" s="25"/>
      <c r="F56" s="133"/>
      <c r="G56" s="133">
        <f t="shared" ref="G56:P56" si="132">G40/G42</f>
        <v>1</v>
      </c>
      <c r="H56" s="133" t="e">
        <f t="shared" si="132"/>
        <v>#DIV/0!</v>
      </c>
      <c r="I56" s="133" t="e">
        <f t="shared" si="132"/>
        <v>#DIV/0!</v>
      </c>
      <c r="J56" s="133" t="e">
        <f t="shared" si="132"/>
        <v>#DIV/0!</v>
      </c>
      <c r="K56" s="133" t="e">
        <f t="shared" si="132"/>
        <v>#DIV/0!</v>
      </c>
      <c r="L56" s="133">
        <f t="shared" si="132"/>
        <v>1</v>
      </c>
      <c r="M56" s="133">
        <f t="shared" si="132"/>
        <v>0.77981651376146788</v>
      </c>
      <c r="N56" s="133">
        <f t="shared" si="132"/>
        <v>2.3532110091743119</v>
      </c>
      <c r="O56" s="133">
        <f t="shared" si="132"/>
        <v>-1.3532110091743119</v>
      </c>
      <c r="P56" s="133">
        <f t="shared" si="132"/>
        <v>-12.531380753138075</v>
      </c>
      <c r="Q56" s="133">
        <f t="shared" ref="Q56" si="133">Q40/Q42</f>
        <v>-1.0104529616724738</v>
      </c>
      <c r="R56" s="118">
        <f t="shared" si="126"/>
        <v>-2.3243411712230726</v>
      </c>
      <c r="S56" s="128"/>
      <c r="T56" s="157">
        <f t="shared" ref="T56:AC56" si="134">T40/T42</f>
        <v>-1.1205022941318523</v>
      </c>
      <c r="U56" s="157">
        <f t="shared" si="134"/>
        <v>-1.2425371974531432</v>
      </c>
      <c r="V56" s="157">
        <f t="shared" si="134"/>
        <v>-1.3778630308391293</v>
      </c>
      <c r="W56" s="157">
        <f t="shared" si="134"/>
        <v>-1.5279273213265594</v>
      </c>
      <c r="X56" s="157">
        <f t="shared" si="134"/>
        <v>-1.6943352474116304</v>
      </c>
      <c r="Y56" s="157">
        <f t="shared" si="134"/>
        <v>-1.8788668090109173</v>
      </c>
      <c r="Z56" s="157">
        <f t="shared" si="134"/>
        <v>-2.0834958674180473</v>
      </c>
      <c r="AA56" s="157">
        <f t="shared" si="134"/>
        <v>-2.3104112589190229</v>
      </c>
      <c r="AB56" s="157">
        <f t="shared" si="134"/>
        <v>-2.5620402079102038</v>
      </c>
      <c r="AC56" s="157">
        <f t="shared" si="134"/>
        <v>-2.8410742899598302</v>
      </c>
      <c r="AD56" s="137" t="e">
        <f t="shared" ref="AD56:AD70" si="135">((AC56/G56)^(1/($AC$3-$H$1) ))-1</f>
        <v>#NUM!</v>
      </c>
      <c r="AE56" s="31">
        <f t="shared" si="15"/>
        <v>0.05</v>
      </c>
      <c r="AF56" s="145">
        <f t="shared" ref="AF56:AF84" si="136">(AC56*(1+AE56))/($C$1-AE56)</f>
        <v>-17.547811790928364</v>
      </c>
    </row>
    <row r="57" spans="2:32">
      <c r="B57" s="20" t="s">
        <v>387</v>
      </c>
      <c r="C57" s="133"/>
      <c r="D57" s="133"/>
      <c r="E57" s="133"/>
      <c r="F57" s="133"/>
      <c r="G57" s="133">
        <f>G20/G42</f>
        <v>-200</v>
      </c>
      <c r="H57" s="133" t="e">
        <f t="shared" ref="H57:P57" si="137">H20/H42</f>
        <v>#DIV/0!</v>
      </c>
      <c r="I57" s="133" t="e">
        <f t="shared" si="137"/>
        <v>#DIV/0!</v>
      </c>
      <c r="J57" s="133" t="e">
        <f t="shared" si="137"/>
        <v>#DIV/0!</v>
      </c>
      <c r="K57" s="133" t="e">
        <f t="shared" si="137"/>
        <v>#DIV/0!</v>
      </c>
      <c r="L57" s="133">
        <f t="shared" si="137"/>
        <v>-200</v>
      </c>
      <c r="M57" s="133">
        <f t="shared" si="137"/>
        <v>0.73853211009174313</v>
      </c>
      <c r="N57" s="133">
        <f t="shared" si="137"/>
        <v>4.0550458715596331</v>
      </c>
      <c r="O57" s="133">
        <f t="shared" si="137"/>
        <v>4.0963302752293576</v>
      </c>
      <c r="P57" s="133">
        <f t="shared" si="137"/>
        <v>8.2384937238493716</v>
      </c>
      <c r="Q57" s="133">
        <f t="shared" ref="Q57" si="138">Q20/Q42</f>
        <v>11.794425087108014</v>
      </c>
      <c r="R57" s="118">
        <f t="shared" si="126"/>
        <v>-1.7016020815315656</v>
      </c>
      <c r="S57" s="128"/>
      <c r="T57" s="133">
        <f t="shared" ref="T57:AC57" si="139">T20/T42</f>
        <v>13.07896643322869</v>
      </c>
      <c r="U57" s="133">
        <f t="shared" si="139"/>
        <v>14.503408321996172</v>
      </c>
      <c r="V57" s="133">
        <f t="shared" si="139"/>
        <v>16.082987446173973</v>
      </c>
      <c r="W57" s="133">
        <f t="shared" si="139"/>
        <v>17.834599940311737</v>
      </c>
      <c r="X57" s="133">
        <f t="shared" si="139"/>
        <v>19.776982112028861</v>
      </c>
      <c r="Y57" s="133">
        <f t="shared" si="139"/>
        <v>21.930910856903292</v>
      </c>
      <c r="Z57" s="133">
        <f t="shared" si="139"/>
        <v>24.319425900724443</v>
      </c>
      <c r="AA57" s="133">
        <f t="shared" si="139"/>
        <v>26.968076246347902</v>
      </c>
      <c r="AB57" s="133">
        <f t="shared" si="139"/>
        <v>29.905193461296683</v>
      </c>
      <c r="AC57" s="133">
        <f t="shared" si="139"/>
        <v>33.162194729358703</v>
      </c>
      <c r="AD57" s="137" t="e">
        <f t="shared" ref="AD57" si="140">((AC57/G57)^(1/($AC$3-$H$1) ))-1</f>
        <v>#NUM!</v>
      </c>
      <c r="AE57" s="31">
        <f t="shared" si="15"/>
        <v>0.05</v>
      </c>
      <c r="AF57" s="145">
        <f t="shared" si="136"/>
        <v>204.82532038721553</v>
      </c>
    </row>
    <row r="58" spans="2:32">
      <c r="B58" s="20" t="s">
        <v>245</v>
      </c>
      <c r="C58" s="25"/>
      <c r="D58" s="25"/>
      <c r="E58" s="25"/>
      <c r="F58" s="133"/>
      <c r="G58" s="133">
        <f t="shared" ref="G58:P58" si="141">G7/G42</f>
        <v>228800</v>
      </c>
      <c r="H58" s="133" t="e">
        <f t="shared" si="141"/>
        <v>#DIV/0!</v>
      </c>
      <c r="I58" s="133" t="e">
        <f t="shared" si="141"/>
        <v>#DIV/0!</v>
      </c>
      <c r="J58" s="133" t="e">
        <f t="shared" si="141"/>
        <v>#DIV/0!</v>
      </c>
      <c r="K58" s="133" t="e">
        <f t="shared" si="141"/>
        <v>#DIV/0!</v>
      </c>
      <c r="L58" s="133">
        <f t="shared" si="141"/>
        <v>228800</v>
      </c>
      <c r="M58" s="133">
        <f t="shared" si="141"/>
        <v>26.504587155963304</v>
      </c>
      <c r="N58" s="133">
        <f t="shared" si="141"/>
        <v>28.839449541284402</v>
      </c>
      <c r="O58" s="133">
        <f t="shared" si="141"/>
        <v>27.711009174311926</v>
      </c>
      <c r="P58" s="133">
        <f t="shared" si="141"/>
        <v>17.96234309623431</v>
      </c>
      <c r="Q58" s="133">
        <f t="shared" ref="Q58" si="142">Q7/Q42</f>
        <v>22.797909407665504</v>
      </c>
      <c r="R58" s="118">
        <f t="shared" si="126"/>
        <v>-0.65015267953297351</v>
      </c>
      <c r="S58" s="128"/>
      <c r="T58" s="157">
        <f t="shared" ref="T58:AC58" si="143">T7/T42</f>
        <v>25.280850036223136</v>
      </c>
      <c r="U58" s="157">
        <f t="shared" si="143"/>
        <v>28.034209941158327</v>
      </c>
      <c r="V58" s="157">
        <f t="shared" si="143"/>
        <v>31.08744072682904</v>
      </c>
      <c r="W58" s="157">
        <f t="shared" si="143"/>
        <v>34.473201598067853</v>
      </c>
      <c r="X58" s="157">
        <f t="shared" si="143"/>
        <v>38.227708702807917</v>
      </c>
      <c r="Y58" s="157">
        <f t="shared" si="143"/>
        <v>42.391122521925617</v>
      </c>
      <c r="Z58" s="157">
        <f t="shared" si="143"/>
        <v>47.007977450056131</v>
      </c>
      <c r="AA58" s="157">
        <f t="shared" si="143"/>
        <v>52.127658162438479</v>
      </c>
      <c r="AB58" s="157">
        <f t="shared" si="143"/>
        <v>57.804927863298126</v>
      </c>
      <c r="AC58" s="157">
        <f t="shared" si="143"/>
        <v>64.100514066231597</v>
      </c>
      <c r="AD58" s="137">
        <f t="shared" si="135"/>
        <v>-0.3356907883743625</v>
      </c>
      <c r="AE58" s="31">
        <f t="shared" si="15"/>
        <v>0.05</v>
      </c>
      <c r="AF58" s="145">
        <f t="shared" si="136"/>
        <v>395.91493982084222</v>
      </c>
    </row>
    <row r="59" spans="2:32">
      <c r="B59" s="20" t="s">
        <v>246</v>
      </c>
      <c r="C59" s="127"/>
      <c r="D59" s="127"/>
      <c r="E59" s="127"/>
      <c r="F59" s="143"/>
      <c r="G59" s="143">
        <f t="shared" ref="G59:P59" si="144">G6/G42</f>
        <v>44600</v>
      </c>
      <c r="H59" s="143" t="e">
        <f t="shared" si="144"/>
        <v>#DIV/0!</v>
      </c>
      <c r="I59" s="143" t="e">
        <f t="shared" si="144"/>
        <v>#DIV/0!</v>
      </c>
      <c r="J59" s="143" t="e">
        <f t="shared" si="144"/>
        <v>#DIV/0!</v>
      </c>
      <c r="K59" s="143" t="e">
        <f t="shared" si="144"/>
        <v>#DIV/0!</v>
      </c>
      <c r="L59" s="143">
        <f t="shared" si="144"/>
        <v>44600</v>
      </c>
      <c r="M59" s="143">
        <f t="shared" si="144"/>
        <v>16.5</v>
      </c>
      <c r="N59" s="143">
        <f t="shared" si="144"/>
        <v>18.839449541284402</v>
      </c>
      <c r="O59" s="143">
        <f t="shared" si="144"/>
        <v>17.711009174311926</v>
      </c>
      <c r="P59" s="143">
        <f t="shared" si="144"/>
        <v>7.9497907949790791</v>
      </c>
      <c r="Q59" s="143">
        <f t="shared" ref="Q59" si="145">Q6/Q42</f>
        <v>12.790940766550523</v>
      </c>
      <c r="R59" s="118">
        <f t="shared" si="126"/>
        <v>-0.61678124099889819</v>
      </c>
      <c r="S59" s="128"/>
      <c r="T59" s="156">
        <f t="shared" ref="T59:AC59" si="146">T6/T42</f>
        <v>14.184013523303552</v>
      </c>
      <c r="U59" s="156">
        <f t="shared" si="146"/>
        <v>15.728807075346513</v>
      </c>
      <c r="V59" s="156">
        <f t="shared" si="146"/>
        <v>17.441845469691184</v>
      </c>
      <c r="W59" s="156">
        <f t="shared" si="146"/>
        <v>19.341452402033791</v>
      </c>
      <c r="X59" s="156">
        <f t="shared" si="146"/>
        <v>21.447947218096878</v>
      </c>
      <c r="Y59" s="156">
        <f t="shared" si="146"/>
        <v>23.78386226165199</v>
      </c>
      <c r="Z59" s="156">
        <f t="shared" si="146"/>
        <v>26.374183894109137</v>
      </c>
      <c r="AA59" s="156">
        <f t="shared" si="146"/>
        <v>29.246619763764592</v>
      </c>
      <c r="AB59" s="156">
        <f t="shared" si="146"/>
        <v>32.431895183580536</v>
      </c>
      <c r="AC59" s="156">
        <f t="shared" si="146"/>
        <v>35.96408178773288</v>
      </c>
      <c r="AD59" s="137">
        <f t="shared" si="135"/>
        <v>-0.29963133709736034</v>
      </c>
      <c r="AE59" s="31">
        <f t="shared" si="15"/>
        <v>0.05</v>
      </c>
      <c r="AF59" s="145">
        <f t="shared" si="136"/>
        <v>222.13109339482074</v>
      </c>
    </row>
    <row r="60" spans="2:32">
      <c r="B60" s="20" t="s">
        <v>247</v>
      </c>
      <c r="C60" s="127"/>
      <c r="D60" s="127"/>
      <c r="E60" s="127"/>
      <c r="F60" s="143"/>
      <c r="G60" s="143">
        <f t="shared" ref="G60:P60" si="147">G10/G42</f>
        <v>498900</v>
      </c>
      <c r="H60" s="143" t="e">
        <f t="shared" si="147"/>
        <v>#DIV/0!</v>
      </c>
      <c r="I60" s="143" t="e">
        <f t="shared" si="147"/>
        <v>#DIV/0!</v>
      </c>
      <c r="J60" s="143" t="e">
        <f t="shared" si="147"/>
        <v>#DIV/0!</v>
      </c>
      <c r="K60" s="143" t="e">
        <f t="shared" si="147"/>
        <v>#DIV/0!</v>
      </c>
      <c r="L60" s="143">
        <f t="shared" si="147"/>
        <v>498900</v>
      </c>
      <c r="M60" s="143">
        <f t="shared" si="147"/>
        <v>48.486238532110093</v>
      </c>
      <c r="N60" s="143">
        <f t="shared" si="147"/>
        <v>112.39449541284404</v>
      </c>
      <c r="O60" s="143">
        <f t="shared" si="147"/>
        <v>165.16055045871559</v>
      </c>
      <c r="P60" s="143">
        <f t="shared" si="147"/>
        <v>157.3305439330544</v>
      </c>
      <c r="Q60" s="143">
        <f t="shared" ref="Q60" si="148">Q10/Q42</f>
        <v>138.56445993031357</v>
      </c>
      <c r="R60" s="118">
        <f t="shared" si="126"/>
        <v>-0.59170155427802507</v>
      </c>
      <c r="S60" s="128"/>
      <c r="T60" s="156">
        <f t="shared" ref="T60:AC60" si="149">T10/T42</f>
        <v>153.65563873460519</v>
      </c>
      <c r="U60" s="156">
        <f t="shared" si="149"/>
        <v>170.39041127005723</v>
      </c>
      <c r="V60" s="156">
        <f t="shared" si="149"/>
        <v>188.94778279451893</v>
      </c>
      <c r="W60" s="156">
        <f t="shared" si="149"/>
        <v>209.52625418798144</v>
      </c>
      <c r="X60" s="156">
        <f t="shared" si="149"/>
        <v>232.34594523815764</v>
      </c>
      <c r="Y60" s="156">
        <f t="shared" si="149"/>
        <v>257.65094917498675</v>
      </c>
      <c r="Z60" s="156">
        <f t="shared" si="149"/>
        <v>285.71194363958926</v>
      </c>
      <c r="AA60" s="156">
        <f t="shared" si="149"/>
        <v>316.82908601617822</v>
      </c>
      <c r="AB60" s="156">
        <f t="shared" si="149"/>
        <v>351.33522409714811</v>
      </c>
      <c r="AC60" s="156">
        <f t="shared" si="149"/>
        <v>389.59945642456034</v>
      </c>
      <c r="AD60" s="137">
        <f t="shared" si="135"/>
        <v>-0.30075359550959102</v>
      </c>
      <c r="AE60" s="31">
        <f t="shared" si="15"/>
        <v>0.05</v>
      </c>
      <c r="AF60" s="145">
        <f t="shared" si="136"/>
        <v>2406.3495837987552</v>
      </c>
    </row>
    <row r="61" spans="2:32">
      <c r="B61" s="20"/>
      <c r="C61" s="127"/>
      <c r="D61" s="127"/>
      <c r="E61" s="127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28"/>
      <c r="S61" s="128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38"/>
      <c r="AE61" s="136"/>
      <c r="AF61" s="145"/>
    </row>
    <row r="62" spans="2:32">
      <c r="B62" s="20" t="s">
        <v>270</v>
      </c>
      <c r="C62" s="127"/>
      <c r="D62" s="127"/>
      <c r="E62" s="127"/>
      <c r="F62" s="143"/>
      <c r="G62" s="143">
        <f t="shared" ref="G62:P62" si="150">(G7-G10)/G42</f>
        <v>-270100</v>
      </c>
      <c r="H62" s="143" t="e">
        <f t="shared" si="150"/>
        <v>#DIV/0!</v>
      </c>
      <c r="I62" s="143" t="e">
        <f t="shared" si="150"/>
        <v>#DIV/0!</v>
      </c>
      <c r="J62" s="143" t="e">
        <f t="shared" si="150"/>
        <v>#DIV/0!</v>
      </c>
      <c r="K62" s="143" t="e">
        <f t="shared" si="150"/>
        <v>#DIV/0!</v>
      </c>
      <c r="L62" s="143">
        <f t="shared" si="150"/>
        <v>-270100</v>
      </c>
      <c r="M62" s="143">
        <f t="shared" si="150"/>
        <v>-21.98165137614679</v>
      </c>
      <c r="N62" s="143">
        <f t="shared" si="150"/>
        <v>-83.555045871559628</v>
      </c>
      <c r="O62" s="143">
        <f t="shared" si="150"/>
        <v>-137.44954128440367</v>
      </c>
      <c r="P62" s="143">
        <f t="shared" si="150"/>
        <v>-139.36820083682008</v>
      </c>
      <c r="Q62" s="143">
        <f t="shared" ref="Q62" si="151">(Q7-Q10)/Q42</f>
        <v>-115.76655052264809</v>
      </c>
      <c r="R62" s="118">
        <f>((P62/G62)^(1/($H$2-$H$1) ))-1</f>
        <v>-0.56874148925768131</v>
      </c>
      <c r="S62" s="128"/>
      <c r="T62" s="156">
        <f t="shared" ref="T62:AC62" si="152">(T7-T10)/T42</f>
        <v>-128.37478869838202</v>
      </c>
      <c r="U62" s="156">
        <f t="shared" si="152"/>
        <v>-142.35620132889892</v>
      </c>
      <c r="V62" s="156">
        <f t="shared" si="152"/>
        <v>-157.86034206768988</v>
      </c>
      <c r="W62" s="156">
        <f t="shared" si="152"/>
        <v>-175.05305258991359</v>
      </c>
      <c r="X62" s="156">
        <f t="shared" si="152"/>
        <v>-194.11823653534972</v>
      </c>
      <c r="Y62" s="156">
        <f t="shared" si="152"/>
        <v>-215.25982665306111</v>
      </c>
      <c r="Z62" s="156">
        <f t="shared" si="152"/>
        <v>-238.70396618953316</v>
      </c>
      <c r="AA62" s="156">
        <f t="shared" si="152"/>
        <v>-264.70142785373969</v>
      </c>
      <c r="AB62" s="156">
        <f t="shared" si="152"/>
        <v>-293.53029623384998</v>
      </c>
      <c r="AC62" s="156">
        <f t="shared" si="152"/>
        <v>-325.49894235832875</v>
      </c>
      <c r="AD62" s="137">
        <f t="shared" si="135"/>
        <v>-0.28541935323414813</v>
      </c>
      <c r="AE62" s="31">
        <f t="shared" si="15"/>
        <v>0.05</v>
      </c>
      <c r="AF62" s="145">
        <f t="shared" si="136"/>
        <v>-2010.4346439779131</v>
      </c>
    </row>
    <row r="63" spans="2:32">
      <c r="B63" s="20" t="s">
        <v>271</v>
      </c>
      <c r="C63" s="127"/>
      <c r="D63" s="127"/>
      <c r="E63" s="127"/>
      <c r="F63" s="143"/>
      <c r="G63" s="143">
        <f t="shared" ref="G63:P63" si="153">(G7-G10-G9)/G42</f>
        <v>-326300</v>
      </c>
      <c r="H63" s="143" t="e">
        <f t="shared" si="153"/>
        <v>#DIV/0!</v>
      </c>
      <c r="I63" s="143" t="e">
        <f t="shared" si="153"/>
        <v>#DIV/0!</v>
      </c>
      <c r="J63" s="143" t="e">
        <f t="shared" si="153"/>
        <v>#DIV/0!</v>
      </c>
      <c r="K63" s="143" t="e">
        <f t="shared" si="153"/>
        <v>#DIV/0!</v>
      </c>
      <c r="L63" s="143">
        <f t="shared" si="153"/>
        <v>-326300</v>
      </c>
      <c r="M63" s="143">
        <f t="shared" si="153"/>
        <v>-28.834862385321102</v>
      </c>
      <c r="N63" s="143">
        <f t="shared" si="153"/>
        <v>-100.20642201834862</v>
      </c>
      <c r="O63" s="143">
        <f t="shared" si="153"/>
        <v>-174.35321100917432</v>
      </c>
      <c r="P63" s="143">
        <f t="shared" si="153"/>
        <v>-190.80753138075315</v>
      </c>
      <c r="Q63" s="143">
        <f t="shared" ref="Q63" si="154">(Q7-Q10-Q9)/Q42</f>
        <v>-155.94076655052265</v>
      </c>
      <c r="R63" s="118">
        <f>((P63/G63)^(1/($H$2-$H$1) ))-1</f>
        <v>-0.56270412355588328</v>
      </c>
      <c r="S63" s="128"/>
      <c r="T63" s="156">
        <f t="shared" ref="T63:AC63" si="155">(T7-T10-T9)/T42</f>
        <v>-172.92441439265878</v>
      </c>
      <c r="U63" s="156">
        <f t="shared" si="155"/>
        <v>-191.75776645522561</v>
      </c>
      <c r="V63" s="156">
        <f t="shared" si="155"/>
        <v>-212.64227567312147</v>
      </c>
      <c r="W63" s="156">
        <f t="shared" si="155"/>
        <v>-235.80133539989714</v>
      </c>
      <c r="X63" s="156">
        <f t="shared" si="155"/>
        <v>-261.48266895830182</v>
      </c>
      <c r="Y63" s="156">
        <f t="shared" si="155"/>
        <v>-289.96097943890896</v>
      </c>
      <c r="Z63" s="156">
        <f t="shared" si="155"/>
        <v>-321.54088809067139</v>
      </c>
      <c r="AA63" s="156">
        <f t="shared" si="155"/>
        <v>-356.56019273420986</v>
      </c>
      <c r="AB63" s="156">
        <f t="shared" si="155"/>
        <v>-395.3934810517971</v>
      </c>
      <c r="AC63" s="156">
        <f t="shared" si="155"/>
        <v>-438.45613740397306</v>
      </c>
      <c r="AD63" s="137">
        <f t="shared" si="135"/>
        <v>-0.28151872513186504</v>
      </c>
      <c r="AE63" s="31">
        <f t="shared" si="15"/>
        <v>0.05</v>
      </c>
      <c r="AF63" s="145">
        <f t="shared" si="136"/>
        <v>-2708.1114369068928</v>
      </c>
    </row>
    <row r="64" spans="2:32">
      <c r="B64" s="20" t="s">
        <v>276</v>
      </c>
      <c r="C64" s="127"/>
      <c r="D64" s="127"/>
      <c r="E64" s="127"/>
      <c r="F64" s="143"/>
      <c r="G64" s="143">
        <f t="shared" ref="G64:P64" si="156">(G7+G15-G10-G9)/G42</f>
        <v>-270500</v>
      </c>
      <c r="H64" s="143" t="e">
        <f t="shared" si="156"/>
        <v>#DIV/0!</v>
      </c>
      <c r="I64" s="143" t="e">
        <f t="shared" si="156"/>
        <v>#DIV/0!</v>
      </c>
      <c r="J64" s="143" t="e">
        <f t="shared" si="156"/>
        <v>#DIV/0!</v>
      </c>
      <c r="K64" s="143" t="e">
        <f t="shared" si="156"/>
        <v>#DIV/0!</v>
      </c>
      <c r="L64" s="143">
        <f t="shared" si="156"/>
        <v>-270500</v>
      </c>
      <c r="M64" s="143">
        <f t="shared" si="156"/>
        <v>-26.642201834862384</v>
      </c>
      <c r="N64" s="143">
        <f t="shared" si="156"/>
        <v>-91.233944954128447</v>
      </c>
      <c r="O64" s="143">
        <f t="shared" si="156"/>
        <v>-153.63761467889907</v>
      </c>
      <c r="P64" s="143">
        <f t="shared" si="156"/>
        <v>-173.93723849372384</v>
      </c>
      <c r="Q64" s="143">
        <f t="shared" ref="Q64" si="157">(Q7+Q15-Q10-Q9)/Q42</f>
        <v>-143.20905923344947</v>
      </c>
      <c r="R64" s="118">
        <f>((P64/G64)^(1/($H$2-$H$1) ))-1</f>
        <v>-0.55806503155188736</v>
      </c>
      <c r="S64" s="128"/>
      <c r="T64" s="156">
        <f t="shared" ref="T64:AC64" si="158">(T7+T15-T10-T9)/T42</f>
        <v>-158.80608548659745</v>
      </c>
      <c r="U64" s="156">
        <f t="shared" si="158"/>
        <v>-176.10179776731599</v>
      </c>
      <c r="V64" s="156">
        <f t="shared" si="158"/>
        <v>-195.28120148454843</v>
      </c>
      <c r="W64" s="156">
        <f t="shared" si="158"/>
        <v>-216.54945115118247</v>
      </c>
      <c r="X64" s="156">
        <f t="shared" si="158"/>
        <v>-240.13404484091524</v>
      </c>
      <c r="Y64" s="156">
        <f t="shared" si="158"/>
        <v>-266.28725764537143</v>
      </c>
      <c r="Z64" s="156">
        <f t="shared" si="158"/>
        <v>-295.28884016120401</v>
      </c>
      <c r="AA64" s="156">
        <f t="shared" si="158"/>
        <v>-327.44901087183013</v>
      </c>
      <c r="AB64" s="156">
        <f t="shared" si="158"/>
        <v>-363.11177443212853</v>
      </c>
      <c r="AC64" s="156">
        <f t="shared" si="158"/>
        <v>-402.65860135047922</v>
      </c>
      <c r="AD64" s="137">
        <f t="shared" si="135"/>
        <v>-0.27783159247611355</v>
      </c>
      <c r="AE64" s="31">
        <f t="shared" si="15"/>
        <v>0.05</v>
      </c>
      <c r="AF64" s="145">
        <f t="shared" si="136"/>
        <v>-2487.0090083411956</v>
      </c>
    </row>
    <row r="65" spans="2:32">
      <c r="B65" s="20"/>
      <c r="C65" s="127"/>
      <c r="D65" s="127"/>
      <c r="E65" s="127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28"/>
      <c r="S65" s="128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38"/>
      <c r="AE65" s="136"/>
      <c r="AF65" s="153"/>
    </row>
    <row r="66" spans="2:32">
      <c r="B66" s="20" t="s">
        <v>248</v>
      </c>
      <c r="C66" s="127"/>
      <c r="D66" s="127"/>
      <c r="E66" s="127"/>
      <c r="F66" s="143"/>
      <c r="G66" s="143">
        <f t="shared" ref="G66:P66" si="159">G12/G42</f>
        <v>55800</v>
      </c>
      <c r="H66" s="143" t="e">
        <f t="shared" si="159"/>
        <v>#DIV/0!</v>
      </c>
      <c r="I66" s="143" t="e">
        <f t="shared" si="159"/>
        <v>#DIV/0!</v>
      </c>
      <c r="J66" s="143" t="e">
        <f t="shared" si="159"/>
        <v>#DIV/0!</v>
      </c>
      <c r="K66" s="143" t="e">
        <f t="shared" si="159"/>
        <v>#DIV/0!</v>
      </c>
      <c r="L66" s="143">
        <f t="shared" si="159"/>
        <v>55800</v>
      </c>
      <c r="M66" s="143">
        <f t="shared" si="159"/>
        <v>5.3486238532110093</v>
      </c>
      <c r="N66" s="143">
        <f t="shared" si="159"/>
        <v>5.7568807339449544</v>
      </c>
      <c r="O66" s="143">
        <f t="shared" si="159"/>
        <v>14.862385321100918</v>
      </c>
      <c r="P66" s="143">
        <f t="shared" si="159"/>
        <v>7.1882845188284517</v>
      </c>
      <c r="Q66" s="143">
        <f t="shared" ref="Q66" si="160">Q12/Q42</f>
        <v>2.8919860627177703</v>
      </c>
      <c r="R66" s="118">
        <f>((P66/G66)^(1/($H$2-$H$1) ))-1</f>
        <v>-0.63036185304569059</v>
      </c>
      <c r="S66" s="128"/>
      <c r="T66" s="156">
        <f t="shared" ref="T66:AC66" si="161">T12/T42</f>
        <v>3.2069548418256466</v>
      </c>
      <c r="U66" s="156">
        <f t="shared" si="161"/>
        <v>3.5562271513314099</v>
      </c>
      <c r="V66" s="156">
        <f t="shared" si="161"/>
        <v>3.9435390192981981</v>
      </c>
      <c r="W66" s="156">
        <f t="shared" si="161"/>
        <v>4.373033367934636</v>
      </c>
      <c r="X66" s="156">
        <f t="shared" si="161"/>
        <v>4.8493043287988051</v>
      </c>
      <c r="Y66" s="156">
        <f t="shared" si="161"/>
        <v>5.3774463844105567</v>
      </c>
      <c r="Z66" s="156">
        <f t="shared" si="161"/>
        <v>5.9631088619206176</v>
      </c>
      <c r="AA66" s="156">
        <f t="shared" si="161"/>
        <v>6.6125563617337546</v>
      </c>
      <c r="AB66" s="156">
        <f t="shared" si="161"/>
        <v>7.3327357674671347</v>
      </c>
      <c r="AC66" s="156">
        <f t="shared" si="161"/>
        <v>8.131350554022962</v>
      </c>
      <c r="AD66" s="137">
        <f t="shared" si="135"/>
        <v>-0.35705114938417171</v>
      </c>
      <c r="AE66" s="31">
        <f t="shared" si="15"/>
        <v>0.05</v>
      </c>
      <c r="AF66" s="145">
        <f t="shared" si="136"/>
        <v>50.223047539553598</v>
      </c>
    </row>
    <row r="67" spans="2:32">
      <c r="B67" s="20" t="s">
        <v>255</v>
      </c>
      <c r="C67" s="127"/>
      <c r="D67" s="127"/>
      <c r="E67" s="127"/>
      <c r="F67" s="143"/>
      <c r="G67" s="143">
        <f t="shared" ref="G67:P67" si="162">G13/G42</f>
        <v>0</v>
      </c>
      <c r="H67" s="143" t="e">
        <f t="shared" si="162"/>
        <v>#DIV/0!</v>
      </c>
      <c r="I67" s="143" t="e">
        <f t="shared" si="162"/>
        <v>#DIV/0!</v>
      </c>
      <c r="J67" s="143" t="e">
        <f t="shared" si="162"/>
        <v>#DIV/0!</v>
      </c>
      <c r="K67" s="143" t="e">
        <f t="shared" si="162"/>
        <v>#DIV/0!</v>
      </c>
      <c r="L67" s="143">
        <f t="shared" si="162"/>
        <v>0</v>
      </c>
      <c r="M67" s="143">
        <f t="shared" si="162"/>
        <v>4.5871559633027523E-5</v>
      </c>
      <c r="N67" s="143">
        <f t="shared" si="162"/>
        <v>4.5871559633027525E-2</v>
      </c>
      <c r="O67" s="143">
        <f t="shared" si="162"/>
        <v>8.7155963302752298E-2</v>
      </c>
      <c r="P67" s="143">
        <f t="shared" si="162"/>
        <v>9.6234309623430964E-2</v>
      </c>
      <c r="Q67" s="143">
        <f t="shared" ref="Q67" si="163">Q13/Q42</f>
        <v>0.40069686411149824</v>
      </c>
      <c r="R67" s="118" t="e">
        <f>((P67/G67)^(1/($H$2-$H$1) ))-1</f>
        <v>#DIV/0!</v>
      </c>
      <c r="S67" s="128"/>
      <c r="T67" s="156">
        <f t="shared" ref="T67:AC67" si="164">T13/T42</f>
        <v>0.44433711663849312</v>
      </c>
      <c r="U67" s="156">
        <f t="shared" si="164"/>
        <v>0.4927302679555568</v>
      </c>
      <c r="V67" s="156">
        <f t="shared" si="164"/>
        <v>0.54639396050517197</v>
      </c>
      <c r="W67" s="156">
        <f t="shared" si="164"/>
        <v>0.6059022136294977</v>
      </c>
      <c r="X67" s="156">
        <f t="shared" si="164"/>
        <v>0.67189156362875002</v>
      </c>
      <c r="Y67" s="156">
        <f t="shared" si="164"/>
        <v>0.74506787253881201</v>
      </c>
      <c r="Z67" s="156">
        <f t="shared" si="164"/>
        <v>0.82621387845888072</v>
      </c>
      <c r="AA67" s="156">
        <f t="shared" si="164"/>
        <v>0.91619756819202613</v>
      </c>
      <c r="AB67" s="156">
        <f t="shared" si="164"/>
        <v>1.0159814617574943</v>
      </c>
      <c r="AC67" s="156">
        <f t="shared" si="164"/>
        <v>1.1266329080875188</v>
      </c>
      <c r="AD67" s="137" t="e">
        <f t="shared" si="135"/>
        <v>#DIV/0!</v>
      </c>
      <c r="AE67" s="31">
        <f t="shared" si="15"/>
        <v>0.05</v>
      </c>
      <c r="AF67" s="145">
        <f t="shared" si="136"/>
        <v>6.9586150205405586</v>
      </c>
    </row>
    <row r="68" spans="2:32">
      <c r="B68" s="20" t="s">
        <v>256</v>
      </c>
      <c r="C68" s="127"/>
      <c r="D68" s="127"/>
      <c r="E68" s="127"/>
      <c r="F68" s="143"/>
      <c r="G68" s="143">
        <f t="shared" ref="G68:P68" si="165">(G66+G67)</f>
        <v>55800</v>
      </c>
      <c r="H68" s="143" t="e">
        <f t="shared" si="165"/>
        <v>#DIV/0!</v>
      </c>
      <c r="I68" s="143" t="e">
        <f t="shared" si="165"/>
        <v>#DIV/0!</v>
      </c>
      <c r="J68" s="143" t="e">
        <f t="shared" si="165"/>
        <v>#DIV/0!</v>
      </c>
      <c r="K68" s="143" t="e">
        <f t="shared" si="165"/>
        <v>#DIV/0!</v>
      </c>
      <c r="L68" s="143">
        <f t="shared" si="165"/>
        <v>55800</v>
      </c>
      <c r="M68" s="143">
        <f t="shared" si="165"/>
        <v>5.3486697247706427</v>
      </c>
      <c r="N68" s="143">
        <f t="shared" si="165"/>
        <v>5.8027522935779823</v>
      </c>
      <c r="O68" s="143">
        <f t="shared" ref="O68" si="166">(O66+O67)</f>
        <v>14.94954128440367</v>
      </c>
      <c r="P68" s="143">
        <f t="shared" si="165"/>
        <v>7.2845188284518825</v>
      </c>
      <c r="Q68" s="143">
        <f t="shared" ref="Q68" si="167">(Q66+Q67)</f>
        <v>3.2926829268292686</v>
      </c>
      <c r="R68" s="118">
        <f>((P68/G68)^(1/($H$2-$H$1) ))-1</f>
        <v>-0.6298152540213855</v>
      </c>
      <c r="S68" s="128"/>
      <c r="T68" s="156">
        <f t="shared" ref="T68:AC68" si="168">(T66+T67)</f>
        <v>3.6512919584641397</v>
      </c>
      <c r="U68" s="156">
        <f t="shared" si="168"/>
        <v>4.0489574192869666</v>
      </c>
      <c r="V68" s="156">
        <f t="shared" si="168"/>
        <v>4.4899329798033705</v>
      </c>
      <c r="W68" s="156">
        <f t="shared" si="168"/>
        <v>4.9789355815641336</v>
      </c>
      <c r="X68" s="156">
        <f t="shared" si="168"/>
        <v>5.5211958924275555</v>
      </c>
      <c r="Y68" s="156">
        <f t="shared" si="168"/>
        <v>6.1225142569493691</v>
      </c>
      <c r="Z68" s="156">
        <f t="shared" si="168"/>
        <v>6.7893227403794985</v>
      </c>
      <c r="AA68" s="156">
        <f t="shared" si="168"/>
        <v>7.5287539299257809</v>
      </c>
      <c r="AB68" s="156">
        <f t="shared" si="168"/>
        <v>8.3487172292246292</v>
      </c>
      <c r="AC68" s="156">
        <f t="shared" si="168"/>
        <v>9.2579834621104808</v>
      </c>
      <c r="AD68" s="137">
        <f t="shared" si="135"/>
        <v>-0.35286616075880672</v>
      </c>
      <c r="AE68" s="31">
        <f t="shared" si="15"/>
        <v>0.05</v>
      </c>
      <c r="AF68" s="145">
        <f t="shared" si="136"/>
        <v>57.181662560094153</v>
      </c>
    </row>
    <row r="69" spans="2:32">
      <c r="B69" s="20" t="s">
        <v>249</v>
      </c>
      <c r="C69" s="127"/>
      <c r="D69" s="127"/>
      <c r="E69" s="127"/>
      <c r="F69" s="143"/>
      <c r="G69" s="143">
        <f t="shared" ref="G69:P69" si="169">G15/G42</f>
        <v>55800</v>
      </c>
      <c r="H69" s="143" t="e">
        <f t="shared" si="169"/>
        <v>#DIV/0!</v>
      </c>
      <c r="I69" s="143" t="e">
        <f t="shared" si="169"/>
        <v>#DIV/0!</v>
      </c>
      <c r="J69" s="143" t="e">
        <f t="shared" si="169"/>
        <v>#DIV/0!</v>
      </c>
      <c r="K69" s="143" t="e">
        <f t="shared" si="169"/>
        <v>#DIV/0!</v>
      </c>
      <c r="L69" s="143">
        <f t="shared" si="169"/>
        <v>55800</v>
      </c>
      <c r="M69" s="143">
        <f t="shared" si="169"/>
        <v>2.1926605504587156</v>
      </c>
      <c r="N69" s="143">
        <f t="shared" si="169"/>
        <v>8.9724770642201843</v>
      </c>
      <c r="O69" s="143">
        <f t="shared" si="169"/>
        <v>20.715596330275229</v>
      </c>
      <c r="P69" s="143">
        <f t="shared" si="169"/>
        <v>16.87029288702929</v>
      </c>
      <c r="Q69" s="143">
        <f t="shared" ref="Q69" si="170">Q15/Q42</f>
        <v>12.731707317073171</v>
      </c>
      <c r="R69" s="118">
        <f>((P69/G69)^(1/($H$2-$H$1) ))-1</f>
        <v>-0.59360986393479609</v>
      </c>
      <c r="S69" s="128"/>
      <c r="T69" s="156">
        <f t="shared" ref="T69:AC69" si="171">T15/T42</f>
        <v>14.11832890606134</v>
      </c>
      <c r="U69" s="156">
        <f t="shared" si="171"/>
        <v>15.655968687909603</v>
      </c>
      <c r="V69" s="156">
        <f t="shared" si="171"/>
        <v>17.361074188573028</v>
      </c>
      <c r="W69" s="156">
        <f t="shared" si="171"/>
        <v>19.251884248714646</v>
      </c>
      <c r="X69" s="156">
        <f t="shared" si="171"/>
        <v>21.348624117386542</v>
      </c>
      <c r="Y69" s="156">
        <f t="shared" si="171"/>
        <v>23.673721793537553</v>
      </c>
      <c r="Z69" s="156">
        <f t="shared" si="171"/>
        <v>26.252047929467388</v>
      </c>
      <c r="AA69" s="156">
        <f t="shared" si="171"/>
        <v>29.111181862379681</v>
      </c>
      <c r="AB69" s="156">
        <f t="shared" si="171"/>
        <v>32.281706619668554</v>
      </c>
      <c r="AC69" s="156">
        <f t="shared" si="171"/>
        <v>35.79753605349385</v>
      </c>
      <c r="AD69" s="137">
        <f t="shared" si="135"/>
        <v>-0.30759380192080665</v>
      </c>
      <c r="AE69" s="31">
        <f t="shared" si="15"/>
        <v>0.05</v>
      </c>
      <c r="AF69" s="145">
        <f t="shared" si="136"/>
        <v>221.10242856569732</v>
      </c>
    </row>
    <row r="70" spans="2:32">
      <c r="B70" s="20" t="s">
        <v>250</v>
      </c>
      <c r="C70" s="127"/>
      <c r="D70" s="127"/>
      <c r="E70" s="127"/>
      <c r="F70" s="143"/>
      <c r="G70" s="143">
        <f t="shared" ref="G70:P70" si="172">G16/G42</f>
        <v>41300</v>
      </c>
      <c r="H70" s="143" t="e">
        <f t="shared" si="172"/>
        <v>#DIV/0!</v>
      </c>
      <c r="I70" s="143" t="e">
        <f t="shared" si="172"/>
        <v>#DIV/0!</v>
      </c>
      <c r="J70" s="143" t="e">
        <f t="shared" si="172"/>
        <v>#DIV/0!</v>
      </c>
      <c r="K70" s="143" t="e">
        <f t="shared" si="172"/>
        <v>#DIV/0!</v>
      </c>
      <c r="L70" s="143">
        <f t="shared" si="172"/>
        <v>41300</v>
      </c>
      <c r="M70" s="143">
        <f t="shared" si="172"/>
        <v>4.1009174311926602</v>
      </c>
      <c r="N70" s="143">
        <f t="shared" si="172"/>
        <v>-5.0045871559633026</v>
      </c>
      <c r="O70" s="143">
        <f t="shared" si="172"/>
        <v>0.27981651376146788</v>
      </c>
      <c r="P70" s="143">
        <f t="shared" si="172"/>
        <v>-25.90376569037657</v>
      </c>
      <c r="Q70" s="143">
        <f t="shared" ref="Q70" si="173">Q16/Q42</f>
        <v>-13.334494773519165</v>
      </c>
      <c r="R70" s="118">
        <f>((P70/G70)^(1/($H$2-$H$1) ))-1</f>
        <v>-1.4407141387077069</v>
      </c>
      <c r="S70" s="128"/>
      <c r="T70" s="156">
        <f t="shared" ref="T70:AC70" si="174">T16/T42</f>
        <v>-14.786766481526204</v>
      </c>
      <c r="U70" s="156">
        <f t="shared" si="174"/>
        <v>-16.397206395355791</v>
      </c>
      <c r="V70" s="156">
        <f t="shared" si="174"/>
        <v>-18.183040755246029</v>
      </c>
      <c r="W70" s="156">
        <f t="shared" si="174"/>
        <v>-20.163371926609461</v>
      </c>
      <c r="X70" s="156">
        <f t="shared" si="174"/>
        <v>-22.359382730497622</v>
      </c>
      <c r="Y70" s="156">
        <f t="shared" si="174"/>
        <v>-24.794563027878556</v>
      </c>
      <c r="Z70" s="156">
        <f t="shared" si="174"/>
        <v>-27.494960981409886</v>
      </c>
      <c r="AA70" s="156">
        <f t="shared" si="174"/>
        <v>-30.489461682355522</v>
      </c>
      <c r="AB70" s="156">
        <f t="shared" si="174"/>
        <v>-33.810096123008108</v>
      </c>
      <c r="AC70" s="156">
        <f t="shared" si="174"/>
        <v>-37.492383819573348</v>
      </c>
      <c r="AD70" s="137" t="e">
        <f t="shared" si="135"/>
        <v>#NUM!</v>
      </c>
      <c r="AE70" s="136"/>
      <c r="AF70" s="145">
        <f t="shared" si="136"/>
        <v>-170.41992645260612</v>
      </c>
    </row>
    <row r="71" spans="2:3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28"/>
      <c r="S71" s="128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38"/>
      <c r="AE71" s="31">
        <f t="shared" si="15"/>
        <v>0.05</v>
      </c>
      <c r="AF71" s="145">
        <f t="shared" si="136"/>
        <v>0</v>
      </c>
    </row>
    <row r="72" spans="2:32">
      <c r="B72" s="20" t="s">
        <v>282</v>
      </c>
      <c r="C72" s="158"/>
      <c r="D72" s="158"/>
      <c r="E72" s="158"/>
      <c r="F72" s="158"/>
      <c r="G72" s="158">
        <f t="shared" ref="G72:P72" si="175">G44</f>
        <v>0</v>
      </c>
      <c r="H72" s="158">
        <f t="shared" si="175"/>
        <v>0</v>
      </c>
      <c r="I72" s="158">
        <f t="shared" si="175"/>
        <v>0</v>
      </c>
      <c r="J72" s="158">
        <f t="shared" si="175"/>
        <v>0</v>
      </c>
      <c r="K72" s="158">
        <f t="shared" si="175"/>
        <v>0</v>
      </c>
      <c r="L72" s="158">
        <f t="shared" si="175"/>
        <v>0</v>
      </c>
      <c r="M72" s="158">
        <f t="shared" si="175"/>
        <v>0</v>
      </c>
      <c r="N72" s="158">
        <f t="shared" si="175"/>
        <v>0</v>
      </c>
      <c r="O72" s="158">
        <f t="shared" si="175"/>
        <v>0</v>
      </c>
      <c r="P72" s="158">
        <f t="shared" si="175"/>
        <v>0</v>
      </c>
      <c r="Q72" s="158">
        <f t="shared" ref="Q72" si="176">Q44</f>
        <v>0</v>
      </c>
      <c r="R72" s="118" t="e">
        <f>((P72/G72)^(1/($H$2-$H$1) ))-1</f>
        <v>#DIV/0!</v>
      </c>
      <c r="S72" s="128"/>
      <c r="T72" s="158">
        <f t="shared" ref="T72:AC72" si="177">T44</f>
        <v>0</v>
      </c>
      <c r="U72" s="158">
        <f t="shared" si="177"/>
        <v>0</v>
      </c>
      <c r="V72" s="158">
        <f t="shared" si="177"/>
        <v>0</v>
      </c>
      <c r="W72" s="158">
        <f t="shared" si="177"/>
        <v>0</v>
      </c>
      <c r="X72" s="158">
        <f t="shared" si="177"/>
        <v>0</v>
      </c>
      <c r="Y72" s="158">
        <f t="shared" si="177"/>
        <v>0</v>
      </c>
      <c r="Z72" s="158">
        <f t="shared" si="177"/>
        <v>0</v>
      </c>
      <c r="AA72" s="158">
        <f t="shared" si="177"/>
        <v>0</v>
      </c>
      <c r="AB72" s="158">
        <f t="shared" si="177"/>
        <v>0</v>
      </c>
      <c r="AC72" s="158">
        <f t="shared" si="177"/>
        <v>0</v>
      </c>
      <c r="AD72" s="137" t="e">
        <f t="shared" ref="AD72" si="178">((AC72/G72)^(1/($AC$3-$H$1) ))-1</f>
        <v>#DIV/0!</v>
      </c>
      <c r="AE72" s="31">
        <f t="shared" si="15"/>
        <v>0.05</v>
      </c>
      <c r="AF72" s="145">
        <f t="shared" si="136"/>
        <v>0</v>
      </c>
    </row>
    <row r="73" spans="2:3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8"/>
      <c r="S73" s="128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38"/>
      <c r="AE73" s="136"/>
      <c r="AF73" s="153"/>
    </row>
    <row r="74" spans="2:32">
      <c r="B74" s="20" t="s">
        <v>316</v>
      </c>
      <c r="C74" s="127"/>
      <c r="D74" s="127"/>
      <c r="E74" s="127"/>
      <c r="F74" s="143"/>
      <c r="G74" s="143">
        <f t="shared" ref="G74:P74" si="179">G20+G21</f>
        <v>-4141</v>
      </c>
      <c r="H74" s="143">
        <f t="shared" si="179"/>
        <v>0</v>
      </c>
      <c r="I74" s="143">
        <f t="shared" si="179"/>
        <v>0</v>
      </c>
      <c r="J74" s="143">
        <f t="shared" si="179"/>
        <v>0</v>
      </c>
      <c r="K74" s="143">
        <f t="shared" si="179"/>
        <v>0</v>
      </c>
      <c r="L74" s="143">
        <f t="shared" si="179"/>
        <v>-4141</v>
      </c>
      <c r="M74" s="143">
        <f t="shared" si="179"/>
        <v>-7028</v>
      </c>
      <c r="N74" s="143">
        <f t="shared" si="179"/>
        <v>-6824</v>
      </c>
      <c r="O74" s="143">
        <f t="shared" si="179"/>
        <v>-8360</v>
      </c>
      <c r="P74" s="143">
        <f t="shared" si="179"/>
        <v>2348</v>
      </c>
      <c r="Q74" s="143">
        <f t="shared" ref="Q74" si="180">Q20+Q21</f>
        <v>3354</v>
      </c>
      <c r="R74" s="118">
        <f>((P74/G74)^(1/($H$2-$H$1) ))-1</f>
        <v>-1.9389045185047973</v>
      </c>
      <c r="S74" s="128"/>
      <c r="T74" s="143">
        <f t="shared" ref="T74:AC74" si="181">T20+T21</f>
        <v>3756.4800000000005</v>
      </c>
      <c r="U74" s="143">
        <f t="shared" si="181"/>
        <v>4207.2576000000008</v>
      </c>
      <c r="V74" s="143">
        <f t="shared" si="181"/>
        <v>4712.1285120000011</v>
      </c>
      <c r="W74" s="143">
        <f t="shared" si="181"/>
        <v>5277.5839334400025</v>
      </c>
      <c r="X74" s="143">
        <f t="shared" si="181"/>
        <v>5910.894005452803</v>
      </c>
      <c r="Y74" s="143">
        <f t="shared" si="181"/>
        <v>6620.2012861071398</v>
      </c>
      <c r="Z74" s="143">
        <f t="shared" si="181"/>
        <v>7414.6254404399979</v>
      </c>
      <c r="AA74" s="143">
        <f t="shared" si="181"/>
        <v>8304.3804932927978</v>
      </c>
      <c r="AB74" s="143">
        <f t="shared" si="181"/>
        <v>9300.9061524879344</v>
      </c>
      <c r="AC74" s="143">
        <f t="shared" si="181"/>
        <v>10417.014890786486</v>
      </c>
      <c r="AD74" s="137" t="e">
        <f t="shared" ref="AD74:AD79" si="182">((AC74/G74)^(1/($AC$3-$H$1) ))-1</f>
        <v>#NUM!</v>
      </c>
      <c r="AE74" s="31">
        <f t="shared" si="15"/>
        <v>0.05</v>
      </c>
      <c r="AF74" s="145">
        <f t="shared" si="136"/>
        <v>64340.386090151827</v>
      </c>
    </row>
    <row r="75" spans="2:32">
      <c r="B75" s="20"/>
      <c r="C75" s="127"/>
      <c r="D75" s="127"/>
      <c r="E75" s="127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28"/>
      <c r="S75" s="128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38"/>
      <c r="AE75" s="136"/>
      <c r="AF75" s="145"/>
    </row>
    <row r="76" spans="2:32">
      <c r="B76" s="20" t="s">
        <v>317</v>
      </c>
      <c r="C76" s="127"/>
      <c r="D76" s="127"/>
      <c r="E76" s="127"/>
      <c r="F76" s="143"/>
      <c r="G76" s="143">
        <f t="shared" ref="G76:P76" si="183">G74/G42</f>
        <v>-414100</v>
      </c>
      <c r="H76" s="143" t="e">
        <f t="shared" si="183"/>
        <v>#DIV/0!</v>
      </c>
      <c r="I76" s="143" t="e">
        <f t="shared" si="183"/>
        <v>#DIV/0!</v>
      </c>
      <c r="J76" s="143" t="e">
        <f t="shared" si="183"/>
        <v>#DIV/0!</v>
      </c>
      <c r="K76" s="143" t="e">
        <f t="shared" si="183"/>
        <v>#DIV/0!</v>
      </c>
      <c r="L76" s="143">
        <f t="shared" si="183"/>
        <v>-414100</v>
      </c>
      <c r="M76" s="143">
        <f t="shared" si="183"/>
        <v>-32.238532110091747</v>
      </c>
      <c r="N76" s="143">
        <f t="shared" si="183"/>
        <v>-31.302752293577981</v>
      </c>
      <c r="O76" s="143">
        <f t="shared" si="183"/>
        <v>-38.348623853211009</v>
      </c>
      <c r="P76" s="143">
        <f t="shared" si="183"/>
        <v>9.8242677824267783</v>
      </c>
      <c r="Q76" s="143">
        <f t="shared" ref="Q76" si="184">Q74/Q42</f>
        <v>11.686411149825783</v>
      </c>
      <c r="R76" s="118">
        <f>((P76/G76)^(1/($H$2-$H$1) ))-1</f>
        <v>-1.3062899686954235</v>
      </c>
      <c r="S76" s="128"/>
      <c r="T76" s="145">
        <f t="shared" ref="T76:AC76" si="185">T74/T42</f>
        <v>12.959188601787009</v>
      </c>
      <c r="U76" s="145">
        <f t="shared" si="185"/>
        <v>14.370585380199456</v>
      </c>
      <c r="V76" s="145">
        <f t="shared" si="185"/>
        <v>15.9356986394291</v>
      </c>
      <c r="W76" s="145">
        <f t="shared" si="185"/>
        <v>17.671269778376828</v>
      </c>
      <c r="X76" s="145">
        <f t="shared" si="185"/>
        <v>19.595863516615889</v>
      </c>
      <c r="Y76" s="145">
        <f t="shared" si="185"/>
        <v>21.730066473871091</v>
      </c>
      <c r="Z76" s="145">
        <f t="shared" si="185"/>
        <v>24.096707376965963</v>
      </c>
      <c r="AA76" s="145">
        <f t="shared" si="185"/>
        <v>26.72110124970483</v>
      </c>
      <c r="AB76" s="145">
        <f t="shared" si="185"/>
        <v>29.631320197692489</v>
      </c>
      <c r="AC76" s="145">
        <f t="shared" si="185"/>
        <v>32.858493684569886</v>
      </c>
      <c r="AD76" s="137" t="e">
        <f t="shared" si="182"/>
        <v>#NUM!</v>
      </c>
      <c r="AE76" s="31">
        <f t="shared" si="15"/>
        <v>0.05</v>
      </c>
      <c r="AF76" s="145">
        <f t="shared" si="136"/>
        <v>202.94951981646111</v>
      </c>
    </row>
    <row r="77" spans="2:32">
      <c r="B77" s="20" t="s">
        <v>286</v>
      </c>
      <c r="C77" s="127"/>
      <c r="D77" s="127"/>
      <c r="E77" s="127"/>
      <c r="F77" s="143"/>
      <c r="G77" s="143">
        <f t="shared" ref="G77:P77" si="186">G20/G42</f>
        <v>-200</v>
      </c>
      <c r="H77" s="143" t="e">
        <f t="shared" si="186"/>
        <v>#DIV/0!</v>
      </c>
      <c r="I77" s="143" t="e">
        <f t="shared" si="186"/>
        <v>#DIV/0!</v>
      </c>
      <c r="J77" s="143" t="e">
        <f t="shared" si="186"/>
        <v>#DIV/0!</v>
      </c>
      <c r="K77" s="143" t="e">
        <f t="shared" si="186"/>
        <v>#DIV/0!</v>
      </c>
      <c r="L77" s="143">
        <f t="shared" si="186"/>
        <v>-200</v>
      </c>
      <c r="M77" s="143">
        <f t="shared" si="186"/>
        <v>0.73853211009174313</v>
      </c>
      <c r="N77" s="143">
        <f t="shared" si="186"/>
        <v>4.0550458715596331</v>
      </c>
      <c r="O77" s="143">
        <f t="shared" si="186"/>
        <v>4.0963302752293576</v>
      </c>
      <c r="P77" s="143">
        <f t="shared" si="186"/>
        <v>8.2384937238493716</v>
      </c>
      <c r="Q77" s="143">
        <f t="shared" ref="Q77" si="187">Q20/Q42</f>
        <v>11.794425087108014</v>
      </c>
      <c r="R77" s="118">
        <f>((P77/G77)^(1/($H$2-$H$1) ))-1</f>
        <v>-1.7016020815315656</v>
      </c>
      <c r="S77" s="128"/>
      <c r="T77" s="145">
        <f t="shared" ref="T77:AC77" si="188">T20/T42</f>
        <v>13.07896643322869</v>
      </c>
      <c r="U77" s="145">
        <f t="shared" si="188"/>
        <v>14.503408321996172</v>
      </c>
      <c r="V77" s="145">
        <f t="shared" si="188"/>
        <v>16.082987446173973</v>
      </c>
      <c r="W77" s="145">
        <f t="shared" si="188"/>
        <v>17.834599940311737</v>
      </c>
      <c r="X77" s="145">
        <f t="shared" si="188"/>
        <v>19.776982112028861</v>
      </c>
      <c r="Y77" s="145">
        <f t="shared" si="188"/>
        <v>21.930910856903292</v>
      </c>
      <c r="Z77" s="145">
        <f t="shared" si="188"/>
        <v>24.319425900724443</v>
      </c>
      <c r="AA77" s="145">
        <f t="shared" si="188"/>
        <v>26.968076246347902</v>
      </c>
      <c r="AB77" s="145">
        <f t="shared" si="188"/>
        <v>29.905193461296683</v>
      </c>
      <c r="AC77" s="145">
        <f t="shared" si="188"/>
        <v>33.162194729358703</v>
      </c>
      <c r="AD77" s="137" t="e">
        <f t="shared" si="182"/>
        <v>#NUM!</v>
      </c>
      <c r="AE77" s="31">
        <f t="shared" si="15"/>
        <v>0.05</v>
      </c>
      <c r="AF77" s="145">
        <f t="shared" si="136"/>
        <v>204.82532038721553</v>
      </c>
    </row>
    <row r="78" spans="2:32">
      <c r="B78" s="20" t="s">
        <v>287</v>
      </c>
      <c r="C78" s="127"/>
      <c r="D78" s="127"/>
      <c r="E78" s="127"/>
      <c r="F78" s="143"/>
      <c r="G78" s="143">
        <f t="shared" ref="G78:P78" si="189">G21/G42</f>
        <v>-413900</v>
      </c>
      <c r="H78" s="143" t="e">
        <f t="shared" si="189"/>
        <v>#DIV/0!</v>
      </c>
      <c r="I78" s="143" t="e">
        <f t="shared" si="189"/>
        <v>#DIV/0!</v>
      </c>
      <c r="J78" s="143" t="e">
        <f t="shared" si="189"/>
        <v>#DIV/0!</v>
      </c>
      <c r="K78" s="143" t="e">
        <f t="shared" si="189"/>
        <v>#DIV/0!</v>
      </c>
      <c r="L78" s="143">
        <f t="shared" si="189"/>
        <v>-413900</v>
      </c>
      <c r="M78" s="143">
        <f t="shared" si="189"/>
        <v>-32.977064220183486</v>
      </c>
      <c r="N78" s="143">
        <f t="shared" si="189"/>
        <v>-35.357798165137616</v>
      </c>
      <c r="O78" s="143">
        <f t="shared" si="189"/>
        <v>-42.444954128440365</v>
      </c>
      <c r="P78" s="143">
        <f t="shared" si="189"/>
        <v>1.5857740585774058</v>
      </c>
      <c r="Q78" s="143">
        <f t="shared" ref="Q78" si="190">Q21/Q42</f>
        <v>-0.10801393728222997</v>
      </c>
      <c r="R78" s="118">
        <f>((P78/G78)^(1/($H$2-$H$1) ))-1</f>
        <v>-1.2501206464765908</v>
      </c>
      <c r="S78" s="128"/>
      <c r="T78" s="145">
        <f t="shared" ref="T78:AC78" si="191">T21/T42</f>
        <v>-0.11977783144168078</v>
      </c>
      <c r="U78" s="145">
        <f t="shared" si="191"/>
        <v>-0.1328229417967153</v>
      </c>
      <c r="V78" s="145">
        <f t="shared" si="191"/>
        <v>-0.14728880674487244</v>
      </c>
      <c r="W78" s="145">
        <f t="shared" si="191"/>
        <v>-0.16333016193490807</v>
      </c>
      <c r="X78" s="145">
        <f t="shared" si="191"/>
        <v>-0.18111859541296738</v>
      </c>
      <c r="Y78" s="145">
        <f t="shared" si="191"/>
        <v>-0.20084438303220145</v>
      </c>
      <c r="Z78" s="145">
        <f t="shared" si="191"/>
        <v>-0.22271852375848086</v>
      </c>
      <c r="AA78" s="145">
        <f t="shared" si="191"/>
        <v>-0.24697499664306788</v>
      </c>
      <c r="AB78" s="145">
        <f t="shared" si="191"/>
        <v>-0.27387326360419412</v>
      </c>
      <c r="AC78" s="145">
        <f t="shared" si="191"/>
        <v>-0.30370104478880938</v>
      </c>
      <c r="AD78" s="137">
        <f t="shared" si="182"/>
        <v>-0.50651092454535607</v>
      </c>
      <c r="AE78" s="31">
        <f t="shared" si="15"/>
        <v>0.05</v>
      </c>
      <c r="AF78" s="145">
        <f t="shared" si="136"/>
        <v>-1.8758005707544112</v>
      </c>
    </row>
    <row r="79" spans="2:32">
      <c r="B79" s="20" t="s">
        <v>288</v>
      </c>
      <c r="C79" s="127"/>
      <c r="D79" s="127"/>
      <c r="E79" s="127"/>
      <c r="F79" s="143"/>
      <c r="G79" s="143">
        <f t="shared" ref="G79:P79" si="192">G22/G42</f>
        <v>444300</v>
      </c>
      <c r="H79" s="143" t="e">
        <f t="shared" si="192"/>
        <v>#DIV/0!</v>
      </c>
      <c r="I79" s="143" t="e">
        <f t="shared" si="192"/>
        <v>#DIV/0!</v>
      </c>
      <c r="J79" s="143" t="e">
        <f t="shared" si="192"/>
        <v>#DIV/0!</v>
      </c>
      <c r="K79" s="143" t="e">
        <f t="shared" si="192"/>
        <v>#DIV/0!</v>
      </c>
      <c r="L79" s="143">
        <f t="shared" si="192"/>
        <v>444300</v>
      </c>
      <c r="M79" s="143">
        <f t="shared" si="192"/>
        <v>34.678899082568805</v>
      </c>
      <c r="N79" s="143">
        <f t="shared" si="192"/>
        <v>30.522935779816514</v>
      </c>
      <c r="O79" s="143">
        <f t="shared" si="192"/>
        <v>37.77064220183486</v>
      </c>
      <c r="P79" s="143">
        <f t="shared" si="192"/>
        <v>-10.01673640167364</v>
      </c>
      <c r="Q79" s="143">
        <f t="shared" ref="Q79" si="193">Q22/Q42</f>
        <v>-11.679442508710801</v>
      </c>
      <c r="R79" s="118">
        <f>((P79/G79)^(1/($H$2-$H$1) ))-1</f>
        <v>-1.3045595447654887</v>
      </c>
      <c r="S79" s="128"/>
      <c r="T79" s="145">
        <f t="shared" ref="T79:AC79" si="194">T22/T42</f>
        <v>-12.951460999758513</v>
      </c>
      <c r="U79" s="145">
        <f t="shared" si="194"/>
        <v>-14.362016158148053</v>
      </c>
      <c r="V79" s="145">
        <f t="shared" si="194"/>
        <v>-15.926196135768139</v>
      </c>
      <c r="W79" s="145">
        <f t="shared" si="194"/>
        <v>-17.660732348574573</v>
      </c>
      <c r="X79" s="145">
        <f t="shared" si="194"/>
        <v>-19.584178445944083</v>
      </c>
      <c r="Y79" s="145">
        <f t="shared" si="194"/>
        <v>-21.717108771739976</v>
      </c>
      <c r="Z79" s="145">
        <f t="shared" si="194"/>
        <v>-24.082338439949282</v>
      </c>
      <c r="AA79" s="145">
        <f t="shared" si="194"/>
        <v>-26.705167378953661</v>
      </c>
      <c r="AB79" s="145">
        <f t="shared" si="194"/>
        <v>-29.613650954879308</v>
      </c>
      <c r="AC79" s="145">
        <f t="shared" si="194"/>
        <v>-32.838900068777058</v>
      </c>
      <c r="AD79" s="137" t="e">
        <f t="shared" si="182"/>
        <v>#NUM!</v>
      </c>
      <c r="AE79" s="31">
        <f t="shared" si="15"/>
        <v>0.05</v>
      </c>
      <c r="AF79" s="145">
        <f t="shared" si="136"/>
        <v>-202.8285004247995</v>
      </c>
    </row>
    <row r="80" spans="2:32">
      <c r="B80" s="20" t="s">
        <v>295</v>
      </c>
      <c r="C80" s="127"/>
      <c r="D80" s="127"/>
      <c r="E80" s="127"/>
      <c r="F80" s="143"/>
      <c r="G80" s="143">
        <f t="shared" ref="G80:P80" si="195">G23/G42</f>
        <v>49400</v>
      </c>
      <c r="H80" s="143" t="e">
        <f t="shared" si="195"/>
        <v>#DIV/0!</v>
      </c>
      <c r="I80" s="143" t="e">
        <f t="shared" si="195"/>
        <v>#DIV/0!</v>
      </c>
      <c r="J80" s="143" t="e">
        <f t="shared" si="195"/>
        <v>#DIV/0!</v>
      </c>
      <c r="K80" s="143" t="e">
        <f t="shared" si="195"/>
        <v>#DIV/0!</v>
      </c>
      <c r="L80" s="143">
        <f t="shared" si="195"/>
        <v>49400</v>
      </c>
      <c r="M80" s="143">
        <f t="shared" si="195"/>
        <v>4.7064220183486238</v>
      </c>
      <c r="N80" s="143">
        <f t="shared" si="195"/>
        <v>3.926605504587156</v>
      </c>
      <c r="O80" s="143">
        <f t="shared" si="195"/>
        <v>1.4954128440366972</v>
      </c>
      <c r="P80" s="143">
        <f t="shared" si="195"/>
        <v>1.1757322175732217</v>
      </c>
      <c r="Q80" s="143">
        <f t="shared" ref="Q80" si="196">Q23/Q42</f>
        <v>0.28222996515679444</v>
      </c>
      <c r="R80" s="118">
        <f>((P80/G80)^(1/($H$2-$H$1) ))-1</f>
        <v>-0.69360136231035252</v>
      </c>
      <c r="S80" s="128"/>
      <c r="T80" s="145">
        <f t="shared" ref="T80:AC80" si="197">T23/T42</f>
        <v>0.31296788215406912</v>
      </c>
      <c r="U80" s="145">
        <f t="shared" si="197"/>
        <v>0.34705349308173999</v>
      </c>
      <c r="V80" s="145">
        <f t="shared" si="197"/>
        <v>0.38485139826886028</v>
      </c>
      <c r="W80" s="145">
        <f t="shared" si="197"/>
        <v>0.42676590699121142</v>
      </c>
      <c r="X80" s="145">
        <f t="shared" si="197"/>
        <v>0.47324536220807611</v>
      </c>
      <c r="Y80" s="145">
        <f t="shared" si="197"/>
        <v>0.52478693630994588</v>
      </c>
      <c r="Z80" s="145">
        <f t="shared" si="197"/>
        <v>0.58194194917538555</v>
      </c>
      <c r="AA80" s="145">
        <f t="shared" si="197"/>
        <v>0.64532176542220976</v>
      </c>
      <c r="AB80" s="145">
        <f t="shared" si="197"/>
        <v>0.71560433393353962</v>
      </c>
      <c r="AC80" s="145">
        <f t="shared" si="197"/>
        <v>0.79354143960946977</v>
      </c>
      <c r="AD80" s="137">
        <f t="shared" ref="AD80" si="198">((AC80/G80)^(1/($AC$3-$H$1) ))-1</f>
        <v>-0.42417285625312906</v>
      </c>
      <c r="AE80" s="31">
        <f t="shared" si="15"/>
        <v>0.05</v>
      </c>
      <c r="AF80" s="145">
        <f t="shared" si="136"/>
        <v>4.9012853622937849</v>
      </c>
    </row>
    <row r="81" spans="2:3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8"/>
      <c r="S81" s="128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38"/>
      <c r="AE81" s="136"/>
      <c r="AF81" s="153"/>
    </row>
    <row r="82" spans="2:32">
      <c r="B82" s="20" t="s">
        <v>310</v>
      </c>
      <c r="C82" s="143"/>
      <c r="D82" s="143"/>
      <c r="E82" s="143"/>
      <c r="F82" s="143"/>
      <c r="G82" s="143">
        <f t="shared" ref="G82:P82" si="199">G36/G42</f>
        <v>1</v>
      </c>
      <c r="H82" s="143" t="e">
        <f t="shared" si="199"/>
        <v>#DIV/0!</v>
      </c>
      <c r="I82" s="143" t="e">
        <f t="shared" si="199"/>
        <v>#DIV/0!</v>
      </c>
      <c r="J82" s="143" t="e">
        <f t="shared" si="199"/>
        <v>#DIV/0!</v>
      </c>
      <c r="K82" s="143" t="e">
        <f t="shared" si="199"/>
        <v>#DIV/0!</v>
      </c>
      <c r="L82" s="143">
        <f t="shared" si="199"/>
        <v>1</v>
      </c>
      <c r="M82" s="143">
        <f t="shared" si="199"/>
        <v>1.1146788990825689</v>
      </c>
      <c r="N82" s="143">
        <f t="shared" si="199"/>
        <v>5.5963302752293576</v>
      </c>
      <c r="O82" s="143">
        <f t="shared" si="199"/>
        <v>6.0779816513761471</v>
      </c>
      <c r="P82" s="143">
        <f t="shared" si="199"/>
        <v>4.01255230125523</v>
      </c>
      <c r="Q82" s="143">
        <f t="shared" ref="Q82" si="200">Q36/Q42</f>
        <v>16.278745644599304</v>
      </c>
      <c r="R82" s="118">
        <f>((P82/G82)^(1/($H$2-$H$1) ))-1</f>
        <v>0.16693521296826419</v>
      </c>
      <c r="S82" s="128"/>
      <c r="T82" s="143">
        <f t="shared" ref="T82:AC82" si="201">T36/T42</f>
        <v>18.051678338565566</v>
      </c>
      <c r="U82" s="143">
        <f t="shared" si="201"/>
        <v>20.017702712072708</v>
      </c>
      <c r="V82" s="143">
        <f t="shared" si="201"/>
        <v>22.197848552001421</v>
      </c>
      <c r="W82" s="143">
        <f t="shared" si="201"/>
        <v>24.615436018060986</v>
      </c>
      <c r="X82" s="143">
        <f t="shared" si="201"/>
        <v>27.296325089334953</v>
      </c>
      <c r="Y82" s="143">
        <f t="shared" si="201"/>
        <v>30.269192178272426</v>
      </c>
      <c r="Z82" s="143">
        <f t="shared" si="201"/>
        <v>33.565836870955565</v>
      </c>
      <c r="AA82" s="143">
        <f t="shared" si="201"/>
        <v>37.221522074723005</v>
      </c>
      <c r="AB82" s="143">
        <f t="shared" si="201"/>
        <v>41.275351211574034</v>
      </c>
      <c r="AC82" s="143">
        <f t="shared" si="201"/>
        <v>45.770686492042501</v>
      </c>
      <c r="AD82" s="137">
        <f t="shared" ref="AD82:AD84" si="202">((AC82/G82)^(1/($AC$3-$H$1) ))-1</f>
        <v>0.21068000900526607</v>
      </c>
      <c r="AE82" s="31">
        <f t="shared" si="15"/>
        <v>0.05</v>
      </c>
      <c r="AF82" s="145">
        <f t="shared" si="136"/>
        <v>282.70129892143899</v>
      </c>
    </row>
    <row r="83" spans="2:32">
      <c r="B83" s="20" t="s">
        <v>311</v>
      </c>
      <c r="C83" s="143"/>
      <c r="D83" s="143"/>
      <c r="E83" s="143"/>
      <c r="F83" s="143"/>
      <c r="G83" s="143">
        <f t="shared" ref="G83:P83" si="203">G40/G42</f>
        <v>1</v>
      </c>
      <c r="H83" s="143" t="e">
        <f t="shared" si="203"/>
        <v>#DIV/0!</v>
      </c>
      <c r="I83" s="143" t="e">
        <f t="shared" si="203"/>
        <v>#DIV/0!</v>
      </c>
      <c r="J83" s="143" t="e">
        <f t="shared" si="203"/>
        <v>#DIV/0!</v>
      </c>
      <c r="K83" s="143" t="e">
        <f t="shared" si="203"/>
        <v>#DIV/0!</v>
      </c>
      <c r="L83" s="143">
        <f t="shared" si="203"/>
        <v>1</v>
      </c>
      <c r="M83" s="143">
        <f t="shared" si="203"/>
        <v>0.77981651376146788</v>
      </c>
      <c r="N83" s="143">
        <f t="shared" si="203"/>
        <v>2.3532110091743119</v>
      </c>
      <c r="O83" s="143">
        <f t="shared" si="203"/>
        <v>-1.3532110091743119</v>
      </c>
      <c r="P83" s="143">
        <f t="shared" si="203"/>
        <v>-12.531380753138075</v>
      </c>
      <c r="Q83" s="143">
        <f t="shared" ref="Q83" si="204">Q40/Q42</f>
        <v>-1.0104529616724738</v>
      </c>
      <c r="R83" s="118">
        <f>((P83/G83)^(1/($H$2-$H$1) ))-1</f>
        <v>-2.3243411712230726</v>
      </c>
      <c r="S83" s="128"/>
      <c r="T83" s="143">
        <f t="shared" ref="T83:AC83" si="205">T40/T42</f>
        <v>-1.1205022941318523</v>
      </c>
      <c r="U83" s="143">
        <f t="shared" si="205"/>
        <v>-1.2425371974531432</v>
      </c>
      <c r="V83" s="143">
        <f t="shared" si="205"/>
        <v>-1.3778630308391293</v>
      </c>
      <c r="W83" s="143">
        <f t="shared" si="205"/>
        <v>-1.5279273213265594</v>
      </c>
      <c r="X83" s="143">
        <f t="shared" si="205"/>
        <v>-1.6943352474116304</v>
      </c>
      <c r="Y83" s="143">
        <f t="shared" si="205"/>
        <v>-1.8788668090109173</v>
      </c>
      <c r="Z83" s="143">
        <f t="shared" si="205"/>
        <v>-2.0834958674180473</v>
      </c>
      <c r="AA83" s="143">
        <f t="shared" si="205"/>
        <v>-2.3104112589190229</v>
      </c>
      <c r="AB83" s="143">
        <f t="shared" si="205"/>
        <v>-2.5620402079102038</v>
      </c>
      <c r="AC83" s="143">
        <f t="shared" si="205"/>
        <v>-2.8410742899598302</v>
      </c>
      <c r="AD83" s="137" t="e">
        <f t="shared" si="202"/>
        <v>#NUM!</v>
      </c>
      <c r="AE83" s="31">
        <f t="shared" si="15"/>
        <v>0.05</v>
      </c>
      <c r="AF83" s="145">
        <f t="shared" si="136"/>
        <v>-17.547811790928364</v>
      </c>
    </row>
    <row r="84" spans="2:32">
      <c r="B84" s="20" t="s">
        <v>312</v>
      </c>
      <c r="C84" s="143"/>
      <c r="D84" s="143"/>
      <c r="E84" s="143"/>
      <c r="F84" s="143"/>
      <c r="G84" s="143">
        <f t="shared" ref="G84:P84" si="206">G6/G42</f>
        <v>44600</v>
      </c>
      <c r="H84" s="143" t="e">
        <f t="shared" si="206"/>
        <v>#DIV/0!</v>
      </c>
      <c r="I84" s="143" t="e">
        <f t="shared" si="206"/>
        <v>#DIV/0!</v>
      </c>
      <c r="J84" s="143" t="e">
        <f t="shared" si="206"/>
        <v>#DIV/0!</v>
      </c>
      <c r="K84" s="143" t="e">
        <f t="shared" si="206"/>
        <v>#DIV/0!</v>
      </c>
      <c r="L84" s="143">
        <f t="shared" si="206"/>
        <v>44600</v>
      </c>
      <c r="M84" s="143">
        <f t="shared" si="206"/>
        <v>16.5</v>
      </c>
      <c r="N84" s="143">
        <f t="shared" si="206"/>
        <v>18.839449541284402</v>
      </c>
      <c r="O84" s="143">
        <f t="shared" si="206"/>
        <v>17.711009174311926</v>
      </c>
      <c r="P84" s="143">
        <f t="shared" si="206"/>
        <v>7.9497907949790791</v>
      </c>
      <c r="Q84" s="143">
        <f t="shared" ref="Q84" si="207">Q6/Q42</f>
        <v>12.790940766550523</v>
      </c>
      <c r="R84" s="118">
        <f>((P84/G84)^(1/($H$2-$H$1) ))-1</f>
        <v>-0.61678124099889819</v>
      </c>
      <c r="S84" s="128"/>
      <c r="T84" s="143">
        <f t="shared" ref="T84:AC84" si="208">T6/T42</f>
        <v>14.184013523303552</v>
      </c>
      <c r="U84" s="143">
        <f t="shared" si="208"/>
        <v>15.728807075346513</v>
      </c>
      <c r="V84" s="143">
        <f t="shared" si="208"/>
        <v>17.441845469691184</v>
      </c>
      <c r="W84" s="143">
        <f t="shared" si="208"/>
        <v>19.341452402033791</v>
      </c>
      <c r="X84" s="143">
        <f t="shared" si="208"/>
        <v>21.447947218096878</v>
      </c>
      <c r="Y84" s="143">
        <f t="shared" si="208"/>
        <v>23.78386226165199</v>
      </c>
      <c r="Z84" s="143">
        <f t="shared" si="208"/>
        <v>26.374183894109137</v>
      </c>
      <c r="AA84" s="143">
        <f t="shared" si="208"/>
        <v>29.246619763764592</v>
      </c>
      <c r="AB84" s="143">
        <f t="shared" si="208"/>
        <v>32.431895183580536</v>
      </c>
      <c r="AC84" s="143">
        <f t="shared" si="208"/>
        <v>35.96408178773288</v>
      </c>
      <c r="AD84" s="137">
        <f t="shared" si="202"/>
        <v>-0.29963133709736034</v>
      </c>
      <c r="AE84" s="31">
        <f t="shared" ref="AE84" si="209">$L$1</f>
        <v>0.05</v>
      </c>
      <c r="AF84" s="145">
        <f t="shared" si="136"/>
        <v>222.13109339482074</v>
      </c>
    </row>
    <row r="85" spans="2:32">
      <c r="B85" s="20"/>
      <c r="C85" s="127"/>
      <c r="D85" s="127"/>
      <c r="E85" s="127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28"/>
      <c r="S85" s="128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38"/>
      <c r="AE85" s="20"/>
      <c r="AF85" s="153"/>
    </row>
    <row r="86" spans="2:3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3"/>
    </row>
    <row r="87" spans="2:32">
      <c r="B87" s="108" t="s">
        <v>309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2:32">
      <c r="B88" s="20" t="s">
        <v>308</v>
      </c>
      <c r="C88" s="151"/>
      <c r="D88" s="151"/>
      <c r="E88" s="151"/>
      <c r="F88" s="151"/>
      <c r="G88" s="151">
        <f t="shared" ref="G88:P88" si="210">G36/G25</f>
        <v>1</v>
      </c>
      <c r="H88" s="151" t="e">
        <f t="shared" si="210"/>
        <v>#DIV/0!</v>
      </c>
      <c r="I88" s="151" t="e">
        <f t="shared" si="210"/>
        <v>#DIV/0!</v>
      </c>
      <c r="J88" s="151" t="e">
        <f t="shared" si="210"/>
        <v>#DIV/0!</v>
      </c>
      <c r="K88" s="151" t="e">
        <f t="shared" si="210"/>
        <v>#DIV/0!</v>
      </c>
      <c r="L88" s="151">
        <f t="shared" si="210"/>
        <v>1</v>
      </c>
      <c r="M88" s="151">
        <f t="shared" si="210"/>
        <v>0.52034261241970026</v>
      </c>
      <c r="N88" s="151">
        <f t="shared" si="210"/>
        <v>0.56665118439386897</v>
      </c>
      <c r="O88" s="151">
        <f t="shared" si="210"/>
        <v>0.32380254154447702</v>
      </c>
      <c r="P88" s="151">
        <f t="shared" si="210"/>
        <v>0.13711752931083787</v>
      </c>
      <c r="Q88" s="151">
        <f t="shared" ref="Q88" si="211">Q36/Q25</f>
        <v>0.29210954107790421</v>
      </c>
      <c r="R88" s="118">
        <f t="shared" ref="R88:R141" si="212">((P88/G88)^(1/($H$2-$H$1) ))-1</f>
        <v>-0.19809773135196984</v>
      </c>
      <c r="S88" s="151"/>
      <c r="T88" s="151">
        <f t="shared" ref="T88:AC88" si="213">T36/T25</f>
        <v>0.29210954107790421</v>
      </c>
      <c r="U88" s="151">
        <f t="shared" si="213"/>
        <v>0.29210954107790416</v>
      </c>
      <c r="V88" s="151">
        <f t="shared" si="213"/>
        <v>0.29210954107790421</v>
      </c>
      <c r="W88" s="151">
        <f t="shared" si="213"/>
        <v>0.29210954107790416</v>
      </c>
      <c r="X88" s="151">
        <f t="shared" si="213"/>
        <v>0.29210954107790416</v>
      </c>
      <c r="Y88" s="151">
        <f t="shared" si="213"/>
        <v>0.29210954107790416</v>
      </c>
      <c r="Z88" s="151">
        <f t="shared" si="213"/>
        <v>0.29210954107790416</v>
      </c>
      <c r="AA88" s="151">
        <f t="shared" si="213"/>
        <v>0.29210954107790416</v>
      </c>
      <c r="AB88" s="151">
        <f t="shared" si="213"/>
        <v>0.29210954107790416</v>
      </c>
      <c r="AC88" s="151">
        <f t="shared" si="213"/>
        <v>0.29210954107790416</v>
      </c>
      <c r="AD88" s="137">
        <f t="shared" ref="AD88:AD128" si="214">((AC88/G88)^(1/($AC$3-$H$1) ))-1</f>
        <v>-5.9676505953761283E-2</v>
      </c>
      <c r="AE88" s="145"/>
      <c r="AF88" s="145"/>
    </row>
    <row r="89" spans="2:32">
      <c r="B89" s="20" t="s">
        <v>266</v>
      </c>
      <c r="C89" s="151"/>
      <c r="D89" s="151"/>
      <c r="E89" s="151"/>
      <c r="F89" s="151"/>
      <c r="G89" s="151">
        <f t="shared" ref="G89:P89" si="215">G40/G25</f>
        <v>1</v>
      </c>
      <c r="H89" s="151" t="e">
        <f t="shared" si="215"/>
        <v>#DIV/0!</v>
      </c>
      <c r="I89" s="151" t="e">
        <f t="shared" si="215"/>
        <v>#DIV/0!</v>
      </c>
      <c r="J89" s="151" t="e">
        <f t="shared" si="215"/>
        <v>#DIV/0!</v>
      </c>
      <c r="K89" s="151" t="e">
        <f t="shared" si="215"/>
        <v>#DIV/0!</v>
      </c>
      <c r="L89" s="151">
        <f t="shared" si="215"/>
        <v>1</v>
      </c>
      <c r="M89" s="151">
        <f t="shared" si="215"/>
        <v>0.36402569593147749</v>
      </c>
      <c r="N89" s="151">
        <f t="shared" si="215"/>
        <v>0.23827217835578263</v>
      </c>
      <c r="O89" s="151">
        <f t="shared" si="215"/>
        <v>-7.2091886608015646E-2</v>
      </c>
      <c r="P89" s="151">
        <f t="shared" si="215"/>
        <v>-0.42822419216471264</v>
      </c>
      <c r="Q89" s="151">
        <f t="shared" ref="Q89" si="216">Q40/Q25</f>
        <v>-1.8131799424784295E-2</v>
      </c>
      <c r="R89" s="118">
        <f t="shared" si="212"/>
        <v>-1.9100695375936461</v>
      </c>
      <c r="S89" s="151"/>
      <c r="T89" s="151">
        <f t="shared" ref="T89:AC89" si="217">T40/T25</f>
        <v>-1.8131799424784292E-2</v>
      </c>
      <c r="U89" s="151">
        <f t="shared" si="217"/>
        <v>-1.8131799424784292E-2</v>
      </c>
      <c r="V89" s="151">
        <f t="shared" si="217"/>
        <v>-1.8131799424784292E-2</v>
      </c>
      <c r="W89" s="151">
        <f t="shared" si="217"/>
        <v>-1.8131799424784292E-2</v>
      </c>
      <c r="X89" s="151">
        <f t="shared" si="217"/>
        <v>-1.8131799424784292E-2</v>
      </c>
      <c r="Y89" s="151">
        <f t="shared" si="217"/>
        <v>-1.8131799424784292E-2</v>
      </c>
      <c r="Z89" s="151">
        <f t="shared" si="217"/>
        <v>-1.8131799424784292E-2</v>
      </c>
      <c r="AA89" s="151">
        <f t="shared" si="217"/>
        <v>-1.8131799424784295E-2</v>
      </c>
      <c r="AB89" s="151">
        <f t="shared" si="217"/>
        <v>-1.8131799424784295E-2</v>
      </c>
      <c r="AC89" s="151">
        <f t="shared" si="217"/>
        <v>-1.8131799424784295E-2</v>
      </c>
      <c r="AD89" s="137" t="e">
        <f t="shared" si="214"/>
        <v>#NUM!</v>
      </c>
      <c r="AE89" s="145"/>
      <c r="AF89" s="145"/>
    </row>
    <row r="90" spans="2:32">
      <c r="B90" s="20" t="s">
        <v>358</v>
      </c>
      <c r="C90" s="151"/>
      <c r="D90" s="151"/>
      <c r="E90" s="151"/>
      <c r="F90" s="151"/>
      <c r="G90" s="151">
        <f>G40/G7</f>
        <v>4.3706293706293706E-6</v>
      </c>
      <c r="H90" s="151" t="e">
        <f t="shared" ref="H90:O90" si="218">H40/H7</f>
        <v>#DIV/0!</v>
      </c>
      <c r="I90" s="151" t="e">
        <f t="shared" si="218"/>
        <v>#DIV/0!</v>
      </c>
      <c r="J90" s="151" t="e">
        <f t="shared" si="218"/>
        <v>#DIV/0!</v>
      </c>
      <c r="K90" s="151" t="e">
        <f t="shared" si="218"/>
        <v>#DIV/0!</v>
      </c>
      <c r="L90" s="151">
        <f t="shared" si="218"/>
        <v>4.3706293706293706E-6</v>
      </c>
      <c r="M90" s="151">
        <f t="shared" si="218"/>
        <v>2.9421945309795777E-2</v>
      </c>
      <c r="N90" s="151">
        <f t="shared" si="218"/>
        <v>8.1596946079211072E-2</v>
      </c>
      <c r="O90" s="151">
        <f t="shared" si="218"/>
        <v>-4.8832974673067374E-2</v>
      </c>
      <c r="P90" s="151">
        <f t="shared" ref="P90:Q90" si="219">P40/P7</f>
        <v>-0.69764733286745861</v>
      </c>
      <c r="Q90" s="151">
        <f t="shared" si="219"/>
        <v>-4.4322176371694944E-2</v>
      </c>
      <c r="R90" s="118">
        <f t="shared" si="212"/>
        <v>-4.7854832486787426</v>
      </c>
      <c r="S90" s="20"/>
      <c r="T90" s="151">
        <f t="shared" ref="T90" si="220">T40/T7</f>
        <v>-4.4322176371694937E-2</v>
      </c>
      <c r="U90" s="151">
        <f t="shared" ref="U90:AC90" si="221">U40/U7</f>
        <v>-4.4322176371694944E-2</v>
      </c>
      <c r="V90" s="151">
        <f t="shared" si="221"/>
        <v>-4.432217637169495E-2</v>
      </c>
      <c r="W90" s="151">
        <f t="shared" si="221"/>
        <v>-4.432217637169495E-2</v>
      </c>
      <c r="X90" s="151">
        <f t="shared" si="221"/>
        <v>-4.4322176371694944E-2</v>
      </c>
      <c r="Y90" s="151">
        <f t="shared" si="221"/>
        <v>-4.432217637169495E-2</v>
      </c>
      <c r="Z90" s="151">
        <f t="shared" si="221"/>
        <v>-4.4322176371694957E-2</v>
      </c>
      <c r="AA90" s="151">
        <f t="shared" si="221"/>
        <v>-4.4322176371694957E-2</v>
      </c>
      <c r="AB90" s="151">
        <f t="shared" si="221"/>
        <v>-4.4322176371694957E-2</v>
      </c>
      <c r="AC90" s="151">
        <f t="shared" si="221"/>
        <v>-4.4322176371694957E-2</v>
      </c>
      <c r="AD90" s="137" t="e">
        <f t="shared" si="214"/>
        <v>#NUM!</v>
      </c>
      <c r="AE90" s="145"/>
      <c r="AF90" s="145"/>
    </row>
    <row r="91" spans="2:32">
      <c r="B91" s="20" t="s">
        <v>359</v>
      </c>
      <c r="C91" s="151"/>
      <c r="D91" s="151"/>
      <c r="E91" s="151"/>
      <c r="F91" s="151"/>
      <c r="G91" s="151">
        <f>(G40)/(G7+G10)</f>
        <v>1.3741926618111859E-6</v>
      </c>
      <c r="H91" s="151" t="e">
        <f t="shared" ref="H91:O91" si="222">(H40)/(H7+H10)</f>
        <v>#DIV/0!</v>
      </c>
      <c r="I91" s="151" t="e">
        <f t="shared" si="222"/>
        <v>#DIV/0!</v>
      </c>
      <c r="J91" s="151" t="e">
        <f t="shared" si="222"/>
        <v>#DIV/0!</v>
      </c>
      <c r="K91" s="151" t="e">
        <f t="shared" si="222"/>
        <v>#DIV/0!</v>
      </c>
      <c r="L91" s="151">
        <f t="shared" si="222"/>
        <v>1.3741926618111859E-6</v>
      </c>
      <c r="M91" s="151">
        <f t="shared" si="222"/>
        <v>1.0398825544409102E-2</v>
      </c>
      <c r="N91" s="151">
        <f t="shared" si="222"/>
        <v>1.666179479684303E-2</v>
      </c>
      <c r="O91" s="151">
        <f t="shared" si="222"/>
        <v>-7.016125196213671E-3</v>
      </c>
      <c r="P91" s="151">
        <f t="shared" ref="P91:Q91" si="223">(P40)/(P7+P10)</f>
        <v>-7.1488244420575248E-2</v>
      </c>
      <c r="Q91" s="151">
        <f t="shared" si="223"/>
        <v>-6.2620111852475652E-3</v>
      </c>
      <c r="R91" s="118">
        <f t="shared" si="212"/>
        <v>-4.3421102975781523</v>
      </c>
      <c r="S91" s="20"/>
      <c r="T91" s="151">
        <f t="shared" ref="T91:AC91" si="224">(T40)/(T7+T10)</f>
        <v>-6.2620111852475652E-3</v>
      </c>
      <c r="U91" s="151">
        <f t="shared" si="224"/>
        <v>-6.262011185247566E-3</v>
      </c>
      <c r="V91" s="151">
        <f t="shared" si="224"/>
        <v>-6.262011185247566E-3</v>
      </c>
      <c r="W91" s="151">
        <f t="shared" si="224"/>
        <v>-6.262011185247566E-3</v>
      </c>
      <c r="X91" s="151">
        <f t="shared" si="224"/>
        <v>-6.262011185247566E-3</v>
      </c>
      <c r="Y91" s="151">
        <f t="shared" si="224"/>
        <v>-6.2620111852475652E-3</v>
      </c>
      <c r="Z91" s="151">
        <f t="shared" si="224"/>
        <v>-6.262011185247566E-3</v>
      </c>
      <c r="AA91" s="151">
        <f t="shared" si="224"/>
        <v>-6.2620111852475669E-3</v>
      </c>
      <c r="AB91" s="151">
        <f t="shared" si="224"/>
        <v>-6.2620111852475669E-3</v>
      </c>
      <c r="AC91" s="151">
        <f t="shared" si="224"/>
        <v>-6.2620111852475678E-3</v>
      </c>
      <c r="AD91" s="137" t="e">
        <f t="shared" si="214"/>
        <v>#NUM!</v>
      </c>
      <c r="AE91" s="145"/>
      <c r="AF91" s="145"/>
    </row>
    <row r="92" spans="2:32">
      <c r="B92" s="20" t="s">
        <v>375</v>
      </c>
      <c r="C92" s="151"/>
      <c r="D92" s="151"/>
      <c r="E92" s="151"/>
      <c r="F92" s="151"/>
      <c r="G92" s="151">
        <f>G20/G25</f>
        <v>-200</v>
      </c>
      <c r="H92" s="151" t="e">
        <f t="shared" ref="H92:P92" si="225">H20/H25</f>
        <v>#DIV/0!</v>
      </c>
      <c r="I92" s="151" t="e">
        <f t="shared" si="225"/>
        <v>#DIV/0!</v>
      </c>
      <c r="J92" s="151" t="e">
        <f t="shared" si="225"/>
        <v>#DIV/0!</v>
      </c>
      <c r="K92" s="151" t="e">
        <f t="shared" si="225"/>
        <v>#DIV/0!</v>
      </c>
      <c r="L92" s="151">
        <f t="shared" si="225"/>
        <v>-200</v>
      </c>
      <c r="M92" s="151">
        <f t="shared" si="225"/>
        <v>0.34475374732334046</v>
      </c>
      <c r="N92" s="151">
        <f t="shared" si="225"/>
        <v>0.41058987459359036</v>
      </c>
      <c r="O92" s="151">
        <f t="shared" si="225"/>
        <v>0.21823069403714565</v>
      </c>
      <c r="P92" s="151">
        <f t="shared" si="225"/>
        <v>0.28152702316271089</v>
      </c>
      <c r="Q92" s="151">
        <f t="shared" ref="Q92" si="226">Q20/Q25</f>
        <v>0.21164186569963736</v>
      </c>
      <c r="R92" s="118">
        <f t="shared" si="212"/>
        <v>-1.4821315653310767</v>
      </c>
      <c r="S92" s="20"/>
      <c r="T92" s="151">
        <f t="shared" ref="T92:AC92" si="227">T20/T25</f>
        <v>0.21164186569963736</v>
      </c>
      <c r="U92" s="151">
        <f t="shared" si="227"/>
        <v>0.21164186569963736</v>
      </c>
      <c r="V92" s="151">
        <f t="shared" si="227"/>
        <v>0.21164186569963733</v>
      </c>
      <c r="W92" s="151">
        <f t="shared" si="227"/>
        <v>0.21164186569963733</v>
      </c>
      <c r="X92" s="151">
        <f t="shared" si="227"/>
        <v>0.21164186569963733</v>
      </c>
      <c r="Y92" s="151">
        <f t="shared" si="227"/>
        <v>0.21164186569963733</v>
      </c>
      <c r="Z92" s="151">
        <f t="shared" si="227"/>
        <v>0.21164186569963733</v>
      </c>
      <c r="AA92" s="151">
        <f t="shared" si="227"/>
        <v>0.21164186569963733</v>
      </c>
      <c r="AB92" s="151">
        <f t="shared" si="227"/>
        <v>0.2116418656996373</v>
      </c>
      <c r="AC92" s="151">
        <f t="shared" si="227"/>
        <v>0.2116418656996373</v>
      </c>
      <c r="AD92" s="137" t="e">
        <f t="shared" si="214"/>
        <v>#NUM!</v>
      </c>
      <c r="AE92" s="145"/>
      <c r="AF92" s="145"/>
    </row>
    <row r="93" spans="2:32">
      <c r="B93" s="20" t="s">
        <v>427</v>
      </c>
      <c r="C93" s="151"/>
      <c r="D93" s="151"/>
      <c r="E93" s="151"/>
      <c r="F93" s="151"/>
      <c r="G93" s="151">
        <f>G52/G25</f>
        <v>0</v>
      </c>
      <c r="H93" s="151" t="e">
        <f t="shared" ref="H93:P93" si="228">H52/H25</f>
        <v>#DIV/0!</v>
      </c>
      <c r="I93" s="151" t="e">
        <f t="shared" si="228"/>
        <v>#DIV/0!</v>
      </c>
      <c r="J93" s="151" t="e">
        <f t="shared" si="228"/>
        <v>#DIV/0!</v>
      </c>
      <c r="K93" s="151" t="e">
        <f t="shared" si="228"/>
        <v>#DIV/0!</v>
      </c>
      <c r="L93" s="151">
        <f t="shared" si="228"/>
        <v>0</v>
      </c>
      <c r="M93" s="151">
        <f t="shared" si="228"/>
        <v>6.852248394004283E-2</v>
      </c>
      <c r="N93" s="151">
        <f t="shared" si="228"/>
        <v>0.13934045517882024</v>
      </c>
      <c r="O93" s="151">
        <f t="shared" si="228"/>
        <v>7.2174975562072335E-2</v>
      </c>
      <c r="P93" s="151">
        <f t="shared" si="228"/>
        <v>0.16828710323134116</v>
      </c>
      <c r="Q93" s="151">
        <f t="shared" ref="Q93" si="229">Q52/Q25</f>
        <v>-6.7462798549456041E-2</v>
      </c>
      <c r="R93" s="118" t="e">
        <f t="shared" si="212"/>
        <v>#DIV/0!</v>
      </c>
      <c r="S93" s="20"/>
      <c r="T93" s="151">
        <f t="shared" ref="T93:AC93" si="230">T52/T25</f>
        <v>-6.7462798549456054E-2</v>
      </c>
      <c r="U93" s="151">
        <f t="shared" si="230"/>
        <v>-6.7462798549456041E-2</v>
      </c>
      <c r="V93" s="151">
        <f t="shared" si="230"/>
        <v>-6.7462798549456041E-2</v>
      </c>
      <c r="W93" s="151">
        <f t="shared" si="230"/>
        <v>-6.7462798549456041E-2</v>
      </c>
      <c r="X93" s="151">
        <f t="shared" si="230"/>
        <v>-6.7462798549456041E-2</v>
      </c>
      <c r="Y93" s="151">
        <f t="shared" si="230"/>
        <v>-6.7462798549456027E-2</v>
      </c>
      <c r="Z93" s="151">
        <f t="shared" si="230"/>
        <v>-6.7462798549456027E-2</v>
      </c>
      <c r="AA93" s="151">
        <f t="shared" si="230"/>
        <v>-6.7462798549456013E-2</v>
      </c>
      <c r="AB93" s="151">
        <f t="shared" si="230"/>
        <v>-6.7462798549456027E-2</v>
      </c>
      <c r="AC93" s="151">
        <f t="shared" si="230"/>
        <v>-6.7462798549456027E-2</v>
      </c>
      <c r="AD93" s="137" t="e">
        <f t="shared" si="214"/>
        <v>#DIV/0!</v>
      </c>
      <c r="AE93" s="145"/>
      <c r="AF93" s="145"/>
    </row>
    <row r="94" spans="2:32">
      <c r="B94" s="20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20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3"/>
      <c r="AE94" s="145"/>
      <c r="AF94" s="145"/>
    </row>
    <row r="95" spans="2:32">
      <c r="B95" s="20" t="s">
        <v>322</v>
      </c>
      <c r="C95" s="151"/>
      <c r="D95" s="151"/>
      <c r="E95" s="151"/>
      <c r="F95" s="151"/>
      <c r="G95" s="151">
        <f>G29/G25</f>
        <v>1</v>
      </c>
      <c r="H95" s="151" t="e">
        <f t="shared" ref="H95:P95" si="231">H29/H25</f>
        <v>#DIV/0!</v>
      </c>
      <c r="I95" s="151" t="e">
        <f t="shared" si="231"/>
        <v>#DIV/0!</v>
      </c>
      <c r="J95" s="151" t="e">
        <f t="shared" si="231"/>
        <v>#DIV/0!</v>
      </c>
      <c r="K95" s="151" t="e">
        <f t="shared" si="231"/>
        <v>#DIV/0!</v>
      </c>
      <c r="L95" s="151">
        <f t="shared" si="231"/>
        <v>1</v>
      </c>
      <c r="M95" s="151">
        <f t="shared" si="231"/>
        <v>8.137044967880086E-2</v>
      </c>
      <c r="N95" s="151">
        <f t="shared" si="231"/>
        <v>0.1096144914073386</v>
      </c>
      <c r="O95" s="151">
        <f t="shared" si="231"/>
        <v>0.18010752688172044</v>
      </c>
      <c r="P95" s="151">
        <f t="shared" si="231"/>
        <v>0.24335144409493853</v>
      </c>
      <c r="Q95" s="151">
        <f t="shared" ref="Q95" si="232">Q29/Q25</f>
        <v>0.25071901963236215</v>
      </c>
      <c r="R95" s="118">
        <f t="shared" si="212"/>
        <v>-0.14531955048794942</v>
      </c>
      <c r="S95" s="20"/>
      <c r="T95" s="151">
        <f t="shared" ref="T95:AC95" si="233">T29/T25</f>
        <v>0.25071901963236215</v>
      </c>
      <c r="U95" s="151">
        <f t="shared" si="233"/>
        <v>0.25071901963236209</v>
      </c>
      <c r="V95" s="151">
        <f t="shared" si="233"/>
        <v>0.25071901963236209</v>
      </c>
      <c r="W95" s="151">
        <f t="shared" si="233"/>
        <v>0.25071901963236209</v>
      </c>
      <c r="X95" s="151">
        <f t="shared" si="233"/>
        <v>0.25071901963236209</v>
      </c>
      <c r="Y95" s="151">
        <f t="shared" si="233"/>
        <v>0.25071901963236209</v>
      </c>
      <c r="Z95" s="151">
        <f t="shared" si="233"/>
        <v>0.25071901963236209</v>
      </c>
      <c r="AA95" s="151">
        <f t="shared" si="233"/>
        <v>0.25071901963236209</v>
      </c>
      <c r="AB95" s="151">
        <f t="shared" si="233"/>
        <v>0.25071901963236209</v>
      </c>
      <c r="AC95" s="151">
        <f t="shared" si="233"/>
        <v>0.25071901963236209</v>
      </c>
      <c r="AD95" s="137">
        <f t="shared" si="214"/>
        <v>-6.6833017613380008E-2</v>
      </c>
      <c r="AE95" s="145"/>
      <c r="AF95" s="145"/>
    </row>
    <row r="96" spans="2:32">
      <c r="B96" s="20" t="s">
        <v>368</v>
      </c>
      <c r="C96" s="151"/>
      <c r="D96" s="151"/>
      <c r="E96" s="151"/>
      <c r="F96" s="151"/>
      <c r="G96" s="151">
        <f>G29/G36</f>
        <v>1</v>
      </c>
      <c r="H96" s="151" t="e">
        <f t="shared" ref="H96:P96" si="234">H29/H36</f>
        <v>#DIV/0!</v>
      </c>
      <c r="I96" s="151" t="e">
        <f t="shared" si="234"/>
        <v>#DIV/0!</v>
      </c>
      <c r="J96" s="151" t="e">
        <f t="shared" si="234"/>
        <v>#DIV/0!</v>
      </c>
      <c r="K96" s="151" t="e">
        <f t="shared" si="234"/>
        <v>#DIV/0!</v>
      </c>
      <c r="L96" s="151">
        <f t="shared" si="234"/>
        <v>1</v>
      </c>
      <c r="M96" s="151">
        <f t="shared" si="234"/>
        <v>0.15637860082304528</v>
      </c>
      <c r="N96" s="151">
        <f t="shared" si="234"/>
        <v>0.19344262295081968</v>
      </c>
      <c r="O96" s="151">
        <f t="shared" si="234"/>
        <v>0.55622641509433968</v>
      </c>
      <c r="P96" s="151">
        <f t="shared" si="234"/>
        <v>1.7747653806047967</v>
      </c>
      <c r="Q96" s="151">
        <f t="shared" ref="Q96" si="235">Q29/Q36</f>
        <v>0.85830479452054798</v>
      </c>
      <c r="R96" s="118">
        <f t="shared" ref="R96" si="236">((P96/G96)^(1/($H$2-$H$1) ))-1</f>
        <v>6.5816225901196068E-2</v>
      </c>
      <c r="S96" s="20"/>
      <c r="T96" s="151">
        <f t="shared" ref="T96:AC96" si="237">T29/T36</f>
        <v>0.85830479452054798</v>
      </c>
      <c r="U96" s="151">
        <f t="shared" si="237"/>
        <v>0.85830479452054798</v>
      </c>
      <c r="V96" s="151">
        <f t="shared" si="237"/>
        <v>0.85830479452054786</v>
      </c>
      <c r="W96" s="151">
        <f t="shared" si="237"/>
        <v>0.85830479452054786</v>
      </c>
      <c r="X96" s="151">
        <f t="shared" si="237"/>
        <v>0.85830479452054798</v>
      </c>
      <c r="Y96" s="151">
        <f t="shared" si="237"/>
        <v>0.85830479452054798</v>
      </c>
      <c r="Z96" s="151">
        <f t="shared" si="237"/>
        <v>0.85830479452054809</v>
      </c>
      <c r="AA96" s="151">
        <f t="shared" si="237"/>
        <v>0.85830479452054809</v>
      </c>
      <c r="AB96" s="151">
        <f t="shared" si="237"/>
        <v>0.85830479452054809</v>
      </c>
      <c r="AC96" s="151">
        <f t="shared" si="237"/>
        <v>0.85830479452054798</v>
      </c>
      <c r="AD96" s="137">
        <f t="shared" ref="AD96" si="238">((AC96/G96)^(1/($AC$3-$H$1) ))-1</f>
        <v>-7.6106911131446076E-3</v>
      </c>
      <c r="AE96" s="145"/>
      <c r="AF96" s="145"/>
    </row>
    <row r="97" spans="2:32" ht="12" customHeight="1">
      <c r="B97" s="20" t="s">
        <v>367</v>
      </c>
      <c r="C97" s="151"/>
      <c r="D97" s="151"/>
      <c r="E97" s="151"/>
      <c r="F97" s="151"/>
      <c r="G97" s="170">
        <f t="shared" ref="G97:P97" si="239">G29/G40</f>
        <v>1</v>
      </c>
      <c r="H97" s="170" t="e">
        <f t="shared" si="239"/>
        <v>#DIV/0!</v>
      </c>
      <c r="I97" s="170" t="e">
        <f t="shared" si="239"/>
        <v>#DIV/0!</v>
      </c>
      <c r="J97" s="170" t="e">
        <f t="shared" si="239"/>
        <v>#DIV/0!</v>
      </c>
      <c r="K97" s="170" t="e">
        <f t="shared" si="239"/>
        <v>#DIV/0!</v>
      </c>
      <c r="L97" s="170">
        <f t="shared" si="239"/>
        <v>1</v>
      </c>
      <c r="M97" s="170">
        <f t="shared" si="239"/>
        <v>0.22352941176470589</v>
      </c>
      <c r="N97" s="170">
        <f t="shared" si="239"/>
        <v>0.4600389863547758</v>
      </c>
      <c r="O97" s="170">
        <f t="shared" si="239"/>
        <v>-2.4983050847457626</v>
      </c>
      <c r="P97" s="170">
        <f t="shared" si="239"/>
        <v>-0.5682804674457429</v>
      </c>
      <c r="Q97" s="170">
        <f t="shared" ref="Q97" si="240">Q29/Q40</f>
        <v>-13.827586206896552</v>
      </c>
      <c r="R97" s="118">
        <f t="shared" ref="R97" si="241">((P97/G97)^(1/($H$2-$H$1) ))-1</f>
        <v>-1.9391375210425652</v>
      </c>
      <c r="S97" s="20"/>
      <c r="T97" s="170">
        <f t="shared" ref="T97:AC97" si="242">T29/T40</f>
        <v>-13.827586206896553</v>
      </c>
      <c r="U97" s="170">
        <f t="shared" si="242"/>
        <v>-13.827586206896552</v>
      </c>
      <c r="V97" s="170">
        <f t="shared" si="242"/>
        <v>-13.827586206896552</v>
      </c>
      <c r="W97" s="170">
        <f t="shared" si="242"/>
        <v>-13.827586206896552</v>
      </c>
      <c r="X97" s="170">
        <f t="shared" si="242"/>
        <v>-13.827586206896552</v>
      </c>
      <c r="Y97" s="170">
        <f t="shared" si="242"/>
        <v>-13.827586206896552</v>
      </c>
      <c r="Z97" s="170">
        <f t="shared" si="242"/>
        <v>-13.827586206896552</v>
      </c>
      <c r="AA97" s="170">
        <f t="shared" si="242"/>
        <v>-13.82758620689655</v>
      </c>
      <c r="AB97" s="170">
        <f t="shared" si="242"/>
        <v>-13.82758620689655</v>
      </c>
      <c r="AC97" s="170">
        <f t="shared" si="242"/>
        <v>-13.82758620689655</v>
      </c>
      <c r="AD97" s="137" t="e">
        <f t="shared" ref="AD97" si="243">((AC97/G97)^(1/($AC$3-$H$1) ))-1</f>
        <v>#NUM!</v>
      </c>
      <c r="AE97" s="145"/>
      <c r="AF97" s="145"/>
    </row>
    <row r="98" spans="2:32" ht="12" customHeight="1">
      <c r="B98" s="20" t="s">
        <v>324</v>
      </c>
      <c r="C98" s="151"/>
      <c r="D98" s="151"/>
      <c r="E98" s="151"/>
      <c r="F98" s="151"/>
      <c r="G98" s="170">
        <f t="shared" ref="G98:P98" si="244">G29/G12</f>
        <v>1.7921146953405018E-5</v>
      </c>
      <c r="H98" s="170" t="e">
        <f t="shared" si="244"/>
        <v>#DIV/0!</v>
      </c>
      <c r="I98" s="170" t="e">
        <f t="shared" si="244"/>
        <v>#DIV/0!</v>
      </c>
      <c r="J98" s="170" t="e">
        <f t="shared" si="244"/>
        <v>#DIV/0!</v>
      </c>
      <c r="K98" s="170" t="e">
        <f t="shared" si="244"/>
        <v>#DIV/0!</v>
      </c>
      <c r="L98" s="170">
        <f t="shared" si="244"/>
        <v>1.7921146953405018E-5</v>
      </c>
      <c r="M98" s="170">
        <f t="shared" si="244"/>
        <v>3.2590051457975985E-2</v>
      </c>
      <c r="N98" s="170">
        <f t="shared" si="244"/>
        <v>0.18804780876494023</v>
      </c>
      <c r="O98" s="170">
        <f t="shared" si="244"/>
        <v>0.22746913580246914</v>
      </c>
      <c r="P98" s="170">
        <f t="shared" si="244"/>
        <v>0.9906868451688009</v>
      </c>
      <c r="Q98" s="170">
        <f t="shared" ref="Q98" si="245">Q29/Q12</f>
        <v>4.831325301204819</v>
      </c>
      <c r="R98" s="118">
        <f t="shared" si="212"/>
        <v>2.3647460220353853</v>
      </c>
      <c r="S98" s="20"/>
      <c r="T98" s="151">
        <f t="shared" ref="T98:AC98" si="246">T29/T12</f>
        <v>4.831325301204819</v>
      </c>
      <c r="U98" s="151">
        <f t="shared" si="246"/>
        <v>4.831325301204819</v>
      </c>
      <c r="V98" s="151">
        <f t="shared" si="246"/>
        <v>4.831325301204819</v>
      </c>
      <c r="W98" s="151">
        <f t="shared" si="246"/>
        <v>4.831325301204819</v>
      </c>
      <c r="X98" s="151">
        <f t="shared" si="246"/>
        <v>4.831325301204819</v>
      </c>
      <c r="Y98" s="151">
        <f t="shared" si="246"/>
        <v>4.831325301204819</v>
      </c>
      <c r="Z98" s="151">
        <f t="shared" si="246"/>
        <v>4.831325301204819</v>
      </c>
      <c r="AA98" s="151">
        <f t="shared" si="246"/>
        <v>4.831325301204819</v>
      </c>
      <c r="AB98" s="151">
        <f t="shared" si="246"/>
        <v>4.831325301204819</v>
      </c>
      <c r="AC98" s="151">
        <f t="shared" si="246"/>
        <v>4.831325301204819</v>
      </c>
      <c r="AD98" s="137">
        <f t="shared" si="214"/>
        <v>0.86868037211526516</v>
      </c>
      <c r="AE98" s="145"/>
      <c r="AF98" s="145"/>
    </row>
    <row r="99" spans="2:32" ht="12" customHeight="1">
      <c r="B99" s="20" t="s">
        <v>369</v>
      </c>
      <c r="C99" s="151"/>
      <c r="D99" s="151"/>
      <c r="E99" s="151"/>
      <c r="F99" s="151"/>
      <c r="G99" s="170">
        <f>G29/G23</f>
        <v>2.0242914979757085E-5</v>
      </c>
      <c r="H99" s="170" t="e">
        <f t="shared" ref="H99:P99" si="247">H29/H23</f>
        <v>#DIV/0!</v>
      </c>
      <c r="I99" s="170" t="e">
        <f t="shared" si="247"/>
        <v>#DIV/0!</v>
      </c>
      <c r="J99" s="170" t="e">
        <f t="shared" si="247"/>
        <v>#DIV/0!</v>
      </c>
      <c r="K99" s="170" t="e">
        <f t="shared" si="247"/>
        <v>#DIV/0!</v>
      </c>
      <c r="L99" s="170">
        <f t="shared" si="247"/>
        <v>2.0242914979757085E-5</v>
      </c>
      <c r="M99" s="170">
        <f t="shared" si="247"/>
        <v>3.7037037037037035E-2</v>
      </c>
      <c r="N99" s="170">
        <f t="shared" si="247"/>
        <v>0.27570093457943923</v>
      </c>
      <c r="O99" s="170">
        <f t="shared" si="247"/>
        <v>2.2607361963190185</v>
      </c>
      <c r="P99" s="170">
        <f t="shared" si="247"/>
        <v>6.0569395017793592</v>
      </c>
      <c r="Q99" s="170">
        <f t="shared" ref="Q99" si="248">Q29/Q23</f>
        <v>49.506172839506171</v>
      </c>
      <c r="R99" s="118">
        <f t="shared" ref="R99" si="249">((P99/G99)^(1/($H$2-$H$1) ))-1</f>
        <v>3.0592167574087972</v>
      </c>
      <c r="S99" s="20"/>
      <c r="T99" s="170">
        <f t="shared" ref="T99:AC99" si="250">T29/T23</f>
        <v>49.506172839506171</v>
      </c>
      <c r="U99" s="170">
        <f t="shared" si="250"/>
        <v>49.506172839506171</v>
      </c>
      <c r="V99" s="170">
        <f t="shared" si="250"/>
        <v>49.506172839506171</v>
      </c>
      <c r="W99" s="170">
        <f t="shared" si="250"/>
        <v>49.506172839506171</v>
      </c>
      <c r="X99" s="170">
        <f t="shared" si="250"/>
        <v>49.506172839506171</v>
      </c>
      <c r="Y99" s="170">
        <f t="shared" si="250"/>
        <v>49.506172839506171</v>
      </c>
      <c r="Z99" s="170">
        <f t="shared" si="250"/>
        <v>49.506172839506171</v>
      </c>
      <c r="AA99" s="170">
        <f t="shared" si="250"/>
        <v>49.506172839506171</v>
      </c>
      <c r="AB99" s="170">
        <f t="shared" si="250"/>
        <v>49.506172839506171</v>
      </c>
      <c r="AC99" s="170">
        <f t="shared" si="250"/>
        <v>49.506172839506171</v>
      </c>
      <c r="AD99" s="137">
        <f t="shared" ref="AD99" si="251">((AC99/G99)^(1/($AC$3-$H$1) ))-1</f>
        <v>1.0865044492380211</v>
      </c>
      <c r="AE99" s="145"/>
      <c r="AF99" s="145"/>
    </row>
    <row r="100" spans="2:32" ht="12" customHeight="1">
      <c r="B100" s="20"/>
      <c r="C100" s="151"/>
      <c r="D100" s="151"/>
      <c r="E100" s="151"/>
      <c r="F100" s="151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20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45"/>
      <c r="AF100" s="145"/>
    </row>
    <row r="101" spans="2:32" ht="12" customHeight="1">
      <c r="B101" s="20" t="s">
        <v>401</v>
      </c>
      <c r="C101" s="151"/>
      <c r="D101" s="151"/>
      <c r="E101" s="151"/>
      <c r="F101" s="151"/>
      <c r="G101" s="127">
        <f>1/G95</f>
        <v>1</v>
      </c>
      <c r="H101" s="127" t="e">
        <f t="shared" ref="H101:P101" si="252">1/H95</f>
        <v>#DIV/0!</v>
      </c>
      <c r="I101" s="127" t="e">
        <f t="shared" si="252"/>
        <v>#DIV/0!</v>
      </c>
      <c r="J101" s="127" t="e">
        <f t="shared" si="252"/>
        <v>#DIV/0!</v>
      </c>
      <c r="K101" s="127" t="e">
        <f t="shared" si="252"/>
        <v>#DIV/0!</v>
      </c>
      <c r="L101" s="127">
        <f t="shared" si="252"/>
        <v>1</v>
      </c>
      <c r="M101" s="127">
        <f t="shared" si="252"/>
        <v>12.289473684210526</v>
      </c>
      <c r="N101" s="127">
        <f t="shared" si="252"/>
        <v>9.1228813559322024</v>
      </c>
      <c r="O101" s="127">
        <f t="shared" si="252"/>
        <v>5.5522388059701493</v>
      </c>
      <c r="P101" s="127">
        <f t="shared" si="252"/>
        <v>4.1092831962397174</v>
      </c>
      <c r="Q101" s="127">
        <f t="shared" ref="Q101" si="253">1/Q95</f>
        <v>3.9885286783042391</v>
      </c>
      <c r="R101" s="118">
        <f t="shared" si="212"/>
        <v>0.17002793332983623</v>
      </c>
      <c r="S101" s="20"/>
      <c r="T101" s="127">
        <f t="shared" ref="T101:AC101" si="254">1/T95</f>
        <v>3.9885286783042391</v>
      </c>
      <c r="U101" s="127">
        <f t="shared" si="254"/>
        <v>3.98852867830424</v>
      </c>
      <c r="V101" s="127">
        <f t="shared" si="254"/>
        <v>3.98852867830424</v>
      </c>
      <c r="W101" s="127">
        <f t="shared" si="254"/>
        <v>3.98852867830424</v>
      </c>
      <c r="X101" s="127">
        <f t="shared" si="254"/>
        <v>3.98852867830424</v>
      </c>
      <c r="Y101" s="127">
        <f t="shared" si="254"/>
        <v>3.98852867830424</v>
      </c>
      <c r="Z101" s="127">
        <f t="shared" si="254"/>
        <v>3.98852867830424</v>
      </c>
      <c r="AA101" s="127">
        <f t="shared" si="254"/>
        <v>3.98852867830424</v>
      </c>
      <c r="AB101" s="127">
        <f t="shared" si="254"/>
        <v>3.98852867830424</v>
      </c>
      <c r="AC101" s="127">
        <f t="shared" si="254"/>
        <v>3.98852867830424</v>
      </c>
      <c r="AD101" s="137">
        <f t="shared" si="214"/>
        <v>7.1619569567765051E-2</v>
      </c>
      <c r="AE101" s="145"/>
      <c r="AF101" s="145"/>
    </row>
    <row r="102" spans="2:32" ht="12" customHeight="1">
      <c r="B102" s="20" t="s">
        <v>402</v>
      </c>
      <c r="C102" s="151"/>
      <c r="D102" s="151"/>
      <c r="E102" s="151"/>
      <c r="F102" s="151"/>
      <c r="G102" s="127">
        <f t="shared" ref="G102:P105" si="255">1/G96</f>
        <v>1</v>
      </c>
      <c r="H102" s="127" t="e">
        <f t="shared" si="255"/>
        <v>#DIV/0!</v>
      </c>
      <c r="I102" s="127" t="e">
        <f t="shared" si="255"/>
        <v>#DIV/0!</v>
      </c>
      <c r="J102" s="127" t="e">
        <f t="shared" si="255"/>
        <v>#DIV/0!</v>
      </c>
      <c r="K102" s="127" t="e">
        <f t="shared" si="255"/>
        <v>#DIV/0!</v>
      </c>
      <c r="L102" s="127">
        <f t="shared" si="255"/>
        <v>1</v>
      </c>
      <c r="M102" s="127">
        <f t="shared" si="255"/>
        <v>6.3947368421052628</v>
      </c>
      <c r="N102" s="127">
        <f t="shared" si="255"/>
        <v>5.1694915254237284</v>
      </c>
      <c r="O102" s="127">
        <f t="shared" si="255"/>
        <v>1.7978290366350067</v>
      </c>
      <c r="P102" s="127">
        <f t="shared" si="255"/>
        <v>0.56345475910693299</v>
      </c>
      <c r="Q102" s="127">
        <f t="shared" ref="Q102" si="256">1/Q96</f>
        <v>1.1650872817955111</v>
      </c>
      <c r="R102" s="118">
        <f t="shared" si="212"/>
        <v>-6.1751945881238113E-2</v>
      </c>
      <c r="S102" s="20"/>
      <c r="T102" s="127">
        <f t="shared" ref="T102:AC102" si="257">1/T96</f>
        <v>1.1650872817955111</v>
      </c>
      <c r="U102" s="127">
        <f t="shared" si="257"/>
        <v>1.1650872817955111</v>
      </c>
      <c r="V102" s="127">
        <f t="shared" si="257"/>
        <v>1.1650872817955114</v>
      </c>
      <c r="W102" s="127">
        <f t="shared" si="257"/>
        <v>1.1650872817955114</v>
      </c>
      <c r="X102" s="127">
        <f t="shared" si="257"/>
        <v>1.1650872817955111</v>
      </c>
      <c r="Y102" s="127">
        <f t="shared" si="257"/>
        <v>1.1650872817955111</v>
      </c>
      <c r="Z102" s="127">
        <f t="shared" si="257"/>
        <v>1.1650872817955111</v>
      </c>
      <c r="AA102" s="127">
        <f t="shared" si="257"/>
        <v>1.1650872817955111</v>
      </c>
      <c r="AB102" s="127">
        <f t="shared" si="257"/>
        <v>1.1650872817955111</v>
      </c>
      <c r="AC102" s="127">
        <f t="shared" si="257"/>
        <v>1.1650872817955111</v>
      </c>
      <c r="AD102" s="137">
        <f t="shared" si="214"/>
        <v>7.6690579442872941E-3</v>
      </c>
      <c r="AE102" s="145"/>
      <c r="AF102" s="145"/>
    </row>
    <row r="103" spans="2:32" ht="12" customHeight="1">
      <c r="B103" s="20" t="s">
        <v>403</v>
      </c>
      <c r="C103" s="151"/>
      <c r="D103" s="151"/>
      <c r="E103" s="151"/>
      <c r="F103" s="151"/>
      <c r="G103" s="127">
        <f t="shared" si="255"/>
        <v>1</v>
      </c>
      <c r="H103" s="127" t="e">
        <f t="shared" si="255"/>
        <v>#DIV/0!</v>
      </c>
      <c r="I103" s="127" t="e">
        <f t="shared" si="255"/>
        <v>#DIV/0!</v>
      </c>
      <c r="J103" s="127" t="e">
        <f t="shared" si="255"/>
        <v>#DIV/0!</v>
      </c>
      <c r="K103" s="127" t="e">
        <f t="shared" si="255"/>
        <v>#DIV/0!</v>
      </c>
      <c r="L103" s="127">
        <f t="shared" si="255"/>
        <v>1</v>
      </c>
      <c r="M103" s="127">
        <f t="shared" si="255"/>
        <v>4.4736842105263159</v>
      </c>
      <c r="N103" s="127">
        <f t="shared" si="255"/>
        <v>2.1737288135593222</v>
      </c>
      <c r="O103" s="127">
        <f t="shared" si="255"/>
        <v>-0.40027137042062416</v>
      </c>
      <c r="P103" s="127">
        <f t="shared" si="255"/>
        <v>-1.7596944770857814</v>
      </c>
      <c r="Q103" s="127">
        <f t="shared" ref="Q103" si="258">1/Q97</f>
        <v>-7.2319201995012475E-2</v>
      </c>
      <c r="R103" s="118">
        <f t="shared" si="212"/>
        <v>-2.0648067802571335</v>
      </c>
      <c r="S103" s="20"/>
      <c r="T103" s="127">
        <f t="shared" ref="T103:AC103" si="259">1/T97</f>
        <v>-7.2319201995012461E-2</v>
      </c>
      <c r="U103" s="127">
        <f t="shared" si="259"/>
        <v>-7.2319201995012475E-2</v>
      </c>
      <c r="V103" s="127">
        <f t="shared" si="259"/>
        <v>-7.2319201995012475E-2</v>
      </c>
      <c r="W103" s="127">
        <f t="shared" si="259"/>
        <v>-7.2319201995012475E-2</v>
      </c>
      <c r="X103" s="127">
        <f t="shared" si="259"/>
        <v>-7.2319201995012475E-2</v>
      </c>
      <c r="Y103" s="127">
        <f t="shared" si="259"/>
        <v>-7.2319201995012475E-2</v>
      </c>
      <c r="Z103" s="127">
        <f t="shared" si="259"/>
        <v>-7.2319201995012475E-2</v>
      </c>
      <c r="AA103" s="127">
        <f t="shared" si="259"/>
        <v>-7.2319201995012475E-2</v>
      </c>
      <c r="AB103" s="127">
        <f t="shared" si="259"/>
        <v>-7.2319201995012475E-2</v>
      </c>
      <c r="AC103" s="127">
        <f t="shared" si="259"/>
        <v>-7.2319201995012475E-2</v>
      </c>
      <c r="AD103" s="137" t="e">
        <f t="shared" si="214"/>
        <v>#NUM!</v>
      </c>
      <c r="AE103" s="145"/>
      <c r="AF103" s="145"/>
    </row>
    <row r="104" spans="2:32" ht="12" customHeight="1">
      <c r="B104" s="20" t="s">
        <v>404</v>
      </c>
      <c r="C104" s="151"/>
      <c r="D104" s="151"/>
      <c r="E104" s="151"/>
      <c r="F104" s="151"/>
      <c r="G104" s="127">
        <f t="shared" si="255"/>
        <v>55800</v>
      </c>
      <c r="H104" s="127" t="e">
        <f t="shared" si="255"/>
        <v>#DIV/0!</v>
      </c>
      <c r="I104" s="127" t="e">
        <f t="shared" si="255"/>
        <v>#DIV/0!</v>
      </c>
      <c r="J104" s="127" t="e">
        <f t="shared" si="255"/>
        <v>#DIV/0!</v>
      </c>
      <c r="K104" s="127" t="e">
        <f t="shared" si="255"/>
        <v>#DIV/0!</v>
      </c>
      <c r="L104" s="127">
        <f t="shared" si="255"/>
        <v>55800</v>
      </c>
      <c r="M104" s="127">
        <f t="shared" si="255"/>
        <v>30.684210526315791</v>
      </c>
      <c r="N104" s="127">
        <f t="shared" si="255"/>
        <v>5.3177966101694913</v>
      </c>
      <c r="O104" s="127">
        <f t="shared" si="255"/>
        <v>4.3962008141112623</v>
      </c>
      <c r="P104" s="127">
        <f t="shared" si="255"/>
        <v>1.009400705052879</v>
      </c>
      <c r="Q104" s="127">
        <f t="shared" ref="Q104" si="260">1/Q98</f>
        <v>0.20698254364089777</v>
      </c>
      <c r="R104" s="118">
        <f t="shared" si="212"/>
        <v>-0.70280074827309402</v>
      </c>
      <c r="S104" s="20"/>
      <c r="T104" s="127">
        <f t="shared" ref="T104:AC104" si="261">1/T98</f>
        <v>0.20698254364089777</v>
      </c>
      <c r="U104" s="127">
        <f t="shared" si="261"/>
        <v>0.20698254364089777</v>
      </c>
      <c r="V104" s="127">
        <f t="shared" si="261"/>
        <v>0.20698254364089777</v>
      </c>
      <c r="W104" s="127">
        <f t="shared" si="261"/>
        <v>0.20698254364089777</v>
      </c>
      <c r="X104" s="127">
        <f t="shared" si="261"/>
        <v>0.20698254364089777</v>
      </c>
      <c r="Y104" s="127">
        <f t="shared" si="261"/>
        <v>0.20698254364089777</v>
      </c>
      <c r="Z104" s="127">
        <f t="shared" si="261"/>
        <v>0.20698254364089777</v>
      </c>
      <c r="AA104" s="127">
        <f t="shared" si="261"/>
        <v>0.20698254364089777</v>
      </c>
      <c r="AB104" s="127">
        <f t="shared" si="261"/>
        <v>0.20698254364089777</v>
      </c>
      <c r="AC104" s="127">
        <f t="shared" si="261"/>
        <v>0.20698254364089777</v>
      </c>
      <c r="AD104" s="137">
        <f t="shared" si="214"/>
        <v>-0.46486300443770201</v>
      </c>
      <c r="AE104" s="145"/>
      <c r="AF104" s="145"/>
    </row>
    <row r="105" spans="2:32" ht="12" customHeight="1">
      <c r="B105" s="20" t="s">
        <v>405</v>
      </c>
      <c r="C105" s="151"/>
      <c r="D105" s="151"/>
      <c r="E105" s="151"/>
      <c r="F105" s="151"/>
      <c r="G105" s="127">
        <f t="shared" si="255"/>
        <v>49400</v>
      </c>
      <c r="H105" s="127" t="e">
        <f t="shared" si="255"/>
        <v>#DIV/0!</v>
      </c>
      <c r="I105" s="127" t="e">
        <f t="shared" si="255"/>
        <v>#DIV/0!</v>
      </c>
      <c r="J105" s="127" t="e">
        <f t="shared" si="255"/>
        <v>#DIV/0!</v>
      </c>
      <c r="K105" s="127" t="e">
        <f t="shared" si="255"/>
        <v>#DIV/0!</v>
      </c>
      <c r="L105" s="127">
        <f t="shared" si="255"/>
        <v>49400</v>
      </c>
      <c r="M105" s="127">
        <f t="shared" si="255"/>
        <v>27</v>
      </c>
      <c r="N105" s="127">
        <f t="shared" si="255"/>
        <v>3.6271186440677972</v>
      </c>
      <c r="O105" s="127">
        <f t="shared" si="255"/>
        <v>0.44233378561736769</v>
      </c>
      <c r="P105" s="127">
        <f t="shared" si="255"/>
        <v>0.16509988249118684</v>
      </c>
      <c r="Q105" s="127">
        <f t="shared" ref="Q105" si="262">1/Q99</f>
        <v>2.0199501246882794E-2</v>
      </c>
      <c r="R105" s="118">
        <f t="shared" si="212"/>
        <v>-0.75364705563583878</v>
      </c>
      <c r="S105" s="20"/>
      <c r="T105" s="127">
        <f t="shared" ref="T105:AC105" si="263">1/T99</f>
        <v>2.0199501246882794E-2</v>
      </c>
      <c r="U105" s="127">
        <f t="shared" si="263"/>
        <v>2.0199501246882794E-2</v>
      </c>
      <c r="V105" s="127">
        <f t="shared" si="263"/>
        <v>2.0199501246882794E-2</v>
      </c>
      <c r="W105" s="127">
        <f t="shared" si="263"/>
        <v>2.0199501246882794E-2</v>
      </c>
      <c r="X105" s="127">
        <f t="shared" si="263"/>
        <v>2.0199501246882794E-2</v>
      </c>
      <c r="Y105" s="127">
        <f t="shared" si="263"/>
        <v>2.0199501246882794E-2</v>
      </c>
      <c r="Z105" s="127">
        <f t="shared" si="263"/>
        <v>2.0199501246882794E-2</v>
      </c>
      <c r="AA105" s="127">
        <f t="shared" si="263"/>
        <v>2.0199501246882794E-2</v>
      </c>
      <c r="AB105" s="127">
        <f t="shared" si="263"/>
        <v>2.0199501246882794E-2</v>
      </c>
      <c r="AC105" s="127">
        <f t="shared" si="263"/>
        <v>2.0199501246882794E-2</v>
      </c>
      <c r="AD105" s="137">
        <f t="shared" si="214"/>
        <v>-0.52072951468414364</v>
      </c>
      <c r="AE105" s="145"/>
      <c r="AF105" s="145"/>
    </row>
    <row r="106" spans="2:32" ht="12" customHeight="1">
      <c r="B106" s="20"/>
      <c r="C106" s="151"/>
      <c r="D106" s="151"/>
      <c r="E106" s="151"/>
      <c r="F106" s="151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20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45"/>
      <c r="AF106" s="145"/>
    </row>
    <row r="107" spans="2:32" ht="12" customHeight="1">
      <c r="B107" s="20"/>
      <c r="C107" s="151"/>
      <c r="D107" s="151"/>
      <c r="E107" s="151"/>
      <c r="F107" s="151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20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45"/>
      <c r="AF107" s="145"/>
    </row>
    <row r="108" spans="2:32">
      <c r="B108" s="20" t="s">
        <v>325</v>
      </c>
      <c r="C108" s="151"/>
      <c r="D108" s="151"/>
      <c r="E108" s="151"/>
      <c r="F108" s="162"/>
      <c r="G108" s="162">
        <f t="shared" ref="G108:O108" si="264">G10-(G12+G13)</f>
        <v>4431</v>
      </c>
      <c r="H108" s="162">
        <f t="shared" si="264"/>
        <v>0</v>
      </c>
      <c r="I108" s="162">
        <f t="shared" si="264"/>
        <v>0</v>
      </c>
      <c r="J108" s="162">
        <f t="shared" si="264"/>
        <v>0</v>
      </c>
      <c r="K108" s="162">
        <f t="shared" si="264"/>
        <v>0</v>
      </c>
      <c r="L108" s="162">
        <f t="shared" si="264"/>
        <v>4431</v>
      </c>
      <c r="M108" s="162">
        <f t="shared" si="264"/>
        <v>9403.99</v>
      </c>
      <c r="N108" s="162">
        <f t="shared" si="264"/>
        <v>23237</v>
      </c>
      <c r="O108" s="162">
        <f t="shared" si="264"/>
        <v>32746</v>
      </c>
      <c r="P108" s="162">
        <f>P10-(P12+P13)</f>
        <v>35861</v>
      </c>
      <c r="Q108" s="162">
        <f>Q10-(Q12+Q13)</f>
        <v>38823</v>
      </c>
      <c r="R108" s="118">
        <f t="shared" si="212"/>
        <v>0.26154368508629044</v>
      </c>
      <c r="S108" s="20"/>
      <c r="T108" s="162">
        <f>T10-(T12+T13)</f>
        <v>43481.760000000002</v>
      </c>
      <c r="U108" s="162">
        <f t="shared" ref="U108:AC108" si="265">U10-(U12+U13)</f>
        <v>48699.571200000006</v>
      </c>
      <c r="V108" s="162">
        <f t="shared" si="265"/>
        <v>54543.519744000012</v>
      </c>
      <c r="W108" s="162">
        <f t="shared" si="265"/>
        <v>61088.742113280023</v>
      </c>
      <c r="X108" s="162">
        <f t="shared" si="265"/>
        <v>68419.391166873625</v>
      </c>
      <c r="Y108" s="162">
        <f t="shared" si="265"/>
        <v>76629.718106898479</v>
      </c>
      <c r="Z108" s="162">
        <f t="shared" si="265"/>
        <v>85825.2842797263</v>
      </c>
      <c r="AA108" s="162">
        <f t="shared" si="265"/>
        <v>96124.318393293463</v>
      </c>
      <c r="AB108" s="162">
        <f t="shared" si="265"/>
        <v>107659.23660048869</v>
      </c>
      <c r="AC108" s="162">
        <f t="shared" si="265"/>
        <v>120578.34499254734</v>
      </c>
      <c r="AD108" s="137">
        <f t="shared" si="214"/>
        <v>0.17960981762638917</v>
      </c>
      <c r="AE108" s="145"/>
      <c r="AF108" s="145"/>
    </row>
    <row r="109" spans="2:32" ht="12" customHeight="1">
      <c r="B109" s="20" t="s">
        <v>320</v>
      </c>
      <c r="C109" s="20"/>
      <c r="D109" s="20"/>
      <c r="E109" s="20"/>
      <c r="F109" s="20"/>
      <c r="G109" s="151">
        <f t="shared" ref="G109:P109" si="266">G40/G18</f>
        <v>2.967359050445104E-5</v>
      </c>
      <c r="H109" s="151" t="e">
        <f t="shared" si="266"/>
        <v>#DIV/0!</v>
      </c>
      <c r="I109" s="151" t="e">
        <f t="shared" si="266"/>
        <v>#DIV/0!</v>
      </c>
      <c r="J109" s="151" t="e">
        <f t="shared" si="266"/>
        <v>#DIV/0!</v>
      </c>
      <c r="K109" s="151" t="e">
        <f t="shared" si="266"/>
        <v>#DIV/0!</v>
      </c>
      <c r="L109" s="151">
        <f t="shared" si="266"/>
        <v>2.967359050445104E-5</v>
      </c>
      <c r="M109" s="151">
        <f t="shared" si="266"/>
        <v>6.0997488338715468E-2</v>
      </c>
      <c r="N109" s="151">
        <f t="shared" si="266"/>
        <v>5.8648679547273354E-2</v>
      </c>
      <c r="O109" s="151">
        <f t="shared" si="266"/>
        <v>-1.8666160465704885E-2</v>
      </c>
      <c r="P109" s="151">
        <f t="shared" si="266"/>
        <v>-0.10296342134213421</v>
      </c>
      <c r="Q109" s="151">
        <f t="shared" ref="Q109" si="267">Q40/Q18</f>
        <v>-6.2548529031144851E-3</v>
      </c>
      <c r="R109" s="118">
        <f t="shared" si="212"/>
        <v>-3.473819999457529</v>
      </c>
      <c r="S109" s="20"/>
      <c r="T109" s="151">
        <f t="shared" ref="T109:AC109" si="268">T40/T18</f>
        <v>-6.2548529031144851E-3</v>
      </c>
      <c r="U109" s="151">
        <f t="shared" si="268"/>
        <v>-6.2548529031144851E-3</v>
      </c>
      <c r="V109" s="151">
        <f t="shared" si="268"/>
        <v>-6.2548529031144851E-3</v>
      </c>
      <c r="W109" s="151">
        <f t="shared" si="268"/>
        <v>-6.254852903114486E-3</v>
      </c>
      <c r="X109" s="151">
        <f t="shared" si="268"/>
        <v>-6.254852903114486E-3</v>
      </c>
      <c r="Y109" s="151">
        <f t="shared" si="268"/>
        <v>-6.2548529031144868E-3</v>
      </c>
      <c r="Z109" s="151">
        <f t="shared" si="268"/>
        <v>-6.2548529031144868E-3</v>
      </c>
      <c r="AA109" s="151">
        <f t="shared" si="268"/>
        <v>-6.2548529031144877E-3</v>
      </c>
      <c r="AB109" s="151">
        <f t="shared" si="268"/>
        <v>-6.2548529031144877E-3</v>
      </c>
      <c r="AC109" s="151">
        <f t="shared" si="268"/>
        <v>-6.2548529031144868E-3</v>
      </c>
      <c r="AD109" s="137" t="e">
        <f t="shared" si="214"/>
        <v>#NUM!</v>
      </c>
      <c r="AE109" s="20"/>
      <c r="AF109" s="20"/>
    </row>
    <row r="110" spans="2:32">
      <c r="B110" s="20" t="s">
        <v>321</v>
      </c>
      <c r="C110" s="20"/>
      <c r="D110" s="20"/>
      <c r="E110" s="20"/>
      <c r="F110" s="20"/>
      <c r="G110" s="151">
        <f t="shared" ref="G110:P110" si="269">G40/G25</f>
        <v>1</v>
      </c>
      <c r="H110" s="151" t="e">
        <f t="shared" si="269"/>
        <v>#DIV/0!</v>
      </c>
      <c r="I110" s="151" t="e">
        <f t="shared" si="269"/>
        <v>#DIV/0!</v>
      </c>
      <c r="J110" s="151" t="e">
        <f t="shared" si="269"/>
        <v>#DIV/0!</v>
      </c>
      <c r="K110" s="151" t="e">
        <f t="shared" si="269"/>
        <v>#DIV/0!</v>
      </c>
      <c r="L110" s="151">
        <f t="shared" si="269"/>
        <v>1</v>
      </c>
      <c r="M110" s="151">
        <f t="shared" si="269"/>
        <v>0.36402569593147749</v>
      </c>
      <c r="N110" s="151">
        <f t="shared" si="269"/>
        <v>0.23827217835578263</v>
      </c>
      <c r="O110" s="151">
        <f t="shared" si="269"/>
        <v>-7.2091886608015646E-2</v>
      </c>
      <c r="P110" s="151">
        <f t="shared" si="269"/>
        <v>-0.42822419216471264</v>
      </c>
      <c r="Q110" s="151">
        <f t="shared" ref="Q110" si="270">Q40/Q25</f>
        <v>-1.8131799424784295E-2</v>
      </c>
      <c r="R110" s="118">
        <f t="shared" si="212"/>
        <v>-1.9100695375936461</v>
      </c>
      <c r="S110" s="20"/>
      <c r="T110" s="151">
        <f t="shared" ref="T110:AC110" si="271">T40/T25</f>
        <v>-1.8131799424784292E-2</v>
      </c>
      <c r="U110" s="151">
        <f t="shared" si="271"/>
        <v>-1.8131799424784292E-2</v>
      </c>
      <c r="V110" s="151">
        <f t="shared" si="271"/>
        <v>-1.8131799424784292E-2</v>
      </c>
      <c r="W110" s="151">
        <f t="shared" si="271"/>
        <v>-1.8131799424784292E-2</v>
      </c>
      <c r="X110" s="151">
        <f t="shared" si="271"/>
        <v>-1.8131799424784292E-2</v>
      </c>
      <c r="Y110" s="151">
        <f t="shared" si="271"/>
        <v>-1.8131799424784292E-2</v>
      </c>
      <c r="Z110" s="151">
        <f t="shared" si="271"/>
        <v>-1.8131799424784292E-2</v>
      </c>
      <c r="AA110" s="151">
        <f t="shared" si="271"/>
        <v>-1.8131799424784295E-2</v>
      </c>
      <c r="AB110" s="151">
        <f t="shared" si="271"/>
        <v>-1.8131799424784295E-2</v>
      </c>
      <c r="AC110" s="151">
        <f t="shared" si="271"/>
        <v>-1.8131799424784295E-2</v>
      </c>
      <c r="AD110" s="137" t="e">
        <f t="shared" si="214"/>
        <v>#NUM!</v>
      </c>
      <c r="AE110" s="20"/>
      <c r="AF110" s="20"/>
    </row>
    <row r="111" spans="2:32">
      <c r="B111" s="20" t="s">
        <v>347</v>
      </c>
      <c r="C111" s="20"/>
      <c r="D111" s="20"/>
      <c r="E111" s="151"/>
      <c r="F111" s="151"/>
      <c r="G111" s="151">
        <f t="shared" ref="G111:O111" si="272">G25/G18</f>
        <v>2.967359050445104E-5</v>
      </c>
      <c r="H111" s="151" t="e">
        <f t="shared" si="272"/>
        <v>#DIV/0!</v>
      </c>
      <c r="I111" s="151" t="e">
        <f t="shared" si="272"/>
        <v>#DIV/0!</v>
      </c>
      <c r="J111" s="151" t="e">
        <f t="shared" si="272"/>
        <v>#DIV/0!</v>
      </c>
      <c r="K111" s="151" t="e">
        <f t="shared" si="272"/>
        <v>#DIV/0!</v>
      </c>
      <c r="L111" s="151">
        <f t="shared" si="272"/>
        <v>2.967359050445104E-5</v>
      </c>
      <c r="M111" s="151">
        <f t="shared" si="272"/>
        <v>0.16756368855400072</v>
      </c>
      <c r="N111" s="151">
        <f t="shared" si="272"/>
        <v>0.24614153424031096</v>
      </c>
      <c r="O111" s="151">
        <f t="shared" si="272"/>
        <v>0.25892179195140469</v>
      </c>
      <c r="P111" s="151">
        <f>P25/P18</f>
        <v>0.24044279427942794</v>
      </c>
      <c r="Q111" s="151">
        <f>Q25/Q18</f>
        <v>0.34496592183590719</v>
      </c>
      <c r="R111" s="118">
        <f t="shared" si="212"/>
        <v>1.7182757990105486</v>
      </c>
      <c r="S111" s="20"/>
      <c r="T111" s="151">
        <f>T25/T18</f>
        <v>0.34496592183590719</v>
      </c>
      <c r="U111" s="151">
        <f t="shared" ref="U111:AC111" si="273">U25/U18</f>
        <v>0.34496592183590724</v>
      </c>
      <c r="V111" s="151">
        <f t="shared" si="273"/>
        <v>0.34496592183590724</v>
      </c>
      <c r="W111" s="151">
        <f t="shared" si="273"/>
        <v>0.34496592183590724</v>
      </c>
      <c r="X111" s="151">
        <f t="shared" si="273"/>
        <v>0.34496592183590724</v>
      </c>
      <c r="Y111" s="151">
        <f t="shared" si="273"/>
        <v>0.34496592183590724</v>
      </c>
      <c r="Z111" s="151">
        <f t="shared" si="273"/>
        <v>0.34496592183590724</v>
      </c>
      <c r="AA111" s="151">
        <f t="shared" si="273"/>
        <v>0.3449659218359073</v>
      </c>
      <c r="AB111" s="151">
        <f t="shared" si="273"/>
        <v>0.3449659218359073</v>
      </c>
      <c r="AC111" s="151">
        <f t="shared" si="273"/>
        <v>0.3449659218359073</v>
      </c>
      <c r="AD111" s="137">
        <f t="shared" si="214"/>
        <v>0.59687273116360862</v>
      </c>
      <c r="AE111" s="20"/>
      <c r="AF111" s="20"/>
    </row>
    <row r="112" spans="2:32">
      <c r="B112" s="20"/>
      <c r="C112" s="20"/>
      <c r="D112" s="20"/>
      <c r="E112" s="20"/>
      <c r="F112" s="20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28"/>
      <c r="S112" s="20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28"/>
      <c r="AE112" s="20"/>
      <c r="AF112" s="20"/>
    </row>
    <row r="113" spans="2:32">
      <c r="B113" s="20" t="s">
        <v>333</v>
      </c>
      <c r="C113" s="20"/>
      <c r="D113" s="20"/>
      <c r="E113" s="164"/>
      <c r="F113" s="164"/>
      <c r="G113" s="164">
        <f>G72*G42</f>
        <v>0</v>
      </c>
      <c r="H113" s="164">
        <f t="shared" ref="H113:P113" si="274">H72*H42</f>
        <v>0</v>
      </c>
      <c r="I113" s="164">
        <f t="shared" si="274"/>
        <v>0</v>
      </c>
      <c r="J113" s="164">
        <f t="shared" si="274"/>
        <v>0</v>
      </c>
      <c r="K113" s="164">
        <f t="shared" si="274"/>
        <v>0</v>
      </c>
      <c r="L113" s="164">
        <f t="shared" si="274"/>
        <v>0</v>
      </c>
      <c r="M113" s="164">
        <f t="shared" si="274"/>
        <v>0</v>
      </c>
      <c r="N113" s="164">
        <f t="shared" si="274"/>
        <v>0</v>
      </c>
      <c r="O113" s="164">
        <f t="shared" si="274"/>
        <v>0</v>
      </c>
      <c r="P113" s="164">
        <f t="shared" si="274"/>
        <v>0</v>
      </c>
      <c r="Q113" s="164">
        <f t="shared" ref="Q113" si="275">Q72*Q42</f>
        <v>0</v>
      </c>
      <c r="R113" s="118" t="e">
        <f t="shared" si="212"/>
        <v>#DIV/0!</v>
      </c>
      <c r="S113" s="20"/>
      <c r="T113" s="164">
        <f t="shared" ref="T113:AC113" si="276">T72*T42</f>
        <v>0</v>
      </c>
      <c r="U113" s="164">
        <f t="shared" si="276"/>
        <v>0</v>
      </c>
      <c r="V113" s="164">
        <f t="shared" si="276"/>
        <v>0</v>
      </c>
      <c r="W113" s="164">
        <f t="shared" si="276"/>
        <v>0</v>
      </c>
      <c r="X113" s="164">
        <f t="shared" si="276"/>
        <v>0</v>
      </c>
      <c r="Y113" s="164">
        <f t="shared" si="276"/>
        <v>0</v>
      </c>
      <c r="Z113" s="164">
        <f t="shared" si="276"/>
        <v>0</v>
      </c>
      <c r="AA113" s="164">
        <f t="shared" si="276"/>
        <v>0</v>
      </c>
      <c r="AB113" s="164">
        <f t="shared" si="276"/>
        <v>0</v>
      </c>
      <c r="AC113" s="164">
        <f t="shared" si="276"/>
        <v>0</v>
      </c>
      <c r="AD113" s="137" t="e">
        <f t="shared" si="214"/>
        <v>#DIV/0!</v>
      </c>
      <c r="AE113" s="20"/>
      <c r="AF113" s="20"/>
    </row>
    <row r="114" spans="2:32">
      <c r="B114" s="20" t="s">
        <v>334</v>
      </c>
      <c r="C114" s="20"/>
      <c r="D114" s="20"/>
      <c r="E114" s="164"/>
      <c r="F114" s="164"/>
      <c r="G114" s="164">
        <f t="shared" ref="G114:P114" si="277">(G113*0.17)+G113</f>
        <v>0</v>
      </c>
      <c r="H114" s="164">
        <f t="shared" si="277"/>
        <v>0</v>
      </c>
      <c r="I114" s="164">
        <f t="shared" si="277"/>
        <v>0</v>
      </c>
      <c r="J114" s="164">
        <f t="shared" si="277"/>
        <v>0</v>
      </c>
      <c r="K114" s="164">
        <f t="shared" si="277"/>
        <v>0</v>
      </c>
      <c r="L114" s="164">
        <f t="shared" si="277"/>
        <v>0</v>
      </c>
      <c r="M114" s="164">
        <f t="shared" si="277"/>
        <v>0</v>
      </c>
      <c r="N114" s="164">
        <f t="shared" si="277"/>
        <v>0</v>
      </c>
      <c r="O114" s="164">
        <f t="shared" si="277"/>
        <v>0</v>
      </c>
      <c r="P114" s="164">
        <f t="shared" si="277"/>
        <v>0</v>
      </c>
      <c r="Q114" s="164">
        <f t="shared" ref="Q114" si="278">(Q113*0.17)+Q113</f>
        <v>0</v>
      </c>
      <c r="R114" s="118" t="e">
        <f t="shared" si="212"/>
        <v>#DIV/0!</v>
      </c>
      <c r="S114" s="20"/>
      <c r="T114" s="164">
        <f t="shared" ref="T114:AC114" si="279">(T113*0.17)+T113</f>
        <v>0</v>
      </c>
      <c r="U114" s="164">
        <f t="shared" si="279"/>
        <v>0</v>
      </c>
      <c r="V114" s="164">
        <f t="shared" si="279"/>
        <v>0</v>
      </c>
      <c r="W114" s="164">
        <f t="shared" si="279"/>
        <v>0</v>
      </c>
      <c r="X114" s="164">
        <f t="shared" si="279"/>
        <v>0</v>
      </c>
      <c r="Y114" s="164">
        <f t="shared" si="279"/>
        <v>0</v>
      </c>
      <c r="Z114" s="164">
        <f t="shared" si="279"/>
        <v>0</v>
      </c>
      <c r="AA114" s="164">
        <f t="shared" si="279"/>
        <v>0</v>
      </c>
      <c r="AB114" s="164">
        <f t="shared" si="279"/>
        <v>0</v>
      </c>
      <c r="AC114" s="164">
        <f t="shared" si="279"/>
        <v>0</v>
      </c>
      <c r="AD114" s="137" t="e">
        <f t="shared" si="214"/>
        <v>#DIV/0!</v>
      </c>
      <c r="AE114" s="20"/>
      <c r="AF114" s="20"/>
    </row>
    <row r="115" spans="2:32">
      <c r="B115" s="20" t="s">
        <v>335</v>
      </c>
      <c r="C115" s="20"/>
      <c r="D115" s="20"/>
      <c r="E115" s="20"/>
      <c r="F115" s="151"/>
      <c r="G115" s="151">
        <f t="shared" ref="G115:P115" si="280">G114/G40</f>
        <v>0</v>
      </c>
      <c r="H115" s="151" t="e">
        <f t="shared" si="280"/>
        <v>#DIV/0!</v>
      </c>
      <c r="I115" s="151" t="e">
        <f t="shared" si="280"/>
        <v>#DIV/0!</v>
      </c>
      <c r="J115" s="151" t="e">
        <f t="shared" si="280"/>
        <v>#DIV/0!</v>
      </c>
      <c r="K115" s="151" t="e">
        <f t="shared" si="280"/>
        <v>#DIV/0!</v>
      </c>
      <c r="L115" s="151">
        <f t="shared" si="280"/>
        <v>0</v>
      </c>
      <c r="M115" s="151">
        <f t="shared" si="280"/>
        <v>0</v>
      </c>
      <c r="N115" s="151">
        <f t="shared" si="280"/>
        <v>0</v>
      </c>
      <c r="O115" s="151">
        <f t="shared" si="280"/>
        <v>0</v>
      </c>
      <c r="P115" s="151">
        <f t="shared" si="280"/>
        <v>0</v>
      </c>
      <c r="Q115" s="151">
        <f t="shared" ref="Q115" si="281">Q114/Q40</f>
        <v>0</v>
      </c>
      <c r="R115" s="118" t="e">
        <f t="shared" si="212"/>
        <v>#DIV/0!</v>
      </c>
      <c r="S115" s="20"/>
      <c r="T115" s="151">
        <f t="shared" ref="T115:AC115" si="282">T114/T40</f>
        <v>0</v>
      </c>
      <c r="U115" s="151">
        <f t="shared" si="282"/>
        <v>0</v>
      </c>
      <c r="V115" s="151">
        <f t="shared" si="282"/>
        <v>0</v>
      </c>
      <c r="W115" s="151">
        <f t="shared" si="282"/>
        <v>0</v>
      </c>
      <c r="X115" s="151">
        <f t="shared" si="282"/>
        <v>0</v>
      </c>
      <c r="Y115" s="151">
        <f t="shared" si="282"/>
        <v>0</v>
      </c>
      <c r="Z115" s="151">
        <f t="shared" si="282"/>
        <v>0</v>
      </c>
      <c r="AA115" s="151">
        <f t="shared" si="282"/>
        <v>0</v>
      </c>
      <c r="AB115" s="151">
        <f t="shared" si="282"/>
        <v>0</v>
      </c>
      <c r="AC115" s="151">
        <f t="shared" si="282"/>
        <v>0</v>
      </c>
      <c r="AD115" s="137" t="e">
        <f t="shared" si="214"/>
        <v>#DIV/0!</v>
      </c>
      <c r="AE115" s="20"/>
      <c r="AF115" s="20"/>
    </row>
    <row r="116" spans="2:32">
      <c r="B116" s="20" t="s">
        <v>328</v>
      </c>
      <c r="C116" s="20"/>
      <c r="D116" s="20"/>
      <c r="E116" s="20"/>
      <c r="F116" s="151"/>
      <c r="G116" s="151">
        <f>1-G115</f>
        <v>1</v>
      </c>
      <c r="H116" s="151" t="e">
        <f t="shared" ref="H116:P116" si="283">1-H115</f>
        <v>#DIV/0!</v>
      </c>
      <c r="I116" s="151" t="e">
        <f t="shared" si="283"/>
        <v>#DIV/0!</v>
      </c>
      <c r="J116" s="151" t="e">
        <f t="shared" si="283"/>
        <v>#DIV/0!</v>
      </c>
      <c r="K116" s="151" t="e">
        <f t="shared" si="283"/>
        <v>#DIV/0!</v>
      </c>
      <c r="L116" s="151">
        <f t="shared" si="283"/>
        <v>1</v>
      </c>
      <c r="M116" s="151">
        <f t="shared" si="283"/>
        <v>1</v>
      </c>
      <c r="N116" s="151">
        <f t="shared" si="283"/>
        <v>1</v>
      </c>
      <c r="O116" s="151">
        <f t="shared" si="283"/>
        <v>1</v>
      </c>
      <c r="P116" s="151">
        <f t="shared" si="283"/>
        <v>1</v>
      </c>
      <c r="Q116" s="151">
        <f t="shared" ref="Q116" si="284">1-Q115</f>
        <v>1</v>
      </c>
      <c r="R116" s="118">
        <f t="shared" si="212"/>
        <v>0</v>
      </c>
      <c r="S116" s="20"/>
      <c r="T116" s="151">
        <f t="shared" ref="T116:AC116" si="285">1-T115</f>
        <v>1</v>
      </c>
      <c r="U116" s="151">
        <f t="shared" si="285"/>
        <v>1</v>
      </c>
      <c r="V116" s="151">
        <f t="shared" si="285"/>
        <v>1</v>
      </c>
      <c r="W116" s="151">
        <f t="shared" si="285"/>
        <v>1</v>
      </c>
      <c r="X116" s="151">
        <f t="shared" si="285"/>
        <v>1</v>
      </c>
      <c r="Y116" s="151">
        <f t="shared" si="285"/>
        <v>1</v>
      </c>
      <c r="Z116" s="151">
        <f t="shared" si="285"/>
        <v>1</v>
      </c>
      <c r="AA116" s="151">
        <f t="shared" si="285"/>
        <v>1</v>
      </c>
      <c r="AB116" s="151">
        <f t="shared" si="285"/>
        <v>1</v>
      </c>
      <c r="AC116" s="151">
        <f t="shared" si="285"/>
        <v>1</v>
      </c>
      <c r="AD116" s="137">
        <f t="shared" si="214"/>
        <v>0</v>
      </c>
      <c r="AE116" s="20"/>
      <c r="AF116" s="20"/>
    </row>
    <row r="117" spans="2:32">
      <c r="B117" s="20" t="s">
        <v>451</v>
      </c>
      <c r="C117" s="20"/>
      <c r="D117" s="20"/>
      <c r="E117" s="20"/>
      <c r="F117" s="151"/>
      <c r="G117" s="151">
        <f t="shared" ref="G117:P117" si="286">G114/G20</f>
        <v>0</v>
      </c>
      <c r="H117" s="151" t="e">
        <f t="shared" si="286"/>
        <v>#DIV/0!</v>
      </c>
      <c r="I117" s="151" t="e">
        <f t="shared" si="286"/>
        <v>#DIV/0!</v>
      </c>
      <c r="J117" s="151" t="e">
        <f t="shared" si="286"/>
        <v>#DIV/0!</v>
      </c>
      <c r="K117" s="151" t="e">
        <f t="shared" si="286"/>
        <v>#DIV/0!</v>
      </c>
      <c r="L117" s="151">
        <f t="shared" si="286"/>
        <v>0</v>
      </c>
      <c r="M117" s="151">
        <f t="shared" si="286"/>
        <v>0</v>
      </c>
      <c r="N117" s="151">
        <f t="shared" si="286"/>
        <v>0</v>
      </c>
      <c r="O117" s="151">
        <f t="shared" si="286"/>
        <v>0</v>
      </c>
      <c r="P117" s="151">
        <f t="shared" si="286"/>
        <v>0</v>
      </c>
      <c r="Q117" s="151">
        <f>Q114/Q20</f>
        <v>0</v>
      </c>
      <c r="R117" s="118" t="e">
        <f t="shared" si="212"/>
        <v>#DIV/0!</v>
      </c>
      <c r="S117" s="20"/>
      <c r="T117" s="151">
        <f>T114/T20</f>
        <v>0</v>
      </c>
      <c r="U117" s="151">
        <f t="shared" ref="U117:AC117" si="287">U114/U20</f>
        <v>0</v>
      </c>
      <c r="V117" s="151">
        <f t="shared" si="287"/>
        <v>0</v>
      </c>
      <c r="W117" s="151">
        <f t="shared" si="287"/>
        <v>0</v>
      </c>
      <c r="X117" s="151">
        <f t="shared" si="287"/>
        <v>0</v>
      </c>
      <c r="Y117" s="151">
        <f t="shared" si="287"/>
        <v>0</v>
      </c>
      <c r="Z117" s="151">
        <f t="shared" si="287"/>
        <v>0</v>
      </c>
      <c r="AA117" s="151">
        <f t="shared" si="287"/>
        <v>0</v>
      </c>
      <c r="AB117" s="151">
        <f t="shared" si="287"/>
        <v>0</v>
      </c>
      <c r="AC117" s="151">
        <f t="shared" si="287"/>
        <v>0</v>
      </c>
      <c r="AD117" s="137" t="s">
        <v>452</v>
      </c>
      <c r="AE117" s="20"/>
      <c r="AF117" s="20"/>
    </row>
    <row r="118" spans="2:32">
      <c r="B118" s="20"/>
      <c r="C118" s="20"/>
      <c r="D118" s="20"/>
      <c r="E118" s="20"/>
      <c r="F118" s="20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28"/>
      <c r="S118" s="20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28"/>
      <c r="AE118" s="20"/>
      <c r="AF118" s="20"/>
    </row>
    <row r="119" spans="2:32">
      <c r="B119" s="20" t="s">
        <v>332</v>
      </c>
      <c r="C119" s="151"/>
      <c r="D119" s="151"/>
      <c r="E119" s="151"/>
      <c r="F119" s="151"/>
      <c r="G119" s="151">
        <f>G31/G25</f>
        <v>0</v>
      </c>
      <c r="H119" s="151" t="e">
        <f t="shared" ref="H119:P119" si="288">H31/H25</f>
        <v>#DIV/0!</v>
      </c>
      <c r="I119" s="151" t="e">
        <f t="shared" si="288"/>
        <v>#DIV/0!</v>
      </c>
      <c r="J119" s="151" t="e">
        <f t="shared" si="288"/>
        <v>#DIV/0!</v>
      </c>
      <c r="K119" s="151" t="e">
        <f t="shared" si="288"/>
        <v>#DIV/0!</v>
      </c>
      <c r="L119" s="151">
        <f t="shared" si="288"/>
        <v>0</v>
      </c>
      <c r="M119" s="151">
        <f t="shared" si="288"/>
        <v>0</v>
      </c>
      <c r="N119" s="151">
        <f t="shared" si="288"/>
        <v>0</v>
      </c>
      <c r="O119" s="151">
        <f t="shared" si="288"/>
        <v>0</v>
      </c>
      <c r="P119" s="151">
        <f t="shared" si="288"/>
        <v>0</v>
      </c>
      <c r="Q119" s="151">
        <f t="shared" ref="Q119" si="289">Q31/Q25</f>
        <v>0</v>
      </c>
      <c r="R119" s="118" t="e">
        <f t="shared" si="212"/>
        <v>#DIV/0!</v>
      </c>
      <c r="S119" s="20"/>
      <c r="T119" s="151">
        <f t="shared" ref="T119:AC119" si="290">T31/T25</f>
        <v>0</v>
      </c>
      <c r="U119" s="151">
        <f t="shared" si="290"/>
        <v>0</v>
      </c>
      <c r="V119" s="151">
        <f t="shared" si="290"/>
        <v>0</v>
      </c>
      <c r="W119" s="151">
        <f t="shared" si="290"/>
        <v>0</v>
      </c>
      <c r="X119" s="151">
        <f t="shared" si="290"/>
        <v>0</v>
      </c>
      <c r="Y119" s="151">
        <f t="shared" si="290"/>
        <v>0</v>
      </c>
      <c r="Z119" s="151">
        <f t="shared" si="290"/>
        <v>0</v>
      </c>
      <c r="AA119" s="151">
        <f t="shared" si="290"/>
        <v>0</v>
      </c>
      <c r="AB119" s="151">
        <f t="shared" si="290"/>
        <v>0</v>
      </c>
      <c r="AC119" s="151">
        <f t="shared" si="290"/>
        <v>0</v>
      </c>
      <c r="AD119" s="137" t="e">
        <f t="shared" si="214"/>
        <v>#DIV/0!</v>
      </c>
      <c r="AE119" s="20"/>
      <c r="AF119" s="20"/>
    </row>
    <row r="120" spans="2:32">
      <c r="B120" s="20" t="s">
        <v>329</v>
      </c>
      <c r="C120" s="151"/>
      <c r="D120" s="151"/>
      <c r="E120" s="151"/>
      <c r="F120" s="151"/>
      <c r="G120" s="151">
        <f>G32/G25</f>
        <v>0</v>
      </c>
      <c r="H120" s="151" t="e">
        <f t="shared" ref="H120:P120" si="291">H32/H25</f>
        <v>#DIV/0!</v>
      </c>
      <c r="I120" s="151" t="e">
        <f t="shared" si="291"/>
        <v>#DIV/0!</v>
      </c>
      <c r="J120" s="151" t="e">
        <f t="shared" si="291"/>
        <v>#DIV/0!</v>
      </c>
      <c r="K120" s="151" t="e">
        <f t="shared" si="291"/>
        <v>#DIV/0!</v>
      </c>
      <c r="L120" s="151">
        <f t="shared" si="291"/>
        <v>0</v>
      </c>
      <c r="M120" s="151">
        <f t="shared" si="291"/>
        <v>0</v>
      </c>
      <c r="N120" s="151">
        <f t="shared" si="291"/>
        <v>0</v>
      </c>
      <c r="O120" s="151">
        <f t="shared" si="291"/>
        <v>0</v>
      </c>
      <c r="P120" s="151">
        <f t="shared" si="291"/>
        <v>0</v>
      </c>
      <c r="Q120" s="151">
        <f>Q32/Q25</f>
        <v>0</v>
      </c>
      <c r="R120" s="118" t="e">
        <f t="shared" si="212"/>
        <v>#DIV/0!</v>
      </c>
      <c r="S120" s="20"/>
      <c r="T120" s="151">
        <f t="shared" ref="T120:AC120" si="292">T32/T25</f>
        <v>0</v>
      </c>
      <c r="U120" s="151">
        <f t="shared" si="292"/>
        <v>0</v>
      </c>
      <c r="V120" s="151">
        <f t="shared" si="292"/>
        <v>0</v>
      </c>
      <c r="W120" s="151">
        <f t="shared" si="292"/>
        <v>0</v>
      </c>
      <c r="X120" s="151">
        <f t="shared" si="292"/>
        <v>0</v>
      </c>
      <c r="Y120" s="151">
        <f t="shared" si="292"/>
        <v>0</v>
      </c>
      <c r="Z120" s="151">
        <f t="shared" si="292"/>
        <v>0</v>
      </c>
      <c r="AA120" s="151">
        <f t="shared" si="292"/>
        <v>0</v>
      </c>
      <c r="AB120" s="151">
        <f t="shared" si="292"/>
        <v>0</v>
      </c>
      <c r="AC120" s="151">
        <f t="shared" si="292"/>
        <v>0</v>
      </c>
      <c r="AD120" s="137" t="e">
        <f t="shared" si="214"/>
        <v>#DIV/0!</v>
      </c>
      <c r="AE120" s="20"/>
      <c r="AF120" s="20"/>
    </row>
    <row r="121" spans="2:32">
      <c r="B121" s="20" t="s">
        <v>459</v>
      </c>
      <c r="C121" s="151"/>
      <c r="D121" s="151"/>
      <c r="E121" s="151"/>
      <c r="F121" s="151"/>
      <c r="G121" s="151">
        <f t="shared" ref="G121:P121" si="293">(G31+G32)/G25</f>
        <v>0</v>
      </c>
      <c r="H121" s="151" t="e">
        <f t="shared" si="293"/>
        <v>#DIV/0!</v>
      </c>
      <c r="I121" s="151" t="e">
        <f t="shared" si="293"/>
        <v>#DIV/0!</v>
      </c>
      <c r="J121" s="151" t="e">
        <f t="shared" si="293"/>
        <v>#DIV/0!</v>
      </c>
      <c r="K121" s="151" t="e">
        <f t="shared" si="293"/>
        <v>#DIV/0!</v>
      </c>
      <c r="L121" s="151">
        <f t="shared" si="293"/>
        <v>0</v>
      </c>
      <c r="M121" s="151">
        <f t="shared" si="293"/>
        <v>0</v>
      </c>
      <c r="N121" s="151">
        <f t="shared" si="293"/>
        <v>0</v>
      </c>
      <c r="O121" s="151">
        <f t="shared" si="293"/>
        <v>0</v>
      </c>
      <c r="P121" s="151">
        <f t="shared" si="293"/>
        <v>0</v>
      </c>
      <c r="Q121" s="151">
        <f>(Q31+Q32)/Q25</f>
        <v>0</v>
      </c>
      <c r="R121" s="118" t="e">
        <f t="shared" si="212"/>
        <v>#DIV/0!</v>
      </c>
      <c r="S121" s="20"/>
      <c r="T121" s="151">
        <f>(T31+T32)/T25</f>
        <v>0</v>
      </c>
      <c r="U121" s="151">
        <f t="shared" ref="U121:AC121" si="294">(U31+U32)/U25</f>
        <v>0</v>
      </c>
      <c r="V121" s="151">
        <f t="shared" si="294"/>
        <v>0</v>
      </c>
      <c r="W121" s="151">
        <f t="shared" si="294"/>
        <v>0</v>
      </c>
      <c r="X121" s="151">
        <f t="shared" si="294"/>
        <v>0</v>
      </c>
      <c r="Y121" s="151">
        <f t="shared" si="294"/>
        <v>0</v>
      </c>
      <c r="Z121" s="151">
        <f t="shared" si="294"/>
        <v>0</v>
      </c>
      <c r="AA121" s="151">
        <f t="shared" si="294"/>
        <v>0</v>
      </c>
      <c r="AB121" s="151">
        <f t="shared" si="294"/>
        <v>0</v>
      </c>
      <c r="AC121" s="151">
        <f t="shared" si="294"/>
        <v>0</v>
      </c>
      <c r="AD121" s="137" t="e">
        <f t="shared" si="214"/>
        <v>#DIV/0!</v>
      </c>
      <c r="AE121" s="20"/>
      <c r="AF121" s="20"/>
    </row>
    <row r="122" spans="2:32">
      <c r="B122" s="20"/>
      <c r="C122" s="20"/>
      <c r="D122" s="20"/>
      <c r="E122" s="20"/>
      <c r="F122" s="20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28"/>
      <c r="S122" s="20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28"/>
      <c r="AE122" s="20"/>
      <c r="AF122" s="20"/>
    </row>
    <row r="123" spans="2:32">
      <c r="B123" s="20" t="s">
        <v>353</v>
      </c>
      <c r="C123" s="20"/>
      <c r="D123" s="20"/>
      <c r="E123" s="20"/>
      <c r="F123" s="20"/>
      <c r="G123" s="151">
        <f>G27/G25</f>
        <v>1</v>
      </c>
      <c r="H123" s="151" t="e">
        <f t="shared" ref="H123:P123" si="295">H27/H25</f>
        <v>#DIV/0!</v>
      </c>
      <c r="I123" s="151" t="e">
        <f t="shared" si="295"/>
        <v>#DIV/0!</v>
      </c>
      <c r="J123" s="151" t="e">
        <f t="shared" si="295"/>
        <v>#DIV/0!</v>
      </c>
      <c r="K123" s="151" t="e">
        <f t="shared" si="295"/>
        <v>#DIV/0!</v>
      </c>
      <c r="L123" s="151">
        <f t="shared" si="295"/>
        <v>1</v>
      </c>
      <c r="M123" s="151">
        <f t="shared" si="295"/>
        <v>0.4089935760171306</v>
      </c>
      <c r="N123" s="151">
        <f t="shared" si="295"/>
        <v>0.42498838829540175</v>
      </c>
      <c r="O123" s="151">
        <f t="shared" si="295"/>
        <v>0.6754643206256109</v>
      </c>
      <c r="P123" s="151">
        <f t="shared" si="295"/>
        <v>0.83199885616242497</v>
      </c>
      <c r="Q123" s="151">
        <f t="shared" ref="Q123" si="296">Q27/Q25</f>
        <v>0.69369763661373018</v>
      </c>
      <c r="R123" s="118">
        <f t="shared" si="212"/>
        <v>-2.0228623346713936E-2</v>
      </c>
      <c r="S123" s="20"/>
      <c r="T123" s="151">
        <f t="shared" ref="T123:AC123" si="297">T27/T25</f>
        <v>0.69369763661373018</v>
      </c>
      <c r="U123" s="151">
        <f t="shared" si="297"/>
        <v>0.69369763661373007</v>
      </c>
      <c r="V123" s="151">
        <f t="shared" si="297"/>
        <v>0.69369763661373007</v>
      </c>
      <c r="W123" s="151">
        <f t="shared" si="297"/>
        <v>0.69369763661373007</v>
      </c>
      <c r="X123" s="151">
        <f t="shared" si="297"/>
        <v>0.69369763661373018</v>
      </c>
      <c r="Y123" s="151">
        <f t="shared" si="297"/>
        <v>0.69369763661373007</v>
      </c>
      <c r="Z123" s="151">
        <f t="shared" si="297"/>
        <v>0.69369763661373018</v>
      </c>
      <c r="AA123" s="151">
        <f t="shared" si="297"/>
        <v>0.69369763661373018</v>
      </c>
      <c r="AB123" s="151">
        <f t="shared" si="297"/>
        <v>0.69369763661373007</v>
      </c>
      <c r="AC123" s="151">
        <f t="shared" si="297"/>
        <v>0.69369763661373018</v>
      </c>
      <c r="AD123" s="137">
        <f t="shared" si="214"/>
        <v>-1.8119781128063339E-2</v>
      </c>
      <c r="AE123" s="20"/>
      <c r="AF123" s="20"/>
    </row>
    <row r="124" spans="2:32">
      <c r="B124" s="20" t="str">
        <f>B33</f>
        <v>Top Expenses ( Raw material )</v>
      </c>
      <c r="C124" s="20"/>
      <c r="D124" s="20"/>
      <c r="E124" s="20"/>
      <c r="F124" s="20"/>
      <c r="G124" s="151">
        <f>G33/G25</f>
        <v>1</v>
      </c>
      <c r="H124" s="151" t="e">
        <f t="shared" ref="H124:P124" si="298">H33/H25</f>
        <v>#DIV/0!</v>
      </c>
      <c r="I124" s="151" t="e">
        <f t="shared" si="298"/>
        <v>#DIV/0!</v>
      </c>
      <c r="J124" s="151" t="e">
        <f t="shared" si="298"/>
        <v>#DIV/0!</v>
      </c>
      <c r="K124" s="151" t="e">
        <f t="shared" si="298"/>
        <v>#DIV/0!</v>
      </c>
      <c r="L124" s="151">
        <f t="shared" si="298"/>
        <v>1</v>
      </c>
      <c r="M124" s="151">
        <f t="shared" si="298"/>
        <v>8.1370449678800857E-4</v>
      </c>
      <c r="N124" s="151">
        <f t="shared" si="298"/>
        <v>4.6446818392940088E-3</v>
      </c>
      <c r="O124" s="151">
        <f t="shared" si="298"/>
        <v>1.0508308895405669E-2</v>
      </c>
      <c r="P124" s="151">
        <f t="shared" si="298"/>
        <v>9.4366599942808122E-3</v>
      </c>
      <c r="Q124" s="151">
        <f t="shared" ref="Q124" si="299">Q33/Q25</f>
        <v>2.7885457046392396E-2</v>
      </c>
      <c r="R124" s="118">
        <f t="shared" si="212"/>
        <v>-0.40436554500241928</v>
      </c>
      <c r="S124" s="20"/>
      <c r="T124" s="151">
        <f t="shared" ref="T124:AC124" si="300">T33/T25</f>
        <v>2.7885457046392396E-2</v>
      </c>
      <c r="U124" s="151">
        <f t="shared" si="300"/>
        <v>2.7885457046392396E-2</v>
      </c>
      <c r="V124" s="151">
        <f t="shared" si="300"/>
        <v>2.7885457046392396E-2</v>
      </c>
      <c r="W124" s="151">
        <f t="shared" si="300"/>
        <v>2.7885457046392392E-2</v>
      </c>
      <c r="X124" s="151">
        <f t="shared" si="300"/>
        <v>2.7885457046392392E-2</v>
      </c>
      <c r="Y124" s="151">
        <f t="shared" si="300"/>
        <v>2.7885457046392392E-2</v>
      </c>
      <c r="Z124" s="151">
        <f t="shared" si="300"/>
        <v>2.7885457046392392E-2</v>
      </c>
      <c r="AA124" s="151">
        <f t="shared" si="300"/>
        <v>2.7885457046392392E-2</v>
      </c>
      <c r="AB124" s="151">
        <f t="shared" si="300"/>
        <v>2.7885457046392396E-2</v>
      </c>
      <c r="AC124" s="151">
        <f t="shared" si="300"/>
        <v>2.7885457046392396E-2</v>
      </c>
      <c r="AD124" s="137">
        <f t="shared" si="214"/>
        <v>-0.16387946773840834</v>
      </c>
      <c r="AE124" s="20"/>
      <c r="AF124" s="20"/>
    </row>
    <row r="125" spans="2:32">
      <c r="B125" s="20" t="str">
        <f>B34</f>
        <v>2nd highest Expenses Comp. ( Empl )</v>
      </c>
      <c r="C125" s="20"/>
      <c r="D125" s="20"/>
      <c r="E125" s="20"/>
      <c r="F125" s="20"/>
      <c r="G125" s="151">
        <f>G34/G25</f>
        <v>0</v>
      </c>
      <c r="H125" s="151" t="e">
        <f t="shared" ref="H125:P125" si="301">H34/H25</f>
        <v>#DIV/0!</v>
      </c>
      <c r="I125" s="151" t="e">
        <f t="shared" si="301"/>
        <v>#DIV/0!</v>
      </c>
      <c r="J125" s="151" t="e">
        <f t="shared" si="301"/>
        <v>#DIV/0!</v>
      </c>
      <c r="K125" s="151" t="e">
        <f t="shared" si="301"/>
        <v>#DIV/0!</v>
      </c>
      <c r="L125" s="151">
        <f t="shared" si="301"/>
        <v>0</v>
      </c>
      <c r="M125" s="151">
        <f t="shared" si="301"/>
        <v>0.35760171306209848</v>
      </c>
      <c r="N125" s="151">
        <f t="shared" si="301"/>
        <v>0.33488156061309798</v>
      </c>
      <c r="O125" s="151">
        <f t="shared" si="301"/>
        <v>0.5620723362658846</v>
      </c>
      <c r="P125" s="151">
        <f t="shared" si="301"/>
        <v>0</v>
      </c>
      <c r="Q125" s="151">
        <f t="shared" ref="Q125" si="302">Q34/Q25</f>
        <v>0.5731524321620608</v>
      </c>
      <c r="R125" s="118" t="e">
        <f t="shared" si="212"/>
        <v>#DIV/0!</v>
      </c>
      <c r="S125" s="20"/>
      <c r="T125" s="151">
        <f t="shared" ref="T125:AC125" si="303">T34/T25</f>
        <v>0.57315243216206069</v>
      </c>
      <c r="U125" s="151">
        <f t="shared" si="303"/>
        <v>0.57315243216206069</v>
      </c>
      <c r="V125" s="151">
        <f t="shared" si="303"/>
        <v>0.57315243216206069</v>
      </c>
      <c r="W125" s="151">
        <f t="shared" si="303"/>
        <v>0.57315243216206069</v>
      </c>
      <c r="X125" s="151">
        <f t="shared" si="303"/>
        <v>0.57315243216206069</v>
      </c>
      <c r="Y125" s="151">
        <f t="shared" si="303"/>
        <v>0.57315243216206069</v>
      </c>
      <c r="Z125" s="151">
        <f t="shared" si="303"/>
        <v>0.57315243216206069</v>
      </c>
      <c r="AA125" s="151">
        <f t="shared" si="303"/>
        <v>0.57315243216206069</v>
      </c>
      <c r="AB125" s="151">
        <f t="shared" si="303"/>
        <v>0.57315243216206069</v>
      </c>
      <c r="AC125" s="151">
        <f t="shared" si="303"/>
        <v>0.57315243216206069</v>
      </c>
      <c r="AD125" s="137" t="e">
        <f t="shared" si="214"/>
        <v>#DIV/0!</v>
      </c>
      <c r="AE125" s="20"/>
      <c r="AF125" s="20"/>
    </row>
    <row r="126" spans="2:32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28"/>
      <c r="S126" s="128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38"/>
      <c r="AE126" s="20"/>
      <c r="AF126" s="20"/>
    </row>
    <row r="127" spans="2:32">
      <c r="B127" s="108" t="s">
        <v>361</v>
      </c>
      <c r="C127" s="20"/>
      <c r="D127" s="20"/>
      <c r="E127" s="20"/>
      <c r="F127" s="20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118"/>
      <c r="S127" s="128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137"/>
      <c r="AE127" s="20"/>
      <c r="AF127" s="20"/>
    </row>
    <row r="128" spans="2:32">
      <c r="B128" s="20" t="s">
        <v>364</v>
      </c>
      <c r="C128" s="20"/>
      <c r="D128" s="20"/>
      <c r="E128" s="20"/>
      <c r="F128" s="20"/>
      <c r="G128" s="25">
        <f>G15/G9</f>
        <v>0.99288256227758009</v>
      </c>
      <c r="H128" s="25" t="e">
        <f t="shared" ref="H128:AC128" si="304">H15/H9</f>
        <v>#DIV/0!</v>
      </c>
      <c r="I128" s="25" t="e">
        <f t="shared" si="304"/>
        <v>#DIV/0!</v>
      </c>
      <c r="J128" s="25" t="e">
        <f t="shared" si="304"/>
        <v>#DIV/0!</v>
      </c>
      <c r="K128" s="25" t="e">
        <f t="shared" si="304"/>
        <v>#DIV/0!</v>
      </c>
      <c r="L128" s="25">
        <f t="shared" si="304"/>
        <v>0.99288256227758009</v>
      </c>
      <c r="M128" s="25">
        <f t="shared" si="304"/>
        <v>0.31994645247657294</v>
      </c>
      <c r="N128" s="25">
        <f t="shared" si="304"/>
        <v>0.53884297520661162</v>
      </c>
      <c r="O128" s="25">
        <f t="shared" si="304"/>
        <v>0.56134244872591677</v>
      </c>
      <c r="P128" s="25">
        <f t="shared" si="304"/>
        <v>0.32796486090775989</v>
      </c>
      <c r="Q128" s="25">
        <f t="shared" ref="Q128" si="305">Q15/Q9</f>
        <v>0.31691240242844754</v>
      </c>
      <c r="R128" s="118">
        <f t="shared" si="212"/>
        <v>-0.1158056924508053</v>
      </c>
      <c r="S128" s="20"/>
      <c r="T128" s="20">
        <f t="shared" si="304"/>
        <v>0.31691240242844754</v>
      </c>
      <c r="U128" s="20">
        <f t="shared" si="304"/>
        <v>0.31691240242844754</v>
      </c>
      <c r="V128" s="20">
        <f t="shared" si="304"/>
        <v>0.31691240242844754</v>
      </c>
      <c r="W128" s="20">
        <f t="shared" si="304"/>
        <v>0.31691240242844748</v>
      </c>
      <c r="X128" s="20">
        <f t="shared" si="304"/>
        <v>0.31691240242844748</v>
      </c>
      <c r="Y128" s="20">
        <f t="shared" si="304"/>
        <v>0.31691240242844743</v>
      </c>
      <c r="Z128" s="20">
        <f t="shared" si="304"/>
        <v>0.31691240242844743</v>
      </c>
      <c r="AA128" s="20">
        <f t="shared" si="304"/>
        <v>0.31691240242844743</v>
      </c>
      <c r="AB128" s="20">
        <f t="shared" si="304"/>
        <v>0.31691240242844743</v>
      </c>
      <c r="AC128" s="20">
        <f t="shared" si="304"/>
        <v>0.31691240242844743</v>
      </c>
      <c r="AD128" s="137">
        <f t="shared" si="214"/>
        <v>-5.5499770864334441E-2</v>
      </c>
      <c r="AE128" s="20"/>
      <c r="AF128" s="20"/>
    </row>
    <row r="129" spans="2:32">
      <c r="B129" s="20" t="s">
        <v>354</v>
      </c>
      <c r="C129" s="20"/>
      <c r="D129" s="20"/>
      <c r="E129" s="20"/>
      <c r="F129" s="20"/>
      <c r="G129" s="25">
        <f>G12/G9</f>
        <v>0.99288256227758009</v>
      </c>
      <c r="H129" s="25" t="e">
        <f t="shared" ref="H129:P129" si="306">H12/H9</f>
        <v>#DIV/0!</v>
      </c>
      <c r="I129" s="25" t="e">
        <f t="shared" si="306"/>
        <v>#DIV/0!</v>
      </c>
      <c r="J129" s="25" t="e">
        <f t="shared" si="306"/>
        <v>#DIV/0!</v>
      </c>
      <c r="K129" s="25" t="e">
        <f t="shared" si="306"/>
        <v>#DIV/0!</v>
      </c>
      <c r="L129" s="25">
        <f t="shared" si="306"/>
        <v>0.99288256227758009</v>
      </c>
      <c r="M129" s="25">
        <f t="shared" si="306"/>
        <v>0.7804551539491299</v>
      </c>
      <c r="N129" s="25">
        <f t="shared" si="306"/>
        <v>0.34573002754820936</v>
      </c>
      <c r="O129" s="25">
        <f t="shared" si="306"/>
        <v>0.40273461777501551</v>
      </c>
      <c r="P129" s="25">
        <f t="shared" si="306"/>
        <v>0.13974296404750286</v>
      </c>
      <c r="Q129" s="25">
        <f t="shared" ref="Q129" si="307">Q12/Q9</f>
        <v>7.1986123156981788E-2</v>
      </c>
      <c r="R129" s="118">
        <f t="shared" si="212"/>
        <v>-0.19576801603867167</v>
      </c>
      <c r="S129" s="128"/>
      <c r="T129" s="20">
        <f t="shared" ref="T129:AC129" si="308">T12/T9</f>
        <v>7.1986123156981802E-2</v>
      </c>
      <c r="U129" s="20">
        <f t="shared" si="308"/>
        <v>7.1986123156981802E-2</v>
      </c>
      <c r="V129" s="20">
        <f t="shared" si="308"/>
        <v>7.1986123156981802E-2</v>
      </c>
      <c r="W129" s="20">
        <f t="shared" si="308"/>
        <v>7.1986123156981788E-2</v>
      </c>
      <c r="X129" s="20">
        <f t="shared" si="308"/>
        <v>7.1986123156981788E-2</v>
      </c>
      <c r="Y129" s="20">
        <f t="shared" si="308"/>
        <v>7.1986123156981788E-2</v>
      </c>
      <c r="Z129" s="20">
        <f t="shared" si="308"/>
        <v>7.1986123156981788E-2</v>
      </c>
      <c r="AA129" s="20">
        <f t="shared" si="308"/>
        <v>7.1986123156981788E-2</v>
      </c>
      <c r="AB129" s="20">
        <f t="shared" si="308"/>
        <v>7.1986123156981788E-2</v>
      </c>
      <c r="AC129" s="20">
        <f t="shared" si="308"/>
        <v>7.1986123156981788E-2</v>
      </c>
      <c r="AD129" s="118">
        <f t="shared" ref="AD129" si="309">((AC129/T129)^(1/($H$2-$H$1) ))-1</f>
        <v>0</v>
      </c>
      <c r="AE129" s="20"/>
      <c r="AF129" s="20"/>
    </row>
    <row r="130" spans="2:32">
      <c r="B130" s="20" t="s">
        <v>356</v>
      </c>
      <c r="C130" s="20"/>
      <c r="D130" s="20"/>
      <c r="E130" s="20"/>
      <c r="F130" s="20"/>
      <c r="G130" s="25">
        <f>G25/360</f>
        <v>2.7777777777777779E-5</v>
      </c>
      <c r="H130" s="25">
        <f t="shared" ref="H130:P130" si="310">H25/360</f>
        <v>0</v>
      </c>
      <c r="I130" s="25">
        <f t="shared" si="310"/>
        <v>0</v>
      </c>
      <c r="J130" s="25">
        <f t="shared" si="310"/>
        <v>0</v>
      </c>
      <c r="K130" s="25">
        <f t="shared" si="310"/>
        <v>0</v>
      </c>
      <c r="L130" s="25">
        <f t="shared" si="310"/>
        <v>2.7777777777777779E-5</v>
      </c>
      <c r="M130" s="25">
        <f t="shared" si="310"/>
        <v>1.2972222222222223</v>
      </c>
      <c r="N130" s="25">
        <f t="shared" si="310"/>
        <v>5.9805555555555552</v>
      </c>
      <c r="O130" s="25">
        <f t="shared" si="310"/>
        <v>11.366666666666667</v>
      </c>
      <c r="P130" s="25">
        <f t="shared" si="310"/>
        <v>19.427777777777777</v>
      </c>
      <c r="Q130" s="25">
        <f t="shared" ref="Q130" si="311">Q25/360</f>
        <v>44.427777777777777</v>
      </c>
      <c r="R130" s="118">
        <f t="shared" si="212"/>
        <v>3.4608123932671777</v>
      </c>
      <c r="S130" s="128"/>
      <c r="T130" s="25">
        <f t="shared" ref="T130:AC130" si="312">T25/360</f>
        <v>49.759111111111118</v>
      </c>
      <c r="U130" s="25">
        <f t="shared" si="312"/>
        <v>55.73020444444446</v>
      </c>
      <c r="V130" s="25">
        <f t="shared" si="312"/>
        <v>62.417828977777802</v>
      </c>
      <c r="W130" s="25">
        <f t="shared" si="312"/>
        <v>69.907968455111146</v>
      </c>
      <c r="X130" s="25">
        <f t="shared" si="312"/>
        <v>78.296924669724504</v>
      </c>
      <c r="Y130" s="25">
        <f t="shared" si="312"/>
        <v>87.692555630091448</v>
      </c>
      <c r="Z130" s="25">
        <f t="shared" si="312"/>
        <v>98.215662305702423</v>
      </c>
      <c r="AA130" s="25">
        <f t="shared" si="312"/>
        <v>110.00154178238674</v>
      </c>
      <c r="AB130" s="25">
        <f t="shared" si="312"/>
        <v>123.20172679627315</v>
      </c>
      <c r="AC130" s="25">
        <f t="shared" si="312"/>
        <v>137.98593401182595</v>
      </c>
      <c r="AD130" s="118">
        <f t="shared" ref="AD130:AD141" si="313">((AC130/T130)^(1/($H$2-$H$1) ))-1</f>
        <v>0.12000000000000011</v>
      </c>
      <c r="AE130" s="20"/>
      <c r="AF130" s="20"/>
    </row>
    <row r="131" spans="2:32">
      <c r="B131" s="20" t="s">
        <v>355</v>
      </c>
      <c r="C131" s="20"/>
      <c r="D131" s="20"/>
      <c r="E131" s="20"/>
      <c r="F131" s="20"/>
      <c r="G131" s="25">
        <f>G27/360</f>
        <v>2.7777777777777779E-5</v>
      </c>
      <c r="H131" s="25">
        <f t="shared" ref="H131:P131" si="314">H27/360</f>
        <v>0</v>
      </c>
      <c r="I131" s="25">
        <f t="shared" si="314"/>
        <v>0</v>
      </c>
      <c r="J131" s="25">
        <f t="shared" si="314"/>
        <v>0</v>
      </c>
      <c r="K131" s="25">
        <f t="shared" si="314"/>
        <v>0</v>
      </c>
      <c r="L131" s="25">
        <f t="shared" si="314"/>
        <v>2.7777777777777779E-5</v>
      </c>
      <c r="M131" s="25">
        <f t="shared" si="314"/>
        <v>0.53055555555555556</v>
      </c>
      <c r="N131" s="25">
        <f t="shared" si="314"/>
        <v>2.5416666666666665</v>
      </c>
      <c r="O131" s="25">
        <f t="shared" si="314"/>
        <v>7.677777777777778</v>
      </c>
      <c r="P131" s="25">
        <f t="shared" si="314"/>
        <v>16.163888888888888</v>
      </c>
      <c r="Q131" s="25">
        <f t="shared" ref="Q131" si="315">Q27/360</f>
        <v>30.819444444444443</v>
      </c>
      <c r="R131" s="118">
        <f t="shared" si="212"/>
        <v>3.3705762995434236</v>
      </c>
      <c r="S131" s="128"/>
      <c r="T131" s="25">
        <f t="shared" ref="T131:AC131" si="316">T27/360</f>
        <v>34.517777777777781</v>
      </c>
      <c r="U131" s="25">
        <f t="shared" si="316"/>
        <v>38.659911111111121</v>
      </c>
      <c r="V131" s="25">
        <f t="shared" si="316"/>
        <v>43.299100444444456</v>
      </c>
      <c r="W131" s="25">
        <f t="shared" si="316"/>
        <v>48.494992497777801</v>
      </c>
      <c r="X131" s="25">
        <f t="shared" si="316"/>
        <v>54.314391597511147</v>
      </c>
      <c r="Y131" s="25">
        <f t="shared" si="316"/>
        <v>60.832118589212484</v>
      </c>
      <c r="Z131" s="25">
        <f t="shared" si="316"/>
        <v>68.131972819917991</v>
      </c>
      <c r="AA131" s="25">
        <f t="shared" si="316"/>
        <v>76.307809558308165</v>
      </c>
      <c r="AB131" s="25">
        <f t="shared" si="316"/>
        <v>85.464746705305146</v>
      </c>
      <c r="AC131" s="25">
        <f t="shared" si="316"/>
        <v>95.720516309941786</v>
      </c>
      <c r="AD131" s="118">
        <f t="shared" si="313"/>
        <v>0.12000000000000011</v>
      </c>
      <c r="AE131" s="20"/>
      <c r="AF131" s="20"/>
    </row>
    <row r="132" spans="2:3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28"/>
      <c r="AE132" s="20"/>
      <c r="AF132" s="20"/>
    </row>
    <row r="133" spans="2:32">
      <c r="B133" s="20" t="s">
        <v>365</v>
      </c>
      <c r="C133" s="20"/>
      <c r="D133" s="20"/>
      <c r="E133" s="20"/>
      <c r="F133" s="20"/>
      <c r="G133" s="25">
        <f>G10/G7</f>
        <v>2.1805069930069929</v>
      </c>
      <c r="H133" s="25" t="e">
        <f t="shared" ref="H133:P133" si="317">H10/H7</f>
        <v>#DIV/0!</v>
      </c>
      <c r="I133" s="25" t="e">
        <f t="shared" si="317"/>
        <v>#DIV/0!</v>
      </c>
      <c r="J133" s="25" t="e">
        <f t="shared" si="317"/>
        <v>#DIV/0!</v>
      </c>
      <c r="K133" s="25" t="e">
        <f t="shared" si="317"/>
        <v>#DIV/0!</v>
      </c>
      <c r="L133" s="25">
        <f t="shared" si="317"/>
        <v>2.1805069930069929</v>
      </c>
      <c r="M133" s="25">
        <f t="shared" si="317"/>
        <v>1.8293527172031845</v>
      </c>
      <c r="N133" s="25">
        <f t="shared" si="317"/>
        <v>3.8972482901224748</v>
      </c>
      <c r="O133" s="25">
        <f t="shared" si="317"/>
        <v>5.9601059427247147</v>
      </c>
      <c r="P133" s="25">
        <f t="shared" si="317"/>
        <v>8.7589098532494756</v>
      </c>
      <c r="Q133" s="25">
        <f t="shared" ref="Q133" si="318">Q10/Q7</f>
        <v>6.0779458963778081</v>
      </c>
      <c r="R133" s="118">
        <f t="shared" si="212"/>
        <v>0.16707609815881797</v>
      </c>
      <c r="S133" s="128"/>
      <c r="T133" s="25">
        <f t="shared" ref="T133:AC133" si="319">T10/T7</f>
        <v>6.0779458963778081</v>
      </c>
      <c r="U133" s="25">
        <f t="shared" si="319"/>
        <v>6.077945896377809</v>
      </c>
      <c r="V133" s="25">
        <f t="shared" si="319"/>
        <v>6.077945896377809</v>
      </c>
      <c r="W133" s="25">
        <f t="shared" si="319"/>
        <v>6.077945896377809</v>
      </c>
      <c r="X133" s="25">
        <f t="shared" si="319"/>
        <v>6.077945896377809</v>
      </c>
      <c r="Y133" s="25">
        <f t="shared" si="319"/>
        <v>6.077945896377809</v>
      </c>
      <c r="Z133" s="25">
        <f t="shared" si="319"/>
        <v>6.0779458963778099</v>
      </c>
      <c r="AA133" s="25">
        <f t="shared" si="319"/>
        <v>6.0779458963778099</v>
      </c>
      <c r="AB133" s="25">
        <f t="shared" si="319"/>
        <v>6.077945896377809</v>
      </c>
      <c r="AC133" s="25">
        <f t="shared" si="319"/>
        <v>6.077945896377809</v>
      </c>
      <c r="AD133" s="118">
        <f t="shared" si="313"/>
        <v>0</v>
      </c>
      <c r="AE133" s="20"/>
      <c r="AF133" s="20"/>
    </row>
    <row r="134" spans="2:32">
      <c r="B134" s="20" t="s">
        <v>357</v>
      </c>
      <c r="C134" s="20"/>
      <c r="D134" s="20"/>
      <c r="E134" s="20"/>
      <c r="F134" s="20"/>
      <c r="G134" s="25">
        <f>G10/(G10+G7)</f>
        <v>0.68558471897760065</v>
      </c>
      <c r="H134" s="25" t="e">
        <f t="shared" ref="H134:P134" si="320">H10/(H10+H7)</f>
        <v>#DIV/0!</v>
      </c>
      <c r="I134" s="25" t="e">
        <f t="shared" si="320"/>
        <v>#DIV/0!</v>
      </c>
      <c r="J134" s="25" t="e">
        <f t="shared" si="320"/>
        <v>#DIV/0!</v>
      </c>
      <c r="K134" s="25" t="e">
        <f t="shared" si="320"/>
        <v>#DIV/0!</v>
      </c>
      <c r="L134" s="25">
        <f t="shared" si="320"/>
        <v>0.68558471897760065</v>
      </c>
      <c r="M134" s="25">
        <f t="shared" si="320"/>
        <v>0.6465622706141424</v>
      </c>
      <c r="N134" s="25">
        <f t="shared" si="320"/>
        <v>0.79580369612523949</v>
      </c>
      <c r="O134" s="25">
        <f t="shared" si="320"/>
        <v>0.85632402606668889</v>
      </c>
      <c r="P134" s="25">
        <f t="shared" si="320"/>
        <v>0.89752953813104186</v>
      </c>
      <c r="Q134" s="25">
        <f t="shared" ref="Q134" si="321">Q10/(Q10+Q7)</f>
        <v>0.85871607177560405</v>
      </c>
      <c r="R134" s="118">
        <f t="shared" si="212"/>
        <v>3.0382857215209613E-2</v>
      </c>
      <c r="S134" s="128"/>
      <c r="T134" s="25">
        <f t="shared" ref="T134:AC134" si="322">T10/(T10+T7)</f>
        <v>0.85871607177560405</v>
      </c>
      <c r="U134" s="25">
        <f t="shared" si="322"/>
        <v>0.85871607177560405</v>
      </c>
      <c r="V134" s="25">
        <f t="shared" si="322"/>
        <v>0.85871607177560405</v>
      </c>
      <c r="W134" s="25">
        <f t="shared" si="322"/>
        <v>0.85871607177560416</v>
      </c>
      <c r="X134" s="25">
        <f t="shared" si="322"/>
        <v>0.85871607177560416</v>
      </c>
      <c r="Y134" s="25">
        <f t="shared" si="322"/>
        <v>0.85871607177560405</v>
      </c>
      <c r="Z134" s="25">
        <f t="shared" si="322"/>
        <v>0.85871607177560416</v>
      </c>
      <c r="AA134" s="25">
        <f t="shared" si="322"/>
        <v>0.85871607177560405</v>
      </c>
      <c r="AB134" s="25">
        <f t="shared" si="322"/>
        <v>0.85871607177560405</v>
      </c>
      <c r="AC134" s="25">
        <f t="shared" si="322"/>
        <v>0.85871607177560416</v>
      </c>
      <c r="AD134" s="118">
        <f t="shared" si="313"/>
        <v>0</v>
      </c>
      <c r="AE134" s="20"/>
      <c r="AF134" s="20"/>
    </row>
    <row r="135" spans="2:32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28"/>
      <c r="S135" s="128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36"/>
      <c r="AE135" s="20"/>
      <c r="AF135" s="20"/>
    </row>
    <row r="136" spans="2:32">
      <c r="B136" s="20" t="s">
        <v>362</v>
      </c>
      <c r="C136" s="20"/>
      <c r="D136" s="20"/>
      <c r="E136" s="20"/>
      <c r="F136" s="20"/>
      <c r="G136" s="25">
        <f>G16</f>
        <v>413</v>
      </c>
      <c r="H136" s="25">
        <f t="shared" ref="H136:P136" si="323">H16</f>
        <v>0</v>
      </c>
      <c r="I136" s="25">
        <f t="shared" si="323"/>
        <v>0</v>
      </c>
      <c r="J136" s="25">
        <f t="shared" si="323"/>
        <v>0</v>
      </c>
      <c r="K136" s="25">
        <f t="shared" si="323"/>
        <v>0</v>
      </c>
      <c r="L136" s="25">
        <f t="shared" si="323"/>
        <v>413</v>
      </c>
      <c r="M136" s="25">
        <f t="shared" si="323"/>
        <v>894</v>
      </c>
      <c r="N136" s="25">
        <f t="shared" si="323"/>
        <v>-1091</v>
      </c>
      <c r="O136" s="25">
        <f t="shared" si="323"/>
        <v>61</v>
      </c>
      <c r="P136" s="25">
        <f t="shared" si="323"/>
        <v>-6191</v>
      </c>
      <c r="Q136" s="25">
        <f t="shared" ref="Q136" si="324">Q16</f>
        <v>-3827</v>
      </c>
      <c r="R136" s="118">
        <f t="shared" si="212"/>
        <v>-2.350969794943202</v>
      </c>
      <c r="S136" s="128"/>
      <c r="T136" s="25">
        <f t="shared" ref="T136:AC136" si="325">T16</f>
        <v>-4286.2400000000007</v>
      </c>
      <c r="U136" s="25">
        <f t="shared" si="325"/>
        <v>-4800.5888000000014</v>
      </c>
      <c r="V136" s="25">
        <f t="shared" si="325"/>
        <v>-5376.6594560000021</v>
      </c>
      <c r="W136" s="25">
        <f t="shared" si="325"/>
        <v>-6021.8585907200031</v>
      </c>
      <c r="X136" s="25">
        <f t="shared" si="325"/>
        <v>-6744.4816216064046</v>
      </c>
      <c r="Y136" s="25">
        <f t="shared" si="325"/>
        <v>-7553.8194161991742</v>
      </c>
      <c r="Z136" s="25">
        <f t="shared" si="325"/>
        <v>-8460.277746143076</v>
      </c>
      <c r="AA136" s="25">
        <f t="shared" si="325"/>
        <v>-9475.511075680246</v>
      </c>
      <c r="AB136" s="25">
        <f t="shared" si="325"/>
        <v>-10612.572404761877</v>
      </c>
      <c r="AC136" s="25">
        <f t="shared" si="325"/>
        <v>-11886.081093333303</v>
      </c>
      <c r="AD136" s="118">
        <f t="shared" si="313"/>
        <v>0.12000000000000011</v>
      </c>
      <c r="AE136" s="20"/>
      <c r="AF136" s="20"/>
    </row>
    <row r="137" spans="2:32">
      <c r="B137" s="20" t="s">
        <v>363</v>
      </c>
      <c r="C137" s="20"/>
      <c r="D137" s="20"/>
      <c r="E137" s="20"/>
      <c r="F137" s="20"/>
      <c r="G137" s="119">
        <f t="shared" ref="G137:P137" si="326">G136*365/G25</f>
        <v>15074500</v>
      </c>
      <c r="H137" s="119" t="e">
        <f t="shared" si="326"/>
        <v>#DIV/0!</v>
      </c>
      <c r="I137" s="119" t="e">
        <f t="shared" si="326"/>
        <v>#DIV/0!</v>
      </c>
      <c r="J137" s="119" t="e">
        <f t="shared" si="326"/>
        <v>#DIV/0!</v>
      </c>
      <c r="K137" s="119" t="e">
        <f t="shared" si="326"/>
        <v>#DIV/0!</v>
      </c>
      <c r="L137" s="119">
        <f t="shared" si="326"/>
        <v>15074500</v>
      </c>
      <c r="M137" s="119">
        <f t="shared" si="326"/>
        <v>698.73661670235549</v>
      </c>
      <c r="N137" s="119">
        <f t="shared" si="326"/>
        <v>-184.95819786344634</v>
      </c>
      <c r="O137" s="119">
        <f t="shared" si="326"/>
        <v>5.4411045943304011</v>
      </c>
      <c r="P137" s="119">
        <f t="shared" si="326"/>
        <v>-323.09336574206463</v>
      </c>
      <c r="Q137" s="119">
        <f t="shared" ref="Q137" si="327">Q136*365/Q25</f>
        <v>-87.336188570714015</v>
      </c>
      <c r="R137" s="118">
        <f t="shared" si="212"/>
        <v>-1.302852860833658</v>
      </c>
      <c r="S137" s="128"/>
      <c r="T137" s="119">
        <f t="shared" ref="T137:AC137" si="328">T136*365/T25</f>
        <v>-87.336188570714029</v>
      </c>
      <c r="U137" s="119">
        <f t="shared" si="328"/>
        <v>-87.336188570714015</v>
      </c>
      <c r="V137" s="119">
        <f t="shared" si="328"/>
        <v>-87.336188570714015</v>
      </c>
      <c r="W137" s="119">
        <f t="shared" si="328"/>
        <v>-87.336188570714015</v>
      </c>
      <c r="X137" s="119">
        <f t="shared" si="328"/>
        <v>-87.336188570714015</v>
      </c>
      <c r="Y137" s="119">
        <f t="shared" si="328"/>
        <v>-87.336188570714029</v>
      </c>
      <c r="Z137" s="119">
        <f t="shared" si="328"/>
        <v>-87.336188570714029</v>
      </c>
      <c r="AA137" s="119">
        <f t="shared" si="328"/>
        <v>-87.336188570714029</v>
      </c>
      <c r="AB137" s="119">
        <f t="shared" si="328"/>
        <v>-87.336188570714015</v>
      </c>
      <c r="AC137" s="119">
        <f t="shared" si="328"/>
        <v>-87.336188570714029</v>
      </c>
      <c r="AD137" s="118">
        <f t="shared" si="313"/>
        <v>0</v>
      </c>
      <c r="AE137" s="20"/>
      <c r="AF137" s="20"/>
    </row>
    <row r="138" spans="2:32">
      <c r="B138" s="20" t="s">
        <v>366</v>
      </c>
      <c r="C138" s="20"/>
      <c r="D138" s="20"/>
      <c r="E138" s="20"/>
      <c r="F138" s="20"/>
      <c r="G138" s="133">
        <f>G82/G29</f>
        <v>100</v>
      </c>
      <c r="H138" s="133" t="e">
        <f t="shared" ref="H138:P138" si="329">H82/H29</f>
        <v>#DIV/0!</v>
      </c>
      <c r="I138" s="133" t="e">
        <f t="shared" si="329"/>
        <v>#DIV/0!</v>
      </c>
      <c r="J138" s="133" t="e">
        <f t="shared" si="329"/>
        <v>#DIV/0!</v>
      </c>
      <c r="K138" s="133" t="e">
        <f t="shared" si="329"/>
        <v>#DIV/0!</v>
      </c>
      <c r="L138" s="133">
        <f t="shared" si="329"/>
        <v>100</v>
      </c>
      <c r="M138" s="133">
        <f t="shared" si="329"/>
        <v>2.9333655239014971E-2</v>
      </c>
      <c r="N138" s="133">
        <f t="shared" si="329"/>
        <v>2.3713263878090498E-2</v>
      </c>
      <c r="O138" s="133">
        <f t="shared" si="329"/>
        <v>8.2469221863991134E-3</v>
      </c>
      <c r="P138" s="133">
        <f t="shared" si="329"/>
        <v>2.3575512933344477E-3</v>
      </c>
      <c r="Q138" s="133">
        <f t="shared" ref="Q138" si="330">Q82/Q29</f>
        <v>4.059537567231747E-3</v>
      </c>
      <c r="R138" s="118">
        <f t="shared" si="212"/>
        <v>-0.69392418349181773</v>
      </c>
      <c r="S138" s="128"/>
      <c r="T138" s="133">
        <f t="shared" ref="T138:AC138" si="331">T82/T29</f>
        <v>4.0193441259720256E-3</v>
      </c>
      <c r="U138" s="133">
        <f t="shared" si="331"/>
        <v>3.9795486395762638E-3</v>
      </c>
      <c r="V138" s="133">
        <f t="shared" si="331"/>
        <v>3.9401471678972904E-3</v>
      </c>
      <c r="W138" s="133">
        <f t="shared" si="331"/>
        <v>3.901135809799298E-3</v>
      </c>
      <c r="X138" s="133">
        <f t="shared" si="331"/>
        <v>3.8625107027715814E-3</v>
      </c>
      <c r="Y138" s="133">
        <f t="shared" si="331"/>
        <v>3.8242680225461204E-3</v>
      </c>
      <c r="Z138" s="133">
        <f t="shared" si="331"/>
        <v>3.7864039827189304E-3</v>
      </c>
      <c r="AA138" s="133">
        <f t="shared" si="331"/>
        <v>3.7489148343751787E-3</v>
      </c>
      <c r="AB138" s="133">
        <f t="shared" si="331"/>
        <v>3.7117968657179993E-3</v>
      </c>
      <c r="AC138" s="133">
        <f t="shared" si="331"/>
        <v>3.6750464017009893E-3</v>
      </c>
      <c r="AD138" s="118">
        <f t="shared" si="313"/>
        <v>-9.9009900990099098E-3</v>
      </c>
      <c r="AE138" s="20"/>
      <c r="AF138" s="20"/>
    </row>
    <row r="139" spans="2:3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36"/>
      <c r="AE139" s="20"/>
      <c r="AF139" s="20"/>
    </row>
    <row r="140" spans="2:32">
      <c r="B140" s="20" t="s">
        <v>373</v>
      </c>
      <c r="C140" s="20"/>
      <c r="D140" s="20"/>
      <c r="E140" s="20"/>
      <c r="F140" s="20"/>
      <c r="G140" s="179" t="e">
        <f>G25/G14</f>
        <v>#DIV/0!</v>
      </c>
      <c r="H140" s="179" t="e">
        <f t="shared" ref="H140:P140" si="332">H25/H14</f>
        <v>#DIV/0!</v>
      </c>
      <c r="I140" s="179" t="e">
        <f t="shared" si="332"/>
        <v>#DIV/0!</v>
      </c>
      <c r="J140" s="179" t="e">
        <f t="shared" si="332"/>
        <v>#DIV/0!</v>
      </c>
      <c r="K140" s="179" t="e">
        <f t="shared" si="332"/>
        <v>#DIV/0!</v>
      </c>
      <c r="L140" s="179" t="e">
        <f t="shared" si="332"/>
        <v>#DIV/0!</v>
      </c>
      <c r="M140" s="179">
        <f t="shared" si="332"/>
        <v>46.7</v>
      </c>
      <c r="N140" s="179">
        <f t="shared" si="332"/>
        <v>7.6077738515901059</v>
      </c>
      <c r="O140" s="179">
        <f t="shared" si="332"/>
        <v>4.9480048367593712</v>
      </c>
      <c r="P140" s="179">
        <f t="shared" si="332"/>
        <v>4.4977491961414788</v>
      </c>
      <c r="Q140" s="179">
        <f t="shared" ref="Q140" si="333">Q25/Q14</f>
        <v>12.485558157689304</v>
      </c>
      <c r="R140" s="118" t="e">
        <f t="shared" si="212"/>
        <v>#DIV/0!</v>
      </c>
      <c r="S140" s="128"/>
      <c r="T140" s="20">
        <f t="shared" ref="T140" si="334">T25/T14</f>
        <v>12.485558157689306</v>
      </c>
      <c r="U140" s="20">
        <f t="shared" ref="U140:AC140" si="335">U25/U14</f>
        <v>12.485558157689308</v>
      </c>
      <c r="V140" s="20">
        <f t="shared" si="335"/>
        <v>12.485558157689308</v>
      </c>
      <c r="W140" s="20">
        <f t="shared" si="335"/>
        <v>12.485558157689308</v>
      </c>
      <c r="X140" s="20">
        <f t="shared" si="335"/>
        <v>12.48555815768931</v>
      </c>
      <c r="Y140" s="20">
        <f t="shared" si="335"/>
        <v>12.48555815768931</v>
      </c>
      <c r="Z140" s="20">
        <f t="shared" si="335"/>
        <v>12.485558157689308</v>
      </c>
      <c r="AA140" s="20">
        <f t="shared" si="335"/>
        <v>12.48555815768931</v>
      </c>
      <c r="AB140" s="20">
        <f t="shared" si="335"/>
        <v>12.48555815768931</v>
      </c>
      <c r="AC140" s="20">
        <f t="shared" si="335"/>
        <v>12.48555815768931</v>
      </c>
      <c r="AD140" s="118">
        <f t="shared" si="313"/>
        <v>0</v>
      </c>
      <c r="AE140" s="20"/>
      <c r="AF140" s="20"/>
    </row>
    <row r="141" spans="2:32">
      <c r="B141" s="20" t="s">
        <v>374</v>
      </c>
      <c r="C141" s="20"/>
      <c r="D141" s="20"/>
      <c r="E141" s="20"/>
      <c r="F141" s="20"/>
      <c r="G141" s="179" t="e">
        <f>G27/G14</f>
        <v>#DIV/0!</v>
      </c>
      <c r="H141" s="179" t="e">
        <f t="shared" ref="H141:P141" si="336">H27/H14</f>
        <v>#DIV/0!</v>
      </c>
      <c r="I141" s="179" t="e">
        <f t="shared" si="336"/>
        <v>#DIV/0!</v>
      </c>
      <c r="J141" s="179" t="e">
        <f t="shared" si="336"/>
        <v>#DIV/0!</v>
      </c>
      <c r="K141" s="179" t="e">
        <f t="shared" si="336"/>
        <v>#DIV/0!</v>
      </c>
      <c r="L141" s="179" t="e">
        <f t="shared" si="336"/>
        <v>#DIV/0!</v>
      </c>
      <c r="M141" s="179">
        <f t="shared" si="336"/>
        <v>19.100000000000001</v>
      </c>
      <c r="N141" s="179">
        <f t="shared" si="336"/>
        <v>3.2332155477031801</v>
      </c>
      <c r="O141" s="179">
        <f t="shared" si="336"/>
        <v>3.3422007255139059</v>
      </c>
      <c r="P141" s="179">
        <f t="shared" si="336"/>
        <v>3.7421221864951768</v>
      </c>
      <c r="Q141" s="179">
        <f t="shared" ref="Q141" si="337">Q27/Q14</f>
        <v>8.6612021857923498</v>
      </c>
      <c r="R141" s="118" t="e">
        <f t="shared" si="212"/>
        <v>#DIV/0!</v>
      </c>
      <c r="S141" s="128"/>
      <c r="T141" s="20">
        <f t="shared" ref="T141:AC141" si="338">T27/T14</f>
        <v>8.6612021857923498</v>
      </c>
      <c r="U141" s="20">
        <f t="shared" si="338"/>
        <v>8.6612021857923516</v>
      </c>
      <c r="V141" s="20">
        <f t="shared" si="338"/>
        <v>8.6612021857923516</v>
      </c>
      <c r="W141" s="20">
        <f t="shared" si="338"/>
        <v>8.6612021857923516</v>
      </c>
      <c r="X141" s="20">
        <f t="shared" si="338"/>
        <v>8.6612021857923533</v>
      </c>
      <c r="Y141" s="20">
        <f t="shared" si="338"/>
        <v>8.6612021857923516</v>
      </c>
      <c r="Z141" s="20">
        <f t="shared" si="338"/>
        <v>8.6612021857923516</v>
      </c>
      <c r="AA141" s="20">
        <f t="shared" si="338"/>
        <v>8.6612021857923533</v>
      </c>
      <c r="AB141" s="20">
        <f t="shared" si="338"/>
        <v>8.6612021857923516</v>
      </c>
      <c r="AC141" s="20">
        <f t="shared" si="338"/>
        <v>8.6612021857923533</v>
      </c>
      <c r="AD141" s="118">
        <f t="shared" si="313"/>
        <v>0</v>
      </c>
      <c r="AE141" s="20"/>
      <c r="AF141" s="20"/>
    </row>
    <row r="142" spans="2:32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28"/>
      <c r="S142" s="128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36"/>
      <c r="AE142" s="20"/>
      <c r="AF142" s="20"/>
    </row>
    <row r="143" spans="2:32">
      <c r="B143" s="108" t="s">
        <v>244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3"/>
      <c r="S143" s="23"/>
      <c r="T143" s="122" t="s">
        <v>66</v>
      </c>
      <c r="U143" s="20"/>
      <c r="V143" s="20"/>
      <c r="W143" s="20"/>
      <c r="X143" s="20"/>
      <c r="Y143" s="20"/>
      <c r="Z143" s="20"/>
      <c r="AA143" s="20"/>
      <c r="AB143" s="20"/>
      <c r="AC143" s="20"/>
      <c r="AD143" s="136"/>
      <c r="AE143" s="20"/>
      <c r="AF143" s="20"/>
    </row>
    <row r="144" spans="2:32">
      <c r="B144" s="23" t="s">
        <v>280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5"/>
      <c r="Q144" s="25"/>
      <c r="R144" s="159" t="e">
        <f>AVERAGE(G56:Q56)</f>
        <v>#DIV/0!</v>
      </c>
      <c r="S144" s="23"/>
      <c r="T144" s="193" t="s">
        <v>428</v>
      </c>
      <c r="U144" s="194" t="s">
        <v>429</v>
      </c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>
      <c r="B145" s="20" t="s">
        <v>25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39">
        <f>T145+U145</f>
        <v>-3.4052972154278667</v>
      </c>
      <c r="T145" s="133">
        <f>PV($C$1, ($AC$3-$T$3), 0, -AC56)</f>
        <v>-0.47450862837929292</v>
      </c>
      <c r="U145" s="133">
        <f>PV($C$1, ($AC$3-$T$3), 0, -AF56)</f>
        <v>-2.9307885870485739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>
      <c r="B146" s="20" t="s">
        <v>272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 t="shared" ref="S146:S164" si="339">T146+U146</f>
        <v>76.83055062256733</v>
      </c>
      <c r="T146" s="133">
        <f>PV($C$1, ($AC$3-$T$3), 0, -AC58)</f>
        <v>10.705896398226594</v>
      </c>
      <c r="U146" s="133">
        <f>PV($C$1, ($AC$3-$T$3), 0, -AF58)</f>
        <v>66.12465422434073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>
      <c r="B147" s="20" t="s">
        <v>273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 t="shared" si="339"/>
        <v>43.106365785640335</v>
      </c>
      <c r="T147" s="133">
        <f>PV($C$1, ($AC$3-$T$3), 0, -AC59)</f>
        <v>6.0066247406220139</v>
      </c>
      <c r="U147" s="133">
        <f>PV($C$1, ($AC$3-$T$3), 0, -AF59)</f>
        <v>37.09974104501832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>
      <c r="B148" s="20" t="s">
        <v>274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39"/>
        <v>466.97192987288059</v>
      </c>
      <c r="T148" s="133">
        <f>PV($C$1, ($AC$3-$T$3), 0, -AC60)</f>
        <v>65.069859080647291</v>
      </c>
      <c r="U148" s="133">
        <f>PV($C$1, ($AC$3-$T$3), 0, -AF60)</f>
        <v>401.9020707922333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>
      <c r="B149" s="20" t="s">
        <v>275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39"/>
        <v>9.7461954786383789</v>
      </c>
      <c r="T149" s="133">
        <f>PV($C$1, ($AC$3-$T$3), 0, -AC66)</f>
        <v>1.3580764191545278</v>
      </c>
      <c r="U149" s="133">
        <f>PV($C$1, ($AC$3-$T$3), 0, -AF66)</f>
        <v>8.3881190594838504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>
      <c r="B151" s="20" t="s">
        <v>270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39"/>
        <v>-390.14137925031332</v>
      </c>
      <c r="T151" s="133">
        <f>PV($C$1, ($AC$3-$T$3), 0, -AC62)</f>
        <v>-54.363962682420699</v>
      </c>
      <c r="U151" s="133">
        <f>PV($C$1, ($AC$3-$T$3), 0, -$AF$62)</f>
        <v>-335.7774165678926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>
      <c r="B152" s="20" t="s">
        <v>271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39"/>
        <v>-525.53129957404883</v>
      </c>
      <c r="T152" s="133">
        <f>PV($C$1, ($AC$3-$T$3), 0, -AC63)</f>
        <v>-73.229771252121552</v>
      </c>
      <c r="U152" s="133">
        <f>PV($C$1, ($AC$3-$T$3), 0, -$AF$63)</f>
        <v>-452.30152832192732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>
      <c r="B153" s="20" t="s">
        <v>276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39"/>
        <v>-482.62455465965775</v>
      </c>
      <c r="T153" s="133">
        <f>PV($C$1, ($AC$3-$T$3), 0, -AC64)</f>
        <v>-67.250962534542467</v>
      </c>
      <c r="U153" s="133">
        <f>PV($C$1, ($AC$3-$T$3), 0, -$AF$64)</f>
        <v>-415.37359212511529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/>
      <c r="T154" s="133"/>
      <c r="U154" s="20"/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>
      <c r="B155" s="20" t="s">
        <v>249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39"/>
        <v>42.906744914391112</v>
      </c>
      <c r="T155" s="133">
        <f>PV($C$1, ($AC$3-$T$3), 0, -AC69)</f>
        <v>5.9788087175790885</v>
      </c>
      <c r="U155" s="133">
        <f>PV($C$1, ($AC$3-$T$3), 0, -AF69)</f>
        <v>36.92793619681202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>
      <c r="B156" s="20" t="s">
        <v>250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 t="shared" si="339"/>
        <v>-34.724957921398371</v>
      </c>
      <c r="T156" s="133">
        <f>PV($C$1, ($AC$3-$T$3), 0, -AC70)</f>
        <v>-6.2618776579570827</v>
      </c>
      <c r="U156" s="133">
        <f>PV($C$1, ($AC$3-$T$3), 0, -AF70)</f>
        <v>-28.463080263441285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>
      <c r="B158" s="20" t="s">
        <v>292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ref="S158" si="340">T158+U158</f>
        <v>3089.8027281502532</v>
      </c>
      <c r="T158" s="133">
        <f>PV($C$1, ($AC$3-$T$3), 0, -AC12)</f>
        <v>430.54628179142873</v>
      </c>
      <c r="U158" s="133">
        <f>PV($C$1, ($AC$3-$T$3), 0, -AF12)</f>
        <v>2659.2564463588246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>
      <c r="B159" s="20" t="s">
        <v>293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>T159+U159</f>
        <v>12.928044887657963</v>
      </c>
      <c r="T159" s="139">
        <f>T158/P42</f>
        <v>1.8014488777884048</v>
      </c>
      <c r="U159" s="139">
        <f>U158/P42</f>
        <v>11.126596009869559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/>
      <c r="T160" s="139"/>
      <c r="U160" s="139"/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>
      <c r="B161" s="108" t="s">
        <v>296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>
      <c r="B162" s="20" t="s">
        <v>282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>
        <f t="shared" ref="S162" si="341">T162+U162</f>
        <v>0</v>
      </c>
      <c r="T162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2" s="133">
        <f>PV($C$1, ($AC$3-$T$3), 0, -AF72)</f>
        <v>0</v>
      </c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>
      <c r="B163" s="23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>
      <c r="B164" s="20" t="s">
        <v>289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si="339"/>
        <v>60604.760109097457</v>
      </c>
      <c r="T164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49858.800927064331</v>
      </c>
      <c r="U164" s="133">
        <f>PV($C$1, ($AC$3-$T$3), 0, -AF74)</f>
        <v>10745.959182033124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>
      <c r="B166" s="20" t="s">
        <v>460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ref="S166:S169" si="342">T166+U166</f>
        <v>191.16619762739938</v>
      </c>
      <c r="T166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157.2701116930514</v>
      </c>
      <c r="U166" s="133">
        <f>PV($C$1, ($AC$3-$T$3), 0, -AF76)</f>
        <v>33.89608593434798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>
      <c r="B167" s="20" t="s">
        <v>286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si="342"/>
        <v>192.93308854166577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158.72371141352983</v>
      </c>
      <c r="U167" s="133">
        <f>PV($C$1, ($AC$3-$T$3), 0, -AF77)</f>
        <v>34.209377128135934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>
      <c r="B168" s="20" t="s">
        <v>287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si="342"/>
        <v>-1.7668909142663631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-1.4535997204784121</v>
      </c>
      <c r="U168" s="133">
        <f>PV($C$1, ($AC$3-$T$3), 0, -AF78)</f>
        <v>-0.31329119378795101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>
      <c r="B169" s="20" t="s">
        <v>288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2"/>
        <v>-191.05220466518861</v>
      </c>
      <c r="T169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-157.17633106592373</v>
      </c>
      <c r="U169" s="133">
        <f>PV($C$1, ($AC$3-$T$3), 0, -AF79)</f>
        <v>-33.875873599264885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>
      <c r="B170" s="20" t="s">
        <v>458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29">
        <f>S167+S168+S169</f>
        <v>0.11399296221080135</v>
      </c>
      <c r="T170" s="129">
        <f t="shared" ref="T170:U170" si="343">T167+T168+T169</f>
        <v>9.3780627127671323E-2</v>
      </c>
      <c r="U170" s="129">
        <f t="shared" si="343"/>
        <v>2.0212335083094501E-2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/>
      <c r="T171" s="133"/>
      <c r="U171" s="133"/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>
      <c r="B172" s="20" t="s">
        <v>297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>
        <f>T172+U172</f>
        <v>4.6167149695346916</v>
      </c>
      <c r="T172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3.7981153986693998</v>
      </c>
      <c r="U172" s="133">
        <f>PV($C$1, ($AC$3-$T$3), 0, -AF80)</f>
        <v>0.81859957086529145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182">
        <v>41729</v>
      </c>
      <c r="P173" s="20">
        <v>40</v>
      </c>
      <c r="Q173" s="20"/>
      <c r="R173" s="20"/>
      <c r="S173" s="20"/>
      <c r="T173" s="121"/>
      <c r="U173" s="20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>
      <c r="B174" s="108" t="s">
        <v>251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3" t="s">
        <v>389</v>
      </c>
      <c r="P174" s="20">
        <v>53</v>
      </c>
      <c r="Q174" s="20"/>
      <c r="R174" s="20">
        <v>40</v>
      </c>
      <c r="S174" s="23" t="s">
        <v>390</v>
      </c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>
      <c r="B175" s="20" t="s">
        <v>204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100</v>
      </c>
      <c r="N175" s="22">
        <v>110</v>
      </c>
      <c r="O175" s="22">
        <v>62</v>
      </c>
      <c r="P175" s="22">
        <v>38</v>
      </c>
      <c r="Q175" s="22">
        <v>40</v>
      </c>
      <c r="R175" s="118" t="e">
        <f t="shared" ref="R175:R182" si="344">((P175/G175)^(1/($H$2-$H$1) ))-1</f>
        <v>#DIV/0!</v>
      </c>
      <c r="S175" s="31">
        <f>L2-3%</f>
        <v>0.09</v>
      </c>
      <c r="T175" s="119">
        <f t="shared" ref="T175" si="345">P175*(1+$S175)</f>
        <v>41.42</v>
      </c>
      <c r="U175" s="119">
        <f t="shared" ref="U175:AC175" si="346">T175*(1+$S175)</f>
        <v>45.147800000000004</v>
      </c>
      <c r="V175" s="119">
        <f t="shared" si="346"/>
        <v>49.211102000000011</v>
      </c>
      <c r="W175" s="119">
        <f t="shared" si="346"/>
        <v>53.640101180000016</v>
      </c>
      <c r="X175" s="119">
        <f t="shared" si="346"/>
        <v>58.467710286200024</v>
      </c>
      <c r="Y175" s="119">
        <f t="shared" si="346"/>
        <v>63.729804211958033</v>
      </c>
      <c r="Z175" s="119">
        <f t="shared" si="346"/>
        <v>69.465486591034264</v>
      </c>
      <c r="AA175" s="119">
        <f t="shared" si="346"/>
        <v>75.717380384227354</v>
      </c>
      <c r="AB175" s="119">
        <f t="shared" si="346"/>
        <v>82.531944618807827</v>
      </c>
      <c r="AC175" s="119">
        <f t="shared" si="346"/>
        <v>89.959819634500533</v>
      </c>
      <c r="AD175" s="137" t="e">
        <f t="shared" ref="AD175:AD182" si="347">((AC175/G175)^(1/($AC$3-$H$1) ))-1</f>
        <v>#DIV/0!</v>
      </c>
      <c r="AE175" s="31">
        <v>0.08</v>
      </c>
      <c r="AF175" s="127" t="e">
        <f t="shared" ref="AF175:AF185" si="348">(AC175*(1+AD175))/($C$1-AE175)</f>
        <v>#DIV/0!</v>
      </c>
    </row>
    <row r="176" spans="2:32">
      <c r="B176" s="20" t="s">
        <v>360</v>
      </c>
      <c r="C176" s="25"/>
      <c r="D176" s="25"/>
      <c r="E176" s="25"/>
      <c r="F176" s="25"/>
      <c r="G176" s="25">
        <f t="shared" ref="G176:P176" si="349">G175/G50</f>
        <v>0</v>
      </c>
      <c r="H176" s="25" t="e">
        <f t="shared" si="349"/>
        <v>#DIV/0!</v>
      </c>
      <c r="I176" s="25" t="e">
        <f t="shared" si="349"/>
        <v>#DIV/0!</v>
      </c>
      <c r="J176" s="25" t="e">
        <f t="shared" si="349"/>
        <v>#DIV/0!</v>
      </c>
      <c r="K176" s="25" t="e">
        <f t="shared" si="349"/>
        <v>#DIV/0!</v>
      </c>
      <c r="L176" s="25">
        <f t="shared" si="349"/>
        <v>0</v>
      </c>
      <c r="M176" s="25">
        <f t="shared" si="349"/>
        <v>46.680942184154169</v>
      </c>
      <c r="N176" s="25">
        <f t="shared" si="349"/>
        <v>11.137947050627034</v>
      </c>
      <c r="O176" s="25">
        <f t="shared" si="349"/>
        <v>3.3030303030303028</v>
      </c>
      <c r="P176" s="25">
        <f t="shared" si="349"/>
        <v>1.298541607091793</v>
      </c>
      <c r="Q176" s="25">
        <f t="shared" ref="Q176" si="350">Q175/Q50</f>
        <v>0.7177691634362886</v>
      </c>
      <c r="R176" s="118" t="e">
        <f t="shared" ref="R176" si="351">((P176/G176)^(1/($H$2-$H$1) ))-1</f>
        <v>#DIV/0!</v>
      </c>
      <c r="S176" s="128"/>
      <c r="T176" s="25">
        <f t="shared" ref="T176:AC176" si="352">T175/T50</f>
        <v>0.67025220395148177</v>
      </c>
      <c r="U176" s="25">
        <f t="shared" si="352"/>
        <v>0.65882201011623776</v>
      </c>
      <c r="V176" s="25">
        <f t="shared" si="352"/>
        <v>0.64758674190800536</v>
      </c>
      <c r="W176" s="25">
        <f t="shared" si="352"/>
        <v>0.63654307514868136</v>
      </c>
      <c r="X176" s="25">
        <f t="shared" si="352"/>
        <v>0.62568774234927083</v>
      </c>
      <c r="Y176" s="25">
        <f t="shared" si="352"/>
        <v>0.61501753174313589</v>
      </c>
      <c r="Z176" s="25">
        <f t="shared" si="352"/>
        <v>0.60452928633573066</v>
      </c>
      <c r="AA176" s="25">
        <f t="shared" si="352"/>
        <v>0.59421990297054095</v>
      </c>
      <c r="AB176" s="25">
        <f t="shared" si="352"/>
        <v>0.58408633141095401</v>
      </c>
      <c r="AC176" s="25">
        <f t="shared" si="352"/>
        <v>0.57412557343778503</v>
      </c>
      <c r="AD176" s="137" t="e">
        <f t="shared" ref="AD176" si="353">((AC176/G176)^(1/($AC$3-$H$1) ))-1</f>
        <v>#DIV/0!</v>
      </c>
      <c r="AE176" s="31">
        <v>0.08</v>
      </c>
      <c r="AF176" s="127" t="e">
        <f t="shared" ref="AF176" si="354">(AC176*(1+AD176))/($C$1-AE176)</f>
        <v>#DIV/0!</v>
      </c>
    </row>
    <row r="177" spans="2:32">
      <c r="B177" s="20" t="s">
        <v>388</v>
      </c>
      <c r="C177" s="25"/>
      <c r="D177" s="25"/>
      <c r="E177" s="25"/>
      <c r="F177" s="25"/>
      <c r="G177" s="25">
        <f t="shared" ref="G177:P177" si="355">G175/G56</f>
        <v>0</v>
      </c>
      <c r="H177" s="25" t="e">
        <f t="shared" si="355"/>
        <v>#DIV/0!</v>
      </c>
      <c r="I177" s="25" t="e">
        <f t="shared" si="355"/>
        <v>#DIV/0!</v>
      </c>
      <c r="J177" s="25" t="e">
        <f t="shared" si="355"/>
        <v>#DIV/0!</v>
      </c>
      <c r="K177" s="25" t="e">
        <f t="shared" si="355"/>
        <v>#DIV/0!</v>
      </c>
      <c r="L177" s="25">
        <f t="shared" si="355"/>
        <v>0</v>
      </c>
      <c r="M177" s="25">
        <f t="shared" si="355"/>
        <v>128.23529411764707</v>
      </c>
      <c r="N177" s="25">
        <f t="shared" si="355"/>
        <v>46.744639376218323</v>
      </c>
      <c r="O177" s="25">
        <f t="shared" si="355"/>
        <v>-45.816949152542371</v>
      </c>
      <c r="P177" s="25">
        <f t="shared" si="355"/>
        <v>-3.0323873121869784</v>
      </c>
      <c r="Q177" s="25">
        <f t="shared" ref="Q177" si="356">Q175/Q56</f>
        <v>-39.58620689655173</v>
      </c>
      <c r="R177" s="118" t="e">
        <f t="shared" si="344"/>
        <v>#DIV/0!</v>
      </c>
      <c r="S177" s="128"/>
      <c r="T177" s="119">
        <f t="shared" ref="T177:AC177" si="357">T175/T56</f>
        <v>-36.965564655172415</v>
      </c>
      <c r="U177" s="119">
        <f t="shared" si="357"/>
        <v>-36.335169757927957</v>
      </c>
      <c r="V177" s="119">
        <f t="shared" si="357"/>
        <v>-35.715525345091862</v>
      </c>
      <c r="W177" s="119">
        <f t="shared" si="357"/>
        <v>-35.106448082510383</v>
      </c>
      <c r="X177" s="119">
        <f t="shared" si="357"/>
        <v>-34.50775776253186</v>
      </c>
      <c r="Y177" s="119">
        <f t="shared" si="357"/>
        <v>-33.91927725068868</v>
      </c>
      <c r="Z177" s="119">
        <f t="shared" si="357"/>
        <v>-33.34083243328854</v>
      </c>
      <c r="AA177" s="119">
        <f t="shared" si="357"/>
        <v>-32.772252165899424</v>
      </c>
      <c r="AB177" s="119">
        <f t="shared" si="357"/>
        <v>-32.2133682227131</v>
      </c>
      <c r="AC177" s="119">
        <f t="shared" si="357"/>
        <v>-31.664015246772188</v>
      </c>
      <c r="AD177" s="137" t="e">
        <f t="shared" si="347"/>
        <v>#DIV/0!</v>
      </c>
      <c r="AE177" s="31">
        <v>0.08</v>
      </c>
      <c r="AF177" s="127" t="e">
        <f t="shared" si="348"/>
        <v>#DIV/0!</v>
      </c>
    </row>
    <row r="178" spans="2:32">
      <c r="B178" s="20" t="s">
        <v>463</v>
      </c>
      <c r="C178" s="25"/>
      <c r="D178" s="25"/>
      <c r="E178" s="25"/>
      <c r="F178" s="25"/>
      <c r="G178" s="25">
        <f t="shared" ref="G178:P178" si="358">G175/G54</f>
        <v>0</v>
      </c>
      <c r="H178" s="25" t="e">
        <f t="shared" si="358"/>
        <v>#DIV/0!</v>
      </c>
      <c r="I178" s="25" t="e">
        <f t="shared" si="358"/>
        <v>#DIV/0!</v>
      </c>
      <c r="J178" s="25" t="e">
        <f t="shared" si="358"/>
        <v>#DIV/0!</v>
      </c>
      <c r="K178" s="25" t="e">
        <f t="shared" si="358"/>
        <v>#DIV/0!</v>
      </c>
      <c r="L178" s="25">
        <f t="shared" si="358"/>
        <v>0</v>
      </c>
      <c r="M178" s="25">
        <f t="shared" si="358"/>
        <v>89.711934156378589</v>
      </c>
      <c r="N178" s="25">
        <f t="shared" si="358"/>
        <v>19.655737704918035</v>
      </c>
      <c r="O178" s="25">
        <f t="shared" si="358"/>
        <v>10.200754716981132</v>
      </c>
      <c r="P178" s="25">
        <f t="shared" si="358"/>
        <v>9.4702815432742451</v>
      </c>
      <c r="Q178" s="25">
        <f>Q175/Q54</f>
        <v>2.4571917808219177</v>
      </c>
      <c r="R178" s="118" t="e">
        <f t="shared" si="344"/>
        <v>#DIV/0!</v>
      </c>
      <c r="S178" s="128"/>
      <c r="T178" s="25">
        <f t="shared" ref="T178:AC178" si="359">T175/T54</f>
        <v>2.2945234910102736</v>
      </c>
      <c r="U178" s="25">
        <f t="shared" si="359"/>
        <v>2.2553936707617948</v>
      </c>
      <c r="V178" s="25">
        <f t="shared" si="359"/>
        <v>2.216931153697911</v>
      </c>
      <c r="W178" s="25">
        <f t="shared" si="359"/>
        <v>2.1791245599160982</v>
      </c>
      <c r="X178" s="25">
        <f t="shared" si="359"/>
        <v>2.141962703581815</v>
      </c>
      <c r="Y178" s="25">
        <f t="shared" si="359"/>
        <v>2.1054345896189464</v>
      </c>
      <c r="Z178" s="25">
        <f t="shared" si="359"/>
        <v>2.069529410456695</v>
      </c>
      <c r="AA178" s="25">
        <f t="shared" si="359"/>
        <v>2.0342365428319424</v>
      </c>
      <c r="AB178" s="25">
        <f t="shared" si="359"/>
        <v>1.9995455446461476</v>
      </c>
      <c r="AC178" s="25">
        <f t="shared" si="359"/>
        <v>1.9654461518758424</v>
      </c>
      <c r="AD178" s="137" t="e">
        <f t="shared" ref="AD178:AD179" si="360">((AC178/G178)^(1/($AC$3-$H$1) ))-1</f>
        <v>#DIV/0!</v>
      </c>
      <c r="AE178" s="31">
        <v>0.08</v>
      </c>
      <c r="AF178" s="127" t="e">
        <f t="shared" ref="AF178:AF179" si="361">(AC178*(1+AD178))/($C$1-AE178)</f>
        <v>#DIV/0!</v>
      </c>
    </row>
    <row r="179" spans="2:32">
      <c r="B179" s="20" t="s">
        <v>464</v>
      </c>
      <c r="C179" s="25"/>
      <c r="D179" s="25"/>
      <c r="E179" s="25"/>
      <c r="F179" s="25"/>
      <c r="G179" s="25">
        <f t="shared" ref="G179:P179" si="362">G175/G55</f>
        <v>0</v>
      </c>
      <c r="H179" s="25" t="e">
        <f t="shared" si="362"/>
        <v>#DIV/0!</v>
      </c>
      <c r="I179" s="25" t="e">
        <f t="shared" si="362"/>
        <v>#DIV/0!</v>
      </c>
      <c r="J179" s="25" t="e">
        <f t="shared" si="362"/>
        <v>#DIV/0!</v>
      </c>
      <c r="K179" s="25" t="e">
        <f t="shared" si="362"/>
        <v>#DIV/0!</v>
      </c>
      <c r="L179" s="25">
        <f t="shared" si="362"/>
        <v>0</v>
      </c>
      <c r="M179" s="25">
        <f t="shared" si="362"/>
        <v>107.92079207920793</v>
      </c>
      <c r="N179" s="25">
        <f t="shared" si="362"/>
        <v>29.495694956949567</v>
      </c>
      <c r="O179" s="25">
        <f t="shared" si="362"/>
        <v>39752.941176470587</v>
      </c>
      <c r="P179" s="25">
        <f t="shared" si="362"/>
        <v>-4.9955995599559957</v>
      </c>
      <c r="Q179" s="25">
        <f>Q175/Q55</f>
        <v>-8.3856829802775756</v>
      </c>
      <c r="R179" s="118" t="e">
        <f t="shared" si="344"/>
        <v>#DIV/0!</v>
      </c>
      <c r="S179" s="128"/>
      <c r="T179" s="25">
        <f t="shared" ref="T179:AC179" si="363">T175/T55</f>
        <v>-7.8305432797662524</v>
      </c>
      <c r="U179" s="25">
        <f t="shared" si="363"/>
        <v>-7.697004550620238</v>
      </c>
      <c r="V179" s="25">
        <f t="shared" si="363"/>
        <v>-7.565743133730197</v>
      </c>
      <c r="W179" s="25">
        <f t="shared" si="363"/>
        <v>-7.4367201927889042</v>
      </c>
      <c r="X179" s="25">
        <f t="shared" si="363"/>
        <v>-7.3098975537868798</v>
      </c>
      <c r="Y179" s="25">
        <f t="shared" si="363"/>
        <v>-7.1852376937178359</v>
      </c>
      <c r="Z179" s="25">
        <f t="shared" si="363"/>
        <v>-7.0627037294767563</v>
      </c>
      <c r="AA179" s="25">
        <f t="shared" si="363"/>
        <v>-6.9422594069472865</v>
      </c>
      <c r="AB179" s="25">
        <f t="shared" si="363"/>
        <v>-6.823869090275239</v>
      </c>
      <c r="AC179" s="25">
        <f t="shared" si="363"/>
        <v>-6.7074977513250076</v>
      </c>
      <c r="AD179" s="137" t="e">
        <f t="shared" si="360"/>
        <v>#DIV/0!</v>
      </c>
      <c r="AE179" s="31">
        <v>0.08</v>
      </c>
      <c r="AF179" s="127" t="e">
        <f t="shared" si="361"/>
        <v>#DIV/0!</v>
      </c>
    </row>
    <row r="180" spans="2:32">
      <c r="B180" s="20" t="s">
        <v>258</v>
      </c>
      <c r="C180" s="25"/>
      <c r="D180" s="25"/>
      <c r="E180" s="25"/>
      <c r="F180" s="25"/>
      <c r="G180" s="25">
        <f t="shared" ref="G180:P180" si="364">G175/G59</f>
        <v>0</v>
      </c>
      <c r="H180" s="25" t="e">
        <f t="shared" si="364"/>
        <v>#DIV/0!</v>
      </c>
      <c r="I180" s="25" t="e">
        <f t="shared" si="364"/>
        <v>#DIV/0!</v>
      </c>
      <c r="J180" s="25" t="e">
        <f t="shared" si="364"/>
        <v>#DIV/0!</v>
      </c>
      <c r="K180" s="25" t="e">
        <f t="shared" si="364"/>
        <v>#DIV/0!</v>
      </c>
      <c r="L180" s="25">
        <f t="shared" si="364"/>
        <v>0</v>
      </c>
      <c r="M180" s="25">
        <f t="shared" si="364"/>
        <v>6.0606060606060606</v>
      </c>
      <c r="N180" s="25">
        <f t="shared" si="364"/>
        <v>5.8388117847577314</v>
      </c>
      <c r="O180" s="25">
        <f t="shared" si="364"/>
        <v>3.5006475006475006</v>
      </c>
      <c r="P180" s="25">
        <f t="shared" si="364"/>
        <v>4.78</v>
      </c>
      <c r="Q180" s="25">
        <f t="shared" ref="Q180" si="365">Q175/Q59</f>
        <v>3.1272132933805499</v>
      </c>
      <c r="R180" s="118" t="e">
        <f t="shared" si="344"/>
        <v>#DIV/0!</v>
      </c>
      <c r="S180" s="128"/>
      <c r="T180" s="119">
        <f t="shared" ref="T180:AC180" si="366">T175/T59</f>
        <v>2.9201889812040314</v>
      </c>
      <c r="U180" s="119">
        <f t="shared" si="366"/>
        <v>2.8703893298281411</v>
      </c>
      <c r="V180" s="119">
        <f t="shared" si="366"/>
        <v>2.821438940364108</v>
      </c>
      <c r="W180" s="119">
        <f t="shared" si="366"/>
        <v>2.7733233298632554</v>
      </c>
      <c r="X180" s="119">
        <f t="shared" si="366"/>
        <v>2.7260282623629091</v>
      </c>
      <c r="Y180" s="119">
        <f t="shared" si="366"/>
        <v>2.6795397446743983</v>
      </c>
      <c r="Z180" s="119">
        <f t="shared" si="366"/>
        <v>2.6338440222428976</v>
      </c>
      <c r="AA180" s="119">
        <f t="shared" si="366"/>
        <v>2.5889275750778626</v>
      </c>
      <c r="AB180" s="119">
        <f t="shared" si="366"/>
        <v>2.5447771137528745</v>
      </c>
      <c r="AC180" s="119">
        <f t="shared" si="366"/>
        <v>2.5013795754736954</v>
      </c>
      <c r="AD180" s="137" t="e">
        <f t="shared" si="347"/>
        <v>#DIV/0!</v>
      </c>
      <c r="AE180" s="31">
        <v>0.08</v>
      </c>
      <c r="AF180" s="127" t="e">
        <f t="shared" si="348"/>
        <v>#DIV/0!</v>
      </c>
    </row>
    <row r="181" spans="2:32">
      <c r="B181" s="20" t="s">
        <v>259</v>
      </c>
      <c r="C181" s="25"/>
      <c r="D181" s="25"/>
      <c r="E181" s="25"/>
      <c r="F181" s="25"/>
      <c r="G181" s="25">
        <f t="shared" ref="G181:P181" si="367">G175/G68</f>
        <v>0</v>
      </c>
      <c r="H181" s="25" t="e">
        <f t="shared" si="367"/>
        <v>#DIV/0!</v>
      </c>
      <c r="I181" s="25" t="e">
        <f t="shared" si="367"/>
        <v>#DIV/0!</v>
      </c>
      <c r="J181" s="25" t="e">
        <f t="shared" si="367"/>
        <v>#DIV/0!</v>
      </c>
      <c r="K181" s="25" t="e">
        <f t="shared" si="367"/>
        <v>#DIV/0!</v>
      </c>
      <c r="L181" s="25">
        <f t="shared" si="367"/>
        <v>0</v>
      </c>
      <c r="M181" s="25">
        <f t="shared" si="367"/>
        <v>18.69623759659008</v>
      </c>
      <c r="N181" s="25">
        <f t="shared" si="367"/>
        <v>18.956521739130434</v>
      </c>
      <c r="O181" s="25">
        <f t="shared" si="367"/>
        <v>4.1472844430806992</v>
      </c>
      <c r="P181" s="25">
        <f t="shared" si="367"/>
        <v>5.2165422171165998</v>
      </c>
      <c r="Q181" s="25">
        <f t="shared" ref="Q181" si="368">Q175/Q68</f>
        <v>12.148148148148147</v>
      </c>
      <c r="R181" s="118" t="e">
        <f t="shared" si="344"/>
        <v>#DIV/0!</v>
      </c>
      <c r="S181" s="128"/>
      <c r="T181" s="119">
        <f t="shared" ref="T181:AC181" si="369">T175/T68</f>
        <v>11.343929894179892</v>
      </c>
      <c r="U181" s="119">
        <f t="shared" si="369"/>
        <v>11.15047537544879</v>
      </c>
      <c r="V181" s="119">
        <f t="shared" si="369"/>
        <v>10.960319947171046</v>
      </c>
      <c r="W181" s="119">
        <f t="shared" si="369"/>
        <v>10.773407348071968</v>
      </c>
      <c r="X181" s="119">
        <f t="shared" si="369"/>
        <v>10.589682276332525</v>
      </c>
      <c r="Y181" s="119">
        <f t="shared" si="369"/>
        <v>10.409090373227212</v>
      </c>
      <c r="Z181" s="119">
        <f t="shared" si="369"/>
        <v>10.231578207040927</v>
      </c>
      <c r="AA181" s="119">
        <f t="shared" si="369"/>
        <v>10.05709325726014</v>
      </c>
      <c r="AB181" s="119">
        <f t="shared" si="369"/>
        <v>9.8855838990336515</v>
      </c>
      <c r="AC181" s="119">
        <f t="shared" si="369"/>
        <v>9.7169993878983441</v>
      </c>
      <c r="AD181" s="137" t="e">
        <f t="shared" si="347"/>
        <v>#DIV/0!</v>
      </c>
      <c r="AE181" s="31">
        <v>0.08</v>
      </c>
      <c r="AF181" s="127" t="e">
        <f t="shared" si="348"/>
        <v>#DIV/0!</v>
      </c>
    </row>
    <row r="182" spans="2:32">
      <c r="B182" s="20" t="s">
        <v>260</v>
      </c>
      <c r="C182" s="25"/>
      <c r="D182" s="25"/>
      <c r="E182" s="25"/>
      <c r="F182" s="25"/>
      <c r="G182" s="25">
        <f t="shared" ref="G182:P182" si="370">G175/G70</f>
        <v>0</v>
      </c>
      <c r="H182" s="25" t="e">
        <f t="shared" si="370"/>
        <v>#DIV/0!</v>
      </c>
      <c r="I182" s="25" t="e">
        <f t="shared" si="370"/>
        <v>#DIV/0!</v>
      </c>
      <c r="J182" s="25" t="e">
        <f t="shared" si="370"/>
        <v>#DIV/0!</v>
      </c>
      <c r="K182" s="25" t="e">
        <f t="shared" si="370"/>
        <v>#DIV/0!</v>
      </c>
      <c r="L182" s="25">
        <f t="shared" si="370"/>
        <v>0</v>
      </c>
      <c r="M182" s="25">
        <f t="shared" si="370"/>
        <v>24.384787472035796</v>
      </c>
      <c r="N182" s="25">
        <f t="shared" si="370"/>
        <v>-21.979835013748854</v>
      </c>
      <c r="O182" s="25">
        <f t="shared" si="370"/>
        <v>221.57377049180329</v>
      </c>
      <c r="P182" s="25">
        <f t="shared" si="370"/>
        <v>-1.4669681796155709</v>
      </c>
      <c r="Q182" s="25">
        <f t="shared" ref="Q182" si="371">Q175/Q70</f>
        <v>-2.9997386987196237</v>
      </c>
      <c r="R182" s="118" t="e">
        <f t="shared" si="344"/>
        <v>#DIV/0!</v>
      </c>
      <c r="S182" s="128"/>
      <c r="T182" s="119">
        <f t="shared" ref="T182:AC182" si="372">T175/T70</f>
        <v>-2.8011533185262603</v>
      </c>
      <c r="U182" s="119">
        <f t="shared" si="372"/>
        <v>-2.7533836503263931</v>
      </c>
      <c r="V182" s="119">
        <f t="shared" si="372"/>
        <v>-2.706428625575291</v>
      </c>
      <c r="W182" s="119">
        <f t="shared" si="372"/>
        <v>-2.6602743516927121</v>
      </c>
      <c r="X182" s="119">
        <f t="shared" si="372"/>
        <v>-2.6149071730165239</v>
      </c>
      <c r="Y182" s="119">
        <f t="shared" si="372"/>
        <v>-2.5703136667624027</v>
      </c>
      <c r="Z182" s="119">
        <f t="shared" si="372"/>
        <v>-2.526480639052437</v>
      </c>
      <c r="AA182" s="119">
        <f t="shared" si="372"/>
        <v>-2.4833951210114531</v>
      </c>
      <c r="AB182" s="119">
        <f t="shared" si="372"/>
        <v>-2.4410443649299185</v>
      </c>
      <c r="AC182" s="119">
        <f t="shared" si="372"/>
        <v>-2.3994158404922743</v>
      </c>
      <c r="AD182" s="137" t="e">
        <f t="shared" si="347"/>
        <v>#DIV/0!</v>
      </c>
      <c r="AE182" s="31">
        <v>0.08</v>
      </c>
      <c r="AF182" s="127" t="e">
        <f t="shared" si="348"/>
        <v>#DIV/0!</v>
      </c>
    </row>
    <row r="183" spans="2:32">
      <c r="B183" s="20" t="s">
        <v>281</v>
      </c>
      <c r="C183" s="25"/>
      <c r="D183" s="25"/>
      <c r="E183" s="25"/>
      <c r="F183" s="25"/>
      <c r="G183" s="181">
        <f t="shared" ref="G183:P183" si="373">G175/G64</f>
        <v>0</v>
      </c>
      <c r="H183" s="181" t="e">
        <f t="shared" si="373"/>
        <v>#DIV/0!</v>
      </c>
      <c r="I183" s="181" t="e">
        <f t="shared" si="373"/>
        <v>#DIV/0!</v>
      </c>
      <c r="J183" s="181" t="e">
        <f t="shared" si="373"/>
        <v>#DIV/0!</v>
      </c>
      <c r="K183" s="181" t="e">
        <f t="shared" si="373"/>
        <v>#DIV/0!</v>
      </c>
      <c r="L183" s="181">
        <f t="shared" si="373"/>
        <v>0</v>
      </c>
      <c r="M183" s="181">
        <f t="shared" si="373"/>
        <v>-3.7534435261707992</v>
      </c>
      <c r="N183" s="181">
        <f t="shared" si="373"/>
        <v>-1.2056915883151489</v>
      </c>
      <c r="O183" s="181">
        <f t="shared" si="373"/>
        <v>-0.40354700982294811</v>
      </c>
      <c r="P183" s="181">
        <f t="shared" si="373"/>
        <v>-0.21846960621587166</v>
      </c>
      <c r="Q183" s="181">
        <f t="shared" ref="Q183" si="374">Q175/Q64</f>
        <v>-0.27931193888226569</v>
      </c>
      <c r="R183" s="118" t="e">
        <f t="shared" ref="R183:R186" si="375">((P183/G183)^(1/($H$2-$H$1) ))-1</f>
        <v>#DIV/0!</v>
      </c>
      <c r="S183" s="128"/>
      <c r="T183" s="134">
        <f t="shared" ref="T183:AC183" si="376">T175/T64</f>
        <v>-0.26082123914259991</v>
      </c>
      <c r="U183" s="134">
        <f t="shared" si="376"/>
        <v>-0.25637330551079313</v>
      </c>
      <c r="V183" s="134">
        <f t="shared" si="376"/>
        <v>-0.25200122503288586</v>
      </c>
      <c r="W183" s="134">
        <f t="shared" si="376"/>
        <v>-0.24770370414169998</v>
      </c>
      <c r="X183" s="134">
        <f t="shared" si="376"/>
        <v>-0.24347947132999778</v>
      </c>
      <c r="Y183" s="134">
        <f t="shared" si="376"/>
        <v>-0.23932727677428081</v>
      </c>
      <c r="Z183" s="134">
        <f t="shared" si="376"/>
        <v>-0.23524589196500512</v>
      </c>
      <c r="AA183" s="134">
        <f t="shared" si="376"/>
        <v>-0.23123410934310198</v>
      </c>
      <c r="AB183" s="134">
        <f t="shared" si="376"/>
        <v>-0.22729074194269727</v>
      </c>
      <c r="AC183" s="134">
        <f t="shared" si="376"/>
        <v>-0.22341462303992446</v>
      </c>
      <c r="AD183" s="137" t="e">
        <f t="shared" ref="AD183" si="377">((AC183/G183)^(1/($AC$3-$H$1) ))-1</f>
        <v>#DIV/0!</v>
      </c>
      <c r="AE183" s="31">
        <v>0.08</v>
      </c>
      <c r="AF183" s="127" t="e">
        <f t="shared" si="348"/>
        <v>#DIV/0!</v>
      </c>
    </row>
    <row r="184" spans="2:32">
      <c r="B184" s="20" t="s">
        <v>370</v>
      </c>
      <c r="C184" s="160"/>
      <c r="D184" s="160"/>
      <c r="E184" s="160"/>
      <c r="F184" s="160"/>
      <c r="G184" s="160" t="e">
        <f t="shared" ref="G184:P184" si="378">G56/G175</f>
        <v>#DIV/0!</v>
      </c>
      <c r="H184" s="160" t="e">
        <f t="shared" si="378"/>
        <v>#DIV/0!</v>
      </c>
      <c r="I184" s="160" t="e">
        <f t="shared" si="378"/>
        <v>#DIV/0!</v>
      </c>
      <c r="J184" s="160" t="e">
        <f t="shared" si="378"/>
        <v>#DIV/0!</v>
      </c>
      <c r="K184" s="160" t="e">
        <f t="shared" si="378"/>
        <v>#DIV/0!</v>
      </c>
      <c r="L184" s="160" t="e">
        <f t="shared" si="378"/>
        <v>#DIV/0!</v>
      </c>
      <c r="M184" s="160">
        <f t="shared" si="378"/>
        <v>7.7981651376146785E-3</v>
      </c>
      <c r="N184" s="160">
        <f t="shared" si="378"/>
        <v>2.1392827356130108E-2</v>
      </c>
      <c r="O184" s="160">
        <f t="shared" si="378"/>
        <v>-2.1825984018940515E-2</v>
      </c>
      <c r="P184" s="160">
        <f t="shared" si="378"/>
        <v>-0.32977317771415987</v>
      </c>
      <c r="Q184" s="160">
        <f t="shared" ref="Q184" si="379">Q56/Q175</f>
        <v>-2.5261324041811844E-2</v>
      </c>
      <c r="R184" s="118" t="e">
        <f t="shared" si="375"/>
        <v>#DIV/0!</v>
      </c>
      <c r="S184" s="128"/>
      <c r="T184" s="160">
        <f t="shared" ref="T184:AC184" si="380">T56/T175</f>
        <v>-2.7052204107480739E-2</v>
      </c>
      <c r="U184" s="160">
        <f t="shared" si="380"/>
        <v>-2.7521544736468732E-2</v>
      </c>
      <c r="V184" s="160">
        <f t="shared" si="380"/>
        <v>-2.7999028163180111E-2</v>
      </c>
      <c r="W184" s="160">
        <f t="shared" si="380"/>
        <v>-2.8484795660606525E-2</v>
      </c>
      <c r="X184" s="160">
        <f t="shared" si="380"/>
        <v>-2.8978990952747124E-2</v>
      </c>
      <c r="Y184" s="160">
        <f t="shared" si="380"/>
        <v>-2.9481760257132148E-2</v>
      </c>
      <c r="Z184" s="160">
        <f t="shared" si="380"/>
        <v>-2.9993252328084301E-2</v>
      </c>
      <c r="AA184" s="160">
        <f t="shared" si="380"/>
        <v>-3.0513618500730689E-2</v>
      </c>
      <c r="AB184" s="160">
        <f t="shared" si="380"/>
        <v>-3.1043012735778336E-2</v>
      </c>
      <c r="AC184" s="160">
        <f t="shared" si="380"/>
        <v>-3.1581591665066529E-2</v>
      </c>
      <c r="AD184" s="137" t="e">
        <f t="shared" ref="AD184:AD186" si="381">((AC184/G184)^(1/($AC$3-$H$1) ))-1</f>
        <v>#DIV/0!</v>
      </c>
      <c r="AE184" s="31">
        <v>0.08</v>
      </c>
      <c r="AF184" s="127" t="e">
        <f t="shared" si="348"/>
        <v>#DIV/0!</v>
      </c>
    </row>
    <row r="185" spans="2:32">
      <c r="B185" s="20" t="s">
        <v>319</v>
      </c>
      <c r="C185" s="151"/>
      <c r="D185" s="151"/>
      <c r="E185" s="151"/>
      <c r="F185" s="151"/>
      <c r="G185" s="151" t="e">
        <f t="shared" ref="G185:P185" si="382">G44/G175</f>
        <v>#DIV/0!</v>
      </c>
      <c r="H185" s="151" t="e">
        <f t="shared" si="382"/>
        <v>#DIV/0!</v>
      </c>
      <c r="I185" s="151" t="e">
        <f t="shared" si="382"/>
        <v>#DIV/0!</v>
      </c>
      <c r="J185" s="151" t="e">
        <f t="shared" si="382"/>
        <v>#DIV/0!</v>
      </c>
      <c r="K185" s="151" t="e">
        <f t="shared" si="382"/>
        <v>#DIV/0!</v>
      </c>
      <c r="L185" s="151" t="e">
        <f t="shared" si="382"/>
        <v>#DIV/0!</v>
      </c>
      <c r="M185" s="151">
        <f t="shared" si="382"/>
        <v>0</v>
      </c>
      <c r="N185" s="151">
        <f t="shared" si="382"/>
        <v>0</v>
      </c>
      <c r="O185" s="151">
        <f t="shared" si="382"/>
        <v>0</v>
      </c>
      <c r="P185" s="151">
        <f t="shared" si="382"/>
        <v>0</v>
      </c>
      <c r="Q185" s="151">
        <f t="shared" ref="Q185" si="383">Q44/Q175</f>
        <v>0</v>
      </c>
      <c r="R185" s="118" t="e">
        <f t="shared" si="375"/>
        <v>#DIV/0!</v>
      </c>
      <c r="S185" s="128"/>
      <c r="T185" s="151">
        <f t="shared" ref="T185:AC185" si="384">T44/T175</f>
        <v>0</v>
      </c>
      <c r="U185" s="151">
        <f t="shared" si="384"/>
        <v>0</v>
      </c>
      <c r="V185" s="151">
        <f t="shared" si="384"/>
        <v>0</v>
      </c>
      <c r="W185" s="151">
        <f t="shared" si="384"/>
        <v>0</v>
      </c>
      <c r="X185" s="151">
        <f t="shared" si="384"/>
        <v>0</v>
      </c>
      <c r="Y185" s="151">
        <f t="shared" si="384"/>
        <v>0</v>
      </c>
      <c r="Z185" s="151">
        <f t="shared" si="384"/>
        <v>0</v>
      </c>
      <c r="AA185" s="151">
        <f t="shared" si="384"/>
        <v>0</v>
      </c>
      <c r="AB185" s="151">
        <f t="shared" si="384"/>
        <v>0</v>
      </c>
      <c r="AC185" s="151">
        <f t="shared" si="384"/>
        <v>0</v>
      </c>
      <c r="AD185" s="137" t="e">
        <f t="shared" si="381"/>
        <v>#DIV/0!</v>
      </c>
      <c r="AE185" s="31">
        <v>0.08</v>
      </c>
      <c r="AF185" s="127" t="e">
        <f t="shared" si="348"/>
        <v>#DIV/0!</v>
      </c>
    </row>
    <row r="186" spans="2:32">
      <c r="B186" s="20" t="s">
        <v>445</v>
      </c>
      <c r="C186" s="180"/>
      <c r="D186" s="180"/>
      <c r="E186" s="180"/>
      <c r="F186" s="180"/>
      <c r="G186" s="180">
        <f t="shared" ref="G186:O186" si="385">(G177)/($L$2*100)</f>
        <v>0</v>
      </c>
      <c r="H186" s="180" t="e">
        <f t="shared" si="385"/>
        <v>#DIV/0!</v>
      </c>
      <c r="I186" s="180" t="e">
        <f t="shared" si="385"/>
        <v>#DIV/0!</v>
      </c>
      <c r="J186" s="180" t="e">
        <f t="shared" si="385"/>
        <v>#DIV/0!</v>
      </c>
      <c r="K186" s="180" t="e">
        <f t="shared" si="385"/>
        <v>#DIV/0!</v>
      </c>
      <c r="L186" s="180">
        <f t="shared" si="385"/>
        <v>0</v>
      </c>
      <c r="M186" s="180">
        <f t="shared" si="385"/>
        <v>10.686274509803923</v>
      </c>
      <c r="N186" s="180">
        <f t="shared" si="385"/>
        <v>3.8953866146848601</v>
      </c>
      <c r="O186" s="180">
        <f t="shared" si="385"/>
        <v>-3.8180790960451976</v>
      </c>
      <c r="P186" s="180">
        <f>(P177)/($L$2*100)</f>
        <v>-0.25269894268224818</v>
      </c>
      <c r="Q186" s="180">
        <f>(Q177)/($L$2*100)</f>
        <v>-3.298850574712644</v>
      </c>
      <c r="R186" s="118" t="e">
        <f t="shared" si="375"/>
        <v>#DIV/0!</v>
      </c>
      <c r="S186" s="128"/>
      <c r="T186" s="180">
        <f>(T177)/($L$2*100)</f>
        <v>-3.0804637212643677</v>
      </c>
      <c r="U186" s="180">
        <f t="shared" ref="U186:AC186" si="386">(U177)/($L$2*100)</f>
        <v>-3.0279308131606633</v>
      </c>
      <c r="V186" s="180">
        <f t="shared" si="386"/>
        <v>-2.9762937787576553</v>
      </c>
      <c r="W186" s="180">
        <f t="shared" si="386"/>
        <v>-2.9255373402091984</v>
      </c>
      <c r="X186" s="180">
        <f t="shared" si="386"/>
        <v>-2.8756464802109885</v>
      </c>
      <c r="Y186" s="180">
        <f t="shared" si="386"/>
        <v>-2.8266064375573898</v>
      </c>
      <c r="Z186" s="180">
        <f t="shared" si="386"/>
        <v>-2.778402702774045</v>
      </c>
      <c r="AA186" s="180">
        <f t="shared" si="386"/>
        <v>-2.731021013824952</v>
      </c>
      <c r="AB186" s="180">
        <f t="shared" si="386"/>
        <v>-2.6844473518927585</v>
      </c>
      <c r="AC186" s="180">
        <f t="shared" si="386"/>
        <v>-2.6386679372310158</v>
      </c>
      <c r="AD186" s="137" t="e">
        <f t="shared" si="381"/>
        <v>#DIV/0!</v>
      </c>
      <c r="AE186" s="31">
        <v>0.08</v>
      </c>
      <c r="AF186" s="180" t="e">
        <f>(AF177)/($L$2*100)</f>
        <v>#DIV/0!</v>
      </c>
    </row>
    <row r="187" spans="2:32">
      <c r="B187" s="20" t="s">
        <v>446</v>
      </c>
      <c r="C187" s="151"/>
      <c r="D187" s="151"/>
      <c r="E187" s="151"/>
      <c r="F187" s="151"/>
      <c r="G187" s="151">
        <f t="shared" ref="G187:P187" si="387">G186-1</f>
        <v>-1</v>
      </c>
      <c r="H187" s="151" t="e">
        <f t="shared" si="387"/>
        <v>#DIV/0!</v>
      </c>
      <c r="I187" s="151" t="e">
        <f t="shared" si="387"/>
        <v>#DIV/0!</v>
      </c>
      <c r="J187" s="151" t="e">
        <f t="shared" si="387"/>
        <v>#DIV/0!</v>
      </c>
      <c r="K187" s="151" t="e">
        <f t="shared" si="387"/>
        <v>#DIV/0!</v>
      </c>
      <c r="L187" s="151">
        <f t="shared" si="387"/>
        <v>-1</v>
      </c>
      <c r="M187" s="151">
        <f t="shared" si="387"/>
        <v>9.6862745098039227</v>
      </c>
      <c r="N187" s="151">
        <f t="shared" si="387"/>
        <v>2.8953866146848601</v>
      </c>
      <c r="O187" s="151">
        <f t="shared" si="387"/>
        <v>-4.8180790960451976</v>
      </c>
      <c r="P187" s="151">
        <f t="shared" si="387"/>
        <v>-1.2526989426822481</v>
      </c>
      <c r="Q187" s="151">
        <f>Q186-1</f>
        <v>-4.2988505747126435</v>
      </c>
      <c r="R187" s="128"/>
      <c r="S187" s="128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6"/>
      <c r="AE187" s="20"/>
      <c r="AF187" s="127"/>
    </row>
    <row r="188" spans="2:32">
      <c r="B188" s="20"/>
      <c r="C188" s="129"/>
      <c r="D188" s="129"/>
      <c r="E188" s="129"/>
      <c r="F188" s="129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28"/>
      <c r="S188" s="128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6"/>
      <c r="AE188" s="20"/>
      <c r="AF188" s="20"/>
    </row>
    <row r="189" spans="2:32">
      <c r="B189" s="108" t="s">
        <v>300</v>
      </c>
      <c r="C189" s="20"/>
      <c r="D189" s="20"/>
      <c r="E189" s="20"/>
      <c r="F189" s="20"/>
      <c r="G189" s="20"/>
      <c r="H189" s="20"/>
      <c r="I189" s="20"/>
      <c r="J189" s="20"/>
      <c r="K189" s="205" t="s">
        <v>350</v>
      </c>
      <c r="L189" s="206"/>
      <c r="M189" s="20"/>
      <c r="N189" s="20"/>
      <c r="O189" s="20"/>
      <c r="P189" s="108" t="s">
        <v>429</v>
      </c>
      <c r="Q189" s="108" t="s">
        <v>428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32">
      <c r="B190" s="20" t="s">
        <v>298</v>
      </c>
      <c r="C190" s="20" t="s">
        <v>313</v>
      </c>
      <c r="D190" s="20"/>
      <c r="E190" s="20"/>
      <c r="F190" s="20"/>
      <c r="G190" s="20"/>
      <c r="H190" s="20"/>
      <c r="I190" s="20"/>
      <c r="J190" s="20"/>
      <c r="K190" s="20" t="s">
        <v>351</v>
      </c>
      <c r="L190" s="22">
        <v>1</v>
      </c>
      <c r="M190" s="20"/>
      <c r="N190" s="20"/>
      <c r="O190" s="20"/>
      <c r="P190" s="128">
        <f>(Q175-S162)/Q175</f>
        <v>1</v>
      </c>
      <c r="Q190" s="128">
        <f>(Q175-T162)/Q175</f>
        <v>1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>
      <c r="B191" s="20" t="s">
        <v>348</v>
      </c>
      <c r="C191" s="20" t="s">
        <v>313</v>
      </c>
      <c r="D191" s="20"/>
      <c r="E191" s="20"/>
      <c r="F191" s="20"/>
      <c r="G191" s="20"/>
      <c r="H191" s="20"/>
      <c r="I191" s="20"/>
      <c r="J191" s="20"/>
      <c r="K191" s="171">
        <f>$L$190</f>
        <v>1</v>
      </c>
      <c r="L191" s="20"/>
      <c r="M191" s="128">
        <f>(P175-(K191*S153))/P175</f>
        <v>13.700646175254152</v>
      </c>
      <c r="N191" s="20"/>
      <c r="O191" s="20"/>
      <c r="P191" s="128">
        <f>(Q175-S153)/Q175</f>
        <v>13.065613866491443</v>
      </c>
      <c r="Q191" s="128">
        <f>(Q175-T153)/Q175</f>
        <v>2.6812740633635617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>
      <c r="B192" s="20" t="s">
        <v>349</v>
      </c>
      <c r="C192" s="20" t="s">
        <v>313</v>
      </c>
      <c r="D192" s="20"/>
      <c r="E192" s="20"/>
      <c r="F192" s="20"/>
      <c r="G192" s="20"/>
      <c r="H192" s="20"/>
      <c r="I192" s="20"/>
      <c r="J192" s="20"/>
      <c r="K192" s="171">
        <f>$L$190</f>
        <v>1</v>
      </c>
      <c r="L192" s="20"/>
      <c r="M192" s="128">
        <f>(P175-(K192*S146))/P175</f>
        <v>-1.0218565953307193</v>
      </c>
      <c r="N192" s="20"/>
      <c r="O192" s="20"/>
      <c r="P192" s="128">
        <f>(Q175-S146)/Q175</f>
        <v>-0.92076376556418327</v>
      </c>
      <c r="Q192" s="128">
        <f>(Q175-T146)/Q175</f>
        <v>0.73235259004433517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46">
      <c r="B193" s="20" t="s">
        <v>352</v>
      </c>
      <c r="C193" s="20" t="s">
        <v>313</v>
      </c>
      <c r="D193" s="20"/>
      <c r="E193" s="20"/>
      <c r="F193" s="20"/>
      <c r="G193" s="20"/>
      <c r="H193" s="20"/>
      <c r="I193" s="20"/>
      <c r="J193" s="20"/>
      <c r="K193" s="171">
        <f>$L$190</f>
        <v>1</v>
      </c>
      <c r="L193" s="20"/>
      <c r="M193" s="128">
        <f>(P175-(K193*S159))/P175</f>
        <v>0.65978829243005366</v>
      </c>
      <c r="N193" s="20"/>
      <c r="O193" s="20"/>
      <c r="P193" s="128">
        <f>(Q175-S159)/Q175</f>
        <v>0.67679887780855097</v>
      </c>
      <c r="Q193" s="128">
        <f>(Q175-T159)/Q175</f>
        <v>0.95496377805528998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46">
      <c r="B194" s="20" t="s">
        <v>398</v>
      </c>
      <c r="C194" s="20" t="s">
        <v>313</v>
      </c>
      <c r="D194" s="20"/>
      <c r="E194" s="20"/>
      <c r="F194" s="20"/>
      <c r="G194" s="20"/>
      <c r="H194" s="20"/>
      <c r="I194" s="20"/>
      <c r="J194" s="20"/>
      <c r="K194" s="171">
        <f>$L$190</f>
        <v>1</v>
      </c>
      <c r="L194" s="20"/>
      <c r="M194" s="128">
        <f>(P175-(K194*S172))/P175</f>
        <v>0.87850750080171869</v>
      </c>
      <c r="N194" s="20"/>
      <c r="O194" s="20"/>
      <c r="P194" s="128">
        <f>(Q175-S172)/Q175</f>
        <v>0.88458212576163275</v>
      </c>
      <c r="Q194" s="128">
        <f>(Q175-T172)/Q175</f>
        <v>0.90504711503326496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46">
      <c r="B195" s="20" t="s">
        <v>299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5">
        <f>Q175/S145</f>
        <v>-11.746404930171156</v>
      </c>
      <c r="Q195" s="25">
        <f>Q175/T145</f>
        <v>-84.297729498875341</v>
      </c>
      <c r="R195" s="20"/>
      <c r="S195" s="20"/>
      <c r="T195" s="115" t="s">
        <v>11</v>
      </c>
      <c r="U195" s="115" t="s">
        <v>12</v>
      </c>
      <c r="V195" s="115" t="s">
        <v>13</v>
      </c>
      <c r="W195" s="115" t="s">
        <v>14</v>
      </c>
      <c r="X195" s="115" t="s">
        <v>15</v>
      </c>
      <c r="Y195" s="115" t="s">
        <v>234</v>
      </c>
      <c r="Z195" s="115" t="s">
        <v>235</v>
      </c>
      <c r="AA195" s="115" t="s">
        <v>236</v>
      </c>
      <c r="AB195" s="115" t="s">
        <v>237</v>
      </c>
      <c r="AC195" s="115" t="s">
        <v>238</v>
      </c>
      <c r="AD195" s="115" t="s">
        <v>406</v>
      </c>
      <c r="AE195" s="115" t="s">
        <v>407</v>
      </c>
      <c r="AF195" s="115" t="s">
        <v>408</v>
      </c>
      <c r="AG195" s="115" t="s">
        <v>409</v>
      </c>
      <c r="AH195" s="115" t="s">
        <v>410</v>
      </c>
      <c r="AI195" s="115" t="s">
        <v>411</v>
      </c>
      <c r="AJ195" s="115" t="s">
        <v>412</v>
      </c>
      <c r="AK195" s="115" t="s">
        <v>413</v>
      </c>
      <c r="AL195" s="115" t="s">
        <v>414</v>
      </c>
      <c r="AM195" s="115" t="s">
        <v>415</v>
      </c>
      <c r="AN195" s="115" t="s">
        <v>416</v>
      </c>
      <c r="AO195" s="115" t="s">
        <v>417</v>
      </c>
      <c r="AP195" s="115" t="s">
        <v>418</v>
      </c>
      <c r="AQ195" s="115" t="s">
        <v>419</v>
      </c>
      <c r="AR195" s="115" t="s">
        <v>420</v>
      </c>
      <c r="AS195" s="115" t="s">
        <v>421</v>
      </c>
      <c r="AT195" s="115" t="s">
        <v>422</v>
      </c>
    </row>
    <row r="196" spans="2:46">
      <c r="B196" s="20" t="s">
        <v>370</v>
      </c>
      <c r="C196" s="20"/>
      <c r="D196" s="20"/>
      <c r="E196" s="20"/>
      <c r="F196" s="20"/>
      <c r="G196" s="188" t="s">
        <v>447</v>
      </c>
      <c r="H196" s="189"/>
      <c r="I196" s="188" t="s">
        <v>448</v>
      </c>
      <c r="J196" s="189"/>
      <c r="K196" s="20"/>
      <c r="L196" s="188" t="s">
        <v>449</v>
      </c>
      <c r="M196" s="189"/>
      <c r="N196" s="188" t="s">
        <v>450</v>
      </c>
      <c r="O196" s="189"/>
      <c r="P196" s="151">
        <f>1/P195</f>
        <v>-8.5132430385696664E-2</v>
      </c>
      <c r="Q196" s="151">
        <f>1/Q195</f>
        <v>-1.1862715709482323E-2</v>
      </c>
      <c r="R196" s="20"/>
      <c r="S196" s="20"/>
      <c r="T196" s="129" t="e">
        <f>Q175-T197</f>
        <v>#DIV/0!</v>
      </c>
      <c r="U196" s="184" t="e">
        <f>T196-U197</f>
        <v>#DIV/0!</v>
      </c>
      <c r="V196" s="184" t="e">
        <f t="shared" ref="V196:X196" si="388">U196-V197</f>
        <v>#DIV/0!</v>
      </c>
      <c r="W196" s="184" t="e">
        <f t="shared" si="388"/>
        <v>#DIV/0!</v>
      </c>
      <c r="X196" s="184" t="e">
        <f t="shared" si="388"/>
        <v>#DIV/0!</v>
      </c>
      <c r="Y196" s="184" t="e">
        <f>X196-Y197</f>
        <v>#DIV/0!</v>
      </c>
      <c r="Z196" s="184" t="e">
        <f t="shared" ref="Z196:AC196" si="389">Y196-Z197</f>
        <v>#DIV/0!</v>
      </c>
      <c r="AA196" s="184" t="e">
        <f t="shared" si="389"/>
        <v>#DIV/0!</v>
      </c>
      <c r="AB196" s="184" t="e">
        <f t="shared" si="389"/>
        <v>#DIV/0!</v>
      </c>
      <c r="AC196" s="184" t="e">
        <f t="shared" si="389"/>
        <v>#DIV/0!</v>
      </c>
      <c r="AD196" s="184" t="e">
        <f t="shared" ref="AD196" si="390">AC196-AD197</f>
        <v>#DIV/0!</v>
      </c>
      <c r="AE196" s="184" t="e">
        <f t="shared" ref="AE196" si="391">AD196-AE197</f>
        <v>#DIV/0!</v>
      </c>
      <c r="AF196" s="184" t="e">
        <f t="shared" ref="AF196" si="392">AE196-AF197</f>
        <v>#DIV/0!</v>
      </c>
      <c r="AG196" s="184" t="e">
        <f t="shared" ref="AG196" si="393">AF196-AG197</f>
        <v>#DIV/0!</v>
      </c>
      <c r="AH196" s="184" t="e">
        <f t="shared" ref="AH196" si="394">AG196-AH197</f>
        <v>#DIV/0!</v>
      </c>
      <c r="AI196" s="184" t="e">
        <f t="shared" ref="AI196" si="395">AH196-AI197</f>
        <v>#DIV/0!</v>
      </c>
      <c r="AJ196" s="184" t="e">
        <f t="shared" ref="AJ196" si="396">AI196-AJ197</f>
        <v>#DIV/0!</v>
      </c>
      <c r="AK196" s="184" t="e">
        <f t="shared" ref="AK196" si="397">AJ196-AK197</f>
        <v>#DIV/0!</v>
      </c>
      <c r="AL196" s="184" t="e">
        <f t="shared" ref="AL196" si="398">AK196-AL197</f>
        <v>#DIV/0!</v>
      </c>
      <c r="AM196" s="184" t="e">
        <f t="shared" ref="AM196" si="399">AL196-AM197</f>
        <v>#DIV/0!</v>
      </c>
      <c r="AN196" s="184" t="e">
        <f t="shared" ref="AN196" si="400">AM196-AN197</f>
        <v>#DIV/0!</v>
      </c>
      <c r="AO196" s="184" t="e">
        <f t="shared" ref="AO196" si="401">AN196-AO197</f>
        <v>#DIV/0!</v>
      </c>
      <c r="AP196" s="184" t="e">
        <f t="shared" ref="AP196" si="402">AO196-AP197</f>
        <v>#DIV/0!</v>
      </c>
      <c r="AQ196" s="184" t="e">
        <f t="shared" ref="AQ196" si="403">AP196-AQ197</f>
        <v>#DIV/0!</v>
      </c>
      <c r="AR196" s="184" t="e">
        <f t="shared" ref="AR196" si="404">AQ196-AR197</f>
        <v>#DIV/0!</v>
      </c>
      <c r="AS196" s="184" t="e">
        <f t="shared" ref="AS196" si="405">AR196-AS197</f>
        <v>#DIV/0!</v>
      </c>
      <c r="AT196" s="184" t="e">
        <f t="shared" ref="AT196" si="406">AS196-AT197</f>
        <v>#DIV/0!</v>
      </c>
    </row>
    <row r="197" spans="2:46">
      <c r="B197" s="20" t="s">
        <v>395</v>
      </c>
      <c r="C197" s="20"/>
      <c r="D197" s="20"/>
      <c r="E197" s="20"/>
      <c r="F197" s="20"/>
      <c r="G197" s="190">
        <v>0</v>
      </c>
      <c r="H197" s="189"/>
      <c r="I197" s="190">
        <v>0.05</v>
      </c>
      <c r="J197" s="189"/>
      <c r="K197" s="183">
        <f>P1</f>
        <v>0.05</v>
      </c>
      <c r="L197" s="190">
        <v>0.12</v>
      </c>
      <c r="M197" s="189"/>
      <c r="N197" s="190">
        <v>0.2</v>
      </c>
      <c r="O197" s="189"/>
      <c r="P197" s="180" t="e">
        <f>Q175/R144</f>
        <v>#DIV/0!</v>
      </c>
      <c r="Q197" s="180" t="e">
        <f>Q175/R144</f>
        <v>#DIV/0!</v>
      </c>
      <c r="R197" s="20"/>
      <c r="S197" s="20"/>
      <c r="T197" s="185" t="e">
        <f>R144*(1+$K$197)</f>
        <v>#DIV/0!</v>
      </c>
      <c r="U197" s="185" t="e">
        <f>T197*(1+$K$197)</f>
        <v>#DIV/0!</v>
      </c>
      <c r="V197" s="185" t="e">
        <f t="shared" ref="V197:AC197" si="407">U197*(1+$K$197)</f>
        <v>#DIV/0!</v>
      </c>
      <c r="W197" s="185" t="e">
        <f t="shared" si="407"/>
        <v>#DIV/0!</v>
      </c>
      <c r="X197" s="185" t="e">
        <f t="shared" si="407"/>
        <v>#DIV/0!</v>
      </c>
      <c r="Y197" s="185" t="e">
        <f t="shared" si="407"/>
        <v>#DIV/0!</v>
      </c>
      <c r="Z197" s="185" t="e">
        <f t="shared" si="407"/>
        <v>#DIV/0!</v>
      </c>
      <c r="AA197" s="185" t="e">
        <f t="shared" si="407"/>
        <v>#DIV/0!</v>
      </c>
      <c r="AB197" s="185" t="e">
        <f t="shared" si="407"/>
        <v>#DIV/0!</v>
      </c>
      <c r="AC197" s="185" t="e">
        <f t="shared" si="407"/>
        <v>#DIV/0!</v>
      </c>
      <c r="AD197" s="185" t="e">
        <f t="shared" ref="AD197" si="408">AC197*(1+$K$197)</f>
        <v>#DIV/0!</v>
      </c>
      <c r="AE197" s="185" t="e">
        <f t="shared" ref="AE197" si="409">AD197*(1+$K$197)</f>
        <v>#DIV/0!</v>
      </c>
      <c r="AF197" s="185" t="e">
        <f t="shared" ref="AF197" si="410">AE197*(1+$K$197)</f>
        <v>#DIV/0!</v>
      </c>
      <c r="AG197" s="185" t="e">
        <f t="shared" ref="AG197" si="411">AF197*(1+$K$197)</f>
        <v>#DIV/0!</v>
      </c>
      <c r="AH197" s="185" t="e">
        <f t="shared" ref="AH197" si="412">AG197*(1+$K$197)</f>
        <v>#DIV/0!</v>
      </c>
      <c r="AI197" s="185" t="e">
        <f t="shared" ref="AI197" si="413">AH197*(1+$K$197)</f>
        <v>#DIV/0!</v>
      </c>
      <c r="AJ197" s="185" t="e">
        <f t="shared" ref="AJ197" si="414">AI197*(1+$K$197)</f>
        <v>#DIV/0!</v>
      </c>
      <c r="AK197" s="185" t="e">
        <f t="shared" ref="AK197" si="415">AJ197*(1+$K$197)</f>
        <v>#DIV/0!</v>
      </c>
      <c r="AL197" s="185" t="e">
        <f t="shared" ref="AL197" si="416">AK197*(1+$K$197)</f>
        <v>#DIV/0!</v>
      </c>
      <c r="AM197" s="185" t="e">
        <f t="shared" ref="AM197" si="417">AL197*(1+$K$197)</f>
        <v>#DIV/0!</v>
      </c>
      <c r="AN197" s="185" t="e">
        <f t="shared" ref="AN197" si="418">AM197*(1+$K$197)</f>
        <v>#DIV/0!</v>
      </c>
      <c r="AO197" s="185" t="e">
        <f t="shared" ref="AO197" si="419">AN197*(1+$K$197)</f>
        <v>#DIV/0!</v>
      </c>
      <c r="AP197" s="185" t="e">
        <f t="shared" ref="AP197" si="420">AO197*(1+$K$197)</f>
        <v>#DIV/0!</v>
      </c>
      <c r="AQ197" s="185" t="e">
        <f t="shared" ref="AQ197" si="421">AP197*(1+$K$197)</f>
        <v>#DIV/0!</v>
      </c>
      <c r="AR197" s="185" t="e">
        <f t="shared" ref="AR197" si="422">AQ197*(1+$K$197)</f>
        <v>#DIV/0!</v>
      </c>
      <c r="AS197" s="185" t="e">
        <f t="shared" ref="AS197" si="423">AR197*(1+$K$197)</f>
        <v>#DIV/0!</v>
      </c>
      <c r="AT197" s="185" t="e">
        <f t="shared" ref="AT197" si="424">AS197*(1+$K$197)</f>
        <v>#DIV/0!</v>
      </c>
    </row>
    <row r="198" spans="2:46">
      <c r="B198" s="20" t="s">
        <v>394</v>
      </c>
      <c r="C198" s="20"/>
      <c r="D198" s="20"/>
      <c r="E198" s="23" t="s">
        <v>390</v>
      </c>
      <c r="F198" s="22">
        <v>40</v>
      </c>
      <c r="G198" s="190">
        <v>0</v>
      </c>
      <c r="H198" s="191">
        <f>Q177</f>
        <v>-39.58620689655173</v>
      </c>
      <c r="I198" s="190">
        <v>0.05</v>
      </c>
      <c r="J198" s="189"/>
      <c r="K198" s="183">
        <f>P1</f>
        <v>0.05</v>
      </c>
      <c r="L198" s="190">
        <v>0.12</v>
      </c>
      <c r="M198" s="189"/>
      <c r="N198" s="190">
        <v>0.2</v>
      </c>
      <c r="O198" s="189"/>
      <c r="P198" s="180">
        <f>Q175/Q56</f>
        <v>-39.58620689655173</v>
      </c>
      <c r="Q198" s="180">
        <f>Q175/Q56</f>
        <v>-39.58620689655173</v>
      </c>
      <c r="R198" s="20"/>
      <c r="S198" s="20"/>
      <c r="T198" s="185">
        <f>Q56*(1+$K$198)</f>
        <v>-1.0609756097560976</v>
      </c>
      <c r="U198" s="185">
        <f>T198*(1+$K$198)</f>
        <v>-1.1140243902439027</v>
      </c>
      <c r="V198" s="185">
        <f t="shared" ref="V198:AC198" si="425">U198*(1+$K$198)</f>
        <v>-1.1697256097560977</v>
      </c>
      <c r="W198" s="185">
        <f t="shared" si="425"/>
        <v>-1.2282118902439028</v>
      </c>
      <c r="X198" s="185">
        <f t="shared" si="425"/>
        <v>-1.289622484756098</v>
      </c>
      <c r="Y198" s="185">
        <f t="shared" si="425"/>
        <v>-1.3541036089939029</v>
      </c>
      <c r="Z198" s="185">
        <f t="shared" si="425"/>
        <v>-1.4218087894435982</v>
      </c>
      <c r="AA198" s="185">
        <f t="shared" si="425"/>
        <v>-1.4928992289157783</v>
      </c>
      <c r="AB198" s="185">
        <f t="shared" si="425"/>
        <v>-1.5675441903615672</v>
      </c>
      <c r="AC198" s="185">
        <f t="shared" si="425"/>
        <v>-1.6459213998796456</v>
      </c>
      <c r="AD198" s="185">
        <f t="shared" ref="AD198" si="426">AC198*(1+$K$198)</f>
        <v>-1.7282174698736279</v>
      </c>
      <c r="AE198" s="185">
        <f t="shared" ref="AE198" si="427">AD198*(1+$K$198)</f>
        <v>-1.8146283433673094</v>
      </c>
      <c r="AF198" s="185">
        <f t="shared" ref="AF198" si="428">AE198*(1+$K$198)</f>
        <v>-1.9053597605356749</v>
      </c>
      <c r="AG198" s="185">
        <f t="shared" ref="AG198" si="429">AF198*(1+$K$198)</f>
        <v>-2.0006277485624588</v>
      </c>
      <c r="AH198" s="185">
        <f t="shared" ref="AH198" si="430">AG198*(1+$K$198)</f>
        <v>-2.1006591359905817</v>
      </c>
      <c r="AI198" s="185">
        <f t="shared" ref="AI198" si="431">AH198*(1+$K$198)</f>
        <v>-2.2056920927901111</v>
      </c>
      <c r="AJ198" s="185">
        <f t="shared" ref="AJ198" si="432">AI198*(1+$K$198)</f>
        <v>-2.3159766974296168</v>
      </c>
      <c r="AK198" s="185">
        <f t="shared" ref="AK198" si="433">AJ198*(1+$K$198)</f>
        <v>-2.4317755323010979</v>
      </c>
      <c r="AL198" s="185">
        <f t="shared" ref="AL198" si="434">AK198*(1+$K$198)</f>
        <v>-2.5533643089161528</v>
      </c>
      <c r="AM198" s="185">
        <f t="shared" ref="AM198" si="435">AL198*(1+$K$198)</f>
        <v>-2.6810325243619606</v>
      </c>
      <c r="AN198" s="185">
        <f t="shared" ref="AN198" si="436">AM198*(1+$K$198)</f>
        <v>-2.8150841505800588</v>
      </c>
      <c r="AO198" s="185">
        <f t="shared" ref="AO198" si="437">AN198*(1+$K$198)</f>
        <v>-2.9558383581090619</v>
      </c>
      <c r="AP198" s="185">
        <f t="shared" ref="AP198" si="438">AO198*(1+$K$198)</f>
        <v>-3.1036302760145151</v>
      </c>
      <c r="AQ198" s="185">
        <f t="shared" ref="AQ198" si="439">AP198*(1+$K$198)</f>
        <v>-3.2588117898152409</v>
      </c>
      <c r="AR198" s="185">
        <f t="shared" ref="AR198" si="440">AQ198*(1+$K$198)</f>
        <v>-3.4217523793060032</v>
      </c>
      <c r="AS198" s="185">
        <f t="shared" ref="AS198" si="441">AR198*(1+$K$198)</f>
        <v>-3.5928399982713035</v>
      </c>
      <c r="AT198" s="185">
        <f t="shared" ref="AT198" si="442">AS198*(1+$K$198)</f>
        <v>-3.772481998184869</v>
      </c>
    </row>
    <row r="199" spans="2:46">
      <c r="B199" s="20"/>
      <c r="C199" s="20"/>
      <c r="D199" s="20"/>
      <c r="E199" s="23" t="s">
        <v>453</v>
      </c>
      <c r="F199" s="22">
        <v>60</v>
      </c>
      <c r="G199" s="190">
        <v>0</v>
      </c>
      <c r="H199" s="191"/>
      <c r="I199" s="190">
        <v>0.05</v>
      </c>
      <c r="J199" s="189"/>
      <c r="K199" s="189"/>
      <c r="L199" s="190">
        <v>0.12</v>
      </c>
      <c r="M199" s="189"/>
      <c r="N199" s="190">
        <v>0.2</v>
      </c>
      <c r="O199" s="20"/>
      <c r="P199" s="20"/>
      <c r="Q199" s="20"/>
      <c r="R199" s="20"/>
      <c r="S199" s="20"/>
      <c r="T199" s="129">
        <f>Q175-T198</f>
        <v>41.060975609756099</v>
      </c>
      <c r="U199" s="184">
        <f>T199-U198</f>
        <v>42.175000000000004</v>
      </c>
      <c r="V199" s="184">
        <f t="shared" ref="V199:AA199" si="443">U199-V198</f>
        <v>43.344725609756104</v>
      </c>
      <c r="W199" s="184">
        <f t="shared" si="443"/>
        <v>44.572937500000009</v>
      </c>
      <c r="X199" s="184">
        <f t="shared" si="443"/>
        <v>45.862559984756103</v>
      </c>
      <c r="Y199" s="184">
        <f t="shared" si="443"/>
        <v>47.216663593750006</v>
      </c>
      <c r="Z199" s="184">
        <f t="shared" si="443"/>
        <v>48.638472383193601</v>
      </c>
      <c r="AA199" s="184">
        <f t="shared" si="443"/>
        <v>50.131371612109376</v>
      </c>
      <c r="AB199" s="184">
        <f>AA199-AB198</f>
        <v>51.698915802470943</v>
      </c>
      <c r="AC199" s="184">
        <f t="shared" ref="AC199" si="444">AB199-AC198</f>
        <v>53.34483720235059</v>
      </c>
      <c r="AD199" s="184">
        <f t="shared" ref="AD199" si="445">AC199-AD198</f>
        <v>55.073054672224217</v>
      </c>
      <c r="AE199" s="184">
        <f t="shared" ref="AE199" si="446">AD199-AE198</f>
        <v>56.887683015591527</v>
      </c>
      <c r="AF199" s="184">
        <f t="shared" ref="AF199" si="447">AE199-AF198</f>
        <v>58.793042776127201</v>
      </c>
      <c r="AG199" s="184">
        <f t="shared" ref="AG199" si="448">AF199-AG198</f>
        <v>60.793670524689659</v>
      </c>
      <c r="AH199" s="184">
        <f t="shared" ref="AH199" si="449">AG199-AH198</f>
        <v>62.894329660680242</v>
      </c>
      <c r="AI199" s="184">
        <f t="shared" ref="AI199" si="450">AH199-AI198</f>
        <v>65.100021753470358</v>
      </c>
      <c r="AJ199" s="184">
        <f t="shared" ref="AJ199" si="451">AI199-AJ198</f>
        <v>67.415998450899977</v>
      </c>
      <c r="AK199" s="184">
        <f t="shared" ref="AK199" si="452">AJ199-AK198</f>
        <v>69.84777398320108</v>
      </c>
      <c r="AL199" s="184">
        <f t="shared" ref="AL199" si="453">AK199-AL198</f>
        <v>72.401138292117238</v>
      </c>
      <c r="AM199" s="184">
        <f t="shared" ref="AM199" si="454">AL199-AM198</f>
        <v>75.082170816479206</v>
      </c>
      <c r="AN199" s="184">
        <f t="shared" ref="AN199" si="455">AM199-AN198</f>
        <v>77.897254967059268</v>
      </c>
      <c r="AO199" s="184">
        <f t="shared" ref="AO199" si="456">AN199-AO198</f>
        <v>80.853093325168331</v>
      </c>
      <c r="AP199" s="184">
        <f t="shared" ref="AP199" si="457">AO199-AP198</f>
        <v>83.956723601182844</v>
      </c>
      <c r="AQ199" s="184">
        <f t="shared" ref="AQ199" si="458">AP199-AQ198</f>
        <v>87.215535390998085</v>
      </c>
      <c r="AR199" s="184">
        <f t="shared" ref="AR199" si="459">AQ199-AR198</f>
        <v>90.637287770304084</v>
      </c>
      <c r="AS199" s="184">
        <f t="shared" ref="AS199" si="460">AR199-AS198</f>
        <v>94.230127768575386</v>
      </c>
      <c r="AT199" s="184">
        <f t="shared" ref="AT199" si="461">AS199-AT198</f>
        <v>98.002609766760258</v>
      </c>
    </row>
    <row r="200" spans="2:46">
      <c r="B200" s="108" t="s">
        <v>301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>
      <c r="B201" s="20" t="s">
        <v>304</v>
      </c>
      <c r="C201" s="25"/>
      <c r="D201" s="25"/>
      <c r="E201" s="25"/>
      <c r="F201" s="25"/>
      <c r="G201" s="25">
        <f t="shared" ref="G201:P201" si="462">G10/G7</f>
        <v>2.1805069930069929</v>
      </c>
      <c r="H201" s="25" t="e">
        <f t="shared" si="462"/>
        <v>#DIV/0!</v>
      </c>
      <c r="I201" s="25" t="e">
        <f t="shared" si="462"/>
        <v>#DIV/0!</v>
      </c>
      <c r="J201" s="25" t="e">
        <f t="shared" si="462"/>
        <v>#DIV/0!</v>
      </c>
      <c r="K201" s="25" t="e">
        <f t="shared" si="462"/>
        <v>#DIV/0!</v>
      </c>
      <c r="L201" s="25">
        <f t="shared" si="462"/>
        <v>2.1805069930069929</v>
      </c>
      <c r="M201" s="25">
        <f t="shared" si="462"/>
        <v>1.8293527172031845</v>
      </c>
      <c r="N201" s="25">
        <f t="shared" si="462"/>
        <v>3.8972482901224748</v>
      </c>
      <c r="O201" s="25">
        <f t="shared" si="462"/>
        <v>5.9601059427247147</v>
      </c>
      <c r="P201" s="25">
        <f t="shared" si="462"/>
        <v>8.7589098532494756</v>
      </c>
      <c r="Q201" s="25">
        <f t="shared" ref="Q201" si="463">Q10/Q7</f>
        <v>6.0779458963778081</v>
      </c>
      <c r="R201" s="118">
        <f t="shared" ref="R201:R203" si="464">((P201/G201)^(1/($H$2-$H$1) ))-1</f>
        <v>0.16707609815881797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>
      <c r="B202" s="20" t="s">
        <v>305</v>
      </c>
      <c r="C202" s="112"/>
      <c r="D202" s="112"/>
      <c r="E202" s="112"/>
      <c r="F202" s="112"/>
      <c r="G202" s="112">
        <f>G10/G12</f>
        <v>8.9408602150537639</v>
      </c>
      <c r="H202" s="112" t="e">
        <f t="shared" ref="H202:P202" si="465">H10/H12</f>
        <v>#DIV/0!</v>
      </c>
      <c r="I202" s="112" t="e">
        <f t="shared" si="465"/>
        <v>#DIV/0!</v>
      </c>
      <c r="J202" s="112" t="e">
        <f t="shared" si="465"/>
        <v>#DIV/0!</v>
      </c>
      <c r="K202" s="112" t="e">
        <f t="shared" si="465"/>
        <v>#DIV/0!</v>
      </c>
      <c r="L202" s="112">
        <f t="shared" si="465"/>
        <v>8.9408602150537639</v>
      </c>
      <c r="M202" s="112">
        <f t="shared" si="465"/>
        <v>9.0651801029159511</v>
      </c>
      <c r="N202" s="112">
        <f t="shared" si="465"/>
        <v>19.523505976095617</v>
      </c>
      <c r="O202" s="112">
        <f t="shared" si="465"/>
        <v>11.112654320987655</v>
      </c>
      <c r="P202" s="112">
        <f t="shared" si="465"/>
        <v>21.88707799767171</v>
      </c>
      <c r="Q202" s="112">
        <f t="shared" ref="Q202" si="466">Q10/Q12</f>
        <v>47.913253012048195</v>
      </c>
      <c r="R202" s="118">
        <f t="shared" si="464"/>
        <v>0.10458958061069445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>
      <c r="B203" s="20" t="s">
        <v>306</v>
      </c>
      <c r="C203" s="25"/>
      <c r="D203" s="25"/>
      <c r="E203" s="25"/>
      <c r="F203" s="25"/>
      <c r="G203" s="25">
        <f>G10/(G12+G13)</f>
        <v>8.9408602150537639</v>
      </c>
      <c r="H203" s="25" t="e">
        <f t="shared" ref="H203:P203" si="467">H10/(H12+H13)</f>
        <v>#DIV/0!</v>
      </c>
      <c r="I203" s="25" t="e">
        <f t="shared" si="467"/>
        <v>#DIV/0!</v>
      </c>
      <c r="J203" s="25" t="e">
        <f t="shared" si="467"/>
        <v>#DIV/0!</v>
      </c>
      <c r="K203" s="25" t="e">
        <f t="shared" si="467"/>
        <v>#DIV/0!</v>
      </c>
      <c r="L203" s="25">
        <f t="shared" si="467"/>
        <v>8.9408602150537639</v>
      </c>
      <c r="M203" s="25">
        <f t="shared" si="467"/>
        <v>9.0651023576127141</v>
      </c>
      <c r="N203" s="25">
        <f t="shared" si="467"/>
        <v>19.369169960474309</v>
      </c>
      <c r="O203" s="25">
        <f t="shared" si="467"/>
        <v>11.047867444001227</v>
      </c>
      <c r="P203" s="25">
        <f t="shared" si="467"/>
        <v>21.597932222860425</v>
      </c>
      <c r="Q203" s="25">
        <f t="shared" ref="Q203" si="468">Q10/(Q12+Q13)</f>
        <v>42.082539682539682</v>
      </c>
      <c r="R203" s="118">
        <f t="shared" si="464"/>
        <v>0.10295859069666324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>
      <c r="B206" s="20"/>
      <c r="C206" s="173" t="s">
        <v>376</v>
      </c>
      <c r="D206" s="174"/>
      <c r="E206" s="174"/>
      <c r="F206" s="174"/>
      <c r="G206" s="174"/>
      <c r="H206" s="174"/>
      <c r="I206" s="174"/>
      <c r="J206" s="174"/>
      <c r="K206" s="20"/>
      <c r="L206" s="202" t="s">
        <v>336</v>
      </c>
      <c r="M206" s="203"/>
      <c r="N206" s="204"/>
      <c r="O206" s="23" t="s">
        <v>339</v>
      </c>
      <c r="P206" s="20"/>
      <c r="Q206" s="136"/>
      <c r="R206" s="202" t="s">
        <v>337</v>
      </c>
      <c r="S206" s="203"/>
      <c r="T206" s="204"/>
      <c r="U206" s="23" t="s">
        <v>339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>
      <c r="B207" s="20"/>
      <c r="C207" s="165" t="s">
        <v>338</v>
      </c>
      <c r="D207" s="165" t="s">
        <v>0</v>
      </c>
      <c r="E207" s="165" t="s">
        <v>377</v>
      </c>
      <c r="F207" s="165" t="s">
        <v>378</v>
      </c>
      <c r="G207" s="165" t="s">
        <v>379</v>
      </c>
      <c r="H207" s="165" t="s">
        <v>380</v>
      </c>
      <c r="I207" s="165" t="s">
        <v>381</v>
      </c>
      <c r="J207" s="165" t="s">
        <v>382</v>
      </c>
      <c r="K207" s="20"/>
      <c r="L207" s="165" t="s">
        <v>338</v>
      </c>
      <c r="M207" s="165"/>
      <c r="N207" s="165" t="s">
        <v>0</v>
      </c>
      <c r="O207" s="165" t="s">
        <v>371</v>
      </c>
      <c r="P207" s="20"/>
      <c r="Q207" s="20"/>
      <c r="R207" s="165" t="s">
        <v>338</v>
      </c>
      <c r="S207" s="165"/>
      <c r="T207" s="165" t="s">
        <v>0</v>
      </c>
      <c r="U207" s="165" t="s">
        <v>371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>
      <c r="B208" s="20"/>
      <c r="C208" s="166" t="s">
        <v>340</v>
      </c>
      <c r="D208" s="21">
        <v>1</v>
      </c>
      <c r="E208" s="175" t="s">
        <v>383</v>
      </c>
      <c r="F208" s="22">
        <v>1</v>
      </c>
      <c r="G208" s="22">
        <v>1</v>
      </c>
      <c r="H208" s="166">
        <f>F208/G208</f>
        <v>1</v>
      </c>
      <c r="I208" s="166">
        <f>H208*D209</f>
        <v>1</v>
      </c>
      <c r="J208" s="176">
        <f>I208+D209</f>
        <v>2</v>
      </c>
      <c r="K208" s="20"/>
      <c r="L208" s="166" t="s">
        <v>340</v>
      </c>
      <c r="M208" s="166"/>
      <c r="N208" s="21">
        <v>1</v>
      </c>
      <c r="O208" s="172">
        <f>N208</f>
        <v>1</v>
      </c>
      <c r="P208" s="20"/>
      <c r="Q208" s="20"/>
      <c r="R208" s="166" t="s">
        <v>340</v>
      </c>
      <c r="S208" s="166"/>
      <c r="T208" s="21">
        <v>1</v>
      </c>
      <c r="U208" s="172">
        <f>T208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166" t="s">
        <v>341</v>
      </c>
      <c r="D209" s="21">
        <v>1</v>
      </c>
      <c r="E209" s="175" t="s">
        <v>384</v>
      </c>
      <c r="F209" s="22">
        <v>0</v>
      </c>
      <c r="G209" s="22">
        <v>1</v>
      </c>
      <c r="H209" s="166">
        <f>F209/G209</f>
        <v>0</v>
      </c>
      <c r="I209" s="166">
        <f>H209*J208</f>
        <v>0</v>
      </c>
      <c r="J209" s="166">
        <f>I209+J208</f>
        <v>2</v>
      </c>
      <c r="K209" s="20"/>
      <c r="L209" s="166" t="s">
        <v>341</v>
      </c>
      <c r="M209" s="166"/>
      <c r="N209" s="21">
        <v>1</v>
      </c>
      <c r="O209" s="172">
        <f>N209</f>
        <v>1</v>
      </c>
      <c r="P209" s="20"/>
      <c r="Q209" s="20"/>
      <c r="R209" s="166" t="s">
        <v>341</v>
      </c>
      <c r="S209" s="166"/>
      <c r="T209" s="21">
        <v>1</v>
      </c>
      <c r="U209" s="172">
        <f>T209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166" t="s">
        <v>343</v>
      </c>
      <c r="D210" s="167">
        <f>D208*D209</f>
        <v>1</v>
      </c>
      <c r="E210" s="175" t="s">
        <v>396</v>
      </c>
      <c r="F210" s="22">
        <v>0</v>
      </c>
      <c r="G210" s="22">
        <v>1</v>
      </c>
      <c r="H210" s="166">
        <f>F210/G210</f>
        <v>0</v>
      </c>
      <c r="I210" s="166">
        <f>H210*J209</f>
        <v>0</v>
      </c>
      <c r="J210" s="166">
        <f>I210+J209</f>
        <v>2</v>
      </c>
      <c r="K210" s="20"/>
      <c r="L210" s="166" t="s">
        <v>342</v>
      </c>
      <c r="M210" s="166"/>
      <c r="N210" s="167">
        <f>N208*N209</f>
        <v>1</v>
      </c>
      <c r="O210" s="172">
        <f>N210</f>
        <v>1</v>
      </c>
      <c r="P210" s="20"/>
      <c r="Q210" s="20"/>
      <c r="R210" s="166" t="s">
        <v>343</v>
      </c>
      <c r="S210" s="166"/>
      <c r="T210" s="167">
        <f>T208*T209</f>
        <v>1</v>
      </c>
      <c r="U210" s="172">
        <f>T210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>
      <c r="B211" s="20"/>
      <c r="C211" s="166"/>
      <c r="D211" s="167"/>
      <c r="E211" s="175" t="s">
        <v>454</v>
      </c>
      <c r="F211" s="22">
        <v>0</v>
      </c>
      <c r="G211" s="22">
        <v>1</v>
      </c>
      <c r="H211" s="166">
        <f t="shared" ref="H211:H214" si="469">F211/G211</f>
        <v>0</v>
      </c>
      <c r="I211" s="166">
        <f t="shared" ref="I211:I213" si="470">H211*J210</f>
        <v>0</v>
      </c>
      <c r="J211" s="166">
        <f t="shared" ref="J211:J213" si="471">I211+J210</f>
        <v>2</v>
      </c>
      <c r="K211" s="20"/>
      <c r="L211" s="166" t="s">
        <v>344</v>
      </c>
      <c r="M211" s="166"/>
      <c r="N211" s="21">
        <v>1</v>
      </c>
      <c r="O211" s="21">
        <v>1</v>
      </c>
      <c r="P211" s="20"/>
      <c r="Q211" s="20"/>
      <c r="R211" s="166" t="s">
        <v>344</v>
      </c>
      <c r="S211" s="166"/>
      <c r="T211" s="21">
        <v>1</v>
      </c>
      <c r="U211" s="21">
        <v>1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>
      <c r="B212" s="20"/>
      <c r="C212" s="166"/>
      <c r="D212" s="167"/>
      <c r="E212" s="175" t="s">
        <v>455</v>
      </c>
      <c r="F212" s="22">
        <v>0</v>
      </c>
      <c r="G212" s="22">
        <v>1</v>
      </c>
      <c r="H212" s="166">
        <f t="shared" si="469"/>
        <v>0</v>
      </c>
      <c r="I212" s="166">
        <f t="shared" si="470"/>
        <v>0</v>
      </c>
      <c r="J212" s="166">
        <f t="shared" si="471"/>
        <v>2</v>
      </c>
      <c r="K212" s="20"/>
      <c r="L212" s="166" t="s">
        <v>345</v>
      </c>
      <c r="M212" s="166"/>
      <c r="N212" s="167">
        <f>N211*N209</f>
        <v>1</v>
      </c>
      <c r="O212" s="167">
        <f>O211*O209</f>
        <v>1</v>
      </c>
      <c r="P212" s="20"/>
      <c r="Q212" s="20"/>
      <c r="R212" s="166" t="s">
        <v>341</v>
      </c>
      <c r="S212" s="166"/>
      <c r="T212" s="21">
        <v>1</v>
      </c>
      <c r="U212" s="127">
        <f>T212</f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>
      <c r="B213" s="20"/>
      <c r="C213" s="166"/>
      <c r="D213" s="167"/>
      <c r="E213" s="175" t="s">
        <v>456</v>
      </c>
      <c r="F213" s="22">
        <v>0</v>
      </c>
      <c r="G213" s="22">
        <v>1</v>
      </c>
      <c r="H213" s="166">
        <f t="shared" si="469"/>
        <v>0</v>
      </c>
      <c r="I213" s="166">
        <f t="shared" si="470"/>
        <v>0</v>
      </c>
      <c r="J213" s="166">
        <f t="shared" si="471"/>
        <v>2</v>
      </c>
      <c r="K213" s="20"/>
      <c r="L213" s="166"/>
      <c r="M213" s="166"/>
      <c r="N213" s="167"/>
      <c r="O213" s="167"/>
      <c r="P213" s="20"/>
      <c r="Q213" s="20"/>
      <c r="R213" s="166" t="s">
        <v>343</v>
      </c>
      <c r="S213" s="166"/>
      <c r="T213" s="167">
        <f>T212*T211</f>
        <v>1</v>
      </c>
      <c r="U213" s="167">
        <f>U212*U211</f>
        <v>1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166"/>
      <c r="D214" s="167"/>
      <c r="E214" s="175" t="s">
        <v>385</v>
      </c>
      <c r="F214" s="22">
        <v>10</v>
      </c>
      <c r="G214" s="22">
        <v>2</v>
      </c>
      <c r="H214" s="166">
        <f t="shared" si="469"/>
        <v>5</v>
      </c>
      <c r="I214" s="166">
        <f>H214*J213</f>
        <v>10</v>
      </c>
      <c r="J214" s="166">
        <f>I214</f>
        <v>10</v>
      </c>
      <c r="K214" s="20"/>
      <c r="L214" s="166"/>
      <c r="M214" s="166"/>
      <c r="N214" s="167"/>
      <c r="O214" s="167"/>
      <c r="P214" s="20"/>
      <c r="Q214" s="20"/>
      <c r="R214" s="166"/>
      <c r="S214" s="166"/>
      <c r="T214" s="167"/>
      <c r="U214" s="167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166"/>
      <c r="D215" s="167"/>
      <c r="E215" s="175" t="s">
        <v>457</v>
      </c>
      <c r="F215" s="22">
        <v>2</v>
      </c>
      <c r="G215" s="22">
        <v>1</v>
      </c>
      <c r="H215" s="166">
        <f>F215/G215</f>
        <v>2</v>
      </c>
      <c r="I215" s="166">
        <f>H215*J214</f>
        <v>20</v>
      </c>
      <c r="J215" s="166">
        <f>I215</f>
        <v>20</v>
      </c>
      <c r="K215" s="20"/>
      <c r="L215" s="168" t="s">
        <v>346</v>
      </c>
      <c r="M215" s="168"/>
      <c r="N215" s="169">
        <f>N212/N210</f>
        <v>1</v>
      </c>
      <c r="O215" s="169">
        <f>O212/O210</f>
        <v>1</v>
      </c>
      <c r="P215" s="20"/>
      <c r="Q215" s="20"/>
      <c r="R215" s="168" t="s">
        <v>346</v>
      </c>
      <c r="S215" s="168"/>
      <c r="T215" s="169">
        <f>T213/T210</f>
        <v>1</v>
      </c>
      <c r="U215" s="169">
        <f>U213/U210</f>
        <v>1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166" t="s">
        <v>344</v>
      </c>
      <c r="D216" s="21">
        <v>1</v>
      </c>
      <c r="E216" s="175"/>
      <c r="F216" s="166"/>
      <c r="G216" s="166"/>
      <c r="H216" s="168" t="s">
        <v>386</v>
      </c>
      <c r="I216" s="166"/>
      <c r="J216" s="166">
        <f>J215</f>
        <v>20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>
      <c r="B217" s="20"/>
      <c r="C217" s="166" t="s">
        <v>341</v>
      </c>
      <c r="D217" s="21">
        <v>1</v>
      </c>
      <c r="E217" s="175" t="s">
        <v>385</v>
      </c>
      <c r="F217" s="22">
        <v>10</v>
      </c>
      <c r="G217" s="22">
        <v>2</v>
      </c>
      <c r="H217" s="166">
        <f>F217/G217</f>
        <v>5</v>
      </c>
      <c r="I217" s="176">
        <f>H217*D209</f>
        <v>5</v>
      </c>
      <c r="J217" s="176">
        <f>I217</f>
        <v>5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166" t="s">
        <v>343</v>
      </c>
      <c r="D218" s="167">
        <f>D217*D216</f>
        <v>1</v>
      </c>
      <c r="E218" s="166"/>
      <c r="F218" s="166"/>
      <c r="G218" s="166"/>
      <c r="H218" s="168" t="s">
        <v>386</v>
      </c>
      <c r="I218" s="166"/>
      <c r="J218" s="166">
        <f>J217</f>
        <v>5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166"/>
      <c r="D219" s="167"/>
      <c r="E219" s="175" t="s">
        <v>385</v>
      </c>
      <c r="F219" s="22">
        <v>10</v>
      </c>
      <c r="G219" s="22">
        <v>2</v>
      </c>
      <c r="H219" s="166">
        <f>F219/G219</f>
        <v>5</v>
      </c>
      <c r="I219" s="166">
        <f>H219*J218</f>
        <v>25</v>
      </c>
      <c r="J219" s="166">
        <f>I219</f>
        <v>25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B220" s="20"/>
      <c r="C220" s="168" t="s">
        <v>346</v>
      </c>
      <c r="D220" s="169">
        <f>D218/D210</f>
        <v>1</v>
      </c>
      <c r="E220" s="175"/>
      <c r="F220" s="166"/>
      <c r="G220" s="166"/>
      <c r="H220" s="168" t="s">
        <v>386</v>
      </c>
      <c r="I220" s="166"/>
      <c r="J220" s="166">
        <f>J219</f>
        <v>25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>
      <c r="B222" s="20"/>
      <c r="C222" s="20"/>
      <c r="D222" s="136"/>
      <c r="E222" s="177"/>
      <c r="F222" s="177"/>
      <c r="G222" s="178"/>
      <c r="H222" s="20"/>
      <c r="I222" s="136"/>
      <c r="J222" s="177"/>
      <c r="K222" s="178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ht="14.25">
      <c r="B223" s="20"/>
      <c r="C223" s="20"/>
      <c r="D223" s="195" t="s">
        <v>27</v>
      </c>
      <c r="E223" s="196"/>
      <c r="F223" s="196"/>
      <c r="G223" s="197"/>
      <c r="H223" s="20"/>
      <c r="I223" s="195" t="s">
        <v>391</v>
      </c>
      <c r="J223" s="196"/>
      <c r="K223" s="197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>
      <c r="B224" s="20"/>
      <c r="C224" s="20"/>
      <c r="D224" s="20" t="s">
        <v>28</v>
      </c>
      <c r="E224" s="127"/>
      <c r="F224" s="127"/>
      <c r="G224" s="21">
        <f>D210</f>
        <v>1</v>
      </c>
      <c r="H224" s="20"/>
      <c r="I224" s="20" t="s">
        <v>28</v>
      </c>
      <c r="J224" s="127"/>
      <c r="K224" s="21">
        <f>G224</f>
        <v>1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>
      <c r="B225" s="20"/>
      <c r="C225" s="20"/>
      <c r="D225" s="20" t="s">
        <v>29</v>
      </c>
      <c r="E225" s="127"/>
      <c r="F225" s="127"/>
      <c r="G225" s="21">
        <f>D218</f>
        <v>1</v>
      </c>
      <c r="H225" s="20"/>
      <c r="I225" s="20" t="s">
        <v>29</v>
      </c>
      <c r="J225" s="20"/>
      <c r="K225" s="21">
        <f>G225</f>
        <v>1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>
      <c r="B226" s="20"/>
      <c r="C226" s="20"/>
      <c r="D226" s="20" t="s">
        <v>30</v>
      </c>
      <c r="E226" s="20"/>
      <c r="F226" s="20"/>
      <c r="G226" s="22">
        <v>10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>
      <c r="B227" s="20"/>
      <c r="C227" s="20"/>
      <c r="D227" s="23" t="s">
        <v>31</v>
      </c>
      <c r="E227" s="3"/>
      <c r="F227" s="3"/>
      <c r="G227" s="3">
        <f>((G225/G224)^(1/G226))-1</f>
        <v>0</v>
      </c>
      <c r="H227" s="20"/>
      <c r="I227" s="23" t="s">
        <v>392</v>
      </c>
      <c r="J227" s="23"/>
      <c r="K227" s="192">
        <f>(K225-K224)/K224</f>
        <v>0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>
      <c r="C228" s="20"/>
      <c r="D228" s="23" t="s">
        <v>32</v>
      </c>
      <c r="E228" s="164"/>
      <c r="F228" s="164"/>
      <c r="G228" s="24">
        <f>G226*12</f>
        <v>120</v>
      </c>
      <c r="H228" s="20"/>
      <c r="I228" s="23" t="s">
        <v>393</v>
      </c>
      <c r="J228" s="23"/>
      <c r="K228" s="23">
        <f>K225/K224</f>
        <v>1</v>
      </c>
    </row>
    <row r="229" spans="2:32">
      <c r="C229" s="20"/>
      <c r="D229" s="20" t="s">
        <v>30</v>
      </c>
      <c r="E229" s="25"/>
      <c r="F229" s="25"/>
      <c r="G229" s="25">
        <f>G228/12</f>
        <v>10</v>
      </c>
      <c r="H229" s="20"/>
      <c r="I229" s="20"/>
      <c r="J229" s="20"/>
      <c r="K229" s="20"/>
    </row>
    <row r="230" spans="2:32">
      <c r="C230" s="20"/>
      <c r="D230" s="23" t="s">
        <v>33</v>
      </c>
      <c r="E230" s="3"/>
      <c r="F230" s="3"/>
      <c r="G230" s="3">
        <f>((G225/G224)^(1/G229))-1</f>
        <v>0</v>
      </c>
      <c r="H230" s="20"/>
      <c r="I230" s="20"/>
      <c r="J230" s="20"/>
      <c r="K230" s="20"/>
    </row>
    <row r="231" spans="2:32"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2:32">
      <c r="C232" s="20"/>
      <c r="D232" s="20"/>
      <c r="E232" s="20"/>
      <c r="F232" s="20"/>
      <c r="G232" s="20"/>
      <c r="H232" s="20"/>
      <c r="I232" s="20"/>
      <c r="J232" s="20"/>
      <c r="K232" s="20"/>
    </row>
  </sheetData>
  <mergeCells count="7">
    <mergeCell ref="D223:G223"/>
    <mergeCell ref="I223:K223"/>
    <mergeCell ref="AE2:AF2"/>
    <mergeCell ref="AE3:AF3"/>
    <mergeCell ref="L206:N206"/>
    <mergeCell ref="R206:T206"/>
    <mergeCell ref="K189:L18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7" t="s">
        <v>27</v>
      </c>
      <c r="K5" s="207"/>
      <c r="M5" s="207" t="s">
        <v>65</v>
      </c>
      <c r="N5" s="207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7" t="s">
        <v>36</v>
      </c>
      <c r="K14" s="207"/>
      <c r="L14" s="207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7" t="s">
        <v>27</v>
      </c>
      <c r="S5" s="207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7" t="s">
        <v>36</v>
      </c>
      <c r="S14" s="207"/>
      <c r="T14" s="207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7" t="s">
        <v>27</v>
      </c>
      <c r="C2" s="207"/>
      <c r="E2" s="207" t="s">
        <v>65</v>
      </c>
      <c r="F2" s="207"/>
      <c r="H2" s="211" t="s">
        <v>36</v>
      </c>
      <c r="I2" s="212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8" t="s">
        <v>68</v>
      </c>
      <c r="E10" s="209"/>
      <c r="F10" s="209"/>
      <c r="G10" s="209"/>
      <c r="H10" s="210"/>
      <c r="I10" s="208" t="s">
        <v>72</v>
      </c>
      <c r="J10" s="209"/>
      <c r="K10" s="209"/>
      <c r="L10" s="210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>
      <c r="B3" s="213" t="s">
        <v>430</v>
      </c>
      <c r="C3" s="214"/>
      <c r="F3" s="213" t="s">
        <v>431</v>
      </c>
      <c r="G3" s="214"/>
    </row>
    <row r="4" spans="2:7">
      <c r="B4" s="187" t="s">
        <v>432</v>
      </c>
      <c r="C4" s="187"/>
      <c r="F4" s="187" t="s">
        <v>433</v>
      </c>
      <c r="G4" s="187"/>
    </row>
    <row r="5" spans="2:7">
      <c r="B5" s="187" t="s">
        <v>434</v>
      </c>
      <c r="C5" s="187"/>
      <c r="F5" s="187" t="s">
        <v>291</v>
      </c>
      <c r="G5" s="187"/>
    </row>
    <row r="6" spans="2:7">
      <c r="B6" s="187" t="s">
        <v>435</v>
      </c>
      <c r="C6" s="187"/>
      <c r="F6" s="187" t="s">
        <v>436</v>
      </c>
      <c r="G6" s="187"/>
    </row>
    <row r="7" spans="2:7">
      <c r="B7" s="187" t="s">
        <v>437</v>
      </c>
      <c r="C7" s="187"/>
      <c r="F7" s="187" t="s">
        <v>438</v>
      </c>
      <c r="G7" s="187"/>
    </row>
    <row r="8" spans="2:7">
      <c r="B8" s="187" t="s">
        <v>439</v>
      </c>
      <c r="C8" s="187"/>
      <c r="F8" s="187" t="s">
        <v>440</v>
      </c>
      <c r="G8" s="187"/>
    </row>
    <row r="9" spans="2:7">
      <c r="B9" s="187" t="s">
        <v>441</v>
      </c>
      <c r="C9" s="187"/>
      <c r="F9" s="187" t="s">
        <v>442</v>
      </c>
      <c r="G9" s="187"/>
    </row>
    <row r="10" spans="2:7">
      <c r="B10" s="187" t="s">
        <v>440</v>
      </c>
      <c r="C10" s="187"/>
      <c r="F10" s="187"/>
      <c r="G10" s="187"/>
    </row>
    <row r="11" spans="2:7">
      <c r="B11" s="187" t="s">
        <v>443</v>
      </c>
      <c r="C11" s="187"/>
      <c r="F11" s="187"/>
      <c r="G11" s="187"/>
    </row>
    <row r="12" spans="2:7">
      <c r="B12" s="187" t="s">
        <v>444</v>
      </c>
      <c r="C12" s="187"/>
      <c r="F12" s="187"/>
      <c r="G12" s="187"/>
    </row>
    <row r="13" spans="2:7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2015-08-24T12:11:18Z</dcterms:modified>
</cp:coreProperties>
</file>
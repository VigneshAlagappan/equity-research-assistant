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externalReferences>
    <externalReference r:id="rId8"/>
  </externalReferences>
  <calcPr calcId="125725"/>
</workbook>
</file>

<file path=xl/calcChain.xml><?xml version="1.0" encoding="utf-8"?>
<calcChain xmlns="http://schemas.openxmlformats.org/spreadsheetml/2006/main">
  <c r="W59" i="18"/>
  <c r="AA59"/>
  <c r="D59"/>
  <c r="E59"/>
  <c r="F59"/>
  <c r="G59"/>
  <c r="H59"/>
  <c r="I59"/>
  <c r="J59"/>
  <c r="K59"/>
  <c r="L59"/>
  <c r="M59"/>
  <c r="N59"/>
  <c r="O59"/>
  <c r="P59"/>
  <c r="C59"/>
  <c r="T38"/>
  <c r="U38" s="1"/>
  <c r="V38" s="1"/>
  <c r="W38" s="1"/>
  <c r="X38" s="1"/>
  <c r="Y38" s="1"/>
  <c r="Z38" s="1"/>
  <c r="AA38" s="1"/>
  <c r="AB38" s="1"/>
  <c r="AB59" s="1"/>
  <c r="S38"/>
  <c r="S59" s="1"/>
  <c r="Q38"/>
  <c r="X59" l="1"/>
  <c r="T59"/>
  <c r="Y59"/>
  <c r="U59"/>
  <c r="Z59"/>
  <c r="V59"/>
  <c r="AC38"/>
  <c r="AE38" s="1"/>
  <c r="U28" l="1"/>
  <c r="X28"/>
  <c r="AA28"/>
  <c r="S28"/>
  <c r="V28" s="1"/>
  <c r="Y28" s="1"/>
  <c r="AB28" s="1"/>
  <c r="AC28" s="1"/>
  <c r="C69"/>
  <c r="D69"/>
  <c r="E69"/>
  <c r="F69"/>
  <c r="G69"/>
  <c r="H69"/>
  <c r="I69"/>
  <c r="J69"/>
  <c r="K69"/>
  <c r="L69"/>
  <c r="M69"/>
  <c r="N69"/>
  <c r="O69"/>
  <c r="C70"/>
  <c r="D70"/>
  <c r="E70"/>
  <c r="F70"/>
  <c r="G70"/>
  <c r="H70"/>
  <c r="I70"/>
  <c r="J70"/>
  <c r="K70"/>
  <c r="L70"/>
  <c r="M70"/>
  <c r="N70"/>
  <c r="O70"/>
  <c r="C71"/>
  <c r="D71"/>
  <c r="E71"/>
  <c r="F71"/>
  <c r="G71"/>
  <c r="H71"/>
  <c r="I71"/>
  <c r="J71"/>
  <c r="K71"/>
  <c r="L71"/>
  <c r="M71"/>
  <c r="N71"/>
  <c r="O71"/>
  <c r="P71"/>
  <c r="P70"/>
  <c r="P69"/>
  <c r="Q69" s="1"/>
  <c r="C77"/>
  <c r="D77"/>
  <c r="E77"/>
  <c r="F77"/>
  <c r="G77"/>
  <c r="H77"/>
  <c r="I77"/>
  <c r="J77"/>
  <c r="K77"/>
  <c r="L77"/>
  <c r="M77"/>
  <c r="N77"/>
  <c r="O77"/>
  <c r="P77"/>
  <c r="C75"/>
  <c r="D75"/>
  <c r="E75"/>
  <c r="C76"/>
  <c r="D76"/>
  <c r="E76"/>
  <c r="F76"/>
  <c r="G76"/>
  <c r="H76"/>
  <c r="I76"/>
  <c r="J76"/>
  <c r="K76"/>
  <c r="L76"/>
  <c r="M76"/>
  <c r="N76"/>
  <c r="O76"/>
  <c r="F75"/>
  <c r="G75"/>
  <c r="H75"/>
  <c r="I75"/>
  <c r="J75"/>
  <c r="K75"/>
  <c r="L75"/>
  <c r="M75"/>
  <c r="N75"/>
  <c r="O75"/>
  <c r="P76"/>
  <c r="G35"/>
  <c r="G33"/>
  <c r="G27"/>
  <c r="G11"/>
  <c r="G8"/>
  <c r="G25"/>
  <c r="Q71" l="1"/>
  <c r="Q70"/>
  <c r="Q76"/>
  <c r="Q77"/>
  <c r="AE28"/>
  <c r="P75"/>
  <c r="Q75" s="1"/>
  <c r="C134"/>
  <c r="D134"/>
  <c r="E134"/>
  <c r="F134"/>
  <c r="C135"/>
  <c r="D135"/>
  <c r="E135"/>
  <c r="F135"/>
  <c r="C136"/>
  <c r="D136"/>
  <c r="E136"/>
  <c r="F136"/>
  <c r="H136"/>
  <c r="I136"/>
  <c r="J136"/>
  <c r="K136"/>
  <c r="L136"/>
  <c r="M136"/>
  <c r="N136"/>
  <c r="O136"/>
  <c r="P136"/>
  <c r="G136"/>
  <c r="H135"/>
  <c r="I135"/>
  <c r="J135"/>
  <c r="K135"/>
  <c r="L135"/>
  <c r="M135"/>
  <c r="N135"/>
  <c r="O135"/>
  <c r="P135"/>
  <c r="G135"/>
  <c r="H134"/>
  <c r="I134"/>
  <c r="J134"/>
  <c r="K134"/>
  <c r="L134"/>
  <c r="M134"/>
  <c r="N134"/>
  <c r="O134"/>
  <c r="P134"/>
  <c r="G134"/>
  <c r="H42"/>
  <c r="I42"/>
  <c r="J42"/>
  <c r="K42"/>
  <c r="L42"/>
  <c r="M42"/>
  <c r="N42"/>
  <c r="O42"/>
  <c r="P42"/>
  <c r="C42"/>
  <c r="D42"/>
  <c r="E42"/>
  <c r="F42"/>
  <c r="G42"/>
  <c r="G44"/>
  <c r="H41"/>
  <c r="I41"/>
  <c r="J41"/>
  <c r="K41"/>
  <c r="L41"/>
  <c r="M41"/>
  <c r="N41"/>
  <c r="O41"/>
  <c r="P41"/>
  <c r="C41"/>
  <c r="D41"/>
  <c r="E41"/>
  <c r="F41"/>
  <c r="G41"/>
  <c r="P35"/>
  <c r="O35"/>
  <c r="N35"/>
  <c r="M35"/>
  <c r="L35"/>
  <c r="K35"/>
  <c r="J35"/>
  <c r="I35"/>
  <c r="H35"/>
  <c r="P33"/>
  <c r="O33"/>
  <c r="N33"/>
  <c r="M33"/>
  <c r="L33"/>
  <c r="K33"/>
  <c r="J33"/>
  <c r="I33"/>
  <c r="H33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6"/>
  <c r="S32"/>
  <c r="Q32"/>
  <c r="T32" l="1"/>
  <c r="Q136"/>
  <c r="Q42"/>
  <c r="Q41"/>
  <c r="Q135"/>
  <c r="Q134"/>
  <c r="Q28"/>
  <c r="T28" s="1"/>
  <c r="W28" s="1"/>
  <c r="Z28" s="1"/>
  <c r="Q30"/>
  <c r="U32" l="1"/>
  <c r="I66"/>
  <c r="J66"/>
  <c r="K66"/>
  <c r="L66"/>
  <c r="M66"/>
  <c r="N66"/>
  <c r="O66"/>
  <c r="P66"/>
  <c r="I67"/>
  <c r="J67"/>
  <c r="K67"/>
  <c r="L67"/>
  <c r="M67"/>
  <c r="N67"/>
  <c r="O67"/>
  <c r="P67"/>
  <c r="I61"/>
  <c r="I63" s="1"/>
  <c r="J61"/>
  <c r="J63" s="1"/>
  <c r="K61"/>
  <c r="K63" s="1"/>
  <c r="L61"/>
  <c r="L63" s="1"/>
  <c r="M61"/>
  <c r="M63" s="1"/>
  <c r="N61"/>
  <c r="N63" s="1"/>
  <c r="O61"/>
  <c r="O63" s="1"/>
  <c r="P61"/>
  <c r="P63" s="1"/>
  <c r="I64"/>
  <c r="J64"/>
  <c r="K64"/>
  <c r="L64"/>
  <c r="M64"/>
  <c r="N64"/>
  <c r="O64"/>
  <c r="P64"/>
  <c r="I65"/>
  <c r="J65"/>
  <c r="K65"/>
  <c r="L65"/>
  <c r="M65"/>
  <c r="N65"/>
  <c r="O65"/>
  <c r="P65"/>
  <c r="C64"/>
  <c r="D64"/>
  <c r="E64"/>
  <c r="F64"/>
  <c r="G64"/>
  <c r="C65"/>
  <c r="D65"/>
  <c r="E65"/>
  <c r="F65"/>
  <c r="G65"/>
  <c r="C66"/>
  <c r="D66"/>
  <c r="E66"/>
  <c r="F66"/>
  <c r="G66"/>
  <c r="C67"/>
  <c r="D67"/>
  <c r="E67"/>
  <c r="F67"/>
  <c r="G67"/>
  <c r="H67"/>
  <c r="H66"/>
  <c r="S22"/>
  <c r="T22" s="1"/>
  <c r="U22" s="1"/>
  <c r="V22" s="1"/>
  <c r="W22" s="1"/>
  <c r="X22" s="1"/>
  <c r="Y22" s="1"/>
  <c r="Z22" s="1"/>
  <c r="AA22" s="1"/>
  <c r="AB22" s="1"/>
  <c r="Q22"/>
  <c r="S21"/>
  <c r="T21" s="1"/>
  <c r="U21" s="1"/>
  <c r="V21" s="1"/>
  <c r="W21" s="1"/>
  <c r="X21" s="1"/>
  <c r="Y21" s="1"/>
  <c r="Z21" s="1"/>
  <c r="AA21" s="1"/>
  <c r="AB21" s="1"/>
  <c r="AC21" s="1"/>
  <c r="S20"/>
  <c r="Q19"/>
  <c r="C61"/>
  <c r="C63" s="1"/>
  <c r="D61"/>
  <c r="D63" s="1"/>
  <c r="E61"/>
  <c r="E63" s="1"/>
  <c r="F61"/>
  <c r="F63" s="1"/>
  <c r="G61"/>
  <c r="G63" s="1"/>
  <c r="H61"/>
  <c r="H63" s="1"/>
  <c r="H65"/>
  <c r="H64"/>
  <c r="V32" l="1"/>
  <c r="Q66"/>
  <c r="Q67"/>
  <c r="Q65"/>
  <c r="Q63"/>
  <c r="Q64"/>
  <c r="AC22"/>
  <c r="AE22" s="1"/>
  <c r="Q21"/>
  <c r="Q20"/>
  <c r="Q61"/>
  <c r="S19"/>
  <c r="T19" s="1"/>
  <c r="T20"/>
  <c r="AE21"/>
  <c r="S109"/>
  <c r="Q59"/>
  <c r="Q121"/>
  <c r="U19" l="1"/>
  <c r="V19" s="1"/>
  <c r="W19" s="1"/>
  <c r="X19" s="1"/>
  <c r="Y19" s="1"/>
  <c r="Z19" s="1"/>
  <c r="AA19" s="1"/>
  <c r="AB19" s="1"/>
  <c r="AC19" s="1"/>
  <c r="AE19" s="1"/>
  <c r="T61"/>
  <c r="S61"/>
  <c r="U20"/>
  <c r="AC59"/>
  <c r="AE59" s="1"/>
  <c r="T109" s="1"/>
  <c r="R109" s="1"/>
  <c r="P129" s="1"/>
  <c r="C18" i="15"/>
  <c r="S9" i="18"/>
  <c r="T9" s="1"/>
  <c r="U9" s="1"/>
  <c r="V9" s="1"/>
  <c r="W9" s="1"/>
  <c r="X9" s="1"/>
  <c r="Y9" s="1"/>
  <c r="Z9" s="1"/>
  <c r="AA9" s="1"/>
  <c r="AB9" s="1"/>
  <c r="Q82"/>
  <c r="Q83"/>
  <c r="Q84"/>
  <c r="Q85"/>
  <c r="Q86"/>
  <c r="Q87"/>
  <c r="Q81"/>
  <c r="Q34"/>
  <c r="Q29"/>
  <c r="Q26"/>
  <c r="Q24"/>
  <c r="Q17"/>
  <c r="Q15"/>
  <c r="Q14"/>
  <c r="Q13"/>
  <c r="Q12"/>
  <c r="Q10"/>
  <c r="Q9"/>
  <c r="Q7"/>
  <c r="Q6"/>
  <c r="S17"/>
  <c r="T17" s="1"/>
  <c r="U17" s="1"/>
  <c r="V17" s="1"/>
  <c r="W17" s="1"/>
  <c r="X17" s="1"/>
  <c r="Y17" s="1"/>
  <c r="Z17" s="1"/>
  <c r="AA17" s="1"/>
  <c r="AB17" s="1"/>
  <c r="S24"/>
  <c r="S26"/>
  <c r="S29"/>
  <c r="T29" s="1"/>
  <c r="U29" s="1"/>
  <c r="V29" s="1"/>
  <c r="W29" s="1"/>
  <c r="X29" s="1"/>
  <c r="Y29" s="1"/>
  <c r="Z29" s="1"/>
  <c r="AA29" s="1"/>
  <c r="AB29" s="1"/>
  <c r="S30"/>
  <c r="T30" s="1"/>
  <c r="U30" s="1"/>
  <c r="V30" s="1"/>
  <c r="W30" s="1"/>
  <c r="X30" s="1"/>
  <c r="Y30" s="1"/>
  <c r="Z30" s="1"/>
  <c r="AA30" s="1"/>
  <c r="AB30" s="1"/>
  <c r="W32"/>
  <c r="O57"/>
  <c r="O125" s="1"/>
  <c r="O56"/>
  <c r="O54"/>
  <c r="O53"/>
  <c r="O51"/>
  <c r="O126" s="1"/>
  <c r="O50"/>
  <c r="O49"/>
  <c r="O47"/>
  <c r="O46"/>
  <c r="O123" s="1"/>
  <c r="O45"/>
  <c r="O44"/>
  <c r="O122" s="1"/>
  <c r="T26" l="1"/>
  <c r="X32"/>
  <c r="T24"/>
  <c r="S75"/>
  <c r="V20"/>
  <c r="U61"/>
  <c r="AC29"/>
  <c r="AE29" s="1"/>
  <c r="AC30"/>
  <c r="AE30" s="1"/>
  <c r="AC17"/>
  <c r="AE17" s="1"/>
  <c r="AC9"/>
  <c r="AE9" s="1"/>
  <c r="O55"/>
  <c r="O124" s="1"/>
  <c r="D51"/>
  <c r="E51"/>
  <c r="F51"/>
  <c r="G51"/>
  <c r="G126" s="1"/>
  <c r="H51"/>
  <c r="H126" s="1"/>
  <c r="I51"/>
  <c r="I126" s="1"/>
  <c r="J51"/>
  <c r="J126" s="1"/>
  <c r="K51"/>
  <c r="K126" s="1"/>
  <c r="L51"/>
  <c r="L126" s="1"/>
  <c r="M51"/>
  <c r="M126" s="1"/>
  <c r="N51"/>
  <c r="N126" s="1"/>
  <c r="P51"/>
  <c r="C51"/>
  <c r="C50"/>
  <c r="U26" l="1"/>
  <c r="U24"/>
  <c r="T75"/>
  <c r="Y32"/>
  <c r="W20"/>
  <c r="V61"/>
  <c r="P126"/>
  <c r="Q126" s="1"/>
  <c r="Q51"/>
  <c r="D50"/>
  <c r="E50"/>
  <c r="F50"/>
  <c r="G50"/>
  <c r="H50"/>
  <c r="I50"/>
  <c r="J50"/>
  <c r="K50"/>
  <c r="L50"/>
  <c r="M50"/>
  <c r="N50"/>
  <c r="P50"/>
  <c r="D49"/>
  <c r="E49"/>
  <c r="F49"/>
  <c r="G49"/>
  <c r="H49"/>
  <c r="I49"/>
  <c r="J49"/>
  <c r="K49"/>
  <c r="L49"/>
  <c r="M49"/>
  <c r="N49"/>
  <c r="P49"/>
  <c r="C49"/>
  <c r="V26" l="1"/>
  <c r="V24"/>
  <c r="U75"/>
  <c r="Z32"/>
  <c r="X20"/>
  <c r="W61"/>
  <c r="Q49"/>
  <c r="Q50"/>
  <c r="C45" i="15"/>
  <c r="W26" i="18" l="1"/>
  <c r="W24"/>
  <c r="V75"/>
  <c r="AA32"/>
  <c r="Y20"/>
  <c r="X61"/>
  <c r="S85"/>
  <c r="T85" s="1"/>
  <c r="U85" s="1"/>
  <c r="V85" s="1"/>
  <c r="W85" s="1"/>
  <c r="X85" s="1"/>
  <c r="Y85" s="1"/>
  <c r="Z85" s="1"/>
  <c r="AA85" s="1"/>
  <c r="AB85" s="1"/>
  <c r="S121"/>
  <c r="C44"/>
  <c r="C122" s="1"/>
  <c r="C126" s="1"/>
  <c r="D44"/>
  <c r="D122" s="1"/>
  <c r="D126" s="1"/>
  <c r="E44"/>
  <c r="E122" s="1"/>
  <c r="E126" s="1"/>
  <c r="F44"/>
  <c r="F122" s="1"/>
  <c r="F126" s="1"/>
  <c r="H44"/>
  <c r="H122" s="1"/>
  <c r="I44"/>
  <c r="I122" s="1"/>
  <c r="J44"/>
  <c r="J122" s="1"/>
  <c r="K44"/>
  <c r="K122" s="1"/>
  <c r="L44"/>
  <c r="M44"/>
  <c r="M122" s="1"/>
  <c r="N44"/>
  <c r="P44"/>
  <c r="P122" s="1"/>
  <c r="D57"/>
  <c r="D125" s="1"/>
  <c r="E57"/>
  <c r="E125" s="1"/>
  <c r="F57"/>
  <c r="F125" s="1"/>
  <c r="G57"/>
  <c r="H57"/>
  <c r="H125" s="1"/>
  <c r="I57"/>
  <c r="I125" s="1"/>
  <c r="J57"/>
  <c r="J125" s="1"/>
  <c r="K57"/>
  <c r="K125" s="1"/>
  <c r="L57"/>
  <c r="L125" s="1"/>
  <c r="M57"/>
  <c r="M125" s="1"/>
  <c r="N57"/>
  <c r="P57"/>
  <c r="D56"/>
  <c r="E56"/>
  <c r="F56"/>
  <c r="G56"/>
  <c r="H56"/>
  <c r="I56"/>
  <c r="J56"/>
  <c r="K56"/>
  <c r="L56"/>
  <c r="M56"/>
  <c r="N56"/>
  <c r="P56"/>
  <c r="D54"/>
  <c r="E54"/>
  <c r="F54"/>
  <c r="G54"/>
  <c r="H54"/>
  <c r="I54"/>
  <c r="J54"/>
  <c r="K54"/>
  <c r="L54"/>
  <c r="M54"/>
  <c r="N54"/>
  <c r="P54"/>
  <c r="D53"/>
  <c r="D55" s="1"/>
  <c r="D124" s="1"/>
  <c r="E53"/>
  <c r="E55" s="1"/>
  <c r="E124" s="1"/>
  <c r="F53"/>
  <c r="G53"/>
  <c r="H53"/>
  <c r="H55" s="1"/>
  <c r="H124" s="1"/>
  <c r="I53"/>
  <c r="J53"/>
  <c r="K53"/>
  <c r="L53"/>
  <c r="M53"/>
  <c r="N53"/>
  <c r="P53"/>
  <c r="D47"/>
  <c r="E47"/>
  <c r="F47"/>
  <c r="G47"/>
  <c r="H47"/>
  <c r="I47"/>
  <c r="J47"/>
  <c r="K47"/>
  <c r="L47"/>
  <c r="M47"/>
  <c r="N47"/>
  <c r="P47"/>
  <c r="D46"/>
  <c r="D123" s="1"/>
  <c r="E46"/>
  <c r="E123" s="1"/>
  <c r="F46"/>
  <c r="F123" s="1"/>
  <c r="G46"/>
  <c r="H46"/>
  <c r="H123" s="1"/>
  <c r="I46"/>
  <c r="I123" s="1"/>
  <c r="J46"/>
  <c r="J123" s="1"/>
  <c r="K46"/>
  <c r="K123" s="1"/>
  <c r="L46"/>
  <c r="L123" s="1"/>
  <c r="M46"/>
  <c r="M123" s="1"/>
  <c r="N46"/>
  <c r="P46"/>
  <c r="C57"/>
  <c r="C125" s="1"/>
  <c r="C56"/>
  <c r="C54"/>
  <c r="C53"/>
  <c r="C47"/>
  <c r="C46"/>
  <c r="C123" s="1"/>
  <c r="D45"/>
  <c r="E45"/>
  <c r="F45"/>
  <c r="G45"/>
  <c r="H45"/>
  <c r="I45"/>
  <c r="J45"/>
  <c r="K45"/>
  <c r="L45"/>
  <c r="M45"/>
  <c r="N45"/>
  <c r="P45"/>
  <c r="C45"/>
  <c r="S14"/>
  <c r="S15"/>
  <c r="S34"/>
  <c r="S10"/>
  <c r="S12"/>
  <c r="S13"/>
  <c r="S7"/>
  <c r="S6"/>
  <c r="X26" l="1"/>
  <c r="T12"/>
  <c r="T14"/>
  <c r="T13"/>
  <c r="T10"/>
  <c r="T15"/>
  <c r="T6"/>
  <c r="T7"/>
  <c r="X24"/>
  <c r="W75"/>
  <c r="T34"/>
  <c r="S77"/>
  <c r="S76"/>
  <c r="AB32"/>
  <c r="F55"/>
  <c r="F124" s="1"/>
  <c r="L55"/>
  <c r="L124" s="1"/>
  <c r="K55"/>
  <c r="K124" s="1"/>
  <c r="J55"/>
  <c r="J124" s="1"/>
  <c r="Z20"/>
  <c r="Y61"/>
  <c r="AC85"/>
  <c r="AE85" s="1"/>
  <c r="C55"/>
  <c r="C124" s="1"/>
  <c r="P91"/>
  <c r="T121"/>
  <c r="I55"/>
  <c r="I124" s="1"/>
  <c r="Q45"/>
  <c r="G123"/>
  <c r="Q46"/>
  <c r="Q47"/>
  <c r="Q54"/>
  <c r="Q56"/>
  <c r="G122"/>
  <c r="Q44"/>
  <c r="G125"/>
  <c r="Q57"/>
  <c r="G55"/>
  <c r="Q53"/>
  <c r="N123"/>
  <c r="N122"/>
  <c r="N125"/>
  <c r="P123"/>
  <c r="L122"/>
  <c r="N55"/>
  <c r="M55"/>
  <c r="M124" s="1"/>
  <c r="P125"/>
  <c r="P55"/>
  <c r="S86"/>
  <c r="T86" s="1"/>
  <c r="U86" s="1"/>
  <c r="V86" s="1"/>
  <c r="W86" s="1"/>
  <c r="X86" s="1"/>
  <c r="Y86" s="1"/>
  <c r="Z86" s="1"/>
  <c r="AA86" s="1"/>
  <c r="AB86" s="1"/>
  <c r="S87"/>
  <c r="T87" s="1"/>
  <c r="U87" s="1"/>
  <c r="V87" s="1"/>
  <c r="W87" s="1"/>
  <c r="X87" s="1"/>
  <c r="Y87" s="1"/>
  <c r="Z87" s="1"/>
  <c r="AA87" s="1"/>
  <c r="AB87" s="1"/>
  <c r="S36"/>
  <c r="S53" s="1"/>
  <c r="C6" i="12"/>
  <c r="C25" i="15"/>
  <c r="C57"/>
  <c r="C56"/>
  <c r="C53"/>
  <c r="C52"/>
  <c r="C49"/>
  <c r="C48"/>
  <c r="C44"/>
  <c r="S70" i="18" l="1"/>
  <c r="S49"/>
  <c r="S51"/>
  <c r="S126" s="1"/>
  <c r="S57"/>
  <c r="S54"/>
  <c r="S67"/>
  <c r="S69"/>
  <c r="S42"/>
  <c r="S41"/>
  <c r="S50"/>
  <c r="S46"/>
  <c r="S47"/>
  <c r="S56"/>
  <c r="S45"/>
  <c r="S71"/>
  <c r="S44"/>
  <c r="Y26"/>
  <c r="U14"/>
  <c r="U13"/>
  <c r="U12"/>
  <c r="S55"/>
  <c r="U15"/>
  <c r="U10"/>
  <c r="U7"/>
  <c r="U6"/>
  <c r="AC32"/>
  <c r="AE32" s="1"/>
  <c r="Y24"/>
  <c r="X75"/>
  <c r="U34"/>
  <c r="T77"/>
  <c r="T76"/>
  <c r="T36"/>
  <c r="T53" s="1"/>
  <c r="S64"/>
  <c r="S65"/>
  <c r="S66"/>
  <c r="S63"/>
  <c r="AA20"/>
  <c r="Z61"/>
  <c r="AC86"/>
  <c r="AE86" s="1"/>
  <c r="AC87"/>
  <c r="AE87" s="1"/>
  <c r="S125"/>
  <c r="U121"/>
  <c r="Q123"/>
  <c r="Q122"/>
  <c r="Q125"/>
  <c r="G124"/>
  <c r="Q55"/>
  <c r="N124"/>
  <c r="P124"/>
  <c r="S84"/>
  <c r="T84" s="1"/>
  <c r="U84" s="1"/>
  <c r="V84" s="1"/>
  <c r="W84" s="1"/>
  <c r="X84" s="1"/>
  <c r="Y84" s="1"/>
  <c r="Z84" s="1"/>
  <c r="AA84" s="1"/>
  <c r="AB84" s="1"/>
  <c r="S81"/>
  <c r="T81" s="1"/>
  <c r="U81" s="1"/>
  <c r="V81" s="1"/>
  <c r="W81" s="1"/>
  <c r="X81" s="1"/>
  <c r="Y81" s="1"/>
  <c r="Z81" s="1"/>
  <c r="AA81" s="1"/>
  <c r="AB81" s="1"/>
  <c r="S83"/>
  <c r="T83" s="1"/>
  <c r="U83" s="1"/>
  <c r="V83" s="1"/>
  <c r="W83" s="1"/>
  <c r="X83" s="1"/>
  <c r="Y83" s="1"/>
  <c r="Z83" s="1"/>
  <c r="AA83" s="1"/>
  <c r="AB83" s="1"/>
  <c r="S82"/>
  <c r="T82" s="1"/>
  <c r="U82" s="1"/>
  <c r="V82" s="1"/>
  <c r="W82" s="1"/>
  <c r="X82" s="1"/>
  <c r="Y82" s="1"/>
  <c r="Z82" s="1"/>
  <c r="AA82" s="1"/>
  <c r="AB82" s="1"/>
  <c r="C15" i="15"/>
  <c r="C20"/>
  <c r="C9"/>
  <c r="T51" i="18" l="1"/>
  <c r="T126" s="1"/>
  <c r="T57"/>
  <c r="T125" s="1"/>
  <c r="T67"/>
  <c r="T69"/>
  <c r="T41"/>
  <c r="T42"/>
  <c r="T46"/>
  <c r="T45"/>
  <c r="T56"/>
  <c r="T71"/>
  <c r="T50"/>
  <c r="T47"/>
  <c r="T44"/>
  <c r="T49"/>
  <c r="T54"/>
  <c r="T55" s="1"/>
  <c r="T70"/>
  <c r="Z26"/>
  <c r="V13"/>
  <c r="V12"/>
  <c r="V14"/>
  <c r="V10"/>
  <c r="V15"/>
  <c r="V6"/>
  <c r="V7"/>
  <c r="V34"/>
  <c r="U77"/>
  <c r="U76"/>
  <c r="Z24"/>
  <c r="Y75"/>
  <c r="U36"/>
  <c r="U53" s="1"/>
  <c r="T66"/>
  <c r="T65"/>
  <c r="T64"/>
  <c r="T63"/>
  <c r="AB20"/>
  <c r="AA61"/>
  <c r="AC83"/>
  <c r="AE83" s="1"/>
  <c r="AC84"/>
  <c r="AE84" s="1"/>
  <c r="AC82"/>
  <c r="AE82" s="1"/>
  <c r="AC81"/>
  <c r="AE81" s="1"/>
  <c r="S124"/>
  <c r="V121"/>
  <c r="S122"/>
  <c r="S123"/>
  <c r="Q124"/>
  <c r="D31" i="8"/>
  <c r="D29"/>
  <c r="D28"/>
  <c r="D13"/>
  <c r="D30" s="1"/>
  <c r="E14"/>
  <c r="F14" s="1"/>
  <c r="G14" s="1"/>
  <c r="H14" s="1"/>
  <c r="I14" s="1"/>
  <c r="U70" i="18" l="1"/>
  <c r="U57"/>
  <c r="U125" s="1"/>
  <c r="U51"/>
  <c r="U126" s="1"/>
  <c r="U56"/>
  <c r="U49"/>
  <c r="U71"/>
  <c r="U54"/>
  <c r="U45"/>
  <c r="U67"/>
  <c r="U69"/>
  <c r="U42"/>
  <c r="U41"/>
  <c r="U50"/>
  <c r="U46"/>
  <c r="U47"/>
  <c r="U44"/>
  <c r="AA26"/>
  <c r="W12"/>
  <c r="W14"/>
  <c r="W13"/>
  <c r="U55"/>
  <c r="W15"/>
  <c r="W10"/>
  <c r="W7"/>
  <c r="W6"/>
  <c r="AA24"/>
  <c r="Z75"/>
  <c r="W34"/>
  <c r="V76"/>
  <c r="V77"/>
  <c r="V36"/>
  <c r="V53" s="1"/>
  <c r="U66"/>
  <c r="U64"/>
  <c r="U65"/>
  <c r="U63"/>
  <c r="AC20"/>
  <c r="AE20" s="1"/>
  <c r="AB61"/>
  <c r="T124"/>
  <c r="W121"/>
  <c r="T122"/>
  <c r="T12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51" i="18" l="1"/>
  <c r="V126" s="1"/>
  <c r="V56"/>
  <c r="V71"/>
  <c r="V45"/>
  <c r="V70"/>
  <c r="V46"/>
  <c r="V50"/>
  <c r="V47"/>
  <c r="V54"/>
  <c r="V55" s="1"/>
  <c r="V67"/>
  <c r="V69"/>
  <c r="V41"/>
  <c r="V42"/>
  <c r="V49"/>
  <c r="V57"/>
  <c r="V125" s="1"/>
  <c r="V44"/>
  <c r="AB26"/>
  <c r="X14"/>
  <c r="X13"/>
  <c r="X12"/>
  <c r="X10"/>
  <c r="X15"/>
  <c r="X6"/>
  <c r="X7"/>
  <c r="X34"/>
  <c r="W77"/>
  <c r="W76"/>
  <c r="AB24"/>
  <c r="AA75"/>
  <c r="W36"/>
  <c r="W56" s="1"/>
  <c r="V66"/>
  <c r="V64"/>
  <c r="V65"/>
  <c r="V63"/>
  <c r="S111"/>
  <c r="AC61"/>
  <c r="AE61" s="1"/>
  <c r="T111" s="1"/>
  <c r="U124"/>
  <c r="X121"/>
  <c r="U122"/>
  <c r="U12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50" i="18" l="1"/>
  <c r="W54"/>
  <c r="W70"/>
  <c r="W49"/>
  <c r="W71"/>
  <c r="W51"/>
  <c r="W126" s="1"/>
  <c r="W57"/>
  <c r="W125" s="1"/>
  <c r="W53"/>
  <c r="W67"/>
  <c r="W69"/>
  <c r="W42"/>
  <c r="W41"/>
  <c r="W45"/>
  <c r="W46"/>
  <c r="W47"/>
  <c r="W44"/>
  <c r="X44"/>
  <c r="AC26"/>
  <c r="AE26" s="1"/>
  <c r="Y12"/>
  <c r="Y14"/>
  <c r="X56"/>
  <c r="Y13"/>
  <c r="Y10"/>
  <c r="Y15"/>
  <c r="Y7"/>
  <c r="X49"/>
  <c r="Y6"/>
  <c r="AC24"/>
  <c r="AE24" s="1"/>
  <c r="AB75"/>
  <c r="AC75" s="1"/>
  <c r="Y34"/>
  <c r="X77"/>
  <c r="X76"/>
  <c r="R111"/>
  <c r="O31" i="9"/>
  <c r="O32" s="1"/>
  <c r="X36" i="18"/>
  <c r="X47" s="1"/>
  <c r="W66"/>
  <c r="W64"/>
  <c r="W65"/>
  <c r="W63"/>
  <c r="V124"/>
  <c r="Y121"/>
  <c r="V122"/>
  <c r="V123"/>
  <c r="P31" i="11"/>
  <c r="N32"/>
  <c r="T19" i="9"/>
  <c r="D22"/>
  <c r="W55" i="18" l="1"/>
  <c r="W124" s="1"/>
  <c r="X46"/>
  <c r="X51"/>
  <c r="X126" s="1"/>
  <c r="X45"/>
  <c r="X67"/>
  <c r="X69"/>
  <c r="X42"/>
  <c r="X41"/>
  <c r="X71"/>
  <c r="X50"/>
  <c r="X57"/>
  <c r="X125" s="1"/>
  <c r="X54"/>
  <c r="X53"/>
  <c r="X70"/>
  <c r="Z13"/>
  <c r="Z12"/>
  <c r="Z14"/>
  <c r="Z10"/>
  <c r="Z15"/>
  <c r="Z6"/>
  <c r="Z7"/>
  <c r="Z34"/>
  <c r="Y77"/>
  <c r="Y76"/>
  <c r="Y36"/>
  <c r="X66"/>
  <c r="X64"/>
  <c r="X65"/>
  <c r="X63"/>
  <c r="Z121"/>
  <c r="W122"/>
  <c r="W12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X55" i="18" l="1"/>
  <c r="X124" s="1"/>
  <c r="Y67"/>
  <c r="Y69"/>
  <c r="Y41"/>
  <c r="Y42"/>
  <c r="Y51"/>
  <c r="Y126" s="1"/>
  <c r="Y57"/>
  <c r="Y125" s="1"/>
  <c r="Y56"/>
  <c r="Y54"/>
  <c r="Y55" s="1"/>
  <c r="Y45"/>
  <c r="Y44"/>
  <c r="Y50"/>
  <c r="Y46"/>
  <c r="Y47"/>
  <c r="Y53"/>
  <c r="Y70"/>
  <c r="Y49"/>
  <c r="Y71"/>
  <c r="AA12"/>
  <c r="AA14"/>
  <c r="AA13"/>
  <c r="AA10"/>
  <c r="AA15"/>
  <c r="AA7"/>
  <c r="AA6"/>
  <c r="AA34"/>
  <c r="Z76"/>
  <c r="Z77"/>
  <c r="Z36"/>
  <c r="Y66"/>
  <c r="Y64"/>
  <c r="Y65"/>
  <c r="Y63"/>
  <c r="AA121"/>
  <c r="X122"/>
  <c r="X123"/>
  <c r="N34" i="11"/>
  <c r="O33"/>
  <c r="D25" i="8"/>
  <c r="D23"/>
  <c r="Z67" i="18" l="1"/>
  <c r="Z69"/>
  <c r="Z42"/>
  <c r="Z41"/>
  <c r="Z45"/>
  <c r="Z56"/>
  <c r="Z46"/>
  <c r="Z51"/>
  <c r="Z126" s="1"/>
  <c r="Z54"/>
  <c r="Z55" s="1"/>
  <c r="Z53"/>
  <c r="Z71"/>
  <c r="Z57"/>
  <c r="Z125" s="1"/>
  <c r="Z44"/>
  <c r="Z50"/>
  <c r="Z70"/>
  <c r="Z49"/>
  <c r="Z47"/>
  <c r="AB14"/>
  <c r="AB13"/>
  <c r="AB12"/>
  <c r="AB10"/>
  <c r="AB15"/>
  <c r="AB6"/>
  <c r="AB7"/>
  <c r="AB34"/>
  <c r="AA77"/>
  <c r="AA76"/>
  <c r="AA36"/>
  <c r="Z66"/>
  <c r="Z64"/>
  <c r="Z65"/>
  <c r="Z63"/>
  <c r="Y124"/>
  <c r="AB121"/>
  <c r="Y122"/>
  <c r="Y123"/>
  <c r="N35" i="11"/>
  <c r="O34"/>
  <c r="D35" i="8"/>
  <c r="E5"/>
  <c r="E18" s="1"/>
  <c r="D18"/>
  <c r="D19"/>
  <c r="D21"/>
  <c r="D20"/>
  <c r="AA67" i="18" l="1"/>
  <c r="AA69"/>
  <c r="AA41"/>
  <c r="AA42"/>
  <c r="AA49"/>
  <c r="AA57"/>
  <c r="AA125" s="1"/>
  <c r="AA44"/>
  <c r="AA51"/>
  <c r="AA126" s="1"/>
  <c r="AA54"/>
  <c r="AA70"/>
  <c r="AA45"/>
  <c r="AA46"/>
  <c r="AA47"/>
  <c r="AA50"/>
  <c r="AA71"/>
  <c r="AA53"/>
  <c r="AA56"/>
  <c r="AC14"/>
  <c r="AE14" s="1"/>
  <c r="AC13"/>
  <c r="AE13" s="1"/>
  <c r="S105"/>
  <c r="AC12"/>
  <c r="AE12" s="1"/>
  <c r="T105" s="1"/>
  <c r="T106" s="1"/>
  <c r="AC10"/>
  <c r="AE10" s="1"/>
  <c r="AC15"/>
  <c r="AE15" s="1"/>
  <c r="AC7"/>
  <c r="AE7" s="1"/>
  <c r="AC6"/>
  <c r="AE6" s="1"/>
  <c r="AB77"/>
  <c r="AC77" s="1"/>
  <c r="AB76"/>
  <c r="AC76" s="1"/>
  <c r="AC34"/>
  <c r="AE34" s="1"/>
  <c r="AB36"/>
  <c r="AA66"/>
  <c r="AA64"/>
  <c r="AA65"/>
  <c r="AA63"/>
  <c r="Z124"/>
  <c r="AC121"/>
  <c r="AE121" s="1"/>
  <c r="Z122"/>
  <c r="Z123"/>
  <c r="N36" i="11"/>
  <c r="O35"/>
  <c r="F5" i="8"/>
  <c r="G5" s="1"/>
  <c r="H5" s="1"/>
  <c r="I5" s="1"/>
  <c r="AA55" i="18" l="1"/>
  <c r="AA124" s="1"/>
  <c r="AB67"/>
  <c r="S118" s="1"/>
  <c r="AB69"/>
  <c r="AB41"/>
  <c r="AC41" s="1"/>
  <c r="AE41" s="1"/>
  <c r="AB42"/>
  <c r="AC42" s="1"/>
  <c r="AE42" s="1"/>
  <c r="AB49"/>
  <c r="AC49" s="1"/>
  <c r="AE49" s="1"/>
  <c r="T98" s="1"/>
  <c r="AB54"/>
  <c r="AC54" s="1"/>
  <c r="AE54" s="1"/>
  <c r="AB44"/>
  <c r="AB51"/>
  <c r="AB126" s="1"/>
  <c r="AC126" s="1"/>
  <c r="AE126" s="1"/>
  <c r="AB47"/>
  <c r="S95" s="1"/>
  <c r="AB70"/>
  <c r="AC70" s="1"/>
  <c r="AE70" s="1"/>
  <c r="AB46"/>
  <c r="AB45"/>
  <c r="S93" s="1"/>
  <c r="AB56"/>
  <c r="AC56" s="1"/>
  <c r="AE56" s="1"/>
  <c r="T102" s="1"/>
  <c r="AB71"/>
  <c r="AC71" s="1"/>
  <c r="AE71" s="1"/>
  <c r="AB50"/>
  <c r="AC50" s="1"/>
  <c r="AE50" s="1"/>
  <c r="T99" s="1"/>
  <c r="AB57"/>
  <c r="AB125" s="1"/>
  <c r="AC125" s="1"/>
  <c r="AE125" s="1"/>
  <c r="AB53"/>
  <c r="AC53" s="1"/>
  <c r="AE53" s="1"/>
  <c r="T96" s="1"/>
  <c r="S106"/>
  <c r="R106" s="1"/>
  <c r="R105"/>
  <c r="S102"/>
  <c r="AC47"/>
  <c r="AE47" s="1"/>
  <c r="T95" s="1"/>
  <c r="AB66"/>
  <c r="S116" s="1"/>
  <c r="AB64"/>
  <c r="S114" s="1"/>
  <c r="AC36"/>
  <c r="AE36" s="1"/>
  <c r="AB65"/>
  <c r="S115" s="1"/>
  <c r="AB63"/>
  <c r="S113" s="1"/>
  <c r="AA122"/>
  <c r="AA123"/>
  <c r="N37" i="11"/>
  <c r="O36"/>
  <c r="F18" i="8"/>
  <c r="G18"/>
  <c r="AC67" i="18" l="1"/>
  <c r="AE67" s="1"/>
  <c r="T118" s="1"/>
  <c r="R118" s="1"/>
  <c r="AC45"/>
  <c r="AE45" s="1"/>
  <c r="T93" s="1"/>
  <c r="R93" s="1"/>
  <c r="S98"/>
  <c r="R98" s="1"/>
  <c r="S103"/>
  <c r="S96"/>
  <c r="R96" s="1"/>
  <c r="S100"/>
  <c r="S99"/>
  <c r="R99" s="1"/>
  <c r="AB55"/>
  <c r="AB124" s="1"/>
  <c r="AC51"/>
  <c r="AE51" s="1"/>
  <c r="T100" s="1"/>
  <c r="R100" s="1"/>
  <c r="P130" s="1"/>
  <c r="AC57"/>
  <c r="AE57" s="1"/>
  <c r="T103" s="1"/>
  <c r="R103" s="1"/>
  <c r="AC69"/>
  <c r="AE69" s="1"/>
  <c r="R102"/>
  <c r="R95"/>
  <c r="AC65"/>
  <c r="AE65" s="1"/>
  <c r="T115" s="1"/>
  <c r="AC64"/>
  <c r="AE64" s="1"/>
  <c r="AC63"/>
  <c r="AE63" s="1"/>
  <c r="T113" s="1"/>
  <c r="AC66"/>
  <c r="AE66" s="1"/>
  <c r="S92"/>
  <c r="AC44"/>
  <c r="AE44" s="1"/>
  <c r="T92" s="1"/>
  <c r="AB122"/>
  <c r="AC46"/>
  <c r="AE46" s="1"/>
  <c r="T94" s="1"/>
  <c r="AB123"/>
  <c r="S94"/>
  <c r="N38" i="11"/>
  <c r="O37"/>
  <c r="H18" i="8"/>
  <c r="AC55" i="18" l="1"/>
  <c r="AE55" s="1"/>
  <c r="T116"/>
  <c r="R116" s="1"/>
  <c r="T114"/>
  <c r="R114" s="1"/>
  <c r="R115"/>
  <c r="R113"/>
  <c r="R92"/>
  <c r="P131" s="1"/>
  <c r="AC123"/>
  <c r="AE123" s="1"/>
  <c r="AC124"/>
  <c r="AE124" s="1"/>
  <c r="AC122"/>
  <c r="AE122" s="1"/>
  <c r="R94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<sst xmlns="http://schemas.openxmlformats.org/spreadsheetml/2006/main" count="473" uniqueCount="321">
  <si>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</si>
  <si>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</si>
  <si>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</si>
  <si>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</si>
  <si>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</si>
  <si>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</si>
  <si>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</si>
  <si>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</si>
  <si>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</si>
  <si>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</si>
  <si>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</si>
  <si>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</si>
  <si>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</si>
  <si>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</si>
  <si>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</si>
  <si>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</si>
  <si>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</si>
  <si>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</si>
  <si>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</si>
  <si>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</si>
  <si>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</si>
  <si>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</si>
  <si>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</si>
  <si>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</si>
  <si>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</si>
  <si>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</si>
  <si>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</si>
  <si>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</si>
  <si>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</si>
  <si>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</si>
  <si>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</si>
  <si>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</si>
  <si>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</si>
  <si>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</si>
  <si>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</si>
  <si>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</si>
  <si>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</si>
  <si>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</si>
  <si>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</si>
  <si>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</si>
  <si>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</si>
  <si>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</si>
  <si>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</si>
  <si>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</si>
  <si>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</si>
  <si>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</si>
  <si>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</si>
  <si>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</si>
  <si>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</si>
  <si>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</si>
  <si>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</si>
  <si>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</si>
  <si>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</si>
  <si>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</si>
  <si>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</si>
  <si>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</si>
  <si>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</si>
  <si>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</si>
  <si>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</si>
  <si>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</si>
  <si>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</si>
  <si>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</si>
  <si>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</si>
  <si>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</si>
  <si>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</si>
  <si>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</si>
  <si>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</si>
  <si>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</si>
  <si>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</si>
  <si>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</si>
  <si>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</si>
  <si>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</si>
  <si>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</si>
  <si>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</si>
  <si>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</si>
  <si>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</si>
  <si>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</si>
  <si>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</si>
  <si>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</si>
  <si>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</si>
  <si>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</si>
  <si>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</si>
  <si>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</si>
  <si>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</si>
  <si>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</si>
  <si>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</si>
  <si>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</si>
  <si>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</si>
  <si>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</si>
  <si>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</si>
  <si>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</si>
  <si>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</si>
  <si>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</si>
  <si>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</si>
  <si>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</si>
  <si>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</si>
  <si>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</si>
  <si>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</si>
  <si>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</si>
  <si>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</si>
  <si>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</si>
  <si>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</si>
  <si>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</si>
  <si>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</si>
  <si>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</si>
  <si>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</si>
  <si>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</si>
  <si>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</si>
  <si>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</si>
  <si>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</si>
  <si>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</si>
  <si>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</si>
  <si>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</si>
  <si>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</si>
  <si>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</si>
  <si>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</si>
  <si>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</si>
  <si>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</si>
  <si>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</si>
  <si>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</si>
  <si>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</si>
  <si>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</si>
  <si>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</si>
  <si>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</si>
  <si>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</si>
  <si>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</si>
  <si>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</si>
  <si>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</si>
  <si>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</si>
  <si>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</si>
  <si>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</si>
  <si>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</si>
  <si>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</si>
  <si>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</si>
  <si>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</si>
  <si>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</si>
  <si>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</si>
  <si>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</si>
  <si>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</si>
  <si>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</si>
  <si>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</si>
  <si>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</si>
  <si>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</si>
  <si>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</si>
  <si>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</si>
  <si>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</si>
  <si>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</si>
  <si>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</si>
  <si>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</si>
  <si>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</si>
  <si>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</si>
  <si>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</si>
  <si>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</si>
  <si>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</si>
  <si>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</si>
  <si>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</si>
  <si>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</si>
  <si>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</si>
  <si>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</si>
  <si>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</si>
  <si>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</si>
  <si>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</si>
  <si>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</si>
  <si>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</si>
  <si>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</si>
  <si>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</si>
  <si>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</si>
  <si>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</si>
  <si>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</si>
  <si>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</si>
  <si>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</si>
  <si>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</si>
  <si>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</si>
  <si>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</si>
  <si>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</si>
  <si>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</si>
  <si>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</si>
  <si>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</si>
  <si>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</si>
  <si>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</si>
  <si>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</si>
  <si>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</si>
  <si>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</si>
  <si>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</si>
  <si>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</si>
  <si>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</si>
  <si>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</si>
  <si>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</si>
  <si>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</si>
  <si>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</si>
  <si>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</si>
  <si>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</si>
  <si>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</si>
  <si>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</si>
  <si>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</si>
  <si>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</si>
  <si>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</si>
  <si>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</si>
  <si>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</si>
  <si>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</si>
  <si>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</si>
  <si>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</si>
  <si>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</si>
  <si>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</si>
  <si>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</si>
  <si>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</si>
  <si>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</si>
  <si>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</si>
  <si>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</si>
  <si>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</si>
  <si>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</si>
  <si>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</si>
  <si>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</si>
  <si>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</si>
  <si>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</si>
  <si>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</si>
  <si>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</si>
  <si>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</si>
  <si>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</si>
  <si>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</si>
  <si>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</si>
  <si>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</si>
  <si>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</si>
  <si>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</si>
  <si>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</si>
  <si>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</si>
  <si>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</si>
  <si>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</si>
  <si>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</si>
  <si>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</si>
  <si>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</si>
  <si>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</si>
  <si>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</si>
  <si>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</si>
  <si>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</si>
  <si>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</si>
  <si>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</si>
  <si>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</si>
  <si>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</si>
  <si>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</si>
  <si>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</si>
  <si>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</si>
  <si>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</si>
  <si>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</si>
  <si>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</si>
  <si>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</si>
  <si>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</si>
  <si>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</si>
  <si>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</si>
  <si>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</si>
  <si>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</si>
  <si>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</si>
  <si>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</si>
  <si>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</si>
  <si>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</si>
  <si>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</si>
  <si>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</si>
  <si>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</si>
  <si>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</si>
  <si>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</si>
  <si>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</si>
  <si>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</si>
  <si>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</si>
  <si>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</si>
  <si>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</si>
  <si>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</si>
  <si>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</si>
  <si>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</si>
  <si>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</si>
  <si>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</si>
  <si>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</si>
  <si>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</si>
  <si>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</si>
  <si>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</si>
  <si>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</si>
  <si>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</si>
  <si>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</si>
  <si>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</si>
  <si>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</si>
  <si>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</si>
  <si>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</si>
  <si>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</si>
  <si>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</si>
  <si>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</si>
  <si>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</si>
  <si>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</si>
  <si>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</si>
  <si>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</si>
  <si>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</si>
  <si>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</si>
  <si>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</si>
  <si>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</si>
  <si>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</si>
  <si>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</si>
  <si>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</si>
  <si>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</si>
  <si>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</si>
  <si>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</si>
  <si>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</si>
  <si>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</si>
  <si>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</si>
  <si>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</si>
  <si>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</si>
  <si>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</si>
  <si>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</si>
  <si>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</si>
  <si>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</si>
  <si>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</si>
  <si>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</si>
  <si>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</si>
  <si>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</si>
  <si>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Top Expenses ( Mfg 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</si>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</sst>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166" fontId="12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0101632"/>
        <c:axId val="70115712"/>
      </c:lineChart>
      <c:catAx>
        <c:axId val="70101632"/>
        <c:scaling>
          <c:orientation val="minMax"/>
        </c:scaling>
        <c:axPos val="b"/>
        <c:tickLblPos val="nextTo"/>
        <c:crossAx val="70115712"/>
        <c:crosses val="autoZero"/>
        <c:auto val="1"/>
        <c:lblAlgn val="ctr"/>
        <c:lblOffset val="100"/>
      </c:catAx>
      <c:valAx>
        <c:axId val="70115712"/>
        <c:scaling>
          <c:orientation val="minMax"/>
        </c:scaling>
        <c:axPos val="l"/>
        <c:majorGridlines/>
        <c:numFmt formatCode="General" sourceLinked="1"/>
        <c:tickLblPos val="nextTo"/>
        <c:crossAx val="7010163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Analysis%20-%20Adani%20Pow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 - Eval Steps"/>
      <sheetName val="2 - Analysis"/>
      <sheetName val="3 - Forecast"/>
      <sheetName val="BV calc"/>
      <sheetName val="Sheet1"/>
      <sheetName val="IOB"/>
      <sheetName val="Template"/>
    </sheetNames>
    <sheetDataSet>
      <sheetData sheetId="0"/>
      <sheetData sheetId="1"/>
      <sheetData sheetId="2">
        <row r="12">
          <cell r="G12">
            <v>0.01</v>
          </cell>
          <cell r="H12">
            <v>0.01</v>
          </cell>
          <cell r="I12">
            <v>0.27</v>
          </cell>
          <cell r="J12">
            <v>50</v>
          </cell>
          <cell r="L12">
            <v>559</v>
          </cell>
          <cell r="M12">
            <v>212</v>
          </cell>
          <cell r="N12">
            <v>1255</v>
          </cell>
          <cell r="O12">
            <v>3241</v>
          </cell>
          <cell r="P12">
            <v>1718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0.01</v>
          </cell>
          <cell r="N13">
            <v>10</v>
          </cell>
          <cell r="O13">
            <v>19</v>
          </cell>
          <cell r="P13">
            <v>22.37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268</v>
      </c>
      <c r="C32" s="132">
        <v>3.44E-2</v>
      </c>
      <c r="D32" s="20"/>
      <c r="E32" s="20"/>
      <c r="F32" s="20"/>
      <c r="G32" s="20"/>
    </row>
    <row r="33" spans="2:7">
      <c r="B33" s="20" t="s">
        <v>267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41"/>
  <sheetViews>
    <sheetView tabSelected="1" zoomScale="80" zoomScaleNormal="80" workbookViewId="0">
      <pane xSplit="2" ySplit="3" topLeftCell="C10" activePane="bottomRight" state="frozen"/>
      <selection pane="topRight" activeCell="C1" sqref="C1"/>
      <selection pane="bottomLeft" activeCell="A5" sqref="A5"/>
      <selection pane="bottomRight" activeCell="L36" sqref="L36:P37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9.7109375" style="104" bestFit="1" customWidth="1"/>
    <col min="17" max="17" width="8.710937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</row>
    <row r="2" spans="2:31">
      <c r="B2" s="154" t="s">
        <v>320</v>
      </c>
      <c r="C2" s="120"/>
      <c r="F2" s="104" t="s">
        <v>253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2" t="s">
        <v>292</v>
      </c>
      <c r="AE2" s="163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4" t="s">
        <v>293</v>
      </c>
      <c r="AE3" s="165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47">
        <v>-0.01</v>
      </c>
      <c r="H6" s="147">
        <v>-0.01</v>
      </c>
      <c r="I6" s="147">
        <v>-0.01</v>
      </c>
      <c r="J6" s="147">
        <v>-2.2999999999999998</v>
      </c>
      <c r="K6" s="147"/>
      <c r="L6" s="147">
        <v>447</v>
      </c>
      <c r="M6" s="147">
        <v>3598</v>
      </c>
      <c r="N6" s="147">
        <v>4107</v>
      </c>
      <c r="O6" s="147">
        <v>3861</v>
      </c>
      <c r="P6" s="147">
        <v>1900</v>
      </c>
      <c r="Q6" s="118">
        <f>((P6/G6)^(1/($H$2-$H$1) ))-1</f>
        <v>-4.8594745181524877</v>
      </c>
      <c r="R6" s="31">
        <v>0.1</v>
      </c>
      <c r="S6" s="155">
        <f>P6*(1+$R6)</f>
        <v>2090</v>
      </c>
      <c r="T6" s="155">
        <f>S6*(1+$R6)</f>
        <v>2299</v>
      </c>
      <c r="U6" s="155">
        <f t="shared" ref="U6:AB6" si="0">T6*(1+$R6)</f>
        <v>2528.9</v>
      </c>
      <c r="V6" s="155">
        <f t="shared" si="0"/>
        <v>2781.7900000000004</v>
      </c>
      <c r="W6" s="155">
        <f t="shared" si="0"/>
        <v>3059.9690000000005</v>
      </c>
      <c r="X6" s="155">
        <f t="shared" si="0"/>
        <v>3365.9659000000006</v>
      </c>
      <c r="Y6" s="155">
        <f t="shared" si="0"/>
        <v>3702.5624900000012</v>
      </c>
      <c r="Z6" s="155">
        <f t="shared" si="0"/>
        <v>4072.8187390000016</v>
      </c>
      <c r="AA6" s="155">
        <f t="shared" si="0"/>
        <v>4480.1006129000025</v>
      </c>
      <c r="AB6" s="155">
        <f t="shared" si="0"/>
        <v>4928.110674190003</v>
      </c>
      <c r="AC6" s="138">
        <f>((AB6/G6)^(1/($AB$3-$H$1) ))-1</f>
        <v>-2.9934932095461875</v>
      </c>
      <c r="AD6" s="31">
        <v>0.08</v>
      </c>
      <c r="AE6" s="146">
        <f>(AB6*(1+AC6))/($C$1-AD6)</f>
        <v>-70172.536892070391</v>
      </c>
    </row>
    <row r="7" spans="2:31">
      <c r="B7" s="20" t="s">
        <v>240</v>
      </c>
      <c r="C7" s="141"/>
      <c r="D7" s="141"/>
      <c r="E7" s="147"/>
      <c r="F7" s="147"/>
      <c r="G7" s="147">
        <v>0.94</v>
      </c>
      <c r="H7" s="147">
        <v>0.94</v>
      </c>
      <c r="I7" s="147">
        <v>11</v>
      </c>
      <c r="J7" s="147">
        <v>279</v>
      </c>
      <c r="K7" s="147"/>
      <c r="L7" s="147">
        <v>2288</v>
      </c>
      <c r="M7" s="147">
        <v>5778</v>
      </c>
      <c r="N7" s="147">
        <v>6287</v>
      </c>
      <c r="O7" s="147">
        <v>6041</v>
      </c>
      <c r="P7" s="147">
        <v>4293</v>
      </c>
      <c r="Q7" s="118">
        <f>((P7/G7)^(1/($H$2-$H$1) ))-1</f>
        <v>1.5505033174984502</v>
      </c>
      <c r="R7" s="31">
        <v>0.1</v>
      </c>
      <c r="S7" s="155">
        <f>P7*(1+$R7)</f>
        <v>4722.3</v>
      </c>
      <c r="T7" s="155">
        <f t="shared" ref="T7:AB7" si="1">S7*(1+$R7)</f>
        <v>5194.5300000000007</v>
      </c>
      <c r="U7" s="155">
        <f t="shared" si="1"/>
        <v>5713.9830000000011</v>
      </c>
      <c r="V7" s="155">
        <f t="shared" si="1"/>
        <v>6285.3813000000018</v>
      </c>
      <c r="W7" s="155">
        <f t="shared" si="1"/>
        <v>6913.9194300000026</v>
      </c>
      <c r="X7" s="155">
        <f t="shared" si="1"/>
        <v>7605.3113730000032</v>
      </c>
      <c r="Y7" s="155">
        <f t="shared" si="1"/>
        <v>8365.8425103000045</v>
      </c>
      <c r="Z7" s="155">
        <f t="shared" si="1"/>
        <v>9202.4267613300053</v>
      </c>
      <c r="AA7" s="155">
        <f t="shared" si="1"/>
        <v>10122.669437463006</v>
      </c>
      <c r="AB7" s="155">
        <f t="shared" si="1"/>
        <v>11134.936381209307</v>
      </c>
      <c r="AC7" s="138">
        <f>((AB7/G7)^(1/($AB$3-$H$1) ))-1</f>
        <v>0.63831681524813622</v>
      </c>
      <c r="AD7" s="31">
        <v>0.08</v>
      </c>
      <c r="AE7" s="146">
        <f>(AB7*(1+AC7))/($C$1-AD7)</f>
        <v>130303.95364323884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0</v>
      </c>
      <c r="I8" s="152">
        <f t="shared" ref="I8:P8" si="2">(I7-H7)/I7</f>
        <v>0.91454545454545455</v>
      </c>
      <c r="J8" s="152">
        <f t="shared" si="2"/>
        <v>0.96057347670250892</v>
      </c>
      <c r="K8" s="152" t="e">
        <f t="shared" si="2"/>
        <v>#DIV/0!</v>
      </c>
      <c r="L8" s="152">
        <f t="shared" si="2"/>
        <v>1</v>
      </c>
      <c r="M8" s="152">
        <f t="shared" si="2"/>
        <v>0.60401523018345449</v>
      </c>
      <c r="N8" s="152">
        <f t="shared" si="2"/>
        <v>8.0960712581517422E-2</v>
      </c>
      <c r="O8" s="152">
        <f t="shared" si="2"/>
        <v>-4.0721734812117202E-2</v>
      </c>
      <c r="P8" s="152">
        <f t="shared" si="2"/>
        <v>-0.40717447006755181</v>
      </c>
      <c r="Q8" s="128"/>
      <c r="R8" s="128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20"/>
      <c r="AE8" s="146"/>
    </row>
    <row r="9" spans="2:31">
      <c r="B9" s="20" t="s">
        <v>270</v>
      </c>
      <c r="C9" s="141"/>
      <c r="D9" s="141"/>
      <c r="E9" s="147"/>
      <c r="F9" s="147"/>
      <c r="G9" s="147">
        <v>0</v>
      </c>
      <c r="H9" s="147">
        <v>0</v>
      </c>
      <c r="I9" s="147">
        <v>3</v>
      </c>
      <c r="J9" s="147">
        <v>231</v>
      </c>
      <c r="K9" s="147"/>
      <c r="L9" s="147">
        <v>562</v>
      </c>
      <c r="M9" s="147">
        <v>1494</v>
      </c>
      <c r="N9" s="147">
        <v>3630</v>
      </c>
      <c r="O9" s="147">
        <v>5450</v>
      </c>
      <c r="P9" s="147">
        <v>12294</v>
      </c>
      <c r="Q9" s="118" t="e">
        <f>((P9/G9)^(1/($H$2-$H$1) ))-1</f>
        <v>#DIV/0!</v>
      </c>
      <c r="R9" s="31">
        <v>0.1</v>
      </c>
      <c r="S9" s="155">
        <f t="shared" ref="S9" si="3">P9*(1+$R9)</f>
        <v>13523.400000000001</v>
      </c>
      <c r="T9" s="155">
        <f t="shared" ref="T9" si="4">S9*(1+$R9)</f>
        <v>14875.740000000003</v>
      </c>
      <c r="U9" s="155">
        <f t="shared" ref="U9" si="5">T9*(1+$R9)</f>
        <v>16363.314000000006</v>
      </c>
      <c r="V9" s="155">
        <f t="shared" ref="V9" si="6">U9*(1+$R9)</f>
        <v>17999.645400000009</v>
      </c>
      <c r="W9" s="155">
        <f t="shared" ref="W9" si="7">V9*(1+$R9)</f>
        <v>19799.609940000009</v>
      </c>
      <c r="X9" s="155">
        <f t="shared" ref="X9" si="8">W9*(1+$R9)</f>
        <v>21779.57093400001</v>
      </c>
      <c r="Y9" s="155">
        <f t="shared" ref="Y9" si="9">X9*(1+$R9)</f>
        <v>23957.528027400014</v>
      </c>
      <c r="Z9" s="155">
        <f t="shared" ref="Z9" si="10">Y9*(1+$R9)</f>
        <v>26353.280830140018</v>
      </c>
      <c r="AA9" s="155">
        <f t="shared" ref="AA9" si="11">Z9*(1+$R9)</f>
        <v>28988.608913154021</v>
      </c>
      <c r="AB9" s="155">
        <f t="shared" ref="AB9" si="12">AA9*(1+$R9)</f>
        <v>31887.469804469427</v>
      </c>
      <c r="AC9" s="138" t="e">
        <f>((AB9/G9)^(1/($AB$3-$H$1) ))-1</f>
        <v>#DIV/0!</v>
      </c>
      <c r="AD9" s="31">
        <v>0.08</v>
      </c>
      <c r="AE9" s="146" t="e">
        <f t="shared" ref="AE9:AE15" si="13">(AB9*(1+AC9))/($C$1-AD9)</f>
        <v>#DIV/0!</v>
      </c>
    </row>
    <row r="10" spans="2:31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144</v>
      </c>
      <c r="K10" s="147"/>
      <c r="L10" s="147">
        <v>4990</v>
      </c>
      <c r="M10" s="147">
        <v>10570</v>
      </c>
      <c r="N10" s="147">
        <v>24502</v>
      </c>
      <c r="O10" s="147">
        <v>38600</v>
      </c>
      <c r="P10" s="147">
        <v>37602</v>
      </c>
      <c r="Q10" s="118" t="e">
        <f>((P10/G10)^(1/($H$2-$H$1) ))-1</f>
        <v>#DIV/0!</v>
      </c>
      <c r="R10" s="31">
        <v>0.1</v>
      </c>
      <c r="S10" s="155">
        <f>P10*(1+$R10)</f>
        <v>41362.200000000004</v>
      </c>
      <c r="T10" s="155">
        <f t="shared" ref="T10:AB10" si="14">S10*(1+$R10)</f>
        <v>45498.420000000006</v>
      </c>
      <c r="U10" s="155">
        <f t="shared" si="14"/>
        <v>50048.26200000001</v>
      </c>
      <c r="V10" s="155">
        <f t="shared" si="14"/>
        <v>55053.088200000013</v>
      </c>
      <c r="W10" s="155">
        <f t="shared" si="14"/>
        <v>60558.397020000019</v>
      </c>
      <c r="X10" s="155">
        <f t="shared" si="14"/>
        <v>66614.236722000031</v>
      </c>
      <c r="Y10" s="155">
        <f t="shared" si="14"/>
        <v>73275.660394200037</v>
      </c>
      <c r="Z10" s="155">
        <f t="shared" si="14"/>
        <v>80603.226433620046</v>
      </c>
      <c r="AA10" s="155">
        <f t="shared" si="14"/>
        <v>88663.549076982061</v>
      </c>
      <c r="AB10" s="155">
        <f t="shared" si="14"/>
        <v>97529.903984680277</v>
      </c>
      <c r="AC10" s="138" t="e">
        <f>((AB10/G10)^(1/($AB$3-$H$1) ))-1</f>
        <v>#DIV/0!</v>
      </c>
      <c r="AD10" s="31">
        <v>0.08</v>
      </c>
      <c r="AE10" s="146" t="e">
        <f t="shared" si="13"/>
        <v>#DIV/0!</v>
      </c>
    </row>
    <row r="11" spans="2:31">
      <c r="B11" s="20"/>
      <c r="C11" s="141"/>
      <c r="D11" s="141"/>
      <c r="E11" s="147"/>
      <c r="F11" s="147"/>
      <c r="G11" s="149" t="e">
        <f>(G10-F10)/G10</f>
        <v>#DIV/0!</v>
      </c>
      <c r="H11" s="148" t="e">
        <f>(H10-G10)/H10</f>
        <v>#DIV/0!</v>
      </c>
      <c r="I11" s="148" t="e">
        <f t="shared" ref="I11" si="15">(I10-H10)/I10</f>
        <v>#DIV/0!</v>
      </c>
      <c r="J11" s="148">
        <f t="shared" ref="J11" si="16">(J10-I10)/J10</f>
        <v>1</v>
      </c>
      <c r="K11" s="148" t="e">
        <f t="shared" ref="K11" si="17">(K10-J10)/K10</f>
        <v>#DIV/0!</v>
      </c>
      <c r="L11" s="148">
        <f t="shared" ref="L11" si="18">(L10-K10)/L10</f>
        <v>1</v>
      </c>
      <c r="M11" s="148">
        <f t="shared" ref="M11" si="19">(M10-L10)/M10</f>
        <v>0.52790917691579942</v>
      </c>
      <c r="N11" s="148">
        <f t="shared" ref="N11" si="20">(N10-M10)/N10</f>
        <v>0.56860664435556285</v>
      </c>
      <c r="O11" s="148">
        <f t="shared" ref="O11" si="21">(O10-N10)/O10</f>
        <v>0.36523316062176164</v>
      </c>
      <c r="P11" s="148">
        <f t="shared" ref="P11" si="22">(P10-O10)/P10</f>
        <v>-2.6541141428647413E-2</v>
      </c>
      <c r="Q11" s="128"/>
      <c r="R11" s="128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119"/>
      <c r="AE11" s="155"/>
    </row>
    <row r="12" spans="2:31">
      <c r="B12" s="20" t="s">
        <v>2</v>
      </c>
      <c r="C12" s="141"/>
      <c r="D12" s="141"/>
      <c r="E12" s="147"/>
      <c r="F12" s="147"/>
      <c r="Q12" s="118">
        <f>(('[1]3 - Forecast'!P12/'[1]3 - Forecast'!G12)^(1/($H$2-$H$1) ))-1</f>
        <v>2.8165349161413786</v>
      </c>
      <c r="R12" s="31">
        <v>0.1</v>
      </c>
      <c r="S12" s="155">
        <f>'[1]3 - Forecast'!P12*(1+$R12)</f>
        <v>1889.8000000000002</v>
      </c>
      <c r="T12" s="155">
        <f t="shared" ref="T12:AB12" si="23">S12*(1+$R12)</f>
        <v>2078.7800000000002</v>
      </c>
      <c r="U12" s="155">
        <f t="shared" si="23"/>
        <v>2286.6580000000004</v>
      </c>
      <c r="V12" s="155">
        <f t="shared" si="23"/>
        <v>2515.3238000000006</v>
      </c>
      <c r="W12" s="155">
        <f t="shared" si="23"/>
        <v>2766.8561800000007</v>
      </c>
      <c r="X12" s="155">
        <f t="shared" si="23"/>
        <v>3043.5417980000011</v>
      </c>
      <c r="Y12" s="155">
        <f t="shared" si="23"/>
        <v>3347.8959778000017</v>
      </c>
      <c r="Z12" s="155">
        <f t="shared" si="23"/>
        <v>3682.685575580002</v>
      </c>
      <c r="AA12" s="155">
        <f t="shared" si="23"/>
        <v>4050.9541331380024</v>
      </c>
      <c r="AB12" s="155">
        <f t="shared" si="23"/>
        <v>4456.0495464518026</v>
      </c>
      <c r="AC12" s="138">
        <f>((AB12/'[1]3 - Forecast'!G12)^(1/($AB$3-$H$1) ))-1</f>
        <v>0.98295636877731951</v>
      </c>
      <c r="AD12" s="31">
        <v>0.08</v>
      </c>
      <c r="AE12" s="146">
        <f t="shared" si="13"/>
        <v>63115.370198027769</v>
      </c>
    </row>
    <row r="13" spans="2:31">
      <c r="B13" s="20" t="s">
        <v>218</v>
      </c>
      <c r="C13" s="141"/>
      <c r="D13" s="141"/>
      <c r="E13" s="147"/>
      <c r="F13" s="147"/>
      <c r="Q13" s="118" t="e">
        <f>(('[1]3 - Forecast'!P13/'[1]3 - Forecast'!G13)^(1/($H$2-$H$1) ))-1</f>
        <v>#DIV/0!</v>
      </c>
      <c r="R13" s="31">
        <v>0.1</v>
      </c>
      <c r="S13" s="155">
        <f>'[1]3 - Forecast'!P13*(1+$R13)</f>
        <v>24.607000000000003</v>
      </c>
      <c r="T13" s="155">
        <f t="shared" ref="T13:AB13" si="24">S13*(1+$R13)</f>
        <v>27.067700000000006</v>
      </c>
      <c r="U13" s="155">
        <f t="shared" si="24"/>
        <v>29.774470000000008</v>
      </c>
      <c r="V13" s="155">
        <f t="shared" si="24"/>
        <v>32.751917000000013</v>
      </c>
      <c r="W13" s="155">
        <f t="shared" si="24"/>
        <v>36.027108700000021</v>
      </c>
      <c r="X13" s="155">
        <f t="shared" si="24"/>
        <v>39.629819570000024</v>
      </c>
      <c r="Y13" s="155">
        <f t="shared" si="24"/>
        <v>43.592801527000027</v>
      </c>
      <c r="Z13" s="155">
        <f t="shared" si="24"/>
        <v>47.952081679700036</v>
      </c>
      <c r="AA13" s="155">
        <f t="shared" si="24"/>
        <v>52.747289847670046</v>
      </c>
      <c r="AB13" s="155">
        <f t="shared" si="24"/>
        <v>58.022018832437055</v>
      </c>
      <c r="AC13" s="138" t="e">
        <f>((AB13/'[1]3 - Forecast'!G13)^(1/($AB$3-$H$1) ))-1</f>
        <v>#DIV/0!</v>
      </c>
      <c r="AD13" s="31">
        <v>0.08</v>
      </c>
      <c r="AE13" s="146" t="e">
        <f t="shared" si="13"/>
        <v>#DIV/0!</v>
      </c>
    </row>
    <row r="14" spans="2:31">
      <c r="B14" s="20" t="s">
        <v>19</v>
      </c>
      <c r="C14" s="141"/>
      <c r="D14" s="141"/>
      <c r="E14" s="147"/>
      <c r="F14" s="147"/>
      <c r="G14" s="147">
        <v>0.01</v>
      </c>
      <c r="H14" s="147">
        <v>0.01</v>
      </c>
      <c r="I14" s="147">
        <v>1.34</v>
      </c>
      <c r="J14" s="147">
        <v>50</v>
      </c>
      <c r="K14" s="147"/>
      <c r="L14" s="147">
        <v>975</v>
      </c>
      <c r="M14" s="147">
        <v>2393</v>
      </c>
      <c r="N14" s="147">
        <v>2540</v>
      </c>
      <c r="O14" s="147">
        <v>8839</v>
      </c>
      <c r="P14" s="147">
        <v>4032</v>
      </c>
      <c r="Q14" s="118">
        <f>((P14/G14)^(1/($H$2-$H$1) ))-1</f>
        <v>3.1960012965328888</v>
      </c>
      <c r="R14" s="31">
        <v>0.1</v>
      </c>
      <c r="S14" s="155">
        <f>P14*(1+$R14)</f>
        <v>4435.2000000000007</v>
      </c>
      <c r="T14" s="155">
        <f t="shared" ref="T14:AB14" si="25">S14*(1+$R14)</f>
        <v>4878.7200000000012</v>
      </c>
      <c r="U14" s="155">
        <f t="shared" si="25"/>
        <v>5366.5920000000015</v>
      </c>
      <c r="V14" s="155">
        <f t="shared" si="25"/>
        <v>5903.2512000000024</v>
      </c>
      <c r="W14" s="155">
        <f t="shared" si="25"/>
        <v>6493.5763200000029</v>
      </c>
      <c r="X14" s="155">
        <f t="shared" si="25"/>
        <v>7142.933952000004</v>
      </c>
      <c r="Y14" s="155">
        <f t="shared" si="25"/>
        <v>7857.2273472000052</v>
      </c>
      <c r="Z14" s="155">
        <f t="shared" si="25"/>
        <v>8642.9500819200057</v>
      </c>
      <c r="AA14" s="155">
        <f t="shared" si="25"/>
        <v>9507.2450901120064</v>
      </c>
      <c r="AB14" s="155">
        <f t="shared" si="25"/>
        <v>10457.969599123207</v>
      </c>
      <c r="AC14" s="138">
        <f>((AB14/G14)^(1/($AB$3-$H$1) ))-1</f>
        <v>1.0740203806915654</v>
      </c>
      <c r="AD14" s="31">
        <v>0.08</v>
      </c>
      <c r="AE14" s="146">
        <f t="shared" si="13"/>
        <v>154928.8720659595</v>
      </c>
    </row>
    <row r="15" spans="2:31">
      <c r="B15" s="20" t="s">
        <v>23</v>
      </c>
      <c r="C15" s="141"/>
      <c r="D15" s="141"/>
      <c r="E15" s="147"/>
      <c r="F15" s="147"/>
      <c r="G15" s="147">
        <v>0.01</v>
      </c>
      <c r="H15" s="147">
        <v>0.01</v>
      </c>
      <c r="I15" s="147">
        <v>-1.53</v>
      </c>
      <c r="J15" s="147">
        <v>-180</v>
      </c>
      <c r="K15" s="147"/>
      <c r="L15" s="147">
        <v>413</v>
      </c>
      <c r="M15" s="147">
        <v>895</v>
      </c>
      <c r="N15" s="147">
        <v>-1092</v>
      </c>
      <c r="O15" s="147">
        <v>2655</v>
      </c>
      <c r="P15" s="147">
        <v>-6191</v>
      </c>
      <c r="Q15" s="118">
        <f>((P15/G15)^(1/($H$2-$H$1) ))-1</f>
        <v>-5.4007731093826514</v>
      </c>
      <c r="R15" s="31">
        <v>0.1</v>
      </c>
      <c r="S15" s="155">
        <f>P15*(1+$R15)</f>
        <v>-6810.1</v>
      </c>
      <c r="T15" s="155">
        <f t="shared" ref="T15:AB15" si="26">S15*(1+$R15)</f>
        <v>-7491.1100000000006</v>
      </c>
      <c r="U15" s="155">
        <f t="shared" si="26"/>
        <v>-8240.2210000000014</v>
      </c>
      <c r="V15" s="155">
        <f t="shared" si="26"/>
        <v>-9064.2431000000015</v>
      </c>
      <c r="W15" s="155">
        <f t="shared" si="26"/>
        <v>-9970.6674100000018</v>
      </c>
      <c r="X15" s="155">
        <f t="shared" si="26"/>
        <v>-10967.734151000002</v>
      </c>
      <c r="Y15" s="155">
        <f t="shared" si="26"/>
        <v>-12064.507566100003</v>
      </c>
      <c r="Z15" s="155">
        <f t="shared" si="26"/>
        <v>-13270.958322710005</v>
      </c>
      <c r="AA15" s="155">
        <f t="shared" si="26"/>
        <v>-14598.054154981006</v>
      </c>
      <c r="AB15" s="155">
        <f t="shared" si="26"/>
        <v>-16057.859570479108</v>
      </c>
      <c r="AC15" s="138">
        <f>((AB15/G15)^(1/($AB$3-$H$1) ))-1</f>
        <v>-3.1213637326161381</v>
      </c>
      <c r="AD15" s="31">
        <v>0.08</v>
      </c>
      <c r="AE15" s="146">
        <f t="shared" si="13"/>
        <v>243318.29225898098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128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20"/>
      <c r="AE16" s="155"/>
    </row>
    <row r="17" spans="2:31">
      <c r="B17" s="20" t="s">
        <v>278</v>
      </c>
      <c r="C17" s="141"/>
      <c r="D17" s="141"/>
      <c r="E17" s="147"/>
      <c r="F17" s="147"/>
      <c r="G17" s="147">
        <v>0</v>
      </c>
      <c r="H17" s="147">
        <v>0</v>
      </c>
      <c r="I17" s="147">
        <v>0.18</v>
      </c>
      <c r="J17" s="147">
        <v>1.04</v>
      </c>
      <c r="K17" s="147"/>
      <c r="L17" s="147">
        <v>337</v>
      </c>
      <c r="M17" s="147">
        <v>2787</v>
      </c>
      <c r="N17" s="147">
        <v>8747</v>
      </c>
      <c r="O17" s="147">
        <v>15804</v>
      </c>
      <c r="P17" s="147">
        <v>29088</v>
      </c>
      <c r="Q17" s="118" t="e">
        <f>((P17/G17)^(1/($H$2-$H$1) ))-1</f>
        <v>#DIV/0!</v>
      </c>
      <c r="R17" s="31">
        <v>0.1</v>
      </c>
      <c r="S17" s="155">
        <f t="shared" ref="S17:S30" si="27">P17*(1+$R17)</f>
        <v>31996.800000000003</v>
      </c>
      <c r="T17" s="155">
        <f t="shared" ref="T17:T30" si="28">S17*(1+$R17)</f>
        <v>35196.480000000003</v>
      </c>
      <c r="U17" s="155">
        <f t="shared" ref="U17:U30" si="29">T17*(1+$R17)</f>
        <v>38716.128000000004</v>
      </c>
      <c r="V17" s="155">
        <f t="shared" ref="V17:V30" si="30">U17*(1+$R17)</f>
        <v>42587.740800000007</v>
      </c>
      <c r="W17" s="155">
        <f t="shared" ref="W17:W32" si="31">V17*(1+$R17)</f>
        <v>46846.51488000001</v>
      </c>
      <c r="X17" s="155">
        <f t="shared" ref="X17:X32" si="32">W17*(1+$R17)</f>
        <v>51531.166368000013</v>
      </c>
      <c r="Y17" s="155">
        <f t="shared" ref="Y17:Y32" si="33">X17*(1+$R17)</f>
        <v>56684.283004800018</v>
      </c>
      <c r="Z17" s="155">
        <f t="shared" ref="Z17:Z32" si="34">Y17*(1+$R17)</f>
        <v>62352.711305280027</v>
      </c>
      <c r="AA17" s="155">
        <f t="shared" ref="AA17:AA32" si="35">Z17*(1+$R17)</f>
        <v>68587.982435808037</v>
      </c>
      <c r="AB17" s="155">
        <f t="shared" ref="AB17:AB32" si="36">AA17*(1+$R17)</f>
        <v>75446.780679388845</v>
      </c>
      <c r="AC17" s="138" t="e">
        <f>((AB17/G17)^(1/($AB$3-$H$1) ))-1</f>
        <v>#DIV/0!</v>
      </c>
      <c r="AD17" s="31">
        <v>0.08</v>
      </c>
      <c r="AE17" s="146" t="e">
        <f>(AB17*(1+AC17))/($C$1-AD17)</f>
        <v>#DIV/0!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128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19"/>
      <c r="AD18" s="119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:S21" si="37">P19*(1+$R19)</f>
        <v>0</v>
      </c>
      <c r="T19" s="155">
        <f t="shared" ref="T19:T21" si="38">S19*(1+$R19)</f>
        <v>0</v>
      </c>
      <c r="U19" s="155">
        <f t="shared" ref="U19:U21" si="39">T19*(1+$R19)</f>
        <v>0</v>
      </c>
      <c r="V19" s="155">
        <f t="shared" ref="V19:V21" si="40">U19*(1+$R19)</f>
        <v>0</v>
      </c>
      <c r="W19" s="155">
        <f t="shared" ref="W19:W21" si="41">V19*(1+$R19)</f>
        <v>0</v>
      </c>
      <c r="X19" s="155">
        <f t="shared" ref="X19:X21" si="42">W19*(1+$R19)</f>
        <v>0</v>
      </c>
      <c r="Y19" s="155">
        <f t="shared" ref="Y19:Y21" si="43">X19*(1+$R19)</f>
        <v>0</v>
      </c>
      <c r="Z19" s="155">
        <f t="shared" ref="Z19:Z21" si="44">Y19*(1+$R19)</f>
        <v>0</v>
      </c>
      <c r="AA19" s="155">
        <f t="shared" ref="AA19:AA21" si="45">Z19*(1+$R19)</f>
        <v>0</v>
      </c>
      <c r="AB19" s="155">
        <f t="shared" ref="AB19:AB21" si="46">AA19*(1+$R19)</f>
        <v>0</v>
      </c>
      <c r="AC19" s="138" t="e">
        <f t="shared" ref="AC19:AC21" si="47">((AB19/G19)^(1/($AB$3-$H$1) ))-1</f>
        <v>#DIV/0!</v>
      </c>
      <c r="AD19" s="31">
        <v>0.05</v>
      </c>
      <c r="AE19" s="146" t="e">
        <f>(AB19*(1+AC19))/($C$1-AD19)</f>
        <v>#DIV/0!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si="37"/>
        <v>0</v>
      </c>
      <c r="T20" s="155">
        <f t="shared" si="38"/>
        <v>0</v>
      </c>
      <c r="U20" s="155">
        <f t="shared" si="39"/>
        <v>0</v>
      </c>
      <c r="V20" s="155">
        <f t="shared" si="40"/>
        <v>0</v>
      </c>
      <c r="W20" s="155">
        <f t="shared" si="41"/>
        <v>0</v>
      </c>
      <c r="X20" s="155">
        <f t="shared" si="42"/>
        <v>0</v>
      </c>
      <c r="Y20" s="155">
        <f t="shared" si="43"/>
        <v>0</v>
      </c>
      <c r="Z20" s="155">
        <f t="shared" si="44"/>
        <v>0</v>
      </c>
      <c r="AA20" s="155">
        <f t="shared" si="45"/>
        <v>0</v>
      </c>
      <c r="AB20" s="155">
        <f t="shared" si="46"/>
        <v>0</v>
      </c>
      <c r="AC20" s="138" t="e">
        <f t="shared" si="47"/>
        <v>#DIV/0!</v>
      </c>
      <c r="AD20" s="31">
        <v>0.05</v>
      </c>
      <c r="AE20" s="146" t="e">
        <f>(AB20*(1+AC20))/($C$1-AD20)</f>
        <v>#DIV/0!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v>0.1</v>
      </c>
      <c r="S21" s="155">
        <f t="shared" si="37"/>
        <v>0</v>
      </c>
      <c r="T21" s="155">
        <f t="shared" si="38"/>
        <v>0</v>
      </c>
      <c r="U21" s="155">
        <f t="shared" si="39"/>
        <v>0</v>
      </c>
      <c r="V21" s="155">
        <f t="shared" si="40"/>
        <v>0</v>
      </c>
      <c r="W21" s="155">
        <f t="shared" si="41"/>
        <v>0</v>
      </c>
      <c r="X21" s="155">
        <f t="shared" si="42"/>
        <v>0</v>
      </c>
      <c r="Y21" s="155">
        <f t="shared" si="43"/>
        <v>0</v>
      </c>
      <c r="Z21" s="155">
        <f t="shared" si="44"/>
        <v>0</v>
      </c>
      <c r="AA21" s="155">
        <f t="shared" si="45"/>
        <v>0</v>
      </c>
      <c r="AB21" s="155">
        <f t="shared" si="46"/>
        <v>0</v>
      </c>
      <c r="AC21" s="138" t="e">
        <f t="shared" si="47"/>
        <v>#DIV/0!</v>
      </c>
      <c r="AD21" s="31">
        <v>0.05</v>
      </c>
      <c r="AE21" s="146" t="e">
        <f>(AB21*(1+AC21))/($C$1-AD21)</f>
        <v>#DIV/0!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v>0.1</v>
      </c>
      <c r="S22" s="155">
        <f t="shared" ref="S22" si="48">P22*(1+$R22)</f>
        <v>0</v>
      </c>
      <c r="T22" s="155">
        <f t="shared" ref="T22" si="49">S22*(1+$R22)</f>
        <v>0</v>
      </c>
      <c r="U22" s="155">
        <f t="shared" ref="U22" si="50">T22*(1+$R22)</f>
        <v>0</v>
      </c>
      <c r="V22" s="155">
        <f t="shared" ref="V22" si="51">U22*(1+$R22)</f>
        <v>0</v>
      </c>
      <c r="W22" s="155">
        <f t="shared" ref="W22" si="52">V22*(1+$R22)</f>
        <v>0</v>
      </c>
      <c r="X22" s="155">
        <f t="shared" ref="X22" si="53">W22*(1+$R22)</f>
        <v>0</v>
      </c>
      <c r="Y22" s="155">
        <f t="shared" ref="Y22" si="54">X22*(1+$R22)</f>
        <v>0</v>
      </c>
      <c r="Z22" s="155">
        <f t="shared" ref="Z22" si="55">Y22*(1+$R22)</f>
        <v>0</v>
      </c>
      <c r="AA22" s="155">
        <f t="shared" ref="AA22" si="56">Z22*(1+$R22)</f>
        <v>0</v>
      </c>
      <c r="AB22" s="155">
        <f t="shared" ref="AB22" si="57">AA22*(1+$R22)</f>
        <v>0</v>
      </c>
      <c r="AC22" s="138" t="e">
        <f t="shared" ref="AC22" si="58">((AB22/G22)^(1/($AB$3-$H$1) ))-1</f>
        <v>#DIV/0!</v>
      </c>
      <c r="AD22" s="31">
        <v>0.05</v>
      </c>
      <c r="AE22" s="146" t="e">
        <f>(AB22*(1+AC22))/($C$1-AD22)</f>
        <v>#DIV/0!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128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19"/>
      <c r="AE23" s="155"/>
    </row>
    <row r="24" spans="2:31">
      <c r="B24" s="20" t="s">
        <v>89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>
        <v>0</v>
      </c>
      <c r="M24" s="147">
        <v>467</v>
      </c>
      <c r="N24" s="147">
        <v>2153</v>
      </c>
      <c r="O24" s="147">
        <v>4092</v>
      </c>
      <c r="P24" s="147">
        <v>6994</v>
      </c>
      <c r="Q24" s="118" t="e">
        <f>((P24/G24)^(1/($H$2-$H$1) ))-1</f>
        <v>#DIV/0!</v>
      </c>
      <c r="R24" s="31">
        <v>0.1</v>
      </c>
      <c r="S24" s="155">
        <f t="shared" si="27"/>
        <v>7693.4000000000005</v>
      </c>
      <c r="T24" s="155">
        <f t="shared" si="28"/>
        <v>8462.7400000000016</v>
      </c>
      <c r="U24" s="155">
        <f t="shared" si="29"/>
        <v>9309.0140000000029</v>
      </c>
      <c r="V24" s="155">
        <f t="shared" si="30"/>
        <v>10239.915400000004</v>
      </c>
      <c r="W24" s="155">
        <f t="shared" si="31"/>
        <v>11263.906940000004</v>
      </c>
      <c r="X24" s="155">
        <f t="shared" si="32"/>
        <v>12390.297634000006</v>
      </c>
      <c r="Y24" s="155">
        <f t="shared" si="33"/>
        <v>13629.327397400008</v>
      </c>
      <c r="Z24" s="155">
        <f t="shared" si="34"/>
        <v>14992.260137140009</v>
      </c>
      <c r="AA24" s="155">
        <f t="shared" si="35"/>
        <v>16491.486150854013</v>
      </c>
      <c r="AB24" s="155">
        <f t="shared" si="36"/>
        <v>18140.634765939416</v>
      </c>
      <c r="AC24" s="138" t="e">
        <f>((AB24/G24)^(1/($AB$3-$H$1) ))-1</f>
        <v>#DIV/0!</v>
      </c>
      <c r="AD24" s="31">
        <v>0.08</v>
      </c>
      <c r="AE24" s="146" t="e">
        <f>(AB24*(1+AC24))/($C$1-AD24)</f>
        <v>#DIV/0!</v>
      </c>
    </row>
    <row r="25" spans="2:31" s="123" customFormat="1">
      <c r="B25" s="23"/>
      <c r="C25" s="150"/>
      <c r="D25" s="150"/>
      <c r="E25" s="151"/>
      <c r="F25" s="151"/>
      <c r="G25" s="149" t="e">
        <f>(G24-F24)/G24</f>
        <v>#DIV/0!</v>
      </c>
      <c r="H25" s="149" t="e">
        <f>(H24-G24)/H24</f>
        <v>#DIV/0!</v>
      </c>
      <c r="I25" s="149" t="e">
        <f t="shared" ref="I25" si="59">(I24-H24)/I24</f>
        <v>#DIV/0!</v>
      </c>
      <c r="J25" s="149" t="e">
        <f t="shared" ref="J25" si="60">(J24-I24)/J24</f>
        <v>#DIV/0!</v>
      </c>
      <c r="K25" s="149" t="e">
        <f t="shared" ref="K25" si="61">(K24-J24)/K24</f>
        <v>#DIV/0!</v>
      </c>
      <c r="L25" s="149" t="e">
        <f t="shared" ref="L25" si="62">(L24-K24)/L24</f>
        <v>#DIV/0!</v>
      </c>
      <c r="M25" s="149">
        <f t="shared" ref="M25" si="63">(M24-L24)/M24</f>
        <v>1</v>
      </c>
      <c r="N25" s="149">
        <f t="shared" ref="N25" si="64">(N24-M24)/N24</f>
        <v>0.78309335810496983</v>
      </c>
      <c r="O25" s="149">
        <f t="shared" ref="O25" si="65">(O24-N24)/O24</f>
        <v>0.47385141739980452</v>
      </c>
      <c r="P25" s="149">
        <f t="shared" ref="P25" si="66">(P24-O24)/P24</f>
        <v>0.41492708035458964</v>
      </c>
      <c r="Q25" s="3"/>
      <c r="R25" s="3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19"/>
      <c r="AE25" s="155"/>
    </row>
    <row r="26" spans="2:31">
      <c r="B26" s="20" t="s">
        <v>262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>
        <v>6</v>
      </c>
      <c r="M26" s="147">
        <v>191</v>
      </c>
      <c r="N26" s="147">
        <v>915</v>
      </c>
      <c r="O26" s="147">
        <v>2764</v>
      </c>
      <c r="P26" s="147">
        <v>5819</v>
      </c>
      <c r="Q26" s="118" t="e">
        <f>((P26/G26)^(1/($H$2-$H$1) ))-1</f>
        <v>#DIV/0!</v>
      </c>
      <c r="R26" s="31">
        <v>0.1</v>
      </c>
      <c r="S26" s="155">
        <f t="shared" si="27"/>
        <v>6400.9000000000005</v>
      </c>
      <c r="T26" s="155">
        <f t="shared" si="28"/>
        <v>7040.9900000000016</v>
      </c>
      <c r="U26" s="155">
        <f t="shared" si="29"/>
        <v>7745.0890000000027</v>
      </c>
      <c r="V26" s="155">
        <f t="shared" si="30"/>
        <v>8519.5979000000043</v>
      </c>
      <c r="W26" s="155">
        <f t="shared" si="31"/>
        <v>9371.5576900000051</v>
      </c>
      <c r="X26" s="155">
        <f t="shared" si="32"/>
        <v>10308.713459000006</v>
      </c>
      <c r="Y26" s="155">
        <f t="shared" si="33"/>
        <v>11339.584804900007</v>
      </c>
      <c r="Z26" s="155">
        <f t="shared" si="34"/>
        <v>12473.543285390009</v>
      </c>
      <c r="AA26" s="155">
        <f t="shared" si="35"/>
        <v>13720.897613929012</v>
      </c>
      <c r="AB26" s="155">
        <f t="shared" si="36"/>
        <v>15092.987375321914</v>
      </c>
      <c r="AC26" s="138" t="e">
        <f>((AB26/G26)^(1/($AB$3-$H$1) ))-1</f>
        <v>#DIV/0!</v>
      </c>
      <c r="AD26" s="31">
        <v>0.08</v>
      </c>
      <c r="AE26" s="146" t="e">
        <f>(AB26*(1+AC26))/($C$1-AD26)</f>
        <v>#DIV/0!</v>
      </c>
    </row>
    <row r="27" spans="2:31" s="123" customFormat="1">
      <c r="B27" s="23"/>
      <c r="C27" s="150"/>
      <c r="D27" s="150"/>
      <c r="E27" s="151"/>
      <c r="F27" s="151"/>
      <c r="G27" s="149" t="e">
        <f>(G26-F26)/G26</f>
        <v>#DIV/0!</v>
      </c>
      <c r="H27" s="149" t="e">
        <f>(H26-G26)/H26</f>
        <v>#DIV/0!</v>
      </c>
      <c r="I27" s="149" t="e">
        <f t="shared" ref="I27" si="67">(I26-H26)/I26</f>
        <v>#DIV/0!</v>
      </c>
      <c r="J27" s="149" t="e">
        <f t="shared" ref="J27" si="68">(J26-I26)/J26</f>
        <v>#DIV/0!</v>
      </c>
      <c r="K27" s="149" t="e">
        <f t="shared" ref="K27" si="69">(K26-J26)/K26</f>
        <v>#DIV/0!</v>
      </c>
      <c r="L27" s="149">
        <f t="shared" ref="L27" si="70">(L26-K26)/L26</f>
        <v>1</v>
      </c>
      <c r="M27" s="149">
        <f t="shared" ref="M27" si="71">(M26-L26)/M26</f>
        <v>0.96858638743455494</v>
      </c>
      <c r="N27" s="149">
        <f t="shared" ref="N27" si="72">(N26-M26)/N26</f>
        <v>0.79125683060109286</v>
      </c>
      <c r="O27" s="149">
        <f t="shared" ref="O27" si="73">(O26-N26)/O26</f>
        <v>0.66895803183791602</v>
      </c>
      <c r="P27" s="149">
        <f t="shared" ref="P27" si="74">(P26-O26)/P26</f>
        <v>0.52500429627083689</v>
      </c>
      <c r="Q27" s="3"/>
      <c r="R27" s="3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19"/>
      <c r="AE27" s="155"/>
    </row>
    <row r="28" spans="2:31">
      <c r="B28" s="20" t="s">
        <v>300</v>
      </c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v>0.1</v>
      </c>
      <c r="S28" s="155">
        <f t="shared" si="27"/>
        <v>0</v>
      </c>
      <c r="T28" s="155" t="e">
        <f t="shared" ref="T28" si="75">Q28*(1+$R28)</f>
        <v>#DIV/0!</v>
      </c>
      <c r="U28" s="155">
        <f t="shared" ref="U28" si="76">R28*(1+$R28)</f>
        <v>0.11000000000000001</v>
      </c>
      <c r="V28" s="155">
        <f t="shared" ref="V28" si="77">S28*(1+$R28)</f>
        <v>0</v>
      </c>
      <c r="W28" s="155" t="e">
        <f t="shared" ref="W28" si="78">T28*(1+$R28)</f>
        <v>#DIV/0!</v>
      </c>
      <c r="X28" s="155">
        <f t="shared" ref="X28" si="79">U28*(1+$R28)</f>
        <v>0.12100000000000002</v>
      </c>
      <c r="Y28" s="155">
        <f t="shared" ref="Y28" si="80">V28*(1+$R28)</f>
        <v>0</v>
      </c>
      <c r="Z28" s="155" t="e">
        <f t="shared" ref="Z28" si="81">W28*(1+$R28)</f>
        <v>#DIV/0!</v>
      </c>
      <c r="AA28" s="155">
        <f t="shared" ref="AA28" si="82">X28*(1+$R28)</f>
        <v>0.13310000000000002</v>
      </c>
      <c r="AB28" s="155">
        <f t="shared" ref="AB28" si="83">Y28*(1+$R28)</f>
        <v>0</v>
      </c>
      <c r="AC28" s="138" t="e">
        <f t="shared" ref="AC28" si="84">((AB28/G28)^(1/($AB$3-$H$1) ))-1</f>
        <v>#DIV/0!</v>
      </c>
      <c r="AD28" s="31">
        <v>0.08</v>
      </c>
      <c r="AE28" s="146" t="e">
        <f>(AB28*(1+AC28))/($C$1-AD28)</f>
        <v>#DIV/0!</v>
      </c>
    </row>
    <row r="29" spans="2:31">
      <c r="B29" s="20" t="s">
        <v>311</v>
      </c>
      <c r="C29" s="141"/>
      <c r="D29" s="141"/>
      <c r="E29" s="147"/>
      <c r="F29" s="147"/>
      <c r="G29" s="147"/>
      <c r="H29" s="147"/>
      <c r="I29" s="147"/>
      <c r="J29" s="147"/>
      <c r="K29" s="147"/>
      <c r="L29" s="147">
        <v>0</v>
      </c>
      <c r="M29" s="147">
        <v>167</v>
      </c>
      <c r="N29" s="147">
        <v>721</v>
      </c>
      <c r="O29" s="147">
        <v>2300</v>
      </c>
      <c r="P29" s="147">
        <v>65.790000000000006</v>
      </c>
      <c r="Q29" s="118" t="e">
        <f>((P29/G29)^(1/($H$2-$H$1) ))-1</f>
        <v>#DIV/0!</v>
      </c>
      <c r="R29" s="31">
        <v>0.1</v>
      </c>
      <c r="S29" s="155">
        <f t="shared" si="27"/>
        <v>72.369000000000014</v>
      </c>
      <c r="T29" s="155">
        <f t="shared" si="28"/>
        <v>79.60590000000002</v>
      </c>
      <c r="U29" s="155">
        <f t="shared" si="29"/>
        <v>87.56649000000003</v>
      </c>
      <c r="V29" s="155">
        <f t="shared" si="30"/>
        <v>96.32313900000004</v>
      </c>
      <c r="W29" s="155">
        <f t="shared" si="31"/>
        <v>105.95545290000005</v>
      </c>
      <c r="X29" s="155">
        <f t="shared" si="32"/>
        <v>116.55099819000007</v>
      </c>
      <c r="Y29" s="155">
        <f t="shared" si="33"/>
        <v>128.2060980090001</v>
      </c>
      <c r="Z29" s="155">
        <f t="shared" si="34"/>
        <v>141.02670780990013</v>
      </c>
      <c r="AA29" s="155">
        <f t="shared" si="35"/>
        <v>155.12937859089016</v>
      </c>
      <c r="AB29" s="155">
        <f t="shared" si="36"/>
        <v>170.64231644997918</v>
      </c>
      <c r="AC29" s="138" t="e">
        <f>((AB29/G29)^(1/($AB$3-$H$1) ))-1</f>
        <v>#DIV/0!</v>
      </c>
      <c r="AD29" s="31">
        <v>0.08</v>
      </c>
      <c r="AE29" s="146" t="e">
        <f>(AB29*(1+AC29))/($C$1-AD29)</f>
        <v>#DIV/0!</v>
      </c>
    </row>
    <row r="30" spans="2:31">
      <c r="B30" s="20" t="s">
        <v>312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>
        <v>6</v>
      </c>
      <c r="M30" s="147">
        <v>1.5</v>
      </c>
      <c r="N30" s="147">
        <v>115</v>
      </c>
      <c r="O30" s="147">
        <v>286</v>
      </c>
      <c r="P30" s="147">
        <v>4956</v>
      </c>
      <c r="Q30" s="118" t="e">
        <f>((P30/G30)^(1/($H$2-$H$1) ))-1</f>
        <v>#DIV/0!</v>
      </c>
      <c r="R30" s="31">
        <v>0.1</v>
      </c>
      <c r="S30" s="155">
        <f t="shared" si="27"/>
        <v>5451.6</v>
      </c>
      <c r="T30" s="155">
        <f t="shared" si="28"/>
        <v>5996.7600000000011</v>
      </c>
      <c r="U30" s="155">
        <f t="shared" si="29"/>
        <v>6596.4360000000015</v>
      </c>
      <c r="V30" s="155">
        <f t="shared" si="30"/>
        <v>7256.0796000000018</v>
      </c>
      <c r="W30" s="155">
        <f t="shared" si="31"/>
        <v>7981.687560000003</v>
      </c>
      <c r="X30" s="155">
        <f t="shared" si="32"/>
        <v>8779.8563160000049</v>
      </c>
      <c r="Y30" s="155">
        <f t="shared" si="33"/>
        <v>9657.8419476000054</v>
      </c>
      <c r="Z30" s="155">
        <f t="shared" si="34"/>
        <v>10623.626142360006</v>
      </c>
      <c r="AA30" s="155">
        <f t="shared" si="35"/>
        <v>11685.988756596007</v>
      </c>
      <c r="AB30" s="155">
        <f t="shared" si="36"/>
        <v>12854.587632255609</v>
      </c>
      <c r="AC30" s="138" t="e">
        <f>((AB30/G30)^(1/($AB$3-$H$1) ))-1</f>
        <v>#DIV/0!</v>
      </c>
      <c r="AD30" s="31">
        <v>0.08</v>
      </c>
      <c r="AE30" s="146" t="e">
        <f>(AB30*(1+AC30))/($C$1-AD30)</f>
        <v>#DIV/0!</v>
      </c>
    </row>
    <row r="31" spans="2:31">
      <c r="B31" s="20"/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28"/>
      <c r="R31" s="128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39"/>
      <c r="AD31" s="20"/>
      <c r="AE31" s="155"/>
    </row>
    <row r="32" spans="2:31">
      <c r="B32" s="20" t="s">
        <v>279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>
        <v>-5</v>
      </c>
      <c r="M32" s="147">
        <v>243</v>
      </c>
      <c r="N32" s="147">
        <v>1220</v>
      </c>
      <c r="O32" s="147">
        <v>1325</v>
      </c>
      <c r="P32" s="147">
        <v>959.61</v>
      </c>
      <c r="Q32" s="118" t="e">
        <f>((P32/G32)^(1/($H$2-$H$1) ))-1</f>
        <v>#DIV/0!</v>
      </c>
      <c r="R32" s="31">
        <v>0.1</v>
      </c>
      <c r="S32" s="155">
        <f t="shared" ref="S32" si="85">P32*(1+$R32)</f>
        <v>1055.5710000000001</v>
      </c>
      <c r="T32" s="155">
        <f t="shared" ref="T32" si="86">S32*(1+$R32)</f>
        <v>1161.1281000000004</v>
      </c>
      <c r="U32" s="155">
        <f t="shared" ref="U32" si="87">T32*(1+$R32)</f>
        <v>1277.2409100000004</v>
      </c>
      <c r="V32" s="155">
        <f t="shared" ref="V32" si="88">U32*(1+$R32)</f>
        <v>1404.9650010000005</v>
      </c>
      <c r="W32" s="155">
        <f t="shared" si="31"/>
        <v>1545.4615011000008</v>
      </c>
      <c r="X32" s="155">
        <f t="shared" si="32"/>
        <v>1700.0076512100011</v>
      </c>
      <c r="Y32" s="155">
        <f t="shared" si="33"/>
        <v>1870.0084163310014</v>
      </c>
      <c r="Z32" s="155">
        <f t="shared" si="34"/>
        <v>2057.0092579641018</v>
      </c>
      <c r="AA32" s="155">
        <f t="shared" si="35"/>
        <v>2262.7101837605123</v>
      </c>
      <c r="AB32" s="155">
        <f t="shared" si="36"/>
        <v>2488.9812021365638</v>
      </c>
      <c r="AC32" s="138" t="e">
        <f>((AB32/G32)^(1/($AB$3-$H$1) ))-1</f>
        <v>#DIV/0!</v>
      </c>
      <c r="AD32" s="31">
        <v>0.08</v>
      </c>
      <c r="AE32" s="146" t="e">
        <f>(AB32*(1+AC32))/($C$1-AD32)</f>
        <v>#DIV/0!</v>
      </c>
    </row>
    <row r="33" spans="2:31" s="123" customFormat="1">
      <c r="B33" s="23"/>
      <c r="C33" s="150"/>
      <c r="D33" s="150"/>
      <c r="E33" s="151"/>
      <c r="F33" s="151"/>
      <c r="G33" s="149" t="e">
        <f>(G32-F32)/G32</f>
        <v>#DIV/0!</v>
      </c>
      <c r="H33" s="149" t="e">
        <f>(H32-G32)/H32</f>
        <v>#DIV/0!</v>
      </c>
      <c r="I33" s="149" t="e">
        <f t="shared" ref="I33" si="89">(I32-H32)/I32</f>
        <v>#DIV/0!</v>
      </c>
      <c r="J33" s="149" t="e">
        <f t="shared" ref="J33" si="90">(J32-I32)/J32</f>
        <v>#DIV/0!</v>
      </c>
      <c r="K33" s="149" t="e">
        <f t="shared" ref="K33" si="91">(K32-J32)/K32</f>
        <v>#DIV/0!</v>
      </c>
      <c r="L33" s="149">
        <f t="shared" ref="L33" si="92">(L32-K32)/L32</f>
        <v>1</v>
      </c>
      <c r="M33" s="149">
        <f t="shared" ref="M33" si="93">(M32-L32)/M32</f>
        <v>1.0205761316872428</v>
      </c>
      <c r="N33" s="149">
        <f t="shared" ref="N33" si="94">(N32-M32)/N32</f>
        <v>0.80081967213114758</v>
      </c>
      <c r="O33" s="149">
        <f t="shared" ref="O33" si="95">(O32-N32)/O32</f>
        <v>7.9245283018867921E-2</v>
      </c>
      <c r="P33" s="149">
        <f t="shared" ref="P33" si="96">(P32-O32)/P32</f>
        <v>-0.38076927084961598</v>
      </c>
      <c r="Q33" s="3"/>
      <c r="R33" s="3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39"/>
      <c r="AD33" s="20"/>
      <c r="AE33" s="157"/>
    </row>
    <row r="34" spans="2:31">
      <c r="B34" s="20" t="s">
        <v>257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>
        <v>-5.24</v>
      </c>
      <c r="M34" s="147">
        <v>170</v>
      </c>
      <c r="N34" s="147">
        <v>514</v>
      </c>
      <c r="O34" s="147">
        <v>-294.5</v>
      </c>
      <c r="P34" s="147">
        <v>-2295</v>
      </c>
      <c r="Q34" s="118" t="e">
        <f>((P34/G34)^(1/($H$2-$H$1) ))-1</f>
        <v>#DIV/0!</v>
      </c>
      <c r="R34" s="31">
        <v>0.1</v>
      </c>
      <c r="S34" s="155">
        <f>P34*(1+$R34)</f>
        <v>-2524.5</v>
      </c>
      <c r="T34" s="155">
        <f t="shared" ref="T34:AB34" si="97">S34*(1+$R34)</f>
        <v>-2776.9500000000003</v>
      </c>
      <c r="U34" s="155">
        <f t="shared" si="97"/>
        <v>-3054.6450000000004</v>
      </c>
      <c r="V34" s="155">
        <f t="shared" si="97"/>
        <v>-3360.1095000000009</v>
      </c>
      <c r="W34" s="155">
        <f t="shared" si="97"/>
        <v>-3696.1204500000013</v>
      </c>
      <c r="X34" s="155">
        <f t="shared" si="97"/>
        <v>-4065.7324950000016</v>
      </c>
      <c r="Y34" s="155">
        <f t="shared" si="97"/>
        <v>-4472.3057445000022</v>
      </c>
      <c r="Z34" s="155">
        <f t="shared" si="97"/>
        <v>-4919.5363189500031</v>
      </c>
      <c r="AA34" s="155">
        <f t="shared" si="97"/>
        <v>-5411.4899508450035</v>
      </c>
      <c r="AB34" s="155">
        <f t="shared" si="97"/>
        <v>-5952.6389459295042</v>
      </c>
      <c r="AC34" s="138" t="e">
        <f>((AB34/G34)^(1/($AB$3-$H$1) ))-1</f>
        <v>#DIV/0!</v>
      </c>
      <c r="AD34" s="31">
        <v>0.08</v>
      </c>
      <c r="AE34" s="146" t="e">
        <f>(AB34*(1+AC34))/($C$1-AD34)</f>
        <v>#DIV/0!</v>
      </c>
    </row>
    <row r="35" spans="2:31" s="123" customFormat="1">
      <c r="B35" s="23"/>
      <c r="C35" s="150"/>
      <c r="D35" s="150"/>
      <c r="E35" s="151"/>
      <c r="F35" s="151"/>
      <c r="G35" s="149" t="e">
        <f>(G34-F34)/G34</f>
        <v>#DIV/0!</v>
      </c>
      <c r="H35" s="149" t="e">
        <f>(H34-G34)/H34</f>
        <v>#DIV/0!</v>
      </c>
      <c r="I35" s="149" t="e">
        <f t="shared" ref="I35" si="98">(I34-H34)/I34</f>
        <v>#DIV/0!</v>
      </c>
      <c r="J35" s="149" t="e">
        <f t="shared" ref="J35" si="99">(J34-I34)/J34</f>
        <v>#DIV/0!</v>
      </c>
      <c r="K35" s="149" t="e">
        <f t="shared" ref="K35" si="100">(K34-J34)/K34</f>
        <v>#DIV/0!</v>
      </c>
      <c r="L35" s="149">
        <f t="shared" ref="L35" si="101">(L34-K34)/L34</f>
        <v>1</v>
      </c>
      <c r="M35" s="149">
        <f t="shared" ref="M35" si="102">(M34-L34)/M34</f>
        <v>1.0308235294117647</v>
      </c>
      <c r="N35" s="149">
        <f t="shared" ref="N35" si="103">(N34-M34)/N34</f>
        <v>0.66926070038910501</v>
      </c>
      <c r="O35" s="149">
        <f t="shared" ref="O35" si="104">(O34-N34)/O34</f>
        <v>2.7453310696095077</v>
      </c>
      <c r="P35" s="149">
        <f t="shared" ref="P35" si="105">(P34-O34)/P34</f>
        <v>0.87167755991285401</v>
      </c>
      <c r="Q35" s="3"/>
      <c r="R35" s="3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20"/>
      <c r="AE35" s="157"/>
    </row>
    <row r="36" spans="2:31">
      <c r="B36" s="20" t="s">
        <v>239</v>
      </c>
      <c r="C36" s="142">
        <v>1</v>
      </c>
      <c r="D36" s="142">
        <v>1</v>
      </c>
      <c r="E36" s="143">
        <v>1</v>
      </c>
      <c r="F36" s="147"/>
      <c r="G36" s="147"/>
      <c r="H36" s="147"/>
      <c r="I36" s="147"/>
      <c r="J36" s="147"/>
      <c r="K36" s="147"/>
      <c r="L36" s="147">
        <v>184.19</v>
      </c>
      <c r="M36" s="147">
        <v>218</v>
      </c>
      <c r="N36" s="147">
        <v>218</v>
      </c>
      <c r="O36" s="147">
        <v>218</v>
      </c>
      <c r="P36" s="147">
        <v>239.3272</v>
      </c>
      <c r="Q36" s="118" t="e">
        <f>((P36/G36)^(1/($H$2-$H$1) ))-1</f>
        <v>#DIV/0!</v>
      </c>
      <c r="R36" s="31">
        <v>0</v>
      </c>
      <c r="S36" s="155">
        <f t="shared" ref="S36" si="106">P36*(1+$R36)</f>
        <v>239.3272</v>
      </c>
      <c r="T36" s="155">
        <f t="shared" ref="T36:AB36" si="107">S36*(1+$R36)</f>
        <v>239.3272</v>
      </c>
      <c r="U36" s="155">
        <f t="shared" si="107"/>
        <v>239.3272</v>
      </c>
      <c r="V36" s="155">
        <f t="shared" si="107"/>
        <v>239.3272</v>
      </c>
      <c r="W36" s="155">
        <f t="shared" si="107"/>
        <v>239.3272</v>
      </c>
      <c r="X36" s="155">
        <f t="shared" si="107"/>
        <v>239.3272</v>
      </c>
      <c r="Y36" s="155">
        <f t="shared" si="107"/>
        <v>239.3272</v>
      </c>
      <c r="Z36" s="155">
        <f t="shared" si="107"/>
        <v>239.3272</v>
      </c>
      <c r="AA36" s="155">
        <f t="shared" si="107"/>
        <v>239.3272</v>
      </c>
      <c r="AB36" s="155">
        <f t="shared" si="107"/>
        <v>239.3272</v>
      </c>
      <c r="AC36" s="138" t="e">
        <f>((AB36/G36)^(1/($AB$3-$H$1) ))-1</f>
        <v>#DIV/0!</v>
      </c>
      <c r="AD36" s="31">
        <v>0.08</v>
      </c>
      <c r="AE36" s="146" t="e">
        <f>(AB36*(1+AC36))/($C$1-AD36)</f>
        <v>#DIV/0!</v>
      </c>
    </row>
    <row r="37" spans="2:31">
      <c r="B37" s="20"/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20"/>
      <c r="AE37" s="155"/>
    </row>
    <row r="38" spans="2:31">
      <c r="B38" s="20" t="s">
        <v>283</v>
      </c>
      <c r="C38" s="145">
        <v>1</v>
      </c>
      <c r="D38" s="145">
        <v>1</v>
      </c>
      <c r="E38" s="145">
        <v>1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v>0.05</v>
      </c>
      <c r="S38" s="155">
        <f t="shared" ref="S38" si="108">P38*(1+$R38)</f>
        <v>0</v>
      </c>
      <c r="T38" s="155">
        <f t="shared" ref="T38" si="109">S38*(1+$R38)</f>
        <v>0</v>
      </c>
      <c r="U38" s="155">
        <f t="shared" ref="U38" si="110">T38*(1+$R38)</f>
        <v>0</v>
      </c>
      <c r="V38" s="155">
        <f t="shared" ref="V38" si="111">U38*(1+$R38)</f>
        <v>0</v>
      </c>
      <c r="W38" s="155">
        <f t="shared" ref="W38" si="112">V38*(1+$R38)</f>
        <v>0</v>
      </c>
      <c r="X38" s="155">
        <f t="shared" ref="X38" si="113">W38*(1+$R38)</f>
        <v>0</v>
      </c>
      <c r="Y38" s="155">
        <f t="shared" ref="Y38" si="114">X38*(1+$R38)</f>
        <v>0</v>
      </c>
      <c r="Z38" s="155">
        <f t="shared" ref="Z38" si="115">Y38*(1+$R38)</f>
        <v>0</v>
      </c>
      <c r="AA38" s="155">
        <f t="shared" ref="AA38" si="116">Z38*(1+$R38)</f>
        <v>0</v>
      </c>
      <c r="AB38" s="155">
        <f t="shared" ref="AB38" si="117">AA38*(1+$R38)</f>
        <v>0</v>
      </c>
      <c r="AC38" s="138" t="e">
        <f t="shared" ref="AC38" si="118">((AB38/G38)^(1/($AB$3-$H$1) ))-1</f>
        <v>#DIV/0!</v>
      </c>
      <c r="AD38" s="31">
        <v>0.08</v>
      </c>
      <c r="AE38" s="146" t="e">
        <f>(AB38*(1+AC38))/($C$1-AD38)</f>
        <v>#DIV/0!</v>
      </c>
    </row>
    <row r="39" spans="2:31">
      <c r="B39" s="20"/>
      <c r="C39" s="20"/>
      <c r="D39" s="20"/>
      <c r="E39" s="127"/>
      <c r="F39" s="127"/>
      <c r="G39" s="127"/>
      <c r="H39" s="20"/>
      <c r="I39" s="20"/>
      <c r="J39" s="20"/>
      <c r="K39" s="20"/>
      <c r="L39" s="20"/>
      <c r="M39" s="20"/>
      <c r="N39" s="20"/>
      <c r="O39" s="20"/>
      <c r="P39" s="20"/>
      <c r="Q39" s="128"/>
      <c r="R39" s="128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20"/>
      <c r="AE39" s="155"/>
    </row>
    <row r="40" spans="2:31">
      <c r="B40" s="108" t="s">
        <v>243</v>
      </c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20"/>
      <c r="AE40" s="155"/>
    </row>
    <row r="41" spans="2:31">
      <c r="B41" s="20" t="s">
        <v>306</v>
      </c>
      <c r="C41" s="133">
        <f t="shared" ref="C41:F41" si="119">C24/C36</f>
        <v>0</v>
      </c>
      <c r="D41" s="133">
        <f t="shared" si="119"/>
        <v>0</v>
      </c>
      <c r="E41" s="133">
        <f t="shared" si="119"/>
        <v>0</v>
      </c>
      <c r="F41" s="133" t="e">
        <f t="shared" si="119"/>
        <v>#DIV/0!</v>
      </c>
      <c r="G41" s="133" t="e">
        <f>G24/G36</f>
        <v>#DIV/0!</v>
      </c>
      <c r="H41" s="133" t="e">
        <f t="shared" ref="H41:P41" si="120">H24/H36</f>
        <v>#DIV/0!</v>
      </c>
      <c r="I41" s="133" t="e">
        <f t="shared" si="120"/>
        <v>#DIV/0!</v>
      </c>
      <c r="J41" s="133" t="e">
        <f t="shared" si="120"/>
        <v>#DIV/0!</v>
      </c>
      <c r="K41" s="133" t="e">
        <f t="shared" si="120"/>
        <v>#DIV/0!</v>
      </c>
      <c r="L41" s="133">
        <f t="shared" si="120"/>
        <v>0</v>
      </c>
      <c r="M41" s="133">
        <f t="shared" si="120"/>
        <v>2.1422018348623855</v>
      </c>
      <c r="N41" s="133">
        <f t="shared" si="120"/>
        <v>9.876146788990825</v>
      </c>
      <c r="O41" s="133">
        <f t="shared" si="120"/>
        <v>18.770642201834864</v>
      </c>
      <c r="P41" s="133">
        <f t="shared" si="120"/>
        <v>29.22359013100057</v>
      </c>
      <c r="Q41" s="118" t="e">
        <f>((P41/G41)^(1/($H$2-$H$1) ))-1</f>
        <v>#DIV/0!</v>
      </c>
      <c r="R41" s="128"/>
      <c r="S41" s="159">
        <f t="shared" ref="S41:AB41" si="121">S24/S36</f>
        <v>32.145949144100634</v>
      </c>
      <c r="T41" s="159">
        <f t="shared" si="121"/>
        <v>35.360544058510698</v>
      </c>
      <c r="U41" s="159">
        <f t="shared" si="121"/>
        <v>38.896598464361773</v>
      </c>
      <c r="V41" s="159">
        <f t="shared" si="121"/>
        <v>42.786258310797948</v>
      </c>
      <c r="W41" s="159">
        <f t="shared" si="121"/>
        <v>47.064884141877748</v>
      </c>
      <c r="X41" s="159">
        <f t="shared" si="121"/>
        <v>51.771372556065529</v>
      </c>
      <c r="Y41" s="159">
        <f t="shared" si="121"/>
        <v>56.948509811672082</v>
      </c>
      <c r="Z41" s="159">
        <f t="shared" si="121"/>
        <v>62.643360792839296</v>
      </c>
      <c r="AA41" s="159">
        <f t="shared" si="121"/>
        <v>68.907696872123239</v>
      </c>
      <c r="AB41" s="159">
        <f t="shared" si="121"/>
        <v>75.798466559335566</v>
      </c>
      <c r="AC41" s="138" t="e">
        <f t="shared" ref="AC41" si="122">((AB41/G41)^(1/($AB$3-$H$1) ))-1</f>
        <v>#DIV/0!</v>
      </c>
      <c r="AD41" s="31">
        <v>0.08</v>
      </c>
      <c r="AE41" s="146" t="e">
        <f>(AB41*(1+AC41))/($C$1-AD41)</f>
        <v>#DIV/0!</v>
      </c>
    </row>
    <row r="42" spans="2:31">
      <c r="B42" s="20" t="s">
        <v>307</v>
      </c>
      <c r="C42" s="133">
        <f t="shared" ref="C42:F42" si="123">C26/C36</f>
        <v>0</v>
      </c>
      <c r="D42" s="133">
        <f t="shared" si="123"/>
        <v>0</v>
      </c>
      <c r="E42" s="133">
        <f t="shared" si="123"/>
        <v>0</v>
      </c>
      <c r="F42" s="133" t="e">
        <f t="shared" si="123"/>
        <v>#DIV/0!</v>
      </c>
      <c r="G42" s="133" t="e">
        <f>G26/G36</f>
        <v>#DIV/0!</v>
      </c>
      <c r="H42" s="133" t="e">
        <f t="shared" ref="H42:P42" si="124">H26/H36</f>
        <v>#DIV/0!</v>
      </c>
      <c r="I42" s="133" t="e">
        <f t="shared" si="124"/>
        <v>#DIV/0!</v>
      </c>
      <c r="J42" s="133" t="e">
        <f t="shared" si="124"/>
        <v>#DIV/0!</v>
      </c>
      <c r="K42" s="133" t="e">
        <f t="shared" si="124"/>
        <v>#DIV/0!</v>
      </c>
      <c r="L42" s="133">
        <f t="shared" si="124"/>
        <v>3.2575058363646235E-2</v>
      </c>
      <c r="M42" s="133">
        <f t="shared" si="124"/>
        <v>0.87614678899082565</v>
      </c>
      <c r="N42" s="133">
        <f t="shared" si="124"/>
        <v>4.1972477064220186</v>
      </c>
      <c r="O42" s="133">
        <f t="shared" si="124"/>
        <v>12.678899082568808</v>
      </c>
      <c r="P42" s="133">
        <f t="shared" si="124"/>
        <v>24.313993561952007</v>
      </c>
      <c r="Q42" s="118" t="e">
        <f>((P42/G42)^(1/($H$2-$H$1) ))-1</f>
        <v>#DIV/0!</v>
      </c>
      <c r="R42" s="128"/>
      <c r="S42" s="159">
        <f t="shared" ref="S42:AB42" si="125">S26/S36</f>
        <v>26.745392918147207</v>
      </c>
      <c r="T42" s="159">
        <f t="shared" si="125"/>
        <v>29.419932209961932</v>
      </c>
      <c r="U42" s="159">
        <f t="shared" si="125"/>
        <v>32.361925430958131</v>
      </c>
      <c r="V42" s="159">
        <f t="shared" si="125"/>
        <v>35.598117974053949</v>
      </c>
      <c r="W42" s="159">
        <f t="shared" si="125"/>
        <v>39.157929771459344</v>
      </c>
      <c r="X42" s="159">
        <f t="shared" si="125"/>
        <v>43.073722748605277</v>
      </c>
      <c r="Y42" s="159">
        <f t="shared" si="125"/>
        <v>47.381095023465811</v>
      </c>
      <c r="Z42" s="159">
        <f t="shared" si="125"/>
        <v>52.1192045258124</v>
      </c>
      <c r="AA42" s="159">
        <f t="shared" si="125"/>
        <v>57.331124978393646</v>
      </c>
      <c r="AB42" s="159">
        <f t="shared" si="125"/>
        <v>63.064237476233018</v>
      </c>
      <c r="AC42" s="138" t="e">
        <f t="shared" ref="AC42" si="126">((AB42/G42)^(1/($AB$3-$H$1) ))-1</f>
        <v>#DIV/0!</v>
      </c>
      <c r="AD42" s="31">
        <v>0.08</v>
      </c>
      <c r="AE42" s="146" t="e">
        <f>(AB42*(1+AC42))/($C$1-AD42)</f>
        <v>#DIV/0!</v>
      </c>
    </row>
    <row r="43" spans="2:31">
      <c r="B43" s="20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8"/>
      <c r="R43" s="128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19"/>
      <c r="AD43" s="119"/>
      <c r="AE43" s="146"/>
    </row>
    <row r="44" spans="2:31">
      <c r="B44" s="20" t="s">
        <v>258</v>
      </c>
      <c r="C44" s="25">
        <f t="shared" ref="C44:P44" si="127">C34/C36</f>
        <v>0</v>
      </c>
      <c r="D44" s="25">
        <f t="shared" si="127"/>
        <v>0</v>
      </c>
      <c r="E44" s="25">
        <f t="shared" si="127"/>
        <v>0</v>
      </c>
      <c r="F44" s="133" t="e">
        <f t="shared" si="127"/>
        <v>#DIV/0!</v>
      </c>
      <c r="G44" s="133" t="e">
        <f t="shared" si="127"/>
        <v>#DIV/0!</v>
      </c>
      <c r="H44" s="133" t="e">
        <f t="shared" si="127"/>
        <v>#DIV/0!</v>
      </c>
      <c r="I44" s="133" t="e">
        <f t="shared" si="127"/>
        <v>#DIV/0!</v>
      </c>
      <c r="J44" s="133" t="e">
        <f t="shared" si="127"/>
        <v>#DIV/0!</v>
      </c>
      <c r="K44" s="133" t="e">
        <f t="shared" si="127"/>
        <v>#DIV/0!</v>
      </c>
      <c r="L44" s="133">
        <f t="shared" si="127"/>
        <v>-2.8448884304251045E-2</v>
      </c>
      <c r="M44" s="133">
        <f t="shared" si="127"/>
        <v>0.77981651376146788</v>
      </c>
      <c r="N44" s="133">
        <f t="shared" si="127"/>
        <v>2.3577981651376145</v>
      </c>
      <c r="O44" s="133">
        <f t="shared" si="127"/>
        <v>-1.3509174311926606</v>
      </c>
      <c r="P44" s="133">
        <f t="shared" si="127"/>
        <v>-9.5893822348650719</v>
      </c>
      <c r="Q44" s="118" t="e">
        <f>((P44/G44)^(1/($H$2-$H$1) ))-1</f>
        <v>#DIV/0!</v>
      </c>
      <c r="R44" s="128"/>
      <c r="S44" s="159">
        <f t="shared" ref="S44:AB44" si="128">S34/S36</f>
        <v>-10.548320458351579</v>
      </c>
      <c r="T44" s="159">
        <f t="shared" si="128"/>
        <v>-11.603152504186738</v>
      </c>
      <c r="U44" s="159">
        <f t="shared" si="128"/>
        <v>-12.763467754605411</v>
      </c>
      <c r="V44" s="159">
        <f t="shared" si="128"/>
        <v>-14.039814530065955</v>
      </c>
      <c r="W44" s="159">
        <f t="shared" si="128"/>
        <v>-15.443795983072551</v>
      </c>
      <c r="X44" s="159">
        <f t="shared" si="128"/>
        <v>-16.988175581379807</v>
      </c>
      <c r="Y44" s="159">
        <f t="shared" si="128"/>
        <v>-18.686993139517792</v>
      </c>
      <c r="Z44" s="159">
        <f t="shared" si="128"/>
        <v>-20.555692453469572</v>
      </c>
      <c r="AA44" s="159">
        <f t="shared" si="128"/>
        <v>-22.611261698816531</v>
      </c>
      <c r="AB44" s="159">
        <f t="shared" si="128"/>
        <v>-24.872387868698183</v>
      </c>
      <c r="AC44" s="138" t="e">
        <f t="shared" ref="AC44:AC57" si="129">((AB44/G44)^(1/($AB$3-$H$1) ))-1</f>
        <v>#DIV/0!</v>
      </c>
      <c r="AD44" s="31">
        <v>0.08</v>
      </c>
      <c r="AE44" s="146" t="e">
        <f>(AB44*(1+AC44))/($C$1-AD44)</f>
        <v>#DIV/0!</v>
      </c>
    </row>
    <row r="45" spans="2:31">
      <c r="B45" s="20" t="s">
        <v>245</v>
      </c>
      <c r="C45" s="25">
        <f t="shared" ref="C45:P45" si="130">C7/C36</f>
        <v>0</v>
      </c>
      <c r="D45" s="25">
        <f t="shared" si="130"/>
        <v>0</v>
      </c>
      <c r="E45" s="25">
        <f t="shared" si="130"/>
        <v>0</v>
      </c>
      <c r="F45" s="133" t="e">
        <f t="shared" si="130"/>
        <v>#DIV/0!</v>
      </c>
      <c r="G45" s="133" t="e">
        <f t="shared" si="130"/>
        <v>#DIV/0!</v>
      </c>
      <c r="H45" s="133" t="e">
        <f t="shared" si="130"/>
        <v>#DIV/0!</v>
      </c>
      <c r="I45" s="133" t="e">
        <f t="shared" si="130"/>
        <v>#DIV/0!</v>
      </c>
      <c r="J45" s="133" t="e">
        <f t="shared" si="130"/>
        <v>#DIV/0!</v>
      </c>
      <c r="K45" s="133" t="e">
        <f t="shared" si="130"/>
        <v>#DIV/0!</v>
      </c>
      <c r="L45" s="133">
        <f t="shared" si="130"/>
        <v>12.421955589337097</v>
      </c>
      <c r="M45" s="133">
        <f t="shared" si="130"/>
        <v>26.504587155963304</v>
      </c>
      <c r="N45" s="133">
        <f t="shared" si="130"/>
        <v>28.839449541284402</v>
      </c>
      <c r="O45" s="133">
        <f t="shared" si="130"/>
        <v>27.711009174311926</v>
      </c>
      <c r="P45" s="133">
        <f t="shared" si="130"/>
        <v>17.937785592277017</v>
      </c>
      <c r="Q45" s="118" t="e">
        <f>((P45/G45)^(1/($H$2-$H$1) ))-1</f>
        <v>#DIV/0!</v>
      </c>
      <c r="R45" s="128"/>
      <c r="S45" s="159">
        <f t="shared" ref="S45:AB45" si="131">S7/S36</f>
        <v>19.731564151504717</v>
      </c>
      <c r="T45" s="159">
        <f t="shared" si="131"/>
        <v>21.704720566655194</v>
      </c>
      <c r="U45" s="159">
        <f t="shared" si="131"/>
        <v>23.875192623320714</v>
      </c>
      <c r="V45" s="159">
        <f t="shared" si="131"/>
        <v>26.262711885652788</v>
      </c>
      <c r="W45" s="159">
        <f t="shared" si="131"/>
        <v>28.888983074218068</v>
      </c>
      <c r="X45" s="159">
        <f t="shared" si="131"/>
        <v>31.777881381639876</v>
      </c>
      <c r="Y45" s="159">
        <f t="shared" si="131"/>
        <v>34.95566951980387</v>
      </c>
      <c r="Z45" s="159">
        <f t="shared" si="131"/>
        <v>38.451236471784256</v>
      </c>
      <c r="AA45" s="159">
        <f t="shared" si="131"/>
        <v>42.296360118962681</v>
      </c>
      <c r="AB45" s="159">
        <f t="shared" si="131"/>
        <v>46.52599613085895</v>
      </c>
      <c r="AC45" s="138" t="e">
        <f t="shared" si="129"/>
        <v>#DIV/0!</v>
      </c>
      <c r="AD45" s="31">
        <v>0.08</v>
      </c>
      <c r="AE45" s="146" t="e">
        <f>(AB45*(1+AC45))/($C$1-AD45)</f>
        <v>#DIV/0!</v>
      </c>
    </row>
    <row r="46" spans="2:31">
      <c r="B46" s="20" t="s">
        <v>246</v>
      </c>
      <c r="C46" s="127">
        <f t="shared" ref="C46:P46" si="132">C6/C36</f>
        <v>0</v>
      </c>
      <c r="D46" s="127">
        <f t="shared" si="132"/>
        <v>0</v>
      </c>
      <c r="E46" s="127">
        <f t="shared" si="132"/>
        <v>0</v>
      </c>
      <c r="F46" s="144" t="e">
        <f t="shared" si="132"/>
        <v>#DIV/0!</v>
      </c>
      <c r="G46" s="144" t="e">
        <f t="shared" si="132"/>
        <v>#DIV/0!</v>
      </c>
      <c r="H46" s="144" t="e">
        <f t="shared" si="132"/>
        <v>#DIV/0!</v>
      </c>
      <c r="I46" s="144" t="e">
        <f t="shared" si="132"/>
        <v>#DIV/0!</v>
      </c>
      <c r="J46" s="144" t="e">
        <f t="shared" si="132"/>
        <v>#DIV/0!</v>
      </c>
      <c r="K46" s="144" t="e">
        <f t="shared" si="132"/>
        <v>#DIV/0!</v>
      </c>
      <c r="L46" s="144">
        <f t="shared" si="132"/>
        <v>2.4268418480916445</v>
      </c>
      <c r="M46" s="144">
        <f t="shared" si="132"/>
        <v>16.504587155963304</v>
      </c>
      <c r="N46" s="144">
        <f t="shared" si="132"/>
        <v>18.839449541284402</v>
      </c>
      <c r="O46" s="144">
        <f t="shared" si="132"/>
        <v>17.711009174311926</v>
      </c>
      <c r="P46" s="144">
        <f t="shared" si="132"/>
        <v>7.9389221116530004</v>
      </c>
      <c r="Q46" s="118" t="e">
        <f>((P46/G46)^(1/($H$2-$H$1) ))-1</f>
        <v>#DIV/0!</v>
      </c>
      <c r="R46" s="128"/>
      <c r="S46" s="158">
        <f t="shared" ref="S46:AB46" si="133">S6/S36</f>
        <v>8.7328143228183013</v>
      </c>
      <c r="T46" s="158">
        <f t="shared" si="133"/>
        <v>9.6060957551001298</v>
      </c>
      <c r="U46" s="158">
        <f t="shared" si="133"/>
        <v>10.566705330610144</v>
      </c>
      <c r="V46" s="158">
        <f t="shared" si="133"/>
        <v>11.623375863671159</v>
      </c>
      <c r="W46" s="158">
        <f t="shared" si="133"/>
        <v>12.785713450038276</v>
      </c>
      <c r="X46" s="158">
        <f t="shared" si="133"/>
        <v>14.064284795042104</v>
      </c>
      <c r="Y46" s="158">
        <f t="shared" si="133"/>
        <v>15.470713274546316</v>
      </c>
      <c r="Z46" s="158">
        <f t="shared" si="133"/>
        <v>17.017784602000948</v>
      </c>
      <c r="AA46" s="158">
        <f t="shared" si="133"/>
        <v>18.719563062201047</v>
      </c>
      <c r="AB46" s="158">
        <f t="shared" si="133"/>
        <v>20.591519368421153</v>
      </c>
      <c r="AC46" s="138" t="e">
        <f t="shared" si="129"/>
        <v>#DIV/0!</v>
      </c>
      <c r="AD46" s="31">
        <v>0.08</v>
      </c>
      <c r="AE46" s="146" t="e">
        <f>(AB46*(1+AC46))/($C$1-AD46)</f>
        <v>#DIV/0!</v>
      </c>
    </row>
    <row r="47" spans="2:31">
      <c r="B47" s="20" t="s">
        <v>247</v>
      </c>
      <c r="C47" s="127">
        <f t="shared" ref="C47:P47" si="134">C10/C36</f>
        <v>0</v>
      </c>
      <c r="D47" s="127">
        <f t="shared" si="134"/>
        <v>0</v>
      </c>
      <c r="E47" s="127">
        <f t="shared" si="134"/>
        <v>0</v>
      </c>
      <c r="F47" s="144" t="e">
        <f t="shared" si="134"/>
        <v>#DIV/0!</v>
      </c>
      <c r="G47" s="144" t="e">
        <f t="shared" si="134"/>
        <v>#DIV/0!</v>
      </c>
      <c r="H47" s="144" t="e">
        <f t="shared" si="134"/>
        <v>#DIV/0!</v>
      </c>
      <c r="I47" s="144" t="e">
        <f t="shared" si="134"/>
        <v>#DIV/0!</v>
      </c>
      <c r="J47" s="144" t="e">
        <f t="shared" si="134"/>
        <v>#DIV/0!</v>
      </c>
      <c r="K47" s="144" t="e">
        <f t="shared" si="134"/>
        <v>#DIV/0!</v>
      </c>
      <c r="L47" s="144">
        <f t="shared" si="134"/>
        <v>27.091590205765787</v>
      </c>
      <c r="M47" s="144">
        <f t="shared" si="134"/>
        <v>48.486238532110093</v>
      </c>
      <c r="N47" s="144">
        <f t="shared" si="134"/>
        <v>112.39449541284404</v>
      </c>
      <c r="O47" s="144">
        <f t="shared" si="134"/>
        <v>177.06422018348624</v>
      </c>
      <c r="P47" s="144">
        <f t="shared" si="134"/>
        <v>157.11544696967164</v>
      </c>
      <c r="Q47" s="118" t="e">
        <f>((P47/G47)^(1/($H$2-$H$1) ))-1</f>
        <v>#DIV/0!</v>
      </c>
      <c r="R47" s="128"/>
      <c r="S47" s="158">
        <f t="shared" ref="S47:AB47" si="135">S10/S36</f>
        <v>172.82699166663883</v>
      </c>
      <c r="T47" s="158">
        <f t="shared" si="135"/>
        <v>190.10969083330272</v>
      </c>
      <c r="U47" s="158">
        <f t="shared" si="135"/>
        <v>209.120659916633</v>
      </c>
      <c r="V47" s="158">
        <f t="shared" si="135"/>
        <v>230.0327259082963</v>
      </c>
      <c r="W47" s="158">
        <f t="shared" si="135"/>
        <v>253.03599849912595</v>
      </c>
      <c r="X47" s="158">
        <f t="shared" si="135"/>
        <v>278.33959834903857</v>
      </c>
      <c r="Y47" s="158">
        <f t="shared" si="135"/>
        <v>306.17355818394248</v>
      </c>
      <c r="Z47" s="158">
        <f t="shared" si="135"/>
        <v>336.79091400233676</v>
      </c>
      <c r="AA47" s="158">
        <f t="shared" si="135"/>
        <v>370.47000540257045</v>
      </c>
      <c r="AB47" s="158">
        <f t="shared" si="135"/>
        <v>407.51700594282755</v>
      </c>
      <c r="AC47" s="138" t="e">
        <f t="shared" si="129"/>
        <v>#DIV/0!</v>
      </c>
      <c r="AD47" s="31">
        <v>0.08</v>
      </c>
      <c r="AE47" s="146" t="e">
        <f>(AB47*(1+AC47))/($C$1-AD47)</f>
        <v>#DIV/0!</v>
      </c>
    </row>
    <row r="48" spans="2:31">
      <c r="B48" s="20"/>
      <c r="C48" s="127"/>
      <c r="D48" s="127"/>
      <c r="E48" s="12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39"/>
      <c r="AD48" s="20"/>
      <c r="AE48" s="155"/>
    </row>
    <row r="49" spans="2:31">
      <c r="B49" s="20" t="s">
        <v>271</v>
      </c>
      <c r="C49" s="127">
        <f t="shared" ref="C49:P49" si="136">(C7-C10)/C36</f>
        <v>0</v>
      </c>
      <c r="D49" s="127">
        <f t="shared" si="136"/>
        <v>0</v>
      </c>
      <c r="E49" s="127">
        <f t="shared" si="136"/>
        <v>0</v>
      </c>
      <c r="F49" s="144" t="e">
        <f t="shared" si="136"/>
        <v>#DIV/0!</v>
      </c>
      <c r="G49" s="144" t="e">
        <f t="shared" si="136"/>
        <v>#DIV/0!</v>
      </c>
      <c r="H49" s="144" t="e">
        <f t="shared" si="136"/>
        <v>#DIV/0!</v>
      </c>
      <c r="I49" s="144" t="e">
        <f t="shared" si="136"/>
        <v>#DIV/0!</v>
      </c>
      <c r="J49" s="144" t="e">
        <f t="shared" si="136"/>
        <v>#DIV/0!</v>
      </c>
      <c r="K49" s="144" t="e">
        <f t="shared" si="136"/>
        <v>#DIV/0!</v>
      </c>
      <c r="L49" s="144">
        <f t="shared" si="136"/>
        <v>-14.669634616428688</v>
      </c>
      <c r="M49" s="144">
        <f t="shared" si="136"/>
        <v>-21.98165137614679</v>
      </c>
      <c r="N49" s="144">
        <f t="shared" si="136"/>
        <v>-83.555045871559628</v>
      </c>
      <c r="O49" s="144">
        <f t="shared" si="136"/>
        <v>-149.35321100917432</v>
      </c>
      <c r="P49" s="144">
        <f t="shared" si="136"/>
        <v>-139.17766137739463</v>
      </c>
      <c r="Q49" s="118" t="e">
        <f>((P49/G49)^(1/($H$2-$H$1) ))-1</f>
        <v>#DIV/0!</v>
      </c>
      <c r="R49" s="128"/>
      <c r="S49" s="158">
        <f t="shared" ref="S49:AB49" si="137">(S7-S10)/S36</f>
        <v>-153.09542751513411</v>
      </c>
      <c r="T49" s="158">
        <f t="shared" si="137"/>
        <v>-168.40497026664752</v>
      </c>
      <c r="U49" s="158">
        <f t="shared" si="137"/>
        <v>-185.24546729331229</v>
      </c>
      <c r="V49" s="158">
        <f t="shared" si="137"/>
        <v>-203.77001402264352</v>
      </c>
      <c r="W49" s="158">
        <f t="shared" si="137"/>
        <v>-224.14701542490789</v>
      </c>
      <c r="X49" s="158">
        <f t="shared" si="137"/>
        <v>-246.56171696739872</v>
      </c>
      <c r="Y49" s="158">
        <f t="shared" si="137"/>
        <v>-271.21788866413857</v>
      </c>
      <c r="Z49" s="158">
        <f t="shared" si="137"/>
        <v>-298.33967753055248</v>
      </c>
      <c r="AA49" s="158">
        <f t="shared" si="137"/>
        <v>-328.17364528360781</v>
      </c>
      <c r="AB49" s="158">
        <f t="shared" si="137"/>
        <v>-360.99100981196858</v>
      </c>
      <c r="AC49" s="138" t="e">
        <f t="shared" si="129"/>
        <v>#DIV/0!</v>
      </c>
      <c r="AD49" s="31">
        <v>0.08</v>
      </c>
      <c r="AE49" s="146" t="e">
        <f>(AB49*(1+AC49))/($C$1-AD49)</f>
        <v>#DIV/0!</v>
      </c>
    </row>
    <row r="50" spans="2:31">
      <c r="B50" s="20" t="s">
        <v>272</v>
      </c>
      <c r="C50" s="127">
        <f t="shared" ref="C50:P50" si="138">(C7-C10-C9)/C36</f>
        <v>0</v>
      </c>
      <c r="D50" s="127">
        <f t="shared" si="138"/>
        <v>0</v>
      </c>
      <c r="E50" s="127">
        <f t="shared" si="138"/>
        <v>0</v>
      </c>
      <c r="F50" s="144" t="e">
        <f t="shared" si="138"/>
        <v>#DIV/0!</v>
      </c>
      <c r="G50" s="144" t="e">
        <f t="shared" si="138"/>
        <v>#DIV/0!</v>
      </c>
      <c r="H50" s="144" t="e">
        <f t="shared" si="138"/>
        <v>#DIV/0!</v>
      </c>
      <c r="I50" s="144" t="e">
        <f t="shared" si="138"/>
        <v>#DIV/0!</v>
      </c>
      <c r="J50" s="144" t="e">
        <f t="shared" si="138"/>
        <v>#DIV/0!</v>
      </c>
      <c r="K50" s="144" t="e">
        <f t="shared" si="138"/>
        <v>#DIV/0!</v>
      </c>
      <c r="L50" s="144">
        <f t="shared" si="138"/>
        <v>-17.720831749823553</v>
      </c>
      <c r="M50" s="144">
        <f t="shared" si="138"/>
        <v>-28.834862385321102</v>
      </c>
      <c r="N50" s="144">
        <f t="shared" si="138"/>
        <v>-100.20642201834862</v>
      </c>
      <c r="O50" s="144">
        <f t="shared" si="138"/>
        <v>-174.35321100917432</v>
      </c>
      <c r="P50" s="144">
        <f t="shared" si="138"/>
        <v>-190.5466658198483</v>
      </c>
      <c r="Q50" s="118" t="e">
        <f>((P50/G50)^(1/($H$2-$H$1) ))-1</f>
        <v>#DIV/0!</v>
      </c>
      <c r="R50" s="128"/>
      <c r="S50" s="158">
        <f t="shared" ref="S50:AB50" si="139">(S7-S10-S9)/S36</f>
        <v>-209.60133240183313</v>
      </c>
      <c r="T50" s="158">
        <f t="shared" si="139"/>
        <v>-230.56146564201649</v>
      </c>
      <c r="U50" s="158">
        <f t="shared" si="139"/>
        <v>-253.61761220621815</v>
      </c>
      <c r="V50" s="158">
        <f t="shared" si="139"/>
        <v>-278.97937342684003</v>
      </c>
      <c r="W50" s="158">
        <f t="shared" si="139"/>
        <v>-306.87731076952394</v>
      </c>
      <c r="X50" s="158">
        <f t="shared" si="139"/>
        <v>-337.56504184647645</v>
      </c>
      <c r="Y50" s="158">
        <f t="shared" si="139"/>
        <v>-371.32154603112411</v>
      </c>
      <c r="Z50" s="158">
        <f t="shared" si="139"/>
        <v>-408.45370063423655</v>
      </c>
      <c r="AA50" s="158">
        <f t="shared" si="139"/>
        <v>-449.29907069766028</v>
      </c>
      <c r="AB50" s="158">
        <f t="shared" si="139"/>
        <v>-494.22897776742633</v>
      </c>
      <c r="AC50" s="138" t="e">
        <f t="shared" si="129"/>
        <v>#DIV/0!</v>
      </c>
      <c r="AD50" s="31">
        <v>0.08</v>
      </c>
      <c r="AE50" s="146" t="e">
        <f>(AB50*(1+AC50))/($C$1-AD50)</f>
        <v>#DIV/0!</v>
      </c>
    </row>
    <row r="51" spans="2:31">
      <c r="B51" s="20" t="s">
        <v>277</v>
      </c>
      <c r="C51" s="127">
        <f t="shared" ref="C51:P51" si="140">(C7+C14-C10-C9)/C36</f>
        <v>0</v>
      </c>
      <c r="D51" s="127">
        <f t="shared" si="140"/>
        <v>0</v>
      </c>
      <c r="E51" s="127">
        <f t="shared" si="140"/>
        <v>0</v>
      </c>
      <c r="F51" s="144" t="e">
        <f t="shared" si="140"/>
        <v>#DIV/0!</v>
      </c>
      <c r="G51" s="144" t="e">
        <f t="shared" si="140"/>
        <v>#DIV/0!</v>
      </c>
      <c r="H51" s="144" t="e">
        <f t="shared" si="140"/>
        <v>#DIV/0!</v>
      </c>
      <c r="I51" s="144" t="e">
        <f t="shared" si="140"/>
        <v>#DIV/0!</v>
      </c>
      <c r="J51" s="144" t="e">
        <f t="shared" si="140"/>
        <v>#DIV/0!</v>
      </c>
      <c r="K51" s="144" t="e">
        <f t="shared" si="140"/>
        <v>#DIV/0!</v>
      </c>
      <c r="L51" s="144">
        <f t="shared" si="140"/>
        <v>-12.427384765731039</v>
      </c>
      <c r="M51" s="144">
        <f t="shared" si="140"/>
        <v>-17.857798165137616</v>
      </c>
      <c r="N51" s="144">
        <f t="shared" si="140"/>
        <v>-88.555045871559628</v>
      </c>
      <c r="O51" s="144">
        <f t="shared" si="140"/>
        <v>-133.80733944954127</v>
      </c>
      <c r="P51" s="144">
        <f t="shared" si="140"/>
        <v>-173.69943742290889</v>
      </c>
      <c r="Q51" s="118" t="e">
        <f>((P51/G51)^(1/($H$2-$H$1) ))-1</f>
        <v>#DIV/0!</v>
      </c>
      <c r="R51" s="128"/>
      <c r="S51" s="158">
        <f t="shared" ref="S51:AB51" si="141">(S7+S14-S10-S9)/S36</f>
        <v>-191.06938116519979</v>
      </c>
      <c r="T51" s="158">
        <f t="shared" si="141"/>
        <v>-210.1763192817198</v>
      </c>
      <c r="U51" s="158">
        <f t="shared" si="141"/>
        <v>-231.19395120989176</v>
      </c>
      <c r="V51" s="158">
        <f t="shared" si="141"/>
        <v>-254.31334633088096</v>
      </c>
      <c r="W51" s="158">
        <f t="shared" si="141"/>
        <v>-279.74468096396907</v>
      </c>
      <c r="X51" s="158">
        <f t="shared" si="141"/>
        <v>-307.71914906036596</v>
      </c>
      <c r="Y51" s="158">
        <f t="shared" si="141"/>
        <v>-338.49106396640263</v>
      </c>
      <c r="Z51" s="158">
        <f t="shared" si="141"/>
        <v>-372.340170363043</v>
      </c>
      <c r="AA51" s="158">
        <f t="shared" si="141"/>
        <v>-409.5741873993473</v>
      </c>
      <c r="AB51" s="158">
        <f t="shared" si="141"/>
        <v>-450.53160613928202</v>
      </c>
      <c r="AC51" s="138" t="e">
        <f t="shared" si="129"/>
        <v>#DIV/0!</v>
      </c>
      <c r="AD51" s="31">
        <v>0.08</v>
      </c>
      <c r="AE51" s="146" t="e">
        <f>(AB51*(1+AC51))/($C$1-AD51)</f>
        <v>#DIV/0!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39"/>
      <c r="AD52" s="20"/>
      <c r="AE52" s="155"/>
    </row>
    <row r="53" spans="2:31">
      <c r="B53" s="20" t="s">
        <v>248</v>
      </c>
      <c r="C53" s="127">
        <f>C12/C36</f>
        <v>0</v>
      </c>
      <c r="D53" s="127">
        <f>D12/D36</f>
        <v>0</v>
      </c>
      <c r="E53" s="127">
        <f>E12/E36</f>
        <v>0</v>
      </c>
      <c r="F53" s="144" t="e">
        <f>F12/F36</f>
        <v>#DIV/0!</v>
      </c>
      <c r="G53" s="144" t="e">
        <f>'[1]3 - Forecast'!G12/G36</f>
        <v>#DIV/0!</v>
      </c>
      <c r="H53" s="144" t="e">
        <f>'[1]3 - Forecast'!H12/H36</f>
        <v>#DIV/0!</v>
      </c>
      <c r="I53" s="144" t="e">
        <f>'[1]3 - Forecast'!I12/I36</f>
        <v>#DIV/0!</v>
      </c>
      <c r="J53" s="144" t="e">
        <f>'[1]3 - Forecast'!J12/J36</f>
        <v>#DIV/0!</v>
      </c>
      <c r="K53" s="144" t="e">
        <f>'[1]3 - Forecast'!K12/K36</f>
        <v>#DIV/0!</v>
      </c>
      <c r="L53" s="144">
        <f>'[1]3 - Forecast'!L12/L36</f>
        <v>3.0349096042130408</v>
      </c>
      <c r="M53" s="144">
        <f>'[1]3 - Forecast'!M12/M36</f>
        <v>0.97247706422018354</v>
      </c>
      <c r="N53" s="144">
        <f>'[1]3 - Forecast'!N12/N36</f>
        <v>5.7568807339449544</v>
      </c>
      <c r="O53" s="144">
        <f>'[1]3 - Forecast'!O12/O36</f>
        <v>14.86697247706422</v>
      </c>
      <c r="P53" s="144">
        <f>'[1]3 - Forecast'!P12/P36</f>
        <v>7.1784569409578181</v>
      </c>
      <c r="Q53" s="118" t="e">
        <f>((P53/G53)^(1/($H$2-$H$1) ))-1</f>
        <v>#DIV/0!</v>
      </c>
      <c r="R53" s="128"/>
      <c r="S53" s="158">
        <f t="shared" ref="S53:AB53" si="142">S12/S36</f>
        <v>7.8963026350536012</v>
      </c>
      <c r="T53" s="158">
        <f t="shared" si="142"/>
        <v>8.6859328985589617</v>
      </c>
      <c r="U53" s="158">
        <f t="shared" si="142"/>
        <v>9.554526188414858</v>
      </c>
      <c r="V53" s="158">
        <f t="shared" si="142"/>
        <v>10.509978807256344</v>
      </c>
      <c r="W53" s="158">
        <f t="shared" si="142"/>
        <v>11.560976687981979</v>
      </c>
      <c r="X53" s="158">
        <f t="shared" si="142"/>
        <v>12.717074356780179</v>
      </c>
      <c r="Y53" s="158">
        <f t="shared" si="142"/>
        <v>13.988781792458198</v>
      </c>
      <c r="Z53" s="158">
        <f t="shared" si="142"/>
        <v>15.387659971704018</v>
      </c>
      <c r="AA53" s="158">
        <f t="shared" si="142"/>
        <v>16.926425968874423</v>
      </c>
      <c r="AB53" s="158">
        <f t="shared" si="142"/>
        <v>18.619068565761864</v>
      </c>
      <c r="AC53" s="138" t="e">
        <f t="shared" si="129"/>
        <v>#DIV/0!</v>
      </c>
      <c r="AD53" s="31">
        <v>0.08</v>
      </c>
      <c r="AE53" s="146" t="e">
        <f>(AB53*(1+AC53))/($C$1-AD53)</f>
        <v>#DIV/0!</v>
      </c>
    </row>
    <row r="54" spans="2:31">
      <c r="B54" s="20" t="s">
        <v>255</v>
      </c>
      <c r="C54" s="127">
        <f>C13/C36</f>
        <v>0</v>
      </c>
      <c r="D54" s="127">
        <f>D13/D36</f>
        <v>0</v>
      </c>
      <c r="E54" s="127">
        <f>E13/E36</f>
        <v>0</v>
      </c>
      <c r="F54" s="144" t="e">
        <f>F13/F36</f>
        <v>#DIV/0!</v>
      </c>
      <c r="G54" s="144" t="e">
        <f>'[1]3 - Forecast'!G13/G36</f>
        <v>#DIV/0!</v>
      </c>
      <c r="H54" s="144" t="e">
        <f>'[1]3 - Forecast'!H13/H36</f>
        <v>#DIV/0!</v>
      </c>
      <c r="I54" s="144" t="e">
        <f>'[1]3 - Forecast'!I13/I36</f>
        <v>#DIV/0!</v>
      </c>
      <c r="J54" s="144" t="e">
        <f>'[1]3 - Forecast'!J13/J36</f>
        <v>#DIV/0!</v>
      </c>
      <c r="K54" s="144" t="e">
        <f>'[1]3 - Forecast'!K13/K36</f>
        <v>#DIV/0!</v>
      </c>
      <c r="L54" s="144">
        <f>'[1]3 - Forecast'!L13/L36</f>
        <v>0</v>
      </c>
      <c r="M54" s="144">
        <f>'[1]3 - Forecast'!M13/M36</f>
        <v>4.5871559633027523E-5</v>
      </c>
      <c r="N54" s="144">
        <f>'[1]3 - Forecast'!N13/N36</f>
        <v>4.5871559633027525E-2</v>
      </c>
      <c r="O54" s="144">
        <f>'[1]3 - Forecast'!O13/O36</f>
        <v>8.7155963302752298E-2</v>
      </c>
      <c r="P54" s="144">
        <f>'[1]3 - Forecast'!P13/P36</f>
        <v>9.3470361914567174E-2</v>
      </c>
      <c r="Q54" s="118" t="e">
        <f>((P54/G54)^(1/($H$2-$H$1) ))-1</f>
        <v>#DIV/0!</v>
      </c>
      <c r="R54" s="128"/>
      <c r="S54" s="158">
        <f t="shared" ref="S54:AB54" si="143">S13/S36</f>
        <v>0.1028173981060239</v>
      </c>
      <c r="T54" s="158">
        <f t="shared" si="143"/>
        <v>0.11309913791662629</v>
      </c>
      <c r="U54" s="158">
        <f t="shared" si="143"/>
        <v>0.12440905170828893</v>
      </c>
      <c r="V54" s="158">
        <f t="shared" si="143"/>
        <v>0.13684995687911786</v>
      </c>
      <c r="W54" s="158">
        <f t="shared" si="143"/>
        <v>0.15053495256702965</v>
      </c>
      <c r="X54" s="158">
        <f t="shared" si="143"/>
        <v>0.16558844782373264</v>
      </c>
      <c r="Y54" s="158">
        <f t="shared" si="143"/>
        <v>0.1821472926061059</v>
      </c>
      <c r="Z54" s="158">
        <f t="shared" si="143"/>
        <v>0.20036202186671651</v>
      </c>
      <c r="AA54" s="158">
        <f t="shared" si="143"/>
        <v>0.22039822405338819</v>
      </c>
      <c r="AB54" s="158">
        <f t="shared" si="143"/>
        <v>0.24243804645872702</v>
      </c>
      <c r="AC54" s="138" t="e">
        <f t="shared" si="129"/>
        <v>#DIV/0!</v>
      </c>
      <c r="AD54" s="31">
        <v>0.08</v>
      </c>
      <c r="AE54" s="146" t="e">
        <f>(AB54*(1+AC54))/($C$1-AD54)</f>
        <v>#DIV/0!</v>
      </c>
    </row>
    <row r="55" spans="2:31">
      <c r="B55" s="20" t="s">
        <v>256</v>
      </c>
      <c r="C55" s="127">
        <f>(C53+C54)</f>
        <v>0</v>
      </c>
      <c r="D55" s="127">
        <f t="shared" ref="D55:P55" si="144">(D53+D54)</f>
        <v>0</v>
      </c>
      <c r="E55" s="127">
        <f t="shared" si="144"/>
        <v>0</v>
      </c>
      <c r="F55" s="144" t="e">
        <f t="shared" si="144"/>
        <v>#DIV/0!</v>
      </c>
      <c r="G55" s="144" t="e">
        <f t="shared" si="144"/>
        <v>#DIV/0!</v>
      </c>
      <c r="H55" s="144" t="e">
        <f t="shared" si="144"/>
        <v>#DIV/0!</v>
      </c>
      <c r="I55" s="144" t="e">
        <f t="shared" si="144"/>
        <v>#DIV/0!</v>
      </c>
      <c r="J55" s="144" t="e">
        <f t="shared" si="144"/>
        <v>#DIV/0!</v>
      </c>
      <c r="K55" s="144" t="e">
        <f t="shared" si="144"/>
        <v>#DIV/0!</v>
      </c>
      <c r="L55" s="144">
        <f t="shared" si="144"/>
        <v>3.0349096042130408</v>
      </c>
      <c r="M55" s="144">
        <f t="shared" si="144"/>
        <v>0.97252293577981652</v>
      </c>
      <c r="N55" s="144">
        <f t="shared" si="144"/>
        <v>5.8027522935779823</v>
      </c>
      <c r="O55" s="144">
        <f t="shared" ref="O55" si="145">(O53+O54)</f>
        <v>14.954128440366972</v>
      </c>
      <c r="P55" s="144">
        <f t="shared" si="144"/>
        <v>7.2719273028723856</v>
      </c>
      <c r="Q55" s="118" t="e">
        <f>((P55/G55)^(1/($H$2-$H$1) ))-1</f>
        <v>#DIV/0!</v>
      </c>
      <c r="R55" s="128"/>
      <c r="S55" s="158">
        <f t="shared" ref="S55:AB55" si="146">(S53+S54)</f>
        <v>7.9991200331596248</v>
      </c>
      <c r="T55" s="158">
        <f t="shared" si="146"/>
        <v>8.7990320364755874</v>
      </c>
      <c r="U55" s="158">
        <f t="shared" si="146"/>
        <v>9.6789352401231472</v>
      </c>
      <c r="V55" s="158">
        <f t="shared" si="146"/>
        <v>10.646828764135462</v>
      </c>
      <c r="W55" s="158">
        <f t="shared" si="146"/>
        <v>11.711511640549009</v>
      </c>
      <c r="X55" s="158">
        <f t="shared" si="146"/>
        <v>12.882662804603912</v>
      </c>
      <c r="Y55" s="158">
        <f t="shared" si="146"/>
        <v>14.170929085064303</v>
      </c>
      <c r="Z55" s="158">
        <f t="shared" si="146"/>
        <v>15.588021993570734</v>
      </c>
      <c r="AA55" s="158">
        <f t="shared" si="146"/>
        <v>17.146824192927809</v>
      </c>
      <c r="AB55" s="158">
        <f t="shared" si="146"/>
        <v>18.861506612220591</v>
      </c>
      <c r="AC55" s="138" t="e">
        <f t="shared" si="129"/>
        <v>#DIV/0!</v>
      </c>
      <c r="AD55" s="31">
        <v>0.08</v>
      </c>
      <c r="AE55" s="146" t="e">
        <f>(AB55*(1+AC55))/($C$1-AD55)</f>
        <v>#DIV/0!</v>
      </c>
    </row>
    <row r="56" spans="2:31">
      <c r="B56" s="20" t="s">
        <v>249</v>
      </c>
      <c r="C56" s="127">
        <f t="shared" ref="C56:P56" si="147">C14/C36</f>
        <v>0</v>
      </c>
      <c r="D56" s="127">
        <f t="shared" si="147"/>
        <v>0</v>
      </c>
      <c r="E56" s="127">
        <f t="shared" si="147"/>
        <v>0</v>
      </c>
      <c r="F56" s="144" t="e">
        <f t="shared" si="147"/>
        <v>#DIV/0!</v>
      </c>
      <c r="G56" s="144" t="e">
        <f t="shared" si="147"/>
        <v>#DIV/0!</v>
      </c>
      <c r="H56" s="144" t="e">
        <f t="shared" si="147"/>
        <v>#DIV/0!</v>
      </c>
      <c r="I56" s="144" t="e">
        <f t="shared" si="147"/>
        <v>#DIV/0!</v>
      </c>
      <c r="J56" s="144" t="e">
        <f t="shared" si="147"/>
        <v>#DIV/0!</v>
      </c>
      <c r="K56" s="144" t="e">
        <f t="shared" si="147"/>
        <v>#DIV/0!</v>
      </c>
      <c r="L56" s="144">
        <f t="shared" si="147"/>
        <v>5.2934469840925136</v>
      </c>
      <c r="M56" s="144">
        <f t="shared" si="147"/>
        <v>10.977064220183486</v>
      </c>
      <c r="N56" s="144">
        <f t="shared" si="147"/>
        <v>11.651376146788991</v>
      </c>
      <c r="O56" s="144">
        <f t="shared" si="147"/>
        <v>40.545871559633028</v>
      </c>
      <c r="P56" s="144">
        <f t="shared" si="147"/>
        <v>16.847228396939421</v>
      </c>
      <c r="Q56" s="118" t="e">
        <f>((P56/G56)^(1/($H$2-$H$1) ))-1</f>
        <v>#DIV/0!</v>
      </c>
      <c r="R56" s="128"/>
      <c r="S56" s="158">
        <f t="shared" ref="S56:AB56" si="148">S14/S36</f>
        <v>18.531951236633365</v>
      </c>
      <c r="T56" s="158">
        <f t="shared" si="148"/>
        <v>20.385146360296702</v>
      </c>
      <c r="U56" s="158">
        <f t="shared" si="148"/>
        <v>22.423660996326372</v>
      </c>
      <c r="V56" s="158">
        <f t="shared" si="148"/>
        <v>24.666027095959016</v>
      </c>
      <c r="W56" s="158">
        <f t="shared" si="148"/>
        <v>27.132629805554917</v>
      </c>
      <c r="X56" s="158">
        <f t="shared" si="148"/>
        <v>29.845892786110412</v>
      </c>
      <c r="Y56" s="158">
        <f t="shared" si="148"/>
        <v>32.830482064721458</v>
      </c>
      <c r="Z56" s="158">
        <f t="shared" si="148"/>
        <v>36.113530271193603</v>
      </c>
      <c r="AA56" s="158">
        <f t="shared" si="148"/>
        <v>39.72488329831296</v>
      </c>
      <c r="AB56" s="158">
        <f t="shared" si="148"/>
        <v>43.697371628144261</v>
      </c>
      <c r="AC56" s="138" t="e">
        <f t="shared" si="129"/>
        <v>#DIV/0!</v>
      </c>
      <c r="AD56" s="31">
        <v>0.08</v>
      </c>
      <c r="AE56" s="146" t="e">
        <f>(AB56*(1+AC56))/($C$1-AD56)</f>
        <v>#DIV/0!</v>
      </c>
    </row>
    <row r="57" spans="2:31">
      <c r="B57" s="20" t="s">
        <v>250</v>
      </c>
      <c r="C57" s="127">
        <f t="shared" ref="C57:P57" si="149">C15/C36</f>
        <v>0</v>
      </c>
      <c r="D57" s="127">
        <f t="shared" si="149"/>
        <v>0</v>
      </c>
      <c r="E57" s="127">
        <f t="shared" si="149"/>
        <v>0</v>
      </c>
      <c r="F57" s="144" t="e">
        <f t="shared" si="149"/>
        <v>#DIV/0!</v>
      </c>
      <c r="G57" s="144" t="e">
        <f t="shared" si="149"/>
        <v>#DIV/0!</v>
      </c>
      <c r="H57" s="144" t="e">
        <f t="shared" si="149"/>
        <v>#DIV/0!</v>
      </c>
      <c r="I57" s="144" t="e">
        <f t="shared" si="149"/>
        <v>#DIV/0!</v>
      </c>
      <c r="J57" s="144" t="e">
        <f t="shared" si="149"/>
        <v>#DIV/0!</v>
      </c>
      <c r="K57" s="144" t="e">
        <f t="shared" si="149"/>
        <v>#DIV/0!</v>
      </c>
      <c r="L57" s="144">
        <f t="shared" si="149"/>
        <v>2.2422498506976494</v>
      </c>
      <c r="M57" s="144">
        <f t="shared" si="149"/>
        <v>4.1055045871559637</v>
      </c>
      <c r="N57" s="144">
        <f t="shared" si="149"/>
        <v>-5.0091743119266052</v>
      </c>
      <c r="O57" s="144">
        <f t="shared" si="149"/>
        <v>12.178899082568808</v>
      </c>
      <c r="P57" s="144">
        <f t="shared" si="149"/>
        <v>-25.868350943812487</v>
      </c>
      <c r="Q57" s="118" t="e">
        <f>((P57/G57)^(1/($H$2-$H$1) ))-1</f>
        <v>#DIV/0!</v>
      </c>
      <c r="R57" s="128"/>
      <c r="S57" s="158">
        <f t="shared" ref="S57:AB57" si="150">S15/S36</f>
        <v>-28.455186038193737</v>
      </c>
      <c r="T57" s="158">
        <f t="shared" si="150"/>
        <v>-31.300704642013113</v>
      </c>
      <c r="U57" s="158">
        <f t="shared" si="150"/>
        <v>-34.430775106214426</v>
      </c>
      <c r="V57" s="158">
        <f t="shared" si="150"/>
        <v>-37.873852616835869</v>
      </c>
      <c r="W57" s="158">
        <f t="shared" si="150"/>
        <v>-41.661237878519458</v>
      </c>
      <c r="X57" s="158">
        <f t="shared" si="150"/>
        <v>-45.827361666371402</v>
      </c>
      <c r="Y57" s="158">
        <f t="shared" si="150"/>
        <v>-50.410097833008543</v>
      </c>
      <c r="Z57" s="158">
        <f t="shared" si="150"/>
        <v>-55.451107616309407</v>
      </c>
      <c r="AA57" s="158">
        <f t="shared" si="150"/>
        <v>-60.996218377940352</v>
      </c>
      <c r="AB57" s="158">
        <f t="shared" si="150"/>
        <v>-67.095840215734384</v>
      </c>
      <c r="AC57" s="138" t="e">
        <f t="shared" si="129"/>
        <v>#DIV/0!</v>
      </c>
      <c r="AD57" s="31">
        <v>0.08</v>
      </c>
      <c r="AE57" s="146" t="e">
        <f>(AB57*(1+AC57))/($C$1-AD57)</f>
        <v>#DIV/0!</v>
      </c>
    </row>
    <row r="58" spans="2:31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39"/>
      <c r="AD58" s="20"/>
      <c r="AE58" s="155"/>
    </row>
    <row r="59" spans="2:31">
      <c r="B59" s="20" t="s">
        <v>283</v>
      </c>
      <c r="C59" s="160">
        <f>C38</f>
        <v>1</v>
      </c>
      <c r="D59" s="160">
        <f t="shared" ref="D59:P59" si="151">D38</f>
        <v>1</v>
      </c>
      <c r="E59" s="160">
        <f t="shared" si="151"/>
        <v>1</v>
      </c>
      <c r="F59" s="160">
        <f t="shared" si="151"/>
        <v>0</v>
      </c>
      <c r="G59" s="160">
        <f t="shared" si="151"/>
        <v>0</v>
      </c>
      <c r="H59" s="160">
        <f t="shared" si="151"/>
        <v>0</v>
      </c>
      <c r="I59" s="160">
        <f t="shared" si="151"/>
        <v>0</v>
      </c>
      <c r="J59" s="160">
        <f t="shared" si="151"/>
        <v>0</v>
      </c>
      <c r="K59" s="160">
        <f t="shared" si="151"/>
        <v>0</v>
      </c>
      <c r="L59" s="160">
        <f t="shared" si="151"/>
        <v>0</v>
      </c>
      <c r="M59" s="160">
        <f t="shared" si="151"/>
        <v>0</v>
      </c>
      <c r="N59" s="160">
        <f t="shared" si="151"/>
        <v>0</v>
      </c>
      <c r="O59" s="160">
        <f t="shared" si="151"/>
        <v>0</v>
      </c>
      <c r="P59" s="160">
        <f t="shared" si="151"/>
        <v>0</v>
      </c>
      <c r="Q59" s="118" t="e">
        <f>((P59/G59)^(1/($H$2-$H$1) ))-1</f>
        <v>#DIV/0!</v>
      </c>
      <c r="R59" s="128"/>
      <c r="S59" s="161">
        <f t="shared" ref="S59:AB59" si="152">S38</f>
        <v>0</v>
      </c>
      <c r="T59" s="161">
        <f t="shared" si="152"/>
        <v>0</v>
      </c>
      <c r="U59" s="161">
        <f t="shared" si="152"/>
        <v>0</v>
      </c>
      <c r="V59" s="161">
        <f t="shared" si="152"/>
        <v>0</v>
      </c>
      <c r="W59" s="161">
        <f t="shared" si="152"/>
        <v>0</v>
      </c>
      <c r="X59" s="161">
        <f t="shared" si="152"/>
        <v>0</v>
      </c>
      <c r="Y59" s="161">
        <f t="shared" si="152"/>
        <v>0</v>
      </c>
      <c r="Z59" s="161">
        <f t="shared" si="152"/>
        <v>0</v>
      </c>
      <c r="AA59" s="161">
        <f t="shared" si="152"/>
        <v>0</v>
      </c>
      <c r="AB59" s="161">
        <f t="shared" si="152"/>
        <v>0</v>
      </c>
      <c r="AC59" s="138" t="e">
        <f t="shared" ref="AC59" si="153">((AB59/G59)^(1/($AB$3-$H$1) ))-1</f>
        <v>#DIV/0!</v>
      </c>
      <c r="AD59" s="31">
        <v>0.08</v>
      </c>
      <c r="AE59" s="146" t="e">
        <f>(AB59*(1+AC59))/($C$1-AD59)</f>
        <v>#DIV/0!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20"/>
      <c r="AE60" s="155"/>
    </row>
    <row r="61" spans="2:31">
      <c r="B61" s="20" t="s">
        <v>291</v>
      </c>
      <c r="C61" s="127">
        <f t="shared" ref="C61:G61" si="154">C19+C20</f>
        <v>0</v>
      </c>
      <c r="D61" s="127">
        <f t="shared" si="154"/>
        <v>0</v>
      </c>
      <c r="E61" s="127">
        <f t="shared" si="154"/>
        <v>0</v>
      </c>
      <c r="F61" s="144">
        <f t="shared" si="154"/>
        <v>0</v>
      </c>
      <c r="G61" s="144">
        <f t="shared" si="154"/>
        <v>0</v>
      </c>
      <c r="H61" s="144">
        <f>H19+H20</f>
        <v>0</v>
      </c>
      <c r="I61" s="144">
        <f t="shared" ref="I61:P61" si="155">I19+I20</f>
        <v>0</v>
      </c>
      <c r="J61" s="144">
        <f t="shared" si="155"/>
        <v>0</v>
      </c>
      <c r="K61" s="144">
        <f t="shared" si="155"/>
        <v>0</v>
      </c>
      <c r="L61" s="144">
        <f t="shared" si="155"/>
        <v>0</v>
      </c>
      <c r="M61" s="144">
        <f t="shared" si="155"/>
        <v>0</v>
      </c>
      <c r="N61" s="144">
        <f t="shared" si="155"/>
        <v>0</v>
      </c>
      <c r="O61" s="144">
        <f t="shared" si="155"/>
        <v>0</v>
      </c>
      <c r="P61" s="144">
        <f t="shared" si="155"/>
        <v>0</v>
      </c>
      <c r="Q61" s="118" t="e">
        <f>((P61/G61)^(1/($H$2-$H$1) ))-1</f>
        <v>#DIV/0!</v>
      </c>
      <c r="R61" s="128"/>
      <c r="S61" s="146">
        <f t="shared" ref="S61:AB61" si="156">S19-S20</f>
        <v>0</v>
      </c>
      <c r="T61" s="146">
        <f t="shared" si="156"/>
        <v>0</v>
      </c>
      <c r="U61" s="146">
        <f t="shared" si="156"/>
        <v>0</v>
      </c>
      <c r="V61" s="146">
        <f t="shared" si="156"/>
        <v>0</v>
      </c>
      <c r="W61" s="146">
        <f t="shared" si="156"/>
        <v>0</v>
      </c>
      <c r="X61" s="146">
        <f t="shared" si="156"/>
        <v>0</v>
      </c>
      <c r="Y61" s="146">
        <f t="shared" si="156"/>
        <v>0</v>
      </c>
      <c r="Z61" s="146">
        <f t="shared" si="156"/>
        <v>0</v>
      </c>
      <c r="AA61" s="146">
        <f t="shared" si="156"/>
        <v>0</v>
      </c>
      <c r="AB61" s="146">
        <f t="shared" si="156"/>
        <v>0</v>
      </c>
      <c r="AC61" s="138" t="e">
        <f t="shared" ref="AC61:AC66" si="157">((AB61/G61)^(1/($AB$3-$H$1) ))-1</f>
        <v>#DIV/0!</v>
      </c>
      <c r="AD61" s="31">
        <v>0.08</v>
      </c>
      <c r="AE61" s="146" t="e">
        <f>(AB61*(1+AC61))/($C$1-AD61)</f>
        <v>#DIV/0!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38"/>
      <c r="AD62" s="31"/>
      <c r="AE62" s="146"/>
    </row>
    <row r="63" spans="2:31">
      <c r="B63" s="20" t="s">
        <v>287</v>
      </c>
      <c r="C63" s="127">
        <f t="shared" ref="C63:G63" si="158">C61/C36</f>
        <v>0</v>
      </c>
      <c r="D63" s="127">
        <f t="shared" si="158"/>
        <v>0</v>
      </c>
      <c r="E63" s="127">
        <f t="shared" si="158"/>
        <v>0</v>
      </c>
      <c r="F63" s="144" t="e">
        <f t="shared" si="158"/>
        <v>#DIV/0!</v>
      </c>
      <c r="G63" s="144" t="e">
        <f t="shared" si="158"/>
        <v>#DIV/0!</v>
      </c>
      <c r="H63" s="144" t="e">
        <f t="shared" ref="H63" si="159">H61/H36</f>
        <v>#DIV/0!</v>
      </c>
      <c r="I63" s="144" t="e">
        <f t="shared" ref="I63:P63" si="160">I61/I36</f>
        <v>#DIV/0!</v>
      </c>
      <c r="J63" s="144" t="e">
        <f t="shared" si="160"/>
        <v>#DIV/0!</v>
      </c>
      <c r="K63" s="144" t="e">
        <f t="shared" si="160"/>
        <v>#DIV/0!</v>
      </c>
      <c r="L63" s="144">
        <f t="shared" si="160"/>
        <v>0</v>
      </c>
      <c r="M63" s="144">
        <f t="shared" si="160"/>
        <v>0</v>
      </c>
      <c r="N63" s="144">
        <f t="shared" si="160"/>
        <v>0</v>
      </c>
      <c r="O63" s="144">
        <f t="shared" si="160"/>
        <v>0</v>
      </c>
      <c r="P63" s="144">
        <f t="shared" si="160"/>
        <v>0</v>
      </c>
      <c r="Q63" s="118" t="e">
        <f>((P63/G63)^(1/($H$2-$H$1) ))-1</f>
        <v>#DIV/0!</v>
      </c>
      <c r="R63" s="128"/>
      <c r="S63" s="146">
        <f t="shared" ref="S63:AB63" si="161">S61/S36</f>
        <v>0</v>
      </c>
      <c r="T63" s="146">
        <f t="shared" si="161"/>
        <v>0</v>
      </c>
      <c r="U63" s="146">
        <f t="shared" si="161"/>
        <v>0</v>
      </c>
      <c r="V63" s="146">
        <f t="shared" si="161"/>
        <v>0</v>
      </c>
      <c r="W63" s="146">
        <f t="shared" si="161"/>
        <v>0</v>
      </c>
      <c r="X63" s="146">
        <f t="shared" si="161"/>
        <v>0</v>
      </c>
      <c r="Y63" s="146">
        <f t="shared" si="161"/>
        <v>0</v>
      </c>
      <c r="Z63" s="146">
        <f t="shared" si="161"/>
        <v>0</v>
      </c>
      <c r="AA63" s="146">
        <f t="shared" si="161"/>
        <v>0</v>
      </c>
      <c r="AB63" s="146">
        <f t="shared" si="161"/>
        <v>0</v>
      </c>
      <c r="AC63" s="138" t="e">
        <f t="shared" si="157"/>
        <v>#DIV/0!</v>
      </c>
      <c r="AD63" s="31">
        <v>0.08</v>
      </c>
      <c r="AE63" s="146" t="e">
        <f>(AB63*(1+AC63))/($C$1-AD63)</f>
        <v>#DIV/0!</v>
      </c>
    </row>
    <row r="64" spans="2:31">
      <c r="B64" s="20" t="s">
        <v>288</v>
      </c>
      <c r="C64" s="127">
        <f t="shared" ref="C64:P64" si="162">C19/C36</f>
        <v>0</v>
      </c>
      <c r="D64" s="127">
        <f t="shared" si="162"/>
        <v>0</v>
      </c>
      <c r="E64" s="127">
        <f t="shared" si="162"/>
        <v>0</v>
      </c>
      <c r="F64" s="144" t="e">
        <f t="shared" si="162"/>
        <v>#DIV/0!</v>
      </c>
      <c r="G64" s="144" t="e">
        <f t="shared" si="162"/>
        <v>#DIV/0!</v>
      </c>
      <c r="H64" s="144" t="e">
        <f t="shared" si="162"/>
        <v>#DIV/0!</v>
      </c>
      <c r="I64" s="144" t="e">
        <f t="shared" si="162"/>
        <v>#DIV/0!</v>
      </c>
      <c r="J64" s="144" t="e">
        <f t="shared" si="162"/>
        <v>#DIV/0!</v>
      </c>
      <c r="K64" s="144" t="e">
        <f t="shared" si="162"/>
        <v>#DIV/0!</v>
      </c>
      <c r="L64" s="144">
        <f t="shared" si="162"/>
        <v>0</v>
      </c>
      <c r="M64" s="144">
        <f t="shared" si="162"/>
        <v>0</v>
      </c>
      <c r="N64" s="144">
        <f t="shared" si="162"/>
        <v>0</v>
      </c>
      <c r="O64" s="144">
        <f t="shared" si="162"/>
        <v>0</v>
      </c>
      <c r="P64" s="144">
        <f t="shared" si="162"/>
        <v>0</v>
      </c>
      <c r="Q64" s="118" t="e">
        <f>((P64/G64)^(1/($H$2-$H$1) ))-1</f>
        <v>#DIV/0!</v>
      </c>
      <c r="R64" s="128"/>
      <c r="S64" s="146">
        <f t="shared" ref="S64:AB64" si="163">S19/S36</f>
        <v>0</v>
      </c>
      <c r="T64" s="146">
        <f t="shared" si="163"/>
        <v>0</v>
      </c>
      <c r="U64" s="146">
        <f t="shared" si="163"/>
        <v>0</v>
      </c>
      <c r="V64" s="146">
        <f t="shared" si="163"/>
        <v>0</v>
      </c>
      <c r="W64" s="146">
        <f t="shared" si="163"/>
        <v>0</v>
      </c>
      <c r="X64" s="146">
        <f t="shared" si="163"/>
        <v>0</v>
      </c>
      <c r="Y64" s="146">
        <f t="shared" si="163"/>
        <v>0</v>
      </c>
      <c r="Z64" s="146">
        <f t="shared" si="163"/>
        <v>0</v>
      </c>
      <c r="AA64" s="146">
        <f t="shared" si="163"/>
        <v>0</v>
      </c>
      <c r="AB64" s="146">
        <f t="shared" si="163"/>
        <v>0</v>
      </c>
      <c r="AC64" s="138" t="e">
        <f t="shared" si="157"/>
        <v>#DIV/0!</v>
      </c>
      <c r="AD64" s="31">
        <v>0.08</v>
      </c>
      <c r="AE64" s="146" t="e">
        <f>(AB64*(1+AC64))/($C$1-AD64)</f>
        <v>#DIV/0!</v>
      </c>
    </row>
    <row r="65" spans="2:31">
      <c r="B65" s="20" t="s">
        <v>289</v>
      </c>
      <c r="C65" s="127">
        <f t="shared" ref="C65:P65" si="164">C20/C36</f>
        <v>0</v>
      </c>
      <c r="D65" s="127">
        <f t="shared" si="164"/>
        <v>0</v>
      </c>
      <c r="E65" s="127">
        <f t="shared" si="164"/>
        <v>0</v>
      </c>
      <c r="F65" s="144" t="e">
        <f t="shared" si="164"/>
        <v>#DIV/0!</v>
      </c>
      <c r="G65" s="144" t="e">
        <f t="shared" si="164"/>
        <v>#DIV/0!</v>
      </c>
      <c r="H65" s="144" t="e">
        <f t="shared" si="164"/>
        <v>#DIV/0!</v>
      </c>
      <c r="I65" s="144" t="e">
        <f t="shared" si="164"/>
        <v>#DIV/0!</v>
      </c>
      <c r="J65" s="144" t="e">
        <f t="shared" si="164"/>
        <v>#DIV/0!</v>
      </c>
      <c r="K65" s="144" t="e">
        <f t="shared" si="164"/>
        <v>#DIV/0!</v>
      </c>
      <c r="L65" s="144">
        <f t="shared" si="164"/>
        <v>0</v>
      </c>
      <c r="M65" s="144">
        <f t="shared" si="164"/>
        <v>0</v>
      </c>
      <c r="N65" s="144">
        <f t="shared" si="164"/>
        <v>0</v>
      </c>
      <c r="O65" s="144">
        <f t="shared" si="164"/>
        <v>0</v>
      </c>
      <c r="P65" s="144">
        <f t="shared" si="164"/>
        <v>0</v>
      </c>
      <c r="Q65" s="118" t="e">
        <f>((P65/G65)^(1/($H$2-$H$1) ))-1</f>
        <v>#DIV/0!</v>
      </c>
      <c r="R65" s="128"/>
      <c r="S65" s="146">
        <f t="shared" ref="S65:AB65" si="165">S20/S36</f>
        <v>0</v>
      </c>
      <c r="T65" s="146">
        <f t="shared" si="165"/>
        <v>0</v>
      </c>
      <c r="U65" s="146">
        <f t="shared" si="165"/>
        <v>0</v>
      </c>
      <c r="V65" s="146">
        <f t="shared" si="165"/>
        <v>0</v>
      </c>
      <c r="W65" s="146">
        <f t="shared" si="165"/>
        <v>0</v>
      </c>
      <c r="X65" s="146">
        <f t="shared" si="165"/>
        <v>0</v>
      </c>
      <c r="Y65" s="146">
        <f t="shared" si="165"/>
        <v>0</v>
      </c>
      <c r="Z65" s="146">
        <f t="shared" si="165"/>
        <v>0</v>
      </c>
      <c r="AA65" s="146">
        <f t="shared" si="165"/>
        <v>0</v>
      </c>
      <c r="AB65" s="146">
        <f t="shared" si="165"/>
        <v>0</v>
      </c>
      <c r="AC65" s="138" t="e">
        <f t="shared" si="157"/>
        <v>#DIV/0!</v>
      </c>
      <c r="AD65" s="31">
        <v>0.08</v>
      </c>
      <c r="AE65" s="146" t="e">
        <f>(AB65*(1+AC65))/($C$1-AD65)</f>
        <v>#DIV/0!</v>
      </c>
    </row>
    <row r="66" spans="2:31">
      <c r="B66" s="20" t="s">
        <v>290</v>
      </c>
      <c r="C66" s="127">
        <f t="shared" ref="C66:P66" si="166">C21/C36</f>
        <v>0</v>
      </c>
      <c r="D66" s="127">
        <f t="shared" si="166"/>
        <v>0</v>
      </c>
      <c r="E66" s="127">
        <f t="shared" si="166"/>
        <v>0</v>
      </c>
      <c r="F66" s="144" t="e">
        <f t="shared" si="166"/>
        <v>#DIV/0!</v>
      </c>
      <c r="G66" s="144" t="e">
        <f t="shared" si="166"/>
        <v>#DIV/0!</v>
      </c>
      <c r="H66" s="144" t="e">
        <f t="shared" si="166"/>
        <v>#DIV/0!</v>
      </c>
      <c r="I66" s="144" t="e">
        <f t="shared" si="166"/>
        <v>#DIV/0!</v>
      </c>
      <c r="J66" s="144" t="e">
        <f t="shared" si="166"/>
        <v>#DIV/0!</v>
      </c>
      <c r="K66" s="144" t="e">
        <f t="shared" si="166"/>
        <v>#DIV/0!</v>
      </c>
      <c r="L66" s="144">
        <f t="shared" si="166"/>
        <v>0</v>
      </c>
      <c r="M66" s="144">
        <f t="shared" si="166"/>
        <v>0</v>
      </c>
      <c r="N66" s="144">
        <f t="shared" si="166"/>
        <v>0</v>
      </c>
      <c r="O66" s="144">
        <f t="shared" si="166"/>
        <v>0</v>
      </c>
      <c r="P66" s="144">
        <f t="shared" si="166"/>
        <v>0</v>
      </c>
      <c r="Q66" s="118" t="e">
        <f>((P66/G66)^(1/($H$2-$H$1) ))-1</f>
        <v>#DIV/0!</v>
      </c>
      <c r="R66" s="128"/>
      <c r="S66" s="146">
        <f t="shared" ref="S66:AB66" si="167">S21/S36</f>
        <v>0</v>
      </c>
      <c r="T66" s="146">
        <f t="shared" si="167"/>
        <v>0</v>
      </c>
      <c r="U66" s="146">
        <f t="shared" si="167"/>
        <v>0</v>
      </c>
      <c r="V66" s="146">
        <f t="shared" si="167"/>
        <v>0</v>
      </c>
      <c r="W66" s="146">
        <f t="shared" si="167"/>
        <v>0</v>
      </c>
      <c r="X66" s="146">
        <f t="shared" si="167"/>
        <v>0</v>
      </c>
      <c r="Y66" s="146">
        <f t="shared" si="167"/>
        <v>0</v>
      </c>
      <c r="Z66" s="146">
        <f t="shared" si="167"/>
        <v>0</v>
      </c>
      <c r="AA66" s="146">
        <f t="shared" si="167"/>
        <v>0</v>
      </c>
      <c r="AB66" s="146">
        <f t="shared" si="167"/>
        <v>0</v>
      </c>
      <c r="AC66" s="138" t="e">
        <f t="shared" si="157"/>
        <v>#DIV/0!</v>
      </c>
      <c r="AD66" s="31">
        <v>0.08</v>
      </c>
      <c r="AE66" s="146" t="e">
        <f>(AB66*(1+AC66))/($C$1-AD66)</f>
        <v>#DIV/0!</v>
      </c>
    </row>
    <row r="67" spans="2:31">
      <c r="B67" s="20" t="s">
        <v>297</v>
      </c>
      <c r="C67" s="127">
        <f t="shared" ref="C67:P67" si="168">C22/C36</f>
        <v>0</v>
      </c>
      <c r="D67" s="127">
        <f t="shared" si="168"/>
        <v>0</v>
      </c>
      <c r="E67" s="127">
        <f t="shared" si="168"/>
        <v>0</v>
      </c>
      <c r="F67" s="144" t="e">
        <f t="shared" si="168"/>
        <v>#DIV/0!</v>
      </c>
      <c r="G67" s="144" t="e">
        <f t="shared" si="168"/>
        <v>#DIV/0!</v>
      </c>
      <c r="H67" s="144" t="e">
        <f t="shared" si="168"/>
        <v>#DIV/0!</v>
      </c>
      <c r="I67" s="144" t="e">
        <f t="shared" si="168"/>
        <v>#DIV/0!</v>
      </c>
      <c r="J67" s="144" t="e">
        <f t="shared" si="168"/>
        <v>#DIV/0!</v>
      </c>
      <c r="K67" s="144" t="e">
        <f t="shared" si="168"/>
        <v>#DIV/0!</v>
      </c>
      <c r="L67" s="144">
        <f t="shared" si="168"/>
        <v>0</v>
      </c>
      <c r="M67" s="144">
        <f t="shared" si="168"/>
        <v>0</v>
      </c>
      <c r="N67" s="144">
        <f t="shared" si="168"/>
        <v>0</v>
      </c>
      <c r="O67" s="144">
        <f t="shared" si="168"/>
        <v>0</v>
      </c>
      <c r="P67" s="144">
        <f t="shared" si="168"/>
        <v>0</v>
      </c>
      <c r="Q67" s="118" t="e">
        <f>((P67/G67)^(1/($H$2-$H$1) ))-1</f>
        <v>#DIV/0!</v>
      </c>
      <c r="R67" s="128"/>
      <c r="S67" s="146">
        <f t="shared" ref="S67:AB67" si="169">S22/S36</f>
        <v>0</v>
      </c>
      <c r="T67" s="146">
        <f t="shared" si="169"/>
        <v>0</v>
      </c>
      <c r="U67" s="146">
        <f t="shared" si="169"/>
        <v>0</v>
      </c>
      <c r="V67" s="146">
        <f t="shared" si="169"/>
        <v>0</v>
      </c>
      <c r="W67" s="146">
        <f t="shared" si="169"/>
        <v>0</v>
      </c>
      <c r="X67" s="146">
        <f t="shared" si="169"/>
        <v>0</v>
      </c>
      <c r="Y67" s="146">
        <f t="shared" si="169"/>
        <v>0</v>
      </c>
      <c r="Z67" s="146">
        <f t="shared" si="169"/>
        <v>0</v>
      </c>
      <c r="AA67" s="146">
        <f t="shared" si="169"/>
        <v>0</v>
      </c>
      <c r="AB67" s="146">
        <f t="shared" si="169"/>
        <v>0</v>
      </c>
      <c r="AC67" s="138" t="e">
        <f t="shared" ref="AC67" si="170">((AB67/G67)^(1/($AB$3-$H$1) ))-1</f>
        <v>#DIV/0!</v>
      </c>
      <c r="AD67" s="31">
        <v>0.08</v>
      </c>
      <c r="AE67" s="146" t="e">
        <f>(AB67*(1+AC67))/($C$1-AD67)</f>
        <v>#DIV/0!</v>
      </c>
    </row>
    <row r="68" spans="2:31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155"/>
    </row>
    <row r="69" spans="2:31">
      <c r="B69" s="20" t="s">
        <v>316</v>
      </c>
      <c r="C69" s="144">
        <f t="shared" ref="C69:O69" si="171">C32/C36</f>
        <v>0</v>
      </c>
      <c r="D69" s="144">
        <f t="shared" si="171"/>
        <v>0</v>
      </c>
      <c r="E69" s="144">
        <f t="shared" si="171"/>
        <v>0</v>
      </c>
      <c r="F69" s="144" t="e">
        <f t="shared" si="171"/>
        <v>#DIV/0!</v>
      </c>
      <c r="G69" s="144" t="e">
        <f t="shared" si="171"/>
        <v>#DIV/0!</v>
      </c>
      <c r="H69" s="144" t="e">
        <f t="shared" si="171"/>
        <v>#DIV/0!</v>
      </c>
      <c r="I69" s="144" t="e">
        <f t="shared" si="171"/>
        <v>#DIV/0!</v>
      </c>
      <c r="J69" s="144" t="e">
        <f t="shared" si="171"/>
        <v>#DIV/0!</v>
      </c>
      <c r="K69" s="144" t="e">
        <f t="shared" si="171"/>
        <v>#DIV/0!</v>
      </c>
      <c r="L69" s="144">
        <f t="shared" si="171"/>
        <v>-2.7145881969705195E-2</v>
      </c>
      <c r="M69" s="144">
        <f t="shared" si="171"/>
        <v>1.1146788990825689</v>
      </c>
      <c r="N69" s="144">
        <f t="shared" si="171"/>
        <v>5.5963302752293576</v>
      </c>
      <c r="O69" s="144">
        <f t="shared" si="171"/>
        <v>6.0779816513761471</v>
      </c>
      <c r="P69" s="144">
        <f>P32/P36</f>
        <v>4.0096152881912293</v>
      </c>
      <c r="Q69" s="118" t="e">
        <f>((P69/G69)^(1/($H$2-$H$1) ))-1</f>
        <v>#DIV/0!</v>
      </c>
      <c r="R69" s="128"/>
      <c r="S69" s="144">
        <f>S32/S36</f>
        <v>4.4105768170103525</v>
      </c>
      <c r="T69" s="144">
        <f t="shared" ref="T69:AB69" si="172">T32/T36</f>
        <v>4.8516344987113893</v>
      </c>
      <c r="U69" s="144">
        <f t="shared" si="172"/>
        <v>5.3367979485825279</v>
      </c>
      <c r="V69" s="144">
        <f t="shared" si="172"/>
        <v>5.8704777434407811</v>
      </c>
      <c r="W69" s="144">
        <f t="shared" si="172"/>
        <v>6.4575255177848598</v>
      </c>
      <c r="X69" s="144">
        <f t="shared" si="172"/>
        <v>7.1032780695633466</v>
      </c>
      <c r="Y69" s="144">
        <f t="shared" si="172"/>
        <v>7.8136058765196825</v>
      </c>
      <c r="Z69" s="144">
        <f t="shared" si="172"/>
        <v>8.5949664641716517</v>
      </c>
      <c r="AA69" s="144">
        <f t="shared" si="172"/>
        <v>9.4544631105888186</v>
      </c>
      <c r="AB69" s="144">
        <f t="shared" si="172"/>
        <v>10.399909421647701</v>
      </c>
      <c r="AC69" s="138" t="e">
        <f t="shared" ref="AC69:AC71" si="173">((AB69/G69)^(1/($AB$3-$H$1) ))-1</f>
        <v>#DIV/0!</v>
      </c>
      <c r="AD69" s="31">
        <v>0.08</v>
      </c>
      <c r="AE69" s="146" t="e">
        <f>(AB69*(1+AC69))/($C$1-AD69)</f>
        <v>#DIV/0!</v>
      </c>
    </row>
    <row r="70" spans="2:31">
      <c r="B70" s="20" t="s">
        <v>317</v>
      </c>
      <c r="C70" s="144">
        <f t="shared" ref="C70:O70" si="174">C34/C36</f>
        <v>0</v>
      </c>
      <c r="D70" s="144">
        <f t="shared" si="174"/>
        <v>0</v>
      </c>
      <c r="E70" s="144">
        <f t="shared" si="174"/>
        <v>0</v>
      </c>
      <c r="F70" s="144" t="e">
        <f t="shared" si="174"/>
        <v>#DIV/0!</v>
      </c>
      <c r="G70" s="144" t="e">
        <f t="shared" si="174"/>
        <v>#DIV/0!</v>
      </c>
      <c r="H70" s="144" t="e">
        <f t="shared" si="174"/>
        <v>#DIV/0!</v>
      </c>
      <c r="I70" s="144" t="e">
        <f t="shared" si="174"/>
        <v>#DIV/0!</v>
      </c>
      <c r="J70" s="144" t="e">
        <f t="shared" si="174"/>
        <v>#DIV/0!</v>
      </c>
      <c r="K70" s="144" t="e">
        <f t="shared" si="174"/>
        <v>#DIV/0!</v>
      </c>
      <c r="L70" s="144">
        <f t="shared" si="174"/>
        <v>-2.8448884304251045E-2</v>
      </c>
      <c r="M70" s="144">
        <f t="shared" si="174"/>
        <v>0.77981651376146788</v>
      </c>
      <c r="N70" s="144">
        <f t="shared" si="174"/>
        <v>2.3577981651376145</v>
      </c>
      <c r="O70" s="144">
        <f t="shared" si="174"/>
        <v>-1.3509174311926606</v>
      </c>
      <c r="P70" s="144">
        <f>P34/P36</f>
        <v>-9.5893822348650719</v>
      </c>
      <c r="Q70" s="118" t="e">
        <f>((P70/G70)^(1/($H$2-$H$1) ))-1</f>
        <v>#DIV/0!</v>
      </c>
      <c r="R70" s="128"/>
      <c r="S70" s="144">
        <f>S34/S36</f>
        <v>-10.548320458351579</v>
      </c>
      <c r="T70" s="144">
        <f t="shared" ref="T70:AB70" si="175">T34/T36</f>
        <v>-11.603152504186738</v>
      </c>
      <c r="U70" s="144">
        <f t="shared" si="175"/>
        <v>-12.763467754605411</v>
      </c>
      <c r="V70" s="144">
        <f t="shared" si="175"/>
        <v>-14.039814530065955</v>
      </c>
      <c r="W70" s="144">
        <f t="shared" si="175"/>
        <v>-15.443795983072551</v>
      </c>
      <c r="X70" s="144">
        <f t="shared" si="175"/>
        <v>-16.988175581379807</v>
      </c>
      <c r="Y70" s="144">
        <f t="shared" si="175"/>
        <v>-18.686993139517792</v>
      </c>
      <c r="Z70" s="144">
        <f t="shared" si="175"/>
        <v>-20.555692453469572</v>
      </c>
      <c r="AA70" s="144">
        <f t="shared" si="175"/>
        <v>-22.611261698816531</v>
      </c>
      <c r="AB70" s="144">
        <f t="shared" si="175"/>
        <v>-24.872387868698183</v>
      </c>
      <c r="AC70" s="138" t="e">
        <f t="shared" si="173"/>
        <v>#DIV/0!</v>
      </c>
      <c r="AD70" s="31">
        <v>0.08</v>
      </c>
      <c r="AE70" s="146" t="e">
        <f>(AB70*(1+AC70))/($C$1-AD70)</f>
        <v>#DIV/0!</v>
      </c>
    </row>
    <row r="71" spans="2:31">
      <c r="B71" s="20" t="s">
        <v>318</v>
      </c>
      <c r="C71" s="144">
        <f t="shared" ref="C71:O71" si="176">C6/C36</f>
        <v>0</v>
      </c>
      <c r="D71" s="144">
        <f t="shared" si="176"/>
        <v>0</v>
      </c>
      <c r="E71" s="144">
        <f t="shared" si="176"/>
        <v>0</v>
      </c>
      <c r="F71" s="144" t="e">
        <f t="shared" si="176"/>
        <v>#DIV/0!</v>
      </c>
      <c r="G71" s="144" t="e">
        <f t="shared" si="176"/>
        <v>#DIV/0!</v>
      </c>
      <c r="H71" s="144" t="e">
        <f t="shared" si="176"/>
        <v>#DIV/0!</v>
      </c>
      <c r="I71" s="144" t="e">
        <f t="shared" si="176"/>
        <v>#DIV/0!</v>
      </c>
      <c r="J71" s="144" t="e">
        <f t="shared" si="176"/>
        <v>#DIV/0!</v>
      </c>
      <c r="K71" s="144" t="e">
        <f t="shared" si="176"/>
        <v>#DIV/0!</v>
      </c>
      <c r="L71" s="144">
        <f t="shared" si="176"/>
        <v>2.4268418480916445</v>
      </c>
      <c r="M71" s="144">
        <f t="shared" si="176"/>
        <v>16.504587155963304</v>
      </c>
      <c r="N71" s="144">
        <f t="shared" si="176"/>
        <v>18.839449541284402</v>
      </c>
      <c r="O71" s="144">
        <f t="shared" si="176"/>
        <v>17.711009174311926</v>
      </c>
      <c r="P71" s="144">
        <f>P6/P36</f>
        <v>7.9389221116530004</v>
      </c>
      <c r="Q71" s="118" t="e">
        <f>((P71/G71)^(1/($H$2-$H$1) ))-1</f>
        <v>#DIV/0!</v>
      </c>
      <c r="R71" s="128"/>
      <c r="S71" s="144">
        <f>S6/S36</f>
        <v>8.7328143228183013</v>
      </c>
      <c r="T71" s="144">
        <f t="shared" ref="T71:AB71" si="177">T6/T36</f>
        <v>9.6060957551001298</v>
      </c>
      <c r="U71" s="144">
        <f t="shared" si="177"/>
        <v>10.566705330610144</v>
      </c>
      <c r="V71" s="144">
        <f t="shared" si="177"/>
        <v>11.623375863671159</v>
      </c>
      <c r="W71" s="144">
        <f t="shared" si="177"/>
        <v>12.785713450038276</v>
      </c>
      <c r="X71" s="144">
        <f t="shared" si="177"/>
        <v>14.064284795042104</v>
      </c>
      <c r="Y71" s="144">
        <f t="shared" si="177"/>
        <v>15.470713274546316</v>
      </c>
      <c r="Z71" s="144">
        <f t="shared" si="177"/>
        <v>17.017784602000948</v>
      </c>
      <c r="AA71" s="144">
        <f t="shared" si="177"/>
        <v>18.719563062201047</v>
      </c>
      <c r="AB71" s="144">
        <f t="shared" si="177"/>
        <v>20.591519368421153</v>
      </c>
      <c r="AC71" s="138" t="e">
        <f t="shared" si="173"/>
        <v>#DIV/0!</v>
      </c>
      <c r="AD71" s="31">
        <v>0.08</v>
      </c>
      <c r="AE71" s="146" t="e">
        <f>(AB71*(1+AC71))/($C$1-AD71)</f>
        <v>#DIV/0!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20"/>
      <c r="AE72" s="155"/>
    </row>
    <row r="73" spans="2:31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>
      <c r="B74" s="108" t="s">
        <v>315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>
      <c r="B75" s="20" t="s">
        <v>313</v>
      </c>
      <c r="C75" s="153" t="e">
        <f t="shared" ref="C75:O75" si="178">C32/C24</f>
        <v>#DIV/0!</v>
      </c>
      <c r="D75" s="153" t="e">
        <f t="shared" si="178"/>
        <v>#DIV/0!</v>
      </c>
      <c r="E75" s="153" t="e">
        <f t="shared" si="178"/>
        <v>#DIV/0!</v>
      </c>
      <c r="F75" s="153" t="e">
        <f t="shared" si="178"/>
        <v>#DIV/0!</v>
      </c>
      <c r="G75" s="153" t="e">
        <f t="shared" si="178"/>
        <v>#DIV/0!</v>
      </c>
      <c r="H75" s="153" t="e">
        <f t="shared" si="178"/>
        <v>#DIV/0!</v>
      </c>
      <c r="I75" s="153" t="e">
        <f t="shared" si="178"/>
        <v>#DIV/0!</v>
      </c>
      <c r="J75" s="153" t="e">
        <f t="shared" si="178"/>
        <v>#DIV/0!</v>
      </c>
      <c r="K75" s="153" t="e">
        <f t="shared" si="178"/>
        <v>#DIV/0!</v>
      </c>
      <c r="L75" s="153" t="e">
        <f t="shared" si="178"/>
        <v>#DIV/0!</v>
      </c>
      <c r="M75" s="153">
        <f t="shared" si="178"/>
        <v>0.52034261241970026</v>
      </c>
      <c r="N75" s="153">
        <f t="shared" si="178"/>
        <v>0.56665118439386897</v>
      </c>
      <c r="O75" s="153">
        <f t="shared" si="178"/>
        <v>0.32380254154447702</v>
      </c>
      <c r="P75" s="153">
        <f>P32/P24</f>
        <v>0.13720474692593651</v>
      </c>
      <c r="Q75" s="118" t="e">
        <f>((P75/G75)^(1/($H$2-$H$1) ))-1</f>
        <v>#DIV/0!</v>
      </c>
      <c r="R75" s="153"/>
      <c r="S75" s="153">
        <f>S32/S24</f>
        <v>0.13720474692593654</v>
      </c>
      <c r="T75" s="153">
        <f t="shared" ref="T75:AB75" si="179">T32/T24</f>
        <v>0.13720474692593654</v>
      </c>
      <c r="U75" s="153">
        <f t="shared" si="179"/>
        <v>0.13720474692593651</v>
      </c>
      <c r="V75" s="153">
        <f t="shared" si="179"/>
        <v>0.13720474692593651</v>
      </c>
      <c r="W75" s="153">
        <f t="shared" si="179"/>
        <v>0.13720474692593654</v>
      </c>
      <c r="X75" s="153">
        <f t="shared" si="179"/>
        <v>0.13720474692593654</v>
      </c>
      <c r="Y75" s="153">
        <f t="shared" si="179"/>
        <v>0.13720474692593654</v>
      </c>
      <c r="Z75" s="153">
        <f t="shared" si="179"/>
        <v>0.13720474692593657</v>
      </c>
      <c r="AA75" s="153">
        <f t="shared" si="179"/>
        <v>0.13720474692593657</v>
      </c>
      <c r="AB75" s="153">
        <f t="shared" si="179"/>
        <v>0.13720474692593654</v>
      </c>
      <c r="AC75" s="138" t="e">
        <f t="shared" ref="AC75:AC77" si="180">((AB75/G75)^(1/($AB$3-$H$1) ))-1</f>
        <v>#DIV/0!</v>
      </c>
      <c r="AD75" s="146"/>
      <c r="AE75" s="146"/>
    </row>
    <row r="76" spans="2:31">
      <c r="B76" s="20" t="s">
        <v>267</v>
      </c>
      <c r="C76" s="153" t="e">
        <f t="shared" ref="C76:O76" si="181">C34/C24</f>
        <v>#DIV/0!</v>
      </c>
      <c r="D76" s="153" t="e">
        <f t="shared" si="181"/>
        <v>#DIV/0!</v>
      </c>
      <c r="E76" s="153" t="e">
        <f t="shared" si="181"/>
        <v>#DIV/0!</v>
      </c>
      <c r="F76" s="153" t="e">
        <f t="shared" si="181"/>
        <v>#DIV/0!</v>
      </c>
      <c r="G76" s="153" t="e">
        <f t="shared" si="181"/>
        <v>#DIV/0!</v>
      </c>
      <c r="H76" s="153" t="e">
        <f t="shared" si="181"/>
        <v>#DIV/0!</v>
      </c>
      <c r="I76" s="153" t="e">
        <f t="shared" si="181"/>
        <v>#DIV/0!</v>
      </c>
      <c r="J76" s="153" t="e">
        <f t="shared" si="181"/>
        <v>#DIV/0!</v>
      </c>
      <c r="K76" s="153" t="e">
        <f t="shared" si="181"/>
        <v>#DIV/0!</v>
      </c>
      <c r="L76" s="153" t="e">
        <f t="shared" si="181"/>
        <v>#DIV/0!</v>
      </c>
      <c r="M76" s="153">
        <f t="shared" si="181"/>
        <v>0.36402569593147749</v>
      </c>
      <c r="N76" s="153">
        <f t="shared" si="181"/>
        <v>0.23873664653971202</v>
      </c>
      <c r="O76" s="153">
        <f t="shared" si="181"/>
        <v>-7.1969696969696975E-2</v>
      </c>
      <c r="P76" s="153">
        <f>P34/P24</f>
        <v>-0.32813840434658281</v>
      </c>
      <c r="Q76" s="118" t="e">
        <f>((P76/G76)^(1/($H$2-$H$1) ))-1</f>
        <v>#DIV/0!</v>
      </c>
      <c r="R76" s="153"/>
      <c r="S76" s="153">
        <f>S34/S24</f>
        <v>-0.32813840434658276</v>
      </c>
      <c r="T76" s="153">
        <f t="shared" ref="T76:AB76" si="182">T34/T24</f>
        <v>-0.32813840434658276</v>
      </c>
      <c r="U76" s="153">
        <f t="shared" si="182"/>
        <v>-0.32813840434658276</v>
      </c>
      <c r="V76" s="153">
        <f t="shared" si="182"/>
        <v>-0.32813840434658276</v>
      </c>
      <c r="W76" s="153">
        <f t="shared" si="182"/>
        <v>-0.32813840434658276</v>
      </c>
      <c r="X76" s="153">
        <f t="shared" si="182"/>
        <v>-0.32813840434658276</v>
      </c>
      <c r="Y76" s="153">
        <f t="shared" si="182"/>
        <v>-0.32813840434658276</v>
      </c>
      <c r="Z76" s="153">
        <f t="shared" si="182"/>
        <v>-0.32813840434658281</v>
      </c>
      <c r="AA76" s="153">
        <f t="shared" si="182"/>
        <v>-0.32813840434658276</v>
      </c>
      <c r="AB76" s="153">
        <f t="shared" si="182"/>
        <v>-0.3281384043465827</v>
      </c>
      <c r="AC76" s="138" t="e">
        <f t="shared" si="180"/>
        <v>#DIV/0!</v>
      </c>
      <c r="AD76" s="146"/>
      <c r="AE76" s="146"/>
    </row>
    <row r="77" spans="2:31">
      <c r="B77" s="20" t="s">
        <v>314</v>
      </c>
      <c r="C77" s="153" t="e">
        <f t="shared" ref="C77:O77" si="183">C34/C7</f>
        <v>#DIV/0!</v>
      </c>
      <c r="D77" s="153" t="e">
        <f t="shared" si="183"/>
        <v>#DIV/0!</v>
      </c>
      <c r="E77" s="153" t="e">
        <f t="shared" si="183"/>
        <v>#DIV/0!</v>
      </c>
      <c r="F77" s="153" t="e">
        <f t="shared" si="183"/>
        <v>#DIV/0!</v>
      </c>
      <c r="G77" s="153">
        <f t="shared" si="183"/>
        <v>0</v>
      </c>
      <c r="H77" s="153">
        <f t="shared" si="183"/>
        <v>0</v>
      </c>
      <c r="I77" s="153">
        <f t="shared" si="183"/>
        <v>0</v>
      </c>
      <c r="J77" s="153">
        <f t="shared" si="183"/>
        <v>0</v>
      </c>
      <c r="K77" s="153" t="e">
        <f t="shared" si="183"/>
        <v>#DIV/0!</v>
      </c>
      <c r="L77" s="153">
        <f t="shared" si="183"/>
        <v>-2.2902097902097905E-3</v>
      </c>
      <c r="M77" s="153">
        <f t="shared" si="183"/>
        <v>2.9421945309795777E-2</v>
      </c>
      <c r="N77" s="153">
        <f t="shared" si="183"/>
        <v>8.1756004453634484E-2</v>
      </c>
      <c r="O77" s="153">
        <f t="shared" si="183"/>
        <v>-4.8750206919384205E-2</v>
      </c>
      <c r="P77" s="153">
        <f>P34/P7</f>
        <v>-0.53459119496855345</v>
      </c>
      <c r="Q77" s="118" t="e">
        <f>((P77/G77)^(1/($H$2-$H$1) ))-1</f>
        <v>#DIV/0!</v>
      </c>
      <c r="R77" s="20"/>
      <c r="S77" s="153">
        <f>S34/S7</f>
        <v>-0.53459119496855345</v>
      </c>
      <c r="T77" s="153">
        <f t="shared" ref="T77:AB77" si="184">T34/T7</f>
        <v>-0.53459119496855345</v>
      </c>
      <c r="U77" s="153">
        <f t="shared" si="184"/>
        <v>-0.53459119496855345</v>
      </c>
      <c r="V77" s="153">
        <f t="shared" si="184"/>
        <v>-0.53459119496855345</v>
      </c>
      <c r="W77" s="153">
        <f t="shared" si="184"/>
        <v>-0.53459119496855345</v>
      </c>
      <c r="X77" s="153">
        <f t="shared" si="184"/>
        <v>-0.53459119496855345</v>
      </c>
      <c r="Y77" s="153">
        <f t="shared" si="184"/>
        <v>-0.53459119496855345</v>
      </c>
      <c r="Z77" s="153">
        <f t="shared" si="184"/>
        <v>-0.53459119496855345</v>
      </c>
      <c r="AA77" s="153">
        <f t="shared" si="184"/>
        <v>-0.53459119496855345</v>
      </c>
      <c r="AB77" s="153">
        <f t="shared" si="184"/>
        <v>-0.53459119496855345</v>
      </c>
      <c r="AC77" s="138" t="e">
        <f t="shared" si="180"/>
        <v>#DIV/0!</v>
      </c>
      <c r="AD77" s="146"/>
      <c r="AE77" s="146"/>
    </row>
    <row r="78" spans="2:31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20"/>
    </row>
    <row r="80" spans="2:31">
      <c r="B80" s="108" t="s">
        <v>83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28"/>
      <c r="R80" s="128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39"/>
      <c r="AD80" s="20"/>
      <c r="AE80" s="20"/>
    </row>
    <row r="81" spans="2:31">
      <c r="B81" s="20" t="s">
        <v>82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18" t="e">
        <f>((P81/G81)^(1/($H$2-$H$1) ))-1</f>
        <v>#DIV/0!</v>
      </c>
      <c r="R81" s="31">
        <v>0.1</v>
      </c>
      <c r="S81" s="119">
        <f t="shared" ref="S81:S87" si="185">P81*(1+$R81)</f>
        <v>0</v>
      </c>
      <c r="T81" s="119">
        <f t="shared" ref="T81:AB87" si="186">S81*(1+$R81)</f>
        <v>0</v>
      </c>
      <c r="U81" s="119">
        <f t="shared" si="186"/>
        <v>0</v>
      </c>
      <c r="V81" s="119">
        <f t="shared" si="186"/>
        <v>0</v>
      </c>
      <c r="W81" s="119">
        <f t="shared" si="186"/>
        <v>0</v>
      </c>
      <c r="X81" s="119">
        <f t="shared" si="186"/>
        <v>0</v>
      </c>
      <c r="Y81" s="119">
        <f t="shared" si="186"/>
        <v>0</v>
      </c>
      <c r="Z81" s="119">
        <f t="shared" si="186"/>
        <v>0</v>
      </c>
      <c r="AA81" s="119">
        <f t="shared" si="186"/>
        <v>0</v>
      </c>
      <c r="AB81" s="119">
        <f t="shared" si="186"/>
        <v>0</v>
      </c>
      <c r="AC81" s="138" t="e">
        <f t="shared" ref="AC81:AC87" si="187">((AB81/G81)^(1/($AB$3-$H$1) ))-1</f>
        <v>#DIV/0!</v>
      </c>
      <c r="AD81" s="31">
        <v>0.08</v>
      </c>
      <c r="AE81" s="127" t="e">
        <f t="shared" ref="AE81:AE87" si="188">(AB81*(1+AC81))/($C$1-AD81)</f>
        <v>#DIV/0!</v>
      </c>
    </row>
    <row r="82" spans="2:31">
      <c r="B82" s="20" t="s">
        <v>84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18" t="e">
        <f t="shared" ref="Q82:Q87" si="189">((P82/G82)^(1/($H$2-$H$1) ))-1</f>
        <v>#DIV/0!</v>
      </c>
      <c r="R82" s="31">
        <v>0.1</v>
      </c>
      <c r="S82" s="119">
        <f t="shared" si="185"/>
        <v>0</v>
      </c>
      <c r="T82" s="119">
        <f t="shared" si="186"/>
        <v>0</v>
      </c>
      <c r="U82" s="119">
        <f t="shared" si="186"/>
        <v>0</v>
      </c>
      <c r="V82" s="119">
        <f t="shared" si="186"/>
        <v>0</v>
      </c>
      <c r="W82" s="119">
        <f t="shared" si="186"/>
        <v>0</v>
      </c>
      <c r="X82" s="119">
        <f t="shared" si="186"/>
        <v>0</v>
      </c>
      <c r="Y82" s="119">
        <f t="shared" si="186"/>
        <v>0</v>
      </c>
      <c r="Z82" s="119">
        <f t="shared" si="186"/>
        <v>0</v>
      </c>
      <c r="AA82" s="119">
        <f t="shared" si="186"/>
        <v>0</v>
      </c>
      <c r="AB82" s="119">
        <f t="shared" si="186"/>
        <v>0</v>
      </c>
      <c r="AC82" s="138" t="e">
        <f t="shared" si="187"/>
        <v>#DIV/0!</v>
      </c>
      <c r="AD82" s="31">
        <v>0.08</v>
      </c>
      <c r="AE82" s="127" t="e">
        <f t="shared" si="188"/>
        <v>#DIV/0!</v>
      </c>
    </row>
    <row r="83" spans="2:31">
      <c r="B83" s="20" t="s">
        <v>85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18" t="e">
        <f t="shared" si="189"/>
        <v>#DIV/0!</v>
      </c>
      <c r="R83" s="31">
        <v>0.1</v>
      </c>
      <c r="S83" s="119">
        <f t="shared" si="185"/>
        <v>0</v>
      </c>
      <c r="T83" s="119">
        <f t="shared" si="186"/>
        <v>0</v>
      </c>
      <c r="U83" s="119">
        <f t="shared" si="186"/>
        <v>0</v>
      </c>
      <c r="V83" s="119">
        <f t="shared" si="186"/>
        <v>0</v>
      </c>
      <c r="W83" s="119">
        <f t="shared" si="186"/>
        <v>0</v>
      </c>
      <c r="X83" s="119">
        <f t="shared" si="186"/>
        <v>0</v>
      </c>
      <c r="Y83" s="119">
        <f t="shared" si="186"/>
        <v>0</v>
      </c>
      <c r="Z83" s="119">
        <f t="shared" si="186"/>
        <v>0</v>
      </c>
      <c r="AA83" s="119">
        <f t="shared" si="186"/>
        <v>0</v>
      </c>
      <c r="AB83" s="119">
        <f t="shared" si="186"/>
        <v>0</v>
      </c>
      <c r="AC83" s="138" t="e">
        <f t="shared" si="187"/>
        <v>#DIV/0!</v>
      </c>
      <c r="AD83" s="31">
        <v>0.08</v>
      </c>
      <c r="AE83" s="127" t="e">
        <f t="shared" si="188"/>
        <v>#DIV/0!</v>
      </c>
    </row>
    <row r="84" spans="2:31">
      <c r="B84" s="20" t="s">
        <v>81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18" t="e">
        <f t="shared" si="189"/>
        <v>#DIV/0!</v>
      </c>
      <c r="R84" s="31">
        <v>0.1</v>
      </c>
      <c r="S84" s="119">
        <f t="shared" si="185"/>
        <v>0</v>
      </c>
      <c r="T84" s="119">
        <f t="shared" si="186"/>
        <v>0</v>
      </c>
      <c r="U84" s="119">
        <f t="shared" si="186"/>
        <v>0</v>
      </c>
      <c r="V84" s="119">
        <f t="shared" si="186"/>
        <v>0</v>
      </c>
      <c r="W84" s="119">
        <f t="shared" si="186"/>
        <v>0</v>
      </c>
      <c r="X84" s="119">
        <f t="shared" si="186"/>
        <v>0</v>
      </c>
      <c r="Y84" s="119">
        <f t="shared" si="186"/>
        <v>0</v>
      </c>
      <c r="Z84" s="119">
        <f t="shared" si="186"/>
        <v>0</v>
      </c>
      <c r="AA84" s="119">
        <f t="shared" si="186"/>
        <v>0</v>
      </c>
      <c r="AB84" s="119">
        <f t="shared" si="186"/>
        <v>0</v>
      </c>
      <c r="AC84" s="138" t="e">
        <f t="shared" si="187"/>
        <v>#DIV/0!</v>
      </c>
      <c r="AD84" s="31">
        <v>0.08</v>
      </c>
      <c r="AE84" s="127" t="e">
        <f t="shared" si="188"/>
        <v>#DIV/0!</v>
      </c>
    </row>
    <row r="85" spans="2:31">
      <c r="B85" s="20" t="s">
        <v>78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18" t="e">
        <f t="shared" si="189"/>
        <v>#DIV/0!</v>
      </c>
      <c r="R85" s="31">
        <v>0.1</v>
      </c>
      <c r="S85" s="119">
        <f t="shared" si="185"/>
        <v>0</v>
      </c>
      <c r="T85" s="119">
        <f t="shared" si="186"/>
        <v>0</v>
      </c>
      <c r="U85" s="119">
        <f t="shared" si="186"/>
        <v>0</v>
      </c>
      <c r="V85" s="119">
        <f t="shared" si="186"/>
        <v>0</v>
      </c>
      <c r="W85" s="119">
        <f t="shared" si="186"/>
        <v>0</v>
      </c>
      <c r="X85" s="119">
        <f t="shared" si="186"/>
        <v>0</v>
      </c>
      <c r="Y85" s="119">
        <f t="shared" si="186"/>
        <v>0</v>
      </c>
      <c r="Z85" s="119">
        <f t="shared" si="186"/>
        <v>0</v>
      </c>
      <c r="AA85" s="119">
        <f t="shared" si="186"/>
        <v>0</v>
      </c>
      <c r="AB85" s="119">
        <f t="shared" si="186"/>
        <v>0</v>
      </c>
      <c r="AC85" s="138" t="e">
        <f t="shared" si="187"/>
        <v>#DIV/0!</v>
      </c>
      <c r="AD85" s="31">
        <v>0.08</v>
      </c>
      <c r="AE85" s="127" t="e">
        <f t="shared" si="188"/>
        <v>#DIV/0!</v>
      </c>
    </row>
    <row r="86" spans="2:31">
      <c r="B86" s="20" t="s">
        <v>79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118" t="e">
        <f t="shared" si="189"/>
        <v>#DIV/0!</v>
      </c>
      <c r="R86" s="31">
        <v>0.1</v>
      </c>
      <c r="S86" s="119">
        <f t="shared" si="185"/>
        <v>0</v>
      </c>
      <c r="T86" s="119">
        <f t="shared" si="186"/>
        <v>0</v>
      </c>
      <c r="U86" s="119">
        <f t="shared" si="186"/>
        <v>0</v>
      </c>
      <c r="V86" s="119">
        <f t="shared" si="186"/>
        <v>0</v>
      </c>
      <c r="W86" s="119">
        <f t="shared" si="186"/>
        <v>0</v>
      </c>
      <c r="X86" s="119">
        <f t="shared" si="186"/>
        <v>0</v>
      </c>
      <c r="Y86" s="119">
        <f t="shared" si="186"/>
        <v>0</v>
      </c>
      <c r="Z86" s="119">
        <f t="shared" si="186"/>
        <v>0</v>
      </c>
      <c r="AA86" s="119">
        <f t="shared" si="186"/>
        <v>0</v>
      </c>
      <c r="AB86" s="119">
        <f t="shared" si="186"/>
        <v>0</v>
      </c>
      <c r="AC86" s="138" t="e">
        <f t="shared" si="187"/>
        <v>#DIV/0!</v>
      </c>
      <c r="AD86" s="31">
        <v>0.08</v>
      </c>
      <c r="AE86" s="127" t="e">
        <f t="shared" si="188"/>
        <v>#DIV/0!</v>
      </c>
    </row>
    <row r="87" spans="2:31">
      <c r="B87" s="20" t="s">
        <v>80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18" t="e">
        <f t="shared" si="189"/>
        <v>#DIV/0!</v>
      </c>
      <c r="R87" s="31">
        <v>0.1</v>
      </c>
      <c r="S87" s="119">
        <f t="shared" si="185"/>
        <v>0</v>
      </c>
      <c r="T87" s="119">
        <f t="shared" si="186"/>
        <v>0</v>
      </c>
      <c r="U87" s="119">
        <f t="shared" si="186"/>
        <v>0</v>
      </c>
      <c r="V87" s="119">
        <f t="shared" si="186"/>
        <v>0</v>
      </c>
      <c r="W87" s="119">
        <f t="shared" si="186"/>
        <v>0</v>
      </c>
      <c r="X87" s="119">
        <f t="shared" si="186"/>
        <v>0</v>
      </c>
      <c r="Y87" s="119">
        <f t="shared" si="186"/>
        <v>0</v>
      </c>
      <c r="Z87" s="119">
        <f t="shared" si="186"/>
        <v>0</v>
      </c>
      <c r="AA87" s="119">
        <f t="shared" si="186"/>
        <v>0</v>
      </c>
      <c r="AB87" s="119">
        <f t="shared" si="186"/>
        <v>0</v>
      </c>
      <c r="AC87" s="138" t="e">
        <f t="shared" si="187"/>
        <v>#DIV/0!</v>
      </c>
      <c r="AD87" s="31">
        <v>0.08</v>
      </c>
      <c r="AE87" s="127" t="e">
        <f t="shared" si="188"/>
        <v>#DIV/0!</v>
      </c>
    </row>
    <row r="88" spans="2:3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>
      <c r="B90" s="108" t="s">
        <v>244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3"/>
      <c r="R90" s="23"/>
      <c r="S90" s="122" t="s">
        <v>66</v>
      </c>
      <c r="T90" s="20"/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>
      <c r="B91" s="23" t="s">
        <v>281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5" t="e">
        <f>AVERAGE(G44:P45)</f>
        <v>#DIV/0!</v>
      </c>
      <c r="Q91" s="23"/>
      <c r="R91" s="23"/>
      <c r="S91" s="134"/>
      <c r="T91" s="2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>
      <c r="B92" s="20" t="s">
        <v>25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 t="e">
        <f>S92+T92</f>
        <v>#DIV/0!</v>
      </c>
      <c r="S92" s="133">
        <f>PV($C$1, ($AB$3-$S$3), 0, -AB44)</f>
        <v>-4.1541196912033618</v>
      </c>
      <c r="T92" s="133" t="e">
        <f>PV($C$1, ($AB$3-$S$3), 0, -AE44)</f>
        <v>#DIV/0!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>
      <c r="B93" s="20" t="s">
        <v>273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 t="e">
        <f t="shared" ref="R93:R111" si="190">S93+T93</f>
        <v>#DIV/0!</v>
      </c>
      <c r="S93" s="133">
        <f>PV($C$1, ($AB$3-$S$3), 0, -AB45)</f>
        <v>7.7706474223686399</v>
      </c>
      <c r="T93" s="133" t="e">
        <f>PV($C$1, ($AB$3-$S$3), 0, -AE45)</f>
        <v>#DIV/0!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>
      <c r="B94" s="20" t="s">
        <v>274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 t="e">
        <f t="shared" si="190"/>
        <v>#DIV/0!</v>
      </c>
      <c r="S94" s="133">
        <f>PV($C$1, ($AB$3-$S$3), 0, -AB46)</f>
        <v>3.4391404850921075</v>
      </c>
      <c r="T94" s="133" t="e">
        <f>PV($C$1, ($AB$3-$S$3), 0, -AE46)</f>
        <v>#DIV/0!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>
      <c r="B95" s="20" t="s">
        <v>275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 t="e">
        <f t="shared" si="190"/>
        <v>#DIV/0!</v>
      </c>
      <c r="S95" s="133">
        <f>PV($C$1, ($AB$3-$S$3), 0, -AB47)</f>
        <v>68.062400273912331</v>
      </c>
      <c r="T95" s="133" t="e">
        <f>PV($C$1, ($AB$3-$S$3), 0, -AE47)</f>
        <v>#DIV/0!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0" t="s">
        <v>276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 t="e">
        <f t="shared" si="190"/>
        <v>#DIV/0!</v>
      </c>
      <c r="S96" s="133">
        <f>PV($C$1, ($AB$3-$S$3), 0, -AB53)</f>
        <v>3.109707028099074</v>
      </c>
      <c r="T96" s="133" t="e">
        <f>PV($C$1, ($AB$3-$S$3), 0, -AE53)</f>
        <v>#DIV/0!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 t="s">
        <v>271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 t="e">
        <f t="shared" si="190"/>
        <v>#DIV/0!</v>
      </c>
      <c r="S98" s="133">
        <f>PV($C$1, ($AB$3-$S$3), 0, -AB49)</f>
        <v>-60.291752851543691</v>
      </c>
      <c r="T98" s="133" t="e">
        <f>PV($C$1, ($AB$3-$S$3), 0, -$AE$49)</f>
        <v>#DIV/0!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0" t="s">
        <v>272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 t="e">
        <f t="shared" si="190"/>
        <v>#DIV/0!</v>
      </c>
      <c r="S99" s="133">
        <f>PV($C$1, ($AB$3-$S$3), 0, -AB50)</f>
        <v>-82.544801864029154</v>
      </c>
      <c r="T99" s="133" t="e">
        <f>PV($C$1, ($AB$3-$S$3), 0, -$AE$50)</f>
        <v>#DIV/0!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 t="s">
        <v>277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 t="e">
        <f t="shared" si="190"/>
        <v>#DIV/0!</v>
      </c>
      <c r="S100" s="133">
        <f>PV($C$1, ($AB$3-$S$3), 0, -AB51)</f>
        <v>-75.246583739875788</v>
      </c>
      <c r="T100" s="133" t="e">
        <f>PV($C$1, ($AB$3-$S$3), 0, -$AE$51)</f>
        <v>#DIV/0!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249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 t="e">
        <f t="shared" si="190"/>
        <v>#DIV/0!</v>
      </c>
      <c r="S102" s="133">
        <f>PV($C$1, ($AB$3-$S$3), 0, -AB56)</f>
        <v>7.2982181241533564</v>
      </c>
      <c r="T102" s="133" t="e">
        <f>PV($C$1, ($AB$3-$S$3), 0, -AE56)</f>
        <v>#DIV/0!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250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 t="e">
        <f t="shared" si="190"/>
        <v>#DIV/0!</v>
      </c>
      <c r="S103" s="133">
        <f>PV($C$1, ($AB$3-$S$3), 0, -AB57)</f>
        <v>-11.206167759581701</v>
      </c>
      <c r="T103" s="133" t="e">
        <f>PV($C$1, ($AB$3-$S$3), 0, -AE57)</f>
        <v>#DIV/0!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 t="s">
        <v>294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191">S105+T105</f>
        <v>11285.597780355054</v>
      </c>
      <c r="S105" s="133">
        <f>PV($C$1, ($AB$3-$S$3), 0, -AB12)</f>
        <v>744.23747585527269</v>
      </c>
      <c r="T105" s="133">
        <f>PV($C$1, ($AB$3-$S$3), 0, -AE12)</f>
        <v>10541.360304499782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295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>S106+T106</f>
        <v>47.155516716675137</v>
      </c>
      <c r="S106" s="140">
        <f>S105/P36</f>
        <v>3.109707028099074</v>
      </c>
      <c r="T106" s="140">
        <f>T105/P36</f>
        <v>44.045809688576064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40"/>
      <c r="T107" s="140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108" t="s">
        <v>298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 t="s">
        <v>283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 t="e">
        <f t="shared" ref="R109" si="192">S109+T109</f>
        <v>#DIV/0!</v>
      </c>
      <c r="S109" s="133">
        <f>PV($C$1, ($AB$3-$S$3), 0, -AB59)+PV($C$1, ($AA$3-$S$3), 0, -AB59)+PV($C$1, ($Z$3-$S$3), 0, -AB59)+PV($C$1, ($Y$3-$S$3), 0, -AB59)+PV($C$1, ($X$3-$S$3), 0, -AB59)+PV($C$1, ($W$3-$S$3), 0, -AB59)+PV($C$1, ($V$3-$S$3), 0, -AB59)+PV($C$1, ($U$3-$S$3), 0, -AB59)+PV($C$1, ($T$3-$S$3), 0, -AB59)+PV($C$1, ($S$3-$S$3), 0, -AB59)</f>
        <v>0</v>
      </c>
      <c r="T109" s="133" t="e">
        <f>PV($C$1, ($AB$3-$S$3), 0, -AE59)</f>
        <v>#DIV/0!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3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/>
      <c r="S110" s="133"/>
      <c r="T110" s="133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291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 t="e">
        <f t="shared" si="190"/>
        <v>#DIV/0!</v>
      </c>
      <c r="S111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0</v>
      </c>
      <c r="T111" s="133" t="e">
        <f>PV($C$1, ($AB$3-$S$3), 0, -AE61)</f>
        <v>#DIV/0!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/>
      <c r="S112" s="133"/>
      <c r="T112" s="133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287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 t="e">
        <f t="shared" ref="R113:R116" si="193">S113+T113</f>
        <v>#DIV/0!</v>
      </c>
      <c r="S11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13" s="133" t="e">
        <f>PV($C$1, ($AB$3-$S$3), 0, -AE63)</f>
        <v>#DIV/0!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288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 t="e">
        <f t="shared" si="193"/>
        <v>#DIV/0!</v>
      </c>
      <c r="S114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14" s="133" t="e">
        <f>PV($C$1, ($AB$3-$S$3), 0, -AE64)</f>
        <v>#DIV/0!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289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 t="e">
        <f t="shared" si="193"/>
        <v>#DIV/0!</v>
      </c>
      <c r="S11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5" s="133" t="e">
        <f>PV($C$1, ($AB$3-$S$3), 0, -AE65)</f>
        <v>#DIV/0!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20" t="s">
        <v>290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 t="e">
        <f t="shared" si="193"/>
        <v>#DIV/0!</v>
      </c>
      <c r="S116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6" s="133" t="e">
        <f>PV($C$1, ($AB$3-$S$3), 0, -AE66)</f>
        <v>#DIV/0!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33"/>
      <c r="T117" s="133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0" t="s">
        <v>299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 t="e">
        <f>S118+T118</f>
        <v>#DIV/0!</v>
      </c>
      <c r="S118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8" s="133" t="e">
        <f>PV($C$1, ($AB$3-$S$3), 0, -AE67)</f>
        <v>#DIV/0!</v>
      </c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21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108" t="s">
        <v>251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204</v>
      </c>
      <c r="C121" s="22">
        <v>14</v>
      </c>
      <c r="D121" s="22">
        <v>14</v>
      </c>
      <c r="E121" s="22">
        <v>14</v>
      </c>
      <c r="F121" s="22">
        <v>14</v>
      </c>
      <c r="G121" s="22">
        <v>14</v>
      </c>
      <c r="H121" s="22">
        <v>14250</v>
      </c>
      <c r="I121" s="22">
        <v>14</v>
      </c>
      <c r="J121" s="22">
        <v>14</v>
      </c>
      <c r="K121" s="22">
        <v>14</v>
      </c>
      <c r="L121" s="22">
        <v>14</v>
      </c>
      <c r="M121" s="22">
        <v>112</v>
      </c>
      <c r="N121" s="22">
        <v>112</v>
      </c>
      <c r="O121" s="22">
        <v>112</v>
      </c>
      <c r="P121" s="22">
        <v>117</v>
      </c>
      <c r="Q121" s="118">
        <f t="shared" ref="Q121:Q125" si="194">((P121/G121)^(1/($H$2-$H$1) ))-1</f>
        <v>0.26605003495235557</v>
      </c>
      <c r="R121" s="31">
        <v>0.1</v>
      </c>
      <c r="S121" s="119">
        <f t="shared" ref="S121" si="195">P121*(1+$R121)</f>
        <v>128.70000000000002</v>
      </c>
      <c r="T121" s="119">
        <f t="shared" ref="T121:AB121" si="196">S121*(1+$R121)</f>
        <v>141.57000000000002</v>
      </c>
      <c r="U121" s="119">
        <f t="shared" si="196"/>
        <v>155.72700000000003</v>
      </c>
      <c r="V121" s="119">
        <f t="shared" si="196"/>
        <v>171.29970000000006</v>
      </c>
      <c r="W121" s="119">
        <f t="shared" si="196"/>
        <v>188.42967000000007</v>
      </c>
      <c r="X121" s="119">
        <f t="shared" si="196"/>
        <v>207.27263700000009</v>
      </c>
      <c r="Y121" s="119">
        <f t="shared" si="196"/>
        <v>227.99990070000013</v>
      </c>
      <c r="Z121" s="119">
        <f t="shared" si="196"/>
        <v>250.79989077000016</v>
      </c>
      <c r="AA121" s="119">
        <f t="shared" si="196"/>
        <v>275.87987984700021</v>
      </c>
      <c r="AB121" s="119">
        <f t="shared" si="196"/>
        <v>303.46786783170023</v>
      </c>
      <c r="AC121" s="138">
        <f t="shared" ref="AC121:AC125" si="197">((AB121/G121)^(1/($AB$3-$H$1) ))-1</f>
        <v>0.17574998813163067</v>
      </c>
      <c r="AD121" s="31">
        <v>0.08</v>
      </c>
      <c r="AE121" s="127">
        <f t="shared" ref="AE121:AE126" si="198">(AB121*(1+AC121))/($C$1-AD121)</f>
        <v>2548.5881571532341</v>
      </c>
    </row>
    <row r="122" spans="2:31">
      <c r="B122" s="20" t="s">
        <v>42</v>
      </c>
      <c r="C122" s="25" t="e">
        <f t="shared" ref="C122:P122" si="199">C121/C44</f>
        <v>#DIV/0!</v>
      </c>
      <c r="D122" s="25" t="e">
        <f t="shared" si="199"/>
        <v>#DIV/0!</v>
      </c>
      <c r="E122" s="25" t="e">
        <f t="shared" si="199"/>
        <v>#DIV/0!</v>
      </c>
      <c r="F122" s="25" t="e">
        <f t="shared" si="199"/>
        <v>#DIV/0!</v>
      </c>
      <c r="G122" s="25" t="e">
        <f t="shared" si="199"/>
        <v>#DIV/0!</v>
      </c>
      <c r="H122" s="25" t="e">
        <f t="shared" si="199"/>
        <v>#DIV/0!</v>
      </c>
      <c r="I122" s="25" t="e">
        <f t="shared" si="199"/>
        <v>#DIV/0!</v>
      </c>
      <c r="J122" s="25" t="e">
        <f t="shared" si="199"/>
        <v>#DIV/0!</v>
      </c>
      <c r="K122" s="25" t="e">
        <f t="shared" si="199"/>
        <v>#DIV/0!</v>
      </c>
      <c r="L122" s="25">
        <f t="shared" si="199"/>
        <v>-492.11068702290078</v>
      </c>
      <c r="M122" s="25">
        <f t="shared" si="199"/>
        <v>143.62352941176471</v>
      </c>
      <c r="N122" s="25">
        <f t="shared" si="199"/>
        <v>47.501945525291831</v>
      </c>
      <c r="O122" s="25">
        <f t="shared" si="199"/>
        <v>-82.906621392190146</v>
      </c>
      <c r="P122" s="25">
        <f t="shared" si="199"/>
        <v>-12.200994509803921</v>
      </c>
      <c r="Q122" s="118" t="e">
        <f t="shared" si="194"/>
        <v>#DIV/0!</v>
      </c>
      <c r="R122" s="128"/>
      <c r="S122" s="119">
        <f t="shared" ref="S122:AB122" si="200">S121/S44</f>
        <v>-12.200994509803923</v>
      </c>
      <c r="T122" s="119">
        <f t="shared" si="200"/>
        <v>-12.200994509803921</v>
      </c>
      <c r="U122" s="119">
        <f t="shared" si="200"/>
        <v>-12.200994509803923</v>
      </c>
      <c r="V122" s="119">
        <f t="shared" si="200"/>
        <v>-12.200994509803923</v>
      </c>
      <c r="W122" s="119">
        <f t="shared" si="200"/>
        <v>-12.200994509803923</v>
      </c>
      <c r="X122" s="119">
        <f t="shared" si="200"/>
        <v>-12.200994509803923</v>
      </c>
      <c r="Y122" s="119">
        <f t="shared" si="200"/>
        <v>-12.200994509803921</v>
      </c>
      <c r="Z122" s="119">
        <f t="shared" si="200"/>
        <v>-12.200994509803921</v>
      </c>
      <c r="AA122" s="119">
        <f t="shared" si="200"/>
        <v>-12.200994509803923</v>
      </c>
      <c r="AB122" s="119">
        <f t="shared" si="200"/>
        <v>-12.200994509803923</v>
      </c>
      <c r="AC122" s="138" t="e">
        <f t="shared" si="197"/>
        <v>#DIV/0!</v>
      </c>
      <c r="AD122" s="31">
        <v>0.08</v>
      </c>
      <c r="AE122" s="127" t="e">
        <f t="shared" si="198"/>
        <v>#DIV/0!</v>
      </c>
    </row>
    <row r="123" spans="2:31">
      <c r="B123" s="20" t="s">
        <v>259</v>
      </c>
      <c r="C123" s="25" t="e">
        <f t="shared" ref="C123:P123" si="201">C121/C46</f>
        <v>#DIV/0!</v>
      </c>
      <c r="D123" s="25" t="e">
        <f t="shared" si="201"/>
        <v>#DIV/0!</v>
      </c>
      <c r="E123" s="25" t="e">
        <f t="shared" si="201"/>
        <v>#DIV/0!</v>
      </c>
      <c r="F123" s="25" t="e">
        <f t="shared" si="201"/>
        <v>#DIV/0!</v>
      </c>
      <c r="G123" s="25" t="e">
        <f t="shared" si="201"/>
        <v>#DIV/0!</v>
      </c>
      <c r="H123" s="25" t="e">
        <f t="shared" si="201"/>
        <v>#DIV/0!</v>
      </c>
      <c r="I123" s="25" t="e">
        <f t="shared" si="201"/>
        <v>#DIV/0!</v>
      </c>
      <c r="J123" s="25" t="e">
        <f t="shared" si="201"/>
        <v>#DIV/0!</v>
      </c>
      <c r="K123" s="25" t="e">
        <f t="shared" si="201"/>
        <v>#DIV/0!</v>
      </c>
      <c r="L123" s="25">
        <f t="shared" si="201"/>
        <v>5.7688143176733782</v>
      </c>
      <c r="M123" s="25">
        <f t="shared" si="201"/>
        <v>6.7859922178988326</v>
      </c>
      <c r="N123" s="25">
        <f t="shared" si="201"/>
        <v>5.9449719990260537</v>
      </c>
      <c r="O123" s="25">
        <f t="shared" si="201"/>
        <v>6.3237503237503239</v>
      </c>
      <c r="P123" s="25">
        <f t="shared" si="201"/>
        <v>14.73751705263158</v>
      </c>
      <c r="Q123" s="118" t="e">
        <f t="shared" si="194"/>
        <v>#DIV/0!</v>
      </c>
      <c r="R123" s="128"/>
      <c r="S123" s="119">
        <f t="shared" ref="S123:AB123" si="202">S121/S46</f>
        <v>14.73751705263158</v>
      </c>
      <c r="T123" s="119">
        <f t="shared" si="202"/>
        <v>14.737517052631583</v>
      </c>
      <c r="U123" s="119">
        <f t="shared" si="202"/>
        <v>14.737517052631581</v>
      </c>
      <c r="V123" s="119">
        <f t="shared" si="202"/>
        <v>14.737517052631583</v>
      </c>
      <c r="W123" s="119">
        <f t="shared" si="202"/>
        <v>14.737517052631581</v>
      </c>
      <c r="X123" s="119">
        <f t="shared" si="202"/>
        <v>14.737517052631583</v>
      </c>
      <c r="Y123" s="119">
        <f t="shared" si="202"/>
        <v>14.737517052631583</v>
      </c>
      <c r="Z123" s="119">
        <f t="shared" si="202"/>
        <v>14.737517052631585</v>
      </c>
      <c r="AA123" s="119">
        <f t="shared" si="202"/>
        <v>14.737517052631583</v>
      </c>
      <c r="AB123" s="119">
        <f t="shared" si="202"/>
        <v>14.737517052631581</v>
      </c>
      <c r="AC123" s="138" t="e">
        <f t="shared" si="197"/>
        <v>#DIV/0!</v>
      </c>
      <c r="AD123" s="31">
        <v>0.08</v>
      </c>
      <c r="AE123" s="127" t="e">
        <f t="shared" si="198"/>
        <v>#DIV/0!</v>
      </c>
    </row>
    <row r="124" spans="2:31">
      <c r="B124" s="20" t="s">
        <v>260</v>
      </c>
      <c r="C124" s="25" t="e">
        <f t="shared" ref="C124:P124" si="203">C121/C55</f>
        <v>#DIV/0!</v>
      </c>
      <c r="D124" s="25" t="e">
        <f t="shared" si="203"/>
        <v>#DIV/0!</v>
      </c>
      <c r="E124" s="25" t="e">
        <f t="shared" si="203"/>
        <v>#DIV/0!</v>
      </c>
      <c r="F124" s="25" t="e">
        <f t="shared" si="203"/>
        <v>#DIV/0!</v>
      </c>
      <c r="G124" s="25" t="e">
        <f t="shared" si="203"/>
        <v>#DIV/0!</v>
      </c>
      <c r="H124" s="25" t="e">
        <f t="shared" si="203"/>
        <v>#DIV/0!</v>
      </c>
      <c r="I124" s="25" t="e">
        <f t="shared" si="203"/>
        <v>#DIV/0!</v>
      </c>
      <c r="J124" s="25" t="e">
        <f t="shared" si="203"/>
        <v>#DIV/0!</v>
      </c>
      <c r="K124" s="25" t="e">
        <f t="shared" si="203"/>
        <v>#DIV/0!</v>
      </c>
      <c r="L124" s="25">
        <f t="shared" si="203"/>
        <v>4.6129874776386401</v>
      </c>
      <c r="M124" s="25">
        <f t="shared" si="203"/>
        <v>115.16437903872459</v>
      </c>
      <c r="N124" s="25">
        <f t="shared" si="203"/>
        <v>19.301185770750987</v>
      </c>
      <c r="O124" s="25">
        <f t="shared" si="203"/>
        <v>7.4895705521472395</v>
      </c>
      <c r="P124" s="25">
        <f t="shared" si="203"/>
        <v>16.089269752983562</v>
      </c>
      <c r="Q124" s="118" t="e">
        <f t="shared" si="194"/>
        <v>#DIV/0!</v>
      </c>
      <c r="R124" s="128"/>
      <c r="S124" s="119">
        <f t="shared" ref="S124:AB124" si="204">S121/S55</f>
        <v>16.089269752983562</v>
      </c>
      <c r="T124" s="119">
        <f t="shared" si="204"/>
        <v>16.089269752983562</v>
      </c>
      <c r="U124" s="119">
        <f t="shared" si="204"/>
        <v>16.089269752983562</v>
      </c>
      <c r="V124" s="119">
        <f t="shared" si="204"/>
        <v>16.089269752983565</v>
      </c>
      <c r="W124" s="119">
        <f t="shared" si="204"/>
        <v>16.089269752983562</v>
      </c>
      <c r="X124" s="119">
        <f t="shared" si="204"/>
        <v>16.089269752983562</v>
      </c>
      <c r="Y124" s="119">
        <f t="shared" si="204"/>
        <v>16.089269752983562</v>
      </c>
      <c r="Z124" s="119">
        <f t="shared" si="204"/>
        <v>16.089269752983562</v>
      </c>
      <c r="AA124" s="119">
        <f t="shared" si="204"/>
        <v>16.089269752983565</v>
      </c>
      <c r="AB124" s="119">
        <f t="shared" si="204"/>
        <v>16.089269752983562</v>
      </c>
      <c r="AC124" s="138" t="e">
        <f t="shared" si="197"/>
        <v>#DIV/0!</v>
      </c>
      <c r="AD124" s="31">
        <v>0.08</v>
      </c>
      <c r="AE124" s="127" t="e">
        <f t="shared" si="198"/>
        <v>#DIV/0!</v>
      </c>
    </row>
    <row r="125" spans="2:31">
      <c r="B125" s="20" t="s">
        <v>261</v>
      </c>
      <c r="C125" s="25" t="e">
        <f t="shared" ref="C125:P125" si="205">C121/C57</f>
        <v>#DIV/0!</v>
      </c>
      <c r="D125" s="25" t="e">
        <f t="shared" si="205"/>
        <v>#DIV/0!</v>
      </c>
      <c r="E125" s="25" t="e">
        <f t="shared" si="205"/>
        <v>#DIV/0!</v>
      </c>
      <c r="F125" s="25" t="e">
        <f t="shared" si="205"/>
        <v>#DIV/0!</v>
      </c>
      <c r="G125" s="25" t="e">
        <f t="shared" si="205"/>
        <v>#DIV/0!</v>
      </c>
      <c r="H125" s="25" t="e">
        <f t="shared" si="205"/>
        <v>#DIV/0!</v>
      </c>
      <c r="I125" s="25" t="e">
        <f t="shared" si="205"/>
        <v>#DIV/0!</v>
      </c>
      <c r="J125" s="25" t="e">
        <f t="shared" si="205"/>
        <v>#DIV/0!</v>
      </c>
      <c r="K125" s="25" t="e">
        <f t="shared" si="205"/>
        <v>#DIV/0!</v>
      </c>
      <c r="L125" s="25">
        <f t="shared" si="205"/>
        <v>6.2437288135593212</v>
      </c>
      <c r="M125" s="25">
        <f t="shared" si="205"/>
        <v>27.2804469273743</v>
      </c>
      <c r="N125" s="25">
        <f t="shared" si="205"/>
        <v>-22.358974358974361</v>
      </c>
      <c r="O125" s="25">
        <f t="shared" si="205"/>
        <v>9.1962335216572502</v>
      </c>
      <c r="P125" s="25">
        <f t="shared" si="205"/>
        <v>-4.5229013729607495</v>
      </c>
      <c r="Q125" s="118" t="e">
        <f t="shared" si="194"/>
        <v>#DIV/0!</v>
      </c>
      <c r="R125" s="128"/>
      <c r="S125" s="119">
        <f t="shared" ref="S125:AB125" si="206">S121/S57</f>
        <v>-4.5229013729607503</v>
      </c>
      <c r="T125" s="119">
        <f t="shared" si="206"/>
        <v>-4.5229013729607495</v>
      </c>
      <c r="U125" s="119">
        <f t="shared" si="206"/>
        <v>-4.5229013729607495</v>
      </c>
      <c r="V125" s="119">
        <f t="shared" si="206"/>
        <v>-4.5229013729607503</v>
      </c>
      <c r="W125" s="119">
        <f t="shared" si="206"/>
        <v>-4.5229013729607503</v>
      </c>
      <c r="X125" s="119">
        <f t="shared" si="206"/>
        <v>-4.5229013729607503</v>
      </c>
      <c r="Y125" s="119">
        <f t="shared" si="206"/>
        <v>-4.5229013729607512</v>
      </c>
      <c r="Z125" s="119">
        <f t="shared" si="206"/>
        <v>-4.5229013729607503</v>
      </c>
      <c r="AA125" s="119">
        <f t="shared" si="206"/>
        <v>-4.5229013729607512</v>
      </c>
      <c r="AB125" s="119">
        <f t="shared" si="206"/>
        <v>-4.5229013729607512</v>
      </c>
      <c r="AC125" s="138" t="e">
        <f t="shared" si="197"/>
        <v>#DIV/0!</v>
      </c>
      <c r="AD125" s="31">
        <v>0.08</v>
      </c>
      <c r="AE125" s="127" t="e">
        <f t="shared" si="198"/>
        <v>#DIV/0!</v>
      </c>
    </row>
    <row r="126" spans="2:31">
      <c r="B126" s="20" t="s">
        <v>282</v>
      </c>
      <c r="C126" s="25" t="e">
        <f>C122/C79</f>
        <v>#DIV/0!</v>
      </c>
      <c r="D126" s="25" t="e">
        <f>D122/D79</f>
        <v>#DIV/0!</v>
      </c>
      <c r="E126" s="25" t="e">
        <f>E122/E79</f>
        <v>#DIV/0!</v>
      </c>
      <c r="F126" s="25" t="e">
        <f>F122/F79</f>
        <v>#DIV/0!</v>
      </c>
      <c r="G126" s="25" t="e">
        <f t="shared" ref="G126:P126" si="207">G121/G51</f>
        <v>#DIV/0!</v>
      </c>
      <c r="H126" s="25" t="e">
        <f t="shared" si="207"/>
        <v>#DIV/0!</v>
      </c>
      <c r="I126" s="25" t="e">
        <f t="shared" si="207"/>
        <v>#DIV/0!</v>
      </c>
      <c r="J126" s="25" t="e">
        <f t="shared" si="207"/>
        <v>#DIV/0!</v>
      </c>
      <c r="K126" s="25" t="e">
        <f t="shared" si="207"/>
        <v>#DIV/0!</v>
      </c>
      <c r="L126" s="25">
        <f t="shared" si="207"/>
        <v>-1.1265443425076451</v>
      </c>
      <c r="M126" s="25">
        <f t="shared" si="207"/>
        <v>-6.2717698433085021</v>
      </c>
      <c r="N126" s="25">
        <f t="shared" si="207"/>
        <v>-1.2647500647500649</v>
      </c>
      <c r="O126" s="25">
        <f t="shared" si="207"/>
        <v>-0.83702434007542004</v>
      </c>
      <c r="P126" s="25">
        <f t="shared" si="207"/>
        <v>-0.67357731110630004</v>
      </c>
      <c r="Q126" s="118" t="e">
        <f t="shared" ref="Q126" si="208">((P126/G126)^(1/($H$2-$H$1) ))-1</f>
        <v>#DIV/0!</v>
      </c>
      <c r="R126" s="128"/>
      <c r="S126" s="135">
        <f t="shared" ref="S126:AB126" si="209">S121/S51</f>
        <v>-0.67357731110630015</v>
      </c>
      <c r="T126" s="135">
        <f t="shared" si="209"/>
        <v>-0.67357731110630004</v>
      </c>
      <c r="U126" s="135">
        <f t="shared" si="209"/>
        <v>-0.67357731110630015</v>
      </c>
      <c r="V126" s="135">
        <f t="shared" si="209"/>
        <v>-0.67357731110630015</v>
      </c>
      <c r="W126" s="135">
        <f t="shared" si="209"/>
        <v>-0.67357731110630015</v>
      </c>
      <c r="X126" s="135">
        <f t="shared" si="209"/>
        <v>-0.67357731110630015</v>
      </c>
      <c r="Y126" s="135">
        <f t="shared" si="209"/>
        <v>-0.67357731110630015</v>
      </c>
      <c r="Z126" s="135">
        <f t="shared" si="209"/>
        <v>-0.67357731110630004</v>
      </c>
      <c r="AA126" s="135">
        <f t="shared" si="209"/>
        <v>-0.67357731110630015</v>
      </c>
      <c r="AB126" s="135">
        <f t="shared" si="209"/>
        <v>-0.67357731110630015</v>
      </c>
      <c r="AC126" s="138" t="e">
        <f t="shared" ref="AC126" si="210">((AB126/G126)^(1/($AB$3-$H$1) ))-1</f>
        <v>#DIV/0!</v>
      </c>
      <c r="AD126" s="31">
        <v>0.08</v>
      </c>
      <c r="AE126" s="127" t="e">
        <f t="shared" si="198"/>
        <v>#DIV/0!</v>
      </c>
    </row>
    <row r="127" spans="2:31">
      <c r="B127" s="20"/>
      <c r="C127" s="129"/>
      <c r="D127" s="129"/>
      <c r="E127" s="129"/>
      <c r="F127" s="129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28"/>
      <c r="R127" s="128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7"/>
      <c r="AD127" s="20"/>
      <c r="AE127" s="127"/>
    </row>
    <row r="128" spans="2:31">
      <c r="B128" s="108" t="s">
        <v>304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301</v>
      </c>
      <c r="C129" s="20" t="s">
        <v>319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 t="e">
        <f>(P121-R109)/P121</f>
        <v>#DIV/0!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302</v>
      </c>
      <c r="C130" s="20" t="s">
        <v>319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28" t="e">
        <f>(P121-R100)/P121</f>
        <v>#DIV/0!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303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5" t="e">
        <f>P121/R92</f>
        <v>#DIV/0!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>
      <c r="B133" s="108" t="s">
        <v>305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>
      <c r="B134" s="20" t="s">
        <v>308</v>
      </c>
      <c r="C134" s="25" t="e">
        <f>C10/C7</f>
        <v>#DIV/0!</v>
      </c>
      <c r="D134" s="25" t="e">
        <f>D10/D7</f>
        <v>#DIV/0!</v>
      </c>
      <c r="E134" s="25" t="e">
        <f>E10/E7</f>
        <v>#DIV/0!</v>
      </c>
      <c r="F134" s="25" t="e">
        <f>F10/F7</f>
        <v>#DIV/0!</v>
      </c>
      <c r="G134" s="25">
        <f>G10/G7</f>
        <v>0</v>
      </c>
      <c r="H134" s="25">
        <f t="shared" ref="H134:P134" si="211">H10/H7</f>
        <v>0</v>
      </c>
      <c r="I134" s="25">
        <f t="shared" si="211"/>
        <v>0</v>
      </c>
      <c r="J134" s="25">
        <f t="shared" si="211"/>
        <v>0.5161290322580645</v>
      </c>
      <c r="K134" s="25" t="e">
        <f t="shared" si="211"/>
        <v>#DIV/0!</v>
      </c>
      <c r="L134" s="25">
        <f t="shared" si="211"/>
        <v>2.1809440559440558</v>
      </c>
      <c r="M134" s="25">
        <f t="shared" si="211"/>
        <v>1.8293527172031845</v>
      </c>
      <c r="N134" s="25">
        <f t="shared" si="211"/>
        <v>3.8972482901224748</v>
      </c>
      <c r="O134" s="25">
        <f t="shared" si="211"/>
        <v>6.3896705843403412</v>
      </c>
      <c r="P134" s="25">
        <f t="shared" si="211"/>
        <v>8.7589098532494756</v>
      </c>
      <c r="Q134" s="118" t="e">
        <f t="shared" ref="Q134:Q136" si="212">((P134/G134)^(1/($H$2-$H$1) ))-1</f>
        <v>#DIV/0!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>
      <c r="B135" s="20" t="s">
        <v>309</v>
      </c>
      <c r="C135" s="112" t="e">
        <f>C10/C12</f>
        <v>#DIV/0!</v>
      </c>
      <c r="D135" s="112" t="e">
        <f>D10/D12</f>
        <v>#DIV/0!</v>
      </c>
      <c r="E135" s="112" t="e">
        <f>E10/E12</f>
        <v>#DIV/0!</v>
      </c>
      <c r="F135" s="112" t="e">
        <f>F10/F12</f>
        <v>#DIV/0!</v>
      </c>
      <c r="G135" s="112">
        <f>G10/'[1]3 - Forecast'!G12</f>
        <v>0</v>
      </c>
      <c r="H135" s="112">
        <f>H10/'[1]3 - Forecast'!H12</f>
        <v>0</v>
      </c>
      <c r="I135" s="112">
        <f>I10/'[1]3 - Forecast'!I12</f>
        <v>0</v>
      </c>
      <c r="J135" s="112">
        <f>J10/'[1]3 - Forecast'!J12</f>
        <v>2.88</v>
      </c>
      <c r="K135" s="112" t="e">
        <f>K10/'[1]3 - Forecast'!K12</f>
        <v>#DIV/0!</v>
      </c>
      <c r="L135" s="112">
        <f>L10/'[1]3 - Forecast'!L12</f>
        <v>8.9266547406082282</v>
      </c>
      <c r="M135" s="112">
        <f>M10/'[1]3 - Forecast'!M12</f>
        <v>49.858490566037737</v>
      </c>
      <c r="N135" s="112">
        <f>N10/'[1]3 - Forecast'!N12</f>
        <v>19.523505976095617</v>
      </c>
      <c r="O135" s="112">
        <f>O10/'[1]3 - Forecast'!O12</f>
        <v>11.909904350509102</v>
      </c>
      <c r="P135" s="112">
        <f>P10/'[1]3 - Forecast'!P12</f>
        <v>21.88707799767171</v>
      </c>
      <c r="Q135" s="118" t="e">
        <f t="shared" si="212"/>
        <v>#DIV/0!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>
      <c r="B136" s="20" t="s">
        <v>310</v>
      </c>
      <c r="C136" s="25" t="e">
        <f>C10/(C12+C13)</f>
        <v>#DIV/0!</v>
      </c>
      <c r="D136" s="25" t="e">
        <f>D10/(D12+D13)</f>
        <v>#DIV/0!</v>
      </c>
      <c r="E136" s="25" t="e">
        <f>E10/(E12+E13)</f>
        <v>#DIV/0!</v>
      </c>
      <c r="F136" s="25" t="e">
        <f>F10/(F12+F13)</f>
        <v>#DIV/0!</v>
      </c>
      <c r="G136" s="25">
        <f>G10/('[1]3 - Forecast'!G12+'[1]3 - Forecast'!G13)</f>
        <v>0</v>
      </c>
      <c r="H136" s="25">
        <f>H10/('[1]3 - Forecast'!H12+'[1]3 - Forecast'!H13)</f>
        <v>0</v>
      </c>
      <c r="I136" s="25">
        <f>I10/('[1]3 - Forecast'!I12+'[1]3 - Forecast'!I13)</f>
        <v>0</v>
      </c>
      <c r="J136" s="25">
        <f>J10/('[1]3 - Forecast'!J12+'[1]3 - Forecast'!J13)</f>
        <v>2.88</v>
      </c>
      <c r="K136" s="25" t="e">
        <f>K10/('[1]3 - Forecast'!K12+'[1]3 - Forecast'!K13)</f>
        <v>#DIV/0!</v>
      </c>
      <c r="L136" s="25">
        <f>L10/('[1]3 - Forecast'!L12+'[1]3 - Forecast'!L13)</f>
        <v>8.9266547406082282</v>
      </c>
      <c r="M136" s="25">
        <f>M10/('[1]3 - Forecast'!M12+'[1]3 - Forecast'!M13)</f>
        <v>49.856138861374468</v>
      </c>
      <c r="N136" s="25">
        <f>N10/('[1]3 - Forecast'!N12+'[1]3 - Forecast'!N13)</f>
        <v>19.369169960474309</v>
      </c>
      <c r="O136" s="25">
        <f>O10/('[1]3 - Forecast'!O12+'[1]3 - Forecast'!O13)</f>
        <v>11.840490797546012</v>
      </c>
      <c r="P136" s="25">
        <f>P10/('[1]3 - Forecast'!P12+'[1]3 - Forecast'!P13)</f>
        <v>21.605750501330178</v>
      </c>
      <c r="Q136" s="118" t="e">
        <f t="shared" si="212"/>
        <v>#DIV/0!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22 S81:AB8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6" t="s">
        <v>27</v>
      </c>
      <c r="K5" s="166"/>
      <c r="M5" s="166" t="s">
        <v>65</v>
      </c>
      <c r="N5" s="166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6" t="s">
        <v>36</v>
      </c>
      <c r="K14" s="166"/>
      <c r="L14" s="166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66" t="s">
        <v>27</v>
      </c>
      <c r="S5" s="166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6" t="s">
        <v>36</v>
      </c>
      <c r="S14" s="166"/>
      <c r="T14" s="166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66" t="s">
        <v>27</v>
      </c>
      <c r="C2" s="166"/>
      <c r="E2" s="166" t="s">
        <v>65</v>
      </c>
      <c r="F2" s="166"/>
      <c r="H2" s="170" t="s">
        <v>36</v>
      </c>
      <c r="I2" s="171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67" t="s">
        <v>68</v>
      </c>
      <c r="E10" s="168"/>
      <c r="F10" s="168"/>
      <c r="G10" s="168"/>
      <c r="H10" s="169"/>
      <c r="I10" s="167" t="s">
        <v>72</v>
      </c>
      <c r="J10" s="168"/>
      <c r="K10" s="168"/>
      <c r="L10" s="169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2013-12-31T17:45:50Z</dcterms:modified>
</cp:coreProperties>
</file>
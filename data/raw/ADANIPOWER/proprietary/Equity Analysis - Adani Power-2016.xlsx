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23" i="18"/>
  <c r="R60"/>
  <c r="Q60"/>
  <c r="P60"/>
  <c r="O60"/>
  <c r="N60"/>
  <c r="M60"/>
  <c r="L60"/>
  <c r="K60"/>
  <c r="J60"/>
  <c r="I60"/>
  <c r="H60"/>
  <c r="G59"/>
  <c r="R58"/>
  <c r="Q58"/>
  <c r="P58"/>
  <c r="O58"/>
  <c r="N58"/>
  <c r="M58"/>
  <c r="L58"/>
  <c r="K58"/>
  <c r="J58"/>
  <c r="I58"/>
  <c r="G57"/>
  <c r="G58" s="1"/>
  <c r="R56"/>
  <c r="Q56"/>
  <c r="P56"/>
  <c r="O56"/>
  <c r="N56"/>
  <c r="M56"/>
  <c r="L56"/>
  <c r="K56"/>
  <c r="J56"/>
  <c r="I56"/>
  <c r="G56"/>
  <c r="G55"/>
  <c r="H56" s="1"/>
  <c r="R54"/>
  <c r="Q54"/>
  <c r="P54"/>
  <c r="O54"/>
  <c r="N54"/>
  <c r="M54"/>
  <c r="L54"/>
  <c r="K54"/>
  <c r="J54"/>
  <c r="I54"/>
  <c r="G53"/>
  <c r="G54" s="1"/>
  <c r="R52"/>
  <c r="Q52"/>
  <c r="P52"/>
  <c r="O52"/>
  <c r="N52"/>
  <c r="M52"/>
  <c r="L52"/>
  <c r="K52"/>
  <c r="J52"/>
  <c r="I52"/>
  <c r="G52"/>
  <c r="G51"/>
  <c r="H52" s="1"/>
  <c r="H49"/>
  <c r="R48"/>
  <c r="Q48"/>
  <c r="P48"/>
  <c r="O48"/>
  <c r="N48"/>
  <c r="M48"/>
  <c r="L48"/>
  <c r="K48"/>
  <c r="J48"/>
  <c r="H47"/>
  <c r="H48" s="1"/>
  <c r="R46"/>
  <c r="Q46"/>
  <c r="P46"/>
  <c r="O46"/>
  <c r="N46"/>
  <c r="M46"/>
  <c r="L46"/>
  <c r="K46"/>
  <c r="J46"/>
  <c r="H45"/>
  <c r="H46" s="1"/>
  <c r="R44"/>
  <c r="Q44"/>
  <c r="P44"/>
  <c r="O44"/>
  <c r="N44"/>
  <c r="M44"/>
  <c r="L44"/>
  <c r="K44"/>
  <c r="J44"/>
  <c r="H43"/>
  <c r="H44" s="1"/>
  <c r="H42"/>
  <c r="H41"/>
  <c r="H40"/>
  <c r="R39"/>
  <c r="Q39"/>
  <c r="P39"/>
  <c r="O39"/>
  <c r="N39"/>
  <c r="M39"/>
  <c r="L39"/>
  <c r="K39"/>
  <c r="J39"/>
  <c r="H39"/>
  <c r="H38"/>
  <c r="I39" s="1"/>
  <c r="R37"/>
  <c r="Q37"/>
  <c r="P37"/>
  <c r="O37"/>
  <c r="N37"/>
  <c r="M37"/>
  <c r="L37"/>
  <c r="K37"/>
  <c r="J37"/>
  <c r="H37"/>
  <c r="H36"/>
  <c r="I37" s="1"/>
  <c r="G34"/>
  <c r="G33"/>
  <c r="G32"/>
  <c r="G31"/>
  <c r="R30"/>
  <c r="Q30"/>
  <c r="P30"/>
  <c r="O30"/>
  <c r="N30"/>
  <c r="M30"/>
  <c r="L30"/>
  <c r="K30"/>
  <c r="J30"/>
  <c r="I30"/>
  <c r="G29"/>
  <c r="G30" s="1"/>
  <c r="R28"/>
  <c r="Q28"/>
  <c r="P28"/>
  <c r="O28"/>
  <c r="N28"/>
  <c r="M28"/>
  <c r="L28"/>
  <c r="K28"/>
  <c r="J28"/>
  <c r="I28"/>
  <c r="G28"/>
  <c r="G27"/>
  <c r="H28" s="1"/>
  <c r="R26"/>
  <c r="Q26"/>
  <c r="P26"/>
  <c r="O26"/>
  <c r="N26"/>
  <c r="M26"/>
  <c r="L26"/>
  <c r="K26"/>
  <c r="J26"/>
  <c r="I26"/>
  <c r="G25"/>
  <c r="G26" s="1"/>
  <c r="G23"/>
  <c r="G22"/>
  <c r="G21"/>
  <c r="G20"/>
  <c r="G18"/>
  <c r="G16"/>
  <c r="G15"/>
  <c r="G14"/>
  <c r="G13"/>
  <c r="M12"/>
  <c r="G12"/>
  <c r="R11"/>
  <c r="Q11"/>
  <c r="P11"/>
  <c r="O11"/>
  <c r="N11"/>
  <c r="M11"/>
  <c r="L11"/>
  <c r="K11"/>
  <c r="J11"/>
  <c r="I11"/>
  <c r="G10"/>
  <c r="G11" s="1"/>
  <c r="G9"/>
  <c r="R8"/>
  <c r="Q8"/>
  <c r="P8"/>
  <c r="O8"/>
  <c r="N8"/>
  <c r="M8"/>
  <c r="L8"/>
  <c r="K8"/>
  <c r="J8"/>
  <c r="I8"/>
  <c r="G7"/>
  <c r="G8" s="1"/>
  <c r="G6"/>
  <c r="AG232"/>
  <c r="AH231"/>
  <c r="AG231"/>
  <c r="AG230"/>
  <c r="AG229"/>
  <c r="H11" l="1"/>
  <c r="H26"/>
  <c r="H30"/>
  <c r="I44"/>
  <c r="I46"/>
  <c r="I48"/>
  <c r="H54"/>
  <c r="H58"/>
  <c r="H8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H69" l="1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H273" i="18"/>
  <c r="H275" s="1"/>
  <c r="H276" s="1"/>
  <c r="T201"/>
  <c r="T59"/>
  <c r="T57"/>
  <c r="T55"/>
  <c r="T53"/>
  <c r="T51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8"/>
  <c r="H248"/>
  <c r="G249"/>
  <c r="H249"/>
  <c r="G250"/>
  <c r="H250"/>
  <c r="G211"/>
  <c r="H211"/>
  <c r="G212"/>
  <c r="H212"/>
  <c r="G66"/>
  <c r="H66"/>
  <c r="H202" s="1"/>
  <c r="G67"/>
  <c r="H67"/>
  <c r="G68"/>
  <c r="H68"/>
  <c r="G70"/>
  <c r="G204" s="1"/>
  <c r="H70"/>
  <c r="H204" s="1"/>
  <c r="G71"/>
  <c r="G205" s="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H90"/>
  <c r="G92"/>
  <c r="H92"/>
  <c r="G93"/>
  <c r="H93"/>
  <c r="G94"/>
  <c r="H94"/>
  <c r="G95"/>
  <c r="H95"/>
  <c r="G96"/>
  <c r="H96"/>
  <c r="G98"/>
  <c r="H98"/>
  <c r="H164" s="1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34"/>
  <c r="H134"/>
  <c r="G135"/>
  <c r="H135"/>
  <c r="G136"/>
  <c r="H136"/>
  <c r="G137"/>
  <c r="H137"/>
  <c r="G139"/>
  <c r="H139"/>
  <c r="G140"/>
  <c r="H140"/>
  <c r="G141"/>
  <c r="H141"/>
  <c r="G142"/>
  <c r="H142"/>
  <c r="G143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4"/>
  <c r="G166"/>
  <c r="H166"/>
  <c r="G167"/>
  <c r="H167"/>
  <c r="T42"/>
  <c r="T41"/>
  <c r="T40"/>
  <c r="H125" l="1"/>
  <c r="H126"/>
  <c r="H127"/>
  <c r="H128"/>
  <c r="H131"/>
  <c r="H129"/>
  <c r="T38"/>
  <c r="H124"/>
  <c r="H132"/>
  <c r="T45"/>
  <c r="H215"/>
  <c r="H216"/>
  <c r="H217" s="1"/>
  <c r="H214"/>
  <c r="G214"/>
  <c r="G203"/>
  <c r="G209"/>
  <c r="G202"/>
  <c r="G98" i="20"/>
  <c r="C99" s="1"/>
  <c r="J53"/>
  <c r="P52"/>
  <c r="I100"/>
  <c r="M99"/>
  <c r="N99" s="1"/>
  <c r="J100" s="1"/>
  <c r="B100"/>
  <c r="F99"/>
  <c r="G99" s="1"/>
  <c r="C100" s="1"/>
  <c r="F56"/>
  <c r="G56" s="1"/>
  <c r="G100" i="18"/>
  <c r="G75"/>
  <c r="S129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S130"/>
  <c r="R130"/>
  <c r="Q130"/>
  <c r="P130"/>
  <c r="O130"/>
  <c r="N130"/>
  <c r="M130"/>
  <c r="L130"/>
  <c r="K130"/>
  <c r="J130"/>
  <c r="V57"/>
  <c r="T47" l="1"/>
  <c r="G129"/>
  <c r="T129" s="1"/>
  <c r="T43"/>
  <c r="G125"/>
  <c r="G126"/>
  <c r="G127"/>
  <c r="G128"/>
  <c r="G131"/>
  <c r="G124"/>
  <c r="G132"/>
  <c r="T36"/>
  <c r="G215"/>
  <c r="G216"/>
  <c r="G206"/>
  <c r="H56" i="20"/>
  <c r="H75" s="1"/>
  <c r="C57"/>
  <c r="B101"/>
  <c r="F100"/>
  <c r="G100" s="1"/>
  <c r="C101" s="1"/>
  <c r="I101"/>
  <c r="M100"/>
  <c r="N100" s="1"/>
  <c r="J101" s="1"/>
  <c r="M53"/>
  <c r="N53" s="1"/>
  <c r="AF47" i="18"/>
  <c r="S126"/>
  <c r="T126" s="1"/>
  <c r="R126"/>
  <c r="Q126"/>
  <c r="P126"/>
  <c r="O126"/>
  <c r="N126"/>
  <c r="M126"/>
  <c r="L126"/>
  <c r="K126"/>
  <c r="J126"/>
  <c r="U49"/>
  <c r="S46"/>
  <c r="S44"/>
  <c r="S39"/>
  <c r="S37"/>
  <c r="I126"/>
  <c r="I130" l="1"/>
  <c r="G217"/>
  <c r="J54" i="20"/>
  <c r="P53"/>
  <c r="H76"/>
  <c r="G57"/>
  <c r="C58" s="1"/>
  <c r="F57"/>
  <c r="I102"/>
  <c r="M101"/>
  <c r="N101" s="1"/>
  <c r="J102" s="1"/>
  <c r="B102"/>
  <c r="F101"/>
  <c r="G101" s="1"/>
  <c r="C102" s="1"/>
  <c r="S132" i="18"/>
  <c r="T132" s="1"/>
  <c r="S131"/>
  <c r="T131" s="1"/>
  <c r="S128"/>
  <c r="T128" s="1"/>
  <c r="S127"/>
  <c r="T127" s="1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H130" l="1"/>
  <c r="B103" i="20"/>
  <c r="F102"/>
  <c r="G102" s="1"/>
  <c r="C103" s="1"/>
  <c r="I103"/>
  <c r="M102"/>
  <c r="N102" s="1"/>
  <c r="J103" s="1"/>
  <c r="H77"/>
  <c r="F58"/>
  <c r="G58" s="1"/>
  <c r="C59" s="1"/>
  <c r="N54"/>
  <c r="M54"/>
  <c r="AF49" i="18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G130" l="1"/>
  <c r="T130" s="1"/>
  <c r="T49"/>
  <c r="H78" i="20"/>
  <c r="G59"/>
  <c r="C60" s="1"/>
  <c r="F59"/>
  <c r="J55"/>
  <c r="P54"/>
  <c r="I104"/>
  <c r="M103"/>
  <c r="N103" s="1"/>
  <c r="J104" s="1"/>
  <c r="B104"/>
  <c r="F103"/>
  <c r="G103" s="1"/>
  <c r="C104" s="1"/>
  <c r="W38" i="18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X38" i="18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H80" i="20" l="1"/>
  <c r="G61"/>
  <c r="C62" s="1"/>
  <c r="F61"/>
  <c r="J56"/>
  <c r="P55"/>
  <c r="I106"/>
  <c r="M105"/>
  <c r="N105" s="1"/>
  <c r="J106" s="1"/>
  <c r="B106"/>
  <c r="F105"/>
  <c r="G105" s="1"/>
  <c r="C106" s="1"/>
  <c r="Y38" i="18"/>
  <c r="X127"/>
  <c r="Y36"/>
  <c r="X128"/>
  <c r="X126"/>
  <c r="S60"/>
  <c r="S58"/>
  <c r="S56"/>
  <c r="S54"/>
  <c r="S52"/>
  <c r="S30"/>
  <c r="S28"/>
  <c r="S26"/>
  <c r="S11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Z38" i="18"/>
  <c r="Y127"/>
  <c r="Z36"/>
  <c r="Y128"/>
  <c r="Y126"/>
  <c r="S102"/>
  <c r="T102" s="1"/>
  <c r="R102"/>
  <c r="Q102"/>
  <c r="P102"/>
  <c r="O102"/>
  <c r="N102"/>
  <c r="M102"/>
  <c r="L102"/>
  <c r="K102"/>
  <c r="J102"/>
  <c r="I102"/>
  <c r="H82" i="20" l="1"/>
  <c r="G63"/>
  <c r="C64" s="1"/>
  <c r="F63"/>
  <c r="J57"/>
  <c r="P56"/>
  <c r="I108"/>
  <c r="M107"/>
  <c r="N107" s="1"/>
  <c r="J108" s="1"/>
  <c r="B108"/>
  <c r="F107"/>
  <c r="G107" s="1"/>
  <c r="C108" s="1"/>
  <c r="AA38" i="18"/>
  <c r="Z127"/>
  <c r="AA36"/>
  <c r="Z126"/>
  <c r="Z128"/>
  <c r="U170"/>
  <c r="S170"/>
  <c r="S225" s="1"/>
  <c r="C1"/>
  <c r="AH47" s="1"/>
  <c r="V225" l="1"/>
  <c r="V226" s="1"/>
  <c r="V227" s="1"/>
  <c r="G225"/>
  <c r="H225"/>
  <c r="V220"/>
  <c r="V221" s="1"/>
  <c r="V222" s="1"/>
  <c r="G220"/>
  <c r="H220"/>
  <c r="B109" i="20"/>
  <c r="F108"/>
  <c r="G108" s="1"/>
  <c r="C109" s="1"/>
  <c r="I109"/>
  <c r="M108"/>
  <c r="N108" s="1"/>
  <c r="J109" s="1"/>
  <c r="M57"/>
  <c r="N57"/>
  <c r="H83"/>
  <c r="F64"/>
  <c r="G64" s="1"/>
  <c r="C65" s="1"/>
  <c r="AB38" i="18"/>
  <c r="AA127"/>
  <c r="AB36"/>
  <c r="AA126"/>
  <c r="AA128"/>
  <c r="AH45"/>
  <c r="AH40"/>
  <c r="AH49"/>
  <c r="AH41"/>
  <c r="AH42"/>
  <c r="AH43"/>
  <c r="M225"/>
  <c r="M226" s="1"/>
  <c r="M227" s="1"/>
  <c r="R225"/>
  <c r="R224" s="1"/>
  <c r="Q225"/>
  <c r="L225"/>
  <c r="K225"/>
  <c r="P225"/>
  <c r="J225"/>
  <c r="O225"/>
  <c r="I225"/>
  <c r="N225"/>
  <c r="R244"/>
  <c r="O220"/>
  <c r="R220"/>
  <c r="R219" s="1"/>
  <c r="N220"/>
  <c r="J220"/>
  <c r="Q220"/>
  <c r="M220"/>
  <c r="I220"/>
  <c r="P220"/>
  <c r="L220"/>
  <c r="S220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V224" l="1"/>
  <c r="T220"/>
  <c r="S219"/>
  <c r="V219"/>
  <c r="S205"/>
  <c r="T205" s="1"/>
  <c r="T71"/>
  <c r="S204"/>
  <c r="T204" s="1"/>
  <c r="T70"/>
  <c r="G219"/>
  <c r="G221"/>
  <c r="H224"/>
  <c r="H226"/>
  <c r="H227" s="1"/>
  <c r="T225"/>
  <c r="H219"/>
  <c r="H221"/>
  <c r="H222" s="1"/>
  <c r="G224"/>
  <c r="G226"/>
  <c r="H84" i="20"/>
  <c r="G65"/>
  <c r="C66" s="1"/>
  <c r="F65"/>
  <c r="I110"/>
  <c r="M109"/>
  <c r="N109" s="1"/>
  <c r="J110" s="1"/>
  <c r="B110"/>
  <c r="F109"/>
  <c r="G109" s="1"/>
  <c r="C110" s="1"/>
  <c r="J58"/>
  <c r="P57"/>
  <c r="AC38" i="1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M221"/>
  <c r="M222" s="1"/>
  <c r="M219"/>
  <c r="J226"/>
  <c r="J227" s="1"/>
  <c r="J224"/>
  <c r="Q226"/>
  <c r="Q227" s="1"/>
  <c r="Q224"/>
  <c r="S226"/>
  <c r="S227" s="1"/>
  <c r="S224"/>
  <c r="R221"/>
  <c r="R205"/>
  <c r="T224" l="1"/>
  <c r="T221"/>
  <c r="G222"/>
  <c r="T222" s="1"/>
  <c r="T226"/>
  <c r="G227"/>
  <c r="T227" s="1"/>
  <c r="T219"/>
  <c r="M58" i="20"/>
  <c r="N58" s="1"/>
  <c r="B111"/>
  <c r="F110"/>
  <c r="G110" s="1"/>
  <c r="C111" s="1"/>
  <c r="I111"/>
  <c r="M110"/>
  <c r="N110" s="1"/>
  <c r="J111" s="1"/>
  <c r="F66"/>
  <c r="G66"/>
  <c r="AD38" i="1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J59" i="20" l="1"/>
  <c r="P58"/>
  <c r="C67"/>
  <c r="H66"/>
  <c r="H85" s="1"/>
  <c r="I112"/>
  <c r="M111"/>
  <c r="N111" s="1"/>
  <c r="J112" s="1"/>
  <c r="B112"/>
  <c r="F111"/>
  <c r="G111" s="1"/>
  <c r="C112" s="1"/>
  <c r="AE38" i="18"/>
  <c r="AD127"/>
  <c r="AE36"/>
  <c r="AD126"/>
  <c r="AD128"/>
  <c r="J261"/>
  <c r="J258"/>
  <c r="J259"/>
  <c r="J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F38" i="18"/>
  <c r="AE127"/>
  <c r="AF127" s="1"/>
  <c r="AH38"/>
  <c r="AE126"/>
  <c r="AF126" s="1"/>
  <c r="AE128"/>
  <c r="AF128" s="1"/>
  <c r="AF36"/>
  <c r="AH36"/>
  <c r="S250"/>
  <c r="S249"/>
  <c r="S248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V17"/>
  <c r="V19"/>
  <c r="V24"/>
  <c r="S92" l="1"/>
  <c r="T92" s="1"/>
  <c r="T90"/>
  <c r="S139"/>
  <c r="T88"/>
  <c r="S140"/>
  <c r="T140" s="1"/>
  <c r="T139"/>
  <c r="S214"/>
  <c r="T214" s="1"/>
  <c r="T72"/>
  <c r="S110"/>
  <c r="T110" s="1"/>
  <c r="T68"/>
  <c r="S164"/>
  <c r="T164" s="1"/>
  <c r="T98"/>
  <c r="S122"/>
  <c r="T122" s="1"/>
  <c r="T116"/>
  <c r="S120"/>
  <c r="T120" s="1"/>
  <c r="T114"/>
  <c r="S119"/>
  <c r="T119" s="1"/>
  <c r="T113"/>
  <c r="S202"/>
  <c r="T202" s="1"/>
  <c r="T66"/>
  <c r="S118"/>
  <c r="T118" s="1"/>
  <c r="T112"/>
  <c r="S163"/>
  <c r="T163" s="1"/>
  <c r="T162"/>
  <c r="S208"/>
  <c r="T208" s="1"/>
  <c r="T86"/>
  <c r="S121"/>
  <c r="T121" s="1"/>
  <c r="T115"/>
  <c r="S209"/>
  <c r="T209" s="1"/>
  <c r="T80"/>
  <c r="S206"/>
  <c r="T206" s="1"/>
  <c r="T75"/>
  <c r="J60" i="20"/>
  <c r="P59"/>
  <c r="H87"/>
  <c r="F68"/>
  <c r="G68" s="1"/>
  <c r="C69" s="1"/>
  <c r="I114"/>
  <c r="M113"/>
  <c r="N113" s="1"/>
  <c r="J114" s="1"/>
  <c r="B114"/>
  <c r="F113"/>
  <c r="G113" s="1"/>
  <c r="C114" s="1"/>
  <c r="R245" i="18"/>
  <c r="S203"/>
  <c r="T203" s="1"/>
  <c r="S84"/>
  <c r="S141"/>
  <c r="S143"/>
  <c r="T143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142" l="1"/>
  <c r="T142" s="1"/>
  <c r="T141"/>
  <c r="S207"/>
  <c r="T207" s="1"/>
  <c r="T84"/>
  <c r="F69" i="20"/>
  <c r="G69" s="1"/>
  <c r="C70" s="1"/>
  <c r="H88"/>
  <c r="B115"/>
  <c r="F114"/>
  <c r="G114" s="1"/>
  <c r="C115" s="1"/>
  <c r="I115"/>
  <c r="M114"/>
  <c r="N114" s="1"/>
  <c r="J115" s="1"/>
  <c r="N60"/>
  <c r="M60"/>
  <c r="S216" i="18"/>
  <c r="S215"/>
  <c r="T215" s="1"/>
  <c r="J245"/>
  <c r="V59"/>
  <c r="S217" l="1"/>
  <c r="T217" s="1"/>
  <c r="T216"/>
  <c r="F70" i="20"/>
  <c r="G70" s="1"/>
  <c r="C71" s="1"/>
  <c r="J61"/>
  <c r="P60"/>
  <c r="I116"/>
  <c r="M115"/>
  <c r="N115" s="1"/>
  <c r="J116" s="1"/>
  <c r="B116"/>
  <c r="F115"/>
  <c r="G115" s="1"/>
  <c r="C116" s="1"/>
  <c r="M241" i="18"/>
  <c r="M240"/>
  <c r="M239"/>
  <c r="M238"/>
  <c r="F71" i="20" l="1"/>
  <c r="G71"/>
  <c r="C72" s="1"/>
  <c r="B117"/>
  <c r="F116"/>
  <c r="G116" s="1"/>
  <c r="C117" s="1"/>
  <c r="I117"/>
  <c r="M116"/>
  <c r="N116" s="1"/>
  <c r="J117" s="1"/>
  <c r="M61"/>
  <c r="N61"/>
  <c r="AG53" i="18"/>
  <c r="U53"/>
  <c r="J62" i="20" l="1"/>
  <c r="P61"/>
  <c r="F72"/>
  <c r="G72" s="1"/>
  <c r="C73" s="1"/>
  <c r="I118"/>
  <c r="M117"/>
  <c r="N117" s="1"/>
  <c r="J118" s="1"/>
  <c r="B118"/>
  <c r="F117"/>
  <c r="G117" s="1"/>
  <c r="C118" s="1"/>
  <c r="V53" i="18"/>
  <c r="F73" i="20" l="1"/>
  <c r="G73"/>
  <c r="C74" s="1"/>
  <c r="B119"/>
  <c r="F118"/>
  <c r="G118" s="1"/>
  <c r="C119" s="1"/>
  <c r="I119"/>
  <c r="M118"/>
  <c r="N118" s="1"/>
  <c r="J119" s="1"/>
  <c r="M62"/>
  <c r="N62" s="1"/>
  <c r="W53" i="18"/>
  <c r="V245"/>
  <c r="V246" s="1"/>
  <c r="J63" i="20" l="1"/>
  <c r="P62"/>
  <c r="F74"/>
  <c r="G74" s="1"/>
  <c r="C75" s="1"/>
  <c r="I120"/>
  <c r="M119"/>
  <c r="N119" s="1"/>
  <c r="J120" s="1"/>
  <c r="B120"/>
  <c r="F119"/>
  <c r="G119" s="1"/>
  <c r="C120" s="1"/>
  <c r="X53" i="18"/>
  <c r="W259"/>
  <c r="W260" s="1"/>
  <c r="D257"/>
  <c r="J257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75"/>
  <c r="I276" s="1"/>
  <c r="AG73"/>
  <c r="J73"/>
  <c r="K73"/>
  <c r="L73"/>
  <c r="M73"/>
  <c r="N73"/>
  <c r="O73"/>
  <c r="P73"/>
  <c r="Q73"/>
  <c r="R73"/>
  <c r="I73"/>
  <c r="J266"/>
  <c r="D265"/>
  <c r="J264"/>
  <c r="K264" s="1"/>
  <c r="L264" s="1"/>
  <c r="L265" s="1"/>
  <c r="J262"/>
  <c r="J256"/>
  <c r="J255"/>
  <c r="K255" s="1"/>
  <c r="L255" s="1"/>
  <c r="I272" l="1"/>
  <c r="M272" s="1"/>
  <c r="H272"/>
  <c r="I271"/>
  <c r="M271" s="1"/>
  <c r="M274" s="1"/>
  <c r="H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Y53" i="18"/>
  <c r="D267"/>
  <c r="K256"/>
  <c r="L256" s="1"/>
  <c r="K266"/>
  <c r="L266" s="1"/>
  <c r="L267" s="1"/>
  <c r="J109"/>
  <c r="K109"/>
  <c r="L109"/>
  <c r="M109"/>
  <c r="N109"/>
  <c r="O109"/>
  <c r="P109"/>
  <c r="Q109"/>
  <c r="R109"/>
  <c r="I109"/>
  <c r="I167"/>
  <c r="I166"/>
  <c r="AG14"/>
  <c r="U14"/>
  <c r="W256"/>
  <c r="W255"/>
  <c r="Q256"/>
  <c r="Q259" s="1"/>
  <c r="Q255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M275" l="1"/>
  <c r="I274"/>
  <c r="I277"/>
  <c r="H277"/>
  <c r="H274"/>
  <c r="J64" i="20"/>
  <c r="P63"/>
  <c r="F76"/>
  <c r="G76" s="1"/>
  <c r="C77" s="1"/>
  <c r="N121"/>
  <c r="N124" s="1"/>
  <c r="N89" s="1"/>
  <c r="G121"/>
  <c r="G124" s="1"/>
  <c r="G89" s="1"/>
  <c r="Z53" i="18"/>
  <c r="V14"/>
  <c r="W14" s="1"/>
  <c r="X14" s="1"/>
  <c r="Y14" s="1"/>
  <c r="Z14" s="1"/>
  <c r="AA14" s="1"/>
  <c r="AB14" s="1"/>
  <c r="AC14" s="1"/>
  <c r="AD14" s="1"/>
  <c r="AE14" s="1"/>
  <c r="K257"/>
  <c r="L257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60"/>
  <c r="P259"/>
  <c r="V257"/>
  <c r="W257" s="1"/>
  <c r="W262" s="1"/>
  <c r="P257"/>
  <c r="Q257" s="1"/>
  <c r="Q262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F77" i="20" l="1"/>
  <c r="G77"/>
  <c r="C78" s="1"/>
  <c r="M64"/>
  <c r="N64" s="1"/>
  <c r="K258" i="18"/>
  <c r="L258" s="1"/>
  <c r="K259" s="1"/>
  <c r="L259" s="1"/>
  <c r="K260" s="1"/>
  <c r="L260" s="1"/>
  <c r="K261" s="1"/>
  <c r="L261" s="1"/>
  <c r="K262" s="1"/>
  <c r="L262" s="1"/>
  <c r="L263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62"/>
  <c r="V262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V23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J65" i="20" l="1"/>
  <c r="P64"/>
  <c r="F78"/>
  <c r="G78" s="1"/>
  <c r="V132" i="18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G81" i="20" l="1"/>
  <c r="G82" s="1"/>
  <c r="C79"/>
  <c r="M65"/>
  <c r="N65"/>
  <c r="J66" s="1"/>
  <c r="AC53" i="18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M66" i="20" l="1"/>
  <c r="N66"/>
  <c r="J67" s="1"/>
  <c r="F79"/>
  <c r="G79"/>
  <c r="AD53" i="18"/>
  <c r="X31"/>
  <c r="X29"/>
  <c r="AH87"/>
  <c r="M67" i="20" l="1"/>
  <c r="N67"/>
  <c r="J68" s="1"/>
  <c r="AE53" i="18"/>
  <c r="Y31"/>
  <c r="Y29"/>
  <c r="I211"/>
  <c r="J211"/>
  <c r="K211"/>
  <c r="L211"/>
  <c r="M211"/>
  <c r="N211"/>
  <c r="O211"/>
  <c r="P211"/>
  <c r="Q211"/>
  <c r="R211"/>
  <c r="I8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M68" i="20" l="1"/>
  <c r="N68" s="1"/>
  <c r="J69" s="1"/>
  <c r="AF53" i="18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M69" i="20" l="1"/>
  <c r="N69"/>
  <c r="J70" s="1"/>
  <c r="AA31" i="18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M70" i="20" l="1"/>
  <c r="N70"/>
  <c r="J71" s="1"/>
  <c r="AB31" i="18"/>
  <c r="Y59"/>
  <c r="X88"/>
  <c r="AB29"/>
  <c r="R105"/>
  <c r="J250"/>
  <c r="K250"/>
  <c r="L250"/>
  <c r="M250"/>
  <c r="N250"/>
  <c r="O250"/>
  <c r="P250"/>
  <c r="Q250"/>
  <c r="R250"/>
  <c r="I250"/>
  <c r="J249"/>
  <c r="K249"/>
  <c r="L249"/>
  <c r="M249"/>
  <c r="N249"/>
  <c r="O249"/>
  <c r="P249"/>
  <c r="Q249"/>
  <c r="R249"/>
  <c r="I249"/>
  <c r="J248"/>
  <c r="K248"/>
  <c r="L248"/>
  <c r="M248"/>
  <c r="N248"/>
  <c r="O248"/>
  <c r="P248"/>
  <c r="Q248"/>
  <c r="R248"/>
  <c r="I248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M71" i="20" l="1"/>
  <c r="N71" s="1"/>
  <c r="J72" s="1"/>
  <c r="AC31" i="18"/>
  <c r="Z59"/>
  <c r="Y88"/>
  <c r="AC29"/>
  <c r="W51"/>
  <c r="T250"/>
  <c r="T249"/>
  <c r="T248"/>
  <c r="M72" i="20" l="1"/>
  <c r="N72" s="1"/>
  <c r="J73" s="1"/>
  <c r="W113" i="18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N73" i="20" l="1"/>
  <c r="J74" s="1"/>
  <c r="M73"/>
  <c r="X113" i="18"/>
  <c r="X119" s="1"/>
  <c r="AE31"/>
  <c r="AF31" s="1"/>
  <c r="AB59"/>
  <c r="AA88"/>
  <c r="W23"/>
  <c r="V116"/>
  <c r="V122" s="1"/>
  <c r="AE29"/>
  <c r="AF22"/>
  <c r="AH22"/>
  <c r="Y51"/>
  <c r="W21"/>
  <c r="M74" i="20" l="1"/>
  <c r="N74" s="1"/>
  <c r="J75" s="1"/>
  <c r="AH31" i="18"/>
  <c r="Y113"/>
  <c r="Y119" s="1"/>
  <c r="AB88"/>
  <c r="AC59"/>
  <c r="X23"/>
  <c r="W116"/>
  <c r="W122" s="1"/>
  <c r="AH29"/>
  <c r="AF29"/>
  <c r="W20"/>
  <c r="V90"/>
  <c r="X21"/>
  <c r="W9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N75" i="20" l="1"/>
  <c r="J76" s="1"/>
  <c r="M75"/>
  <c r="Z113" i="18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M76" i="20" l="1"/>
  <c r="N76" s="1"/>
  <c r="J77" s="1"/>
  <c r="W124" i="18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N77" i="20" l="1"/>
  <c r="J78" s="1"/>
  <c r="M77"/>
  <c r="X125" i="18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M78" i="20" l="1"/>
  <c r="N78" s="1"/>
  <c r="Y124" i="18"/>
  <c r="Y125"/>
  <c r="AC113"/>
  <c r="AC119" s="1"/>
  <c r="Y109"/>
  <c r="Y147"/>
  <c r="V188"/>
  <c r="S237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N81" i="20" l="1"/>
  <c r="N82" s="1"/>
  <c r="J79"/>
  <c r="Z125" i="18"/>
  <c r="Z129"/>
  <c r="Z147"/>
  <c r="Z124"/>
  <c r="T170"/>
  <c r="V244" s="1"/>
  <c r="V243" s="1"/>
  <c r="V211"/>
  <c r="AD113"/>
  <c r="AD119" s="1"/>
  <c r="V134"/>
  <c r="U188"/>
  <c r="R237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N79" i="20" l="1"/>
  <c r="J80" s="1"/>
  <c r="M79"/>
  <c r="W132" i="18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45"/>
  <c r="X245" s="1"/>
  <c r="Y245" s="1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M80" i="20" l="1"/>
  <c r="N80" s="1"/>
  <c r="X131" i="18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46"/>
  <c r="X246" s="1"/>
  <c r="Y246" s="1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F113"/>
  <c r="AE119"/>
  <c r="AF119" s="1"/>
  <c r="W244"/>
  <c r="X244" s="1"/>
  <c r="Y244" s="1"/>
  <c r="Z244" s="1"/>
  <c r="AA244" s="1"/>
  <c r="AB244" s="1"/>
  <c r="AC244" s="1"/>
  <c r="AD244" s="1"/>
  <c r="AE244" s="1"/>
  <c r="AF244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Y132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43"/>
  <c r="X243" s="1"/>
  <c r="Y243" s="1"/>
  <c r="Z243" s="1"/>
  <c r="AA243" s="1"/>
  <c r="AB243" s="1"/>
  <c r="AC243" s="1"/>
  <c r="AD243" s="1"/>
  <c r="AE243" s="1"/>
  <c r="AF243" s="1"/>
  <c r="AG244"/>
  <c r="AH244" s="1"/>
  <c r="AI244" s="1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43"/>
  <c r="AH243" s="1"/>
  <c r="AI243" s="1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40" s="1"/>
  <c r="N37" i="11"/>
  <c r="O36"/>
  <c r="AF221" i="18" l="1"/>
  <c r="AE222"/>
  <c r="AF222" s="1"/>
  <c r="AE227"/>
  <c r="AF227" s="1"/>
  <c r="AF226"/>
  <c r="U184"/>
  <c r="U185"/>
  <c r="N38" i="11"/>
  <c r="O37"/>
  <c r="O240" i="18" l="1"/>
  <c r="R240"/>
  <c r="N39" i="11"/>
  <c r="O38"/>
  <c r="N40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V230" s="1"/>
  <c r="W57"/>
  <c r="V231" l="1"/>
  <c r="V232" s="1"/>
  <c r="V229"/>
  <c r="V84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230" s="1"/>
  <c r="W66"/>
  <c r="W202" s="1"/>
  <c r="W80"/>
  <c r="W209" s="1"/>
  <c r="W71"/>
  <c r="W205" s="1"/>
  <c r="W72"/>
  <c r="W214" s="1"/>
  <c r="X57"/>
  <c r="W82"/>
  <c r="V141"/>
  <c r="V142" s="1"/>
  <c r="V143"/>
  <c r="V203"/>
  <c r="W231" l="1"/>
  <c r="W232" s="1"/>
  <c r="W229"/>
  <c r="W84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230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X231" l="1"/>
  <c r="X232" s="1"/>
  <c r="X229"/>
  <c r="W216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Y230" s="1"/>
  <c r="Z57"/>
  <c r="Y82"/>
  <c r="X203"/>
  <c r="X141"/>
  <c r="X142" s="1"/>
  <c r="X143"/>
  <c r="X84"/>
  <c r="X207" s="1"/>
  <c r="Y231" l="1"/>
  <c r="Y232" s="1"/>
  <c r="Y229"/>
  <c r="X216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230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231" l="1"/>
  <c r="Z232" s="1"/>
  <c r="Z229"/>
  <c r="Z84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230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AA231" l="1"/>
  <c r="AA232" s="1"/>
  <c r="AA229"/>
  <c r="Z216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230" s="1"/>
  <c r="AB139"/>
  <c r="AB140" s="1"/>
  <c r="AB72"/>
  <c r="AB214" s="1"/>
  <c r="AB82"/>
  <c r="AC57"/>
  <c r="AA203"/>
  <c r="AA141"/>
  <c r="AA142" s="1"/>
  <c r="AA143"/>
  <c r="AB231" l="1"/>
  <c r="AB232" s="1"/>
  <c r="AB229"/>
  <c r="AA216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230" s="1"/>
  <c r="AC139"/>
  <c r="AC140" s="1"/>
  <c r="AC82"/>
  <c r="AC72"/>
  <c r="AC214" s="1"/>
  <c r="AD57"/>
  <c r="AB203"/>
  <c r="AC231" l="1"/>
  <c r="AC232" s="1"/>
  <c r="AC229"/>
  <c r="AB216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230" s="1"/>
  <c r="AD139"/>
  <c r="AD140" s="1"/>
  <c r="AD72"/>
  <c r="AD214" s="1"/>
  <c r="AE57"/>
  <c r="AD82"/>
  <c r="AD231" l="1"/>
  <c r="AD232" s="1"/>
  <c r="AD229"/>
  <c r="AC216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AE230" s="1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AE231" l="1"/>
  <c r="AE232" s="1"/>
  <c r="AE229"/>
  <c r="H230"/>
  <c r="J230"/>
  <c r="L230"/>
  <c r="N230"/>
  <c r="P230"/>
  <c r="R230"/>
  <c r="G230"/>
  <c r="I230"/>
  <c r="K230"/>
  <c r="M230"/>
  <c r="O230"/>
  <c r="Q230"/>
  <c r="S230"/>
  <c r="U175"/>
  <c r="W196"/>
  <c r="AF214"/>
  <c r="AH214" s="1"/>
  <c r="U192"/>
  <c r="U177"/>
  <c r="U173"/>
  <c r="U181"/>
  <c r="AH84"/>
  <c r="AE207"/>
  <c r="AF84"/>
  <c r="AF206"/>
  <c r="AH206" s="1"/>
  <c r="V196"/>
  <c r="U193"/>
  <c r="U178"/>
  <c r="S241"/>
  <c r="U198"/>
  <c r="AH226"/>
  <c r="U194"/>
  <c r="AF205"/>
  <c r="AH205" s="1"/>
  <c r="U182"/>
  <c r="S239"/>
  <c r="U172"/>
  <c r="U195"/>
  <c r="AF209"/>
  <c r="AH209" s="1"/>
  <c r="AF208"/>
  <c r="AH208" s="1"/>
  <c r="AH222" s="1"/>
  <c r="U174"/>
  <c r="AE216"/>
  <c r="AF203"/>
  <c r="AH203" s="1"/>
  <c r="AH216" s="1"/>
  <c r="AH232" s="1"/>
  <c r="AF204"/>
  <c r="AH204" s="1"/>
  <c r="AH217" s="1"/>
  <c r="AF202"/>
  <c r="AH202" s="1"/>
  <c r="AH215" s="1"/>
  <c r="U171"/>
  <c r="R242" s="1"/>
  <c r="R243" s="1"/>
  <c r="S242"/>
  <c r="S243" s="1"/>
  <c r="U179"/>
  <c r="S238"/>
  <c r="AE143"/>
  <c r="AF140"/>
  <c r="AE141"/>
  <c r="AH230" l="1"/>
  <c r="AH229"/>
  <c r="S231"/>
  <c r="S229"/>
  <c r="T230"/>
  <c r="O231"/>
  <c r="O232" s="1"/>
  <c r="O229"/>
  <c r="K231"/>
  <c r="K232" s="1"/>
  <c r="K229"/>
  <c r="G231"/>
  <c r="G232" s="1"/>
  <c r="G229"/>
  <c r="P231"/>
  <c r="P232" s="1"/>
  <c r="P229"/>
  <c r="L231"/>
  <c r="L232" s="1"/>
  <c r="L229"/>
  <c r="H231"/>
  <c r="H232" s="1"/>
  <c r="H229"/>
  <c r="Q229"/>
  <c r="Q231"/>
  <c r="Q232" s="1"/>
  <c r="M229"/>
  <c r="M231"/>
  <c r="M232" s="1"/>
  <c r="I229"/>
  <c r="AF229" s="1"/>
  <c r="I231"/>
  <c r="AF230"/>
  <c r="R231"/>
  <c r="R232" s="1"/>
  <c r="R229"/>
  <c r="N231"/>
  <c r="N232" s="1"/>
  <c r="N229"/>
  <c r="J231"/>
  <c r="J232" s="1"/>
  <c r="J229"/>
  <c r="AH220"/>
  <c r="AH219"/>
  <c r="AF216"/>
  <c r="AE217"/>
  <c r="AF217" s="1"/>
  <c r="U196"/>
  <c r="AF141"/>
  <c r="AE142"/>
  <c r="AF142" s="1"/>
  <c r="R238"/>
  <c r="O238"/>
  <c r="O239"/>
  <c r="R239"/>
  <c r="O241"/>
  <c r="R241"/>
  <c r="AF207"/>
  <c r="AH207" s="1"/>
  <c r="AH221" s="1"/>
  <c r="T229" l="1"/>
  <c r="I232"/>
  <c r="AF232" s="1"/>
  <c r="AF231"/>
  <c r="T231"/>
  <c r="S232"/>
  <c r="T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<sst xmlns="http://schemas.openxmlformats.org/spreadsheetml/2006/main" count="780" uniqueCount="515">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</sst>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4" fontId="4" fillId="16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2583040"/>
        <c:axId val="72584576"/>
      </c:lineChart>
      <c:catAx>
        <c:axId val="72583040"/>
        <c:scaling>
          <c:orientation val="minMax"/>
        </c:scaling>
        <c:axPos val="b"/>
        <c:tickLblPos val="nextTo"/>
        <c:crossAx val="72584576"/>
        <c:crosses val="autoZero"/>
        <c:auto val="1"/>
        <c:lblAlgn val="ctr"/>
        <c:lblOffset val="100"/>
      </c:catAx>
      <c:valAx>
        <c:axId val="72584576"/>
        <c:scaling>
          <c:orientation val="minMax"/>
        </c:scaling>
        <c:axPos val="l"/>
        <c:majorGridlines/>
        <c:numFmt formatCode="General" sourceLinked="1"/>
        <c:tickLblPos val="nextTo"/>
        <c:crossAx val="7258304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5" t="s">
        <v>442</v>
      </c>
      <c r="C3" s="275"/>
      <c r="D3" s="275"/>
      <c r="G3" s="275" t="s">
        <v>443</v>
      </c>
      <c r="H3" s="275"/>
      <c r="I3" s="275"/>
      <c r="P3" s="276" t="s">
        <v>444</v>
      </c>
      <c r="Q3" s="277"/>
      <c r="R3" s="277"/>
      <c r="S3" s="278"/>
      <c r="T3" s="276" t="s">
        <v>445</v>
      </c>
      <c r="U3" s="277"/>
      <c r="V3" s="277"/>
      <c r="W3" s="278"/>
    </row>
    <row r="4" spans="2:23">
      <c r="B4" s="185" t="s">
        <v>446</v>
      </c>
      <c r="C4" s="279">
        <v>9500000</v>
      </c>
      <c r="D4" s="279"/>
      <c r="G4" s="185" t="s">
        <v>447</v>
      </c>
      <c r="H4" s="280">
        <v>200000</v>
      </c>
      <c r="I4" s="280"/>
      <c r="K4" s="186" t="s">
        <v>448</v>
      </c>
      <c r="L4" s="186" t="s">
        <v>78</v>
      </c>
      <c r="M4" s="186" t="s">
        <v>393</v>
      </c>
      <c r="N4" s="186" t="s">
        <v>449</v>
      </c>
      <c r="O4" s="186" t="s">
        <v>450</v>
      </c>
      <c r="P4" s="187" t="s">
        <v>451</v>
      </c>
      <c r="Q4" s="188" t="s">
        <v>287</v>
      </c>
      <c r="R4" s="188" t="s">
        <v>450</v>
      </c>
      <c r="S4" s="189" t="s">
        <v>452</v>
      </c>
      <c r="T4" s="187" t="s">
        <v>451</v>
      </c>
      <c r="U4" s="188" t="s">
        <v>287</v>
      </c>
      <c r="V4" s="188" t="s">
        <v>450</v>
      </c>
      <c r="W4" s="189" t="s">
        <v>452</v>
      </c>
    </row>
    <row r="5" spans="2:23">
      <c r="B5" s="185" t="s">
        <v>453</v>
      </c>
      <c r="C5" s="281">
        <v>0.08</v>
      </c>
      <c r="D5" s="282"/>
      <c r="G5" s="185" t="s">
        <v>453</v>
      </c>
      <c r="H5" s="283">
        <v>0.12</v>
      </c>
      <c r="I5" s="283"/>
      <c r="K5" s="185" t="s">
        <v>454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455</v>
      </c>
      <c r="C6" s="280">
        <v>30</v>
      </c>
      <c r="D6" s="280"/>
      <c r="G6" s="185" t="s">
        <v>455</v>
      </c>
      <c r="H6" s="280">
        <v>10</v>
      </c>
      <c r="I6" s="280"/>
      <c r="K6" s="185" t="s">
        <v>456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457</v>
      </c>
    </row>
    <row r="7" spans="2:23">
      <c r="B7" s="185"/>
      <c r="C7" s="284"/>
      <c r="D7" s="284"/>
      <c r="G7" s="185"/>
      <c r="H7" s="284"/>
      <c r="I7" s="284"/>
      <c r="K7" s="185" t="s">
        <v>458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84"/>
      <c r="D8" s="284"/>
      <c r="G8" s="185"/>
      <c r="H8" s="284"/>
      <c r="I8" s="284"/>
      <c r="K8" s="185" t="s">
        <v>459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447</v>
      </c>
      <c r="C9" s="285">
        <f>C4*(1/(1+C5)^C6)</f>
        <v>944084.6592231117</v>
      </c>
      <c r="D9" s="285"/>
      <c r="G9" s="203" t="s">
        <v>460</v>
      </c>
      <c r="H9" s="285">
        <f>H4*((1+H5)^H6)</f>
        <v>621169.64166884217</v>
      </c>
      <c r="I9" s="285"/>
      <c r="K9" s="185" t="s">
        <v>461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462</v>
      </c>
      <c r="C10" s="285">
        <f>C4-C9</f>
        <v>8555915.3407768887</v>
      </c>
      <c r="D10" s="285"/>
      <c r="G10" s="203" t="s">
        <v>462</v>
      </c>
      <c r="H10" s="286">
        <f>H9-H4</f>
        <v>421169.64166884217</v>
      </c>
      <c r="I10" s="286"/>
      <c r="K10" s="185" t="s">
        <v>463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464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465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75" t="s">
        <v>466</v>
      </c>
      <c r="C14" s="275"/>
      <c r="D14" s="275"/>
      <c r="G14" s="275" t="s">
        <v>467</v>
      </c>
      <c r="H14" s="275"/>
      <c r="I14" s="275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468</v>
      </c>
      <c r="C15" s="280">
        <v>24000</v>
      </c>
      <c r="D15" s="280"/>
      <c r="G15" s="185" t="s">
        <v>468</v>
      </c>
      <c r="H15" s="280">
        <v>200000</v>
      </c>
      <c r="I15" s="280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453</v>
      </c>
      <c r="C16" s="281">
        <v>0.1</v>
      </c>
      <c r="D16" s="282"/>
      <c r="G16" s="185" t="s">
        <v>453</v>
      </c>
      <c r="H16" s="281">
        <v>0.12</v>
      </c>
      <c r="I16" s="282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455</v>
      </c>
      <c r="C17" s="280">
        <v>20</v>
      </c>
      <c r="D17" s="280"/>
      <c r="G17" s="185" t="s">
        <v>455</v>
      </c>
      <c r="H17" s="280">
        <v>10</v>
      </c>
      <c r="I17" s="280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84"/>
      <c r="D18" s="284"/>
      <c r="G18" s="185"/>
      <c r="H18" s="284"/>
      <c r="I18" s="284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469</v>
      </c>
      <c r="C19" s="287">
        <f>( ( 1-  (1/ ( (1+C16)^C17) ) ) / C16)</f>
        <v>8.5135637197585652</v>
      </c>
      <c r="D19" s="288"/>
      <c r="G19" s="203" t="s">
        <v>470</v>
      </c>
      <c r="H19" s="287">
        <f>( ((1+H16)^H17) -1 ) / H16</f>
        <v>17.548735069535095</v>
      </c>
      <c r="I19" s="288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471</v>
      </c>
      <c r="C20" s="289">
        <f>C19 * C15</f>
        <v>204325.52927420556</v>
      </c>
      <c r="D20" s="290"/>
      <c r="G20" s="203" t="s">
        <v>472</v>
      </c>
      <c r="H20" s="287">
        <f>H19 * H15</f>
        <v>3509747.013907019</v>
      </c>
      <c r="I20" s="288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91"/>
      <c r="D21" s="292"/>
      <c r="G21" s="203"/>
      <c r="H21" s="291"/>
      <c r="I21" s="292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5"/>
      <c r="D22" s="285"/>
      <c r="G22" s="203"/>
      <c r="H22" s="285"/>
      <c r="I22" s="285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75" t="s">
        <v>473</v>
      </c>
      <c r="C26" s="275"/>
      <c r="D26" s="275"/>
      <c r="G26" s="275" t="s">
        <v>474</v>
      </c>
      <c r="H26" s="275"/>
      <c r="I26" s="275"/>
      <c r="K26" s="275" t="s">
        <v>15</v>
      </c>
      <c r="L26" s="275"/>
    </row>
    <row r="27" spans="2:18">
      <c r="B27" s="185" t="s">
        <v>468</v>
      </c>
      <c r="C27" s="280">
        <v>100</v>
      </c>
      <c r="D27" s="280"/>
      <c r="G27" s="185" t="s">
        <v>468</v>
      </c>
      <c r="H27" s="280">
        <v>200000</v>
      </c>
      <c r="I27" s="280"/>
      <c r="K27" s="10" t="s">
        <v>16</v>
      </c>
      <c r="L27" s="11">
        <v>45</v>
      </c>
      <c r="M27" s="216">
        <f>L27*M39</f>
        <v>9375000</v>
      </c>
      <c r="N27" t="s">
        <v>475</v>
      </c>
    </row>
    <row r="28" spans="2:18">
      <c r="B28" s="185" t="s">
        <v>453</v>
      </c>
      <c r="C28" s="281">
        <v>0.05</v>
      </c>
      <c r="D28" s="282"/>
      <c r="G28" s="185" t="s">
        <v>453</v>
      </c>
      <c r="H28" s="281">
        <v>0.12</v>
      </c>
      <c r="I28" s="282"/>
      <c r="K28" s="10" t="s">
        <v>17</v>
      </c>
      <c r="L28" s="11">
        <v>240</v>
      </c>
      <c r="M28" s="217"/>
      <c r="R28">
        <v>416</v>
      </c>
    </row>
    <row r="29" spans="2:18">
      <c r="B29" s="185" t="s">
        <v>455</v>
      </c>
      <c r="C29" s="280">
        <v>3</v>
      </c>
      <c r="D29" s="280"/>
      <c r="G29" s="185" t="s">
        <v>455</v>
      </c>
      <c r="H29" s="280">
        <v>11</v>
      </c>
      <c r="I29" s="280"/>
      <c r="K29" s="10" t="s">
        <v>18</v>
      </c>
      <c r="L29" s="12">
        <v>10</v>
      </c>
      <c r="M29" s="218">
        <f>L27/100000</f>
        <v>4.4999999999999999E-4</v>
      </c>
      <c r="N29" t="s">
        <v>476</v>
      </c>
    </row>
    <row r="30" spans="2:18" ht="15.75" thickBot="1">
      <c r="B30" s="185"/>
      <c r="C30" s="284"/>
      <c r="D30" s="284"/>
      <c r="G30" s="185"/>
      <c r="H30" s="284"/>
      <c r="I30" s="284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477</v>
      </c>
    </row>
    <row r="31" spans="2:18">
      <c r="B31" s="203" t="s">
        <v>469</v>
      </c>
      <c r="C31" s="287">
        <f>( ( ( 1-  (1/ ( (1+C28)^C29) ) ) / C28) ) * (1+C28)</f>
        <v>2.859410430839004</v>
      </c>
      <c r="D31" s="288"/>
      <c r="G31" s="203" t="s">
        <v>470</v>
      </c>
      <c r="H31" s="287">
        <f>(( ((1+H28)^H29) -1 ) / H28 ) * ( 1+H28)</f>
        <v>23.133133271224832</v>
      </c>
      <c r="I31" s="288"/>
      <c r="K31" s="13" t="s">
        <v>20</v>
      </c>
      <c r="L31" s="14">
        <f>L29*12</f>
        <v>120</v>
      </c>
      <c r="P31" s="219" t="s">
        <v>478</v>
      </c>
      <c r="Q31" s="220" t="s">
        <v>479</v>
      </c>
    </row>
    <row r="32" spans="2:18">
      <c r="B32" s="203" t="s">
        <v>480</v>
      </c>
      <c r="C32" s="287">
        <f>C31 * C27</f>
        <v>285.94104308390041</v>
      </c>
      <c r="D32" s="288"/>
      <c r="G32" s="203" t="s">
        <v>481</v>
      </c>
      <c r="H32" s="287">
        <f>H31 * H27</f>
        <v>4626626.6542449668</v>
      </c>
      <c r="I32" s="288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91"/>
      <c r="D33" s="292"/>
      <c r="G33" s="203"/>
      <c r="H33" s="291"/>
      <c r="I33" s="292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85"/>
      <c r="D34" s="285"/>
      <c r="G34" s="203"/>
      <c r="H34" s="285"/>
      <c r="I34" s="285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75" t="s">
        <v>24</v>
      </c>
      <c r="C36" s="275"/>
      <c r="D36" s="275"/>
      <c r="E36" s="223"/>
      <c r="G36" s="275" t="s">
        <v>53</v>
      </c>
      <c r="H36" s="275"/>
      <c r="K36" s="275" t="s">
        <v>337</v>
      </c>
      <c r="L36" s="275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482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483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484</v>
      </c>
      <c r="L39" s="10"/>
      <c r="M39" s="217">
        <f>M37/L38</f>
        <v>208333.33333333334</v>
      </c>
      <c r="N39" t="s">
        <v>485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486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95" t="s">
        <v>460</v>
      </c>
      <c r="D43" s="295"/>
      <c r="E43" s="295"/>
      <c r="F43" s="295"/>
      <c r="J43" s="295" t="s">
        <v>460</v>
      </c>
      <c r="K43" s="295"/>
      <c r="L43" s="295"/>
      <c r="M43" s="295"/>
    </row>
    <row r="44" spans="2:17" ht="15.75" thickBot="1">
      <c r="B44" s="233"/>
      <c r="C44" s="293" t="s">
        <v>487</v>
      </c>
      <c r="D44" s="294"/>
      <c r="E44" s="234" t="s">
        <v>488</v>
      </c>
      <c r="F44" s="234"/>
      <c r="G44" s="235"/>
      <c r="I44" s="233"/>
      <c r="J44" s="293" t="s">
        <v>489</v>
      </c>
      <c r="K44" s="294"/>
      <c r="L44" s="234" t="s">
        <v>490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96" t="s">
        <v>491</v>
      </c>
      <c r="C46" s="297"/>
      <c r="D46" s="297"/>
      <c r="E46" s="297"/>
      <c r="F46" s="297"/>
      <c r="G46" s="298"/>
      <c r="I46" s="296" t="s">
        <v>491</v>
      </c>
      <c r="J46" s="297"/>
      <c r="K46" s="297"/>
      <c r="L46" s="297"/>
      <c r="M46" s="297"/>
      <c r="N46" s="298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492</v>
      </c>
      <c r="D48" s="238" t="s">
        <v>493</v>
      </c>
      <c r="E48" s="238" t="s">
        <v>494</v>
      </c>
      <c r="F48" s="238" t="s">
        <v>495</v>
      </c>
      <c r="G48" s="239" t="s">
        <v>496</v>
      </c>
      <c r="I48" s="237" t="s">
        <v>14</v>
      </c>
      <c r="J48" s="238" t="s">
        <v>492</v>
      </c>
      <c r="K48" s="238" t="s">
        <v>497</v>
      </c>
      <c r="L48" s="238" t="s">
        <v>494</v>
      </c>
      <c r="M48" s="238" t="s">
        <v>495</v>
      </c>
      <c r="N48" s="239" t="s">
        <v>496</v>
      </c>
      <c r="O48" s="240" t="s">
        <v>498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299" t="s">
        <v>499</v>
      </c>
      <c r="C81" s="300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299" t="s">
        <v>499</v>
      </c>
      <c r="J81" s="300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500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500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95" t="s">
        <v>501</v>
      </c>
      <c r="D84" s="295"/>
      <c r="E84" s="295"/>
      <c r="F84" s="295"/>
      <c r="H84" s="254">
        <f t="shared" si="14"/>
        <v>0</v>
      </c>
      <c r="J84" s="295" t="s">
        <v>501</v>
      </c>
      <c r="K84" s="295"/>
      <c r="L84" s="295"/>
      <c r="M84" s="295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93" t="s">
        <v>487</v>
      </c>
      <c r="D86" s="294"/>
      <c r="E86" s="234" t="s">
        <v>488</v>
      </c>
      <c r="F86" s="234"/>
      <c r="G86" s="235"/>
      <c r="H86" s="254">
        <f t="shared" si="14"/>
        <v>0</v>
      </c>
      <c r="I86" s="233"/>
      <c r="J86" s="293" t="s">
        <v>502</v>
      </c>
      <c r="K86" s="294"/>
      <c r="L86" s="234" t="s">
        <v>503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96" t="s">
        <v>504</v>
      </c>
      <c r="C88" s="297"/>
      <c r="D88" s="297"/>
      <c r="E88" s="297"/>
      <c r="F88" s="297"/>
      <c r="G88" s="298"/>
      <c r="H88" s="254">
        <f t="shared" si="14"/>
        <v>0</v>
      </c>
      <c r="I88" s="296" t="s">
        <v>504</v>
      </c>
      <c r="J88" s="297"/>
      <c r="K88" s="297"/>
      <c r="L88" s="297"/>
      <c r="M88" s="297"/>
      <c r="N88" s="298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492</v>
      </c>
      <c r="D90" s="238" t="s">
        <v>505</v>
      </c>
      <c r="E90" s="238" t="s">
        <v>494</v>
      </c>
      <c r="F90" s="238" t="s">
        <v>506</v>
      </c>
      <c r="G90" s="239" t="s">
        <v>507</v>
      </c>
      <c r="I90" s="237" t="s">
        <v>14</v>
      </c>
      <c r="J90" s="238" t="s">
        <v>508</v>
      </c>
      <c r="K90" s="238" t="s">
        <v>509</v>
      </c>
      <c r="L90" s="238" t="s">
        <v>494</v>
      </c>
      <c r="M90" s="238" t="s">
        <v>506</v>
      </c>
      <c r="N90" s="239" t="s">
        <v>507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299" t="s">
        <v>510</v>
      </c>
      <c r="C124" s="300"/>
      <c r="D124" s="259">
        <f>SUM(D91:D123)</f>
        <v>1900</v>
      </c>
      <c r="E124" s="257"/>
      <c r="F124" s="257"/>
      <c r="G124" s="271">
        <f>G121</f>
        <v>1413.1902480939689</v>
      </c>
      <c r="I124" s="299" t="s">
        <v>510</v>
      </c>
      <c r="J124" s="300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9"/>
  <sheetViews>
    <sheetView tabSelected="1" zoomScale="80" zoomScaleNormal="80" workbookViewId="0">
      <pane xSplit="2" ySplit="3" topLeftCell="K4" activePane="bottomRight" state="frozen"/>
      <selection pane="topRight" activeCell="C1" sqref="C1"/>
      <selection pane="bottomLeft" activeCell="A5" sqref="A5"/>
      <selection pane="bottomRight" activeCell="S10" sqref="S10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7" width="9.7109375" style="89" customWidth="1"/>
    <col min="8" max="8" width="10.85546875" style="89" customWidth="1"/>
    <col min="9" max="9" width="13.5703125" style="89" bestFit="1" customWidth="1"/>
    <col min="10" max="10" width="11.28515625" style="89" bestFit="1" customWidth="1"/>
    <col min="11" max="18" width="12.28515625" style="89" bestFit="1" customWidth="1"/>
    <col min="19" max="19" width="10.7109375" style="89" customWidth="1"/>
    <col min="20" max="20" width="9.42578125" style="89" bestFit="1" customWidth="1"/>
    <col min="21" max="21" width="10.85546875" style="89" bestFit="1" customWidth="1"/>
    <col min="22" max="23" width="9.7109375" style="89" bestFit="1" customWidth="1"/>
    <col min="24" max="30" width="8" style="89" bestFit="1" customWidth="1"/>
    <col min="31" max="31" width="11.28515625" style="89" bestFit="1" customWidth="1"/>
    <col min="32" max="32" width="9.28515625" style="89" bestFit="1" customWidth="1"/>
    <col min="33" max="33" width="9" style="89" customWidth="1"/>
    <col min="34" max="34" width="10.7109375" style="89" customWidth="1"/>
    <col min="35" max="16384" width="9.140625" style="89"/>
  </cols>
  <sheetData>
    <row r="1" spans="2:34">
      <c r="B1" s="106" t="s">
        <v>199</v>
      </c>
      <c r="C1" s="107">
        <f>R2</f>
        <v>0.08</v>
      </c>
      <c r="H1" s="89" t="s">
        <v>210</v>
      </c>
      <c r="J1" s="108">
        <v>2004</v>
      </c>
      <c r="L1" s="89" t="s">
        <v>272</v>
      </c>
      <c r="N1" s="141">
        <v>0.05</v>
      </c>
      <c r="P1" s="89" t="s">
        <v>343</v>
      </c>
      <c r="R1" s="141">
        <v>0.05</v>
      </c>
    </row>
    <row r="2" spans="2:34">
      <c r="B2" s="130" t="s">
        <v>262</v>
      </c>
      <c r="C2" s="103"/>
      <c r="H2" s="89" t="s">
        <v>211</v>
      </c>
      <c r="J2" s="108">
        <v>2016</v>
      </c>
      <c r="L2" s="89" t="s">
        <v>273</v>
      </c>
      <c r="N2" s="141">
        <v>0.12</v>
      </c>
      <c r="P2" s="89" t="s">
        <v>409</v>
      </c>
      <c r="R2" s="141">
        <v>0.08</v>
      </c>
      <c r="V2" s="98" t="s">
        <v>5</v>
      </c>
      <c r="W2" s="98" t="s">
        <v>6</v>
      </c>
      <c r="X2" s="98" t="s">
        <v>7</v>
      </c>
      <c r="Y2" s="98" t="s">
        <v>8</v>
      </c>
      <c r="Z2" s="98" t="s">
        <v>9</v>
      </c>
      <c r="AA2" s="98" t="s">
        <v>192</v>
      </c>
      <c r="AB2" s="98" t="s">
        <v>193</v>
      </c>
      <c r="AC2" s="98" t="s">
        <v>194</v>
      </c>
      <c r="AD2" s="98" t="s">
        <v>195</v>
      </c>
      <c r="AE2" s="98" t="s">
        <v>196</v>
      </c>
      <c r="AG2" s="305" t="s">
        <v>241</v>
      </c>
      <c r="AH2" s="306"/>
    </row>
    <row r="3" spans="2:34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9" t="s">
        <v>1</v>
      </c>
      <c r="U3" s="99" t="s">
        <v>212</v>
      </c>
      <c r="V3" s="98">
        <v>2016</v>
      </c>
      <c r="W3" s="98">
        <v>2017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114" t="s">
        <v>1</v>
      </c>
      <c r="AG3" s="307" t="s">
        <v>242</v>
      </c>
      <c r="AH3" s="308"/>
    </row>
    <row r="4" spans="2:34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15"/>
      <c r="AG4" s="10"/>
      <c r="AH4" s="10"/>
    </row>
    <row r="5" spans="2:34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0"/>
      <c r="U5" s="10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15"/>
      <c r="AG5" s="10"/>
      <c r="AH5" s="131"/>
    </row>
    <row r="6" spans="2:34">
      <c r="B6" s="10" t="s">
        <v>10</v>
      </c>
      <c r="C6" s="119"/>
      <c r="D6" s="119"/>
      <c r="E6" s="125"/>
      <c r="F6" s="125"/>
      <c r="G6" s="125">
        <f>L6</f>
        <v>446</v>
      </c>
      <c r="H6" s="125"/>
      <c r="I6" s="125"/>
      <c r="J6" s="125"/>
      <c r="K6" s="125"/>
      <c r="L6" s="125">
        <v>446</v>
      </c>
      <c r="M6" s="125">
        <v>3597</v>
      </c>
      <c r="N6" s="125">
        <v>4107</v>
      </c>
      <c r="O6" s="125">
        <v>3861</v>
      </c>
      <c r="P6" s="125">
        <v>1900</v>
      </c>
      <c r="Q6" s="125">
        <v>3671</v>
      </c>
      <c r="R6" s="182">
        <v>2852</v>
      </c>
      <c r="S6" s="182">
        <v>4042</v>
      </c>
      <c r="T6" s="101">
        <f>((S6/G6)^(1/($J$2-$J$1) ))-1</f>
        <v>0.20163283633260565</v>
      </c>
      <c r="U6" s="21">
        <f>$N$2</f>
        <v>0.12</v>
      </c>
      <c r="V6" s="131">
        <f>S6*(1+$U6)</f>
        <v>4527.0400000000009</v>
      </c>
      <c r="W6" s="131">
        <f>V6*(1+$U6)</f>
        <v>5070.2848000000013</v>
      </c>
      <c r="X6" s="131">
        <f t="shared" ref="X6:AE6" si="0">W6*(1+$U6)</f>
        <v>5678.7189760000019</v>
      </c>
      <c r="Y6" s="131">
        <f t="shared" si="0"/>
        <v>6360.1652531200025</v>
      </c>
      <c r="Z6" s="131">
        <f t="shared" si="0"/>
        <v>7123.3850834944033</v>
      </c>
      <c r="AA6" s="131">
        <f t="shared" si="0"/>
        <v>7978.1912935137325</v>
      </c>
      <c r="AB6" s="131">
        <f t="shared" si="0"/>
        <v>8935.5742487353818</v>
      </c>
      <c r="AC6" s="131">
        <f t="shared" si="0"/>
        <v>10007.843158583628</v>
      </c>
      <c r="AD6" s="131">
        <f t="shared" si="0"/>
        <v>11208.784337613664</v>
      </c>
      <c r="AE6" s="131">
        <f t="shared" si="0"/>
        <v>12553.838458127306</v>
      </c>
      <c r="AF6" s="116" t="e">
        <f>((AE6/I6)^(1/($AE$3-$J$1) ))-1</f>
        <v>#DIV/0!</v>
      </c>
      <c r="AG6" s="21">
        <f>$N$1</f>
        <v>0.05</v>
      </c>
      <c r="AH6" s="124">
        <f t="shared" ref="AH6:AH59" si="1">(AE6*(1+AG6))/($C$1-AG6)</f>
        <v>439384.34603445575</v>
      </c>
    </row>
    <row r="7" spans="2:34">
      <c r="B7" s="10" t="s">
        <v>198</v>
      </c>
      <c r="C7" s="119"/>
      <c r="D7" s="119"/>
      <c r="E7" s="125"/>
      <c r="F7" s="125"/>
      <c r="G7" s="125">
        <f>L7</f>
        <v>2288</v>
      </c>
      <c r="H7" s="125"/>
      <c r="I7" s="125"/>
      <c r="J7" s="125"/>
      <c r="K7" s="125"/>
      <c r="L7" s="125">
        <v>2288</v>
      </c>
      <c r="M7" s="125">
        <v>5778</v>
      </c>
      <c r="N7" s="125">
        <v>6287</v>
      </c>
      <c r="O7" s="125">
        <v>6041</v>
      </c>
      <c r="P7" s="125">
        <v>4293</v>
      </c>
      <c r="Q7" s="125">
        <v>6543</v>
      </c>
      <c r="R7" s="182">
        <v>5724</v>
      </c>
      <c r="S7" s="182">
        <v>7376</v>
      </c>
      <c r="T7" s="101">
        <f>((S7/G7)^(1/($J$2-$J$1) ))-1</f>
        <v>0.10246228344674746</v>
      </c>
      <c r="U7" s="21">
        <f>$N$2</f>
        <v>0.12</v>
      </c>
      <c r="V7" s="274">
        <v>3000</v>
      </c>
      <c r="W7" s="131">
        <f t="shared" ref="W7:AE7" si="2">V7*(1+$U7)</f>
        <v>3360.0000000000005</v>
      </c>
      <c r="X7" s="131">
        <f t="shared" si="2"/>
        <v>3763.2000000000007</v>
      </c>
      <c r="Y7" s="131">
        <f t="shared" si="2"/>
        <v>4214.7840000000015</v>
      </c>
      <c r="Z7" s="131">
        <f t="shared" si="2"/>
        <v>4720.5580800000025</v>
      </c>
      <c r="AA7" s="131">
        <f t="shared" si="2"/>
        <v>5287.0250496000035</v>
      </c>
      <c r="AB7" s="131">
        <f t="shared" si="2"/>
        <v>5921.4680555520044</v>
      </c>
      <c r="AC7" s="131">
        <f t="shared" si="2"/>
        <v>6632.0442222182455</v>
      </c>
      <c r="AD7" s="131">
        <f t="shared" si="2"/>
        <v>7427.889528884436</v>
      </c>
      <c r="AE7" s="131">
        <f t="shared" si="2"/>
        <v>8319.2362723505685</v>
      </c>
      <c r="AF7" s="116" t="e">
        <f>((AE7/I7)^(1/($AE$3-$J$1) ))-1</f>
        <v>#DIV/0!</v>
      </c>
      <c r="AG7" s="21">
        <f>$N$1</f>
        <v>0.05</v>
      </c>
      <c r="AH7" s="124">
        <f t="shared" si="1"/>
        <v>291173.26953226991</v>
      </c>
    </row>
    <row r="8" spans="2:34">
      <c r="B8" s="10"/>
      <c r="C8" s="119"/>
      <c r="D8" s="119"/>
      <c r="E8" s="125"/>
      <c r="F8" s="125"/>
      <c r="G8" s="272">
        <f>(G7-F7)/G7</f>
        <v>1</v>
      </c>
      <c r="H8" s="128" t="e">
        <f>(H7-G7)/H7</f>
        <v>#DIV/0!</v>
      </c>
      <c r="I8" s="128" t="e">
        <f t="shared" ref="I8:Q8" si="3">(I7-H7)/I7</f>
        <v>#DIV/0!</v>
      </c>
      <c r="J8" s="128" t="e">
        <f t="shared" si="3"/>
        <v>#DIV/0!</v>
      </c>
      <c r="K8" s="128" t="e">
        <f t="shared" si="3"/>
        <v>#DIV/0!</v>
      </c>
      <c r="L8" s="128">
        <f t="shared" si="3"/>
        <v>1</v>
      </c>
      <c r="M8" s="128">
        <f t="shared" si="3"/>
        <v>0.60401523018345449</v>
      </c>
      <c r="N8" s="128">
        <f t="shared" si="3"/>
        <v>8.0960712581517422E-2</v>
      </c>
      <c r="O8" s="128">
        <f t="shared" si="3"/>
        <v>-4.0721734812117202E-2</v>
      </c>
      <c r="P8" s="128">
        <f t="shared" si="3"/>
        <v>-0.40717447006755181</v>
      </c>
      <c r="Q8" s="128">
        <f t="shared" si="3"/>
        <v>0.34387895460797802</v>
      </c>
      <c r="R8" s="128">
        <f t="shared" ref="R8" si="4">(R7-Q7)/Q7</f>
        <v>-0.12517193947730398</v>
      </c>
      <c r="S8" s="128">
        <f t="shared" ref="S8" si="5">(S7-R7)/R7</f>
        <v>0.28860936408106219</v>
      </c>
      <c r="T8" s="110"/>
      <c r="U8" s="10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15"/>
      <c r="AG8" s="115"/>
      <c r="AH8" s="124"/>
    </row>
    <row r="9" spans="2:34">
      <c r="B9" s="10" t="s">
        <v>221</v>
      </c>
      <c r="C9" s="119"/>
      <c r="D9" s="119"/>
      <c r="E9" s="125"/>
      <c r="F9" s="125"/>
      <c r="G9" s="125">
        <f>L9</f>
        <v>562</v>
      </c>
      <c r="H9" s="125"/>
      <c r="I9" s="125"/>
      <c r="J9" s="125"/>
      <c r="K9" s="125"/>
      <c r="L9" s="125">
        <v>562</v>
      </c>
      <c r="M9" s="125">
        <v>1494</v>
      </c>
      <c r="N9" s="125">
        <v>3630</v>
      </c>
      <c r="O9" s="125">
        <v>8045</v>
      </c>
      <c r="P9" s="125">
        <v>12294</v>
      </c>
      <c r="Q9" s="125">
        <v>11530</v>
      </c>
      <c r="R9" s="182">
        <v>10935</v>
      </c>
      <c r="S9" s="182">
        <v>12574</v>
      </c>
      <c r="T9" s="101">
        <f>((S9/G9)^(1/($J$2-$J$1) ))-1</f>
        <v>0.29562134726626033</v>
      </c>
      <c r="U9" s="21">
        <f t="shared" ref="U9:U55" si="6">$N$2</f>
        <v>0.12</v>
      </c>
      <c r="V9" s="131">
        <f t="shared" ref="V9:V59" si="7">S9*(1+$U9)</f>
        <v>14082.880000000001</v>
      </c>
      <c r="W9" s="131">
        <f t="shared" ref="W9" si="8">V9*(1+$U9)</f>
        <v>15772.825600000002</v>
      </c>
      <c r="X9" s="131">
        <f t="shared" ref="X9" si="9">W9*(1+$U9)</f>
        <v>17665.564672000004</v>
      </c>
      <c r="Y9" s="131">
        <f t="shared" ref="Y9" si="10">X9*(1+$U9)</f>
        <v>19785.432432640006</v>
      </c>
      <c r="Z9" s="131">
        <f t="shared" ref="Z9" si="11">Y9*(1+$U9)</f>
        <v>22159.684324556809</v>
      </c>
      <c r="AA9" s="131">
        <f t="shared" ref="AA9" si="12">Z9*(1+$U9)</f>
        <v>24818.846443503629</v>
      </c>
      <c r="AB9" s="131">
        <f t="shared" ref="AB9" si="13">AA9*(1+$U9)</f>
        <v>27797.108016724069</v>
      </c>
      <c r="AC9" s="131">
        <f t="shared" ref="AC9" si="14">AB9*(1+$U9)</f>
        <v>31132.760978730959</v>
      </c>
      <c r="AD9" s="131">
        <f t="shared" ref="AD9" si="15">AC9*(1+$U9)</f>
        <v>34868.692296178677</v>
      </c>
      <c r="AE9" s="131">
        <f t="shared" ref="AE9" si="16">AD9*(1+$U9)</f>
        <v>39052.935371720123</v>
      </c>
      <c r="AF9" s="116" t="e">
        <f>((AE9/I9)^(1/($AE$3-$J$1) ))-1</f>
        <v>#DIV/0!</v>
      </c>
      <c r="AG9" s="21">
        <f t="shared" ref="AG9:AG99" si="17">$N$1</f>
        <v>0.05</v>
      </c>
      <c r="AH9" s="124">
        <f t="shared" si="1"/>
        <v>1366852.7380102044</v>
      </c>
    </row>
    <row r="10" spans="2:34">
      <c r="B10" s="10" t="s">
        <v>3</v>
      </c>
      <c r="C10" s="119"/>
      <c r="D10" s="119"/>
      <c r="E10" s="125"/>
      <c r="F10" s="125"/>
      <c r="G10" s="125">
        <f>L10</f>
        <v>4989</v>
      </c>
      <c r="H10" s="125"/>
      <c r="I10" s="125"/>
      <c r="J10" s="125"/>
      <c r="K10" s="125"/>
      <c r="L10" s="125">
        <v>4989</v>
      </c>
      <c r="M10" s="125">
        <v>10570</v>
      </c>
      <c r="N10" s="125">
        <v>24502</v>
      </c>
      <c r="O10" s="125">
        <v>36005</v>
      </c>
      <c r="P10" s="125">
        <v>37602</v>
      </c>
      <c r="Q10" s="125">
        <v>39768</v>
      </c>
      <c r="R10" s="182">
        <v>41384</v>
      </c>
      <c r="S10" s="182">
        <v>49129</v>
      </c>
      <c r="T10" s="101">
        <f>((S10/G10)^(1/($J$2-$J$1) ))-1</f>
        <v>0.20997677705870821</v>
      </c>
      <c r="U10" s="21">
        <f t="shared" si="6"/>
        <v>0.12</v>
      </c>
      <c r="V10" s="131">
        <f t="shared" si="7"/>
        <v>55024.480000000003</v>
      </c>
      <c r="W10" s="131">
        <f t="shared" ref="W10:AE10" si="18">V10*(1+$U10)</f>
        <v>61627.417600000008</v>
      </c>
      <c r="X10" s="131">
        <f t="shared" si="18"/>
        <v>69022.707712000018</v>
      </c>
      <c r="Y10" s="131">
        <f t="shared" si="18"/>
        <v>77305.432637440026</v>
      </c>
      <c r="Z10" s="131">
        <f t="shared" si="18"/>
        <v>86582.084553932844</v>
      </c>
      <c r="AA10" s="131">
        <f t="shared" si="18"/>
        <v>96971.934700404789</v>
      </c>
      <c r="AB10" s="131">
        <f t="shared" si="18"/>
        <v>108608.56686445337</v>
      </c>
      <c r="AC10" s="131">
        <f t="shared" si="18"/>
        <v>121641.59488818778</v>
      </c>
      <c r="AD10" s="131">
        <f t="shared" si="18"/>
        <v>136238.58627477032</v>
      </c>
      <c r="AE10" s="131">
        <f t="shared" si="18"/>
        <v>152587.21662774278</v>
      </c>
      <c r="AF10" s="116" t="e">
        <f t="shared" ref="AF10:AF57" si="19">((AE10/I10)^(1/($AE$3-$J$1) ))-1</f>
        <v>#DIV/0!</v>
      </c>
      <c r="AG10" s="21">
        <f t="shared" si="17"/>
        <v>0.05</v>
      </c>
      <c r="AH10" s="124">
        <f t="shared" si="1"/>
        <v>5340552.5819709972</v>
      </c>
    </row>
    <row r="11" spans="2:34">
      <c r="B11" s="10"/>
      <c r="C11" s="119"/>
      <c r="D11" s="119"/>
      <c r="E11" s="125"/>
      <c r="F11" s="125"/>
      <c r="G11" s="272">
        <f>(G10-F10)/G10</f>
        <v>1</v>
      </c>
      <c r="H11" s="272" t="e">
        <f t="shared" ref="H11:Q11" si="20">(H10-G10)/H10</f>
        <v>#DIV/0!</v>
      </c>
      <c r="I11" s="272" t="e">
        <f t="shared" si="20"/>
        <v>#DIV/0!</v>
      </c>
      <c r="J11" s="272" t="e">
        <f t="shared" si="20"/>
        <v>#DIV/0!</v>
      </c>
      <c r="K11" s="272" t="e">
        <f t="shared" si="20"/>
        <v>#DIV/0!</v>
      </c>
      <c r="L11" s="272">
        <f t="shared" si="20"/>
        <v>1</v>
      </c>
      <c r="M11" s="272">
        <f t="shared" si="20"/>
        <v>0.52800378429517503</v>
      </c>
      <c r="N11" s="272">
        <f t="shared" si="20"/>
        <v>0.56860664435556285</v>
      </c>
      <c r="O11" s="272">
        <f t="shared" si="20"/>
        <v>0.3194834050826274</v>
      </c>
      <c r="P11" s="272">
        <f t="shared" si="20"/>
        <v>4.2471145151853622E-2</v>
      </c>
      <c r="Q11" s="272">
        <f t="shared" si="20"/>
        <v>5.4465902232951113E-2</v>
      </c>
      <c r="R11" s="128">
        <f t="shared" ref="R11" si="21">(R10-Q10)/Q10</f>
        <v>4.0635686984510158E-2</v>
      </c>
      <c r="S11" s="128">
        <f t="shared" ref="S11" si="22">(S10-R10)/R10</f>
        <v>0.18714962304272181</v>
      </c>
      <c r="T11" s="110"/>
      <c r="U11" s="10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02"/>
      <c r="AG11" s="21">
        <f t="shared" si="17"/>
        <v>0.05</v>
      </c>
      <c r="AH11" s="131"/>
    </row>
    <row r="12" spans="2:34">
      <c r="B12" s="10" t="s">
        <v>2</v>
      </c>
      <c r="C12" s="119"/>
      <c r="D12" s="119"/>
      <c r="E12" s="125"/>
      <c r="F12" s="125"/>
      <c r="G12" s="125">
        <f>L12</f>
        <v>558</v>
      </c>
      <c r="H12" s="125"/>
      <c r="I12" s="125"/>
      <c r="J12" s="125"/>
      <c r="K12" s="125"/>
      <c r="L12" s="125">
        <v>558</v>
      </c>
      <c r="M12" s="125">
        <f>953+213</f>
        <v>1166</v>
      </c>
      <c r="N12" s="125">
        <v>1255</v>
      </c>
      <c r="O12" s="125">
        <v>3240</v>
      </c>
      <c r="P12" s="125">
        <v>1718</v>
      </c>
      <c r="Q12" s="125">
        <v>830</v>
      </c>
      <c r="R12" s="182">
        <v>856</v>
      </c>
      <c r="S12" s="182">
        <v>868</v>
      </c>
      <c r="T12" s="101">
        <f>((S12/G12)^(1/($J$2-$J$1) ))-1</f>
        <v>3.7505626274562331E-2</v>
      </c>
      <c r="U12" s="21">
        <f t="shared" si="6"/>
        <v>0.12</v>
      </c>
      <c r="V12" s="131">
        <f t="shared" si="7"/>
        <v>972.16000000000008</v>
      </c>
      <c r="W12" s="131">
        <f t="shared" ref="W12:AE12" si="23">V12*(1+$U12)</f>
        <v>1088.8192000000001</v>
      </c>
      <c r="X12" s="131">
        <f t="shared" si="23"/>
        <v>1219.4775040000002</v>
      </c>
      <c r="Y12" s="131">
        <f t="shared" si="23"/>
        <v>1365.8148044800002</v>
      </c>
      <c r="Z12" s="131">
        <f t="shared" si="23"/>
        <v>1529.7125810176003</v>
      </c>
      <c r="AA12" s="131">
        <f t="shared" si="23"/>
        <v>1713.2780907397125</v>
      </c>
      <c r="AB12" s="131">
        <f t="shared" si="23"/>
        <v>1918.8714616284783</v>
      </c>
      <c r="AC12" s="131">
        <f t="shared" si="23"/>
        <v>2149.1360370238958</v>
      </c>
      <c r="AD12" s="131">
        <f t="shared" si="23"/>
        <v>2407.0323614667636</v>
      </c>
      <c r="AE12" s="131">
        <f t="shared" si="23"/>
        <v>2695.8762448427756</v>
      </c>
      <c r="AF12" s="116" t="e">
        <f t="shared" si="19"/>
        <v>#DIV/0!</v>
      </c>
      <c r="AG12" s="21">
        <f t="shared" si="17"/>
        <v>0.05</v>
      </c>
      <c r="AH12" s="124">
        <f t="shared" si="1"/>
        <v>94355.668569497153</v>
      </c>
    </row>
    <row r="13" spans="2:34">
      <c r="B13" s="10" t="s">
        <v>191</v>
      </c>
      <c r="C13" s="119"/>
      <c r="D13" s="119"/>
      <c r="E13" s="125"/>
      <c r="F13" s="125"/>
      <c r="G13" s="125">
        <f t="shared" ref="G13:G34" si="24">L13</f>
        <v>0</v>
      </c>
      <c r="H13" s="125"/>
      <c r="I13" s="125"/>
      <c r="J13" s="125"/>
      <c r="K13" s="125"/>
      <c r="L13" s="125">
        <v>0</v>
      </c>
      <c r="M13" s="125">
        <v>0.01</v>
      </c>
      <c r="N13" s="125">
        <v>10</v>
      </c>
      <c r="O13" s="125">
        <v>19</v>
      </c>
      <c r="P13" s="125">
        <v>23</v>
      </c>
      <c r="Q13" s="125">
        <v>115</v>
      </c>
      <c r="R13" s="182">
        <v>357</v>
      </c>
      <c r="S13" s="182">
        <v>0.06</v>
      </c>
      <c r="T13" s="101" t="e">
        <f t="shared" ref="T13:T59" si="25">((S13/G13)^(1/($J$2-$J$1) ))-1</f>
        <v>#DIV/0!</v>
      </c>
      <c r="U13" s="21">
        <f t="shared" si="6"/>
        <v>0.12</v>
      </c>
      <c r="V13" s="131">
        <f t="shared" si="7"/>
        <v>6.720000000000001E-2</v>
      </c>
      <c r="W13" s="131">
        <f t="shared" ref="W13:AE13" si="26">V13*(1+$U13)</f>
        <v>7.5264000000000011E-2</v>
      </c>
      <c r="X13" s="131">
        <f t="shared" si="26"/>
        <v>8.4295680000000026E-2</v>
      </c>
      <c r="Y13" s="131">
        <f t="shared" si="26"/>
        <v>9.4411161600000043E-2</v>
      </c>
      <c r="Z13" s="131">
        <f t="shared" si="26"/>
        <v>0.10574050099200005</v>
      </c>
      <c r="AA13" s="131">
        <f t="shared" si="26"/>
        <v>0.11842936111104008</v>
      </c>
      <c r="AB13" s="131">
        <f t="shared" si="26"/>
        <v>0.13264088444436489</v>
      </c>
      <c r="AC13" s="131">
        <f t="shared" si="26"/>
        <v>0.1485577905776887</v>
      </c>
      <c r="AD13" s="131">
        <f t="shared" si="26"/>
        <v>0.16638472544701136</v>
      </c>
      <c r="AE13" s="131">
        <f t="shared" si="26"/>
        <v>0.18635089250065273</v>
      </c>
      <c r="AF13" s="116" t="e">
        <f t="shared" si="19"/>
        <v>#DIV/0!</v>
      </c>
      <c r="AG13" s="21">
        <f t="shared" si="17"/>
        <v>0.05</v>
      </c>
      <c r="AH13" s="124">
        <f t="shared" si="1"/>
        <v>6.5222812375228463</v>
      </c>
    </row>
    <row r="14" spans="2:34">
      <c r="B14" s="10" t="s">
        <v>318</v>
      </c>
      <c r="C14" s="119"/>
      <c r="D14" s="119"/>
      <c r="E14" s="125"/>
      <c r="F14" s="125"/>
      <c r="G14" s="125">
        <f t="shared" si="24"/>
        <v>0</v>
      </c>
      <c r="H14" s="125"/>
      <c r="I14" s="125"/>
      <c r="J14" s="125"/>
      <c r="K14" s="125"/>
      <c r="L14" s="125">
        <v>0</v>
      </c>
      <c r="M14" s="125">
        <v>10</v>
      </c>
      <c r="N14" s="125">
        <v>283</v>
      </c>
      <c r="O14" s="125">
        <v>827</v>
      </c>
      <c r="P14" s="125">
        <v>1555</v>
      </c>
      <c r="Q14" s="125">
        <v>1281</v>
      </c>
      <c r="R14" s="182">
        <v>1629</v>
      </c>
      <c r="S14" s="182">
        <v>1619</v>
      </c>
      <c r="T14" s="101" t="e">
        <f t="shared" si="25"/>
        <v>#DIV/0!</v>
      </c>
      <c r="U14" s="21">
        <f t="shared" si="6"/>
        <v>0.12</v>
      </c>
      <c r="V14" s="131">
        <f t="shared" si="7"/>
        <v>1813.2800000000002</v>
      </c>
      <c r="W14" s="131">
        <f t="shared" ref="W14" si="27">V14*(1+$U14)</f>
        <v>2030.8736000000004</v>
      </c>
      <c r="X14" s="131">
        <f t="shared" ref="X14" si="28">W14*(1+$U14)</f>
        <v>2274.5784320000007</v>
      </c>
      <c r="Y14" s="131">
        <f t="shared" ref="Y14" si="29">X14*(1+$U14)</f>
        <v>2547.527843840001</v>
      </c>
      <c r="Z14" s="131">
        <f t="shared" ref="Z14" si="30">Y14*(1+$U14)</f>
        <v>2853.2311851008012</v>
      </c>
      <c r="AA14" s="131">
        <f t="shared" ref="AA14" si="31">Z14*(1+$U14)</f>
        <v>3195.6189273128975</v>
      </c>
      <c r="AB14" s="131">
        <f t="shared" ref="AB14" si="32">AA14*(1+$U14)</f>
        <v>3579.0931985904458</v>
      </c>
      <c r="AC14" s="131">
        <f t="shared" ref="AC14" si="33">AB14*(1+$U14)</f>
        <v>4008.5843824212998</v>
      </c>
      <c r="AD14" s="131">
        <f t="shared" ref="AD14" si="34">AC14*(1+$U14)</f>
        <v>4489.6145083118563</v>
      </c>
      <c r="AE14" s="131">
        <f t="shared" ref="AE14" si="35">AD14*(1+$U14)</f>
        <v>5028.3682493092792</v>
      </c>
      <c r="AF14" s="116" t="e">
        <f t="shared" ref="AF14" si="36">((AE14/I14)^(1/($AE$3-$J$1) ))-1</f>
        <v>#DIV/0!</v>
      </c>
      <c r="AG14" s="21">
        <f t="shared" si="17"/>
        <v>0.05</v>
      </c>
      <c r="AH14" s="124">
        <f t="shared" ref="AH14" si="37">(AE14*(1+AG14))/($C$1-AG14)</f>
        <v>175992.88872582477</v>
      </c>
    </row>
    <row r="15" spans="2:34">
      <c r="B15" s="10" t="s">
        <v>11</v>
      </c>
      <c r="C15" s="119"/>
      <c r="D15" s="119"/>
      <c r="E15" s="125"/>
      <c r="F15" s="125"/>
      <c r="G15" s="125">
        <f t="shared" si="24"/>
        <v>558</v>
      </c>
      <c r="H15" s="125"/>
      <c r="I15" s="125"/>
      <c r="J15" s="125"/>
      <c r="K15" s="125"/>
      <c r="L15" s="125">
        <v>558</v>
      </c>
      <c r="M15" s="125">
        <v>478</v>
      </c>
      <c r="N15" s="125">
        <v>1956</v>
      </c>
      <c r="O15" s="125">
        <v>4516</v>
      </c>
      <c r="P15" s="125">
        <v>4032</v>
      </c>
      <c r="Q15" s="125">
        <v>3654</v>
      </c>
      <c r="R15" s="182">
        <v>5974</v>
      </c>
      <c r="S15" s="182">
        <v>11931</v>
      </c>
      <c r="T15" s="101">
        <f t="shared" si="25"/>
        <v>0.29073440720634558</v>
      </c>
      <c r="U15" s="21">
        <f t="shared" si="6"/>
        <v>0.12</v>
      </c>
      <c r="V15" s="131">
        <f t="shared" si="7"/>
        <v>13362.720000000001</v>
      </c>
      <c r="W15" s="131">
        <f t="shared" ref="W15:AE15" si="38">V15*(1+$U15)</f>
        <v>14966.246400000004</v>
      </c>
      <c r="X15" s="131">
        <f t="shared" si="38"/>
        <v>16762.195968000007</v>
      </c>
      <c r="Y15" s="131">
        <f t="shared" si="38"/>
        <v>18773.659484160009</v>
      </c>
      <c r="Z15" s="131">
        <f t="shared" si="38"/>
        <v>21026.498622259212</v>
      </c>
      <c r="AA15" s="131">
        <f t="shared" si="38"/>
        <v>23549.67845693032</v>
      </c>
      <c r="AB15" s="131">
        <f t="shared" si="38"/>
        <v>26375.63987176196</v>
      </c>
      <c r="AC15" s="131">
        <f t="shared" si="38"/>
        <v>29540.716656373399</v>
      </c>
      <c r="AD15" s="131">
        <f t="shared" si="38"/>
        <v>33085.602655138209</v>
      </c>
      <c r="AE15" s="131">
        <f t="shared" si="38"/>
        <v>37055.874973754799</v>
      </c>
      <c r="AF15" s="116" t="e">
        <f t="shared" si="19"/>
        <v>#DIV/0!</v>
      </c>
      <c r="AG15" s="21">
        <f t="shared" si="17"/>
        <v>0.05</v>
      </c>
      <c r="AH15" s="124">
        <f t="shared" si="1"/>
        <v>1296955.6240814182</v>
      </c>
    </row>
    <row r="16" spans="2:34">
      <c r="B16" s="10" t="s">
        <v>12</v>
      </c>
      <c r="C16" s="119"/>
      <c r="D16" s="119"/>
      <c r="E16" s="125"/>
      <c r="F16" s="125"/>
      <c r="G16" s="125">
        <f t="shared" si="24"/>
        <v>413</v>
      </c>
      <c r="H16" s="125"/>
      <c r="I16" s="125"/>
      <c r="J16" s="125"/>
      <c r="K16" s="125"/>
      <c r="L16" s="125">
        <v>413</v>
      </c>
      <c r="M16" s="125">
        <v>894</v>
      </c>
      <c r="N16" s="125">
        <v>-1091</v>
      </c>
      <c r="O16" s="125">
        <v>61</v>
      </c>
      <c r="P16" s="125">
        <v>-6191</v>
      </c>
      <c r="Q16" s="125">
        <v>-3827</v>
      </c>
      <c r="R16" s="182">
        <v>1480</v>
      </c>
      <c r="S16" s="182">
        <v>5999</v>
      </c>
      <c r="T16" s="101">
        <f t="shared" si="25"/>
        <v>0.24981020804751353</v>
      </c>
      <c r="U16" s="21">
        <f t="shared" si="6"/>
        <v>0.12</v>
      </c>
      <c r="V16" s="131">
        <f t="shared" si="7"/>
        <v>6718.880000000001</v>
      </c>
      <c r="W16" s="131">
        <f t="shared" ref="W16:AE16" si="39">V16*(1+$U16)</f>
        <v>7525.1456000000017</v>
      </c>
      <c r="X16" s="131">
        <f t="shared" si="39"/>
        <v>8428.163072000003</v>
      </c>
      <c r="Y16" s="131">
        <f t="shared" si="39"/>
        <v>9439.5426406400038</v>
      </c>
      <c r="Z16" s="131">
        <f t="shared" si="39"/>
        <v>10572.287757516806</v>
      </c>
      <c r="AA16" s="131">
        <f t="shared" si="39"/>
        <v>11840.962288418823</v>
      </c>
      <c r="AB16" s="131">
        <f t="shared" si="39"/>
        <v>13261.877763029082</v>
      </c>
      <c r="AC16" s="131">
        <f t="shared" si="39"/>
        <v>14853.303094592573</v>
      </c>
      <c r="AD16" s="131">
        <f t="shared" si="39"/>
        <v>16635.699465943682</v>
      </c>
      <c r="AE16" s="131">
        <f t="shared" si="39"/>
        <v>18631.983401856927</v>
      </c>
      <c r="AF16" s="116" t="e">
        <f t="shared" si="19"/>
        <v>#DIV/0!</v>
      </c>
      <c r="AG16" s="21">
        <f t="shared" si="17"/>
        <v>0.05</v>
      </c>
      <c r="AH16" s="124">
        <f t="shared" si="1"/>
        <v>652119.41906499246</v>
      </c>
    </row>
    <row r="17" spans="2:34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2"/>
      <c r="T17" s="110"/>
      <c r="U17" s="10"/>
      <c r="V17" s="131">
        <f t="shared" si="7"/>
        <v>0</v>
      </c>
      <c r="W17" s="131"/>
      <c r="X17" s="131"/>
      <c r="Y17" s="131"/>
      <c r="Z17" s="131"/>
      <c r="AA17" s="131"/>
      <c r="AB17" s="131"/>
      <c r="AC17" s="131"/>
      <c r="AD17" s="131"/>
      <c r="AE17" s="131"/>
      <c r="AF17" s="117"/>
      <c r="AG17" s="115"/>
      <c r="AH17" s="131"/>
    </row>
    <row r="18" spans="2:34">
      <c r="B18" s="10" t="s">
        <v>229</v>
      </c>
      <c r="C18" s="119"/>
      <c r="D18" s="119"/>
      <c r="E18" s="125"/>
      <c r="F18" s="125"/>
      <c r="G18" s="125">
        <f t="shared" si="24"/>
        <v>337</v>
      </c>
      <c r="H18" s="125"/>
      <c r="I18" s="125"/>
      <c r="J18" s="125"/>
      <c r="K18" s="125"/>
      <c r="L18" s="125">
        <v>337</v>
      </c>
      <c r="M18" s="125">
        <v>2787</v>
      </c>
      <c r="N18" s="125">
        <v>8747</v>
      </c>
      <c r="O18" s="125">
        <v>15804</v>
      </c>
      <c r="P18" s="125">
        <v>29088</v>
      </c>
      <c r="Q18" s="125">
        <v>46364</v>
      </c>
      <c r="R18" s="182">
        <v>45079</v>
      </c>
      <c r="S18" s="182">
        <v>50418</v>
      </c>
      <c r="T18" s="101">
        <f t="shared" si="25"/>
        <v>0.51791100418189751</v>
      </c>
      <c r="U18" s="21">
        <f t="shared" si="6"/>
        <v>0.12</v>
      </c>
      <c r="V18" s="131">
        <f t="shared" si="7"/>
        <v>56468.160000000003</v>
      </c>
      <c r="W18" s="131">
        <f t="shared" ref="W18:W34" si="40">V18*(1+$U18)</f>
        <v>63244.339200000009</v>
      </c>
      <c r="X18" s="131">
        <f t="shared" ref="X18:X34" si="41">W18*(1+$U18)</f>
        <v>70833.659904000015</v>
      </c>
      <c r="Y18" s="131">
        <f t="shared" ref="Y18:Y34" si="42">X18*(1+$U18)</f>
        <v>79333.699092480019</v>
      </c>
      <c r="Z18" s="131">
        <f t="shared" ref="Z18:Z51" si="43">Y18*(1+$U18)</f>
        <v>88853.742983577627</v>
      </c>
      <c r="AA18" s="131">
        <f t="shared" ref="AA18:AA51" si="44">Z18*(1+$U18)</f>
        <v>99516.192141606953</v>
      </c>
      <c r="AB18" s="131">
        <f t="shared" ref="AB18:AB51" si="45">AA18*(1+$U18)</f>
        <v>111458.1351985998</v>
      </c>
      <c r="AC18" s="131">
        <f t="shared" ref="AC18:AC51" si="46">AB18*(1+$U18)</f>
        <v>124833.11142243179</v>
      </c>
      <c r="AD18" s="131">
        <f t="shared" ref="AD18:AD51" si="47">AC18*(1+$U18)</f>
        <v>139813.08479312362</v>
      </c>
      <c r="AE18" s="131">
        <f t="shared" ref="AE18:AE51" si="48">AD18*(1+$U18)</f>
        <v>156590.65496829848</v>
      </c>
      <c r="AF18" s="116" t="e">
        <f t="shared" si="19"/>
        <v>#DIV/0!</v>
      </c>
      <c r="AG18" s="21">
        <f t="shared" si="17"/>
        <v>0.05</v>
      </c>
      <c r="AH18" s="124">
        <f t="shared" si="1"/>
        <v>5480672.9238904472</v>
      </c>
    </row>
    <row r="19" spans="2:34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2"/>
      <c r="T19" s="110"/>
      <c r="U19" s="10"/>
      <c r="V19" s="131">
        <f t="shared" si="7"/>
        <v>0</v>
      </c>
      <c r="W19" s="131"/>
      <c r="X19" s="131"/>
      <c r="Y19" s="131"/>
      <c r="Z19" s="131"/>
      <c r="AA19" s="131"/>
      <c r="AB19" s="131"/>
      <c r="AC19" s="131"/>
      <c r="AD19" s="131"/>
      <c r="AE19" s="131"/>
      <c r="AF19" s="117"/>
      <c r="AG19" s="115"/>
      <c r="AH19" s="131"/>
    </row>
    <row r="20" spans="2:34">
      <c r="B20" s="10" t="s">
        <v>234</v>
      </c>
      <c r="C20" s="119"/>
      <c r="D20" s="119"/>
      <c r="E20" s="125"/>
      <c r="F20" s="125"/>
      <c r="G20" s="125">
        <f t="shared" si="24"/>
        <v>-2</v>
      </c>
      <c r="H20" s="125"/>
      <c r="I20" s="125"/>
      <c r="J20" s="125"/>
      <c r="K20" s="125"/>
      <c r="L20" s="125">
        <v>-2</v>
      </c>
      <c r="M20" s="125">
        <v>161</v>
      </c>
      <c r="N20" s="125">
        <v>884</v>
      </c>
      <c r="O20" s="125">
        <v>893</v>
      </c>
      <c r="P20" s="125">
        <v>1969</v>
      </c>
      <c r="Q20" s="125">
        <v>3385</v>
      </c>
      <c r="R20" s="182">
        <v>6123</v>
      </c>
      <c r="S20" s="182"/>
      <c r="T20" s="101">
        <f t="shared" si="25"/>
        <v>-1</v>
      </c>
      <c r="U20" s="21">
        <f t="shared" si="6"/>
        <v>0.12</v>
      </c>
      <c r="V20" s="131">
        <f t="shared" si="7"/>
        <v>0</v>
      </c>
      <c r="W20" s="131">
        <f t="shared" ref="W20:W22" si="49">V20*(1+$U20)</f>
        <v>0</v>
      </c>
      <c r="X20" s="131">
        <f t="shared" ref="X20:X22" si="50">W20*(1+$U20)</f>
        <v>0</v>
      </c>
      <c r="Y20" s="131">
        <f t="shared" ref="Y20:Y22" si="51">X20*(1+$U20)</f>
        <v>0</v>
      </c>
      <c r="Z20" s="131">
        <f t="shared" ref="Z20:Z22" si="52">Y20*(1+$U20)</f>
        <v>0</v>
      </c>
      <c r="AA20" s="131">
        <f t="shared" ref="AA20:AA22" si="53">Z20*(1+$U20)</f>
        <v>0</v>
      </c>
      <c r="AB20" s="131">
        <f t="shared" ref="AB20:AB22" si="54">AA20*(1+$U20)</f>
        <v>0</v>
      </c>
      <c r="AC20" s="131">
        <f t="shared" ref="AC20:AC22" si="55">AB20*(1+$U20)</f>
        <v>0</v>
      </c>
      <c r="AD20" s="131">
        <f t="shared" ref="AD20:AD22" si="56">AC20*(1+$U20)</f>
        <v>0</v>
      </c>
      <c r="AE20" s="131">
        <f t="shared" ref="AE20:AE22" si="57">AD20*(1+$U20)</f>
        <v>0</v>
      </c>
      <c r="AF20" s="116" t="e">
        <f t="shared" ref="AF20:AF22" si="58">((AE20/I20)^(1/($AE$3-$J$1) ))-1</f>
        <v>#DIV/0!</v>
      </c>
      <c r="AG20" s="21">
        <f t="shared" si="17"/>
        <v>0.05</v>
      </c>
      <c r="AH20" s="124">
        <f t="shared" si="1"/>
        <v>0</v>
      </c>
    </row>
    <row r="21" spans="2:34">
      <c r="B21" s="10" t="s">
        <v>235</v>
      </c>
      <c r="C21" s="119"/>
      <c r="D21" s="119"/>
      <c r="E21" s="125"/>
      <c r="F21" s="125"/>
      <c r="G21" s="125">
        <f t="shared" si="24"/>
        <v>-4139</v>
      </c>
      <c r="H21" s="125"/>
      <c r="I21" s="125"/>
      <c r="J21" s="125"/>
      <c r="K21" s="125"/>
      <c r="L21" s="125">
        <v>-4139</v>
      </c>
      <c r="M21" s="125">
        <v>-7189</v>
      </c>
      <c r="N21" s="125">
        <v>-7708</v>
      </c>
      <c r="O21" s="125">
        <v>-9253</v>
      </c>
      <c r="P21" s="125">
        <v>379</v>
      </c>
      <c r="Q21" s="125">
        <v>-31</v>
      </c>
      <c r="R21" s="125">
        <v>-4736</v>
      </c>
      <c r="S21" s="182"/>
      <c r="T21" s="101">
        <f t="shared" si="25"/>
        <v>-1</v>
      </c>
      <c r="U21" s="21">
        <f t="shared" si="6"/>
        <v>0.12</v>
      </c>
      <c r="V21" s="131">
        <f t="shared" si="7"/>
        <v>0</v>
      </c>
      <c r="W21" s="131">
        <f t="shared" si="49"/>
        <v>0</v>
      </c>
      <c r="X21" s="131">
        <f t="shared" si="50"/>
        <v>0</v>
      </c>
      <c r="Y21" s="131">
        <f t="shared" si="51"/>
        <v>0</v>
      </c>
      <c r="Z21" s="131">
        <f t="shared" si="52"/>
        <v>0</v>
      </c>
      <c r="AA21" s="131">
        <f t="shared" si="53"/>
        <v>0</v>
      </c>
      <c r="AB21" s="131">
        <f t="shared" si="54"/>
        <v>0</v>
      </c>
      <c r="AC21" s="131">
        <f t="shared" si="55"/>
        <v>0</v>
      </c>
      <c r="AD21" s="131">
        <f t="shared" si="56"/>
        <v>0</v>
      </c>
      <c r="AE21" s="131">
        <f t="shared" si="57"/>
        <v>0</v>
      </c>
      <c r="AF21" s="116" t="e">
        <f t="shared" si="58"/>
        <v>#DIV/0!</v>
      </c>
      <c r="AG21" s="21">
        <f t="shared" si="17"/>
        <v>0.05</v>
      </c>
      <c r="AH21" s="124">
        <f t="shared" si="1"/>
        <v>0</v>
      </c>
    </row>
    <row r="22" spans="2:34">
      <c r="B22" s="10" t="s">
        <v>236</v>
      </c>
      <c r="C22" s="119"/>
      <c r="D22" s="119"/>
      <c r="E22" s="125"/>
      <c r="F22" s="125"/>
      <c r="G22" s="125">
        <f t="shared" si="24"/>
        <v>4443</v>
      </c>
      <c r="H22" s="125"/>
      <c r="I22" s="125"/>
      <c r="J22" s="125"/>
      <c r="K22" s="125"/>
      <c r="L22" s="125">
        <v>4443</v>
      </c>
      <c r="M22" s="125">
        <v>7560</v>
      </c>
      <c r="N22" s="125">
        <v>6654</v>
      </c>
      <c r="O22" s="125">
        <v>8234</v>
      </c>
      <c r="P22" s="125">
        <v>-2394</v>
      </c>
      <c r="Q22" s="125">
        <v>-3352</v>
      </c>
      <c r="R22" s="125">
        <v>-1443</v>
      </c>
      <c r="S22" s="182"/>
      <c r="T22" s="101">
        <f t="shared" si="25"/>
        <v>-1</v>
      </c>
      <c r="U22" s="21">
        <f t="shared" si="6"/>
        <v>0.12</v>
      </c>
      <c r="V22" s="131">
        <f t="shared" si="7"/>
        <v>0</v>
      </c>
      <c r="W22" s="131">
        <f t="shared" si="49"/>
        <v>0</v>
      </c>
      <c r="X22" s="131">
        <f t="shared" si="50"/>
        <v>0</v>
      </c>
      <c r="Y22" s="131">
        <f t="shared" si="51"/>
        <v>0</v>
      </c>
      <c r="Z22" s="131">
        <f t="shared" si="52"/>
        <v>0</v>
      </c>
      <c r="AA22" s="131">
        <f t="shared" si="53"/>
        <v>0</v>
      </c>
      <c r="AB22" s="131">
        <f t="shared" si="54"/>
        <v>0</v>
      </c>
      <c r="AC22" s="131">
        <f t="shared" si="55"/>
        <v>0</v>
      </c>
      <c r="AD22" s="131">
        <f t="shared" si="56"/>
        <v>0</v>
      </c>
      <c r="AE22" s="131">
        <f t="shared" si="57"/>
        <v>0</v>
      </c>
      <c r="AF22" s="116" t="e">
        <f t="shared" si="58"/>
        <v>#DIV/0!</v>
      </c>
      <c r="AG22" s="21">
        <f t="shared" si="17"/>
        <v>0.05</v>
      </c>
      <c r="AH22" s="124">
        <f t="shared" si="1"/>
        <v>0</v>
      </c>
    </row>
    <row r="23" spans="2:34">
      <c r="B23" s="10" t="s">
        <v>245</v>
      </c>
      <c r="C23" s="119"/>
      <c r="D23" s="119"/>
      <c r="E23" s="125"/>
      <c r="F23" s="125"/>
      <c r="G23" s="125">
        <f t="shared" si="24"/>
        <v>494</v>
      </c>
      <c r="H23" s="125"/>
      <c r="I23" s="125"/>
      <c r="J23" s="125"/>
      <c r="K23" s="125"/>
      <c r="L23" s="125">
        <v>494</v>
      </c>
      <c r="M23" s="125">
        <v>1026</v>
      </c>
      <c r="N23" s="125">
        <v>856</v>
      </c>
      <c r="O23" s="125">
        <v>326</v>
      </c>
      <c r="P23" s="125">
        <v>281</v>
      </c>
      <c r="Q23" s="125">
        <v>81</v>
      </c>
      <c r="R23" s="125">
        <v>-57</v>
      </c>
      <c r="S23" s="182">
        <v>80</v>
      </c>
      <c r="T23" s="101">
        <f t="shared" si="25"/>
        <v>-0.14076178048647781</v>
      </c>
      <c r="U23" s="21">
        <f t="shared" si="6"/>
        <v>0.12</v>
      </c>
      <c r="V23" s="131">
        <f t="shared" si="7"/>
        <v>89.600000000000009</v>
      </c>
      <c r="W23" s="131">
        <f t="shared" ref="W23" si="59">V23*(1+$U23)</f>
        <v>100.35200000000002</v>
      </c>
      <c r="X23" s="131">
        <f t="shared" ref="X23" si="60">W23*(1+$U23)</f>
        <v>112.39424000000002</v>
      </c>
      <c r="Y23" s="131">
        <f t="shared" ref="Y23" si="61">X23*(1+$U23)</f>
        <v>125.88154880000003</v>
      </c>
      <c r="Z23" s="131">
        <f t="shared" ref="Z23" si="62">Y23*(1+$U23)</f>
        <v>140.98733465600006</v>
      </c>
      <c r="AA23" s="131">
        <f t="shared" ref="AA23" si="63">Z23*(1+$U23)</f>
        <v>157.90581481472009</v>
      </c>
      <c r="AB23" s="131">
        <f t="shared" ref="AB23" si="64">AA23*(1+$U23)</f>
        <v>176.85451259248651</v>
      </c>
      <c r="AC23" s="131">
        <f t="shared" ref="AC23" si="65">AB23*(1+$U23)</f>
        <v>198.07705410358491</v>
      </c>
      <c r="AD23" s="131">
        <f t="shared" ref="AD23" si="66">AC23*(1+$U23)</f>
        <v>221.84630059601511</v>
      </c>
      <c r="AE23" s="131">
        <f t="shared" ref="AE23" si="67">AD23*(1+$U23)</f>
        <v>248.46785666753695</v>
      </c>
      <c r="AF23" s="116" t="e">
        <f t="shared" ref="AF23" si="68">((AE23/I23)^(1/($AE$3-$J$1) ))-1</f>
        <v>#DIV/0!</v>
      </c>
      <c r="AG23" s="21">
        <f t="shared" si="17"/>
        <v>0.05</v>
      </c>
      <c r="AH23" s="124">
        <f t="shared" si="1"/>
        <v>8696.3749833637939</v>
      </c>
    </row>
    <row r="24" spans="2:34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10"/>
      <c r="U24" s="10"/>
      <c r="V24" s="131">
        <f t="shared" si="7"/>
        <v>0</v>
      </c>
      <c r="W24" s="131"/>
      <c r="X24" s="131"/>
      <c r="Y24" s="131"/>
      <c r="Z24" s="131"/>
      <c r="AA24" s="131"/>
      <c r="AB24" s="131"/>
      <c r="AC24" s="131"/>
      <c r="AD24" s="131"/>
      <c r="AE24" s="131"/>
      <c r="AF24" s="102"/>
      <c r="AG24" s="115"/>
      <c r="AH24" s="131"/>
    </row>
    <row r="25" spans="2:34">
      <c r="B25" s="10" t="s">
        <v>68</v>
      </c>
      <c r="C25" s="119"/>
      <c r="D25" s="119"/>
      <c r="E25" s="125"/>
      <c r="F25" s="125"/>
      <c r="G25" s="125">
        <f t="shared" si="24"/>
        <v>0.01</v>
      </c>
      <c r="H25" s="125"/>
      <c r="I25" s="125"/>
      <c r="J25" s="125"/>
      <c r="K25" s="125"/>
      <c r="L25" s="125">
        <v>0.01</v>
      </c>
      <c r="M25" s="125">
        <v>467</v>
      </c>
      <c r="N25" s="125">
        <v>2153</v>
      </c>
      <c r="O25" s="125">
        <v>4092</v>
      </c>
      <c r="P25" s="125">
        <v>6994</v>
      </c>
      <c r="Q25" s="125">
        <v>15994</v>
      </c>
      <c r="R25" s="182">
        <v>19530</v>
      </c>
      <c r="S25" s="182">
        <v>25433</v>
      </c>
      <c r="T25" s="101">
        <f t="shared" si="25"/>
        <v>2.4180871578399561</v>
      </c>
      <c r="U25" s="21">
        <f t="shared" si="6"/>
        <v>0.12</v>
      </c>
      <c r="V25" s="131">
        <f t="shared" si="7"/>
        <v>28484.960000000003</v>
      </c>
      <c r="W25" s="131">
        <f t="shared" si="40"/>
        <v>31903.155200000005</v>
      </c>
      <c r="X25" s="131">
        <f t="shared" si="41"/>
        <v>35731.533824000006</v>
      </c>
      <c r="Y25" s="131">
        <f t="shared" si="42"/>
        <v>40019.317882880008</v>
      </c>
      <c r="Z25" s="131">
        <f t="shared" si="43"/>
        <v>44821.636028825611</v>
      </c>
      <c r="AA25" s="131">
        <f t="shared" si="44"/>
        <v>50200.232352284685</v>
      </c>
      <c r="AB25" s="131">
        <f t="shared" si="45"/>
        <v>56224.260234558853</v>
      </c>
      <c r="AC25" s="131">
        <f t="shared" si="46"/>
        <v>62971.171462705919</v>
      </c>
      <c r="AD25" s="131">
        <f t="shared" si="47"/>
        <v>70527.712038230631</v>
      </c>
      <c r="AE25" s="131">
        <f t="shared" si="48"/>
        <v>78991.037482818312</v>
      </c>
      <c r="AF25" s="116" t="e">
        <f t="shared" si="19"/>
        <v>#DIV/0!</v>
      </c>
      <c r="AG25" s="21">
        <f t="shared" si="17"/>
        <v>0.05</v>
      </c>
      <c r="AH25" s="124">
        <f t="shared" si="1"/>
        <v>2764686.3118986413</v>
      </c>
    </row>
    <row r="26" spans="2:34" s="106" customFormat="1">
      <c r="B26" s="13"/>
      <c r="C26" s="126"/>
      <c r="D26" s="126"/>
      <c r="E26" s="127"/>
      <c r="F26" s="127"/>
      <c r="G26" s="272">
        <f>(G25-F25)/G25</f>
        <v>1</v>
      </c>
      <c r="H26" s="272" t="e">
        <f>(H25-G25)/H25</f>
        <v>#DIV/0!</v>
      </c>
      <c r="I26" s="272" t="e">
        <f t="shared" ref="I26:Q26" si="69">(I25-H25)/I25</f>
        <v>#DIV/0!</v>
      </c>
      <c r="J26" s="272" t="e">
        <f t="shared" si="69"/>
        <v>#DIV/0!</v>
      </c>
      <c r="K26" s="272" t="e">
        <f t="shared" si="69"/>
        <v>#DIV/0!</v>
      </c>
      <c r="L26" s="272">
        <f t="shared" si="69"/>
        <v>1</v>
      </c>
      <c r="M26" s="272">
        <f t="shared" si="69"/>
        <v>0.99997858672376871</v>
      </c>
      <c r="N26" s="272">
        <f t="shared" si="69"/>
        <v>0.78309335810496983</v>
      </c>
      <c r="O26" s="272">
        <f t="shared" si="69"/>
        <v>0.47385141739980452</v>
      </c>
      <c r="P26" s="272">
        <f t="shared" si="69"/>
        <v>0.41492708035458964</v>
      </c>
      <c r="Q26" s="272">
        <f t="shared" si="69"/>
        <v>0.56271101663123668</v>
      </c>
      <c r="R26" s="128">
        <f t="shared" ref="R26" si="70">(R25-Q25)/Q25</f>
        <v>0.22108290608978368</v>
      </c>
      <c r="S26" s="128">
        <f t="shared" ref="S26" si="71">(S25-R25)/R25</f>
        <v>0.30225294418842807</v>
      </c>
      <c r="T26" s="110"/>
      <c r="U26" s="10"/>
      <c r="V26" s="131"/>
      <c r="W26" s="132"/>
      <c r="X26" s="132"/>
      <c r="Y26" s="132"/>
      <c r="Z26" s="132"/>
      <c r="AA26" s="132"/>
      <c r="AB26" s="132"/>
      <c r="AC26" s="132"/>
      <c r="AD26" s="132"/>
      <c r="AE26" s="132"/>
      <c r="AF26" s="102"/>
      <c r="AG26" s="115"/>
      <c r="AH26" s="131"/>
    </row>
    <row r="27" spans="2:34">
      <c r="B27" s="10" t="s">
        <v>219</v>
      </c>
      <c r="C27" s="119"/>
      <c r="D27" s="119"/>
      <c r="E27" s="125"/>
      <c r="F27" s="125"/>
      <c r="G27" s="125">
        <f t="shared" si="24"/>
        <v>0.01</v>
      </c>
      <c r="H27" s="125"/>
      <c r="I27" s="125"/>
      <c r="J27" s="125"/>
      <c r="K27" s="125"/>
      <c r="L27" s="125">
        <v>0.01</v>
      </c>
      <c r="M27" s="125">
        <v>191</v>
      </c>
      <c r="N27" s="125">
        <v>915</v>
      </c>
      <c r="O27" s="125">
        <v>2764</v>
      </c>
      <c r="P27" s="125">
        <v>5819</v>
      </c>
      <c r="Q27" s="125">
        <v>11095</v>
      </c>
      <c r="R27" s="182">
        <v>13664</v>
      </c>
      <c r="S27" s="182">
        <v>16678</v>
      </c>
      <c r="T27" s="101">
        <f t="shared" si="25"/>
        <v>2.2999852404986036</v>
      </c>
      <c r="U27" s="21">
        <f t="shared" si="6"/>
        <v>0.12</v>
      </c>
      <c r="V27" s="131">
        <f t="shared" si="7"/>
        <v>18679.36</v>
      </c>
      <c r="W27" s="131">
        <f t="shared" si="40"/>
        <v>20920.883200000004</v>
      </c>
      <c r="X27" s="131">
        <f t="shared" si="41"/>
        <v>23431.389184000007</v>
      </c>
      <c r="Y27" s="131">
        <f t="shared" si="42"/>
        <v>26243.155886080011</v>
      </c>
      <c r="Z27" s="131">
        <f t="shared" si="43"/>
        <v>29392.334592409614</v>
      </c>
      <c r="AA27" s="131">
        <f t="shared" si="44"/>
        <v>32919.414743498768</v>
      </c>
      <c r="AB27" s="131">
        <f t="shared" si="45"/>
        <v>36869.744512718622</v>
      </c>
      <c r="AC27" s="131">
        <f t="shared" si="46"/>
        <v>41294.113854244861</v>
      </c>
      <c r="AD27" s="131">
        <f t="shared" si="47"/>
        <v>46249.407516754247</v>
      </c>
      <c r="AE27" s="131">
        <f t="shared" si="48"/>
        <v>51799.33641876476</v>
      </c>
      <c r="AF27" s="116" t="e">
        <f t="shared" si="19"/>
        <v>#DIV/0!</v>
      </c>
      <c r="AG27" s="21">
        <f t="shared" si="17"/>
        <v>0.05</v>
      </c>
      <c r="AH27" s="124">
        <f t="shared" si="1"/>
        <v>1812976.7746567668</v>
      </c>
    </row>
    <row r="28" spans="2:34" s="106" customFormat="1">
      <c r="B28" s="13"/>
      <c r="C28" s="126"/>
      <c r="D28" s="126"/>
      <c r="E28" s="127"/>
      <c r="F28" s="127"/>
      <c r="G28" s="272">
        <f t="shared" ref="G28:Q28" si="72">(G27-F27)/G27</f>
        <v>1</v>
      </c>
      <c r="H28" s="272" t="e">
        <f t="shared" si="72"/>
        <v>#DIV/0!</v>
      </c>
      <c r="I28" s="272" t="e">
        <f t="shared" si="72"/>
        <v>#DIV/0!</v>
      </c>
      <c r="J28" s="272" t="e">
        <f t="shared" si="72"/>
        <v>#DIV/0!</v>
      </c>
      <c r="K28" s="272" t="e">
        <f t="shared" si="72"/>
        <v>#DIV/0!</v>
      </c>
      <c r="L28" s="272">
        <f t="shared" si="72"/>
        <v>1</v>
      </c>
      <c r="M28" s="272">
        <f t="shared" si="72"/>
        <v>0.99994764397905767</v>
      </c>
      <c r="N28" s="272">
        <f t="shared" si="72"/>
        <v>0.79125683060109286</v>
      </c>
      <c r="O28" s="272">
        <f t="shared" si="72"/>
        <v>0.66895803183791602</v>
      </c>
      <c r="P28" s="272">
        <f t="shared" si="72"/>
        <v>0.52500429627083689</v>
      </c>
      <c r="Q28" s="272">
        <f t="shared" si="72"/>
        <v>0.47552951780081115</v>
      </c>
      <c r="R28" s="128">
        <f t="shared" ref="R28" si="73">(R27-Q27)/Q27</f>
        <v>0.23154574132492114</v>
      </c>
      <c r="S28" s="128">
        <f t="shared" ref="S28" si="74">(S27-R27)/R27</f>
        <v>0.22057962529274006</v>
      </c>
      <c r="T28" s="110"/>
      <c r="U28" s="10"/>
      <c r="V28" s="131"/>
      <c r="W28" s="132"/>
      <c r="X28" s="132"/>
      <c r="Y28" s="132"/>
      <c r="Z28" s="132"/>
      <c r="AA28" s="132"/>
      <c r="AB28" s="132"/>
      <c r="AC28" s="132"/>
      <c r="AD28" s="132"/>
      <c r="AE28" s="132"/>
      <c r="AF28" s="102"/>
      <c r="AG28" s="115"/>
      <c r="AH28" s="131"/>
    </row>
    <row r="29" spans="2:34" s="106" customFormat="1">
      <c r="B29" s="10" t="s">
        <v>269</v>
      </c>
      <c r="C29" s="126"/>
      <c r="D29" s="126"/>
      <c r="E29" s="127"/>
      <c r="F29" s="127"/>
      <c r="G29" s="125">
        <f t="shared" si="24"/>
        <v>0.01</v>
      </c>
      <c r="H29" s="125"/>
      <c r="I29" s="125"/>
      <c r="J29" s="125"/>
      <c r="K29" s="125"/>
      <c r="L29" s="125">
        <v>0.01</v>
      </c>
      <c r="M29" s="125">
        <v>38</v>
      </c>
      <c r="N29" s="125">
        <v>236</v>
      </c>
      <c r="O29" s="125">
        <v>737</v>
      </c>
      <c r="P29" s="125">
        <v>1702</v>
      </c>
      <c r="Q29" s="125">
        <v>4010</v>
      </c>
      <c r="R29" s="182">
        <v>4863</v>
      </c>
      <c r="S29" s="182">
        <v>5964</v>
      </c>
      <c r="T29" s="101">
        <f t="shared" si="25"/>
        <v>2.0289688209802348</v>
      </c>
      <c r="U29" s="21">
        <f t="shared" si="6"/>
        <v>0.12</v>
      </c>
      <c r="V29" s="131">
        <f t="shared" si="7"/>
        <v>6679.68</v>
      </c>
      <c r="W29" s="131">
        <f t="shared" ref="W29" si="75">V29*(1+$U29)</f>
        <v>7481.2416000000012</v>
      </c>
      <c r="X29" s="131">
        <f t="shared" ref="X29" si="76">W29*(1+$U29)</f>
        <v>8378.9905920000019</v>
      </c>
      <c r="Y29" s="131">
        <f t="shared" ref="Y29" si="77">X29*(1+$U29)</f>
        <v>9384.4694630400027</v>
      </c>
      <c r="Z29" s="131">
        <f t="shared" ref="Z29" si="78">Y29*(1+$U29)</f>
        <v>10510.605798604804</v>
      </c>
      <c r="AA29" s="131">
        <f t="shared" ref="AA29" si="79">Z29*(1+$U29)</f>
        <v>11771.878494437382</v>
      </c>
      <c r="AB29" s="131">
        <f t="shared" ref="AB29" si="80">AA29*(1+$U29)</f>
        <v>13184.50391376987</v>
      </c>
      <c r="AC29" s="131">
        <f t="shared" ref="AC29" si="81">AB29*(1+$U29)</f>
        <v>14766.644383422255</v>
      </c>
      <c r="AD29" s="131">
        <f t="shared" ref="AD29" si="82">AC29*(1+$U29)</f>
        <v>16538.641709432926</v>
      </c>
      <c r="AE29" s="131">
        <f t="shared" ref="AE29" si="83">AD29*(1+$U29)</f>
        <v>18523.27871456488</v>
      </c>
      <c r="AF29" s="116" t="e">
        <f t="shared" ref="AF29" si="84">((AE29/I29)^(1/($AE$3-$J$1) ))-1</f>
        <v>#DIV/0!</v>
      </c>
      <c r="AG29" s="21">
        <f t="shared" si="17"/>
        <v>0.05</v>
      </c>
      <c r="AH29" s="124">
        <f t="shared" ref="AH29" si="85">(AE29*(1+AG29))/($C$1-AG29)</f>
        <v>648314.75500977086</v>
      </c>
    </row>
    <row r="30" spans="2:34" s="106" customFormat="1">
      <c r="B30" s="13"/>
      <c r="C30" s="126"/>
      <c r="D30" s="126"/>
      <c r="E30" s="127"/>
      <c r="F30" s="127"/>
      <c r="G30" s="272">
        <f t="shared" ref="G30:Q30" si="86">(G29-F29)/G29</f>
        <v>1</v>
      </c>
      <c r="H30" s="272" t="e">
        <f t="shared" si="86"/>
        <v>#DIV/0!</v>
      </c>
      <c r="I30" s="272" t="e">
        <f t="shared" si="86"/>
        <v>#DIV/0!</v>
      </c>
      <c r="J30" s="272" t="e">
        <f t="shared" si="86"/>
        <v>#DIV/0!</v>
      </c>
      <c r="K30" s="272" t="e">
        <f t="shared" si="86"/>
        <v>#DIV/0!</v>
      </c>
      <c r="L30" s="272">
        <f t="shared" si="86"/>
        <v>1</v>
      </c>
      <c r="M30" s="272">
        <f t="shared" si="86"/>
        <v>0.99973684210526326</v>
      </c>
      <c r="N30" s="272">
        <f t="shared" si="86"/>
        <v>0.83898305084745761</v>
      </c>
      <c r="O30" s="272">
        <f t="shared" si="86"/>
        <v>0.67978290366350069</v>
      </c>
      <c r="P30" s="272">
        <f t="shared" si="86"/>
        <v>0.56698002350176269</v>
      </c>
      <c r="Q30" s="272">
        <f t="shared" si="86"/>
        <v>0.57556109725685789</v>
      </c>
      <c r="R30" s="128">
        <f t="shared" ref="R30" si="87">(R29-Q29)/Q29</f>
        <v>0.21271820448877807</v>
      </c>
      <c r="S30" s="128">
        <f t="shared" ref="S30" si="88">(S29-R29)/R29</f>
        <v>0.22640345465761874</v>
      </c>
      <c r="T30" s="110"/>
      <c r="U30" s="10"/>
      <c r="V30" s="131"/>
      <c r="W30" s="132"/>
      <c r="X30" s="132"/>
      <c r="Y30" s="132"/>
      <c r="Z30" s="132"/>
      <c r="AA30" s="132"/>
      <c r="AB30" s="132"/>
      <c r="AC30" s="132"/>
      <c r="AD30" s="132"/>
      <c r="AE30" s="132"/>
      <c r="AF30" s="139"/>
      <c r="AG30" s="115"/>
      <c r="AH30" s="131"/>
    </row>
    <row r="31" spans="2:34">
      <c r="B31" s="10" t="s">
        <v>277</v>
      </c>
      <c r="C31" s="119"/>
      <c r="D31" s="119"/>
      <c r="E31" s="125"/>
      <c r="F31" s="125"/>
      <c r="G31" s="125">
        <f t="shared" si="24"/>
        <v>0</v>
      </c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82">
        <v>0</v>
      </c>
      <c r="S31" s="182">
        <v>0</v>
      </c>
      <c r="T31" s="101" t="e">
        <f t="shared" si="25"/>
        <v>#DIV/0!</v>
      </c>
      <c r="U31" s="21">
        <f t="shared" si="6"/>
        <v>0.12</v>
      </c>
      <c r="V31" s="131">
        <f t="shared" si="7"/>
        <v>0</v>
      </c>
      <c r="W31" s="131">
        <f>V31*(1+$U31)</f>
        <v>0</v>
      </c>
      <c r="X31" s="131">
        <f t="shared" ref="X31:AE32" si="89">W31*(1+$U31)</f>
        <v>0</v>
      </c>
      <c r="Y31" s="131">
        <f t="shared" si="89"/>
        <v>0</v>
      </c>
      <c r="Z31" s="131">
        <f t="shared" si="89"/>
        <v>0</v>
      </c>
      <c r="AA31" s="131">
        <f t="shared" si="89"/>
        <v>0</v>
      </c>
      <c r="AB31" s="131">
        <f t="shared" si="89"/>
        <v>0</v>
      </c>
      <c r="AC31" s="131">
        <f t="shared" si="89"/>
        <v>0</v>
      </c>
      <c r="AD31" s="131">
        <f t="shared" si="89"/>
        <v>0</v>
      </c>
      <c r="AE31" s="131">
        <f t="shared" si="89"/>
        <v>0</v>
      </c>
      <c r="AF31" s="116" t="e">
        <f t="shared" ref="AF31" si="90">((AE31/I31)^(1/($AE$3-$J$1) ))-1</f>
        <v>#DIV/0!</v>
      </c>
      <c r="AG31" s="21">
        <f t="shared" si="17"/>
        <v>0.05</v>
      </c>
      <c r="AH31" s="124">
        <f t="shared" si="1"/>
        <v>0</v>
      </c>
    </row>
    <row r="32" spans="2:34">
      <c r="B32" s="10" t="s">
        <v>276</v>
      </c>
      <c r="C32" s="119"/>
      <c r="D32" s="119"/>
      <c r="E32" s="125"/>
      <c r="F32" s="125"/>
      <c r="G32" s="125">
        <f t="shared" si="24"/>
        <v>0</v>
      </c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82">
        <v>0</v>
      </c>
      <c r="S32" s="182">
        <v>0</v>
      </c>
      <c r="T32" s="101" t="e">
        <f t="shared" si="25"/>
        <v>#DIV/0!</v>
      </c>
      <c r="U32" s="21">
        <f t="shared" si="6"/>
        <v>0.12</v>
      </c>
      <c r="V32" s="131">
        <f t="shared" si="7"/>
        <v>0</v>
      </c>
      <c r="W32" s="131">
        <f>V32*(1+$U32)</f>
        <v>0</v>
      </c>
      <c r="X32" s="131">
        <f t="shared" si="89"/>
        <v>0</v>
      </c>
      <c r="Y32" s="131">
        <f t="shared" si="89"/>
        <v>0</v>
      </c>
      <c r="Z32" s="131">
        <f t="shared" si="89"/>
        <v>0</v>
      </c>
      <c r="AA32" s="131">
        <f t="shared" si="89"/>
        <v>0</v>
      </c>
      <c r="AB32" s="131">
        <f t="shared" si="89"/>
        <v>0</v>
      </c>
      <c r="AC32" s="131">
        <f t="shared" si="89"/>
        <v>0</v>
      </c>
      <c r="AD32" s="131">
        <f t="shared" si="89"/>
        <v>0</v>
      </c>
      <c r="AE32" s="131">
        <f t="shared" si="89"/>
        <v>0</v>
      </c>
      <c r="AF32" s="116" t="e">
        <f t="shared" ref="AF32" si="91">((AE32/I32)^(1/($AE$3-$J$1) ))-1</f>
        <v>#DIV/0!</v>
      </c>
      <c r="AG32" s="21">
        <f t="shared" si="17"/>
        <v>0.05</v>
      </c>
      <c r="AH32" s="124">
        <f t="shared" si="1"/>
        <v>0</v>
      </c>
    </row>
    <row r="33" spans="1:34">
      <c r="B33" s="10" t="s">
        <v>511</v>
      </c>
      <c r="C33" s="119"/>
      <c r="D33" s="119"/>
      <c r="E33" s="125"/>
      <c r="F33" s="125"/>
      <c r="G33" s="125">
        <f t="shared" si="24"/>
        <v>0.01</v>
      </c>
      <c r="H33" s="125"/>
      <c r="I33" s="125"/>
      <c r="J33" s="125"/>
      <c r="K33" s="125"/>
      <c r="L33" s="125">
        <v>0.01</v>
      </c>
      <c r="M33" s="125">
        <v>0.38</v>
      </c>
      <c r="N33" s="125">
        <v>10</v>
      </c>
      <c r="O33" s="125">
        <v>43</v>
      </c>
      <c r="P33" s="125">
        <v>66</v>
      </c>
      <c r="Q33" s="125">
        <v>446</v>
      </c>
      <c r="R33" s="182">
        <v>453</v>
      </c>
      <c r="S33" s="182">
        <v>404</v>
      </c>
      <c r="T33" s="101">
        <f t="shared" si="25"/>
        <v>1.4202772232325458</v>
      </c>
      <c r="U33" s="21">
        <f t="shared" si="6"/>
        <v>0.12</v>
      </c>
      <c r="V33" s="131">
        <f t="shared" si="7"/>
        <v>452.48</v>
      </c>
      <c r="W33" s="131">
        <f t="shared" si="40"/>
        <v>506.77760000000006</v>
      </c>
      <c r="X33" s="131">
        <f t="shared" si="41"/>
        <v>567.59091200000012</v>
      </c>
      <c r="Y33" s="131">
        <f t="shared" si="42"/>
        <v>635.70182144000023</v>
      </c>
      <c r="Z33" s="131">
        <f t="shared" si="43"/>
        <v>711.98604001280034</v>
      </c>
      <c r="AA33" s="131">
        <f t="shared" si="44"/>
        <v>797.42436481433651</v>
      </c>
      <c r="AB33" s="131">
        <f t="shared" si="45"/>
        <v>893.11528859205703</v>
      </c>
      <c r="AC33" s="131">
        <f t="shared" si="46"/>
        <v>1000.289123223104</v>
      </c>
      <c r="AD33" s="131">
        <f t="shared" si="47"/>
        <v>1120.3238180098765</v>
      </c>
      <c r="AE33" s="131">
        <f t="shared" si="48"/>
        <v>1254.7626761710619</v>
      </c>
      <c r="AF33" s="116" t="e">
        <f t="shared" si="19"/>
        <v>#DIV/0!</v>
      </c>
      <c r="AG33" s="21">
        <f t="shared" si="17"/>
        <v>0.05</v>
      </c>
      <c r="AH33" s="124">
        <f t="shared" si="1"/>
        <v>43916.693665987172</v>
      </c>
    </row>
    <row r="34" spans="1:34">
      <c r="B34" s="10" t="s">
        <v>512</v>
      </c>
      <c r="C34" s="119"/>
      <c r="D34" s="119"/>
      <c r="E34" s="125"/>
      <c r="F34" s="125"/>
      <c r="G34" s="125">
        <f t="shared" si="24"/>
        <v>0</v>
      </c>
      <c r="H34" s="125"/>
      <c r="I34" s="125"/>
      <c r="J34" s="125"/>
      <c r="K34" s="125"/>
      <c r="L34" s="125">
        <v>0</v>
      </c>
      <c r="M34" s="125">
        <v>167</v>
      </c>
      <c r="N34" s="125">
        <v>721</v>
      </c>
      <c r="O34" s="125">
        <v>2300</v>
      </c>
      <c r="P34" s="125">
        <v>0</v>
      </c>
      <c r="Q34" s="125">
        <v>9167</v>
      </c>
      <c r="R34" s="182">
        <v>11613</v>
      </c>
      <c r="S34" s="182">
        <v>14726</v>
      </c>
      <c r="T34" s="101" t="e">
        <f t="shared" si="25"/>
        <v>#DIV/0!</v>
      </c>
      <c r="U34" s="21">
        <f t="shared" si="6"/>
        <v>0.12</v>
      </c>
      <c r="V34" s="131">
        <f t="shared" si="7"/>
        <v>16493.120000000003</v>
      </c>
      <c r="W34" s="131">
        <f t="shared" si="40"/>
        <v>18472.294400000006</v>
      </c>
      <c r="X34" s="131">
        <f t="shared" si="41"/>
        <v>20688.969728000007</v>
      </c>
      <c r="Y34" s="131">
        <f t="shared" si="42"/>
        <v>23171.646095360011</v>
      </c>
      <c r="Z34" s="131">
        <f t="shared" si="43"/>
        <v>25952.243626803214</v>
      </c>
      <c r="AA34" s="131">
        <f t="shared" si="44"/>
        <v>29066.512862019601</v>
      </c>
      <c r="AB34" s="131">
        <f t="shared" si="45"/>
        <v>32554.494405461955</v>
      </c>
      <c r="AC34" s="131">
        <f t="shared" si="46"/>
        <v>36461.033734117394</v>
      </c>
      <c r="AD34" s="131">
        <f t="shared" si="47"/>
        <v>40836.357782211482</v>
      </c>
      <c r="AE34" s="131">
        <f t="shared" si="48"/>
        <v>45736.720716076867</v>
      </c>
      <c r="AF34" s="116" t="e">
        <f t="shared" si="19"/>
        <v>#DIV/0!</v>
      </c>
      <c r="AG34" s="21">
        <f t="shared" si="17"/>
        <v>0.05</v>
      </c>
      <c r="AH34" s="124">
        <f t="shared" si="1"/>
        <v>1600785.2250626904</v>
      </c>
    </row>
    <row r="35" spans="1:34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17"/>
      <c r="AG35" s="115"/>
      <c r="AH35" s="131"/>
    </row>
    <row r="36" spans="1:34">
      <c r="A36" s="301" t="s">
        <v>425</v>
      </c>
      <c r="B36" s="179" t="s">
        <v>419</v>
      </c>
      <c r="C36" s="119"/>
      <c r="D36" s="119"/>
      <c r="E36" s="125"/>
      <c r="F36" s="125"/>
      <c r="G36" s="125"/>
      <c r="H36" s="182">
        <f>I36</f>
        <v>0</v>
      </c>
      <c r="I36" s="182">
        <v>0</v>
      </c>
      <c r="J36" s="182"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01" t="e">
        <f t="shared" si="25"/>
        <v>#DIV/0!</v>
      </c>
      <c r="U36" s="21">
        <f t="shared" si="6"/>
        <v>0.12</v>
      </c>
      <c r="V36" s="131">
        <f t="shared" ref="V36:V49" si="92">S36*(1+$U36)</f>
        <v>0</v>
      </c>
      <c r="W36" s="131">
        <f t="shared" ref="W36:W49" si="93">V36*(1+$U36)</f>
        <v>0</v>
      </c>
      <c r="X36" s="131">
        <f t="shared" ref="X36:X49" si="94">W36*(1+$U36)</f>
        <v>0</v>
      </c>
      <c r="Y36" s="131">
        <f t="shared" ref="Y36:Y49" si="95">X36*(1+$U36)</f>
        <v>0</v>
      </c>
      <c r="Z36" s="131">
        <f t="shared" ref="Z36:Z49" si="96">Y36*(1+$U36)</f>
        <v>0</v>
      </c>
      <c r="AA36" s="131">
        <f t="shared" ref="AA36:AA49" si="97">Z36*(1+$U36)</f>
        <v>0</v>
      </c>
      <c r="AB36" s="131">
        <f t="shared" ref="AB36:AB49" si="98">AA36*(1+$U36)</f>
        <v>0</v>
      </c>
      <c r="AC36" s="131">
        <f t="shared" ref="AC36:AC49" si="99">AB36*(1+$U36)</f>
        <v>0</v>
      </c>
      <c r="AD36" s="131">
        <f t="shared" ref="AD36:AD49" si="100">AC36*(1+$U36)</f>
        <v>0</v>
      </c>
      <c r="AE36" s="131">
        <f t="shared" ref="AE36:AE49" si="101">AD36*(1+$U36)</f>
        <v>0</v>
      </c>
      <c r="AF36" s="116" t="e">
        <f t="shared" ref="AF36:AF49" si="102">((AE36/I36)^(1/($AE$3-$J$1) ))-1</f>
        <v>#DIV/0!</v>
      </c>
      <c r="AG36" s="21">
        <f t="shared" si="17"/>
        <v>0.05</v>
      </c>
      <c r="AH36" s="124">
        <f t="shared" ref="AH36:AH49" si="103">(AE36*(1+AG36))/($C$1-AG36)</f>
        <v>0</v>
      </c>
    </row>
    <row r="37" spans="1:34">
      <c r="A37" s="301"/>
      <c r="B37" s="179"/>
      <c r="C37" s="119"/>
      <c r="D37" s="119"/>
      <c r="E37" s="125"/>
      <c r="F37" s="125"/>
      <c r="G37" s="125"/>
      <c r="H37" s="128" t="e">
        <f t="shared" ref="H37:R37" si="104">(H36-G36)/G36</f>
        <v>#DIV/0!</v>
      </c>
      <c r="I37" s="128" t="e">
        <f t="shared" si="104"/>
        <v>#DIV/0!</v>
      </c>
      <c r="J37" s="128" t="e">
        <f t="shared" si="104"/>
        <v>#DIV/0!</v>
      </c>
      <c r="K37" s="128" t="e">
        <f t="shared" si="104"/>
        <v>#DIV/0!</v>
      </c>
      <c r="L37" s="128" t="e">
        <f t="shared" si="104"/>
        <v>#DIV/0!</v>
      </c>
      <c r="M37" s="128" t="e">
        <f t="shared" si="104"/>
        <v>#DIV/0!</v>
      </c>
      <c r="N37" s="128" t="e">
        <f t="shared" si="104"/>
        <v>#DIV/0!</v>
      </c>
      <c r="O37" s="128" t="e">
        <f t="shared" si="104"/>
        <v>#DIV/0!</v>
      </c>
      <c r="P37" s="128" t="e">
        <f t="shared" si="104"/>
        <v>#DIV/0!</v>
      </c>
      <c r="Q37" s="128" t="e">
        <f t="shared" si="104"/>
        <v>#DIV/0!</v>
      </c>
      <c r="R37" s="128" t="e">
        <f t="shared" si="104"/>
        <v>#DIV/0!</v>
      </c>
      <c r="S37" s="128" t="e">
        <f t="shared" ref="S37" si="105">(S36-R36)/R36</f>
        <v>#DIV/0!</v>
      </c>
      <c r="T37" s="110"/>
      <c r="U37" s="10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24"/>
    </row>
    <row r="38" spans="1:34">
      <c r="A38" s="301"/>
      <c r="B38" s="179" t="s">
        <v>420</v>
      </c>
      <c r="C38" s="119"/>
      <c r="D38" s="119"/>
      <c r="E38" s="125"/>
      <c r="F38" s="125"/>
      <c r="G38" s="125"/>
      <c r="H38" s="182">
        <f>I38</f>
        <v>0</v>
      </c>
      <c r="I38" s="182">
        <v>0</v>
      </c>
      <c r="J38" s="182"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01" t="e">
        <f t="shared" si="25"/>
        <v>#DIV/0!</v>
      </c>
      <c r="U38" s="21">
        <f t="shared" si="6"/>
        <v>0.12</v>
      </c>
      <c r="V38" s="131">
        <f t="shared" si="92"/>
        <v>0</v>
      </c>
      <c r="W38" s="131">
        <f t="shared" si="93"/>
        <v>0</v>
      </c>
      <c r="X38" s="131">
        <f t="shared" si="94"/>
        <v>0</v>
      </c>
      <c r="Y38" s="131">
        <f t="shared" si="95"/>
        <v>0</v>
      </c>
      <c r="Z38" s="131">
        <f t="shared" si="96"/>
        <v>0</v>
      </c>
      <c r="AA38" s="131">
        <f t="shared" si="97"/>
        <v>0</v>
      </c>
      <c r="AB38" s="131">
        <f t="shared" si="98"/>
        <v>0</v>
      </c>
      <c r="AC38" s="131">
        <f t="shared" si="99"/>
        <v>0</v>
      </c>
      <c r="AD38" s="131">
        <f t="shared" si="100"/>
        <v>0</v>
      </c>
      <c r="AE38" s="131">
        <f t="shared" si="101"/>
        <v>0</v>
      </c>
      <c r="AF38" s="116" t="e">
        <f t="shared" si="102"/>
        <v>#DIV/0!</v>
      </c>
      <c r="AG38" s="21">
        <f t="shared" si="17"/>
        <v>0.05</v>
      </c>
      <c r="AH38" s="124">
        <f t="shared" si="103"/>
        <v>0</v>
      </c>
    </row>
    <row r="39" spans="1:34">
      <c r="A39" s="301"/>
      <c r="B39" s="179"/>
      <c r="C39" s="119"/>
      <c r="D39" s="119"/>
      <c r="E39" s="125"/>
      <c r="F39" s="125"/>
      <c r="G39" s="125"/>
      <c r="H39" s="128" t="e">
        <f t="shared" ref="H39:R39" si="106">(H38-G38)/G38</f>
        <v>#DIV/0!</v>
      </c>
      <c r="I39" s="128" t="e">
        <f t="shared" si="106"/>
        <v>#DIV/0!</v>
      </c>
      <c r="J39" s="128" t="e">
        <f t="shared" si="106"/>
        <v>#DIV/0!</v>
      </c>
      <c r="K39" s="128" t="e">
        <f t="shared" si="106"/>
        <v>#DIV/0!</v>
      </c>
      <c r="L39" s="128" t="e">
        <f t="shared" si="106"/>
        <v>#DIV/0!</v>
      </c>
      <c r="M39" s="128" t="e">
        <f t="shared" si="106"/>
        <v>#DIV/0!</v>
      </c>
      <c r="N39" s="128" t="e">
        <f t="shared" si="106"/>
        <v>#DIV/0!</v>
      </c>
      <c r="O39" s="128" t="e">
        <f t="shared" si="106"/>
        <v>#DIV/0!</v>
      </c>
      <c r="P39" s="128" t="e">
        <f t="shared" si="106"/>
        <v>#DIV/0!</v>
      </c>
      <c r="Q39" s="128" t="e">
        <f t="shared" si="106"/>
        <v>#DIV/0!</v>
      </c>
      <c r="R39" s="128" t="e">
        <f t="shared" si="106"/>
        <v>#DIV/0!</v>
      </c>
      <c r="S39" s="128" t="e">
        <f t="shared" ref="S39" si="107">(S38-R38)/R38</f>
        <v>#DIV/0!</v>
      </c>
      <c r="T39" s="110"/>
      <c r="U39" s="10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24"/>
    </row>
    <row r="40" spans="1:34">
      <c r="A40" s="301"/>
      <c r="B40" s="179" t="s">
        <v>424</v>
      </c>
      <c r="C40" s="119"/>
      <c r="D40" s="119"/>
      <c r="E40" s="125"/>
      <c r="F40" s="125"/>
      <c r="G40" s="125"/>
      <c r="H40" s="182">
        <f>I40</f>
        <v>0</v>
      </c>
      <c r="I40" s="182">
        <v>0</v>
      </c>
      <c r="J40" s="182"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01" t="e">
        <f t="shared" si="25"/>
        <v>#DIV/0!</v>
      </c>
      <c r="U40" s="21">
        <f t="shared" si="6"/>
        <v>0.12</v>
      </c>
      <c r="V40" s="131">
        <f t="shared" si="92"/>
        <v>0</v>
      </c>
      <c r="W40" s="131">
        <f t="shared" si="93"/>
        <v>0</v>
      </c>
      <c r="X40" s="131">
        <f t="shared" si="94"/>
        <v>0</v>
      </c>
      <c r="Y40" s="131">
        <f t="shared" si="95"/>
        <v>0</v>
      </c>
      <c r="Z40" s="131">
        <f t="shared" si="96"/>
        <v>0</v>
      </c>
      <c r="AA40" s="131">
        <f t="shared" si="97"/>
        <v>0</v>
      </c>
      <c r="AB40" s="131">
        <f t="shared" si="98"/>
        <v>0</v>
      </c>
      <c r="AC40" s="131">
        <f t="shared" si="99"/>
        <v>0</v>
      </c>
      <c r="AD40" s="131">
        <f t="shared" si="100"/>
        <v>0</v>
      </c>
      <c r="AE40" s="131">
        <f t="shared" si="101"/>
        <v>0</v>
      </c>
      <c r="AF40" s="116" t="e">
        <f t="shared" si="102"/>
        <v>#DIV/0!</v>
      </c>
      <c r="AG40" s="21">
        <f t="shared" si="17"/>
        <v>0.05</v>
      </c>
      <c r="AH40" s="124">
        <f t="shared" si="103"/>
        <v>0</v>
      </c>
    </row>
    <row r="41" spans="1:34">
      <c r="A41" s="301"/>
      <c r="B41" s="179" t="s">
        <v>421</v>
      </c>
      <c r="C41" s="119"/>
      <c r="D41" s="119"/>
      <c r="E41" s="125"/>
      <c r="F41" s="125"/>
      <c r="G41" s="125"/>
      <c r="H41" s="182">
        <f>I41</f>
        <v>0</v>
      </c>
      <c r="I41" s="182">
        <v>0</v>
      </c>
      <c r="J41" s="182"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01" t="e">
        <f t="shared" si="25"/>
        <v>#DIV/0!</v>
      </c>
      <c r="U41" s="21">
        <f t="shared" si="6"/>
        <v>0.12</v>
      </c>
      <c r="V41" s="131">
        <f t="shared" si="92"/>
        <v>0</v>
      </c>
      <c r="W41" s="131">
        <f t="shared" si="93"/>
        <v>0</v>
      </c>
      <c r="X41" s="131">
        <f t="shared" si="94"/>
        <v>0</v>
      </c>
      <c r="Y41" s="131">
        <f t="shared" si="95"/>
        <v>0</v>
      </c>
      <c r="Z41" s="131">
        <f t="shared" si="96"/>
        <v>0</v>
      </c>
      <c r="AA41" s="131">
        <f t="shared" si="97"/>
        <v>0</v>
      </c>
      <c r="AB41" s="131">
        <f t="shared" si="98"/>
        <v>0</v>
      </c>
      <c r="AC41" s="131">
        <f t="shared" si="99"/>
        <v>0</v>
      </c>
      <c r="AD41" s="131">
        <f t="shared" si="100"/>
        <v>0</v>
      </c>
      <c r="AE41" s="131">
        <f t="shared" si="101"/>
        <v>0</v>
      </c>
      <c r="AF41" s="116" t="e">
        <f t="shared" si="102"/>
        <v>#DIV/0!</v>
      </c>
      <c r="AG41" s="21">
        <f t="shared" si="17"/>
        <v>0.05</v>
      </c>
      <c r="AH41" s="124">
        <f t="shared" si="103"/>
        <v>0</v>
      </c>
    </row>
    <row r="42" spans="1:34">
      <c r="A42" s="301"/>
      <c r="B42" s="179" t="s">
        <v>423</v>
      </c>
      <c r="C42" s="119"/>
      <c r="D42" s="119"/>
      <c r="E42" s="125"/>
      <c r="F42" s="125"/>
      <c r="G42" s="125"/>
      <c r="H42" s="182">
        <f>I42</f>
        <v>0</v>
      </c>
      <c r="I42" s="182">
        <v>0</v>
      </c>
      <c r="J42" s="182"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01" t="e">
        <f t="shared" si="25"/>
        <v>#DIV/0!</v>
      </c>
      <c r="U42" s="21">
        <f t="shared" si="6"/>
        <v>0.12</v>
      </c>
      <c r="V42" s="131">
        <f t="shared" si="92"/>
        <v>0</v>
      </c>
      <c r="W42" s="131">
        <f t="shared" si="93"/>
        <v>0</v>
      </c>
      <c r="X42" s="131">
        <f t="shared" si="94"/>
        <v>0</v>
      </c>
      <c r="Y42" s="131">
        <f t="shared" si="95"/>
        <v>0</v>
      </c>
      <c r="Z42" s="131">
        <f t="shared" si="96"/>
        <v>0</v>
      </c>
      <c r="AA42" s="131">
        <f t="shared" si="97"/>
        <v>0</v>
      </c>
      <c r="AB42" s="131">
        <f t="shared" si="98"/>
        <v>0</v>
      </c>
      <c r="AC42" s="131">
        <f t="shared" si="99"/>
        <v>0</v>
      </c>
      <c r="AD42" s="131">
        <f t="shared" si="100"/>
        <v>0</v>
      </c>
      <c r="AE42" s="131">
        <f t="shared" si="101"/>
        <v>0</v>
      </c>
      <c r="AF42" s="116" t="e">
        <f t="shared" si="102"/>
        <v>#DIV/0!</v>
      </c>
      <c r="AG42" s="21">
        <f t="shared" si="17"/>
        <v>0.05</v>
      </c>
      <c r="AH42" s="124">
        <f t="shared" si="103"/>
        <v>0</v>
      </c>
    </row>
    <row r="43" spans="1:34">
      <c r="A43" s="301"/>
      <c r="B43" s="179" t="s">
        <v>422</v>
      </c>
      <c r="C43" s="119"/>
      <c r="D43" s="119"/>
      <c r="E43" s="125"/>
      <c r="F43" s="125"/>
      <c r="G43" s="125"/>
      <c r="H43" s="182">
        <f>I43</f>
        <v>0</v>
      </c>
      <c r="I43" s="182">
        <v>0</v>
      </c>
      <c r="J43" s="182"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01" t="e">
        <f t="shared" si="25"/>
        <v>#DIV/0!</v>
      </c>
      <c r="U43" s="21">
        <f t="shared" si="6"/>
        <v>0.12</v>
      </c>
      <c r="V43" s="131">
        <f t="shared" si="92"/>
        <v>0</v>
      </c>
      <c r="W43" s="131">
        <f t="shared" si="93"/>
        <v>0</v>
      </c>
      <c r="X43" s="131">
        <f t="shared" si="94"/>
        <v>0</v>
      </c>
      <c r="Y43" s="131">
        <f t="shared" si="95"/>
        <v>0</v>
      </c>
      <c r="Z43" s="131">
        <f t="shared" si="96"/>
        <v>0</v>
      </c>
      <c r="AA43" s="131">
        <f t="shared" si="97"/>
        <v>0</v>
      </c>
      <c r="AB43" s="131">
        <f t="shared" si="98"/>
        <v>0</v>
      </c>
      <c r="AC43" s="131">
        <f t="shared" si="99"/>
        <v>0</v>
      </c>
      <c r="AD43" s="131">
        <f t="shared" si="100"/>
        <v>0</v>
      </c>
      <c r="AE43" s="131">
        <f t="shared" si="101"/>
        <v>0</v>
      </c>
      <c r="AF43" s="116" t="e">
        <f t="shared" si="102"/>
        <v>#DIV/0!</v>
      </c>
      <c r="AG43" s="21">
        <f t="shared" si="17"/>
        <v>0.05</v>
      </c>
      <c r="AH43" s="124">
        <f t="shared" si="103"/>
        <v>0</v>
      </c>
    </row>
    <row r="44" spans="1:34">
      <c r="A44" s="301"/>
      <c r="B44" s="179"/>
      <c r="C44" s="119"/>
      <c r="D44" s="119"/>
      <c r="E44" s="125"/>
      <c r="F44" s="125"/>
      <c r="G44" s="125"/>
      <c r="H44" s="128" t="e">
        <f t="shared" ref="H44:R44" si="108">(H43-G43)/G43</f>
        <v>#DIV/0!</v>
      </c>
      <c r="I44" s="128" t="e">
        <f t="shared" si="108"/>
        <v>#DIV/0!</v>
      </c>
      <c r="J44" s="128" t="e">
        <f t="shared" si="108"/>
        <v>#DIV/0!</v>
      </c>
      <c r="K44" s="128" t="e">
        <f t="shared" si="108"/>
        <v>#DIV/0!</v>
      </c>
      <c r="L44" s="128" t="e">
        <f t="shared" si="108"/>
        <v>#DIV/0!</v>
      </c>
      <c r="M44" s="128" t="e">
        <f t="shared" si="108"/>
        <v>#DIV/0!</v>
      </c>
      <c r="N44" s="128" t="e">
        <f t="shared" si="108"/>
        <v>#DIV/0!</v>
      </c>
      <c r="O44" s="128" t="e">
        <f t="shared" si="108"/>
        <v>#DIV/0!</v>
      </c>
      <c r="P44" s="128" t="e">
        <f t="shared" si="108"/>
        <v>#DIV/0!</v>
      </c>
      <c r="Q44" s="128" t="e">
        <f t="shared" si="108"/>
        <v>#DIV/0!</v>
      </c>
      <c r="R44" s="128" t="e">
        <f t="shared" si="108"/>
        <v>#DIV/0!</v>
      </c>
      <c r="S44" s="128" t="e">
        <f t="shared" ref="S44" si="109">(S43-R43)/R43</f>
        <v>#DIV/0!</v>
      </c>
      <c r="T44" s="110"/>
      <c r="U44" s="10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24"/>
    </row>
    <row r="45" spans="1:34">
      <c r="A45" s="301"/>
      <c r="B45" s="179" t="s">
        <v>191</v>
      </c>
      <c r="C45" s="119"/>
      <c r="D45" s="119"/>
      <c r="E45" s="125"/>
      <c r="F45" s="125"/>
      <c r="G45" s="125"/>
      <c r="H45" s="182">
        <f>I45</f>
        <v>0</v>
      </c>
      <c r="I45" s="182">
        <v>0</v>
      </c>
      <c r="J45" s="182"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01" t="e">
        <f t="shared" si="25"/>
        <v>#DIV/0!</v>
      </c>
      <c r="U45" s="21">
        <f t="shared" si="6"/>
        <v>0.12</v>
      </c>
      <c r="V45" s="131">
        <f t="shared" si="92"/>
        <v>0</v>
      </c>
      <c r="W45" s="131">
        <f t="shared" si="93"/>
        <v>0</v>
      </c>
      <c r="X45" s="131">
        <f t="shared" si="94"/>
        <v>0</v>
      </c>
      <c r="Y45" s="131">
        <f t="shared" si="95"/>
        <v>0</v>
      </c>
      <c r="Z45" s="131">
        <f t="shared" si="96"/>
        <v>0</v>
      </c>
      <c r="AA45" s="131">
        <f t="shared" si="97"/>
        <v>0</v>
      </c>
      <c r="AB45" s="131">
        <f t="shared" si="98"/>
        <v>0</v>
      </c>
      <c r="AC45" s="131">
        <f t="shared" si="99"/>
        <v>0</v>
      </c>
      <c r="AD45" s="131">
        <f t="shared" si="100"/>
        <v>0</v>
      </c>
      <c r="AE45" s="131">
        <f t="shared" si="101"/>
        <v>0</v>
      </c>
      <c r="AF45" s="116" t="e">
        <f t="shared" si="102"/>
        <v>#DIV/0!</v>
      </c>
      <c r="AG45" s="21">
        <f t="shared" si="17"/>
        <v>0.05</v>
      </c>
      <c r="AH45" s="124">
        <f t="shared" si="103"/>
        <v>0</v>
      </c>
    </row>
    <row r="46" spans="1:34">
      <c r="A46" s="180"/>
      <c r="B46" s="179"/>
      <c r="C46" s="119"/>
      <c r="D46" s="119"/>
      <c r="E46" s="125"/>
      <c r="F46" s="125"/>
      <c r="G46" s="125"/>
      <c r="H46" s="128" t="e">
        <f t="shared" ref="H46:R46" si="110">(H45-G45)/G45</f>
        <v>#DIV/0!</v>
      </c>
      <c r="I46" s="128" t="e">
        <f t="shared" si="110"/>
        <v>#DIV/0!</v>
      </c>
      <c r="J46" s="128" t="e">
        <f t="shared" si="110"/>
        <v>#DIV/0!</v>
      </c>
      <c r="K46" s="128" t="e">
        <f t="shared" si="110"/>
        <v>#DIV/0!</v>
      </c>
      <c r="L46" s="128" t="e">
        <f t="shared" si="110"/>
        <v>#DIV/0!</v>
      </c>
      <c r="M46" s="128" t="e">
        <f t="shared" si="110"/>
        <v>#DIV/0!</v>
      </c>
      <c r="N46" s="128" t="e">
        <f t="shared" si="110"/>
        <v>#DIV/0!</v>
      </c>
      <c r="O46" s="128" t="e">
        <f t="shared" si="110"/>
        <v>#DIV/0!</v>
      </c>
      <c r="P46" s="128" t="e">
        <f t="shared" si="110"/>
        <v>#DIV/0!</v>
      </c>
      <c r="Q46" s="128" t="e">
        <f t="shared" si="110"/>
        <v>#DIV/0!</v>
      </c>
      <c r="R46" s="128" t="e">
        <f t="shared" si="110"/>
        <v>#DIV/0!</v>
      </c>
      <c r="S46" s="128" t="e">
        <f t="shared" ref="S46" si="111">(S45-R45)/R45</f>
        <v>#DIV/0!</v>
      </c>
      <c r="T46" s="110"/>
      <c r="U46" s="10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24"/>
    </row>
    <row r="47" spans="1:34">
      <c r="A47" s="180"/>
      <c r="B47" s="179" t="s">
        <v>435</v>
      </c>
      <c r="C47" s="119"/>
      <c r="D47" s="119"/>
      <c r="E47" s="125"/>
      <c r="F47" s="125"/>
      <c r="G47" s="125"/>
      <c r="H47" s="182">
        <f>I47</f>
        <v>0</v>
      </c>
      <c r="I47" s="182">
        <v>0</v>
      </c>
      <c r="J47" s="182"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01" t="e">
        <f t="shared" si="25"/>
        <v>#DIV/0!</v>
      </c>
      <c r="U47" s="21">
        <f t="shared" si="6"/>
        <v>0.12</v>
      </c>
      <c r="V47" s="131">
        <f t="shared" ref="V47" si="112">S47*(1+$U47)</f>
        <v>0</v>
      </c>
      <c r="W47" s="131">
        <f t="shared" ref="W47" si="113">V47*(1+$U47)</f>
        <v>0</v>
      </c>
      <c r="X47" s="131">
        <f t="shared" ref="X47" si="114">W47*(1+$U47)</f>
        <v>0</v>
      </c>
      <c r="Y47" s="131">
        <f t="shared" ref="Y47" si="115">X47*(1+$U47)</f>
        <v>0</v>
      </c>
      <c r="Z47" s="131">
        <f t="shared" ref="Z47" si="116">Y47*(1+$U47)</f>
        <v>0</v>
      </c>
      <c r="AA47" s="131">
        <f t="shared" ref="AA47" si="117">Z47*(1+$U47)</f>
        <v>0</v>
      </c>
      <c r="AB47" s="131">
        <f t="shared" ref="AB47" si="118">AA47*(1+$U47)</f>
        <v>0</v>
      </c>
      <c r="AC47" s="131">
        <f t="shared" ref="AC47" si="119">AB47*(1+$U47)</f>
        <v>0</v>
      </c>
      <c r="AD47" s="131">
        <f t="shared" ref="AD47" si="120">AC47*(1+$U47)</f>
        <v>0</v>
      </c>
      <c r="AE47" s="131">
        <f t="shared" ref="AE47" si="121">AD47*(1+$U47)</f>
        <v>0</v>
      </c>
      <c r="AF47" s="116" t="e">
        <f t="shared" ref="AF47" si="122">((AE47/I47)^(1/($AE$3-$J$1) ))-1</f>
        <v>#DIV/0!</v>
      </c>
      <c r="AG47" s="21">
        <f t="shared" si="17"/>
        <v>0.05</v>
      </c>
      <c r="AH47" s="124">
        <f t="shared" si="103"/>
        <v>0</v>
      </c>
    </row>
    <row r="48" spans="1:34">
      <c r="A48" s="180"/>
      <c r="B48" s="179"/>
      <c r="C48" s="119"/>
      <c r="D48" s="119"/>
      <c r="E48" s="125"/>
      <c r="F48" s="125"/>
      <c r="G48" s="125"/>
      <c r="H48" s="128" t="e">
        <f t="shared" ref="H48:R48" si="123">(H47-G47)/G47</f>
        <v>#DIV/0!</v>
      </c>
      <c r="I48" s="128" t="e">
        <f t="shared" si="123"/>
        <v>#DIV/0!</v>
      </c>
      <c r="J48" s="128" t="e">
        <f t="shared" si="123"/>
        <v>#DIV/0!</v>
      </c>
      <c r="K48" s="128" t="e">
        <f t="shared" si="123"/>
        <v>#DIV/0!</v>
      </c>
      <c r="L48" s="128" t="e">
        <f t="shared" si="123"/>
        <v>#DIV/0!</v>
      </c>
      <c r="M48" s="128" t="e">
        <f t="shared" si="123"/>
        <v>#DIV/0!</v>
      </c>
      <c r="N48" s="128" t="e">
        <f t="shared" si="123"/>
        <v>#DIV/0!</v>
      </c>
      <c r="O48" s="128" t="e">
        <f t="shared" si="123"/>
        <v>#DIV/0!</v>
      </c>
      <c r="P48" s="128" t="e">
        <f t="shared" si="123"/>
        <v>#DIV/0!</v>
      </c>
      <c r="Q48" s="128" t="e">
        <f t="shared" si="123"/>
        <v>#DIV/0!</v>
      </c>
      <c r="R48" s="128" t="e">
        <f t="shared" si="123"/>
        <v>#DIV/0!</v>
      </c>
      <c r="S48" s="128" t="e">
        <f t="shared" ref="S48" si="124">(S47-R47)/R47</f>
        <v>#DIV/0!</v>
      </c>
      <c r="T48" s="110"/>
      <c r="U48" s="10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24"/>
    </row>
    <row r="49" spans="1:34">
      <c r="A49" s="180"/>
      <c r="B49" s="179" t="s">
        <v>426</v>
      </c>
      <c r="C49" s="119"/>
      <c r="D49" s="119"/>
      <c r="E49" s="125"/>
      <c r="F49" s="125"/>
      <c r="G49" s="125"/>
      <c r="H49" s="182">
        <f>I49</f>
        <v>0</v>
      </c>
      <c r="I49" s="182">
        <v>0</v>
      </c>
      <c r="J49" s="182"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01" t="e">
        <f t="shared" si="25"/>
        <v>#DIV/0!</v>
      </c>
      <c r="U49" s="21">
        <f t="shared" si="6"/>
        <v>0.12</v>
      </c>
      <c r="V49" s="131">
        <f t="shared" si="92"/>
        <v>0</v>
      </c>
      <c r="W49" s="131">
        <f t="shared" si="93"/>
        <v>0</v>
      </c>
      <c r="X49" s="131">
        <f t="shared" si="94"/>
        <v>0</v>
      </c>
      <c r="Y49" s="131">
        <f t="shared" si="95"/>
        <v>0</v>
      </c>
      <c r="Z49" s="131">
        <f t="shared" si="96"/>
        <v>0</v>
      </c>
      <c r="AA49" s="131">
        <f t="shared" si="97"/>
        <v>0</v>
      </c>
      <c r="AB49" s="131">
        <f t="shared" si="98"/>
        <v>0</v>
      </c>
      <c r="AC49" s="131">
        <f t="shared" si="99"/>
        <v>0</v>
      </c>
      <c r="AD49" s="131">
        <f t="shared" si="100"/>
        <v>0</v>
      </c>
      <c r="AE49" s="131">
        <f t="shared" si="101"/>
        <v>0</v>
      </c>
      <c r="AF49" s="116" t="e">
        <f t="shared" si="102"/>
        <v>#DIV/0!</v>
      </c>
      <c r="AG49" s="21">
        <f t="shared" si="17"/>
        <v>0.05</v>
      </c>
      <c r="AH49" s="124">
        <f t="shared" si="103"/>
        <v>0</v>
      </c>
    </row>
    <row r="50" spans="1:34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10"/>
      <c r="U50" s="10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17"/>
      <c r="AG50" s="115"/>
      <c r="AH50" s="131"/>
    </row>
    <row r="51" spans="1:34">
      <c r="B51" s="10" t="s">
        <v>230</v>
      </c>
      <c r="C51" s="119"/>
      <c r="D51" s="119"/>
      <c r="E51" s="125"/>
      <c r="F51" s="125"/>
      <c r="G51" s="125">
        <f t="shared" ref="G51:G59" si="125">L51</f>
        <v>0.01</v>
      </c>
      <c r="H51" s="125"/>
      <c r="I51" s="125"/>
      <c r="J51" s="125"/>
      <c r="K51" s="125"/>
      <c r="L51" s="125">
        <v>0.01</v>
      </c>
      <c r="M51" s="125">
        <v>243</v>
      </c>
      <c r="N51" s="125">
        <v>1220</v>
      </c>
      <c r="O51" s="125">
        <v>1325</v>
      </c>
      <c r="P51" s="125">
        <v>959</v>
      </c>
      <c r="Q51" s="125">
        <v>4672</v>
      </c>
      <c r="R51" s="182">
        <v>5159</v>
      </c>
      <c r="S51" s="182">
        <v>8552</v>
      </c>
      <c r="T51" s="101">
        <f t="shared" si="25"/>
        <v>2.1213248815977033</v>
      </c>
      <c r="U51" s="21">
        <f t="shared" si="6"/>
        <v>0.12</v>
      </c>
      <c r="V51" s="131">
        <f t="shared" si="7"/>
        <v>9578.2400000000016</v>
      </c>
      <c r="W51" s="131">
        <f t="shared" ref="W51" si="126">V51*(1+$U51)</f>
        <v>10727.628800000002</v>
      </c>
      <c r="X51" s="131">
        <f t="shared" ref="X51" si="127">W51*(1+$U51)</f>
        <v>12014.944256000004</v>
      </c>
      <c r="Y51" s="131">
        <f t="shared" ref="Y51" si="128">X51*(1+$U51)</f>
        <v>13456.737566720007</v>
      </c>
      <c r="Z51" s="131">
        <f t="shared" si="43"/>
        <v>15071.54607472641</v>
      </c>
      <c r="AA51" s="131">
        <f t="shared" si="44"/>
        <v>16880.131603693579</v>
      </c>
      <c r="AB51" s="131">
        <f t="shared" si="45"/>
        <v>18905.747396136809</v>
      </c>
      <c r="AC51" s="131">
        <f t="shared" si="46"/>
        <v>21174.437083673227</v>
      </c>
      <c r="AD51" s="131">
        <f t="shared" si="47"/>
        <v>23715.369533714016</v>
      </c>
      <c r="AE51" s="131">
        <f t="shared" si="48"/>
        <v>26561.213877759699</v>
      </c>
      <c r="AF51" s="116" t="e">
        <f t="shared" si="19"/>
        <v>#DIV/0!</v>
      </c>
      <c r="AG51" s="21">
        <f t="shared" si="17"/>
        <v>0.05</v>
      </c>
      <c r="AH51" s="124">
        <f t="shared" si="1"/>
        <v>929642.48572158953</v>
      </c>
    </row>
    <row r="52" spans="1:34" s="106" customFormat="1">
      <c r="B52" s="13"/>
      <c r="C52" s="126"/>
      <c r="D52" s="126"/>
      <c r="E52" s="127"/>
      <c r="F52" s="127"/>
      <c r="G52" s="272">
        <f t="shared" ref="G52:Q52" si="129">(G51-F51)/G51</f>
        <v>1</v>
      </c>
      <c r="H52" s="272" t="e">
        <f t="shared" si="129"/>
        <v>#DIV/0!</v>
      </c>
      <c r="I52" s="272" t="e">
        <f t="shared" si="129"/>
        <v>#DIV/0!</v>
      </c>
      <c r="J52" s="272" t="e">
        <f t="shared" si="129"/>
        <v>#DIV/0!</v>
      </c>
      <c r="K52" s="272" t="e">
        <f t="shared" si="129"/>
        <v>#DIV/0!</v>
      </c>
      <c r="L52" s="272">
        <f t="shared" si="129"/>
        <v>1</v>
      </c>
      <c r="M52" s="272">
        <f t="shared" si="129"/>
        <v>0.99995884773662558</v>
      </c>
      <c r="N52" s="272">
        <f t="shared" si="129"/>
        <v>0.80081967213114758</v>
      </c>
      <c r="O52" s="272">
        <f t="shared" si="129"/>
        <v>7.9245283018867921E-2</v>
      </c>
      <c r="P52" s="272">
        <f t="shared" si="129"/>
        <v>-0.38164754953076119</v>
      </c>
      <c r="Q52" s="272">
        <f t="shared" si="129"/>
        <v>0.79473458904109584</v>
      </c>
      <c r="R52" s="128">
        <f t="shared" ref="R52" si="130">(R51-Q51)/Q51</f>
        <v>0.10423801369863013</v>
      </c>
      <c r="S52" s="128">
        <f t="shared" ref="S52" si="131">(S51-R51)/R51</f>
        <v>0.65768559798410542</v>
      </c>
      <c r="T52" s="110"/>
      <c r="U52" s="10"/>
      <c r="V52" s="131"/>
      <c r="W52" s="132"/>
      <c r="X52" s="132"/>
      <c r="Y52" s="132"/>
      <c r="Z52" s="132"/>
      <c r="AA52" s="132"/>
      <c r="AB52" s="132"/>
      <c r="AC52" s="132"/>
      <c r="AD52" s="132"/>
      <c r="AE52" s="132"/>
      <c r="AF52" s="117"/>
      <c r="AG52" s="115"/>
      <c r="AH52" s="133"/>
    </row>
    <row r="53" spans="1:34" s="106" customFormat="1">
      <c r="B53" s="10" t="s">
        <v>345</v>
      </c>
      <c r="C53" s="126"/>
      <c r="D53" s="126"/>
      <c r="E53" s="127"/>
      <c r="F53" s="127"/>
      <c r="G53" s="125">
        <f t="shared" si="125"/>
        <v>0.01</v>
      </c>
      <c r="H53" s="125"/>
      <c r="I53" s="125"/>
      <c r="J53" s="125"/>
      <c r="K53" s="125"/>
      <c r="L53" s="125">
        <v>0.01</v>
      </c>
      <c r="M53" s="125">
        <v>202</v>
      </c>
      <c r="N53" s="125">
        <v>813</v>
      </c>
      <c r="O53" s="125">
        <v>0.34</v>
      </c>
      <c r="P53" s="125">
        <v>-1818</v>
      </c>
      <c r="Q53" s="125">
        <v>-1369</v>
      </c>
      <c r="R53" s="125">
        <v>-815</v>
      </c>
      <c r="S53" s="182">
        <v>454.38</v>
      </c>
      <c r="T53" s="101">
        <f t="shared" si="25"/>
        <v>1.4440960394025124</v>
      </c>
      <c r="U53" s="21">
        <f t="shared" si="6"/>
        <v>0.12</v>
      </c>
      <c r="V53" s="131">
        <f t="shared" si="7"/>
        <v>508.90560000000005</v>
      </c>
      <c r="W53" s="131">
        <f t="shared" ref="W53" si="132">V53*(1+$U53)</f>
        <v>569.97427200000016</v>
      </c>
      <c r="X53" s="131">
        <f t="shared" ref="X53" si="133">W53*(1+$U53)</f>
        <v>638.37118464000025</v>
      </c>
      <c r="Y53" s="131">
        <f t="shared" ref="Y53" si="134">X53*(1+$U53)</f>
        <v>714.97572679680036</v>
      </c>
      <c r="Z53" s="131">
        <f t="shared" ref="Z53" si="135">Y53*(1+$U53)</f>
        <v>800.77281401241646</v>
      </c>
      <c r="AA53" s="131">
        <f t="shared" ref="AA53" si="136">Z53*(1+$U53)</f>
        <v>896.86555169390647</v>
      </c>
      <c r="AB53" s="131">
        <f t="shared" ref="AB53" si="137">AA53*(1+$U53)</f>
        <v>1004.4894178971754</v>
      </c>
      <c r="AC53" s="131">
        <f t="shared" ref="AC53" si="138">AB53*(1+$U53)</f>
        <v>1125.0281480448366</v>
      </c>
      <c r="AD53" s="131">
        <f t="shared" ref="AD53" si="139">AC53*(1+$U53)</f>
        <v>1260.0315258102171</v>
      </c>
      <c r="AE53" s="131">
        <f t="shared" ref="AE53" si="140">AD53*(1+$U53)</f>
        <v>1411.2353089074434</v>
      </c>
      <c r="AF53" s="116" t="e">
        <f t="shared" ref="AF53" si="141">((AE53/I53)^(1/($AE$3-$J$1) ))-1</f>
        <v>#DIV/0!</v>
      </c>
      <c r="AG53" s="21">
        <f t="shared" si="17"/>
        <v>0.05</v>
      </c>
      <c r="AH53" s="124">
        <f t="shared" ref="AH53" si="142">(AE53*(1+AG53))/($C$1-AG53)</f>
        <v>49393.235811760518</v>
      </c>
    </row>
    <row r="54" spans="1:34" s="106" customFormat="1">
      <c r="B54" s="13"/>
      <c r="C54" s="126"/>
      <c r="D54" s="126"/>
      <c r="E54" s="127"/>
      <c r="F54" s="127"/>
      <c r="G54" s="272">
        <f t="shared" ref="G54:Q54" si="143">(G53-F53)/G53</f>
        <v>1</v>
      </c>
      <c r="H54" s="272" t="e">
        <f t="shared" si="143"/>
        <v>#DIV/0!</v>
      </c>
      <c r="I54" s="272" t="e">
        <f t="shared" si="143"/>
        <v>#DIV/0!</v>
      </c>
      <c r="J54" s="272" t="e">
        <f t="shared" si="143"/>
        <v>#DIV/0!</v>
      </c>
      <c r="K54" s="272" t="e">
        <f t="shared" si="143"/>
        <v>#DIV/0!</v>
      </c>
      <c r="L54" s="272">
        <f t="shared" si="143"/>
        <v>1</v>
      </c>
      <c r="M54" s="272">
        <f t="shared" si="143"/>
        <v>0.99995049504950495</v>
      </c>
      <c r="N54" s="272">
        <f t="shared" si="143"/>
        <v>0.75153751537515379</v>
      </c>
      <c r="O54" s="272">
        <f t="shared" si="143"/>
        <v>-2390.1764705882351</v>
      </c>
      <c r="P54" s="272">
        <f t="shared" si="143"/>
        <v>1.0001870187018702</v>
      </c>
      <c r="Q54" s="272">
        <f t="shared" si="143"/>
        <v>-0.32797662527392257</v>
      </c>
      <c r="R54" s="128">
        <f t="shared" ref="R54" si="144">(R53-Q53)/Q53</f>
        <v>-0.40467494521548575</v>
      </c>
      <c r="S54" s="128">
        <f t="shared" ref="S54" si="145">(S53-R53)/R53</f>
        <v>-1.5575214723926383</v>
      </c>
      <c r="T54" s="110"/>
      <c r="U54" s="10"/>
      <c r="V54" s="131"/>
      <c r="W54" s="132"/>
      <c r="X54" s="132"/>
      <c r="Y54" s="132"/>
      <c r="Z54" s="132"/>
      <c r="AA54" s="132"/>
      <c r="AB54" s="132"/>
      <c r="AC54" s="132"/>
      <c r="AD54" s="132"/>
      <c r="AE54" s="132"/>
      <c r="AF54" s="117"/>
      <c r="AG54" s="115"/>
      <c r="AH54" s="133"/>
    </row>
    <row r="55" spans="1:34">
      <c r="B55" s="10" t="s">
        <v>346</v>
      </c>
      <c r="C55" s="119"/>
      <c r="D55" s="119"/>
      <c r="E55" s="125"/>
      <c r="F55" s="125"/>
      <c r="G55" s="125">
        <f t="shared" si="125"/>
        <v>0.01</v>
      </c>
      <c r="H55" s="125"/>
      <c r="I55" s="125"/>
      <c r="J55" s="125"/>
      <c r="K55" s="125"/>
      <c r="L55" s="125">
        <v>0.01</v>
      </c>
      <c r="M55" s="125">
        <v>170</v>
      </c>
      <c r="N55" s="125">
        <v>513</v>
      </c>
      <c r="O55" s="125">
        <v>-295</v>
      </c>
      <c r="P55" s="125">
        <v>-2995</v>
      </c>
      <c r="Q55" s="125">
        <v>-290</v>
      </c>
      <c r="R55" s="125">
        <v>-815</v>
      </c>
      <c r="S55" s="182">
        <v>488.48</v>
      </c>
      <c r="T55" s="101">
        <f t="shared" si="25"/>
        <v>1.4588794210074543</v>
      </c>
      <c r="U55" s="21">
        <f t="shared" si="6"/>
        <v>0.12</v>
      </c>
      <c r="V55" s="131">
        <f t="shared" si="7"/>
        <v>547.09760000000006</v>
      </c>
      <c r="W55" s="131">
        <f t="shared" ref="W55:AE55" si="146">V55*(1+$U55)</f>
        <v>612.74931200000015</v>
      </c>
      <c r="X55" s="131">
        <f t="shared" si="146"/>
        <v>686.27922944000022</v>
      </c>
      <c r="Y55" s="131">
        <f t="shared" si="146"/>
        <v>768.63273697280033</v>
      </c>
      <c r="Z55" s="131">
        <f t="shared" si="146"/>
        <v>860.86866540953645</v>
      </c>
      <c r="AA55" s="131">
        <f t="shared" si="146"/>
        <v>964.17290525868088</v>
      </c>
      <c r="AB55" s="131">
        <f t="shared" si="146"/>
        <v>1079.8736538897226</v>
      </c>
      <c r="AC55" s="131">
        <f t="shared" si="146"/>
        <v>1209.4584923564894</v>
      </c>
      <c r="AD55" s="131">
        <f t="shared" si="146"/>
        <v>1354.5935114392682</v>
      </c>
      <c r="AE55" s="131">
        <f t="shared" si="146"/>
        <v>1517.1447328119805</v>
      </c>
      <c r="AF55" s="116" t="e">
        <f t="shared" si="19"/>
        <v>#DIV/0!</v>
      </c>
      <c r="AG55" s="21">
        <f t="shared" si="17"/>
        <v>0.05</v>
      </c>
      <c r="AH55" s="124">
        <f t="shared" si="1"/>
        <v>53100.065648419317</v>
      </c>
    </row>
    <row r="56" spans="1:34" s="106" customFormat="1">
      <c r="B56" s="13"/>
      <c r="C56" s="126"/>
      <c r="D56" s="126"/>
      <c r="E56" s="127"/>
      <c r="F56" s="127"/>
      <c r="G56" s="272">
        <f>(G55-F55)/G55</f>
        <v>1</v>
      </c>
      <c r="H56" s="272" t="e">
        <f t="shared" ref="H56:Q56" si="147">(H55-G55)/H55</f>
        <v>#DIV/0!</v>
      </c>
      <c r="I56" s="272" t="e">
        <f t="shared" si="147"/>
        <v>#DIV/0!</v>
      </c>
      <c r="J56" s="272" t="e">
        <f t="shared" si="147"/>
        <v>#DIV/0!</v>
      </c>
      <c r="K56" s="272" t="e">
        <f t="shared" si="147"/>
        <v>#DIV/0!</v>
      </c>
      <c r="L56" s="272">
        <f t="shared" si="147"/>
        <v>1</v>
      </c>
      <c r="M56" s="272">
        <f t="shared" si="147"/>
        <v>0.99994117647058833</v>
      </c>
      <c r="N56" s="272">
        <f t="shared" si="147"/>
        <v>0.66861598440545811</v>
      </c>
      <c r="O56" s="272">
        <f t="shared" si="147"/>
        <v>2.7389830508474575</v>
      </c>
      <c r="P56" s="272">
        <f t="shared" si="147"/>
        <v>0.90150250417362265</v>
      </c>
      <c r="Q56" s="272">
        <f t="shared" si="147"/>
        <v>-9.3275862068965516</v>
      </c>
      <c r="R56" s="128">
        <f t="shared" ref="R56" si="148">(R55-Q55)/Q55</f>
        <v>1.8103448275862069</v>
      </c>
      <c r="S56" s="128">
        <f t="shared" ref="S56" si="149">(S55-R55)/R55</f>
        <v>-1.5993619631901841</v>
      </c>
      <c r="T56" s="110"/>
      <c r="U56" s="10"/>
      <c r="V56" s="131"/>
      <c r="W56" s="132"/>
      <c r="X56" s="132"/>
      <c r="Y56" s="132"/>
      <c r="Z56" s="132"/>
      <c r="AA56" s="132"/>
      <c r="AB56" s="132"/>
      <c r="AC56" s="132"/>
      <c r="AD56" s="132"/>
      <c r="AE56" s="132"/>
      <c r="AF56" s="117"/>
      <c r="AG56" s="115"/>
      <c r="AH56" s="133"/>
    </row>
    <row r="57" spans="1:34">
      <c r="B57" s="10" t="s">
        <v>197</v>
      </c>
      <c r="C57" s="120"/>
      <c r="D57" s="120"/>
      <c r="E57" s="123"/>
      <c r="F57" s="123"/>
      <c r="G57" s="125">
        <f t="shared" si="125"/>
        <v>0.01</v>
      </c>
      <c r="H57" s="123"/>
      <c r="I57" s="123"/>
      <c r="J57" s="123"/>
      <c r="K57" s="123"/>
      <c r="L57" s="123">
        <v>0.01</v>
      </c>
      <c r="M57" s="123">
        <v>218</v>
      </c>
      <c r="N57" s="123">
        <v>218</v>
      </c>
      <c r="O57" s="123">
        <v>218</v>
      </c>
      <c r="P57" s="123">
        <v>239</v>
      </c>
      <c r="Q57" s="123">
        <v>287</v>
      </c>
      <c r="R57" s="182">
        <v>287.19</v>
      </c>
      <c r="S57" s="182">
        <v>333.39</v>
      </c>
      <c r="T57" s="101">
        <f t="shared" si="25"/>
        <v>1.3818407111915145</v>
      </c>
      <c r="U57" s="21">
        <v>0.02</v>
      </c>
      <c r="V57" s="131">
        <f t="shared" si="7"/>
        <v>340.05779999999999</v>
      </c>
      <c r="W57" s="131">
        <f>V57*(1+$U57)</f>
        <v>346.85895599999998</v>
      </c>
      <c r="X57" s="131">
        <f t="shared" ref="X57:AE57" si="150">W57*(1+$U57)</f>
        <v>353.79613511999997</v>
      </c>
      <c r="Y57" s="131">
        <f t="shared" si="150"/>
        <v>360.8720578224</v>
      </c>
      <c r="Z57" s="131">
        <f t="shared" si="150"/>
        <v>368.08949897884798</v>
      </c>
      <c r="AA57" s="131">
        <f t="shared" si="150"/>
        <v>375.45128895842493</v>
      </c>
      <c r="AB57" s="131">
        <f t="shared" si="150"/>
        <v>382.96031473759342</v>
      </c>
      <c r="AC57" s="131">
        <f t="shared" si="150"/>
        <v>390.61952103234529</v>
      </c>
      <c r="AD57" s="131">
        <f t="shared" si="150"/>
        <v>398.43191145299221</v>
      </c>
      <c r="AE57" s="131">
        <f t="shared" si="150"/>
        <v>406.40054968205209</v>
      </c>
      <c r="AF57" s="116" t="e">
        <f t="shared" si="19"/>
        <v>#DIV/0!</v>
      </c>
      <c r="AG57" s="21">
        <f t="shared" si="17"/>
        <v>0.05</v>
      </c>
      <c r="AH57" s="124">
        <f t="shared" si="1"/>
        <v>14224.019238871824</v>
      </c>
    </row>
    <row r="58" spans="1:34">
      <c r="B58" s="10"/>
      <c r="C58" s="120"/>
      <c r="D58" s="120"/>
      <c r="E58" s="121"/>
      <c r="F58" s="121"/>
      <c r="G58" s="272">
        <f>(G57-F57)/G57</f>
        <v>1</v>
      </c>
      <c r="H58" s="272" t="e">
        <f t="shared" ref="H58:Q58" si="151">(H57-G57)/H57</f>
        <v>#DIV/0!</v>
      </c>
      <c r="I58" s="272" t="e">
        <f t="shared" si="151"/>
        <v>#DIV/0!</v>
      </c>
      <c r="J58" s="272" t="e">
        <f t="shared" si="151"/>
        <v>#DIV/0!</v>
      </c>
      <c r="K58" s="272" t="e">
        <f t="shared" si="151"/>
        <v>#DIV/0!</v>
      </c>
      <c r="L58" s="272">
        <f t="shared" si="151"/>
        <v>1</v>
      </c>
      <c r="M58" s="272">
        <f t="shared" si="151"/>
        <v>0.99995412844036702</v>
      </c>
      <c r="N58" s="272">
        <f t="shared" si="151"/>
        <v>0</v>
      </c>
      <c r="O58" s="272">
        <f t="shared" si="151"/>
        <v>0</v>
      </c>
      <c r="P58" s="272">
        <f t="shared" si="151"/>
        <v>8.7866108786610872E-2</v>
      </c>
      <c r="Q58" s="272">
        <f t="shared" si="151"/>
        <v>0.1672473867595819</v>
      </c>
      <c r="R58" s="128">
        <f t="shared" ref="R58" si="152">(R57-Q57)/Q57</f>
        <v>6.6202090592333703E-4</v>
      </c>
      <c r="S58" s="128">
        <f t="shared" ref="S58" si="153">(S57-R57)/R57</f>
        <v>0.16086911104147075</v>
      </c>
      <c r="T58" s="110"/>
      <c r="U58" s="10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17"/>
      <c r="AG58" s="115"/>
      <c r="AH58" s="124"/>
    </row>
    <row r="59" spans="1:34">
      <c r="B59" s="10" t="s">
        <v>233</v>
      </c>
      <c r="C59" s="123"/>
      <c r="D59" s="123"/>
      <c r="E59" s="123"/>
      <c r="F59" s="123"/>
      <c r="G59" s="125">
        <f t="shared" si="125"/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0</v>
      </c>
      <c r="Q59" s="123">
        <v>0</v>
      </c>
      <c r="R59" s="182">
        <v>0</v>
      </c>
      <c r="S59" s="182"/>
      <c r="T59" s="101" t="e">
        <f t="shared" si="25"/>
        <v>#DIV/0!</v>
      </c>
      <c r="U59" s="21">
        <v>0.02</v>
      </c>
      <c r="V59" s="131">
        <f t="shared" si="7"/>
        <v>0</v>
      </c>
      <c r="W59" s="131">
        <f t="shared" ref="W59" si="154">V59*(1+$U59)</f>
        <v>0</v>
      </c>
      <c r="X59" s="131">
        <f t="shared" ref="X59" si="155">W59*(1+$U59)</f>
        <v>0</v>
      </c>
      <c r="Y59" s="131">
        <f t="shared" ref="Y59" si="156">X59*(1+$U59)</f>
        <v>0</v>
      </c>
      <c r="Z59" s="131">
        <f t="shared" ref="Z59" si="157">Y59*(1+$U59)</f>
        <v>0</v>
      </c>
      <c r="AA59" s="131">
        <f t="shared" ref="AA59" si="158">Z59*(1+$U59)</f>
        <v>0</v>
      </c>
      <c r="AB59" s="131">
        <f t="shared" ref="AB59" si="159">AA59*(1+$U59)</f>
        <v>0</v>
      </c>
      <c r="AC59" s="131">
        <f t="shared" ref="AC59" si="160">AB59*(1+$U59)</f>
        <v>0</v>
      </c>
      <c r="AD59" s="131">
        <f t="shared" ref="AD59" si="161">AC59*(1+$U59)</f>
        <v>0</v>
      </c>
      <c r="AE59" s="131">
        <f t="shared" ref="AE59" si="162">AD59*(1+$U59)</f>
        <v>0</v>
      </c>
      <c r="AF59" s="116" t="e">
        <f t="shared" ref="AF59" si="163">((AE59/I59)^(1/($AE$3-$J$1) ))-1</f>
        <v>#DIV/0!</v>
      </c>
      <c r="AG59" s="21">
        <f t="shared" si="17"/>
        <v>0.05</v>
      </c>
      <c r="AH59" s="124">
        <f t="shared" si="1"/>
        <v>0</v>
      </c>
    </row>
    <row r="60" spans="1:34">
      <c r="B60" s="10"/>
      <c r="C60" s="123"/>
      <c r="D60" s="123"/>
      <c r="E60" s="123"/>
      <c r="F60" s="123"/>
      <c r="G60" s="125"/>
      <c r="H60" s="128" t="e">
        <f t="shared" ref="H60:R60" si="164">(H59-G59)/G59</f>
        <v>#DIV/0!</v>
      </c>
      <c r="I60" s="128" t="e">
        <f t="shared" si="164"/>
        <v>#DIV/0!</v>
      </c>
      <c r="J60" s="128" t="e">
        <f t="shared" si="164"/>
        <v>#DIV/0!</v>
      </c>
      <c r="K60" s="128" t="e">
        <f t="shared" si="164"/>
        <v>#DIV/0!</v>
      </c>
      <c r="L60" s="128" t="e">
        <f t="shared" si="164"/>
        <v>#DIV/0!</v>
      </c>
      <c r="M60" s="128" t="e">
        <f t="shared" si="164"/>
        <v>#DIV/0!</v>
      </c>
      <c r="N60" s="128" t="e">
        <f t="shared" si="164"/>
        <v>#DIV/0!</v>
      </c>
      <c r="O60" s="128" t="e">
        <f t="shared" si="164"/>
        <v>#DIV/0!</v>
      </c>
      <c r="P60" s="128" t="e">
        <f t="shared" si="164"/>
        <v>#DIV/0!</v>
      </c>
      <c r="Q60" s="128" t="e">
        <f t="shared" si="164"/>
        <v>#DIV/0!</v>
      </c>
      <c r="R60" s="128" t="e">
        <f t="shared" si="164"/>
        <v>#DIV/0!</v>
      </c>
      <c r="S60" s="128" t="e">
        <f t="shared" ref="S60" si="165">(S59-R59)/R59</f>
        <v>#DIV/0!</v>
      </c>
      <c r="T60" s="110"/>
      <c r="U60" s="10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17"/>
      <c r="AG60" s="115"/>
      <c r="AH60" s="124"/>
    </row>
    <row r="61" spans="1:34">
      <c r="B61" s="10" t="s">
        <v>371</v>
      </c>
      <c r="C61" s="10"/>
      <c r="D61" s="10"/>
      <c r="E61" s="109"/>
      <c r="F61" s="109"/>
      <c r="G61" s="109"/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10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17"/>
      <c r="AG61" s="115"/>
      <c r="AH61" s="131"/>
    </row>
    <row r="62" spans="1:34">
      <c r="B62" s="10" t="s">
        <v>369</v>
      </c>
      <c r="C62" s="10"/>
      <c r="D62" s="10"/>
      <c r="E62" s="109"/>
      <c r="F62" s="109"/>
      <c r="G62" s="109"/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10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17"/>
      <c r="AG62" s="115"/>
      <c r="AH62" s="131"/>
    </row>
    <row r="63" spans="1:34">
      <c r="B63" s="10" t="s">
        <v>370</v>
      </c>
      <c r="C63" s="10"/>
      <c r="D63" s="10"/>
      <c r="E63" s="109"/>
      <c r="F63" s="109"/>
      <c r="G63" s="109"/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10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17"/>
      <c r="AG63" s="115"/>
      <c r="AH63" s="131"/>
    </row>
    <row r="64" spans="1:34">
      <c r="B64" s="10"/>
      <c r="C64" s="10"/>
      <c r="D64" s="10"/>
      <c r="E64" s="109"/>
      <c r="F64" s="109"/>
      <c r="G64" s="109"/>
      <c r="H64" s="109"/>
      <c r="I64" s="10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10"/>
      <c r="U64" s="110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17"/>
      <c r="AG64" s="115"/>
      <c r="AH64" s="131"/>
    </row>
    <row r="65" spans="2:34">
      <c r="B65" s="93" t="s">
        <v>201</v>
      </c>
      <c r="C65" s="10"/>
      <c r="D65" s="10"/>
      <c r="E65" s="109"/>
      <c r="F65" s="109"/>
      <c r="G65" s="109"/>
      <c r="H65" s="109"/>
      <c r="I65" s="10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10"/>
      <c r="U65" s="110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17"/>
      <c r="AG65" s="115"/>
      <c r="AH65" s="131"/>
    </row>
    <row r="66" spans="2:34">
      <c r="B66" s="10" t="s">
        <v>253</v>
      </c>
      <c r="C66" s="112"/>
      <c r="D66" s="112"/>
      <c r="E66" s="112"/>
      <c r="F66" s="112"/>
      <c r="G66" s="112">
        <f t="shared" ref="G66:H66" si="166">G25/G57</f>
        <v>1</v>
      </c>
      <c r="H66" s="112" t="e">
        <f t="shared" si="166"/>
        <v>#DIV/0!</v>
      </c>
      <c r="I66" s="112" t="e">
        <f t="shared" ref="I66:R66" si="167">I25/I57</f>
        <v>#DIV/0!</v>
      </c>
      <c r="J66" s="112" t="e">
        <f t="shared" si="167"/>
        <v>#DIV/0!</v>
      </c>
      <c r="K66" s="112" t="e">
        <f t="shared" si="167"/>
        <v>#DIV/0!</v>
      </c>
      <c r="L66" s="112">
        <f t="shared" si="167"/>
        <v>1</v>
      </c>
      <c r="M66" s="112">
        <f t="shared" si="167"/>
        <v>2.1422018348623855</v>
      </c>
      <c r="N66" s="112">
        <f t="shared" si="167"/>
        <v>9.876146788990825</v>
      </c>
      <c r="O66" s="112">
        <f t="shared" si="167"/>
        <v>18.770642201834864</v>
      </c>
      <c r="P66" s="112">
        <f t="shared" si="167"/>
        <v>29.263598326359833</v>
      </c>
      <c r="Q66" s="112">
        <f t="shared" si="167"/>
        <v>55.728222996515676</v>
      </c>
      <c r="R66" s="112">
        <f t="shared" si="167"/>
        <v>68.003760576621744</v>
      </c>
      <c r="S66" s="112">
        <f t="shared" ref="S66" si="168">S25/S57</f>
        <v>76.286031374666308</v>
      </c>
      <c r="T66" s="101">
        <f t="shared" ref="T66:T68" si="169">((S66/G66)^(1/($J$2-$J$1) ))-1</f>
        <v>0.43506118682892936</v>
      </c>
      <c r="U66" s="110"/>
      <c r="V66" s="135">
        <f t="shared" ref="V66:AE66" si="170">V25/V57</f>
        <v>83.765054058457139</v>
      </c>
      <c r="W66" s="135">
        <f t="shared" si="170"/>
        <v>91.977314260266667</v>
      </c>
      <c r="X66" s="135">
        <f t="shared" si="170"/>
        <v>100.9946980112732</v>
      </c>
      <c r="Y66" s="135">
        <f t="shared" si="170"/>
        <v>110.89613899277057</v>
      </c>
      <c r="Z66" s="135">
        <f t="shared" si="170"/>
        <v>121.76830948225789</v>
      </c>
      <c r="AA66" s="135">
        <f t="shared" si="170"/>
        <v>133.70637903934201</v>
      </c>
      <c r="AB66" s="135">
        <f t="shared" si="170"/>
        <v>146.81484757261086</v>
      </c>
      <c r="AC66" s="135">
        <f t="shared" si="170"/>
        <v>161.20846007972958</v>
      </c>
      <c r="AD66" s="135">
        <f t="shared" si="170"/>
        <v>177.01321106793836</v>
      </c>
      <c r="AE66" s="135">
        <f t="shared" si="170"/>
        <v>194.36744744714798</v>
      </c>
      <c r="AF66" s="116" t="e">
        <f t="shared" ref="AF66" si="171">((AE66/I66)^(1/($AE$3-$J$1) ))-1</f>
        <v>#DIV/0!</v>
      </c>
      <c r="AG66" s="21">
        <f t="shared" si="17"/>
        <v>0.05</v>
      </c>
      <c r="AH66" s="124">
        <f t="shared" ref="AH66:AH67" si="172">(AE66*(1+AG66))/($C$1-AG66)</f>
        <v>6802.8606606501799</v>
      </c>
    </row>
    <row r="67" spans="2:34">
      <c r="B67" s="10" t="s">
        <v>254</v>
      </c>
      <c r="C67" s="112"/>
      <c r="D67" s="112"/>
      <c r="E67" s="112"/>
      <c r="F67" s="112"/>
      <c r="G67" s="112">
        <f t="shared" ref="G67:H67" si="173">G27/G57</f>
        <v>1</v>
      </c>
      <c r="H67" s="112" t="e">
        <f t="shared" si="173"/>
        <v>#DIV/0!</v>
      </c>
      <c r="I67" s="112" t="e">
        <f t="shared" ref="I67:R67" si="174">I27/I57</f>
        <v>#DIV/0!</v>
      </c>
      <c r="J67" s="112" t="e">
        <f t="shared" si="174"/>
        <v>#DIV/0!</v>
      </c>
      <c r="K67" s="112" t="e">
        <f t="shared" si="174"/>
        <v>#DIV/0!</v>
      </c>
      <c r="L67" s="112">
        <f t="shared" si="174"/>
        <v>1</v>
      </c>
      <c r="M67" s="112">
        <f t="shared" si="174"/>
        <v>0.87614678899082565</v>
      </c>
      <c r="N67" s="112">
        <f t="shared" si="174"/>
        <v>4.1972477064220186</v>
      </c>
      <c r="O67" s="112">
        <f t="shared" si="174"/>
        <v>12.678899082568808</v>
      </c>
      <c r="P67" s="112">
        <f t="shared" si="174"/>
        <v>24.347280334728033</v>
      </c>
      <c r="Q67" s="112">
        <f t="shared" si="174"/>
        <v>38.658536585365852</v>
      </c>
      <c r="R67" s="112">
        <f t="shared" si="174"/>
        <v>47.578258295901669</v>
      </c>
      <c r="S67" s="112">
        <f t="shared" ref="S67" si="175">S27/S57</f>
        <v>50.025495665736827</v>
      </c>
      <c r="T67" s="101">
        <f t="shared" si="169"/>
        <v>0.3854768813854843</v>
      </c>
      <c r="U67" s="110"/>
      <c r="V67" s="135">
        <f t="shared" ref="V67:AE67" si="176">V27/V57</f>
        <v>54.929956025122792</v>
      </c>
      <c r="W67" s="135">
        <f t="shared" si="176"/>
        <v>60.31524583150739</v>
      </c>
      <c r="X67" s="135">
        <f t="shared" si="176"/>
        <v>66.228505226753214</v>
      </c>
      <c r="Y67" s="135">
        <f t="shared" si="176"/>
        <v>72.721495935258446</v>
      </c>
      <c r="Z67" s="135">
        <f t="shared" si="176"/>
        <v>79.851054360283783</v>
      </c>
      <c r="AA67" s="135">
        <f t="shared" si="176"/>
        <v>87.679589101488091</v>
      </c>
      <c r="AB67" s="135">
        <f t="shared" si="176"/>
        <v>96.2756272486928</v>
      </c>
      <c r="AC67" s="135">
        <f t="shared" si="176"/>
        <v>105.71441423385878</v>
      </c>
      <c r="AD67" s="135">
        <f t="shared" si="176"/>
        <v>116.07857249208023</v>
      </c>
      <c r="AE67" s="135">
        <f t="shared" si="176"/>
        <v>127.45882469718613</v>
      </c>
      <c r="AF67" s="116" t="e">
        <f t="shared" ref="AF67" si="177">((AE67/I67)^(1/($AE$3-$J$1) ))-1</f>
        <v>#DIV/0!</v>
      </c>
      <c r="AG67" s="21">
        <f t="shared" si="17"/>
        <v>0.05</v>
      </c>
      <c r="AH67" s="124">
        <f t="shared" si="172"/>
        <v>4461.0588644015152</v>
      </c>
    </row>
    <row r="68" spans="2:34">
      <c r="B68" s="10" t="s">
        <v>372</v>
      </c>
      <c r="C68" s="112"/>
      <c r="D68" s="112"/>
      <c r="E68" s="112"/>
      <c r="F68" s="112"/>
      <c r="G68" s="112">
        <f t="shared" ref="G68:H68" si="178">G53-G55</f>
        <v>0</v>
      </c>
      <c r="H68" s="112">
        <f t="shared" si="178"/>
        <v>0</v>
      </c>
      <c r="I68" s="112">
        <f>I53-I55</f>
        <v>0</v>
      </c>
      <c r="J68" s="112">
        <f t="shared" ref="J68:R68" si="179">J53-J55</f>
        <v>0</v>
      </c>
      <c r="K68" s="112">
        <f t="shared" si="179"/>
        <v>0</v>
      </c>
      <c r="L68" s="112">
        <f t="shared" si="179"/>
        <v>0</v>
      </c>
      <c r="M68" s="112">
        <f t="shared" si="179"/>
        <v>32</v>
      </c>
      <c r="N68" s="112">
        <f t="shared" si="179"/>
        <v>300</v>
      </c>
      <c r="O68" s="112">
        <f t="shared" si="179"/>
        <v>295.33999999999997</v>
      </c>
      <c r="P68" s="112">
        <f t="shared" si="179"/>
        <v>1177</v>
      </c>
      <c r="Q68" s="112">
        <f t="shared" si="179"/>
        <v>-1079</v>
      </c>
      <c r="R68" s="112">
        <f t="shared" si="179"/>
        <v>0</v>
      </c>
      <c r="S68" s="112">
        <f t="shared" ref="S68" si="180">S53-S55</f>
        <v>-34.100000000000023</v>
      </c>
      <c r="T68" s="101" t="e">
        <f t="shared" si="169"/>
        <v>#DIV/0!</v>
      </c>
      <c r="U68" s="110"/>
      <c r="V68" s="112">
        <f t="shared" ref="V68:AE68" si="181">V53-V55</f>
        <v>-38.192000000000007</v>
      </c>
      <c r="W68" s="112">
        <f t="shared" si="181"/>
        <v>-42.77503999999999</v>
      </c>
      <c r="X68" s="112">
        <f t="shared" si="181"/>
        <v>-47.908044799999971</v>
      </c>
      <c r="Y68" s="112">
        <f t="shared" si="181"/>
        <v>-53.657010175999972</v>
      </c>
      <c r="Z68" s="112">
        <f t="shared" si="181"/>
        <v>-60.095851397119986</v>
      </c>
      <c r="AA68" s="112">
        <f t="shared" si="181"/>
        <v>-67.307353564774417</v>
      </c>
      <c r="AB68" s="112">
        <f t="shared" si="181"/>
        <v>-75.384235992547246</v>
      </c>
      <c r="AC68" s="112">
        <f t="shared" si="181"/>
        <v>-84.430344311652789</v>
      </c>
      <c r="AD68" s="112">
        <f t="shared" si="181"/>
        <v>-94.561985629051151</v>
      </c>
      <c r="AE68" s="112">
        <f t="shared" si="181"/>
        <v>-105.90942390453711</v>
      </c>
      <c r="AF68" s="116" t="e">
        <f t="shared" ref="AF68" si="182">((AE68/I68)^(1/($AE$3-$J$1) ))-1</f>
        <v>#DIV/0!</v>
      </c>
      <c r="AG68" s="21">
        <f t="shared" si="17"/>
        <v>0.05</v>
      </c>
      <c r="AH68" s="124">
        <f t="shared" ref="AH68" si="183">(AE68*(1+AG68))/($C$1-AG68)</f>
        <v>-3706.8298366587992</v>
      </c>
    </row>
    <row r="69" spans="2:34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0"/>
      <c r="U69" s="110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02"/>
      <c r="AG69" s="115"/>
      <c r="AH69" s="124"/>
    </row>
    <row r="70" spans="2:34">
      <c r="B70" s="10" t="s">
        <v>405</v>
      </c>
      <c r="C70" s="112"/>
      <c r="D70" s="112"/>
      <c r="E70" s="112"/>
      <c r="F70" s="112"/>
      <c r="G70" s="15">
        <f t="shared" ref="G70:H70" si="184">G51/G57</f>
        <v>1</v>
      </c>
      <c r="H70" s="15" t="e">
        <f t="shared" si="184"/>
        <v>#DIV/0!</v>
      </c>
      <c r="I70" s="15" t="e">
        <f t="shared" ref="I70:R70" si="185">I51/I57</f>
        <v>#DIV/0!</v>
      </c>
      <c r="J70" s="15" t="e">
        <f t="shared" si="185"/>
        <v>#DIV/0!</v>
      </c>
      <c r="K70" s="15" t="e">
        <f t="shared" si="185"/>
        <v>#DIV/0!</v>
      </c>
      <c r="L70" s="15">
        <f t="shared" si="185"/>
        <v>1</v>
      </c>
      <c r="M70" s="15">
        <f t="shared" si="185"/>
        <v>1.1146788990825689</v>
      </c>
      <c r="N70" s="15">
        <f t="shared" si="185"/>
        <v>5.5963302752293576</v>
      </c>
      <c r="O70" s="15">
        <f t="shared" si="185"/>
        <v>6.0779816513761471</v>
      </c>
      <c r="P70" s="15">
        <f t="shared" si="185"/>
        <v>4.01255230125523</v>
      </c>
      <c r="Q70" s="15">
        <f t="shared" si="185"/>
        <v>16.278745644599304</v>
      </c>
      <c r="R70" s="15">
        <f t="shared" si="185"/>
        <v>17.963717399630905</v>
      </c>
      <c r="S70" s="15">
        <f>S51/S57</f>
        <v>25.651639221332374</v>
      </c>
      <c r="T70" s="101">
        <f t="shared" ref="T70:T134" si="186">((S70/G70)^(1/($J$2-$J$1) ))-1</f>
        <v>0.31046751654364924</v>
      </c>
      <c r="U70" s="110"/>
      <c r="V70" s="96">
        <f>V51/V57</f>
        <v>28.166505811659082</v>
      </c>
      <c r="W70" s="96">
        <f t="shared" ref="W70:AE70" si="187">W51/W57</f>
        <v>30.927927950057033</v>
      </c>
      <c r="X70" s="96">
        <f t="shared" si="187"/>
        <v>33.960077749082238</v>
      </c>
      <c r="Y70" s="96">
        <f t="shared" si="187"/>
        <v>37.289497136247164</v>
      </c>
      <c r="Z70" s="96">
        <f t="shared" si="187"/>
        <v>40.945330188820428</v>
      </c>
      <c r="AA70" s="96">
        <f t="shared" si="187"/>
        <v>44.95957824654792</v>
      </c>
      <c r="AB70" s="96">
        <f t="shared" si="187"/>
        <v>49.367380035425171</v>
      </c>
      <c r="AC70" s="96">
        <f t="shared" si="187"/>
        <v>54.207319254584505</v>
      </c>
      <c r="AD70" s="96">
        <f t="shared" si="187"/>
        <v>59.521762318759457</v>
      </c>
      <c r="AE70" s="96">
        <f t="shared" si="187"/>
        <v>65.357229212755485</v>
      </c>
      <c r="AF70" s="116" t="e">
        <f t="shared" ref="AF70:AF71" si="188">((AE70/I70)^(1/($AE$3-$J$1) ))-1</f>
        <v>#DIV/0!</v>
      </c>
      <c r="AG70" s="21">
        <f t="shared" si="17"/>
        <v>0.05</v>
      </c>
      <c r="AH70" s="124">
        <f t="shared" ref="AH70:AH71" si="189">(AE70*(1+AG70))/($C$1-AG70)</f>
        <v>2287.5030224464422</v>
      </c>
    </row>
    <row r="71" spans="2:34">
      <c r="B71" s="10" t="s">
        <v>406</v>
      </c>
      <c r="C71" s="112"/>
      <c r="D71" s="112"/>
      <c r="E71" s="112"/>
      <c r="F71" s="112"/>
      <c r="G71" s="15">
        <f t="shared" ref="G71:H71" si="190">G53/G57</f>
        <v>1</v>
      </c>
      <c r="H71" s="15" t="e">
        <f t="shared" si="190"/>
        <v>#DIV/0!</v>
      </c>
      <c r="I71" s="15" t="e">
        <f t="shared" ref="I71:R71" si="191">I53/I57</f>
        <v>#DIV/0!</v>
      </c>
      <c r="J71" s="15" t="e">
        <f t="shared" si="191"/>
        <v>#DIV/0!</v>
      </c>
      <c r="K71" s="15" t="e">
        <f t="shared" si="191"/>
        <v>#DIV/0!</v>
      </c>
      <c r="L71" s="15">
        <f t="shared" si="191"/>
        <v>1</v>
      </c>
      <c r="M71" s="15">
        <f t="shared" si="191"/>
        <v>0.92660550458715596</v>
      </c>
      <c r="N71" s="15">
        <f t="shared" si="191"/>
        <v>3.7293577981651378</v>
      </c>
      <c r="O71" s="15">
        <f t="shared" si="191"/>
        <v>1.5596330275229359E-3</v>
      </c>
      <c r="P71" s="15">
        <f t="shared" si="191"/>
        <v>-7.6066945606694558</v>
      </c>
      <c r="Q71" s="15">
        <f t="shared" si="191"/>
        <v>-4.7700348432055746</v>
      </c>
      <c r="R71" s="15">
        <f t="shared" si="191"/>
        <v>-2.8378425432640411</v>
      </c>
      <c r="S71" s="15">
        <f>S53/S57</f>
        <v>1.36290830558805</v>
      </c>
      <c r="T71" s="101">
        <f t="shared" si="186"/>
        <v>2.6137485986564846E-2</v>
      </c>
      <c r="U71" s="110"/>
      <c r="V71" s="96">
        <f>V53/V57</f>
        <v>1.496526766920212</v>
      </c>
      <c r="W71" s="96">
        <f t="shared" ref="W71:AE71" si="192">W53/W57</f>
        <v>1.643245077402586</v>
      </c>
      <c r="X71" s="96">
        <f t="shared" si="192"/>
        <v>1.8043475359714674</v>
      </c>
      <c r="Y71" s="96">
        <f t="shared" si="192"/>
        <v>1.981244353223572</v>
      </c>
      <c r="Z71" s="96">
        <f t="shared" si="192"/>
        <v>2.1754839956964713</v>
      </c>
      <c r="AA71" s="96">
        <f t="shared" si="192"/>
        <v>2.3887667403725965</v>
      </c>
      <c r="AB71" s="96">
        <f t="shared" si="192"/>
        <v>2.6229595580561846</v>
      </c>
      <c r="AC71" s="96">
        <f t="shared" si="192"/>
        <v>2.8801124559048303</v>
      </c>
      <c r="AD71" s="96">
        <f t="shared" si="192"/>
        <v>3.1624764221700103</v>
      </c>
      <c r="AE71" s="96">
        <f t="shared" si="192"/>
        <v>3.4725231302258939</v>
      </c>
      <c r="AF71" s="116" t="e">
        <f t="shared" si="188"/>
        <v>#DIV/0!</v>
      </c>
      <c r="AG71" s="21">
        <f t="shared" si="17"/>
        <v>0.05</v>
      </c>
      <c r="AH71" s="124">
        <f t="shared" si="189"/>
        <v>121.53830955790629</v>
      </c>
    </row>
    <row r="72" spans="2:34">
      <c r="B72" s="10" t="s">
        <v>215</v>
      </c>
      <c r="C72" s="15"/>
      <c r="D72" s="15"/>
      <c r="E72" s="15"/>
      <c r="F72" s="15"/>
      <c r="G72" s="112">
        <f t="shared" ref="G72:H72" si="193">G55/G57</f>
        <v>1</v>
      </c>
      <c r="H72" s="112" t="e">
        <f t="shared" si="193"/>
        <v>#DIV/0!</v>
      </c>
      <c r="I72" s="112" t="e">
        <f t="shared" ref="I72:R72" si="194">I55/I57</f>
        <v>#DIV/0!</v>
      </c>
      <c r="J72" s="112" t="e">
        <f t="shared" si="194"/>
        <v>#DIV/0!</v>
      </c>
      <c r="K72" s="112" t="e">
        <f t="shared" si="194"/>
        <v>#DIV/0!</v>
      </c>
      <c r="L72" s="112">
        <f t="shared" si="194"/>
        <v>1</v>
      </c>
      <c r="M72" s="112">
        <f t="shared" si="194"/>
        <v>0.77981651376146788</v>
      </c>
      <c r="N72" s="112">
        <f t="shared" si="194"/>
        <v>2.3532110091743119</v>
      </c>
      <c r="O72" s="112">
        <f t="shared" si="194"/>
        <v>-1.3532110091743119</v>
      </c>
      <c r="P72" s="112">
        <f t="shared" si="194"/>
        <v>-12.531380753138075</v>
      </c>
      <c r="Q72" s="112">
        <f t="shared" si="194"/>
        <v>-1.0104529616724738</v>
      </c>
      <c r="R72" s="112">
        <f t="shared" si="194"/>
        <v>-2.8378425432640411</v>
      </c>
      <c r="S72" s="112">
        <f t="shared" ref="S72" si="195">S55/S57</f>
        <v>1.4651909175440176</v>
      </c>
      <c r="T72" s="101">
        <f t="shared" si="186"/>
        <v>3.2344190547234808E-2</v>
      </c>
      <c r="U72" s="110"/>
      <c r="V72" s="135">
        <f t="shared" ref="V72:AE72" si="196">V55/V57</f>
        <v>1.6088370859306862</v>
      </c>
      <c r="W72" s="135">
        <f t="shared" si="196"/>
        <v>1.7665662120023222</v>
      </c>
      <c r="X72" s="135">
        <f t="shared" si="196"/>
        <v>1.9397589778849031</v>
      </c>
      <c r="Y72" s="135">
        <f t="shared" si="196"/>
        <v>2.1299314266971487</v>
      </c>
      <c r="Z72" s="135">
        <f t="shared" si="196"/>
        <v>2.3387482332360849</v>
      </c>
      <c r="AA72" s="135">
        <f t="shared" si="196"/>
        <v>2.5680372757102115</v>
      </c>
      <c r="AB72" s="135">
        <f t="shared" si="196"/>
        <v>2.8198056360739576</v>
      </c>
      <c r="AC72" s="135">
        <f t="shared" si="196"/>
        <v>3.096257169022385</v>
      </c>
      <c r="AD72" s="135">
        <f t="shared" si="196"/>
        <v>3.3998117934363443</v>
      </c>
      <c r="AE72" s="135">
        <f t="shared" si="196"/>
        <v>3.7331266751457899</v>
      </c>
      <c r="AF72" s="116" t="e">
        <f t="shared" ref="AF72:AF86" si="197">((AE72/I72)^(1/($AE$3-$J$1) ))-1</f>
        <v>#DIV/0!</v>
      </c>
      <c r="AG72" s="21">
        <f t="shared" si="17"/>
        <v>0.05</v>
      </c>
      <c r="AH72" s="124">
        <f t="shared" ref="AH72:AH100" si="198">(AE72*(1+AG72))/($C$1-AG72)</f>
        <v>130.65943363010265</v>
      </c>
    </row>
    <row r="73" spans="2:34">
      <c r="B73" s="10" t="s">
        <v>333</v>
      </c>
      <c r="C73" s="112"/>
      <c r="D73" s="112"/>
      <c r="E73" s="112"/>
      <c r="F73" s="112"/>
      <c r="G73" s="112">
        <f t="shared" ref="G73:H73" si="199">G20/G57</f>
        <v>-200</v>
      </c>
      <c r="H73" s="112" t="e">
        <f t="shared" si="199"/>
        <v>#DIV/0!</v>
      </c>
      <c r="I73" s="112" t="e">
        <f>I20/I57</f>
        <v>#DIV/0!</v>
      </c>
      <c r="J73" s="112" t="e">
        <f t="shared" ref="J73:R73" si="200">J20/J57</f>
        <v>#DIV/0!</v>
      </c>
      <c r="K73" s="112" t="e">
        <f t="shared" si="200"/>
        <v>#DIV/0!</v>
      </c>
      <c r="L73" s="112">
        <f t="shared" si="200"/>
        <v>-200</v>
      </c>
      <c r="M73" s="112">
        <f t="shared" si="200"/>
        <v>0.73853211009174313</v>
      </c>
      <c r="N73" s="112">
        <f t="shared" si="200"/>
        <v>4.0550458715596331</v>
      </c>
      <c r="O73" s="112">
        <f t="shared" si="200"/>
        <v>4.0963302752293576</v>
      </c>
      <c r="P73" s="112">
        <f t="shared" si="200"/>
        <v>8.2384937238493716</v>
      </c>
      <c r="Q73" s="112">
        <f t="shared" si="200"/>
        <v>11.794425087108014</v>
      </c>
      <c r="R73" s="112">
        <f t="shared" si="200"/>
        <v>21.320380236080645</v>
      </c>
      <c r="S73" s="112">
        <f t="shared" ref="S73" si="201">S20/S57</f>
        <v>0</v>
      </c>
      <c r="T73" s="101">
        <f t="shared" si="186"/>
        <v>-1</v>
      </c>
      <c r="U73" s="110"/>
      <c r="V73" s="112">
        <f t="shared" ref="V73:AE73" si="202">V20/V57</f>
        <v>0</v>
      </c>
      <c r="W73" s="112">
        <f t="shared" si="202"/>
        <v>0</v>
      </c>
      <c r="X73" s="112">
        <f t="shared" si="202"/>
        <v>0</v>
      </c>
      <c r="Y73" s="112">
        <f t="shared" si="202"/>
        <v>0</v>
      </c>
      <c r="Z73" s="112">
        <f t="shared" si="202"/>
        <v>0</v>
      </c>
      <c r="AA73" s="112">
        <f t="shared" si="202"/>
        <v>0</v>
      </c>
      <c r="AB73" s="112">
        <f t="shared" si="202"/>
        <v>0</v>
      </c>
      <c r="AC73" s="112">
        <f t="shared" si="202"/>
        <v>0</v>
      </c>
      <c r="AD73" s="112">
        <f t="shared" si="202"/>
        <v>0</v>
      </c>
      <c r="AE73" s="112">
        <f t="shared" si="202"/>
        <v>0</v>
      </c>
      <c r="AF73" s="116" t="e">
        <f t="shared" ref="AF73" si="203">((AE73/I73)^(1/($AE$3-$J$1) ))-1</f>
        <v>#DIV/0!</v>
      </c>
      <c r="AG73" s="21">
        <f t="shared" si="17"/>
        <v>0.05</v>
      </c>
      <c r="AH73" s="124">
        <f t="shared" si="198"/>
        <v>0</v>
      </c>
    </row>
    <row r="74" spans="2:34">
      <c r="B74" s="10" t="s">
        <v>203</v>
      </c>
      <c r="C74" s="15"/>
      <c r="D74" s="15"/>
      <c r="E74" s="15"/>
      <c r="F74" s="15"/>
      <c r="G74" s="112">
        <f t="shared" ref="G74:H74" si="204">G7/G57</f>
        <v>228800</v>
      </c>
      <c r="H74" s="112" t="e">
        <f t="shared" si="204"/>
        <v>#DIV/0!</v>
      </c>
      <c r="I74" s="112" t="e">
        <f t="shared" ref="I74:R74" si="205">I7/I57</f>
        <v>#DIV/0!</v>
      </c>
      <c r="J74" s="112" t="e">
        <f t="shared" si="205"/>
        <v>#DIV/0!</v>
      </c>
      <c r="K74" s="112" t="e">
        <f t="shared" si="205"/>
        <v>#DIV/0!</v>
      </c>
      <c r="L74" s="112">
        <f t="shared" si="205"/>
        <v>228800</v>
      </c>
      <c r="M74" s="112">
        <f t="shared" si="205"/>
        <v>26.504587155963304</v>
      </c>
      <c r="N74" s="112">
        <f t="shared" si="205"/>
        <v>28.839449541284402</v>
      </c>
      <c r="O74" s="112">
        <f t="shared" si="205"/>
        <v>27.711009174311926</v>
      </c>
      <c r="P74" s="112">
        <f t="shared" si="205"/>
        <v>17.96234309623431</v>
      </c>
      <c r="Q74" s="112">
        <f t="shared" si="205"/>
        <v>22.797909407665504</v>
      </c>
      <c r="R74" s="112">
        <f t="shared" si="205"/>
        <v>19.931056095267941</v>
      </c>
      <c r="S74" s="112">
        <f t="shared" ref="S74" si="206">S7/S57</f>
        <v>22.124238879390504</v>
      </c>
      <c r="T74" s="101">
        <f t="shared" si="186"/>
        <v>-0.53713853396382616</v>
      </c>
      <c r="U74" s="110"/>
      <c r="V74" s="135">
        <f t="shared" ref="V74:AE74" si="207">V7/V57</f>
        <v>8.8220296667213631</v>
      </c>
      <c r="W74" s="135">
        <f t="shared" si="207"/>
        <v>9.6869345360077741</v>
      </c>
      <c r="X74" s="135">
        <f t="shared" si="207"/>
        <v>10.636634000322262</v>
      </c>
      <c r="Y74" s="135">
        <f t="shared" si="207"/>
        <v>11.679441255255817</v>
      </c>
      <c r="Z74" s="135">
        <f t="shared" si="207"/>
        <v>12.824484515575019</v>
      </c>
      <c r="AA74" s="135">
        <f t="shared" si="207"/>
        <v>14.081786919062768</v>
      </c>
      <c r="AB74" s="135">
        <f t="shared" si="207"/>
        <v>15.462354264068923</v>
      </c>
      <c r="AC74" s="135">
        <f t="shared" si="207"/>
        <v>16.978271348781565</v>
      </c>
      <c r="AD74" s="135">
        <f t="shared" si="207"/>
        <v>18.642807755524856</v>
      </c>
      <c r="AE74" s="135">
        <f t="shared" si="207"/>
        <v>20.470534006066508</v>
      </c>
      <c r="AF74" s="116" t="e">
        <f t="shared" si="197"/>
        <v>#DIV/0!</v>
      </c>
      <c r="AG74" s="21">
        <f t="shared" si="17"/>
        <v>0.05</v>
      </c>
      <c r="AH74" s="124">
        <f t="shared" si="198"/>
        <v>716.46869021232783</v>
      </c>
    </row>
    <row r="75" spans="2:34">
      <c r="B75" s="10" t="s">
        <v>204</v>
      </c>
      <c r="C75" s="109"/>
      <c r="D75" s="109"/>
      <c r="E75" s="109"/>
      <c r="F75" s="109"/>
      <c r="G75" s="122">
        <f t="shared" ref="G75:H75" si="208">G6/G57</f>
        <v>44600</v>
      </c>
      <c r="H75" s="122" t="e">
        <f t="shared" si="208"/>
        <v>#DIV/0!</v>
      </c>
      <c r="I75" s="122" t="e">
        <f t="shared" ref="I75:R75" si="209">I6/I57</f>
        <v>#DIV/0!</v>
      </c>
      <c r="J75" s="122" t="e">
        <f t="shared" si="209"/>
        <v>#DIV/0!</v>
      </c>
      <c r="K75" s="122" t="e">
        <f t="shared" si="209"/>
        <v>#DIV/0!</v>
      </c>
      <c r="L75" s="122">
        <f t="shared" si="209"/>
        <v>44600</v>
      </c>
      <c r="M75" s="122">
        <f t="shared" si="209"/>
        <v>16.5</v>
      </c>
      <c r="N75" s="122">
        <f t="shared" si="209"/>
        <v>18.839449541284402</v>
      </c>
      <c r="O75" s="122">
        <f t="shared" si="209"/>
        <v>17.711009174311926</v>
      </c>
      <c r="P75" s="122">
        <f t="shared" si="209"/>
        <v>7.9497907949790791</v>
      </c>
      <c r="Q75" s="122">
        <f t="shared" si="209"/>
        <v>12.790940766550523</v>
      </c>
      <c r="R75" s="122">
        <f t="shared" si="209"/>
        <v>9.93070789372889</v>
      </c>
      <c r="S75" s="122">
        <f t="shared" ref="S75" si="210">S6/S57</f>
        <v>12.123938930381836</v>
      </c>
      <c r="T75" s="101">
        <f t="shared" si="186"/>
        <v>-0.49550243612576028</v>
      </c>
      <c r="U75" s="110"/>
      <c r="V75" s="134">
        <f t="shared" ref="V75:AE75" si="211">V6/V57</f>
        <v>13.312560394144763</v>
      </c>
      <c r="W75" s="134">
        <f t="shared" si="211"/>
        <v>14.617713373962879</v>
      </c>
      <c r="X75" s="134">
        <f t="shared" si="211"/>
        <v>16.050822528272967</v>
      </c>
      <c r="Y75" s="134">
        <f t="shared" si="211"/>
        <v>17.624432580064433</v>
      </c>
      <c r="Z75" s="134">
        <f t="shared" si="211"/>
        <v>19.352318127129575</v>
      </c>
      <c r="AA75" s="134">
        <f t="shared" si="211"/>
        <v>21.249604218024636</v>
      </c>
      <c r="AB75" s="134">
        <f t="shared" si="211"/>
        <v>23.332898749203526</v>
      </c>
      <c r="AC75" s="134">
        <f t="shared" si="211"/>
        <v>25.620437842262696</v>
      </c>
      <c r="AD75" s="134">
        <f t="shared" si="211"/>
        <v>28.132245473857079</v>
      </c>
      <c r="AE75" s="134">
        <f t="shared" si="211"/>
        <v>30.890308755607773</v>
      </c>
      <c r="AF75" s="116" t="e">
        <f t="shared" si="197"/>
        <v>#DIV/0!</v>
      </c>
      <c r="AG75" s="21">
        <f t="shared" si="17"/>
        <v>0.05</v>
      </c>
      <c r="AH75" s="124">
        <f t="shared" si="198"/>
        <v>1081.1608064462721</v>
      </c>
    </row>
    <row r="76" spans="2:34">
      <c r="B76" s="10" t="s">
        <v>205</v>
      </c>
      <c r="C76" s="109"/>
      <c r="D76" s="109"/>
      <c r="E76" s="109"/>
      <c r="F76" s="109"/>
      <c r="G76" s="122">
        <f t="shared" ref="G76:H76" si="212">G10/G57</f>
        <v>498900</v>
      </c>
      <c r="H76" s="122" t="e">
        <f t="shared" si="212"/>
        <v>#DIV/0!</v>
      </c>
      <c r="I76" s="122" t="e">
        <f t="shared" ref="I76:R76" si="213">I10/I57</f>
        <v>#DIV/0!</v>
      </c>
      <c r="J76" s="122" t="e">
        <f t="shared" si="213"/>
        <v>#DIV/0!</v>
      </c>
      <c r="K76" s="122" t="e">
        <f t="shared" si="213"/>
        <v>#DIV/0!</v>
      </c>
      <c r="L76" s="122">
        <f t="shared" si="213"/>
        <v>498900</v>
      </c>
      <c r="M76" s="122">
        <f t="shared" si="213"/>
        <v>48.486238532110093</v>
      </c>
      <c r="N76" s="122">
        <f t="shared" si="213"/>
        <v>112.39449541284404</v>
      </c>
      <c r="O76" s="122">
        <f t="shared" si="213"/>
        <v>165.16055045871559</v>
      </c>
      <c r="P76" s="122">
        <f t="shared" si="213"/>
        <v>157.3305439330544</v>
      </c>
      <c r="Q76" s="122">
        <f t="shared" si="213"/>
        <v>138.56445993031357</v>
      </c>
      <c r="R76" s="122">
        <f t="shared" si="213"/>
        <v>144.09972492078415</v>
      </c>
      <c r="S76" s="122">
        <f t="shared" ref="S76" si="214">S10/S57</f>
        <v>147.36194846876032</v>
      </c>
      <c r="T76" s="101">
        <f t="shared" si="186"/>
        <v>-0.49199928804079518</v>
      </c>
      <c r="U76" s="110"/>
      <c r="V76" s="134">
        <f t="shared" ref="V76:AE76" si="215">V10/V57</f>
        <v>161.80919831863878</v>
      </c>
      <c r="W76" s="134">
        <f t="shared" si="215"/>
        <v>177.672845212623</v>
      </c>
      <c r="X76" s="134">
        <f t="shared" si="215"/>
        <v>195.09175160601743</v>
      </c>
      <c r="Y76" s="134">
        <f t="shared" si="215"/>
        <v>214.21839392033289</v>
      </c>
      <c r="Z76" s="134">
        <f t="shared" si="215"/>
        <v>235.22019724585576</v>
      </c>
      <c r="AA76" s="134">
        <f t="shared" si="215"/>
        <v>258.28100089741025</v>
      </c>
      <c r="AB76" s="134">
        <f t="shared" si="215"/>
        <v>283.60266765205836</v>
      </c>
      <c r="AC76" s="134">
        <f t="shared" si="215"/>
        <v>311.40685075520133</v>
      </c>
      <c r="AD76" s="134">
        <f t="shared" si="215"/>
        <v>341.936934162574</v>
      </c>
      <c r="AE76" s="134">
        <f t="shared" si="215"/>
        <v>375.46016300204207</v>
      </c>
      <c r="AF76" s="116" t="e">
        <f t="shared" si="197"/>
        <v>#DIV/0!</v>
      </c>
      <c r="AG76" s="21">
        <f t="shared" si="17"/>
        <v>0.05</v>
      </c>
      <c r="AH76" s="124">
        <f t="shared" si="198"/>
        <v>13141.105705071473</v>
      </c>
    </row>
    <row r="77" spans="2:34">
      <c r="B77" s="10"/>
      <c r="C77" s="109"/>
      <c r="D77" s="109"/>
      <c r="E77" s="109"/>
      <c r="F77" s="109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10"/>
      <c r="U77" s="110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17"/>
      <c r="AG77" s="115"/>
      <c r="AH77" s="124"/>
    </row>
    <row r="78" spans="2:34">
      <c r="B78" s="10" t="s">
        <v>222</v>
      </c>
      <c r="C78" s="109"/>
      <c r="D78" s="109"/>
      <c r="E78" s="109"/>
      <c r="F78" s="109"/>
      <c r="G78" s="122">
        <f t="shared" ref="G78:H78" si="216">(G7-G10)/G57</f>
        <v>-270100</v>
      </c>
      <c r="H78" s="122" t="e">
        <f t="shared" si="216"/>
        <v>#DIV/0!</v>
      </c>
      <c r="I78" s="122" t="e">
        <f t="shared" ref="I78:R78" si="217">(I7-I10)/I57</f>
        <v>#DIV/0!</v>
      </c>
      <c r="J78" s="122" t="e">
        <f t="shared" si="217"/>
        <v>#DIV/0!</v>
      </c>
      <c r="K78" s="122" t="e">
        <f t="shared" si="217"/>
        <v>#DIV/0!</v>
      </c>
      <c r="L78" s="122">
        <f t="shared" si="217"/>
        <v>-270100</v>
      </c>
      <c r="M78" s="122">
        <f t="shared" si="217"/>
        <v>-21.98165137614679</v>
      </c>
      <c r="N78" s="122">
        <f t="shared" si="217"/>
        <v>-83.555045871559628</v>
      </c>
      <c r="O78" s="122">
        <f t="shared" si="217"/>
        <v>-137.44954128440367</v>
      </c>
      <c r="P78" s="122">
        <f t="shared" si="217"/>
        <v>-139.36820083682008</v>
      </c>
      <c r="Q78" s="122">
        <f t="shared" si="217"/>
        <v>-115.76655052264809</v>
      </c>
      <c r="R78" s="122">
        <f t="shared" si="217"/>
        <v>-124.16866882551621</v>
      </c>
      <c r="S78" s="122">
        <f t="shared" ref="S78" si="218">(S7-S10)/S57</f>
        <v>-125.23770958936981</v>
      </c>
      <c r="T78" s="101">
        <f t="shared" si="186"/>
        <v>-0.47254646050895088</v>
      </c>
      <c r="U78" s="110"/>
      <c r="V78" s="134">
        <f t="shared" ref="V78:AE78" si="219">(V7-V10)/V57</f>
        <v>-152.98716865191741</v>
      </c>
      <c r="W78" s="134">
        <f t="shared" si="219"/>
        <v>-167.98591067661522</v>
      </c>
      <c r="X78" s="134">
        <f t="shared" si="219"/>
        <v>-184.45511760569519</v>
      </c>
      <c r="Y78" s="134">
        <f t="shared" si="219"/>
        <v>-202.53895266507706</v>
      </c>
      <c r="Z78" s="134">
        <f t="shared" si="219"/>
        <v>-222.39571273028074</v>
      </c>
      <c r="AA78" s="134">
        <f t="shared" si="219"/>
        <v>-244.19921397834747</v>
      </c>
      <c r="AB78" s="134">
        <f t="shared" si="219"/>
        <v>-268.14031338798947</v>
      </c>
      <c r="AC78" s="134">
        <f t="shared" si="219"/>
        <v>-294.42857940641977</v>
      </c>
      <c r="AD78" s="134">
        <f t="shared" si="219"/>
        <v>-323.29412640704919</v>
      </c>
      <c r="AE78" s="134">
        <f t="shared" si="219"/>
        <v>-354.98962899597558</v>
      </c>
      <c r="AF78" s="116" t="e">
        <f t="shared" si="197"/>
        <v>#DIV/0!</v>
      </c>
      <c r="AG78" s="21">
        <f t="shared" si="17"/>
        <v>0.05</v>
      </c>
      <c r="AH78" s="124">
        <f t="shared" si="198"/>
        <v>-12424.637014859147</v>
      </c>
    </row>
    <row r="79" spans="2:34">
      <c r="B79" s="10" t="s">
        <v>223</v>
      </c>
      <c r="C79" s="109"/>
      <c r="D79" s="109"/>
      <c r="E79" s="109"/>
      <c r="F79" s="109"/>
      <c r="G79" s="122">
        <f t="shared" ref="G79:H79" si="220">(G7-G10-G9)/G57</f>
        <v>-326300</v>
      </c>
      <c r="H79" s="122" t="e">
        <f t="shared" si="220"/>
        <v>#DIV/0!</v>
      </c>
      <c r="I79" s="122" t="e">
        <f t="shared" ref="I79:R79" si="221">(I7-I10-I9)/I57</f>
        <v>#DIV/0!</v>
      </c>
      <c r="J79" s="122" t="e">
        <f t="shared" si="221"/>
        <v>#DIV/0!</v>
      </c>
      <c r="K79" s="122" t="e">
        <f t="shared" si="221"/>
        <v>#DIV/0!</v>
      </c>
      <c r="L79" s="122">
        <f t="shared" si="221"/>
        <v>-326300</v>
      </c>
      <c r="M79" s="122">
        <f t="shared" si="221"/>
        <v>-28.834862385321102</v>
      </c>
      <c r="N79" s="122">
        <f t="shared" si="221"/>
        <v>-100.20642201834862</v>
      </c>
      <c r="O79" s="122">
        <f t="shared" si="221"/>
        <v>-174.35321100917432</v>
      </c>
      <c r="P79" s="122">
        <f t="shared" si="221"/>
        <v>-190.80753138075315</v>
      </c>
      <c r="Q79" s="122">
        <f t="shared" si="221"/>
        <v>-155.94076655052265</v>
      </c>
      <c r="R79" s="122">
        <f t="shared" si="221"/>
        <v>-162.24450712072147</v>
      </c>
      <c r="S79" s="122">
        <f t="shared" ref="S79" si="222">(S7-S10-S9)/S57</f>
        <v>-162.95329793935031</v>
      </c>
      <c r="T79" s="101">
        <f t="shared" si="186"/>
        <v>-0.46927382561788467</v>
      </c>
      <c r="U79" s="110"/>
      <c r="V79" s="134">
        <f t="shared" ref="V79:AE79" si="223">(V7-V10-V9)/V57</f>
        <v>-194.4003637028764</v>
      </c>
      <c r="W79" s="134">
        <f t="shared" si="223"/>
        <v>-213.45922288943294</v>
      </c>
      <c r="X79" s="134">
        <f t="shared" si="223"/>
        <v>-234.38659768251466</v>
      </c>
      <c r="Y79" s="134">
        <f t="shared" si="223"/>
        <v>-257.36567588668277</v>
      </c>
      <c r="Z79" s="134">
        <f t="shared" si="223"/>
        <v>-282.59760489518112</v>
      </c>
      <c r="AA79" s="134">
        <f t="shared" si="223"/>
        <v>-310.30325243392434</v>
      </c>
      <c r="AB79" s="134">
        <f t="shared" si="223"/>
        <v>-340.72513992744643</v>
      </c>
      <c r="AC79" s="134">
        <f t="shared" si="223"/>
        <v>-374.12956541052944</v>
      </c>
      <c r="AD79" s="134">
        <f t="shared" si="223"/>
        <v>-410.80893456842443</v>
      </c>
      <c r="AE79" s="134">
        <f t="shared" si="223"/>
        <v>-451.08432031042685</v>
      </c>
      <c r="AF79" s="116" t="e">
        <f t="shared" si="197"/>
        <v>#DIV/0!</v>
      </c>
      <c r="AG79" s="21">
        <f t="shared" si="17"/>
        <v>0.05</v>
      </c>
      <c r="AH79" s="124">
        <f t="shared" si="198"/>
        <v>-15787.951210864941</v>
      </c>
    </row>
    <row r="80" spans="2:34">
      <c r="B80" s="10" t="s">
        <v>228</v>
      </c>
      <c r="C80" s="109"/>
      <c r="D80" s="109"/>
      <c r="E80" s="109"/>
      <c r="F80" s="109"/>
      <c r="G80" s="122">
        <f t="shared" ref="G80:H80" si="224">(G7+G15-G10-G9)/G57</f>
        <v>-270500</v>
      </c>
      <c r="H80" s="122" t="e">
        <f t="shared" si="224"/>
        <v>#DIV/0!</v>
      </c>
      <c r="I80" s="122" t="e">
        <f t="shared" ref="I80:R80" si="225">(I7+I15-I10-I9)/I57</f>
        <v>#DIV/0!</v>
      </c>
      <c r="J80" s="122" t="e">
        <f t="shared" si="225"/>
        <v>#DIV/0!</v>
      </c>
      <c r="K80" s="122" t="e">
        <f t="shared" si="225"/>
        <v>#DIV/0!</v>
      </c>
      <c r="L80" s="122">
        <f t="shared" si="225"/>
        <v>-270500</v>
      </c>
      <c r="M80" s="122">
        <f t="shared" si="225"/>
        <v>-26.642201834862384</v>
      </c>
      <c r="N80" s="122">
        <f t="shared" si="225"/>
        <v>-91.233944954128447</v>
      </c>
      <c r="O80" s="122">
        <f t="shared" si="225"/>
        <v>-153.63761467889907</v>
      </c>
      <c r="P80" s="122">
        <f t="shared" si="225"/>
        <v>-173.93723849372384</v>
      </c>
      <c r="Q80" s="122">
        <f t="shared" si="225"/>
        <v>-143.20905923344947</v>
      </c>
      <c r="R80" s="122">
        <f t="shared" si="225"/>
        <v>-141.44294717782654</v>
      </c>
      <c r="S80" s="122">
        <f t="shared" ref="S80" si="226">(S7+S15-S10-S9)/S57</f>
        <v>-127.16638171510844</v>
      </c>
      <c r="T80" s="101">
        <f t="shared" si="186"/>
        <v>-0.47193941348197355</v>
      </c>
      <c r="U80" s="110"/>
      <c r="V80" s="134">
        <f t="shared" ref="V80:AE80" si="227">(V7+V15-V10-V9)/V57</f>
        <v>-155.10492628017943</v>
      </c>
      <c r="W80" s="134">
        <f t="shared" si="227"/>
        <v>-170.31129160176567</v>
      </c>
      <c r="X80" s="134">
        <f t="shared" si="227"/>
        <v>-187.0084770529192</v>
      </c>
      <c r="Y80" s="134">
        <f t="shared" si="227"/>
        <v>-205.34264146987206</v>
      </c>
      <c r="Z80" s="134">
        <f t="shared" si="227"/>
        <v>-225.47427298652624</v>
      </c>
      <c r="AA80" s="134">
        <f t="shared" si="227"/>
        <v>-247.57959386755823</v>
      </c>
      <c r="AB80" s="134">
        <f t="shared" si="227"/>
        <v>-271.85210307026006</v>
      </c>
      <c r="AC80" s="134">
        <f t="shared" si="227"/>
        <v>-298.50427003793266</v>
      </c>
      <c r="AD80" s="134">
        <f t="shared" si="227"/>
        <v>-327.76939455145543</v>
      </c>
      <c r="AE80" s="134">
        <f t="shared" si="227"/>
        <v>-359.90364891924514</v>
      </c>
      <c r="AF80" s="116" t="e">
        <f t="shared" si="197"/>
        <v>#DIV/0!</v>
      </c>
      <c r="AG80" s="21">
        <f t="shared" si="17"/>
        <v>0.05</v>
      </c>
      <c r="AH80" s="124">
        <f t="shared" si="198"/>
        <v>-12596.62771217358</v>
      </c>
    </row>
    <row r="81" spans="2:34">
      <c r="B81" s="10"/>
      <c r="C81" s="109"/>
      <c r="D81" s="109"/>
      <c r="E81" s="109"/>
      <c r="F81" s="109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10"/>
      <c r="U81" s="110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17"/>
      <c r="AG81" s="115"/>
      <c r="AH81" s="131"/>
    </row>
    <row r="82" spans="2:34">
      <c r="B82" s="10" t="s">
        <v>206</v>
      </c>
      <c r="C82" s="109"/>
      <c r="D82" s="109"/>
      <c r="E82" s="109"/>
      <c r="F82" s="109"/>
      <c r="G82" s="122">
        <f t="shared" ref="G82:H82" si="228">G12/G57</f>
        <v>55800</v>
      </c>
      <c r="H82" s="122" t="e">
        <f t="shared" si="228"/>
        <v>#DIV/0!</v>
      </c>
      <c r="I82" s="122" t="e">
        <f t="shared" ref="I82:R82" si="229">I12/I57</f>
        <v>#DIV/0!</v>
      </c>
      <c r="J82" s="122" t="e">
        <f t="shared" si="229"/>
        <v>#DIV/0!</v>
      </c>
      <c r="K82" s="122" t="e">
        <f t="shared" si="229"/>
        <v>#DIV/0!</v>
      </c>
      <c r="L82" s="122">
        <f t="shared" si="229"/>
        <v>55800</v>
      </c>
      <c r="M82" s="122">
        <f t="shared" si="229"/>
        <v>5.3486238532110093</v>
      </c>
      <c r="N82" s="122">
        <f t="shared" si="229"/>
        <v>5.7568807339449544</v>
      </c>
      <c r="O82" s="122">
        <f t="shared" si="229"/>
        <v>14.862385321100918</v>
      </c>
      <c r="P82" s="122">
        <f t="shared" si="229"/>
        <v>7.1882845188284517</v>
      </c>
      <c r="Q82" s="122">
        <f t="shared" si="229"/>
        <v>2.8919860627177703</v>
      </c>
      <c r="R82" s="122">
        <f t="shared" si="229"/>
        <v>2.9806051742748703</v>
      </c>
      <c r="S82" s="122">
        <f t="shared" ref="S82" si="230">S12/S57</f>
        <v>2.603557395242809</v>
      </c>
      <c r="T82" s="101">
        <f t="shared" si="186"/>
        <v>-0.56441015496978775</v>
      </c>
      <c r="U82" s="110"/>
      <c r="V82" s="134">
        <f t="shared" ref="V82:AE82" si="231">V12/V57</f>
        <v>2.8588081202666138</v>
      </c>
      <c r="W82" s="134">
        <f t="shared" si="231"/>
        <v>3.1390834261751057</v>
      </c>
      <c r="X82" s="134">
        <f t="shared" si="231"/>
        <v>3.4468367032510963</v>
      </c>
      <c r="Y82" s="134">
        <f t="shared" si="231"/>
        <v>3.784761870236498</v>
      </c>
      <c r="Z82" s="134">
        <f t="shared" si="231"/>
        <v>4.155816955553802</v>
      </c>
      <c r="AA82" s="134">
        <f t="shared" si="231"/>
        <v>4.5632499904120181</v>
      </c>
      <c r="AB82" s="134">
        <f t="shared" si="231"/>
        <v>5.0106274404524136</v>
      </c>
      <c r="AC82" s="134">
        <f t="shared" si="231"/>
        <v>5.501865424810493</v>
      </c>
      <c r="AD82" s="134">
        <f t="shared" si="231"/>
        <v>6.041263995870346</v>
      </c>
      <c r="AE82" s="134">
        <f t="shared" si="231"/>
        <v>6.6335447797792035</v>
      </c>
      <c r="AF82" s="116" t="e">
        <f t="shared" si="197"/>
        <v>#DIV/0!</v>
      </c>
      <c r="AG82" s="21">
        <f t="shared" si="17"/>
        <v>0.05</v>
      </c>
      <c r="AH82" s="124">
        <f t="shared" si="198"/>
        <v>232.17406729227213</v>
      </c>
    </row>
    <row r="83" spans="2:34">
      <c r="B83" s="10" t="s">
        <v>213</v>
      </c>
      <c r="C83" s="109"/>
      <c r="D83" s="109"/>
      <c r="E83" s="109"/>
      <c r="F83" s="109"/>
      <c r="G83" s="122">
        <f t="shared" ref="G83:H83" si="232">G13/G57</f>
        <v>0</v>
      </c>
      <c r="H83" s="122" t="e">
        <f t="shared" si="232"/>
        <v>#DIV/0!</v>
      </c>
      <c r="I83" s="122" t="e">
        <f t="shared" ref="I83:R83" si="233">I13/I57</f>
        <v>#DIV/0!</v>
      </c>
      <c r="J83" s="122" t="e">
        <f t="shared" si="233"/>
        <v>#DIV/0!</v>
      </c>
      <c r="K83" s="122" t="e">
        <f t="shared" si="233"/>
        <v>#DIV/0!</v>
      </c>
      <c r="L83" s="122">
        <f t="shared" si="233"/>
        <v>0</v>
      </c>
      <c r="M83" s="122">
        <f t="shared" si="233"/>
        <v>4.5871559633027523E-5</v>
      </c>
      <c r="N83" s="122">
        <f t="shared" si="233"/>
        <v>4.5871559633027525E-2</v>
      </c>
      <c r="O83" s="122">
        <f t="shared" si="233"/>
        <v>8.7155963302752298E-2</v>
      </c>
      <c r="P83" s="122">
        <f t="shared" si="233"/>
        <v>9.6234309623430964E-2</v>
      </c>
      <c r="Q83" s="122">
        <f t="shared" si="233"/>
        <v>0.40069686411149824</v>
      </c>
      <c r="R83" s="122">
        <f t="shared" si="233"/>
        <v>1.2430794944113652</v>
      </c>
      <c r="S83" s="122">
        <f t="shared" ref="S83" si="234">S13/S57</f>
        <v>1.7996940520111581E-4</v>
      </c>
      <c r="T83" s="101" t="e">
        <f t="shared" si="186"/>
        <v>#DIV/0!</v>
      </c>
      <c r="U83" s="110"/>
      <c r="V83" s="134">
        <f t="shared" ref="V83:AE83" si="235">V13/V57</f>
        <v>1.9761346453455857E-4</v>
      </c>
      <c r="W83" s="134">
        <f t="shared" si="235"/>
        <v>2.1698733360657412E-4</v>
      </c>
      <c r="X83" s="134">
        <f t="shared" si="235"/>
        <v>2.382606016072187E-4</v>
      </c>
      <c r="Y83" s="134">
        <f t="shared" si="235"/>
        <v>2.6161948411773032E-4</v>
      </c>
      <c r="Z83" s="134">
        <f t="shared" si="235"/>
        <v>2.8726845314888043E-4</v>
      </c>
      <c r="AA83" s="134">
        <f t="shared" si="235"/>
        <v>3.1543202698700598E-4</v>
      </c>
      <c r="AB83" s="134">
        <f t="shared" si="235"/>
        <v>3.4635673551514388E-4</v>
      </c>
      <c r="AC83" s="134">
        <f t="shared" si="235"/>
        <v>3.8031327821270701E-4</v>
      </c>
      <c r="AD83" s="134">
        <f t="shared" si="235"/>
        <v>4.1759889372375677E-4</v>
      </c>
      <c r="AE83" s="134">
        <f t="shared" si="235"/>
        <v>4.5853996173588976E-4</v>
      </c>
      <c r="AF83" s="116" t="e">
        <f t="shared" si="197"/>
        <v>#DIV/0!</v>
      </c>
      <c r="AG83" s="21">
        <f t="shared" si="17"/>
        <v>0.05</v>
      </c>
      <c r="AH83" s="124">
        <f t="shared" si="198"/>
        <v>1.6048898660756143E-2</v>
      </c>
    </row>
    <row r="84" spans="2:34">
      <c r="B84" s="10" t="s">
        <v>214</v>
      </c>
      <c r="C84" s="109"/>
      <c r="D84" s="109"/>
      <c r="E84" s="109"/>
      <c r="F84" s="109"/>
      <c r="G84" s="122">
        <f t="shared" ref="G84:H84" si="236">(G82+G83)</f>
        <v>55800</v>
      </c>
      <c r="H84" s="122" t="e">
        <f t="shared" si="236"/>
        <v>#DIV/0!</v>
      </c>
      <c r="I84" s="122" t="e">
        <f t="shared" ref="I84:R84" si="237">(I82+I83)</f>
        <v>#DIV/0!</v>
      </c>
      <c r="J84" s="122" t="e">
        <f t="shared" si="237"/>
        <v>#DIV/0!</v>
      </c>
      <c r="K84" s="122" t="e">
        <f t="shared" si="237"/>
        <v>#DIV/0!</v>
      </c>
      <c r="L84" s="122">
        <f t="shared" si="237"/>
        <v>55800</v>
      </c>
      <c r="M84" s="122">
        <f t="shared" si="237"/>
        <v>5.3486697247706427</v>
      </c>
      <c r="N84" s="122">
        <f t="shared" si="237"/>
        <v>5.8027522935779823</v>
      </c>
      <c r="O84" s="122">
        <f t="shared" si="237"/>
        <v>14.94954128440367</v>
      </c>
      <c r="P84" s="122">
        <f t="shared" si="237"/>
        <v>7.2845188284518825</v>
      </c>
      <c r="Q84" s="122">
        <f t="shared" ref="Q84" si="238">(Q82+Q83)</f>
        <v>3.2926829268292686</v>
      </c>
      <c r="R84" s="122">
        <f t="shared" si="237"/>
        <v>4.2236846686862357</v>
      </c>
      <c r="S84" s="122">
        <f t="shared" ref="S84" si="239">(S82+S83)</f>
        <v>2.6037373646480102</v>
      </c>
      <c r="T84" s="101">
        <f t="shared" si="186"/>
        <v>-0.56440764589118597</v>
      </c>
      <c r="U84" s="110"/>
      <c r="V84" s="134">
        <f t="shared" ref="V84:AE84" si="240">(V82+V83)</f>
        <v>2.8590057337311485</v>
      </c>
      <c r="W84" s="134">
        <f t="shared" si="240"/>
        <v>3.1393004135087121</v>
      </c>
      <c r="X84" s="134">
        <f t="shared" si="240"/>
        <v>3.4470749638527036</v>
      </c>
      <c r="Y84" s="134">
        <f t="shared" si="240"/>
        <v>3.7850234897206159</v>
      </c>
      <c r="Z84" s="134">
        <f t="shared" si="240"/>
        <v>4.1561042240069508</v>
      </c>
      <c r="AA84" s="134">
        <f t="shared" si="240"/>
        <v>4.5635654224390052</v>
      </c>
      <c r="AB84" s="134">
        <f t="shared" si="240"/>
        <v>5.0109737971879289</v>
      </c>
      <c r="AC84" s="134">
        <f t="shared" si="240"/>
        <v>5.502245738088706</v>
      </c>
      <c r="AD84" s="134">
        <f t="shared" si="240"/>
        <v>6.0416815947640696</v>
      </c>
      <c r="AE84" s="134">
        <f t="shared" si="240"/>
        <v>6.6340033197409394</v>
      </c>
      <c r="AF84" s="116" t="e">
        <f t="shared" si="197"/>
        <v>#DIV/0!</v>
      </c>
      <c r="AG84" s="21">
        <f t="shared" si="17"/>
        <v>0.05</v>
      </c>
      <c r="AH84" s="124">
        <f t="shared" si="198"/>
        <v>232.19011619093288</v>
      </c>
    </row>
    <row r="85" spans="2:34">
      <c r="B85" s="10" t="s">
        <v>207</v>
      </c>
      <c r="C85" s="109"/>
      <c r="D85" s="109"/>
      <c r="E85" s="109"/>
      <c r="F85" s="109"/>
      <c r="G85" s="122">
        <f t="shared" ref="G85:H85" si="241">G15/G57</f>
        <v>55800</v>
      </c>
      <c r="H85" s="122" t="e">
        <f t="shared" si="241"/>
        <v>#DIV/0!</v>
      </c>
      <c r="I85" s="122" t="e">
        <f t="shared" ref="I85:R85" si="242">I15/I57</f>
        <v>#DIV/0!</v>
      </c>
      <c r="J85" s="122" t="e">
        <f t="shared" si="242"/>
        <v>#DIV/0!</v>
      </c>
      <c r="K85" s="122" t="e">
        <f t="shared" si="242"/>
        <v>#DIV/0!</v>
      </c>
      <c r="L85" s="122">
        <f t="shared" si="242"/>
        <v>55800</v>
      </c>
      <c r="M85" s="122">
        <f t="shared" si="242"/>
        <v>2.1926605504587156</v>
      </c>
      <c r="N85" s="122">
        <f t="shared" si="242"/>
        <v>8.9724770642201843</v>
      </c>
      <c r="O85" s="122">
        <f t="shared" si="242"/>
        <v>20.715596330275229</v>
      </c>
      <c r="P85" s="122">
        <f t="shared" si="242"/>
        <v>16.87029288702929</v>
      </c>
      <c r="Q85" s="122">
        <f t="shared" si="242"/>
        <v>12.731707317073171</v>
      </c>
      <c r="R85" s="122">
        <f t="shared" si="242"/>
        <v>20.801559942894947</v>
      </c>
      <c r="S85" s="122">
        <f t="shared" ref="S85" si="243">S15/S57</f>
        <v>35.786916224241878</v>
      </c>
      <c r="T85" s="101">
        <f t="shared" si="186"/>
        <v>-0.45809373349712523</v>
      </c>
      <c r="U85" s="110"/>
      <c r="V85" s="134">
        <f t="shared" ref="V85:AE85" si="244">V15/V57</f>
        <v>39.29543742269697</v>
      </c>
      <c r="W85" s="134">
        <f t="shared" si="244"/>
        <v>43.147931287667269</v>
      </c>
      <c r="X85" s="134">
        <f t="shared" si="244"/>
        <v>47.378120629595443</v>
      </c>
      <c r="Y85" s="134">
        <f t="shared" si="244"/>
        <v>52.023034416810681</v>
      </c>
      <c r="Z85" s="134">
        <f t="shared" si="244"/>
        <v>57.123331908654876</v>
      </c>
      <c r="AA85" s="134">
        <f t="shared" si="244"/>
        <v>62.723658566366147</v>
      </c>
      <c r="AB85" s="134">
        <f t="shared" si="244"/>
        <v>68.873036857186364</v>
      </c>
      <c r="AC85" s="134">
        <f t="shared" si="244"/>
        <v>75.625295372596796</v>
      </c>
      <c r="AD85" s="134">
        <f t="shared" si="244"/>
        <v>83.039540016969028</v>
      </c>
      <c r="AE85" s="134">
        <f t="shared" si="244"/>
        <v>91.18067139118169</v>
      </c>
      <c r="AF85" s="116" t="e">
        <f t="shared" si="197"/>
        <v>#DIV/0!</v>
      </c>
      <c r="AG85" s="21">
        <f t="shared" si="17"/>
        <v>0.05</v>
      </c>
      <c r="AH85" s="124">
        <f t="shared" si="198"/>
        <v>3191.3234986913594</v>
      </c>
    </row>
    <row r="86" spans="2:34">
      <c r="B86" s="10" t="s">
        <v>208</v>
      </c>
      <c r="C86" s="109"/>
      <c r="D86" s="109"/>
      <c r="E86" s="109"/>
      <c r="F86" s="109"/>
      <c r="G86" s="122">
        <f t="shared" ref="G86:H86" si="245">G16/G57</f>
        <v>41300</v>
      </c>
      <c r="H86" s="122" t="e">
        <f t="shared" si="245"/>
        <v>#DIV/0!</v>
      </c>
      <c r="I86" s="122" t="e">
        <f t="shared" ref="I86:R86" si="246">I16/I57</f>
        <v>#DIV/0!</v>
      </c>
      <c r="J86" s="122" t="e">
        <f t="shared" si="246"/>
        <v>#DIV/0!</v>
      </c>
      <c r="K86" s="122" t="e">
        <f t="shared" si="246"/>
        <v>#DIV/0!</v>
      </c>
      <c r="L86" s="122">
        <f t="shared" si="246"/>
        <v>41300</v>
      </c>
      <c r="M86" s="122">
        <f t="shared" si="246"/>
        <v>4.1009174311926602</v>
      </c>
      <c r="N86" s="122">
        <f t="shared" si="246"/>
        <v>-5.0045871559633026</v>
      </c>
      <c r="O86" s="122">
        <f t="shared" si="246"/>
        <v>0.27981651376146788</v>
      </c>
      <c r="P86" s="122">
        <f t="shared" si="246"/>
        <v>-25.90376569037657</v>
      </c>
      <c r="Q86" s="122">
        <f t="shared" si="246"/>
        <v>-13.334494773519165</v>
      </c>
      <c r="R86" s="122">
        <f t="shared" si="246"/>
        <v>5.1533827779518786</v>
      </c>
      <c r="S86" s="122">
        <f t="shared" ref="S86" si="247">S16/S57</f>
        <v>17.993941030024896</v>
      </c>
      <c r="T86" s="101">
        <f t="shared" si="186"/>
        <v>-0.47527548665406061</v>
      </c>
      <c r="U86" s="110"/>
      <c r="V86" s="134">
        <f t="shared" ref="V86:AE86" si="248">V16/V57</f>
        <v>19.758052895713615</v>
      </c>
      <c r="W86" s="134">
        <f t="shared" si="248"/>
        <v>21.695116905097304</v>
      </c>
      <c r="X86" s="134">
        <f t="shared" si="248"/>
        <v>23.822089150695081</v>
      </c>
      <c r="Y86" s="134">
        <f t="shared" si="248"/>
        <v>26.157588087037738</v>
      </c>
      <c r="Z86" s="134">
        <f t="shared" si="248"/>
        <v>28.72205750733556</v>
      </c>
      <c r="AA86" s="134">
        <f t="shared" si="248"/>
        <v>31.537945498250814</v>
      </c>
      <c r="AB86" s="134">
        <f t="shared" si="248"/>
        <v>34.629900939255798</v>
      </c>
      <c r="AC86" s="134">
        <f t="shared" si="248"/>
        <v>38.024989266633817</v>
      </c>
      <c r="AD86" s="134">
        <f t="shared" si="248"/>
        <v>41.752929390813605</v>
      </c>
      <c r="AE86" s="134">
        <f t="shared" si="248"/>
        <v>45.846353840893372</v>
      </c>
      <c r="AF86" s="116" t="e">
        <f t="shared" si="197"/>
        <v>#DIV/0!</v>
      </c>
      <c r="AG86" s="115"/>
      <c r="AH86" s="124">
        <f t="shared" si="198"/>
        <v>573.07942301116714</v>
      </c>
    </row>
    <row r="87" spans="2:34">
      <c r="B87" s="10"/>
      <c r="C87" s="109"/>
      <c r="D87" s="109"/>
      <c r="E87" s="109"/>
      <c r="F87" s="109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10"/>
      <c r="U87" s="110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17"/>
      <c r="AG87" s="21">
        <f t="shared" si="17"/>
        <v>0.05</v>
      </c>
      <c r="AH87" s="124">
        <f t="shared" si="198"/>
        <v>0</v>
      </c>
    </row>
    <row r="88" spans="2:34">
      <c r="B88" s="10" t="s">
        <v>233</v>
      </c>
      <c r="C88" s="136"/>
      <c r="D88" s="136"/>
      <c r="E88" s="136"/>
      <c r="F88" s="136"/>
      <c r="G88" s="136">
        <f t="shared" ref="G88:H88" si="249">G59</f>
        <v>0</v>
      </c>
      <c r="H88" s="136">
        <f t="shared" si="249"/>
        <v>0</v>
      </c>
      <c r="I88" s="136">
        <f t="shared" ref="I88:R88" si="250">I59</f>
        <v>0</v>
      </c>
      <c r="J88" s="136">
        <f t="shared" si="250"/>
        <v>0</v>
      </c>
      <c r="K88" s="136">
        <f t="shared" si="250"/>
        <v>0</v>
      </c>
      <c r="L88" s="136">
        <f t="shared" si="250"/>
        <v>0</v>
      </c>
      <c r="M88" s="136">
        <f t="shared" si="250"/>
        <v>0</v>
      </c>
      <c r="N88" s="136">
        <f t="shared" si="250"/>
        <v>0</v>
      </c>
      <c r="O88" s="136">
        <f t="shared" si="250"/>
        <v>0</v>
      </c>
      <c r="P88" s="136">
        <f t="shared" si="250"/>
        <v>0</v>
      </c>
      <c r="Q88" s="136">
        <f t="shared" si="250"/>
        <v>0</v>
      </c>
      <c r="R88" s="136">
        <f t="shared" si="250"/>
        <v>0</v>
      </c>
      <c r="S88" s="136">
        <f t="shared" ref="S88" si="251">S59</f>
        <v>0</v>
      </c>
      <c r="T88" s="101" t="e">
        <f t="shared" si="186"/>
        <v>#DIV/0!</v>
      </c>
      <c r="U88" s="110"/>
      <c r="V88" s="136">
        <f t="shared" ref="V88:AE88" si="252">V59</f>
        <v>0</v>
      </c>
      <c r="W88" s="136">
        <f t="shared" si="252"/>
        <v>0</v>
      </c>
      <c r="X88" s="136">
        <f t="shared" si="252"/>
        <v>0</v>
      </c>
      <c r="Y88" s="136">
        <f t="shared" si="252"/>
        <v>0</v>
      </c>
      <c r="Z88" s="136">
        <f t="shared" si="252"/>
        <v>0</v>
      </c>
      <c r="AA88" s="136">
        <f t="shared" si="252"/>
        <v>0</v>
      </c>
      <c r="AB88" s="136">
        <f t="shared" si="252"/>
        <v>0</v>
      </c>
      <c r="AC88" s="136">
        <f t="shared" si="252"/>
        <v>0</v>
      </c>
      <c r="AD88" s="136">
        <f t="shared" si="252"/>
        <v>0</v>
      </c>
      <c r="AE88" s="136">
        <f t="shared" si="252"/>
        <v>0</v>
      </c>
      <c r="AF88" s="116" t="e">
        <f t="shared" ref="AF88" si="253">((AE88/I88)^(1/($AE$3-$J$1) ))-1</f>
        <v>#DIV/0!</v>
      </c>
      <c r="AG88" s="21">
        <f t="shared" si="17"/>
        <v>0.05</v>
      </c>
      <c r="AH88" s="124">
        <f t="shared" si="198"/>
        <v>0</v>
      </c>
    </row>
    <row r="89" spans="2:34">
      <c r="B89" s="10"/>
      <c r="C89" s="109"/>
      <c r="D89" s="109"/>
      <c r="E89" s="109"/>
      <c r="F89" s="109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10"/>
      <c r="U89" s="110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17"/>
      <c r="AG89" s="115"/>
      <c r="AH89" s="131"/>
    </row>
    <row r="90" spans="2:34">
      <c r="B90" s="10" t="s">
        <v>263</v>
      </c>
      <c r="C90" s="109"/>
      <c r="D90" s="109"/>
      <c r="E90" s="109"/>
      <c r="F90" s="109"/>
      <c r="G90" s="122">
        <f t="shared" ref="G90:H90" si="254">G20+G21</f>
        <v>-4141</v>
      </c>
      <c r="H90" s="122">
        <f t="shared" si="254"/>
        <v>0</v>
      </c>
      <c r="I90" s="122">
        <f t="shared" ref="I90:R90" si="255">I20+I21</f>
        <v>0</v>
      </c>
      <c r="J90" s="122">
        <f t="shared" si="255"/>
        <v>0</v>
      </c>
      <c r="K90" s="122">
        <f t="shared" si="255"/>
        <v>0</v>
      </c>
      <c r="L90" s="122">
        <f t="shared" si="255"/>
        <v>-4141</v>
      </c>
      <c r="M90" s="122">
        <f t="shared" si="255"/>
        <v>-7028</v>
      </c>
      <c r="N90" s="122">
        <f t="shared" si="255"/>
        <v>-6824</v>
      </c>
      <c r="O90" s="122">
        <f t="shared" si="255"/>
        <v>-8360</v>
      </c>
      <c r="P90" s="122">
        <f t="shared" si="255"/>
        <v>2348</v>
      </c>
      <c r="Q90" s="122">
        <f t="shared" si="255"/>
        <v>3354</v>
      </c>
      <c r="R90" s="122">
        <f t="shared" si="255"/>
        <v>1387</v>
      </c>
      <c r="S90" s="122">
        <f t="shared" ref="S90" si="256">S20+S21</f>
        <v>0</v>
      </c>
      <c r="T90" s="101">
        <f t="shared" si="186"/>
        <v>-1</v>
      </c>
      <c r="U90" s="110"/>
      <c r="V90" s="122">
        <f t="shared" ref="V90:AE90" si="257">V20+V21</f>
        <v>0</v>
      </c>
      <c r="W90" s="122">
        <f t="shared" si="257"/>
        <v>0</v>
      </c>
      <c r="X90" s="122">
        <f t="shared" si="257"/>
        <v>0</v>
      </c>
      <c r="Y90" s="122">
        <f t="shared" si="257"/>
        <v>0</v>
      </c>
      <c r="Z90" s="122">
        <f t="shared" si="257"/>
        <v>0</v>
      </c>
      <c r="AA90" s="122">
        <f t="shared" si="257"/>
        <v>0</v>
      </c>
      <c r="AB90" s="122">
        <f t="shared" si="257"/>
        <v>0</v>
      </c>
      <c r="AC90" s="122">
        <f t="shared" si="257"/>
        <v>0</v>
      </c>
      <c r="AD90" s="122">
        <f t="shared" si="257"/>
        <v>0</v>
      </c>
      <c r="AE90" s="122">
        <f t="shared" si="257"/>
        <v>0</v>
      </c>
      <c r="AF90" s="116" t="e">
        <f t="shared" ref="AF90:AF95" si="258">((AE90/I90)^(1/($AE$3-$J$1) ))-1</f>
        <v>#DIV/0!</v>
      </c>
      <c r="AG90" s="21">
        <f t="shared" si="17"/>
        <v>0.05</v>
      </c>
      <c r="AH90" s="124">
        <f t="shared" si="198"/>
        <v>0</v>
      </c>
    </row>
    <row r="91" spans="2:34">
      <c r="B91" s="10"/>
      <c r="C91" s="109"/>
      <c r="D91" s="109"/>
      <c r="E91" s="109"/>
      <c r="F91" s="109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10"/>
      <c r="U91" s="110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17"/>
      <c r="AG91" s="115"/>
      <c r="AH91" s="124"/>
    </row>
    <row r="92" spans="2:34">
      <c r="B92" s="10" t="s">
        <v>264</v>
      </c>
      <c r="C92" s="109"/>
      <c r="D92" s="109"/>
      <c r="E92" s="109"/>
      <c r="F92" s="109"/>
      <c r="G92" s="122">
        <f t="shared" ref="G92:H92" si="259">G90/G57</f>
        <v>-414100</v>
      </c>
      <c r="H92" s="122" t="e">
        <f t="shared" si="259"/>
        <v>#DIV/0!</v>
      </c>
      <c r="I92" s="122" t="e">
        <f t="shared" ref="I92:R92" si="260">I90/I57</f>
        <v>#DIV/0!</v>
      </c>
      <c r="J92" s="122" t="e">
        <f t="shared" si="260"/>
        <v>#DIV/0!</v>
      </c>
      <c r="K92" s="122" t="e">
        <f t="shared" si="260"/>
        <v>#DIV/0!</v>
      </c>
      <c r="L92" s="122">
        <f t="shared" si="260"/>
        <v>-414100</v>
      </c>
      <c r="M92" s="122">
        <f t="shared" si="260"/>
        <v>-32.238532110091747</v>
      </c>
      <c r="N92" s="122">
        <f t="shared" si="260"/>
        <v>-31.302752293577981</v>
      </c>
      <c r="O92" s="122">
        <f t="shared" si="260"/>
        <v>-38.348623853211009</v>
      </c>
      <c r="P92" s="122">
        <f t="shared" si="260"/>
        <v>9.8242677824267783</v>
      </c>
      <c r="Q92" s="122">
        <f t="shared" si="260"/>
        <v>11.686411149825783</v>
      </c>
      <c r="R92" s="122">
        <f t="shared" si="260"/>
        <v>4.8295553466346322</v>
      </c>
      <c r="S92" s="122">
        <f t="shared" ref="S92" si="261">S90/S57</f>
        <v>0</v>
      </c>
      <c r="T92" s="101">
        <f t="shared" si="186"/>
        <v>-1</v>
      </c>
      <c r="U92" s="110"/>
      <c r="V92" s="124">
        <f t="shared" ref="V92:AE92" si="262">V90/V57</f>
        <v>0</v>
      </c>
      <c r="W92" s="124">
        <f t="shared" si="262"/>
        <v>0</v>
      </c>
      <c r="X92" s="124">
        <f t="shared" si="262"/>
        <v>0</v>
      </c>
      <c r="Y92" s="124">
        <f t="shared" si="262"/>
        <v>0</v>
      </c>
      <c r="Z92" s="124">
        <f t="shared" si="262"/>
        <v>0</v>
      </c>
      <c r="AA92" s="124">
        <f t="shared" si="262"/>
        <v>0</v>
      </c>
      <c r="AB92" s="124">
        <f t="shared" si="262"/>
        <v>0</v>
      </c>
      <c r="AC92" s="124">
        <f t="shared" si="262"/>
        <v>0</v>
      </c>
      <c r="AD92" s="124">
        <f t="shared" si="262"/>
        <v>0</v>
      </c>
      <c r="AE92" s="124">
        <f t="shared" si="262"/>
        <v>0</v>
      </c>
      <c r="AF92" s="116" t="e">
        <f t="shared" si="258"/>
        <v>#DIV/0!</v>
      </c>
      <c r="AG92" s="21">
        <f t="shared" si="17"/>
        <v>0.05</v>
      </c>
      <c r="AH92" s="124">
        <f t="shared" si="198"/>
        <v>0</v>
      </c>
    </row>
    <row r="93" spans="2:34">
      <c r="B93" s="10" t="s">
        <v>237</v>
      </c>
      <c r="C93" s="109"/>
      <c r="D93" s="109"/>
      <c r="E93" s="109"/>
      <c r="F93" s="109"/>
      <c r="G93" s="122">
        <f t="shared" ref="G93:H93" si="263">G20/G57</f>
        <v>-200</v>
      </c>
      <c r="H93" s="122" t="e">
        <f t="shared" si="263"/>
        <v>#DIV/0!</v>
      </c>
      <c r="I93" s="122" t="e">
        <f t="shared" ref="I93:R93" si="264">I20/I57</f>
        <v>#DIV/0!</v>
      </c>
      <c r="J93" s="122" t="e">
        <f t="shared" si="264"/>
        <v>#DIV/0!</v>
      </c>
      <c r="K93" s="122" t="e">
        <f t="shared" si="264"/>
        <v>#DIV/0!</v>
      </c>
      <c r="L93" s="122">
        <f t="shared" si="264"/>
        <v>-200</v>
      </c>
      <c r="M93" s="122">
        <f t="shared" si="264"/>
        <v>0.73853211009174313</v>
      </c>
      <c r="N93" s="122">
        <f t="shared" si="264"/>
        <v>4.0550458715596331</v>
      </c>
      <c r="O93" s="122">
        <f t="shared" si="264"/>
        <v>4.0963302752293576</v>
      </c>
      <c r="P93" s="122">
        <f t="shared" si="264"/>
        <v>8.2384937238493716</v>
      </c>
      <c r="Q93" s="122">
        <f t="shared" si="264"/>
        <v>11.794425087108014</v>
      </c>
      <c r="R93" s="122">
        <f t="shared" si="264"/>
        <v>21.320380236080645</v>
      </c>
      <c r="S93" s="122">
        <f t="shared" ref="S93" si="265">S20/S57</f>
        <v>0</v>
      </c>
      <c r="T93" s="101">
        <f t="shared" si="186"/>
        <v>-1</v>
      </c>
      <c r="U93" s="110"/>
      <c r="V93" s="124">
        <f t="shared" ref="V93:AE93" si="266">V20/V57</f>
        <v>0</v>
      </c>
      <c r="W93" s="124">
        <f t="shared" si="266"/>
        <v>0</v>
      </c>
      <c r="X93" s="124">
        <f t="shared" si="266"/>
        <v>0</v>
      </c>
      <c r="Y93" s="124">
        <f t="shared" si="266"/>
        <v>0</v>
      </c>
      <c r="Z93" s="124">
        <f t="shared" si="266"/>
        <v>0</v>
      </c>
      <c r="AA93" s="124">
        <f t="shared" si="266"/>
        <v>0</v>
      </c>
      <c r="AB93" s="124">
        <f t="shared" si="266"/>
        <v>0</v>
      </c>
      <c r="AC93" s="124">
        <f t="shared" si="266"/>
        <v>0</v>
      </c>
      <c r="AD93" s="124">
        <f t="shared" si="266"/>
        <v>0</v>
      </c>
      <c r="AE93" s="124">
        <f t="shared" si="266"/>
        <v>0</v>
      </c>
      <c r="AF93" s="116" t="e">
        <f t="shared" si="258"/>
        <v>#DIV/0!</v>
      </c>
      <c r="AG93" s="21">
        <f t="shared" si="17"/>
        <v>0.05</v>
      </c>
      <c r="AH93" s="124">
        <f t="shared" si="198"/>
        <v>0</v>
      </c>
    </row>
    <row r="94" spans="2:34">
      <c r="B94" s="10" t="s">
        <v>238</v>
      </c>
      <c r="C94" s="109"/>
      <c r="D94" s="109"/>
      <c r="E94" s="109"/>
      <c r="F94" s="109"/>
      <c r="G94" s="122">
        <f t="shared" ref="G94:H94" si="267">G21/G57</f>
        <v>-413900</v>
      </c>
      <c r="H94" s="122" t="e">
        <f t="shared" si="267"/>
        <v>#DIV/0!</v>
      </c>
      <c r="I94" s="122" t="e">
        <f t="shared" ref="I94:R94" si="268">I21/I57</f>
        <v>#DIV/0!</v>
      </c>
      <c r="J94" s="122" t="e">
        <f t="shared" si="268"/>
        <v>#DIV/0!</v>
      </c>
      <c r="K94" s="122" t="e">
        <f t="shared" si="268"/>
        <v>#DIV/0!</v>
      </c>
      <c r="L94" s="122">
        <f t="shared" si="268"/>
        <v>-413900</v>
      </c>
      <c r="M94" s="122">
        <f t="shared" si="268"/>
        <v>-32.977064220183486</v>
      </c>
      <c r="N94" s="122">
        <f t="shared" si="268"/>
        <v>-35.357798165137616</v>
      </c>
      <c r="O94" s="122">
        <f t="shared" si="268"/>
        <v>-42.444954128440365</v>
      </c>
      <c r="P94" s="122">
        <f t="shared" si="268"/>
        <v>1.5857740585774058</v>
      </c>
      <c r="Q94" s="122">
        <f t="shared" si="268"/>
        <v>-0.10801393728222997</v>
      </c>
      <c r="R94" s="122">
        <f t="shared" si="268"/>
        <v>-16.49082488944601</v>
      </c>
      <c r="S94" s="122">
        <f t="shared" ref="S94" si="269">S21/S57</f>
        <v>0</v>
      </c>
      <c r="T94" s="101">
        <f t="shared" si="186"/>
        <v>-1</v>
      </c>
      <c r="U94" s="110"/>
      <c r="V94" s="124">
        <f t="shared" ref="V94:AE94" si="270">V21/V57</f>
        <v>0</v>
      </c>
      <c r="W94" s="124">
        <f t="shared" si="270"/>
        <v>0</v>
      </c>
      <c r="X94" s="124">
        <f t="shared" si="270"/>
        <v>0</v>
      </c>
      <c r="Y94" s="124">
        <f t="shared" si="270"/>
        <v>0</v>
      </c>
      <c r="Z94" s="124">
        <f t="shared" si="270"/>
        <v>0</v>
      </c>
      <c r="AA94" s="124">
        <f t="shared" si="270"/>
        <v>0</v>
      </c>
      <c r="AB94" s="124">
        <f t="shared" si="270"/>
        <v>0</v>
      </c>
      <c r="AC94" s="124">
        <f t="shared" si="270"/>
        <v>0</v>
      </c>
      <c r="AD94" s="124">
        <f t="shared" si="270"/>
        <v>0</v>
      </c>
      <c r="AE94" s="124">
        <f t="shared" si="270"/>
        <v>0</v>
      </c>
      <c r="AF94" s="116" t="e">
        <f t="shared" si="258"/>
        <v>#DIV/0!</v>
      </c>
      <c r="AG94" s="21">
        <f t="shared" si="17"/>
        <v>0.05</v>
      </c>
      <c r="AH94" s="124">
        <f t="shared" si="198"/>
        <v>0</v>
      </c>
    </row>
    <row r="95" spans="2:34">
      <c r="B95" s="10" t="s">
        <v>239</v>
      </c>
      <c r="C95" s="109"/>
      <c r="D95" s="109"/>
      <c r="E95" s="109"/>
      <c r="F95" s="109"/>
      <c r="G95" s="122">
        <f t="shared" ref="G95:H95" si="271">G22/G57</f>
        <v>444300</v>
      </c>
      <c r="H95" s="122" t="e">
        <f t="shared" si="271"/>
        <v>#DIV/0!</v>
      </c>
      <c r="I95" s="122" t="e">
        <f t="shared" ref="I95:R95" si="272">I22/I57</f>
        <v>#DIV/0!</v>
      </c>
      <c r="J95" s="122" t="e">
        <f t="shared" si="272"/>
        <v>#DIV/0!</v>
      </c>
      <c r="K95" s="122" t="e">
        <f t="shared" si="272"/>
        <v>#DIV/0!</v>
      </c>
      <c r="L95" s="122">
        <f t="shared" si="272"/>
        <v>444300</v>
      </c>
      <c r="M95" s="122">
        <f t="shared" si="272"/>
        <v>34.678899082568805</v>
      </c>
      <c r="N95" s="122">
        <f t="shared" si="272"/>
        <v>30.522935779816514</v>
      </c>
      <c r="O95" s="122">
        <f t="shared" si="272"/>
        <v>37.77064220183486</v>
      </c>
      <c r="P95" s="122">
        <f t="shared" si="272"/>
        <v>-10.01673640167364</v>
      </c>
      <c r="Q95" s="122">
        <f t="shared" si="272"/>
        <v>-11.679442508710801</v>
      </c>
      <c r="R95" s="122">
        <f t="shared" si="272"/>
        <v>-5.0245482085030817</v>
      </c>
      <c r="S95" s="122">
        <f t="shared" ref="S95" si="273">S22/S57</f>
        <v>0</v>
      </c>
      <c r="T95" s="101">
        <f t="shared" si="186"/>
        <v>-1</v>
      </c>
      <c r="U95" s="110"/>
      <c r="V95" s="124">
        <f t="shared" ref="V95:AE95" si="274">V22/V57</f>
        <v>0</v>
      </c>
      <c r="W95" s="124">
        <f t="shared" si="274"/>
        <v>0</v>
      </c>
      <c r="X95" s="124">
        <f t="shared" si="274"/>
        <v>0</v>
      </c>
      <c r="Y95" s="124">
        <f t="shared" si="274"/>
        <v>0</v>
      </c>
      <c r="Z95" s="124">
        <f t="shared" si="274"/>
        <v>0</v>
      </c>
      <c r="AA95" s="124">
        <f t="shared" si="274"/>
        <v>0</v>
      </c>
      <c r="AB95" s="124">
        <f t="shared" si="274"/>
        <v>0</v>
      </c>
      <c r="AC95" s="124">
        <f t="shared" si="274"/>
        <v>0</v>
      </c>
      <c r="AD95" s="124">
        <f t="shared" si="274"/>
        <v>0</v>
      </c>
      <c r="AE95" s="124">
        <f t="shared" si="274"/>
        <v>0</v>
      </c>
      <c r="AF95" s="116" t="e">
        <f t="shared" si="258"/>
        <v>#DIV/0!</v>
      </c>
      <c r="AG95" s="21">
        <f t="shared" si="17"/>
        <v>0.05</v>
      </c>
      <c r="AH95" s="124">
        <f t="shared" si="198"/>
        <v>0</v>
      </c>
    </row>
    <row r="96" spans="2:34">
      <c r="B96" s="10" t="s">
        <v>246</v>
      </c>
      <c r="C96" s="109"/>
      <c r="D96" s="109"/>
      <c r="E96" s="109"/>
      <c r="F96" s="109"/>
      <c r="G96" s="122">
        <f t="shared" ref="G96:H96" si="275">G23/G57</f>
        <v>49400</v>
      </c>
      <c r="H96" s="122" t="e">
        <f t="shared" si="275"/>
        <v>#DIV/0!</v>
      </c>
      <c r="I96" s="122" t="e">
        <f t="shared" ref="I96:R96" si="276">I23/I57</f>
        <v>#DIV/0!</v>
      </c>
      <c r="J96" s="122" t="e">
        <f t="shared" si="276"/>
        <v>#DIV/0!</v>
      </c>
      <c r="K96" s="122" t="e">
        <f t="shared" si="276"/>
        <v>#DIV/0!</v>
      </c>
      <c r="L96" s="122">
        <f t="shared" si="276"/>
        <v>49400</v>
      </c>
      <c r="M96" s="122">
        <f t="shared" si="276"/>
        <v>4.7064220183486238</v>
      </c>
      <c r="N96" s="122">
        <f t="shared" si="276"/>
        <v>3.926605504587156</v>
      </c>
      <c r="O96" s="122">
        <f t="shared" si="276"/>
        <v>1.4954128440366972</v>
      </c>
      <c r="P96" s="122">
        <f t="shared" si="276"/>
        <v>1.1757322175732217</v>
      </c>
      <c r="Q96" s="122">
        <f t="shared" si="276"/>
        <v>0.28222996515679444</v>
      </c>
      <c r="R96" s="122">
        <f t="shared" si="276"/>
        <v>-0.19847487725895749</v>
      </c>
      <c r="S96" s="122">
        <f t="shared" ref="S96" si="277">S23/S57</f>
        <v>0.23995920693482109</v>
      </c>
      <c r="T96" s="101">
        <f t="shared" si="186"/>
        <v>-0.63925454146608796</v>
      </c>
      <c r="U96" s="110"/>
      <c r="V96" s="124">
        <f t="shared" ref="V96:AE96" si="278">V23/V57</f>
        <v>0.26348461937941142</v>
      </c>
      <c r="W96" s="124">
        <f t="shared" si="278"/>
        <v>0.2893164448087655</v>
      </c>
      <c r="X96" s="124">
        <f t="shared" si="278"/>
        <v>0.31768080214295824</v>
      </c>
      <c r="Y96" s="124">
        <f t="shared" si="278"/>
        <v>0.34882597882364041</v>
      </c>
      <c r="Z96" s="124">
        <f t="shared" si="278"/>
        <v>0.38302460419850715</v>
      </c>
      <c r="AA96" s="124">
        <f t="shared" si="278"/>
        <v>0.42057603598267462</v>
      </c>
      <c r="AB96" s="124">
        <f t="shared" si="278"/>
        <v>0.46180898068685844</v>
      </c>
      <c r="AC96" s="124">
        <f t="shared" si="278"/>
        <v>0.50708437095027603</v>
      </c>
      <c r="AD96" s="124">
        <f t="shared" si="278"/>
        <v>0.55679852496500892</v>
      </c>
      <c r="AE96" s="124">
        <f t="shared" si="278"/>
        <v>0.6113866156478529</v>
      </c>
      <c r="AF96" s="116" t="e">
        <f t="shared" ref="AF96" si="279">((AE96/I96)^(1/($AE$3-$J$1) ))-1</f>
        <v>#DIV/0!</v>
      </c>
      <c r="AG96" s="21">
        <f t="shared" si="17"/>
        <v>0.05</v>
      </c>
      <c r="AH96" s="124">
        <f t="shared" si="198"/>
        <v>21.398531547674853</v>
      </c>
    </row>
    <row r="97" spans="2:34">
      <c r="B97" s="10"/>
      <c r="C97" s="109"/>
      <c r="D97" s="109"/>
      <c r="E97" s="109"/>
      <c r="F97" s="109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10"/>
      <c r="U97" s="110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17"/>
      <c r="AG97" s="115"/>
      <c r="AH97" s="131"/>
    </row>
    <row r="98" spans="2:34">
      <c r="B98" s="10" t="s">
        <v>437</v>
      </c>
      <c r="C98" s="122"/>
      <c r="D98" s="122"/>
      <c r="E98" s="122"/>
      <c r="F98" s="122"/>
      <c r="G98" s="122">
        <f t="shared" ref="G98:H98" si="280">G51/G57</f>
        <v>1</v>
      </c>
      <c r="H98" s="122" t="e">
        <f t="shared" si="280"/>
        <v>#DIV/0!</v>
      </c>
      <c r="I98" s="122" t="e">
        <f t="shared" ref="I98:R98" si="281">I51/I57</f>
        <v>#DIV/0!</v>
      </c>
      <c r="J98" s="122" t="e">
        <f t="shared" si="281"/>
        <v>#DIV/0!</v>
      </c>
      <c r="K98" s="122" t="e">
        <f t="shared" si="281"/>
        <v>#DIV/0!</v>
      </c>
      <c r="L98" s="122">
        <f t="shared" si="281"/>
        <v>1</v>
      </c>
      <c r="M98" s="122">
        <f t="shared" si="281"/>
        <v>1.1146788990825689</v>
      </c>
      <c r="N98" s="122">
        <f t="shared" si="281"/>
        <v>5.5963302752293576</v>
      </c>
      <c r="O98" s="122">
        <f t="shared" si="281"/>
        <v>6.0779816513761471</v>
      </c>
      <c r="P98" s="122">
        <f t="shared" si="281"/>
        <v>4.01255230125523</v>
      </c>
      <c r="Q98" s="122">
        <f t="shared" si="281"/>
        <v>16.278745644599304</v>
      </c>
      <c r="R98" s="122">
        <f t="shared" si="281"/>
        <v>17.963717399630905</v>
      </c>
      <c r="S98" s="122">
        <f t="shared" ref="S98" si="282">S51/S57</f>
        <v>25.651639221332374</v>
      </c>
      <c r="T98" s="101">
        <f t="shared" si="186"/>
        <v>0.31046751654364924</v>
      </c>
      <c r="U98" s="110"/>
      <c r="V98" s="122">
        <f t="shared" ref="V98:AE98" si="283">V51/V57</f>
        <v>28.166505811659082</v>
      </c>
      <c r="W98" s="122">
        <f t="shared" si="283"/>
        <v>30.927927950057033</v>
      </c>
      <c r="X98" s="122">
        <f t="shared" si="283"/>
        <v>33.960077749082238</v>
      </c>
      <c r="Y98" s="122">
        <f t="shared" si="283"/>
        <v>37.289497136247164</v>
      </c>
      <c r="Z98" s="122">
        <f t="shared" si="283"/>
        <v>40.945330188820428</v>
      </c>
      <c r="AA98" s="122">
        <f t="shared" si="283"/>
        <v>44.95957824654792</v>
      </c>
      <c r="AB98" s="122">
        <f t="shared" si="283"/>
        <v>49.367380035425171</v>
      </c>
      <c r="AC98" s="122">
        <f t="shared" si="283"/>
        <v>54.207319254584505</v>
      </c>
      <c r="AD98" s="122">
        <f t="shared" si="283"/>
        <v>59.521762318759457</v>
      </c>
      <c r="AE98" s="122">
        <f t="shared" si="283"/>
        <v>65.357229212755485</v>
      </c>
      <c r="AF98" s="116" t="e">
        <f t="shared" ref="AF98:AF100" si="284">((AE98/I98)^(1/($AE$3-$J$1) ))-1</f>
        <v>#DIV/0!</v>
      </c>
      <c r="AG98" s="21">
        <f t="shared" si="17"/>
        <v>0.05</v>
      </c>
      <c r="AH98" s="124">
        <f t="shared" si="198"/>
        <v>2287.5030224464422</v>
      </c>
    </row>
    <row r="99" spans="2:34">
      <c r="B99" s="10" t="s">
        <v>438</v>
      </c>
      <c r="C99" s="122"/>
      <c r="D99" s="122"/>
      <c r="E99" s="122"/>
      <c r="F99" s="122"/>
      <c r="G99" s="122">
        <f t="shared" ref="G99:H99" si="285">G55/G57</f>
        <v>1</v>
      </c>
      <c r="H99" s="122" t="e">
        <f t="shared" si="285"/>
        <v>#DIV/0!</v>
      </c>
      <c r="I99" s="122" t="e">
        <f t="shared" ref="I99:R99" si="286">I55/I57</f>
        <v>#DIV/0!</v>
      </c>
      <c r="J99" s="122" t="e">
        <f t="shared" si="286"/>
        <v>#DIV/0!</v>
      </c>
      <c r="K99" s="122" t="e">
        <f t="shared" si="286"/>
        <v>#DIV/0!</v>
      </c>
      <c r="L99" s="122">
        <f t="shared" si="286"/>
        <v>1</v>
      </c>
      <c r="M99" s="122">
        <f t="shared" si="286"/>
        <v>0.77981651376146788</v>
      </c>
      <c r="N99" s="122">
        <f t="shared" si="286"/>
        <v>2.3532110091743119</v>
      </c>
      <c r="O99" s="122">
        <f t="shared" si="286"/>
        <v>-1.3532110091743119</v>
      </c>
      <c r="P99" s="122">
        <f t="shared" si="286"/>
        <v>-12.531380753138075</v>
      </c>
      <c r="Q99" s="122">
        <f t="shared" si="286"/>
        <v>-1.0104529616724738</v>
      </c>
      <c r="R99" s="122">
        <f t="shared" si="286"/>
        <v>-2.8378425432640411</v>
      </c>
      <c r="S99" s="122">
        <f t="shared" ref="S99" si="287">S55/S57</f>
        <v>1.4651909175440176</v>
      </c>
      <c r="T99" s="101">
        <f t="shared" si="186"/>
        <v>3.2344190547234808E-2</v>
      </c>
      <c r="U99" s="110"/>
      <c r="V99" s="122">
        <f t="shared" ref="V99:AE99" si="288">V55/V57</f>
        <v>1.6088370859306862</v>
      </c>
      <c r="W99" s="122">
        <f t="shared" si="288"/>
        <v>1.7665662120023222</v>
      </c>
      <c r="X99" s="122">
        <f t="shared" si="288"/>
        <v>1.9397589778849031</v>
      </c>
      <c r="Y99" s="122">
        <f t="shared" si="288"/>
        <v>2.1299314266971487</v>
      </c>
      <c r="Z99" s="122">
        <f t="shared" si="288"/>
        <v>2.3387482332360849</v>
      </c>
      <c r="AA99" s="122">
        <f t="shared" si="288"/>
        <v>2.5680372757102115</v>
      </c>
      <c r="AB99" s="122">
        <f t="shared" si="288"/>
        <v>2.8198056360739576</v>
      </c>
      <c r="AC99" s="122">
        <f t="shared" si="288"/>
        <v>3.096257169022385</v>
      </c>
      <c r="AD99" s="122">
        <f t="shared" si="288"/>
        <v>3.3998117934363443</v>
      </c>
      <c r="AE99" s="122">
        <f t="shared" si="288"/>
        <v>3.7331266751457899</v>
      </c>
      <c r="AF99" s="116" t="e">
        <f t="shared" si="284"/>
        <v>#DIV/0!</v>
      </c>
      <c r="AG99" s="21">
        <f t="shared" si="17"/>
        <v>0.05</v>
      </c>
      <c r="AH99" s="124">
        <f t="shared" si="198"/>
        <v>130.65943363010265</v>
      </c>
    </row>
    <row r="100" spans="2:34">
      <c r="B100" s="10" t="s">
        <v>260</v>
      </c>
      <c r="C100" s="122"/>
      <c r="D100" s="122"/>
      <c r="E100" s="122"/>
      <c r="F100" s="122"/>
      <c r="G100" s="122">
        <f t="shared" ref="G100:H100" si="289">G6/G57</f>
        <v>44600</v>
      </c>
      <c r="H100" s="122" t="e">
        <f t="shared" si="289"/>
        <v>#DIV/0!</v>
      </c>
      <c r="I100" s="122" t="e">
        <f t="shared" ref="I100:R100" si="290">I6/I57</f>
        <v>#DIV/0!</v>
      </c>
      <c r="J100" s="122" t="e">
        <f t="shared" si="290"/>
        <v>#DIV/0!</v>
      </c>
      <c r="K100" s="122" t="e">
        <f t="shared" si="290"/>
        <v>#DIV/0!</v>
      </c>
      <c r="L100" s="122">
        <f t="shared" si="290"/>
        <v>44600</v>
      </c>
      <c r="M100" s="122">
        <f t="shared" si="290"/>
        <v>16.5</v>
      </c>
      <c r="N100" s="122">
        <f t="shared" si="290"/>
        <v>18.839449541284402</v>
      </c>
      <c r="O100" s="122">
        <f t="shared" si="290"/>
        <v>17.711009174311926</v>
      </c>
      <c r="P100" s="122">
        <f t="shared" si="290"/>
        <v>7.9497907949790791</v>
      </c>
      <c r="Q100" s="122">
        <f t="shared" si="290"/>
        <v>12.790940766550523</v>
      </c>
      <c r="R100" s="122">
        <f t="shared" si="290"/>
        <v>9.93070789372889</v>
      </c>
      <c r="S100" s="122">
        <f t="shared" ref="S100" si="291">S6/S57</f>
        <v>12.123938930381836</v>
      </c>
      <c r="T100" s="101">
        <f t="shared" si="186"/>
        <v>-0.49550243612576028</v>
      </c>
      <c r="U100" s="110"/>
      <c r="V100" s="122">
        <f t="shared" ref="V100:AE100" si="292">V6/V57</f>
        <v>13.312560394144763</v>
      </c>
      <c r="W100" s="122">
        <f t="shared" si="292"/>
        <v>14.617713373962879</v>
      </c>
      <c r="X100" s="122">
        <f t="shared" si="292"/>
        <v>16.050822528272967</v>
      </c>
      <c r="Y100" s="122">
        <f t="shared" si="292"/>
        <v>17.624432580064433</v>
      </c>
      <c r="Z100" s="122">
        <f t="shared" si="292"/>
        <v>19.352318127129575</v>
      </c>
      <c r="AA100" s="122">
        <f t="shared" si="292"/>
        <v>21.249604218024636</v>
      </c>
      <c r="AB100" s="122">
        <f t="shared" si="292"/>
        <v>23.332898749203526</v>
      </c>
      <c r="AC100" s="122">
        <f t="shared" si="292"/>
        <v>25.620437842262696</v>
      </c>
      <c r="AD100" s="122">
        <f t="shared" si="292"/>
        <v>28.132245473857079</v>
      </c>
      <c r="AE100" s="122">
        <f t="shared" si="292"/>
        <v>30.890308755607773</v>
      </c>
      <c r="AF100" s="116" t="e">
        <f t="shared" si="284"/>
        <v>#DIV/0!</v>
      </c>
      <c r="AG100" s="21">
        <f t="shared" ref="AG100" si="293">$N$1</f>
        <v>0.05</v>
      </c>
      <c r="AH100" s="124">
        <f t="shared" si="198"/>
        <v>1081.1608064462721</v>
      </c>
    </row>
    <row r="101" spans="2:34">
      <c r="B101" s="10"/>
      <c r="C101" s="109"/>
      <c r="D101" s="109"/>
      <c r="E101" s="109"/>
      <c r="F101" s="109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10"/>
      <c r="U101" s="110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17"/>
      <c r="AG101" s="10"/>
      <c r="AH101" s="131"/>
    </row>
    <row r="102" spans="2:34">
      <c r="B102" s="10" t="s">
        <v>410</v>
      </c>
      <c r="C102" s="109"/>
      <c r="D102" s="109"/>
      <c r="E102" s="109"/>
      <c r="F102" s="109"/>
      <c r="G102" s="122">
        <f t="shared" ref="G102:H102" si="294">G55/$S$57</f>
        <v>2.9994900866852637E-5</v>
      </c>
      <c r="H102" s="122">
        <f t="shared" si="294"/>
        <v>0</v>
      </c>
      <c r="I102" s="122">
        <f t="shared" ref="I102:S102" si="295">I55/$S$57</f>
        <v>0</v>
      </c>
      <c r="J102" s="122">
        <f t="shared" si="295"/>
        <v>0</v>
      </c>
      <c r="K102" s="122">
        <f t="shared" si="295"/>
        <v>0</v>
      </c>
      <c r="L102" s="122">
        <f t="shared" si="295"/>
        <v>2.9994900866852637E-5</v>
      </c>
      <c r="M102" s="122">
        <f t="shared" si="295"/>
        <v>0.50991331473649482</v>
      </c>
      <c r="N102" s="122">
        <f t="shared" si="295"/>
        <v>1.5387384144695402</v>
      </c>
      <c r="O102" s="122">
        <f t="shared" si="295"/>
        <v>-0.88484957557215282</v>
      </c>
      <c r="P102" s="122">
        <f t="shared" si="295"/>
        <v>-8.9834728096223646</v>
      </c>
      <c r="Q102" s="122">
        <f t="shared" si="295"/>
        <v>-0.86985212513872645</v>
      </c>
      <c r="R102" s="122">
        <f t="shared" si="295"/>
        <v>-2.4445844206484897</v>
      </c>
      <c r="S102" s="122">
        <f t="shared" si="295"/>
        <v>1.4651909175440176</v>
      </c>
      <c r="T102" s="101">
        <f t="shared" si="186"/>
        <v>1.4588794210074543</v>
      </c>
      <c r="U102" s="110"/>
      <c r="V102" s="122">
        <f t="shared" ref="V102:AE102" si="296">V55/V57</f>
        <v>1.6088370859306862</v>
      </c>
      <c r="W102" s="122">
        <f t="shared" si="296"/>
        <v>1.7665662120023222</v>
      </c>
      <c r="X102" s="122">
        <f t="shared" si="296"/>
        <v>1.9397589778849031</v>
      </c>
      <c r="Y102" s="122">
        <f t="shared" si="296"/>
        <v>2.1299314266971487</v>
      </c>
      <c r="Z102" s="122">
        <f t="shared" si="296"/>
        <v>2.3387482332360849</v>
      </c>
      <c r="AA102" s="122">
        <f t="shared" si="296"/>
        <v>2.5680372757102115</v>
      </c>
      <c r="AB102" s="122">
        <f t="shared" si="296"/>
        <v>2.8198056360739576</v>
      </c>
      <c r="AC102" s="122">
        <f t="shared" si="296"/>
        <v>3.096257169022385</v>
      </c>
      <c r="AD102" s="122">
        <f t="shared" si="296"/>
        <v>3.3998117934363443</v>
      </c>
      <c r="AE102" s="122">
        <f t="shared" si="296"/>
        <v>3.7331266751457899</v>
      </c>
      <c r="AF102" s="117"/>
      <c r="AG102" s="10"/>
      <c r="AH102" s="131"/>
    </row>
    <row r="103" spans="2:34">
      <c r="B103" s="10"/>
      <c r="C103" s="109"/>
      <c r="D103" s="109"/>
      <c r="E103" s="109"/>
      <c r="F103" s="109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10"/>
      <c r="U103" s="110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17"/>
      <c r="AG103" s="10"/>
      <c r="AH103" s="131"/>
    </row>
    <row r="104" spans="2:34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spans="2:34">
      <c r="B105" s="10" t="s">
        <v>258</v>
      </c>
      <c r="C105" s="129"/>
      <c r="D105" s="129"/>
      <c r="E105" s="129"/>
      <c r="F105" s="129"/>
      <c r="G105" s="129">
        <f t="shared" ref="G105:H105" si="297">G51/G25</f>
        <v>1</v>
      </c>
      <c r="H105" s="129" t="e">
        <f t="shared" si="297"/>
        <v>#DIV/0!</v>
      </c>
      <c r="I105" s="129" t="e">
        <f t="shared" ref="I105:R105" si="298">I51/I25</f>
        <v>#DIV/0!</v>
      </c>
      <c r="J105" s="129" t="e">
        <f t="shared" si="298"/>
        <v>#DIV/0!</v>
      </c>
      <c r="K105" s="129" t="e">
        <f t="shared" si="298"/>
        <v>#DIV/0!</v>
      </c>
      <c r="L105" s="129">
        <f t="shared" si="298"/>
        <v>1</v>
      </c>
      <c r="M105" s="129">
        <f t="shared" si="298"/>
        <v>0.52034261241970026</v>
      </c>
      <c r="N105" s="129">
        <f t="shared" si="298"/>
        <v>0.56665118439386897</v>
      </c>
      <c r="O105" s="129">
        <f t="shared" si="298"/>
        <v>0.32380254154447702</v>
      </c>
      <c r="P105" s="129">
        <f t="shared" si="298"/>
        <v>0.13711752931083787</v>
      </c>
      <c r="Q105" s="129">
        <f t="shared" si="298"/>
        <v>0.29210954107790421</v>
      </c>
      <c r="R105" s="129">
        <f t="shared" si="298"/>
        <v>0.26415770609318995</v>
      </c>
      <c r="S105" s="129">
        <f t="shared" ref="S105" si="299">S51/S25</f>
        <v>0.33625604529548225</v>
      </c>
      <c r="T105" s="101">
        <f t="shared" si="186"/>
        <v>-8.6821155382646897E-2</v>
      </c>
      <c r="U105" s="129"/>
      <c r="V105" s="129">
        <f t="shared" ref="V105:AE105" si="300">V51/V25</f>
        <v>0.33625604529548225</v>
      </c>
      <c r="W105" s="129">
        <f t="shared" si="300"/>
        <v>0.33625604529548225</v>
      </c>
      <c r="X105" s="129">
        <f t="shared" si="300"/>
        <v>0.33625604529548231</v>
      </c>
      <c r="Y105" s="129">
        <f t="shared" si="300"/>
        <v>0.33625604529548236</v>
      </c>
      <c r="Z105" s="129">
        <f t="shared" si="300"/>
        <v>0.33625604529548236</v>
      </c>
      <c r="AA105" s="129">
        <f t="shared" si="300"/>
        <v>0.33625604529548236</v>
      </c>
      <c r="AB105" s="129">
        <f t="shared" si="300"/>
        <v>0.33625604529548236</v>
      </c>
      <c r="AC105" s="129">
        <f t="shared" si="300"/>
        <v>0.33625604529548236</v>
      </c>
      <c r="AD105" s="129">
        <f t="shared" si="300"/>
        <v>0.33625604529548236</v>
      </c>
      <c r="AE105" s="129">
        <f t="shared" si="300"/>
        <v>0.33625604529548236</v>
      </c>
      <c r="AF105" s="116" t="e">
        <f t="shared" ref="AF105:AF154" si="301">((AE105/I105)^(1/($AE$3-$J$1) ))-1</f>
        <v>#DIV/0!</v>
      </c>
      <c r="AG105" s="124"/>
      <c r="AH105" s="124"/>
    </row>
    <row r="106" spans="2:34">
      <c r="B106" s="10" t="s">
        <v>220</v>
      </c>
      <c r="C106" s="129"/>
      <c r="D106" s="129"/>
      <c r="E106" s="129"/>
      <c r="F106" s="129"/>
      <c r="G106" s="129">
        <f t="shared" ref="G106:H106" si="302">G55/G25</f>
        <v>1</v>
      </c>
      <c r="H106" s="129" t="e">
        <f t="shared" si="302"/>
        <v>#DIV/0!</v>
      </c>
      <c r="I106" s="129" t="e">
        <f t="shared" ref="I106:R106" si="303">I55/I25</f>
        <v>#DIV/0!</v>
      </c>
      <c r="J106" s="129" t="e">
        <f t="shared" si="303"/>
        <v>#DIV/0!</v>
      </c>
      <c r="K106" s="129" t="e">
        <f t="shared" si="303"/>
        <v>#DIV/0!</v>
      </c>
      <c r="L106" s="129">
        <f t="shared" si="303"/>
        <v>1</v>
      </c>
      <c r="M106" s="129">
        <f t="shared" si="303"/>
        <v>0.36402569593147749</v>
      </c>
      <c r="N106" s="129">
        <f t="shared" si="303"/>
        <v>0.23827217835578263</v>
      </c>
      <c r="O106" s="129">
        <f t="shared" si="303"/>
        <v>-7.2091886608015646E-2</v>
      </c>
      <c r="P106" s="129">
        <f t="shared" si="303"/>
        <v>-0.42822419216471264</v>
      </c>
      <c r="Q106" s="129">
        <f t="shared" si="303"/>
        <v>-1.8131799424784295E-2</v>
      </c>
      <c r="R106" s="129">
        <f t="shared" si="303"/>
        <v>-4.1730670762928829E-2</v>
      </c>
      <c r="S106" s="129">
        <f t="shared" ref="S106" si="304">S55/S25</f>
        <v>1.920654268076908E-2</v>
      </c>
      <c r="T106" s="101">
        <f t="shared" si="186"/>
        <v>-0.28062705616865213</v>
      </c>
      <c r="U106" s="129"/>
      <c r="V106" s="129">
        <f t="shared" ref="V106:AE106" si="305">V55/V25</f>
        <v>1.920654268076908E-2</v>
      </c>
      <c r="W106" s="129">
        <f t="shared" si="305"/>
        <v>1.920654268076908E-2</v>
      </c>
      <c r="X106" s="129">
        <f t="shared" si="305"/>
        <v>1.9206542680769084E-2</v>
      </c>
      <c r="Y106" s="129">
        <f t="shared" si="305"/>
        <v>1.9206542680769084E-2</v>
      </c>
      <c r="Z106" s="129">
        <f t="shared" si="305"/>
        <v>1.9206542680769084E-2</v>
      </c>
      <c r="AA106" s="129">
        <f t="shared" si="305"/>
        <v>1.9206542680769087E-2</v>
      </c>
      <c r="AB106" s="129">
        <f t="shared" si="305"/>
        <v>1.9206542680769084E-2</v>
      </c>
      <c r="AC106" s="129">
        <f t="shared" si="305"/>
        <v>1.9206542680769084E-2</v>
      </c>
      <c r="AD106" s="129">
        <f t="shared" si="305"/>
        <v>1.9206542680769087E-2</v>
      </c>
      <c r="AE106" s="129">
        <f t="shared" si="305"/>
        <v>1.9206542680769084E-2</v>
      </c>
      <c r="AF106" s="116" t="e">
        <f t="shared" si="301"/>
        <v>#DIV/0!</v>
      </c>
      <c r="AG106" s="124"/>
      <c r="AH106" s="124"/>
    </row>
    <row r="107" spans="2:34">
      <c r="B107" s="10" t="s">
        <v>304</v>
      </c>
      <c r="C107" s="129"/>
      <c r="D107" s="129"/>
      <c r="E107" s="129"/>
      <c r="F107" s="129"/>
      <c r="G107" s="129">
        <f t="shared" ref="G107:H107" si="306">G55/G7</f>
        <v>4.3706293706293706E-6</v>
      </c>
      <c r="H107" s="129" t="e">
        <f t="shared" si="306"/>
        <v>#DIV/0!</v>
      </c>
      <c r="I107" s="129" t="e">
        <f>I55/I7</f>
        <v>#DIV/0!</v>
      </c>
      <c r="J107" s="129" t="e">
        <f t="shared" ref="J107:Q107" si="307">J55/J7</f>
        <v>#DIV/0!</v>
      </c>
      <c r="K107" s="129" t="e">
        <f t="shared" si="307"/>
        <v>#DIV/0!</v>
      </c>
      <c r="L107" s="129">
        <f t="shared" si="307"/>
        <v>4.3706293706293706E-6</v>
      </c>
      <c r="M107" s="129">
        <f t="shared" si="307"/>
        <v>2.9421945309795777E-2</v>
      </c>
      <c r="N107" s="129">
        <f t="shared" si="307"/>
        <v>8.1596946079211072E-2</v>
      </c>
      <c r="O107" s="129">
        <f t="shared" si="307"/>
        <v>-4.8832974673067374E-2</v>
      </c>
      <c r="P107" s="129">
        <f t="shared" si="307"/>
        <v>-0.69764733286745861</v>
      </c>
      <c r="Q107" s="129">
        <f t="shared" si="307"/>
        <v>-4.4322176371694944E-2</v>
      </c>
      <c r="R107" s="129">
        <f t="shared" ref="R107:S107" si="308">R55/R7</f>
        <v>-0.14238294898672257</v>
      </c>
      <c r="S107" s="129">
        <f t="shared" si="308"/>
        <v>6.622559652928417E-2</v>
      </c>
      <c r="T107" s="101">
        <f t="shared" si="186"/>
        <v>1.2303524192410396</v>
      </c>
      <c r="U107" s="10"/>
      <c r="V107" s="129">
        <f t="shared" ref="V107" si="309">V55/V7</f>
        <v>0.18236586666666668</v>
      </c>
      <c r="W107" s="129">
        <f t="shared" ref="W107:AE107" si="310">W55/W7</f>
        <v>0.18236586666666668</v>
      </c>
      <c r="X107" s="129">
        <f t="shared" si="310"/>
        <v>0.18236586666666668</v>
      </c>
      <c r="Y107" s="129">
        <f t="shared" si="310"/>
        <v>0.18236586666666668</v>
      </c>
      <c r="Z107" s="129">
        <f t="shared" si="310"/>
        <v>0.18236586666666665</v>
      </c>
      <c r="AA107" s="129">
        <f t="shared" si="310"/>
        <v>0.18236586666666665</v>
      </c>
      <c r="AB107" s="129">
        <f t="shared" si="310"/>
        <v>0.18236586666666665</v>
      </c>
      <c r="AC107" s="129">
        <f t="shared" si="310"/>
        <v>0.18236586666666663</v>
      </c>
      <c r="AD107" s="129">
        <f t="shared" si="310"/>
        <v>0.18236586666666663</v>
      </c>
      <c r="AE107" s="129">
        <f t="shared" si="310"/>
        <v>0.18236586666666663</v>
      </c>
      <c r="AF107" s="116" t="e">
        <f t="shared" si="301"/>
        <v>#DIV/0!</v>
      </c>
      <c r="AG107" s="124"/>
      <c r="AH107" s="124"/>
    </row>
    <row r="108" spans="2:34">
      <c r="B108" s="10" t="s">
        <v>305</v>
      </c>
      <c r="C108" s="129"/>
      <c r="D108" s="129"/>
      <c r="E108" s="129"/>
      <c r="F108" s="129"/>
      <c r="G108" s="129">
        <f t="shared" ref="G108:H108" si="311">(G55)/(G7+G10)</f>
        <v>1.3741926618111859E-6</v>
      </c>
      <c r="H108" s="129" t="e">
        <f t="shared" si="311"/>
        <v>#DIV/0!</v>
      </c>
      <c r="I108" s="129" t="e">
        <f>(I55)/(I7+I10)</f>
        <v>#DIV/0!</v>
      </c>
      <c r="J108" s="129" t="e">
        <f t="shared" ref="J108:Q108" si="312">(J55)/(J7+J10)</f>
        <v>#DIV/0!</v>
      </c>
      <c r="K108" s="129" t="e">
        <f t="shared" si="312"/>
        <v>#DIV/0!</v>
      </c>
      <c r="L108" s="129">
        <f t="shared" si="312"/>
        <v>1.3741926618111859E-6</v>
      </c>
      <c r="M108" s="129">
        <f t="shared" si="312"/>
        <v>1.0398825544409102E-2</v>
      </c>
      <c r="N108" s="129">
        <f t="shared" si="312"/>
        <v>1.666179479684303E-2</v>
      </c>
      <c r="O108" s="129">
        <f t="shared" si="312"/>
        <v>-7.016125196213671E-3</v>
      </c>
      <c r="P108" s="129">
        <f t="shared" si="312"/>
        <v>-7.1488244420575248E-2</v>
      </c>
      <c r="Q108" s="129">
        <f t="shared" si="312"/>
        <v>-6.2620111852475652E-3</v>
      </c>
      <c r="R108" s="129">
        <f t="shared" ref="R108:S108" si="313">(R55)/(R7+R10)</f>
        <v>-1.7300670799015028E-2</v>
      </c>
      <c r="S108" s="129">
        <f t="shared" si="313"/>
        <v>8.6448986815326079E-3</v>
      </c>
      <c r="T108" s="101">
        <f t="shared" si="186"/>
        <v>1.072809339943551</v>
      </c>
      <c r="U108" s="10"/>
      <c r="V108" s="129">
        <f t="shared" ref="V108:AE108" si="314">(V55)/(V7+V10)</f>
        <v>9.4287376638274058E-3</v>
      </c>
      <c r="W108" s="129">
        <f t="shared" si="314"/>
        <v>9.4287376638274058E-3</v>
      </c>
      <c r="X108" s="129">
        <f t="shared" si="314"/>
        <v>9.4287376638274058E-3</v>
      </c>
      <c r="Y108" s="129">
        <f t="shared" si="314"/>
        <v>9.4287376638274058E-3</v>
      </c>
      <c r="Z108" s="129">
        <f t="shared" si="314"/>
        <v>9.4287376638274058E-3</v>
      </c>
      <c r="AA108" s="129">
        <f t="shared" si="314"/>
        <v>9.4287376638274058E-3</v>
      </c>
      <c r="AB108" s="129">
        <f t="shared" si="314"/>
        <v>9.4287376638274058E-3</v>
      </c>
      <c r="AC108" s="129">
        <f t="shared" si="314"/>
        <v>9.428737663827404E-3</v>
      </c>
      <c r="AD108" s="129">
        <f t="shared" si="314"/>
        <v>9.4287376638274058E-3</v>
      </c>
      <c r="AE108" s="129">
        <f t="shared" si="314"/>
        <v>9.4287376638274058E-3</v>
      </c>
      <c r="AF108" s="116" t="e">
        <f t="shared" si="301"/>
        <v>#DIV/0!</v>
      </c>
      <c r="AG108" s="124"/>
      <c r="AH108" s="124"/>
    </row>
    <row r="109" spans="2:34">
      <c r="B109" s="10" t="s">
        <v>321</v>
      </c>
      <c r="C109" s="129"/>
      <c r="D109" s="129"/>
      <c r="E109" s="129"/>
      <c r="F109" s="129"/>
      <c r="G109" s="129">
        <f t="shared" ref="G109:H109" si="315">G20/G25</f>
        <v>-200</v>
      </c>
      <c r="H109" s="129" t="e">
        <f t="shared" si="315"/>
        <v>#DIV/0!</v>
      </c>
      <c r="I109" s="129" t="e">
        <f>I20/I25</f>
        <v>#DIV/0!</v>
      </c>
      <c r="J109" s="129" t="e">
        <f t="shared" ref="J109:R109" si="316">J20/J25</f>
        <v>#DIV/0!</v>
      </c>
      <c r="K109" s="129" t="e">
        <f t="shared" si="316"/>
        <v>#DIV/0!</v>
      </c>
      <c r="L109" s="129">
        <f t="shared" si="316"/>
        <v>-200</v>
      </c>
      <c r="M109" s="129">
        <f t="shared" si="316"/>
        <v>0.34475374732334046</v>
      </c>
      <c r="N109" s="129">
        <f t="shared" si="316"/>
        <v>0.41058987459359036</v>
      </c>
      <c r="O109" s="129">
        <f t="shared" si="316"/>
        <v>0.21823069403714565</v>
      </c>
      <c r="P109" s="129">
        <f t="shared" si="316"/>
        <v>0.28152702316271089</v>
      </c>
      <c r="Q109" s="129">
        <f t="shared" si="316"/>
        <v>0.21164186569963736</v>
      </c>
      <c r="R109" s="129">
        <f t="shared" si="316"/>
        <v>0.31351766513056833</v>
      </c>
      <c r="S109" s="129">
        <f t="shared" ref="S109" si="317">S20/S25</f>
        <v>0</v>
      </c>
      <c r="T109" s="101">
        <f t="shared" si="186"/>
        <v>-1</v>
      </c>
      <c r="U109" s="10"/>
      <c r="V109" s="129">
        <f t="shared" ref="V109:AE109" si="318">V20/V25</f>
        <v>0</v>
      </c>
      <c r="W109" s="129">
        <f t="shared" si="318"/>
        <v>0</v>
      </c>
      <c r="X109" s="129">
        <f t="shared" si="318"/>
        <v>0</v>
      </c>
      <c r="Y109" s="129">
        <f t="shared" si="318"/>
        <v>0</v>
      </c>
      <c r="Z109" s="129">
        <f t="shared" si="318"/>
        <v>0</v>
      </c>
      <c r="AA109" s="129">
        <f t="shared" si="318"/>
        <v>0</v>
      </c>
      <c r="AB109" s="129">
        <f t="shared" si="318"/>
        <v>0</v>
      </c>
      <c r="AC109" s="129">
        <f t="shared" si="318"/>
        <v>0</v>
      </c>
      <c r="AD109" s="129">
        <f t="shared" si="318"/>
        <v>0</v>
      </c>
      <c r="AE109" s="129">
        <f t="shared" si="318"/>
        <v>0</v>
      </c>
      <c r="AF109" s="116" t="e">
        <f t="shared" si="301"/>
        <v>#DIV/0!</v>
      </c>
      <c r="AG109" s="124"/>
      <c r="AH109" s="124"/>
    </row>
    <row r="110" spans="2:34">
      <c r="B110" s="10" t="s">
        <v>373</v>
      </c>
      <c r="C110" s="129"/>
      <c r="D110" s="129"/>
      <c r="E110" s="129"/>
      <c r="F110" s="129"/>
      <c r="G110" s="129">
        <f t="shared" ref="G110:H110" si="319">G68/G25</f>
        <v>0</v>
      </c>
      <c r="H110" s="129" t="e">
        <f t="shared" si="319"/>
        <v>#DIV/0!</v>
      </c>
      <c r="I110" s="129" t="e">
        <f>I68/I25</f>
        <v>#DIV/0!</v>
      </c>
      <c r="J110" s="129" t="e">
        <f t="shared" ref="J110:R110" si="320">J68/J25</f>
        <v>#DIV/0!</v>
      </c>
      <c r="K110" s="129" t="e">
        <f t="shared" si="320"/>
        <v>#DIV/0!</v>
      </c>
      <c r="L110" s="129">
        <f t="shared" si="320"/>
        <v>0</v>
      </c>
      <c r="M110" s="129">
        <f t="shared" si="320"/>
        <v>6.852248394004283E-2</v>
      </c>
      <c r="N110" s="129">
        <f t="shared" si="320"/>
        <v>0.13934045517882024</v>
      </c>
      <c r="O110" s="129">
        <f t="shared" si="320"/>
        <v>7.2174975562072335E-2</v>
      </c>
      <c r="P110" s="129">
        <f t="shared" si="320"/>
        <v>0.16828710323134116</v>
      </c>
      <c r="Q110" s="129">
        <f t="shared" si="320"/>
        <v>-6.7462798549456041E-2</v>
      </c>
      <c r="R110" s="129">
        <f t="shared" si="320"/>
        <v>0</v>
      </c>
      <c r="S110" s="129">
        <f t="shared" ref="S110" si="321">S68/S25</f>
        <v>-1.3407777297212292E-3</v>
      </c>
      <c r="T110" s="101" t="e">
        <f t="shared" si="186"/>
        <v>#DIV/0!</v>
      </c>
      <c r="U110" s="10"/>
      <c r="V110" s="129">
        <f t="shared" ref="V110:AE110" si="322">V68/V25</f>
        <v>-1.3407777297212283E-3</v>
      </c>
      <c r="W110" s="129">
        <f t="shared" si="322"/>
        <v>-1.3407777297212279E-3</v>
      </c>
      <c r="X110" s="129">
        <f t="shared" si="322"/>
        <v>-1.3407777297212273E-3</v>
      </c>
      <c r="Y110" s="129">
        <f t="shared" si="322"/>
        <v>-1.3407777297212273E-3</v>
      </c>
      <c r="Z110" s="129">
        <f t="shared" si="322"/>
        <v>-1.3407777297212277E-3</v>
      </c>
      <c r="AA110" s="129">
        <f t="shared" si="322"/>
        <v>-1.3407777297212283E-3</v>
      </c>
      <c r="AB110" s="129">
        <f t="shared" si="322"/>
        <v>-1.3407777297212264E-3</v>
      </c>
      <c r="AC110" s="129">
        <f t="shared" si="322"/>
        <v>-1.3407777297212242E-3</v>
      </c>
      <c r="AD110" s="129">
        <f t="shared" si="322"/>
        <v>-1.3407777297212247E-3</v>
      </c>
      <c r="AE110" s="129">
        <f t="shared" si="322"/>
        <v>-1.3407777297212223E-3</v>
      </c>
      <c r="AF110" s="116" t="e">
        <f t="shared" si="301"/>
        <v>#DIV/0!</v>
      </c>
      <c r="AG110" s="124"/>
      <c r="AH110" s="124"/>
    </row>
    <row r="111" spans="2:34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10"/>
      <c r="U111" s="10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3"/>
      <c r="AG111" s="124"/>
      <c r="AH111" s="124"/>
    </row>
    <row r="112" spans="2:34">
      <c r="B112" s="10" t="s">
        <v>268</v>
      </c>
      <c r="C112" s="129"/>
      <c r="D112" s="129"/>
      <c r="E112" s="129"/>
      <c r="F112" s="129"/>
      <c r="G112" s="129">
        <f t="shared" ref="G112:H112" si="323">G29/G25</f>
        <v>1</v>
      </c>
      <c r="H112" s="129" t="e">
        <f t="shared" si="323"/>
        <v>#DIV/0!</v>
      </c>
      <c r="I112" s="129" t="e">
        <f>I29/I25</f>
        <v>#DIV/0!</v>
      </c>
      <c r="J112" s="129" t="e">
        <f t="shared" ref="J112:R112" si="324">J29/J25</f>
        <v>#DIV/0!</v>
      </c>
      <c r="K112" s="129" t="e">
        <f t="shared" si="324"/>
        <v>#DIV/0!</v>
      </c>
      <c r="L112" s="129">
        <f t="shared" si="324"/>
        <v>1</v>
      </c>
      <c r="M112" s="129">
        <f t="shared" si="324"/>
        <v>8.137044967880086E-2</v>
      </c>
      <c r="N112" s="129">
        <f t="shared" si="324"/>
        <v>0.1096144914073386</v>
      </c>
      <c r="O112" s="129">
        <f t="shared" si="324"/>
        <v>0.18010752688172044</v>
      </c>
      <c r="P112" s="129">
        <f t="shared" si="324"/>
        <v>0.24335144409493853</v>
      </c>
      <c r="Q112" s="129">
        <f t="shared" si="324"/>
        <v>0.25071901963236215</v>
      </c>
      <c r="R112" s="129">
        <f t="shared" si="324"/>
        <v>0.2490015360983103</v>
      </c>
      <c r="S112" s="129">
        <f t="shared" ref="S112" si="325">S29/S25</f>
        <v>0.23449848621869224</v>
      </c>
      <c r="T112" s="101">
        <f t="shared" si="186"/>
        <v>-0.11384096393423215</v>
      </c>
      <c r="U112" s="10"/>
      <c r="V112" s="129">
        <f t="shared" ref="V112:AE112" si="326">V29/V25</f>
        <v>0.23449848621869224</v>
      </c>
      <c r="W112" s="129">
        <f t="shared" si="326"/>
        <v>0.23449848621869226</v>
      </c>
      <c r="X112" s="129">
        <f t="shared" si="326"/>
        <v>0.23449848621869226</v>
      </c>
      <c r="Y112" s="129">
        <f t="shared" si="326"/>
        <v>0.23449848621869226</v>
      </c>
      <c r="Z112" s="129">
        <f t="shared" si="326"/>
        <v>0.23449848621869226</v>
      </c>
      <c r="AA112" s="129">
        <f t="shared" si="326"/>
        <v>0.23449848621869229</v>
      </c>
      <c r="AB112" s="129">
        <f t="shared" si="326"/>
        <v>0.23449848621869232</v>
      </c>
      <c r="AC112" s="129">
        <f t="shared" si="326"/>
        <v>0.23449848621869232</v>
      </c>
      <c r="AD112" s="129">
        <f t="shared" si="326"/>
        <v>0.23449848621869232</v>
      </c>
      <c r="AE112" s="129">
        <f t="shared" si="326"/>
        <v>0.23449848621869235</v>
      </c>
      <c r="AF112" s="116" t="e">
        <f t="shared" si="301"/>
        <v>#DIV/0!</v>
      </c>
      <c r="AG112" s="124"/>
      <c r="AH112" s="124"/>
    </row>
    <row r="113" spans="1:34">
      <c r="B113" s="10" t="s">
        <v>314</v>
      </c>
      <c r="C113" s="129"/>
      <c r="D113" s="129"/>
      <c r="E113" s="129"/>
      <c r="F113" s="129"/>
      <c r="G113" s="129">
        <f t="shared" ref="G113:H113" si="327">G29/G51</f>
        <v>1</v>
      </c>
      <c r="H113" s="129" t="e">
        <f t="shared" si="327"/>
        <v>#DIV/0!</v>
      </c>
      <c r="I113" s="129" t="e">
        <f>I29/I51</f>
        <v>#DIV/0!</v>
      </c>
      <c r="J113" s="129" t="e">
        <f t="shared" ref="J113:R113" si="328">J29/J51</f>
        <v>#DIV/0!</v>
      </c>
      <c r="K113" s="129" t="e">
        <f t="shared" si="328"/>
        <v>#DIV/0!</v>
      </c>
      <c r="L113" s="129">
        <f t="shared" si="328"/>
        <v>1</v>
      </c>
      <c r="M113" s="129">
        <f t="shared" si="328"/>
        <v>0.15637860082304528</v>
      </c>
      <c r="N113" s="129">
        <f t="shared" si="328"/>
        <v>0.19344262295081968</v>
      </c>
      <c r="O113" s="129">
        <f t="shared" si="328"/>
        <v>0.55622641509433968</v>
      </c>
      <c r="P113" s="129">
        <f t="shared" si="328"/>
        <v>1.7747653806047967</v>
      </c>
      <c r="Q113" s="129">
        <f t="shared" si="328"/>
        <v>0.85830479452054798</v>
      </c>
      <c r="R113" s="129">
        <f t="shared" si="328"/>
        <v>0.94262453963946502</v>
      </c>
      <c r="S113" s="129">
        <f t="shared" ref="S113" si="329">S29/S51</f>
        <v>0.69738072965388209</v>
      </c>
      <c r="T113" s="101">
        <f t="shared" si="186"/>
        <v>-2.958873687323238E-2</v>
      </c>
      <c r="U113" s="10"/>
      <c r="V113" s="129">
        <f t="shared" ref="V113:AE113" si="330">V29/V51</f>
        <v>0.69738072965388209</v>
      </c>
      <c r="W113" s="129">
        <f t="shared" si="330"/>
        <v>0.69738072965388209</v>
      </c>
      <c r="X113" s="129">
        <f t="shared" si="330"/>
        <v>0.69738072965388209</v>
      </c>
      <c r="Y113" s="129">
        <f t="shared" si="330"/>
        <v>0.69738072965388198</v>
      </c>
      <c r="Z113" s="129">
        <f t="shared" si="330"/>
        <v>0.69738072965388187</v>
      </c>
      <c r="AA113" s="129">
        <f t="shared" si="330"/>
        <v>0.69738072965388209</v>
      </c>
      <c r="AB113" s="129">
        <f t="shared" si="330"/>
        <v>0.69738072965388209</v>
      </c>
      <c r="AC113" s="129">
        <f t="shared" si="330"/>
        <v>0.6973807296538822</v>
      </c>
      <c r="AD113" s="129">
        <f t="shared" si="330"/>
        <v>0.69738072965388209</v>
      </c>
      <c r="AE113" s="129">
        <f t="shared" si="330"/>
        <v>0.6973807296538822</v>
      </c>
      <c r="AF113" s="116" t="e">
        <f t="shared" ref="AF113" si="331">((AE113/I113)^(1/($AE$3-$J$1) ))-1</f>
        <v>#DIV/0!</v>
      </c>
      <c r="AG113" s="124"/>
      <c r="AH113" s="124"/>
    </row>
    <row r="114" spans="1:34" ht="12" customHeight="1">
      <c r="B114" s="10" t="s">
        <v>313</v>
      </c>
      <c r="C114" s="129"/>
      <c r="D114" s="129"/>
      <c r="E114" s="129"/>
      <c r="F114" s="129"/>
      <c r="G114" s="148">
        <f t="shared" ref="G114:H114" si="332">G29/G55</f>
        <v>1</v>
      </c>
      <c r="H114" s="148" t="e">
        <f t="shared" si="332"/>
        <v>#DIV/0!</v>
      </c>
      <c r="I114" s="148" t="e">
        <f t="shared" ref="I114:R114" si="333">I29/I55</f>
        <v>#DIV/0!</v>
      </c>
      <c r="J114" s="148" t="e">
        <f t="shared" si="333"/>
        <v>#DIV/0!</v>
      </c>
      <c r="K114" s="148" t="e">
        <f t="shared" si="333"/>
        <v>#DIV/0!</v>
      </c>
      <c r="L114" s="148">
        <f t="shared" si="333"/>
        <v>1</v>
      </c>
      <c r="M114" s="148">
        <f t="shared" si="333"/>
        <v>0.22352941176470589</v>
      </c>
      <c r="N114" s="148">
        <f t="shared" si="333"/>
        <v>0.4600389863547758</v>
      </c>
      <c r="O114" s="148">
        <f t="shared" si="333"/>
        <v>-2.4983050847457626</v>
      </c>
      <c r="P114" s="148">
        <f t="shared" si="333"/>
        <v>-0.5682804674457429</v>
      </c>
      <c r="Q114" s="148">
        <f t="shared" si="333"/>
        <v>-13.827586206896552</v>
      </c>
      <c r="R114" s="148">
        <f t="shared" si="333"/>
        <v>-5.9668711656441715</v>
      </c>
      <c r="S114" s="148">
        <f t="shared" ref="S114" si="334">S29/S55</f>
        <v>12.209302325581396</v>
      </c>
      <c r="T114" s="101">
        <f t="shared" si="186"/>
        <v>0.23184927048566051</v>
      </c>
      <c r="U114" s="10"/>
      <c r="V114" s="148">
        <f t="shared" ref="V114:AE114" si="335">V29/V55</f>
        <v>12.209302325581394</v>
      </c>
      <c r="W114" s="148">
        <f t="shared" si="335"/>
        <v>12.209302325581394</v>
      </c>
      <c r="X114" s="148">
        <f t="shared" si="335"/>
        <v>12.209302325581394</v>
      </c>
      <c r="Y114" s="148">
        <f t="shared" si="335"/>
        <v>12.209302325581394</v>
      </c>
      <c r="Z114" s="148">
        <f t="shared" si="335"/>
        <v>12.209302325581394</v>
      </c>
      <c r="AA114" s="148">
        <f t="shared" si="335"/>
        <v>12.209302325581394</v>
      </c>
      <c r="AB114" s="148">
        <f t="shared" si="335"/>
        <v>12.209302325581396</v>
      </c>
      <c r="AC114" s="148">
        <f t="shared" si="335"/>
        <v>12.209302325581396</v>
      </c>
      <c r="AD114" s="148">
        <f t="shared" si="335"/>
        <v>12.209302325581396</v>
      </c>
      <c r="AE114" s="148">
        <f t="shared" si="335"/>
        <v>12.209302325581397</v>
      </c>
      <c r="AF114" s="116" t="e">
        <f t="shared" ref="AF114" si="336">((AE114/I114)^(1/($AE$3-$J$1) ))-1</f>
        <v>#DIV/0!</v>
      </c>
      <c r="AG114" s="124"/>
      <c r="AH114" s="124"/>
    </row>
    <row r="115" spans="1:34" ht="12" customHeight="1">
      <c r="B115" s="10" t="s">
        <v>270</v>
      </c>
      <c r="C115" s="129"/>
      <c r="D115" s="129"/>
      <c r="E115" s="129"/>
      <c r="F115" s="129"/>
      <c r="G115" s="148">
        <f t="shared" ref="G115:H115" si="337">G29/G12</f>
        <v>1.7921146953405018E-5</v>
      </c>
      <c r="H115" s="148" t="e">
        <f t="shared" si="337"/>
        <v>#DIV/0!</v>
      </c>
      <c r="I115" s="148" t="e">
        <f t="shared" ref="I115:R115" si="338">I29/I12</f>
        <v>#DIV/0!</v>
      </c>
      <c r="J115" s="148" t="e">
        <f t="shared" si="338"/>
        <v>#DIV/0!</v>
      </c>
      <c r="K115" s="148" t="e">
        <f t="shared" si="338"/>
        <v>#DIV/0!</v>
      </c>
      <c r="L115" s="148">
        <f t="shared" si="338"/>
        <v>1.7921146953405018E-5</v>
      </c>
      <c r="M115" s="148">
        <f t="shared" si="338"/>
        <v>3.2590051457975985E-2</v>
      </c>
      <c r="N115" s="148">
        <f t="shared" si="338"/>
        <v>0.18804780876494023</v>
      </c>
      <c r="O115" s="148">
        <f t="shared" si="338"/>
        <v>0.22746913580246914</v>
      </c>
      <c r="P115" s="148">
        <f t="shared" si="338"/>
        <v>0.9906868451688009</v>
      </c>
      <c r="Q115" s="148">
        <f t="shared" si="338"/>
        <v>4.831325301204819</v>
      </c>
      <c r="R115" s="148">
        <f t="shared" si="338"/>
        <v>5.68107476635514</v>
      </c>
      <c r="S115" s="148">
        <f t="shared" ref="S115" si="339">S29/S12</f>
        <v>6.870967741935484</v>
      </c>
      <c r="T115" s="101">
        <f t="shared" si="186"/>
        <v>1.9194721881716887</v>
      </c>
      <c r="U115" s="10"/>
      <c r="V115" s="129">
        <f t="shared" ref="V115:AE115" si="340">V29/V12</f>
        <v>6.870967741935484</v>
      </c>
      <c r="W115" s="129">
        <f t="shared" si="340"/>
        <v>6.870967741935484</v>
      </c>
      <c r="X115" s="129">
        <f t="shared" si="340"/>
        <v>6.8709677419354849</v>
      </c>
      <c r="Y115" s="129">
        <f t="shared" si="340"/>
        <v>6.8709677419354849</v>
      </c>
      <c r="Z115" s="129">
        <f t="shared" si="340"/>
        <v>6.8709677419354849</v>
      </c>
      <c r="AA115" s="129">
        <f t="shared" si="340"/>
        <v>6.8709677419354849</v>
      </c>
      <c r="AB115" s="129">
        <f t="shared" si="340"/>
        <v>6.8709677419354849</v>
      </c>
      <c r="AC115" s="129">
        <f t="shared" si="340"/>
        <v>6.8709677419354858</v>
      </c>
      <c r="AD115" s="129">
        <f t="shared" si="340"/>
        <v>6.8709677419354849</v>
      </c>
      <c r="AE115" s="129">
        <f t="shared" si="340"/>
        <v>6.8709677419354849</v>
      </c>
      <c r="AF115" s="116" t="e">
        <f t="shared" si="301"/>
        <v>#DIV/0!</v>
      </c>
      <c r="AG115" s="124"/>
      <c r="AH115" s="124"/>
    </row>
    <row r="116" spans="1:34" ht="12" customHeight="1">
      <c r="B116" s="10" t="s">
        <v>315</v>
      </c>
      <c r="C116" s="129"/>
      <c r="D116" s="129"/>
      <c r="E116" s="129"/>
      <c r="F116" s="129"/>
      <c r="G116" s="148">
        <f t="shared" ref="G116:H116" si="341">G29/G23</f>
        <v>2.0242914979757085E-5</v>
      </c>
      <c r="H116" s="148" t="e">
        <f t="shared" si="341"/>
        <v>#DIV/0!</v>
      </c>
      <c r="I116" s="148" t="e">
        <f>I29/I23</f>
        <v>#DIV/0!</v>
      </c>
      <c r="J116" s="148" t="e">
        <f t="shared" ref="J116:R116" si="342">J29/J23</f>
        <v>#DIV/0!</v>
      </c>
      <c r="K116" s="148" t="e">
        <f t="shared" si="342"/>
        <v>#DIV/0!</v>
      </c>
      <c r="L116" s="148">
        <f t="shared" si="342"/>
        <v>2.0242914979757085E-5</v>
      </c>
      <c r="M116" s="148">
        <f t="shared" si="342"/>
        <v>3.7037037037037035E-2</v>
      </c>
      <c r="N116" s="148">
        <f t="shared" si="342"/>
        <v>0.27570093457943923</v>
      </c>
      <c r="O116" s="148">
        <f t="shared" si="342"/>
        <v>2.2607361963190185</v>
      </c>
      <c r="P116" s="148">
        <f t="shared" si="342"/>
        <v>6.0569395017793592</v>
      </c>
      <c r="Q116" s="148">
        <f t="shared" si="342"/>
        <v>49.506172839506171</v>
      </c>
      <c r="R116" s="148">
        <f t="shared" si="342"/>
        <v>-85.315789473684205</v>
      </c>
      <c r="S116" s="148">
        <f t="shared" ref="S116" si="343">S29/S23</f>
        <v>74.55</v>
      </c>
      <c r="T116" s="101">
        <f t="shared" si="186"/>
        <v>2.5251793416442263</v>
      </c>
      <c r="U116" s="10"/>
      <c r="V116" s="148">
        <f t="shared" ref="V116:AE116" si="344">V29/V23</f>
        <v>74.55</v>
      </c>
      <c r="W116" s="148">
        <f t="shared" si="344"/>
        <v>74.55</v>
      </c>
      <c r="X116" s="148">
        <f t="shared" si="344"/>
        <v>74.55</v>
      </c>
      <c r="Y116" s="148">
        <f t="shared" si="344"/>
        <v>74.55</v>
      </c>
      <c r="Z116" s="148">
        <f t="shared" si="344"/>
        <v>74.55</v>
      </c>
      <c r="AA116" s="148">
        <f t="shared" si="344"/>
        <v>74.55</v>
      </c>
      <c r="AB116" s="148">
        <f t="shared" si="344"/>
        <v>74.55</v>
      </c>
      <c r="AC116" s="148">
        <f t="shared" si="344"/>
        <v>74.55</v>
      </c>
      <c r="AD116" s="148">
        <f t="shared" si="344"/>
        <v>74.55</v>
      </c>
      <c r="AE116" s="148">
        <f t="shared" si="344"/>
        <v>74.55</v>
      </c>
      <c r="AF116" s="116" t="e">
        <f t="shared" ref="AF116" si="345">((AE116/I116)^(1/($AE$3-$J$1) ))-1</f>
        <v>#DIV/0!</v>
      </c>
      <c r="AG116" s="124"/>
      <c r="AH116" s="124"/>
    </row>
    <row r="117" spans="1:34" ht="12" customHeight="1">
      <c r="B117" s="10"/>
      <c r="C117" s="129"/>
      <c r="D117" s="129"/>
      <c r="E117" s="129"/>
      <c r="F117" s="129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10"/>
      <c r="U117" s="10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4"/>
      <c r="AH117" s="124"/>
    </row>
    <row r="118" spans="1:34" ht="12" customHeight="1">
      <c r="B118" s="10" t="s">
        <v>347</v>
      </c>
      <c r="C118" s="129"/>
      <c r="D118" s="129"/>
      <c r="E118" s="129"/>
      <c r="F118" s="129"/>
      <c r="G118" s="109">
        <f t="shared" ref="G118:H118" si="346">1/G112</f>
        <v>1</v>
      </c>
      <c r="H118" s="109" t="e">
        <f t="shared" si="346"/>
        <v>#DIV/0!</v>
      </c>
      <c r="I118" s="109" t="e">
        <f>1/I112</f>
        <v>#DIV/0!</v>
      </c>
      <c r="J118" s="109" t="e">
        <f t="shared" ref="J118:R118" si="347">1/J112</f>
        <v>#DIV/0!</v>
      </c>
      <c r="K118" s="109" t="e">
        <f t="shared" si="347"/>
        <v>#DIV/0!</v>
      </c>
      <c r="L118" s="109">
        <f t="shared" si="347"/>
        <v>1</v>
      </c>
      <c r="M118" s="109">
        <f t="shared" si="347"/>
        <v>12.289473684210526</v>
      </c>
      <c r="N118" s="109">
        <f t="shared" si="347"/>
        <v>9.1228813559322024</v>
      </c>
      <c r="O118" s="109">
        <f t="shared" si="347"/>
        <v>5.5522388059701493</v>
      </c>
      <c r="P118" s="109">
        <f t="shared" si="347"/>
        <v>4.1092831962397174</v>
      </c>
      <c r="Q118" s="109">
        <f t="shared" si="347"/>
        <v>3.9885286783042391</v>
      </c>
      <c r="R118" s="109">
        <f t="shared" si="347"/>
        <v>4.0160394818013572</v>
      </c>
      <c r="S118" s="109">
        <f t="shared" ref="S118" si="348">1/S112</f>
        <v>4.2644198524480217</v>
      </c>
      <c r="T118" s="101">
        <f t="shared" si="186"/>
        <v>0.12846561316989513</v>
      </c>
      <c r="U118" s="10"/>
      <c r="V118" s="109">
        <f t="shared" ref="V118:AE118" si="349">1/V112</f>
        <v>4.2644198524480217</v>
      </c>
      <c r="W118" s="109">
        <f t="shared" si="349"/>
        <v>4.2644198524480208</v>
      </c>
      <c r="X118" s="109">
        <f t="shared" si="349"/>
        <v>4.2644198524480208</v>
      </c>
      <c r="Y118" s="109">
        <f t="shared" si="349"/>
        <v>4.2644198524480208</v>
      </c>
      <c r="Z118" s="109">
        <f t="shared" si="349"/>
        <v>4.2644198524480208</v>
      </c>
      <c r="AA118" s="109">
        <f t="shared" si="349"/>
        <v>4.2644198524480208</v>
      </c>
      <c r="AB118" s="109">
        <f t="shared" si="349"/>
        <v>4.2644198524480199</v>
      </c>
      <c r="AC118" s="109">
        <f t="shared" si="349"/>
        <v>4.2644198524480199</v>
      </c>
      <c r="AD118" s="109">
        <f t="shared" si="349"/>
        <v>4.2644198524480199</v>
      </c>
      <c r="AE118" s="109">
        <f t="shared" si="349"/>
        <v>4.2644198524480199</v>
      </c>
      <c r="AF118" s="116" t="e">
        <f t="shared" si="301"/>
        <v>#DIV/0!</v>
      </c>
      <c r="AG118" s="124"/>
      <c r="AH118" s="124"/>
    </row>
    <row r="119" spans="1:34" ht="12" customHeight="1">
      <c r="B119" s="10" t="s">
        <v>348</v>
      </c>
      <c r="C119" s="129"/>
      <c r="D119" s="129"/>
      <c r="E119" s="129"/>
      <c r="F119" s="129"/>
      <c r="G119" s="109">
        <f t="shared" ref="G119:H119" si="350">1/G113</f>
        <v>1</v>
      </c>
      <c r="H119" s="109" t="e">
        <f t="shared" si="350"/>
        <v>#DIV/0!</v>
      </c>
      <c r="I119" s="109" t="e">
        <f t="shared" ref="I119:R122" si="351">1/I113</f>
        <v>#DIV/0!</v>
      </c>
      <c r="J119" s="109" t="e">
        <f t="shared" si="351"/>
        <v>#DIV/0!</v>
      </c>
      <c r="K119" s="109" t="e">
        <f t="shared" si="351"/>
        <v>#DIV/0!</v>
      </c>
      <c r="L119" s="109">
        <f t="shared" si="351"/>
        <v>1</v>
      </c>
      <c r="M119" s="109">
        <f t="shared" si="351"/>
        <v>6.3947368421052628</v>
      </c>
      <c r="N119" s="109">
        <f t="shared" si="351"/>
        <v>5.1694915254237284</v>
      </c>
      <c r="O119" s="109">
        <f t="shared" si="351"/>
        <v>1.7978290366350067</v>
      </c>
      <c r="P119" s="109">
        <f t="shared" si="351"/>
        <v>0.56345475910693299</v>
      </c>
      <c r="Q119" s="109">
        <f t="shared" si="351"/>
        <v>1.1650872817955111</v>
      </c>
      <c r="R119" s="109">
        <f t="shared" si="351"/>
        <v>1.0608677770923298</v>
      </c>
      <c r="S119" s="109">
        <f t="shared" ref="S119" si="352">1/S113</f>
        <v>1.4339369550637158</v>
      </c>
      <c r="T119" s="101">
        <f t="shared" si="186"/>
        <v>3.0490924824897903E-2</v>
      </c>
      <c r="U119" s="10"/>
      <c r="V119" s="109">
        <f t="shared" ref="V119:AE119" si="353">1/V113</f>
        <v>1.4339369550637158</v>
      </c>
      <c r="W119" s="109">
        <f t="shared" si="353"/>
        <v>1.4339369550637158</v>
      </c>
      <c r="X119" s="109">
        <f t="shared" si="353"/>
        <v>1.4339369550637158</v>
      </c>
      <c r="Y119" s="109">
        <f t="shared" si="353"/>
        <v>1.433936955063716</v>
      </c>
      <c r="Z119" s="109">
        <f t="shared" si="353"/>
        <v>1.4339369550637162</v>
      </c>
      <c r="AA119" s="109">
        <f t="shared" si="353"/>
        <v>1.4339369550637158</v>
      </c>
      <c r="AB119" s="109">
        <f t="shared" si="353"/>
        <v>1.4339369550637158</v>
      </c>
      <c r="AC119" s="109">
        <f t="shared" si="353"/>
        <v>1.4339369550637155</v>
      </c>
      <c r="AD119" s="109">
        <f t="shared" si="353"/>
        <v>1.4339369550637158</v>
      </c>
      <c r="AE119" s="109">
        <f t="shared" si="353"/>
        <v>1.4339369550637155</v>
      </c>
      <c r="AF119" s="116" t="e">
        <f t="shared" si="301"/>
        <v>#DIV/0!</v>
      </c>
      <c r="AG119" s="124"/>
      <c r="AH119" s="124"/>
    </row>
    <row r="120" spans="1:34" ht="12" customHeight="1">
      <c r="B120" s="10" t="s">
        <v>349</v>
      </c>
      <c r="C120" s="129"/>
      <c r="D120" s="129"/>
      <c r="E120" s="129"/>
      <c r="F120" s="129"/>
      <c r="G120" s="109">
        <f t="shared" ref="G120:H120" si="354">1/G114</f>
        <v>1</v>
      </c>
      <c r="H120" s="109" t="e">
        <f t="shared" si="354"/>
        <v>#DIV/0!</v>
      </c>
      <c r="I120" s="109" t="e">
        <f t="shared" si="351"/>
        <v>#DIV/0!</v>
      </c>
      <c r="J120" s="109" t="e">
        <f t="shared" si="351"/>
        <v>#DIV/0!</v>
      </c>
      <c r="K120" s="109" t="e">
        <f t="shared" si="351"/>
        <v>#DIV/0!</v>
      </c>
      <c r="L120" s="109">
        <f t="shared" si="351"/>
        <v>1</v>
      </c>
      <c r="M120" s="109">
        <f t="shared" si="351"/>
        <v>4.4736842105263159</v>
      </c>
      <c r="N120" s="109">
        <f t="shared" si="351"/>
        <v>2.1737288135593222</v>
      </c>
      <c r="O120" s="109">
        <f t="shared" si="351"/>
        <v>-0.40027137042062416</v>
      </c>
      <c r="P120" s="109">
        <f t="shared" si="351"/>
        <v>-1.7596944770857814</v>
      </c>
      <c r="Q120" s="109">
        <f t="shared" si="351"/>
        <v>-7.2319201995012475E-2</v>
      </c>
      <c r="R120" s="109">
        <f t="shared" si="351"/>
        <v>-0.16759202138597573</v>
      </c>
      <c r="S120" s="109">
        <f t="shared" ref="S120" si="355">1/S114</f>
        <v>8.1904761904761897E-2</v>
      </c>
      <c r="T120" s="101">
        <f t="shared" si="186"/>
        <v>-0.18821236984152556</v>
      </c>
      <c r="U120" s="10"/>
      <c r="V120" s="109">
        <f t="shared" ref="V120:AE120" si="356">1/V114</f>
        <v>8.1904761904761911E-2</v>
      </c>
      <c r="W120" s="109">
        <f t="shared" si="356"/>
        <v>8.1904761904761911E-2</v>
      </c>
      <c r="X120" s="109">
        <f t="shared" si="356"/>
        <v>8.1904761904761911E-2</v>
      </c>
      <c r="Y120" s="109">
        <f t="shared" si="356"/>
        <v>8.1904761904761911E-2</v>
      </c>
      <c r="Z120" s="109">
        <f t="shared" si="356"/>
        <v>8.1904761904761911E-2</v>
      </c>
      <c r="AA120" s="109">
        <f t="shared" si="356"/>
        <v>8.1904761904761911E-2</v>
      </c>
      <c r="AB120" s="109">
        <f t="shared" si="356"/>
        <v>8.1904761904761897E-2</v>
      </c>
      <c r="AC120" s="109">
        <f t="shared" si="356"/>
        <v>8.1904761904761897E-2</v>
      </c>
      <c r="AD120" s="109">
        <f t="shared" si="356"/>
        <v>8.1904761904761897E-2</v>
      </c>
      <c r="AE120" s="109">
        <f t="shared" si="356"/>
        <v>8.1904761904761897E-2</v>
      </c>
      <c r="AF120" s="116" t="e">
        <f t="shared" si="301"/>
        <v>#DIV/0!</v>
      </c>
      <c r="AG120" s="124"/>
      <c r="AH120" s="124"/>
    </row>
    <row r="121" spans="1:34" ht="12" customHeight="1">
      <c r="B121" s="10" t="s">
        <v>350</v>
      </c>
      <c r="C121" s="129"/>
      <c r="D121" s="129"/>
      <c r="E121" s="129"/>
      <c r="F121" s="129"/>
      <c r="G121" s="109">
        <f t="shared" ref="G121:H121" si="357">1/G115</f>
        <v>55800</v>
      </c>
      <c r="H121" s="109" t="e">
        <f t="shared" si="357"/>
        <v>#DIV/0!</v>
      </c>
      <c r="I121" s="109" t="e">
        <f t="shared" si="351"/>
        <v>#DIV/0!</v>
      </c>
      <c r="J121" s="109" t="e">
        <f t="shared" si="351"/>
        <v>#DIV/0!</v>
      </c>
      <c r="K121" s="109" t="e">
        <f t="shared" si="351"/>
        <v>#DIV/0!</v>
      </c>
      <c r="L121" s="109">
        <f t="shared" si="351"/>
        <v>55800</v>
      </c>
      <c r="M121" s="109">
        <f t="shared" si="351"/>
        <v>30.684210526315791</v>
      </c>
      <c r="N121" s="109">
        <f t="shared" si="351"/>
        <v>5.3177966101694913</v>
      </c>
      <c r="O121" s="109">
        <f t="shared" si="351"/>
        <v>4.3962008141112623</v>
      </c>
      <c r="P121" s="109">
        <f t="shared" si="351"/>
        <v>1.009400705052879</v>
      </c>
      <c r="Q121" s="109">
        <f t="shared" si="351"/>
        <v>0.20698254364089777</v>
      </c>
      <c r="R121" s="109">
        <f t="shared" si="351"/>
        <v>0.1760230310507917</v>
      </c>
      <c r="S121" s="109">
        <f t="shared" ref="S121" si="358">1/S115</f>
        <v>0.14553990610328638</v>
      </c>
      <c r="T121" s="101">
        <f t="shared" si="186"/>
        <v>-0.6574723321388285</v>
      </c>
      <c r="U121" s="10"/>
      <c r="V121" s="109">
        <f t="shared" ref="V121:AE121" si="359">1/V115</f>
        <v>0.14553990610328638</v>
      </c>
      <c r="W121" s="109">
        <f t="shared" si="359"/>
        <v>0.14553990610328638</v>
      </c>
      <c r="X121" s="109">
        <f t="shared" si="359"/>
        <v>0.14553990610328638</v>
      </c>
      <c r="Y121" s="109">
        <f t="shared" si="359"/>
        <v>0.14553990610328638</v>
      </c>
      <c r="Z121" s="109">
        <f t="shared" si="359"/>
        <v>0.14553990610328638</v>
      </c>
      <c r="AA121" s="109">
        <f t="shared" si="359"/>
        <v>0.14553990610328638</v>
      </c>
      <c r="AB121" s="109">
        <f t="shared" si="359"/>
        <v>0.14553990610328638</v>
      </c>
      <c r="AC121" s="109">
        <f t="shared" si="359"/>
        <v>0.14553990610328635</v>
      </c>
      <c r="AD121" s="109">
        <f t="shared" si="359"/>
        <v>0.14553990610328638</v>
      </c>
      <c r="AE121" s="109">
        <f t="shared" si="359"/>
        <v>0.14553990610328638</v>
      </c>
      <c r="AF121" s="116" t="e">
        <f t="shared" si="301"/>
        <v>#DIV/0!</v>
      </c>
      <c r="AG121" s="124"/>
      <c r="AH121" s="124"/>
    </row>
    <row r="122" spans="1:34" ht="12" customHeight="1">
      <c r="B122" s="10" t="s">
        <v>351</v>
      </c>
      <c r="C122" s="129"/>
      <c r="D122" s="129"/>
      <c r="E122" s="129"/>
      <c r="F122" s="129"/>
      <c r="G122" s="109">
        <f t="shared" ref="G122:H122" si="360">1/G116</f>
        <v>49400</v>
      </c>
      <c r="H122" s="109" t="e">
        <f t="shared" si="360"/>
        <v>#DIV/0!</v>
      </c>
      <c r="I122" s="109" t="e">
        <f t="shared" si="351"/>
        <v>#DIV/0!</v>
      </c>
      <c r="J122" s="109" t="e">
        <f t="shared" si="351"/>
        <v>#DIV/0!</v>
      </c>
      <c r="K122" s="109" t="e">
        <f t="shared" si="351"/>
        <v>#DIV/0!</v>
      </c>
      <c r="L122" s="109">
        <f t="shared" si="351"/>
        <v>49400</v>
      </c>
      <c r="M122" s="109">
        <f t="shared" si="351"/>
        <v>27</v>
      </c>
      <c r="N122" s="109">
        <f t="shared" si="351"/>
        <v>3.6271186440677972</v>
      </c>
      <c r="O122" s="109">
        <f t="shared" si="351"/>
        <v>0.44233378561736769</v>
      </c>
      <c r="P122" s="109">
        <f t="shared" si="351"/>
        <v>0.16509988249118684</v>
      </c>
      <c r="Q122" s="109">
        <f t="shared" si="351"/>
        <v>2.0199501246882794E-2</v>
      </c>
      <c r="R122" s="109">
        <f t="shared" si="351"/>
        <v>-1.1721159777914868E-2</v>
      </c>
      <c r="S122" s="109">
        <f t="shared" ref="S122" si="361">1/S116</f>
        <v>1.341381623071764E-2</v>
      </c>
      <c r="T122" s="101">
        <f t="shared" si="186"/>
        <v>-0.71632648921243924</v>
      </c>
      <c r="U122" s="10"/>
      <c r="V122" s="109">
        <f t="shared" ref="V122:AE122" si="362">1/V116</f>
        <v>1.341381623071764E-2</v>
      </c>
      <c r="W122" s="109">
        <f t="shared" si="362"/>
        <v>1.341381623071764E-2</v>
      </c>
      <c r="X122" s="109">
        <f t="shared" si="362"/>
        <v>1.341381623071764E-2</v>
      </c>
      <c r="Y122" s="109">
        <f t="shared" si="362"/>
        <v>1.341381623071764E-2</v>
      </c>
      <c r="Z122" s="109">
        <f t="shared" si="362"/>
        <v>1.341381623071764E-2</v>
      </c>
      <c r="AA122" s="109">
        <f t="shared" si="362"/>
        <v>1.341381623071764E-2</v>
      </c>
      <c r="AB122" s="109">
        <f t="shared" si="362"/>
        <v>1.341381623071764E-2</v>
      </c>
      <c r="AC122" s="109">
        <f t="shared" si="362"/>
        <v>1.341381623071764E-2</v>
      </c>
      <c r="AD122" s="109">
        <f t="shared" si="362"/>
        <v>1.341381623071764E-2</v>
      </c>
      <c r="AE122" s="109">
        <f t="shared" si="362"/>
        <v>1.341381623071764E-2</v>
      </c>
      <c r="AF122" s="116" t="e">
        <f t="shared" si="301"/>
        <v>#DIV/0!</v>
      </c>
      <c r="AG122" s="124"/>
      <c r="AH122" s="124"/>
    </row>
    <row r="123" spans="1:34" ht="12" customHeight="1">
      <c r="B123" s="10"/>
      <c r="C123" s="129"/>
      <c r="D123" s="129"/>
      <c r="E123" s="129"/>
      <c r="F123" s="129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10"/>
      <c r="U123" s="10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4"/>
      <c r="AH123" s="124"/>
    </row>
    <row r="124" spans="1:34" ht="12" customHeight="1">
      <c r="A124" s="301" t="s">
        <v>425</v>
      </c>
      <c r="B124" s="179" t="s">
        <v>432</v>
      </c>
      <c r="C124" s="129"/>
      <c r="D124" s="129"/>
      <c r="E124" s="129"/>
      <c r="F124" s="129"/>
      <c r="G124" s="148" t="e">
        <f t="shared" ref="G124:H124" si="363">G25/(G36+G38)</f>
        <v>#DIV/0!</v>
      </c>
      <c r="H124" s="148" t="e">
        <f t="shared" si="363"/>
        <v>#DIV/0!</v>
      </c>
      <c r="I124" s="148" t="e">
        <f t="shared" ref="I124:S124" si="364">I25/(I36+I38)</f>
        <v>#DIV/0!</v>
      </c>
      <c r="J124" s="148" t="e">
        <f t="shared" si="364"/>
        <v>#DIV/0!</v>
      </c>
      <c r="K124" s="148" t="e">
        <f t="shared" si="364"/>
        <v>#DIV/0!</v>
      </c>
      <c r="L124" s="148" t="e">
        <f t="shared" si="364"/>
        <v>#DIV/0!</v>
      </c>
      <c r="M124" s="148" t="e">
        <f t="shared" si="364"/>
        <v>#DIV/0!</v>
      </c>
      <c r="N124" s="148" t="e">
        <f t="shared" si="364"/>
        <v>#DIV/0!</v>
      </c>
      <c r="O124" s="148" t="e">
        <f t="shared" si="364"/>
        <v>#DIV/0!</v>
      </c>
      <c r="P124" s="148" t="e">
        <f t="shared" si="364"/>
        <v>#DIV/0!</v>
      </c>
      <c r="Q124" s="148" t="e">
        <f t="shared" si="364"/>
        <v>#DIV/0!</v>
      </c>
      <c r="R124" s="148" t="e">
        <f t="shared" si="364"/>
        <v>#DIV/0!</v>
      </c>
      <c r="S124" s="148" t="e">
        <f t="shared" si="364"/>
        <v>#DIV/0!</v>
      </c>
      <c r="T124" s="101" t="e">
        <f t="shared" si="186"/>
        <v>#DIV/0!</v>
      </c>
      <c r="U124" s="10"/>
      <c r="V124" s="148" t="e">
        <f t="shared" ref="V124:AE124" si="365">V25/(V36+V38)</f>
        <v>#DIV/0!</v>
      </c>
      <c r="W124" s="148" t="e">
        <f t="shared" si="365"/>
        <v>#DIV/0!</v>
      </c>
      <c r="X124" s="148" t="e">
        <f t="shared" si="365"/>
        <v>#DIV/0!</v>
      </c>
      <c r="Y124" s="148" t="e">
        <f t="shared" si="365"/>
        <v>#DIV/0!</v>
      </c>
      <c r="Z124" s="148" t="e">
        <f t="shared" si="365"/>
        <v>#DIV/0!</v>
      </c>
      <c r="AA124" s="148" t="e">
        <f t="shared" si="365"/>
        <v>#DIV/0!</v>
      </c>
      <c r="AB124" s="148" t="e">
        <f t="shared" si="365"/>
        <v>#DIV/0!</v>
      </c>
      <c r="AC124" s="148" t="e">
        <f t="shared" si="365"/>
        <v>#DIV/0!</v>
      </c>
      <c r="AD124" s="148" t="e">
        <f t="shared" si="365"/>
        <v>#DIV/0!</v>
      </c>
      <c r="AE124" s="148" t="e">
        <f t="shared" si="365"/>
        <v>#DIV/0!</v>
      </c>
      <c r="AF124" s="116" t="e">
        <f t="shared" ref="AF124:AF132" si="366">((AE124/I124)^(1/($AE$3-$J$1) ))-1</f>
        <v>#DIV/0!</v>
      </c>
      <c r="AG124" s="124"/>
      <c r="AH124" s="124"/>
    </row>
    <row r="125" spans="1:34" ht="12" customHeight="1">
      <c r="A125" s="301"/>
      <c r="B125" s="179" t="s">
        <v>427</v>
      </c>
      <c r="C125" s="129"/>
      <c r="D125" s="129"/>
      <c r="E125" s="129"/>
      <c r="F125" s="129"/>
      <c r="G125" s="148" t="e">
        <f t="shared" ref="G125:H125" si="367">G25/G43</f>
        <v>#DIV/0!</v>
      </c>
      <c r="H125" s="148" t="e">
        <f t="shared" si="367"/>
        <v>#DIV/0!</v>
      </c>
      <c r="I125" s="148" t="e">
        <f t="shared" ref="I125:S125" si="368">I25/I43</f>
        <v>#DIV/0!</v>
      </c>
      <c r="J125" s="148" t="e">
        <f t="shared" si="368"/>
        <v>#DIV/0!</v>
      </c>
      <c r="K125" s="148" t="e">
        <f t="shared" si="368"/>
        <v>#DIV/0!</v>
      </c>
      <c r="L125" s="148" t="e">
        <f t="shared" si="368"/>
        <v>#DIV/0!</v>
      </c>
      <c r="M125" s="148" t="e">
        <f t="shared" si="368"/>
        <v>#DIV/0!</v>
      </c>
      <c r="N125" s="148" t="e">
        <f t="shared" si="368"/>
        <v>#DIV/0!</v>
      </c>
      <c r="O125" s="148" t="e">
        <f t="shared" si="368"/>
        <v>#DIV/0!</v>
      </c>
      <c r="P125" s="148" t="e">
        <f t="shared" si="368"/>
        <v>#DIV/0!</v>
      </c>
      <c r="Q125" s="148" t="e">
        <f t="shared" si="368"/>
        <v>#DIV/0!</v>
      </c>
      <c r="R125" s="148" t="e">
        <f t="shared" si="368"/>
        <v>#DIV/0!</v>
      </c>
      <c r="S125" s="148" t="e">
        <f t="shared" si="368"/>
        <v>#DIV/0!</v>
      </c>
      <c r="T125" s="101" t="e">
        <f t="shared" si="186"/>
        <v>#DIV/0!</v>
      </c>
      <c r="U125" s="10"/>
      <c r="V125" s="148" t="e">
        <f t="shared" ref="V125:AE125" si="369">V25/V43</f>
        <v>#DIV/0!</v>
      </c>
      <c r="W125" s="148" t="e">
        <f t="shared" si="369"/>
        <v>#DIV/0!</v>
      </c>
      <c r="X125" s="148" t="e">
        <f t="shared" si="369"/>
        <v>#DIV/0!</v>
      </c>
      <c r="Y125" s="148" t="e">
        <f t="shared" si="369"/>
        <v>#DIV/0!</v>
      </c>
      <c r="Z125" s="148" t="e">
        <f t="shared" si="369"/>
        <v>#DIV/0!</v>
      </c>
      <c r="AA125" s="148" t="e">
        <f t="shared" si="369"/>
        <v>#DIV/0!</v>
      </c>
      <c r="AB125" s="148" t="e">
        <f t="shared" si="369"/>
        <v>#DIV/0!</v>
      </c>
      <c r="AC125" s="148" t="e">
        <f t="shared" si="369"/>
        <v>#DIV/0!</v>
      </c>
      <c r="AD125" s="148" t="e">
        <f t="shared" si="369"/>
        <v>#DIV/0!</v>
      </c>
      <c r="AE125" s="148" t="e">
        <f t="shared" si="369"/>
        <v>#DIV/0!</v>
      </c>
      <c r="AF125" s="116" t="e">
        <f t="shared" si="366"/>
        <v>#DIV/0!</v>
      </c>
      <c r="AG125" s="124"/>
      <c r="AH125" s="124"/>
    </row>
    <row r="126" spans="1:34" ht="12" customHeight="1">
      <c r="A126" s="301"/>
      <c r="B126" s="179" t="s">
        <v>433</v>
      </c>
      <c r="C126" s="129"/>
      <c r="D126" s="129"/>
      <c r="E126" s="129"/>
      <c r="F126" s="129"/>
      <c r="G126" s="148" t="e">
        <f t="shared" ref="G126:H126" si="370">G43/(G36)</f>
        <v>#DIV/0!</v>
      </c>
      <c r="H126" s="148" t="e">
        <f t="shared" si="370"/>
        <v>#DIV/0!</v>
      </c>
      <c r="I126" s="148" t="e">
        <f t="shared" ref="I126:S126" si="371">I43/(I36)</f>
        <v>#DIV/0!</v>
      </c>
      <c r="J126" s="148" t="e">
        <f t="shared" si="371"/>
        <v>#DIV/0!</v>
      </c>
      <c r="K126" s="148" t="e">
        <f t="shared" si="371"/>
        <v>#DIV/0!</v>
      </c>
      <c r="L126" s="148" t="e">
        <f t="shared" si="371"/>
        <v>#DIV/0!</v>
      </c>
      <c r="M126" s="148" t="e">
        <f t="shared" si="371"/>
        <v>#DIV/0!</v>
      </c>
      <c r="N126" s="148" t="e">
        <f t="shared" si="371"/>
        <v>#DIV/0!</v>
      </c>
      <c r="O126" s="148" t="e">
        <f t="shared" si="371"/>
        <v>#DIV/0!</v>
      </c>
      <c r="P126" s="148" t="e">
        <f t="shared" si="371"/>
        <v>#DIV/0!</v>
      </c>
      <c r="Q126" s="148" t="e">
        <f t="shared" si="371"/>
        <v>#DIV/0!</v>
      </c>
      <c r="R126" s="148" t="e">
        <f t="shared" si="371"/>
        <v>#DIV/0!</v>
      </c>
      <c r="S126" s="148" t="e">
        <f t="shared" si="371"/>
        <v>#DIV/0!</v>
      </c>
      <c r="T126" s="101" t="e">
        <f t="shared" si="186"/>
        <v>#DIV/0!</v>
      </c>
      <c r="U126" s="10"/>
      <c r="V126" s="148" t="e">
        <f t="shared" ref="V126:AE126" si="372">V43/(V36+V38)</f>
        <v>#DIV/0!</v>
      </c>
      <c r="W126" s="148" t="e">
        <f t="shared" si="372"/>
        <v>#DIV/0!</v>
      </c>
      <c r="X126" s="148" t="e">
        <f t="shared" si="372"/>
        <v>#DIV/0!</v>
      </c>
      <c r="Y126" s="148" t="e">
        <f t="shared" si="372"/>
        <v>#DIV/0!</v>
      </c>
      <c r="Z126" s="148" t="e">
        <f t="shared" si="372"/>
        <v>#DIV/0!</v>
      </c>
      <c r="AA126" s="148" t="e">
        <f t="shared" si="372"/>
        <v>#DIV/0!</v>
      </c>
      <c r="AB126" s="148" t="e">
        <f t="shared" si="372"/>
        <v>#DIV/0!</v>
      </c>
      <c r="AC126" s="148" t="e">
        <f t="shared" si="372"/>
        <v>#DIV/0!</v>
      </c>
      <c r="AD126" s="148" t="e">
        <f t="shared" si="372"/>
        <v>#DIV/0!</v>
      </c>
      <c r="AE126" s="148" t="e">
        <f t="shared" si="372"/>
        <v>#DIV/0!</v>
      </c>
      <c r="AF126" s="116" t="e">
        <f t="shared" si="366"/>
        <v>#DIV/0!</v>
      </c>
      <c r="AG126" s="124"/>
      <c r="AH126" s="124"/>
    </row>
    <row r="127" spans="1:34" ht="12" customHeight="1">
      <c r="A127" s="301"/>
      <c r="B127" s="179" t="s">
        <v>431</v>
      </c>
      <c r="C127" s="129"/>
      <c r="D127" s="129"/>
      <c r="E127" s="129"/>
      <c r="F127" s="129"/>
      <c r="G127" s="148" t="e">
        <f t="shared" ref="G127:H127" si="373">G43/G38</f>
        <v>#DIV/0!</v>
      </c>
      <c r="H127" s="148" t="e">
        <f t="shared" si="373"/>
        <v>#DIV/0!</v>
      </c>
      <c r="I127" s="148" t="e">
        <f t="shared" ref="I127:S127" si="374">I43/I38</f>
        <v>#DIV/0!</v>
      </c>
      <c r="J127" s="148" t="e">
        <f t="shared" si="374"/>
        <v>#DIV/0!</v>
      </c>
      <c r="K127" s="148" t="e">
        <f t="shared" si="374"/>
        <v>#DIV/0!</v>
      </c>
      <c r="L127" s="148" t="e">
        <f t="shared" si="374"/>
        <v>#DIV/0!</v>
      </c>
      <c r="M127" s="148" t="e">
        <f t="shared" si="374"/>
        <v>#DIV/0!</v>
      </c>
      <c r="N127" s="148" t="e">
        <f t="shared" si="374"/>
        <v>#DIV/0!</v>
      </c>
      <c r="O127" s="148" t="e">
        <f t="shared" si="374"/>
        <v>#DIV/0!</v>
      </c>
      <c r="P127" s="148" t="e">
        <f t="shared" si="374"/>
        <v>#DIV/0!</v>
      </c>
      <c r="Q127" s="148" t="e">
        <f t="shared" si="374"/>
        <v>#DIV/0!</v>
      </c>
      <c r="R127" s="148" t="e">
        <f t="shared" si="374"/>
        <v>#DIV/0!</v>
      </c>
      <c r="S127" s="148" t="e">
        <f t="shared" si="374"/>
        <v>#DIV/0!</v>
      </c>
      <c r="T127" s="101" t="e">
        <f t="shared" si="186"/>
        <v>#DIV/0!</v>
      </c>
      <c r="U127" s="10"/>
      <c r="V127" s="148" t="e">
        <f t="shared" ref="V127:AE127" si="375">V43/V38</f>
        <v>#DIV/0!</v>
      </c>
      <c r="W127" s="148" t="e">
        <f t="shared" si="375"/>
        <v>#DIV/0!</v>
      </c>
      <c r="X127" s="148" t="e">
        <f t="shared" si="375"/>
        <v>#DIV/0!</v>
      </c>
      <c r="Y127" s="148" t="e">
        <f t="shared" si="375"/>
        <v>#DIV/0!</v>
      </c>
      <c r="Z127" s="148" t="e">
        <f t="shared" si="375"/>
        <v>#DIV/0!</v>
      </c>
      <c r="AA127" s="148" t="e">
        <f t="shared" si="375"/>
        <v>#DIV/0!</v>
      </c>
      <c r="AB127" s="148" t="e">
        <f t="shared" si="375"/>
        <v>#DIV/0!</v>
      </c>
      <c r="AC127" s="148" t="e">
        <f t="shared" si="375"/>
        <v>#DIV/0!</v>
      </c>
      <c r="AD127" s="148" t="e">
        <f t="shared" si="375"/>
        <v>#DIV/0!</v>
      </c>
      <c r="AE127" s="148" t="e">
        <f t="shared" si="375"/>
        <v>#DIV/0!</v>
      </c>
      <c r="AF127" s="116" t="e">
        <f t="shared" si="366"/>
        <v>#DIV/0!</v>
      </c>
      <c r="AG127" s="124"/>
      <c r="AH127" s="124"/>
    </row>
    <row r="128" spans="1:34" ht="12" customHeight="1">
      <c r="A128" s="301"/>
      <c r="B128" s="179" t="s">
        <v>430</v>
      </c>
      <c r="C128" s="129"/>
      <c r="D128" s="129"/>
      <c r="E128" s="129"/>
      <c r="F128" s="129"/>
      <c r="G128" s="148" t="e">
        <f t="shared" ref="G128:H128" si="376">G43/(G36+G38)</f>
        <v>#DIV/0!</v>
      </c>
      <c r="H128" s="148" t="e">
        <f t="shared" si="376"/>
        <v>#DIV/0!</v>
      </c>
      <c r="I128" s="148" t="e">
        <f t="shared" ref="I128:S128" si="377">I43/(I36+I38)</f>
        <v>#DIV/0!</v>
      </c>
      <c r="J128" s="148" t="e">
        <f t="shared" si="377"/>
        <v>#DIV/0!</v>
      </c>
      <c r="K128" s="148" t="e">
        <f t="shared" si="377"/>
        <v>#DIV/0!</v>
      </c>
      <c r="L128" s="148" t="e">
        <f t="shared" si="377"/>
        <v>#DIV/0!</v>
      </c>
      <c r="M128" s="148" t="e">
        <f t="shared" si="377"/>
        <v>#DIV/0!</v>
      </c>
      <c r="N128" s="148" t="e">
        <f t="shared" si="377"/>
        <v>#DIV/0!</v>
      </c>
      <c r="O128" s="148" t="e">
        <f t="shared" si="377"/>
        <v>#DIV/0!</v>
      </c>
      <c r="P128" s="148" t="e">
        <f t="shared" si="377"/>
        <v>#DIV/0!</v>
      </c>
      <c r="Q128" s="148" t="e">
        <f t="shared" si="377"/>
        <v>#DIV/0!</v>
      </c>
      <c r="R128" s="148" t="e">
        <f t="shared" si="377"/>
        <v>#DIV/0!</v>
      </c>
      <c r="S128" s="148" t="e">
        <f t="shared" si="377"/>
        <v>#DIV/0!</v>
      </c>
      <c r="T128" s="101" t="e">
        <f t="shared" si="186"/>
        <v>#DIV/0!</v>
      </c>
      <c r="U128" s="10"/>
      <c r="V128" s="148" t="e">
        <f t="shared" ref="V128:AE128" si="378">V43/(V36+V38)</f>
        <v>#DIV/0!</v>
      </c>
      <c r="W128" s="148" t="e">
        <f t="shared" si="378"/>
        <v>#DIV/0!</v>
      </c>
      <c r="X128" s="148" t="e">
        <f t="shared" si="378"/>
        <v>#DIV/0!</v>
      </c>
      <c r="Y128" s="148" t="e">
        <f t="shared" si="378"/>
        <v>#DIV/0!</v>
      </c>
      <c r="Z128" s="148" t="e">
        <f t="shared" si="378"/>
        <v>#DIV/0!</v>
      </c>
      <c r="AA128" s="148" t="e">
        <f t="shared" si="378"/>
        <v>#DIV/0!</v>
      </c>
      <c r="AB128" s="148" t="e">
        <f t="shared" si="378"/>
        <v>#DIV/0!</v>
      </c>
      <c r="AC128" s="148" t="e">
        <f t="shared" si="378"/>
        <v>#DIV/0!</v>
      </c>
      <c r="AD128" s="148" t="e">
        <f t="shared" si="378"/>
        <v>#DIV/0!</v>
      </c>
      <c r="AE128" s="148" t="e">
        <f t="shared" si="378"/>
        <v>#DIV/0!</v>
      </c>
      <c r="AF128" s="116" t="e">
        <f>((AE128/I128)^(1/($AE$3-$J$1) ))-1</f>
        <v>#DIV/0!</v>
      </c>
      <c r="AG128" s="124"/>
      <c r="AH128" s="124"/>
    </row>
    <row r="129" spans="1:34" ht="12" customHeight="1">
      <c r="A129" s="301"/>
      <c r="B129" s="179" t="s">
        <v>436</v>
      </c>
      <c r="C129" s="129"/>
      <c r="D129" s="129"/>
      <c r="E129" s="129"/>
      <c r="F129" s="129"/>
      <c r="G129" s="148">
        <f t="shared" ref="G129:H129" si="379">G47/G25</f>
        <v>0</v>
      </c>
      <c r="H129" s="148" t="e">
        <f t="shared" si="379"/>
        <v>#DIV/0!</v>
      </c>
      <c r="I129" s="148" t="e">
        <f t="shared" ref="I129:S129" si="380">I47/I25</f>
        <v>#DIV/0!</v>
      </c>
      <c r="J129" s="148" t="e">
        <f t="shared" si="380"/>
        <v>#DIV/0!</v>
      </c>
      <c r="K129" s="148" t="e">
        <f t="shared" si="380"/>
        <v>#DIV/0!</v>
      </c>
      <c r="L129" s="148">
        <f t="shared" si="380"/>
        <v>0</v>
      </c>
      <c r="M129" s="148">
        <f t="shared" si="380"/>
        <v>0</v>
      </c>
      <c r="N129" s="148">
        <f t="shared" si="380"/>
        <v>0</v>
      </c>
      <c r="O129" s="148">
        <f t="shared" si="380"/>
        <v>0</v>
      </c>
      <c r="P129" s="148">
        <f t="shared" si="380"/>
        <v>0</v>
      </c>
      <c r="Q129" s="148">
        <f t="shared" si="380"/>
        <v>0</v>
      </c>
      <c r="R129" s="148">
        <f t="shared" si="380"/>
        <v>0</v>
      </c>
      <c r="S129" s="148">
        <f t="shared" si="380"/>
        <v>0</v>
      </c>
      <c r="T129" s="101" t="e">
        <f t="shared" si="186"/>
        <v>#DIV/0!</v>
      </c>
      <c r="U129" s="10"/>
      <c r="V129" s="148">
        <f t="shared" ref="V129:AE129" si="381">V47/V25</f>
        <v>0</v>
      </c>
      <c r="W129" s="148">
        <f t="shared" si="381"/>
        <v>0</v>
      </c>
      <c r="X129" s="148">
        <f t="shared" si="381"/>
        <v>0</v>
      </c>
      <c r="Y129" s="148">
        <f t="shared" si="381"/>
        <v>0</v>
      </c>
      <c r="Z129" s="148">
        <f t="shared" si="381"/>
        <v>0</v>
      </c>
      <c r="AA129" s="148">
        <f t="shared" si="381"/>
        <v>0</v>
      </c>
      <c r="AB129" s="148">
        <f t="shared" si="381"/>
        <v>0</v>
      </c>
      <c r="AC129" s="148">
        <f t="shared" si="381"/>
        <v>0</v>
      </c>
      <c r="AD129" s="148">
        <f t="shared" si="381"/>
        <v>0</v>
      </c>
      <c r="AE129" s="148">
        <f t="shared" si="381"/>
        <v>0</v>
      </c>
      <c r="AF129" s="116" t="e">
        <f>((AE129/I129)^(1/($AE$3-$J$1) ))-1</f>
        <v>#DIV/0!</v>
      </c>
      <c r="AG129" s="124"/>
      <c r="AH129" s="124"/>
    </row>
    <row r="130" spans="1:34" ht="12" customHeight="1">
      <c r="A130" s="301"/>
      <c r="B130" s="179" t="s">
        <v>434</v>
      </c>
      <c r="C130" s="129"/>
      <c r="D130" s="129"/>
      <c r="E130" s="129"/>
      <c r="F130" s="129"/>
      <c r="G130" s="183" t="e">
        <f t="shared" ref="G130:H130" si="382">G55/G49</f>
        <v>#DIV/0!</v>
      </c>
      <c r="H130" s="183" t="e">
        <f t="shared" si="382"/>
        <v>#DIV/0!</v>
      </c>
      <c r="I130" s="183" t="e">
        <f t="shared" ref="I130:S130" si="383">I55/I49</f>
        <v>#DIV/0!</v>
      </c>
      <c r="J130" s="183" t="e">
        <f t="shared" si="383"/>
        <v>#DIV/0!</v>
      </c>
      <c r="K130" s="183" t="e">
        <f t="shared" si="383"/>
        <v>#DIV/0!</v>
      </c>
      <c r="L130" s="183" t="e">
        <f t="shared" si="383"/>
        <v>#DIV/0!</v>
      </c>
      <c r="M130" s="183" t="e">
        <f t="shared" si="383"/>
        <v>#DIV/0!</v>
      </c>
      <c r="N130" s="183" t="e">
        <f t="shared" si="383"/>
        <v>#DIV/0!</v>
      </c>
      <c r="O130" s="183" t="e">
        <f t="shared" si="383"/>
        <v>#DIV/0!</v>
      </c>
      <c r="P130" s="183" t="e">
        <f t="shared" si="383"/>
        <v>#DIV/0!</v>
      </c>
      <c r="Q130" s="183" t="e">
        <f t="shared" si="383"/>
        <v>#DIV/0!</v>
      </c>
      <c r="R130" s="183" t="e">
        <f t="shared" si="383"/>
        <v>#DIV/0!</v>
      </c>
      <c r="S130" s="183" t="e">
        <f t="shared" si="383"/>
        <v>#DIV/0!</v>
      </c>
      <c r="T130" s="101" t="e">
        <f t="shared" si="186"/>
        <v>#DIV/0!</v>
      </c>
      <c r="U130" s="10"/>
      <c r="V130" s="183" t="e">
        <f t="shared" ref="V130:AE130" si="384">V55/V49</f>
        <v>#DIV/0!</v>
      </c>
      <c r="W130" s="183" t="e">
        <f t="shared" si="384"/>
        <v>#DIV/0!</v>
      </c>
      <c r="X130" s="183" t="e">
        <f t="shared" si="384"/>
        <v>#DIV/0!</v>
      </c>
      <c r="Y130" s="183" t="e">
        <f t="shared" si="384"/>
        <v>#DIV/0!</v>
      </c>
      <c r="Z130" s="183" t="e">
        <f t="shared" si="384"/>
        <v>#DIV/0!</v>
      </c>
      <c r="AA130" s="183" t="e">
        <f t="shared" si="384"/>
        <v>#DIV/0!</v>
      </c>
      <c r="AB130" s="183" t="e">
        <f t="shared" si="384"/>
        <v>#DIV/0!</v>
      </c>
      <c r="AC130" s="183" t="e">
        <f t="shared" si="384"/>
        <v>#DIV/0!</v>
      </c>
      <c r="AD130" s="183" t="e">
        <f t="shared" si="384"/>
        <v>#DIV/0!</v>
      </c>
      <c r="AE130" s="183" t="e">
        <f t="shared" si="384"/>
        <v>#DIV/0!</v>
      </c>
      <c r="AF130" s="116" t="e">
        <f>((AE130/I130)^(1/($AE$3-$J$1) ))-1</f>
        <v>#DIV/0!</v>
      </c>
      <c r="AG130" s="124"/>
      <c r="AH130" s="124"/>
    </row>
    <row r="131" spans="1:34" ht="12" customHeight="1">
      <c r="A131" s="301"/>
      <c r="B131" s="179" t="s">
        <v>428</v>
      </c>
      <c r="C131" s="129"/>
      <c r="D131" s="129"/>
      <c r="E131" s="129"/>
      <c r="F131" s="129"/>
      <c r="G131" s="148" t="e">
        <f t="shared" ref="G131:H131" si="385">G55/G43</f>
        <v>#DIV/0!</v>
      </c>
      <c r="H131" s="148" t="e">
        <f t="shared" si="385"/>
        <v>#DIV/0!</v>
      </c>
      <c r="I131" s="148" t="e">
        <f t="shared" ref="I131:S131" si="386">I55/I43</f>
        <v>#DIV/0!</v>
      </c>
      <c r="J131" s="148" t="e">
        <f t="shared" si="386"/>
        <v>#DIV/0!</v>
      </c>
      <c r="K131" s="148" t="e">
        <f t="shared" si="386"/>
        <v>#DIV/0!</v>
      </c>
      <c r="L131" s="148" t="e">
        <f t="shared" si="386"/>
        <v>#DIV/0!</v>
      </c>
      <c r="M131" s="148" t="e">
        <f t="shared" si="386"/>
        <v>#DIV/0!</v>
      </c>
      <c r="N131" s="148" t="e">
        <f t="shared" si="386"/>
        <v>#DIV/0!</v>
      </c>
      <c r="O131" s="148" t="e">
        <f t="shared" si="386"/>
        <v>#DIV/0!</v>
      </c>
      <c r="P131" s="148" t="e">
        <f t="shared" si="386"/>
        <v>#DIV/0!</v>
      </c>
      <c r="Q131" s="148" t="e">
        <f t="shared" si="386"/>
        <v>#DIV/0!</v>
      </c>
      <c r="R131" s="148" t="e">
        <f t="shared" si="386"/>
        <v>#DIV/0!</v>
      </c>
      <c r="S131" s="148" t="e">
        <f t="shared" si="386"/>
        <v>#DIV/0!</v>
      </c>
      <c r="T131" s="101" t="e">
        <f t="shared" si="186"/>
        <v>#DIV/0!</v>
      </c>
      <c r="U131" s="10"/>
      <c r="V131" s="148" t="e">
        <f t="shared" ref="V131:AE131" si="387">V55/V43</f>
        <v>#DIV/0!</v>
      </c>
      <c r="W131" s="148" t="e">
        <f t="shared" si="387"/>
        <v>#DIV/0!</v>
      </c>
      <c r="X131" s="148" t="e">
        <f t="shared" si="387"/>
        <v>#DIV/0!</v>
      </c>
      <c r="Y131" s="148" t="e">
        <f t="shared" si="387"/>
        <v>#DIV/0!</v>
      </c>
      <c r="Z131" s="148" t="e">
        <f t="shared" si="387"/>
        <v>#DIV/0!</v>
      </c>
      <c r="AA131" s="148" t="e">
        <f t="shared" si="387"/>
        <v>#DIV/0!</v>
      </c>
      <c r="AB131" s="148" t="e">
        <f t="shared" si="387"/>
        <v>#DIV/0!</v>
      </c>
      <c r="AC131" s="148" t="e">
        <f t="shared" si="387"/>
        <v>#DIV/0!</v>
      </c>
      <c r="AD131" s="148" t="e">
        <f t="shared" si="387"/>
        <v>#DIV/0!</v>
      </c>
      <c r="AE131" s="148" t="e">
        <f t="shared" si="387"/>
        <v>#DIV/0!</v>
      </c>
      <c r="AF131" s="116" t="e">
        <f t="shared" si="366"/>
        <v>#DIV/0!</v>
      </c>
      <c r="AG131" s="124"/>
      <c r="AH131" s="124"/>
    </row>
    <row r="132" spans="1:34" ht="12" customHeight="1">
      <c r="A132" s="301"/>
      <c r="B132" s="179" t="s">
        <v>429</v>
      </c>
      <c r="C132" s="129"/>
      <c r="D132" s="129"/>
      <c r="E132" s="129"/>
      <c r="F132" s="129"/>
      <c r="G132" s="148" t="e">
        <f t="shared" ref="G132:H132" si="388">G55/(G36+G38)</f>
        <v>#DIV/0!</v>
      </c>
      <c r="H132" s="148" t="e">
        <f t="shared" si="388"/>
        <v>#DIV/0!</v>
      </c>
      <c r="I132" s="148" t="e">
        <f t="shared" ref="I132:S132" si="389">I55/(I36+I38)</f>
        <v>#DIV/0!</v>
      </c>
      <c r="J132" s="148" t="e">
        <f t="shared" si="389"/>
        <v>#DIV/0!</v>
      </c>
      <c r="K132" s="148" t="e">
        <f t="shared" si="389"/>
        <v>#DIV/0!</v>
      </c>
      <c r="L132" s="148" t="e">
        <f t="shared" si="389"/>
        <v>#DIV/0!</v>
      </c>
      <c r="M132" s="148" t="e">
        <f t="shared" si="389"/>
        <v>#DIV/0!</v>
      </c>
      <c r="N132" s="148" t="e">
        <f t="shared" si="389"/>
        <v>#DIV/0!</v>
      </c>
      <c r="O132" s="148" t="e">
        <f t="shared" si="389"/>
        <v>#DIV/0!</v>
      </c>
      <c r="P132" s="148" t="e">
        <f t="shared" si="389"/>
        <v>#DIV/0!</v>
      </c>
      <c r="Q132" s="148" t="e">
        <f t="shared" si="389"/>
        <v>#DIV/0!</v>
      </c>
      <c r="R132" s="148" t="e">
        <f t="shared" si="389"/>
        <v>#DIV/0!</v>
      </c>
      <c r="S132" s="148" t="e">
        <f t="shared" si="389"/>
        <v>#DIV/0!</v>
      </c>
      <c r="T132" s="101" t="e">
        <f t="shared" si="186"/>
        <v>#DIV/0!</v>
      </c>
      <c r="U132" s="10"/>
      <c r="V132" s="148" t="e">
        <f t="shared" ref="V132:AE132" si="390">V55/(V36+V38)</f>
        <v>#DIV/0!</v>
      </c>
      <c r="W132" s="148" t="e">
        <f t="shared" si="390"/>
        <v>#DIV/0!</v>
      </c>
      <c r="X132" s="148" t="e">
        <f t="shared" si="390"/>
        <v>#DIV/0!</v>
      </c>
      <c r="Y132" s="148" t="e">
        <f t="shared" si="390"/>
        <v>#DIV/0!</v>
      </c>
      <c r="Z132" s="148" t="e">
        <f t="shared" si="390"/>
        <v>#DIV/0!</v>
      </c>
      <c r="AA132" s="148" t="e">
        <f t="shared" si="390"/>
        <v>#DIV/0!</v>
      </c>
      <c r="AB132" s="148" t="e">
        <f t="shared" si="390"/>
        <v>#DIV/0!</v>
      </c>
      <c r="AC132" s="148" t="e">
        <f t="shared" si="390"/>
        <v>#DIV/0!</v>
      </c>
      <c r="AD132" s="148" t="e">
        <f t="shared" si="390"/>
        <v>#DIV/0!</v>
      </c>
      <c r="AE132" s="148" t="e">
        <f t="shared" si="390"/>
        <v>#DIV/0!</v>
      </c>
      <c r="AF132" s="116" t="e">
        <f t="shared" si="366"/>
        <v>#DIV/0!</v>
      </c>
      <c r="AG132" s="124"/>
      <c r="AH132" s="124"/>
    </row>
    <row r="133" spans="1:34" ht="12" customHeight="1">
      <c r="B133" s="10"/>
      <c r="C133" s="129"/>
      <c r="D133" s="129"/>
      <c r="E133" s="129"/>
      <c r="F133" s="129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10"/>
      <c r="U133" s="10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81"/>
      <c r="AG133" s="124"/>
      <c r="AH133" s="124"/>
    </row>
    <row r="134" spans="1:34">
      <c r="B134" s="10" t="s">
        <v>271</v>
      </c>
      <c r="C134" s="129"/>
      <c r="D134" s="129"/>
      <c r="E134" s="129"/>
      <c r="F134" s="129"/>
      <c r="G134" s="140">
        <f t="shared" ref="G134:H134" si="391">G10-(G12+G13)</f>
        <v>4431</v>
      </c>
      <c r="H134" s="140">
        <f t="shared" si="391"/>
        <v>0</v>
      </c>
      <c r="I134" s="140">
        <f t="shared" ref="I134:S134" si="392">I10-(I12+I13)</f>
        <v>0</v>
      </c>
      <c r="J134" s="140">
        <f t="shared" si="392"/>
        <v>0</v>
      </c>
      <c r="K134" s="140">
        <f t="shared" si="392"/>
        <v>0</v>
      </c>
      <c r="L134" s="140">
        <f t="shared" si="392"/>
        <v>4431</v>
      </c>
      <c r="M134" s="140">
        <f t="shared" si="392"/>
        <v>9403.99</v>
      </c>
      <c r="N134" s="140">
        <f t="shared" si="392"/>
        <v>23237</v>
      </c>
      <c r="O134" s="140">
        <f t="shared" si="392"/>
        <v>32746</v>
      </c>
      <c r="P134" s="140">
        <f t="shared" si="392"/>
        <v>35861</v>
      </c>
      <c r="Q134" s="140">
        <f t="shared" si="392"/>
        <v>38823</v>
      </c>
      <c r="R134" s="140">
        <f t="shared" si="392"/>
        <v>40171</v>
      </c>
      <c r="S134" s="140">
        <f t="shared" si="392"/>
        <v>48260.94</v>
      </c>
      <c r="T134" s="101">
        <f t="shared" si="186"/>
        <v>0.22018168582932862</v>
      </c>
      <c r="U134" s="10"/>
      <c r="V134" s="140">
        <f t="shared" ref="V134:AE134" si="393">V10-(V12+V13)</f>
        <v>54052.252800000002</v>
      </c>
      <c r="W134" s="140">
        <f t="shared" si="393"/>
        <v>60538.523136000011</v>
      </c>
      <c r="X134" s="140">
        <f t="shared" si="393"/>
        <v>67803.145912320018</v>
      </c>
      <c r="Y134" s="140">
        <f t="shared" si="393"/>
        <v>75939.523421798425</v>
      </c>
      <c r="Z134" s="140">
        <f t="shared" si="393"/>
        <v>85052.266232414258</v>
      </c>
      <c r="AA134" s="140">
        <f t="shared" si="393"/>
        <v>95258.538180303964</v>
      </c>
      <c r="AB134" s="140">
        <f t="shared" si="393"/>
        <v>106689.56276194045</v>
      </c>
      <c r="AC134" s="140">
        <f t="shared" si="393"/>
        <v>119492.31029337332</v>
      </c>
      <c r="AD134" s="140">
        <f t="shared" si="393"/>
        <v>133831.38752857811</v>
      </c>
      <c r="AE134" s="140">
        <f t="shared" si="393"/>
        <v>149891.1540320075</v>
      </c>
      <c r="AF134" s="116" t="e">
        <f t="shared" si="301"/>
        <v>#DIV/0!</v>
      </c>
      <c r="AG134" s="124"/>
      <c r="AH134" s="124"/>
    </row>
    <row r="135" spans="1:34" ht="12" customHeight="1">
      <c r="B135" s="10" t="s">
        <v>266</v>
      </c>
      <c r="C135" s="10"/>
      <c r="D135" s="10"/>
      <c r="E135" s="10"/>
      <c r="F135" s="10"/>
      <c r="G135" s="129">
        <f t="shared" ref="G135:H135" si="394">G55/G18</f>
        <v>2.967359050445104E-5</v>
      </c>
      <c r="H135" s="129" t="e">
        <f t="shared" si="394"/>
        <v>#DIV/0!</v>
      </c>
      <c r="I135" s="129" t="e">
        <f t="shared" ref="I135:S135" si="395">I55/I18</f>
        <v>#DIV/0!</v>
      </c>
      <c r="J135" s="129" t="e">
        <f t="shared" si="395"/>
        <v>#DIV/0!</v>
      </c>
      <c r="K135" s="129" t="e">
        <f t="shared" si="395"/>
        <v>#DIV/0!</v>
      </c>
      <c r="L135" s="129">
        <f t="shared" si="395"/>
        <v>2.967359050445104E-5</v>
      </c>
      <c r="M135" s="129">
        <f t="shared" si="395"/>
        <v>6.0997488338715468E-2</v>
      </c>
      <c r="N135" s="129">
        <f t="shared" si="395"/>
        <v>5.8648679547273354E-2</v>
      </c>
      <c r="O135" s="129">
        <f t="shared" si="395"/>
        <v>-1.8666160465704885E-2</v>
      </c>
      <c r="P135" s="129">
        <f t="shared" si="395"/>
        <v>-0.10296342134213421</v>
      </c>
      <c r="Q135" s="129">
        <f t="shared" si="395"/>
        <v>-6.2548529031144851E-3</v>
      </c>
      <c r="R135" s="129">
        <f t="shared" si="395"/>
        <v>-1.8079371769560107E-2</v>
      </c>
      <c r="S135" s="129">
        <f t="shared" si="395"/>
        <v>9.688603276607562E-3</v>
      </c>
      <c r="T135" s="101">
        <f t="shared" ref="T135:T167" si="396">((S135/G135)^(1/($J$2-$J$1) ))-1</f>
        <v>0.61991013585984667</v>
      </c>
      <c r="U135" s="10"/>
      <c r="V135" s="129">
        <f t="shared" ref="V135:AE135" si="397">V55/V18</f>
        <v>9.688603276607562E-3</v>
      </c>
      <c r="W135" s="129">
        <f t="shared" si="397"/>
        <v>9.688603276607562E-3</v>
      </c>
      <c r="X135" s="129">
        <f t="shared" si="397"/>
        <v>9.688603276607562E-3</v>
      </c>
      <c r="Y135" s="129">
        <f t="shared" si="397"/>
        <v>9.688603276607562E-3</v>
      </c>
      <c r="Z135" s="129">
        <f t="shared" si="397"/>
        <v>9.688603276607562E-3</v>
      </c>
      <c r="AA135" s="129">
        <f t="shared" si="397"/>
        <v>9.688603276607562E-3</v>
      </c>
      <c r="AB135" s="129">
        <f t="shared" si="397"/>
        <v>9.688603276607562E-3</v>
      </c>
      <c r="AC135" s="129">
        <f t="shared" si="397"/>
        <v>9.688603276607562E-3</v>
      </c>
      <c r="AD135" s="129">
        <f t="shared" si="397"/>
        <v>9.6886032766075603E-3</v>
      </c>
      <c r="AE135" s="129">
        <f t="shared" si="397"/>
        <v>9.6886032766075603E-3</v>
      </c>
      <c r="AF135" s="116" t="e">
        <f t="shared" si="301"/>
        <v>#DIV/0!</v>
      </c>
      <c r="AG135" s="10"/>
      <c r="AH135" s="10"/>
    </row>
    <row r="136" spans="1:34">
      <c r="B136" s="10" t="s">
        <v>267</v>
      </c>
      <c r="C136" s="10"/>
      <c r="D136" s="10"/>
      <c r="E136" s="10"/>
      <c r="F136" s="10"/>
      <c r="G136" s="129">
        <f t="shared" ref="G136:H136" si="398">G55/G25</f>
        <v>1</v>
      </c>
      <c r="H136" s="129" t="e">
        <f t="shared" si="398"/>
        <v>#DIV/0!</v>
      </c>
      <c r="I136" s="129" t="e">
        <f t="shared" ref="I136:S136" si="399">I55/I25</f>
        <v>#DIV/0!</v>
      </c>
      <c r="J136" s="129" t="e">
        <f t="shared" si="399"/>
        <v>#DIV/0!</v>
      </c>
      <c r="K136" s="129" t="e">
        <f t="shared" si="399"/>
        <v>#DIV/0!</v>
      </c>
      <c r="L136" s="129">
        <f t="shared" si="399"/>
        <v>1</v>
      </c>
      <c r="M136" s="129">
        <f t="shared" si="399"/>
        <v>0.36402569593147749</v>
      </c>
      <c r="N136" s="129">
        <f t="shared" si="399"/>
        <v>0.23827217835578263</v>
      </c>
      <c r="O136" s="129">
        <f t="shared" si="399"/>
        <v>-7.2091886608015646E-2</v>
      </c>
      <c r="P136" s="129">
        <f t="shared" si="399"/>
        <v>-0.42822419216471264</v>
      </c>
      <c r="Q136" s="129">
        <f t="shared" si="399"/>
        <v>-1.8131799424784295E-2</v>
      </c>
      <c r="R136" s="129">
        <f t="shared" si="399"/>
        <v>-4.1730670762928829E-2</v>
      </c>
      <c r="S136" s="129">
        <f t="shared" si="399"/>
        <v>1.920654268076908E-2</v>
      </c>
      <c r="T136" s="101">
        <f t="shared" si="396"/>
        <v>-0.28062705616865213</v>
      </c>
      <c r="U136" s="10"/>
      <c r="V136" s="129">
        <f t="shared" ref="V136:AE136" si="400">V55/V25</f>
        <v>1.920654268076908E-2</v>
      </c>
      <c r="W136" s="129">
        <f t="shared" si="400"/>
        <v>1.920654268076908E-2</v>
      </c>
      <c r="X136" s="129">
        <f t="shared" si="400"/>
        <v>1.9206542680769084E-2</v>
      </c>
      <c r="Y136" s="129">
        <f t="shared" si="400"/>
        <v>1.9206542680769084E-2</v>
      </c>
      <c r="Z136" s="129">
        <f t="shared" si="400"/>
        <v>1.9206542680769084E-2</v>
      </c>
      <c r="AA136" s="129">
        <f t="shared" si="400"/>
        <v>1.9206542680769087E-2</v>
      </c>
      <c r="AB136" s="129">
        <f t="shared" si="400"/>
        <v>1.9206542680769084E-2</v>
      </c>
      <c r="AC136" s="129">
        <f t="shared" si="400"/>
        <v>1.9206542680769084E-2</v>
      </c>
      <c r="AD136" s="129">
        <f t="shared" si="400"/>
        <v>1.9206542680769087E-2</v>
      </c>
      <c r="AE136" s="129">
        <f t="shared" si="400"/>
        <v>1.9206542680769084E-2</v>
      </c>
      <c r="AF136" s="116" t="e">
        <f t="shared" si="301"/>
        <v>#DIV/0!</v>
      </c>
      <c r="AG136" s="10"/>
      <c r="AH136" s="10"/>
    </row>
    <row r="137" spans="1:34">
      <c r="B137" s="10" t="s">
        <v>293</v>
      </c>
      <c r="C137" s="10"/>
      <c r="D137" s="10"/>
      <c r="E137" s="129"/>
      <c r="F137" s="129"/>
      <c r="G137" s="129">
        <f t="shared" ref="G137:H137" si="401">G25/G18</f>
        <v>2.967359050445104E-5</v>
      </c>
      <c r="H137" s="129" t="e">
        <f t="shared" si="401"/>
        <v>#DIV/0!</v>
      </c>
      <c r="I137" s="129" t="e">
        <f t="shared" ref="I137:S137" si="402">I25/I18</f>
        <v>#DIV/0!</v>
      </c>
      <c r="J137" s="129" t="e">
        <f t="shared" si="402"/>
        <v>#DIV/0!</v>
      </c>
      <c r="K137" s="129" t="e">
        <f t="shared" si="402"/>
        <v>#DIV/0!</v>
      </c>
      <c r="L137" s="129">
        <f t="shared" si="402"/>
        <v>2.967359050445104E-5</v>
      </c>
      <c r="M137" s="129">
        <f t="shared" si="402"/>
        <v>0.16756368855400072</v>
      </c>
      <c r="N137" s="129">
        <f t="shared" si="402"/>
        <v>0.24614153424031096</v>
      </c>
      <c r="O137" s="129">
        <f t="shared" si="402"/>
        <v>0.25892179195140469</v>
      </c>
      <c r="P137" s="129">
        <f t="shared" si="402"/>
        <v>0.24044279427942794</v>
      </c>
      <c r="Q137" s="129">
        <f t="shared" si="402"/>
        <v>0.34496592183590719</v>
      </c>
      <c r="R137" s="129">
        <f t="shared" si="402"/>
        <v>0.43323942412209676</v>
      </c>
      <c r="S137" s="129">
        <f t="shared" si="402"/>
        <v>0.50444285770954822</v>
      </c>
      <c r="T137" s="101">
        <f t="shared" si="396"/>
        <v>1.2518363385093112</v>
      </c>
      <c r="U137" s="10"/>
      <c r="V137" s="129">
        <f t="shared" ref="V137:AE137" si="403">V25/V18</f>
        <v>0.50444285770954822</v>
      </c>
      <c r="W137" s="129">
        <f t="shared" si="403"/>
        <v>0.50444285770954822</v>
      </c>
      <c r="X137" s="129">
        <f t="shared" si="403"/>
        <v>0.50444285770954811</v>
      </c>
      <c r="Y137" s="129">
        <f t="shared" si="403"/>
        <v>0.50444285770954811</v>
      </c>
      <c r="Z137" s="129">
        <f t="shared" si="403"/>
        <v>0.50444285770954811</v>
      </c>
      <c r="AA137" s="129">
        <f t="shared" si="403"/>
        <v>0.50444285770954811</v>
      </c>
      <c r="AB137" s="129">
        <f t="shared" si="403"/>
        <v>0.50444285770954811</v>
      </c>
      <c r="AC137" s="129">
        <f t="shared" si="403"/>
        <v>0.50444285770954811</v>
      </c>
      <c r="AD137" s="129">
        <f t="shared" si="403"/>
        <v>0.504442857709548</v>
      </c>
      <c r="AE137" s="129">
        <f t="shared" si="403"/>
        <v>0.504442857709548</v>
      </c>
      <c r="AF137" s="116" t="e">
        <f t="shared" si="301"/>
        <v>#DIV/0!</v>
      </c>
      <c r="AG137" s="10"/>
      <c r="AH137" s="10"/>
    </row>
    <row r="138" spans="1:34">
      <c r="B138" s="10"/>
      <c r="C138" s="10"/>
      <c r="D138" s="10"/>
      <c r="E138" s="10"/>
      <c r="F138" s="10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10"/>
      <c r="U138" s="10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10"/>
      <c r="AG138" s="10"/>
      <c r="AH138" s="10"/>
    </row>
    <row r="139" spans="1:34">
      <c r="B139" s="10" t="s">
        <v>279</v>
      </c>
      <c r="C139" s="10"/>
      <c r="D139" s="10"/>
      <c r="E139" s="142"/>
      <c r="F139" s="142"/>
      <c r="G139" s="142">
        <f t="shared" ref="G139:H139" si="404">G88*G57</f>
        <v>0</v>
      </c>
      <c r="H139" s="142">
        <f t="shared" si="404"/>
        <v>0</v>
      </c>
      <c r="I139" s="142">
        <f t="shared" ref="I139:S139" si="405">I88*I57</f>
        <v>0</v>
      </c>
      <c r="J139" s="142">
        <f t="shared" si="405"/>
        <v>0</v>
      </c>
      <c r="K139" s="142">
        <f t="shared" si="405"/>
        <v>0</v>
      </c>
      <c r="L139" s="142">
        <f t="shared" si="405"/>
        <v>0</v>
      </c>
      <c r="M139" s="142">
        <f t="shared" si="405"/>
        <v>0</v>
      </c>
      <c r="N139" s="142">
        <f t="shared" si="405"/>
        <v>0</v>
      </c>
      <c r="O139" s="142">
        <f t="shared" si="405"/>
        <v>0</v>
      </c>
      <c r="P139" s="142">
        <f t="shared" si="405"/>
        <v>0</v>
      </c>
      <c r="Q139" s="142">
        <f t="shared" si="405"/>
        <v>0</v>
      </c>
      <c r="R139" s="142">
        <f t="shared" si="405"/>
        <v>0</v>
      </c>
      <c r="S139" s="142">
        <f t="shared" si="405"/>
        <v>0</v>
      </c>
      <c r="T139" s="101" t="e">
        <f t="shared" si="396"/>
        <v>#DIV/0!</v>
      </c>
      <c r="U139" s="10"/>
      <c r="V139" s="142">
        <f t="shared" ref="V139:AE139" si="406">V88*V57</f>
        <v>0</v>
      </c>
      <c r="W139" s="142">
        <f t="shared" si="406"/>
        <v>0</v>
      </c>
      <c r="X139" s="142">
        <f t="shared" si="406"/>
        <v>0</v>
      </c>
      <c r="Y139" s="142">
        <f t="shared" si="406"/>
        <v>0</v>
      </c>
      <c r="Z139" s="142">
        <f t="shared" si="406"/>
        <v>0</v>
      </c>
      <c r="AA139" s="142">
        <f t="shared" si="406"/>
        <v>0</v>
      </c>
      <c r="AB139" s="142">
        <f t="shared" si="406"/>
        <v>0</v>
      </c>
      <c r="AC139" s="142">
        <f t="shared" si="406"/>
        <v>0</v>
      </c>
      <c r="AD139" s="142">
        <f t="shared" si="406"/>
        <v>0</v>
      </c>
      <c r="AE139" s="142">
        <f t="shared" si="406"/>
        <v>0</v>
      </c>
      <c r="AF139" s="116" t="e">
        <f t="shared" si="301"/>
        <v>#DIV/0!</v>
      </c>
      <c r="AG139" s="10"/>
      <c r="AH139" s="10"/>
    </row>
    <row r="140" spans="1:34">
      <c r="B140" s="10" t="s">
        <v>280</v>
      </c>
      <c r="C140" s="10"/>
      <c r="D140" s="10"/>
      <c r="E140" s="142"/>
      <c r="F140" s="142"/>
      <c r="G140" s="142">
        <f t="shared" ref="G140:H140" si="407">(G139*0.17)+G139</f>
        <v>0</v>
      </c>
      <c r="H140" s="142">
        <f t="shared" si="407"/>
        <v>0</v>
      </c>
      <c r="I140" s="142">
        <f t="shared" ref="I140:R140" si="408">(I139*0.17)+I139</f>
        <v>0</v>
      </c>
      <c r="J140" s="142">
        <f t="shared" si="408"/>
        <v>0</v>
      </c>
      <c r="K140" s="142">
        <f t="shared" si="408"/>
        <v>0</v>
      </c>
      <c r="L140" s="142">
        <f t="shared" si="408"/>
        <v>0</v>
      </c>
      <c r="M140" s="142">
        <f t="shared" si="408"/>
        <v>0</v>
      </c>
      <c r="N140" s="142">
        <f t="shared" si="408"/>
        <v>0</v>
      </c>
      <c r="O140" s="142">
        <f t="shared" si="408"/>
        <v>0</v>
      </c>
      <c r="P140" s="142">
        <f t="shared" si="408"/>
        <v>0</v>
      </c>
      <c r="Q140" s="142">
        <f t="shared" si="408"/>
        <v>0</v>
      </c>
      <c r="R140" s="142">
        <f t="shared" si="408"/>
        <v>0</v>
      </c>
      <c r="S140" s="142">
        <f t="shared" ref="S140" si="409">(S139*0.17)+S139</f>
        <v>0</v>
      </c>
      <c r="T140" s="101" t="e">
        <f t="shared" si="396"/>
        <v>#DIV/0!</v>
      </c>
      <c r="U140" s="10"/>
      <c r="V140" s="142">
        <f t="shared" ref="V140:AE140" si="410">(V139*0.17)+V139</f>
        <v>0</v>
      </c>
      <c r="W140" s="142">
        <f t="shared" si="410"/>
        <v>0</v>
      </c>
      <c r="X140" s="142">
        <f t="shared" si="410"/>
        <v>0</v>
      </c>
      <c r="Y140" s="142">
        <f t="shared" si="410"/>
        <v>0</v>
      </c>
      <c r="Z140" s="142">
        <f t="shared" si="410"/>
        <v>0</v>
      </c>
      <c r="AA140" s="142">
        <f t="shared" si="410"/>
        <v>0</v>
      </c>
      <c r="AB140" s="142">
        <f t="shared" si="410"/>
        <v>0</v>
      </c>
      <c r="AC140" s="142">
        <f t="shared" si="410"/>
        <v>0</v>
      </c>
      <c r="AD140" s="142">
        <f t="shared" si="410"/>
        <v>0</v>
      </c>
      <c r="AE140" s="142">
        <f t="shared" si="410"/>
        <v>0</v>
      </c>
      <c r="AF140" s="116" t="e">
        <f t="shared" si="301"/>
        <v>#DIV/0!</v>
      </c>
      <c r="AG140" s="10"/>
      <c r="AH140" s="10"/>
    </row>
    <row r="141" spans="1:34">
      <c r="B141" s="10" t="s">
        <v>281</v>
      </c>
      <c r="C141" s="10"/>
      <c r="D141" s="10"/>
      <c r="E141" s="10"/>
      <c r="F141" s="10"/>
      <c r="G141" s="129">
        <f t="shared" ref="G141:H141" si="411">G140/G55</f>
        <v>0</v>
      </c>
      <c r="H141" s="129" t="e">
        <f t="shared" si="411"/>
        <v>#DIV/0!</v>
      </c>
      <c r="I141" s="129" t="e">
        <f t="shared" ref="I141:S141" si="412">I140/I55</f>
        <v>#DIV/0!</v>
      </c>
      <c r="J141" s="129" t="e">
        <f t="shared" si="412"/>
        <v>#DIV/0!</v>
      </c>
      <c r="K141" s="129" t="e">
        <f t="shared" si="412"/>
        <v>#DIV/0!</v>
      </c>
      <c r="L141" s="129">
        <f t="shared" si="412"/>
        <v>0</v>
      </c>
      <c r="M141" s="129">
        <f t="shared" si="412"/>
        <v>0</v>
      </c>
      <c r="N141" s="129">
        <f t="shared" si="412"/>
        <v>0</v>
      </c>
      <c r="O141" s="129">
        <f t="shared" si="412"/>
        <v>0</v>
      </c>
      <c r="P141" s="129">
        <f t="shared" si="412"/>
        <v>0</v>
      </c>
      <c r="Q141" s="129">
        <f t="shared" si="412"/>
        <v>0</v>
      </c>
      <c r="R141" s="129">
        <f t="shared" si="412"/>
        <v>0</v>
      </c>
      <c r="S141" s="129">
        <f t="shared" si="412"/>
        <v>0</v>
      </c>
      <c r="T141" s="101" t="e">
        <f t="shared" si="396"/>
        <v>#DIV/0!</v>
      </c>
      <c r="U141" s="10"/>
      <c r="V141" s="129">
        <f t="shared" ref="V141:AE141" si="413">V140/V55</f>
        <v>0</v>
      </c>
      <c r="W141" s="129">
        <f t="shared" si="413"/>
        <v>0</v>
      </c>
      <c r="X141" s="129">
        <f t="shared" si="413"/>
        <v>0</v>
      </c>
      <c r="Y141" s="129">
        <f t="shared" si="413"/>
        <v>0</v>
      </c>
      <c r="Z141" s="129">
        <f t="shared" si="413"/>
        <v>0</v>
      </c>
      <c r="AA141" s="129">
        <f t="shared" si="413"/>
        <v>0</v>
      </c>
      <c r="AB141" s="129">
        <f t="shared" si="413"/>
        <v>0</v>
      </c>
      <c r="AC141" s="129">
        <f t="shared" si="413"/>
        <v>0</v>
      </c>
      <c r="AD141" s="129">
        <f t="shared" si="413"/>
        <v>0</v>
      </c>
      <c r="AE141" s="129">
        <f t="shared" si="413"/>
        <v>0</v>
      </c>
      <c r="AF141" s="116" t="e">
        <f t="shared" si="301"/>
        <v>#DIV/0!</v>
      </c>
      <c r="AG141" s="10"/>
      <c r="AH141" s="10"/>
    </row>
    <row r="142" spans="1:34">
      <c r="B142" s="10" t="s">
        <v>274</v>
      </c>
      <c r="C142" s="10"/>
      <c r="D142" s="10"/>
      <c r="E142" s="10"/>
      <c r="F142" s="10"/>
      <c r="G142" s="129">
        <f t="shared" ref="G142:H142" si="414">1-G141</f>
        <v>1</v>
      </c>
      <c r="H142" s="129" t="e">
        <f t="shared" si="414"/>
        <v>#DIV/0!</v>
      </c>
      <c r="I142" s="129" t="e">
        <f>1-I141</f>
        <v>#DIV/0!</v>
      </c>
      <c r="J142" s="129" t="e">
        <f t="shared" ref="J142:R142" si="415">1-J141</f>
        <v>#DIV/0!</v>
      </c>
      <c r="K142" s="129" t="e">
        <f t="shared" si="415"/>
        <v>#DIV/0!</v>
      </c>
      <c r="L142" s="129">
        <f t="shared" si="415"/>
        <v>1</v>
      </c>
      <c r="M142" s="129">
        <f t="shared" si="415"/>
        <v>1</v>
      </c>
      <c r="N142" s="129">
        <f t="shared" si="415"/>
        <v>1</v>
      </c>
      <c r="O142" s="129">
        <f t="shared" si="415"/>
        <v>1</v>
      </c>
      <c r="P142" s="129">
        <f t="shared" si="415"/>
        <v>1</v>
      </c>
      <c r="Q142" s="129">
        <f t="shared" si="415"/>
        <v>1</v>
      </c>
      <c r="R142" s="129">
        <f t="shared" si="415"/>
        <v>1</v>
      </c>
      <c r="S142" s="129">
        <f t="shared" ref="S142" si="416">1-S141</f>
        <v>1</v>
      </c>
      <c r="T142" s="101">
        <f t="shared" si="396"/>
        <v>0</v>
      </c>
      <c r="U142" s="10"/>
      <c r="V142" s="129">
        <f t="shared" ref="V142:AE142" si="417">1-V141</f>
        <v>1</v>
      </c>
      <c r="W142" s="129">
        <f t="shared" si="417"/>
        <v>1</v>
      </c>
      <c r="X142" s="129">
        <f t="shared" si="417"/>
        <v>1</v>
      </c>
      <c r="Y142" s="129">
        <f t="shared" si="417"/>
        <v>1</v>
      </c>
      <c r="Z142" s="129">
        <f t="shared" si="417"/>
        <v>1</v>
      </c>
      <c r="AA142" s="129">
        <f t="shared" si="417"/>
        <v>1</v>
      </c>
      <c r="AB142" s="129">
        <f t="shared" si="417"/>
        <v>1</v>
      </c>
      <c r="AC142" s="129">
        <f t="shared" si="417"/>
        <v>1</v>
      </c>
      <c r="AD142" s="129">
        <f t="shared" si="417"/>
        <v>1</v>
      </c>
      <c r="AE142" s="129">
        <f t="shared" si="417"/>
        <v>1</v>
      </c>
      <c r="AF142" s="116" t="e">
        <f t="shared" si="301"/>
        <v>#DIV/0!</v>
      </c>
      <c r="AG142" s="10"/>
      <c r="AH142" s="10"/>
    </row>
    <row r="143" spans="1:34">
      <c r="B143" s="10" t="s">
        <v>395</v>
      </c>
      <c r="C143" s="10"/>
      <c r="D143" s="10"/>
      <c r="E143" s="10"/>
      <c r="F143" s="10"/>
      <c r="G143" s="129">
        <f t="shared" ref="G143:H143" si="418">G140/G20</f>
        <v>0</v>
      </c>
      <c r="H143" s="129" t="e">
        <f t="shared" si="418"/>
        <v>#DIV/0!</v>
      </c>
      <c r="I143" s="129" t="e">
        <f t="shared" ref="I143:S143" si="419">I140/I20</f>
        <v>#DIV/0!</v>
      </c>
      <c r="J143" s="129" t="e">
        <f t="shared" si="419"/>
        <v>#DIV/0!</v>
      </c>
      <c r="K143" s="129" t="e">
        <f t="shared" si="419"/>
        <v>#DIV/0!</v>
      </c>
      <c r="L143" s="129">
        <f t="shared" si="419"/>
        <v>0</v>
      </c>
      <c r="M143" s="129">
        <f t="shared" si="419"/>
        <v>0</v>
      </c>
      <c r="N143" s="129">
        <f t="shared" si="419"/>
        <v>0</v>
      </c>
      <c r="O143" s="129">
        <f t="shared" si="419"/>
        <v>0</v>
      </c>
      <c r="P143" s="129">
        <f t="shared" si="419"/>
        <v>0</v>
      </c>
      <c r="Q143" s="129">
        <f t="shared" si="419"/>
        <v>0</v>
      </c>
      <c r="R143" s="129">
        <f t="shared" si="419"/>
        <v>0</v>
      </c>
      <c r="S143" s="129" t="e">
        <f t="shared" si="419"/>
        <v>#DIV/0!</v>
      </c>
      <c r="T143" s="101" t="e">
        <f t="shared" si="396"/>
        <v>#DIV/0!</v>
      </c>
      <c r="U143" s="10"/>
      <c r="V143" s="129" t="e">
        <f t="shared" ref="V143:AE143" si="420">V140/V20</f>
        <v>#DIV/0!</v>
      </c>
      <c r="W143" s="129" t="e">
        <f t="shared" si="420"/>
        <v>#DIV/0!</v>
      </c>
      <c r="X143" s="129" t="e">
        <f t="shared" si="420"/>
        <v>#DIV/0!</v>
      </c>
      <c r="Y143" s="129" t="e">
        <f t="shared" si="420"/>
        <v>#DIV/0!</v>
      </c>
      <c r="Z143" s="129" t="e">
        <f t="shared" si="420"/>
        <v>#DIV/0!</v>
      </c>
      <c r="AA143" s="129" t="e">
        <f t="shared" si="420"/>
        <v>#DIV/0!</v>
      </c>
      <c r="AB143" s="129" t="e">
        <f t="shared" si="420"/>
        <v>#DIV/0!</v>
      </c>
      <c r="AC143" s="129" t="e">
        <f t="shared" si="420"/>
        <v>#DIV/0!</v>
      </c>
      <c r="AD143" s="129" t="e">
        <f t="shared" si="420"/>
        <v>#DIV/0!</v>
      </c>
      <c r="AE143" s="129" t="e">
        <f t="shared" si="420"/>
        <v>#DIV/0!</v>
      </c>
      <c r="AF143" s="116" t="s">
        <v>396</v>
      </c>
      <c r="AG143" s="10"/>
      <c r="AH143" s="10"/>
    </row>
    <row r="144" spans="1:34">
      <c r="B144" s="10"/>
      <c r="C144" s="10"/>
      <c r="D144" s="10"/>
      <c r="E144" s="10"/>
      <c r="F144" s="10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10"/>
      <c r="U144" s="10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10"/>
      <c r="AG144" s="10"/>
      <c r="AH144" s="10"/>
    </row>
    <row r="145" spans="2:34">
      <c r="B145" s="10" t="s">
        <v>278</v>
      </c>
      <c r="C145" s="129"/>
      <c r="D145" s="129"/>
      <c r="E145" s="129"/>
      <c r="F145" s="129"/>
      <c r="G145" s="129">
        <f t="shared" ref="G145:H145" si="421">G31/G25</f>
        <v>0</v>
      </c>
      <c r="H145" s="129" t="e">
        <f t="shared" si="421"/>
        <v>#DIV/0!</v>
      </c>
      <c r="I145" s="129" t="e">
        <f t="shared" ref="I145:S145" si="422">I31/I25</f>
        <v>#DIV/0!</v>
      </c>
      <c r="J145" s="129" t="e">
        <f t="shared" si="422"/>
        <v>#DIV/0!</v>
      </c>
      <c r="K145" s="129" t="e">
        <f t="shared" si="422"/>
        <v>#DIV/0!</v>
      </c>
      <c r="L145" s="129">
        <f t="shared" si="422"/>
        <v>0</v>
      </c>
      <c r="M145" s="129">
        <f t="shared" si="422"/>
        <v>0</v>
      </c>
      <c r="N145" s="129">
        <f t="shared" si="422"/>
        <v>0</v>
      </c>
      <c r="O145" s="129">
        <f t="shared" si="422"/>
        <v>0</v>
      </c>
      <c r="P145" s="129">
        <f t="shared" si="422"/>
        <v>0</v>
      </c>
      <c r="Q145" s="129">
        <f t="shared" si="422"/>
        <v>0</v>
      </c>
      <c r="R145" s="129">
        <f t="shared" si="422"/>
        <v>0</v>
      </c>
      <c r="S145" s="129">
        <f t="shared" si="422"/>
        <v>0</v>
      </c>
      <c r="T145" s="101" t="e">
        <f t="shared" si="396"/>
        <v>#DIV/0!</v>
      </c>
      <c r="U145" s="10"/>
      <c r="V145" s="129">
        <f t="shared" ref="V145:AE145" si="423">V31/V25</f>
        <v>0</v>
      </c>
      <c r="W145" s="129">
        <f t="shared" si="423"/>
        <v>0</v>
      </c>
      <c r="X145" s="129">
        <f t="shared" si="423"/>
        <v>0</v>
      </c>
      <c r="Y145" s="129">
        <f t="shared" si="423"/>
        <v>0</v>
      </c>
      <c r="Z145" s="129">
        <f t="shared" si="423"/>
        <v>0</v>
      </c>
      <c r="AA145" s="129">
        <f t="shared" si="423"/>
        <v>0</v>
      </c>
      <c r="AB145" s="129">
        <f t="shared" si="423"/>
        <v>0</v>
      </c>
      <c r="AC145" s="129">
        <f t="shared" si="423"/>
        <v>0</v>
      </c>
      <c r="AD145" s="129">
        <f t="shared" si="423"/>
        <v>0</v>
      </c>
      <c r="AE145" s="129">
        <f t="shared" si="423"/>
        <v>0</v>
      </c>
      <c r="AF145" s="116" t="e">
        <f t="shared" si="301"/>
        <v>#DIV/0!</v>
      </c>
      <c r="AG145" s="10"/>
      <c r="AH145" s="10"/>
    </row>
    <row r="146" spans="2:34">
      <c r="B146" s="10" t="s">
        <v>275</v>
      </c>
      <c r="C146" s="129"/>
      <c r="D146" s="129"/>
      <c r="E146" s="129"/>
      <c r="F146" s="129"/>
      <c r="G146" s="129">
        <f t="shared" ref="G146:H146" si="424">G32/G25</f>
        <v>0</v>
      </c>
      <c r="H146" s="129" t="e">
        <f t="shared" si="424"/>
        <v>#DIV/0!</v>
      </c>
      <c r="I146" s="129" t="e">
        <f t="shared" ref="I146:S146" si="425">I32/I25</f>
        <v>#DIV/0!</v>
      </c>
      <c r="J146" s="129" t="e">
        <f t="shared" si="425"/>
        <v>#DIV/0!</v>
      </c>
      <c r="K146" s="129" t="e">
        <f t="shared" si="425"/>
        <v>#DIV/0!</v>
      </c>
      <c r="L146" s="129">
        <f t="shared" si="425"/>
        <v>0</v>
      </c>
      <c r="M146" s="129">
        <f t="shared" si="425"/>
        <v>0</v>
      </c>
      <c r="N146" s="129">
        <f t="shared" si="425"/>
        <v>0</v>
      </c>
      <c r="O146" s="129">
        <f t="shared" si="425"/>
        <v>0</v>
      </c>
      <c r="P146" s="129">
        <f t="shared" si="425"/>
        <v>0</v>
      </c>
      <c r="Q146" s="129">
        <f t="shared" si="425"/>
        <v>0</v>
      </c>
      <c r="R146" s="129">
        <f t="shared" si="425"/>
        <v>0</v>
      </c>
      <c r="S146" s="129">
        <f t="shared" si="425"/>
        <v>0</v>
      </c>
      <c r="T146" s="101" t="e">
        <f t="shared" si="396"/>
        <v>#DIV/0!</v>
      </c>
      <c r="U146" s="10"/>
      <c r="V146" s="129">
        <f t="shared" ref="V146:AE146" si="426">V32/V25</f>
        <v>0</v>
      </c>
      <c r="W146" s="129">
        <f t="shared" si="426"/>
        <v>0</v>
      </c>
      <c r="X146" s="129">
        <f t="shared" si="426"/>
        <v>0</v>
      </c>
      <c r="Y146" s="129">
        <f t="shared" si="426"/>
        <v>0</v>
      </c>
      <c r="Z146" s="129">
        <f t="shared" si="426"/>
        <v>0</v>
      </c>
      <c r="AA146" s="129">
        <f t="shared" si="426"/>
        <v>0</v>
      </c>
      <c r="AB146" s="129">
        <f t="shared" si="426"/>
        <v>0</v>
      </c>
      <c r="AC146" s="129">
        <f t="shared" si="426"/>
        <v>0</v>
      </c>
      <c r="AD146" s="129">
        <f t="shared" si="426"/>
        <v>0</v>
      </c>
      <c r="AE146" s="129">
        <f t="shared" si="426"/>
        <v>0</v>
      </c>
      <c r="AF146" s="116" t="e">
        <f t="shared" si="301"/>
        <v>#DIV/0!</v>
      </c>
      <c r="AG146" s="10"/>
      <c r="AH146" s="10"/>
    </row>
    <row r="147" spans="2:34">
      <c r="B147" s="10" t="s">
        <v>403</v>
      </c>
      <c r="C147" s="129"/>
      <c r="D147" s="129"/>
      <c r="E147" s="129"/>
      <c r="F147" s="129"/>
      <c r="G147" s="129">
        <f t="shared" ref="G147:H147" si="427">(G31+G32)/G25</f>
        <v>0</v>
      </c>
      <c r="H147" s="129" t="e">
        <f t="shared" si="427"/>
        <v>#DIV/0!</v>
      </c>
      <c r="I147" s="129" t="e">
        <f t="shared" ref="I147:S147" si="428">(I31+I32)/I25</f>
        <v>#DIV/0!</v>
      </c>
      <c r="J147" s="129" t="e">
        <f t="shared" si="428"/>
        <v>#DIV/0!</v>
      </c>
      <c r="K147" s="129" t="e">
        <f t="shared" si="428"/>
        <v>#DIV/0!</v>
      </c>
      <c r="L147" s="129">
        <f t="shared" si="428"/>
        <v>0</v>
      </c>
      <c r="M147" s="129">
        <f t="shared" si="428"/>
        <v>0</v>
      </c>
      <c r="N147" s="129">
        <f t="shared" si="428"/>
        <v>0</v>
      </c>
      <c r="O147" s="129">
        <f t="shared" si="428"/>
        <v>0</v>
      </c>
      <c r="P147" s="129">
        <f t="shared" si="428"/>
        <v>0</v>
      </c>
      <c r="Q147" s="129">
        <f t="shared" si="428"/>
        <v>0</v>
      </c>
      <c r="R147" s="129">
        <f t="shared" si="428"/>
        <v>0</v>
      </c>
      <c r="S147" s="129">
        <f t="shared" si="428"/>
        <v>0</v>
      </c>
      <c r="T147" s="101" t="e">
        <f t="shared" si="396"/>
        <v>#DIV/0!</v>
      </c>
      <c r="U147" s="10"/>
      <c r="V147" s="129">
        <f t="shared" ref="V147:AE147" si="429">(V31+V32)/V25</f>
        <v>0</v>
      </c>
      <c r="W147" s="129">
        <f t="shared" si="429"/>
        <v>0</v>
      </c>
      <c r="X147" s="129">
        <f t="shared" si="429"/>
        <v>0</v>
      </c>
      <c r="Y147" s="129">
        <f t="shared" si="429"/>
        <v>0</v>
      </c>
      <c r="Z147" s="129">
        <f t="shared" si="429"/>
        <v>0</v>
      </c>
      <c r="AA147" s="129">
        <f t="shared" si="429"/>
        <v>0</v>
      </c>
      <c r="AB147" s="129">
        <f t="shared" si="429"/>
        <v>0</v>
      </c>
      <c r="AC147" s="129">
        <f t="shared" si="429"/>
        <v>0</v>
      </c>
      <c r="AD147" s="129">
        <f t="shared" si="429"/>
        <v>0</v>
      </c>
      <c r="AE147" s="129">
        <f t="shared" si="429"/>
        <v>0</v>
      </c>
      <c r="AF147" s="116" t="e">
        <f t="shared" si="301"/>
        <v>#DIV/0!</v>
      </c>
      <c r="AG147" s="10"/>
      <c r="AH147" s="10"/>
    </row>
    <row r="148" spans="2:34">
      <c r="B148" s="10"/>
      <c r="C148" s="10"/>
      <c r="D148" s="10"/>
      <c r="E148" s="10"/>
      <c r="F148" s="10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10"/>
      <c r="U148" s="10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10"/>
      <c r="AG148" s="10"/>
      <c r="AH148" s="10"/>
    </row>
    <row r="149" spans="2:34">
      <c r="B149" s="10" t="s">
        <v>299</v>
      </c>
      <c r="C149" s="10"/>
      <c r="D149" s="10"/>
      <c r="E149" s="10"/>
      <c r="F149" s="10"/>
      <c r="G149" s="129">
        <f t="shared" ref="G149:H149" si="430">G27/G25</f>
        <v>1</v>
      </c>
      <c r="H149" s="129" t="e">
        <f t="shared" si="430"/>
        <v>#DIV/0!</v>
      </c>
      <c r="I149" s="129" t="e">
        <f t="shared" ref="I149:S149" si="431">I27/I25</f>
        <v>#DIV/0!</v>
      </c>
      <c r="J149" s="129" t="e">
        <f t="shared" si="431"/>
        <v>#DIV/0!</v>
      </c>
      <c r="K149" s="129" t="e">
        <f t="shared" si="431"/>
        <v>#DIV/0!</v>
      </c>
      <c r="L149" s="129">
        <f t="shared" si="431"/>
        <v>1</v>
      </c>
      <c r="M149" s="129">
        <f t="shared" si="431"/>
        <v>0.4089935760171306</v>
      </c>
      <c r="N149" s="129">
        <f t="shared" si="431"/>
        <v>0.42498838829540175</v>
      </c>
      <c r="O149" s="129">
        <f t="shared" si="431"/>
        <v>0.6754643206256109</v>
      </c>
      <c r="P149" s="129">
        <f t="shared" si="431"/>
        <v>0.83199885616242497</v>
      </c>
      <c r="Q149" s="129">
        <f t="shared" si="431"/>
        <v>0.69369763661373018</v>
      </c>
      <c r="R149" s="129">
        <f t="shared" si="431"/>
        <v>0.69964157706093189</v>
      </c>
      <c r="S149" s="129">
        <f t="shared" si="431"/>
        <v>0.65576219871820074</v>
      </c>
      <c r="T149" s="101">
        <f t="shared" si="396"/>
        <v>-3.4552049695533937E-2</v>
      </c>
      <c r="U149" s="10"/>
      <c r="V149" s="129">
        <f t="shared" ref="V149:AE149" si="432">V27/V25</f>
        <v>0.65576219871820074</v>
      </c>
      <c r="W149" s="129">
        <f t="shared" si="432"/>
        <v>0.65576219871820074</v>
      </c>
      <c r="X149" s="129">
        <f t="shared" si="432"/>
        <v>0.65576219871820085</v>
      </c>
      <c r="Y149" s="129">
        <f t="shared" si="432"/>
        <v>0.65576219871820085</v>
      </c>
      <c r="Z149" s="129">
        <f t="shared" si="432"/>
        <v>0.65576219871820096</v>
      </c>
      <c r="AA149" s="129">
        <f t="shared" si="432"/>
        <v>0.65576219871820096</v>
      </c>
      <c r="AB149" s="129">
        <f t="shared" si="432"/>
        <v>0.65576219871820085</v>
      </c>
      <c r="AC149" s="129">
        <f t="shared" si="432"/>
        <v>0.65576219871820085</v>
      </c>
      <c r="AD149" s="129">
        <f t="shared" si="432"/>
        <v>0.65576219871820096</v>
      </c>
      <c r="AE149" s="129">
        <f t="shared" si="432"/>
        <v>0.65576219871820096</v>
      </c>
      <c r="AF149" s="116" t="e">
        <f t="shared" si="301"/>
        <v>#DIV/0!</v>
      </c>
      <c r="AG149" s="10"/>
      <c r="AH149" s="10"/>
    </row>
    <row r="150" spans="2:34">
      <c r="B150" s="10" t="str">
        <f>B33</f>
        <v>Top Expenses ( Raw material )</v>
      </c>
      <c r="C150" s="10"/>
      <c r="D150" s="10"/>
      <c r="E150" s="10"/>
      <c r="F150" s="10"/>
      <c r="G150" s="129">
        <f t="shared" ref="G150:H150" si="433">G33/G25</f>
        <v>1</v>
      </c>
      <c r="H150" s="129" t="e">
        <f t="shared" si="433"/>
        <v>#DIV/0!</v>
      </c>
      <c r="I150" s="129" t="e">
        <f t="shared" ref="I150:S150" si="434">I33/I25</f>
        <v>#DIV/0!</v>
      </c>
      <c r="J150" s="129" t="e">
        <f t="shared" si="434"/>
        <v>#DIV/0!</v>
      </c>
      <c r="K150" s="129" t="e">
        <f t="shared" si="434"/>
        <v>#DIV/0!</v>
      </c>
      <c r="L150" s="129">
        <f t="shared" si="434"/>
        <v>1</v>
      </c>
      <c r="M150" s="129">
        <f t="shared" si="434"/>
        <v>8.1370449678800857E-4</v>
      </c>
      <c r="N150" s="129">
        <f t="shared" si="434"/>
        <v>4.6446818392940088E-3</v>
      </c>
      <c r="O150" s="129">
        <f t="shared" si="434"/>
        <v>1.0508308895405669E-2</v>
      </c>
      <c r="P150" s="129">
        <f t="shared" si="434"/>
        <v>9.4366599942808122E-3</v>
      </c>
      <c r="Q150" s="129">
        <f t="shared" si="434"/>
        <v>2.7885457046392396E-2</v>
      </c>
      <c r="R150" s="129">
        <f t="shared" si="434"/>
        <v>2.3195084485407066E-2</v>
      </c>
      <c r="S150" s="129">
        <f t="shared" si="434"/>
        <v>1.5884873982621003E-2</v>
      </c>
      <c r="T150" s="101">
        <f t="shared" si="396"/>
        <v>-0.29192056507943798</v>
      </c>
      <c r="U150" s="10"/>
      <c r="V150" s="129">
        <f t="shared" ref="V150:AE150" si="435">V33/V25</f>
        <v>1.5884873982621003E-2</v>
      </c>
      <c r="W150" s="129">
        <f t="shared" si="435"/>
        <v>1.5884873982621003E-2</v>
      </c>
      <c r="X150" s="129">
        <f t="shared" si="435"/>
        <v>1.5884873982621006E-2</v>
      </c>
      <c r="Y150" s="129">
        <f t="shared" si="435"/>
        <v>1.5884873982621006E-2</v>
      </c>
      <c r="Z150" s="129">
        <f t="shared" si="435"/>
        <v>1.588487398262101E-2</v>
      </c>
      <c r="AA150" s="129">
        <f t="shared" si="435"/>
        <v>1.588487398262101E-2</v>
      </c>
      <c r="AB150" s="129">
        <f t="shared" si="435"/>
        <v>1.588487398262101E-2</v>
      </c>
      <c r="AC150" s="129">
        <f t="shared" si="435"/>
        <v>1.5884873982621013E-2</v>
      </c>
      <c r="AD150" s="129">
        <f t="shared" si="435"/>
        <v>1.5884873982621013E-2</v>
      </c>
      <c r="AE150" s="129">
        <f t="shared" si="435"/>
        <v>1.5884873982621013E-2</v>
      </c>
      <c r="AF150" s="116" t="e">
        <f t="shared" si="301"/>
        <v>#DIV/0!</v>
      </c>
      <c r="AG150" s="10"/>
      <c r="AH150" s="10"/>
    </row>
    <row r="151" spans="2:34">
      <c r="B151" s="10" t="str">
        <f>B34</f>
        <v>2nd highest Expenses Comp. ( Power and Fuel )</v>
      </c>
      <c r="C151" s="10"/>
      <c r="D151" s="10"/>
      <c r="E151" s="10"/>
      <c r="F151" s="10"/>
      <c r="G151" s="129">
        <f t="shared" ref="G151:H151" si="436">G34/G25</f>
        <v>0</v>
      </c>
      <c r="H151" s="129" t="e">
        <f t="shared" si="436"/>
        <v>#DIV/0!</v>
      </c>
      <c r="I151" s="129" t="e">
        <f t="shared" ref="I151:S151" si="437">I34/I25</f>
        <v>#DIV/0!</v>
      </c>
      <c r="J151" s="129" t="e">
        <f t="shared" si="437"/>
        <v>#DIV/0!</v>
      </c>
      <c r="K151" s="129" t="e">
        <f t="shared" si="437"/>
        <v>#DIV/0!</v>
      </c>
      <c r="L151" s="129">
        <f t="shared" si="437"/>
        <v>0</v>
      </c>
      <c r="M151" s="129">
        <f t="shared" si="437"/>
        <v>0.35760171306209848</v>
      </c>
      <c r="N151" s="129">
        <f t="shared" si="437"/>
        <v>0.33488156061309798</v>
      </c>
      <c r="O151" s="129">
        <f t="shared" si="437"/>
        <v>0.5620723362658846</v>
      </c>
      <c r="P151" s="129">
        <f t="shared" si="437"/>
        <v>0</v>
      </c>
      <c r="Q151" s="129">
        <f t="shared" si="437"/>
        <v>0.5731524321620608</v>
      </c>
      <c r="R151" s="129">
        <f t="shared" si="437"/>
        <v>0.59462365591397848</v>
      </c>
      <c r="S151" s="129">
        <f t="shared" si="437"/>
        <v>0.57901152046553694</v>
      </c>
      <c r="T151" s="101" t="e">
        <f t="shared" si="396"/>
        <v>#DIV/0!</v>
      </c>
      <c r="U151" s="10"/>
      <c r="V151" s="129">
        <f t="shared" ref="V151:AE151" si="438">V34/V25</f>
        <v>0.57901152046553694</v>
      </c>
      <c r="W151" s="129">
        <f t="shared" si="438"/>
        <v>0.57901152046553706</v>
      </c>
      <c r="X151" s="129">
        <f t="shared" si="438"/>
        <v>0.57901152046553706</v>
      </c>
      <c r="Y151" s="129">
        <f t="shared" si="438"/>
        <v>0.57901152046553706</v>
      </c>
      <c r="Z151" s="129">
        <f t="shared" si="438"/>
        <v>0.57901152046553706</v>
      </c>
      <c r="AA151" s="129">
        <f t="shared" si="438"/>
        <v>0.57901152046553706</v>
      </c>
      <c r="AB151" s="129">
        <f t="shared" si="438"/>
        <v>0.57901152046553706</v>
      </c>
      <c r="AC151" s="129">
        <f t="shared" si="438"/>
        <v>0.57901152046553706</v>
      </c>
      <c r="AD151" s="129">
        <f t="shared" si="438"/>
        <v>0.57901152046553706</v>
      </c>
      <c r="AE151" s="129">
        <f t="shared" si="438"/>
        <v>0.57901152046553717</v>
      </c>
      <c r="AF151" s="116" t="e">
        <f t="shared" si="301"/>
        <v>#DIV/0!</v>
      </c>
      <c r="AG151" s="10"/>
      <c r="AH151" s="10"/>
    </row>
    <row r="152" spans="2:34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10"/>
      <c r="U152" s="110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17"/>
      <c r="AG152" s="10"/>
      <c r="AH152" s="10"/>
    </row>
    <row r="153" spans="2:34">
      <c r="B153" s="93" t="s">
        <v>307</v>
      </c>
      <c r="C153" s="10"/>
      <c r="D153" s="10"/>
      <c r="E153" s="10"/>
      <c r="F153" s="10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10"/>
      <c r="U153" s="110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16"/>
      <c r="AG153" s="10"/>
      <c r="AH153" s="10"/>
    </row>
    <row r="154" spans="2:34">
      <c r="B154" s="10" t="s">
        <v>310</v>
      </c>
      <c r="C154" s="10"/>
      <c r="D154" s="10"/>
      <c r="E154" s="10"/>
      <c r="F154" s="10"/>
      <c r="G154" s="15">
        <f t="shared" ref="G154:H154" si="439">G15/G9</f>
        <v>0.99288256227758009</v>
      </c>
      <c r="H154" s="15" t="e">
        <f t="shared" si="439"/>
        <v>#DIV/0!</v>
      </c>
      <c r="I154" s="15" t="e">
        <f t="shared" ref="I154:S154" si="440">I15/I9</f>
        <v>#DIV/0!</v>
      </c>
      <c r="J154" s="15" t="e">
        <f t="shared" si="440"/>
        <v>#DIV/0!</v>
      </c>
      <c r="K154" s="15" t="e">
        <f t="shared" si="440"/>
        <v>#DIV/0!</v>
      </c>
      <c r="L154" s="15">
        <f t="shared" si="440"/>
        <v>0.99288256227758009</v>
      </c>
      <c r="M154" s="15">
        <f t="shared" si="440"/>
        <v>0.31994645247657294</v>
      </c>
      <c r="N154" s="15">
        <f t="shared" si="440"/>
        <v>0.53884297520661162</v>
      </c>
      <c r="O154" s="15">
        <f t="shared" si="440"/>
        <v>0.56134244872591677</v>
      </c>
      <c r="P154" s="15">
        <f t="shared" si="440"/>
        <v>0.32796486090775989</v>
      </c>
      <c r="Q154" s="15">
        <f t="shared" si="440"/>
        <v>0.31691240242844754</v>
      </c>
      <c r="R154" s="15">
        <f t="shared" si="440"/>
        <v>0.54631915866483771</v>
      </c>
      <c r="S154" s="15">
        <f t="shared" si="440"/>
        <v>0.94886273262287257</v>
      </c>
      <c r="T154" s="101">
        <f t="shared" si="396"/>
        <v>-3.7718891173150748E-3</v>
      </c>
      <c r="U154" s="10"/>
      <c r="V154" s="10">
        <f t="shared" ref="V154:AE154" si="441">V15/V9</f>
        <v>0.94886273262287257</v>
      </c>
      <c r="W154" s="10">
        <f t="shared" si="441"/>
        <v>0.94886273262287268</v>
      </c>
      <c r="X154" s="10">
        <f t="shared" si="441"/>
        <v>0.9488627326228728</v>
      </c>
      <c r="Y154" s="10">
        <f t="shared" si="441"/>
        <v>0.9488627326228728</v>
      </c>
      <c r="Z154" s="10">
        <f t="shared" si="441"/>
        <v>0.9488627326228728</v>
      </c>
      <c r="AA154" s="10">
        <f t="shared" si="441"/>
        <v>0.94886273262287268</v>
      </c>
      <c r="AB154" s="10">
        <f t="shared" si="441"/>
        <v>0.94886273262287268</v>
      </c>
      <c r="AC154" s="10">
        <f t="shared" si="441"/>
        <v>0.94886273262287268</v>
      </c>
      <c r="AD154" s="10">
        <f t="shared" si="441"/>
        <v>0.94886273262287268</v>
      </c>
      <c r="AE154" s="10">
        <f t="shared" si="441"/>
        <v>0.94886273262287268</v>
      </c>
      <c r="AF154" s="116" t="e">
        <f t="shared" si="301"/>
        <v>#DIV/0!</v>
      </c>
      <c r="AG154" s="10"/>
      <c r="AH154" s="10"/>
    </row>
    <row r="155" spans="2:34">
      <c r="B155" s="10" t="s">
        <v>300</v>
      </c>
      <c r="C155" s="10"/>
      <c r="D155" s="10"/>
      <c r="E155" s="10"/>
      <c r="F155" s="10"/>
      <c r="G155" s="15">
        <f t="shared" ref="G155:H155" si="442">G12/G9</f>
        <v>0.99288256227758009</v>
      </c>
      <c r="H155" s="15" t="e">
        <f t="shared" si="442"/>
        <v>#DIV/0!</v>
      </c>
      <c r="I155" s="15" t="e">
        <f t="shared" ref="I155:S155" si="443">I12/I9</f>
        <v>#DIV/0!</v>
      </c>
      <c r="J155" s="15" t="e">
        <f t="shared" si="443"/>
        <v>#DIV/0!</v>
      </c>
      <c r="K155" s="15" t="e">
        <f t="shared" si="443"/>
        <v>#DIV/0!</v>
      </c>
      <c r="L155" s="15">
        <f t="shared" si="443"/>
        <v>0.99288256227758009</v>
      </c>
      <c r="M155" s="15">
        <f t="shared" si="443"/>
        <v>0.7804551539491299</v>
      </c>
      <c r="N155" s="15">
        <f t="shared" si="443"/>
        <v>0.34573002754820936</v>
      </c>
      <c r="O155" s="15">
        <f t="shared" si="443"/>
        <v>0.40273461777501551</v>
      </c>
      <c r="P155" s="15">
        <f t="shared" si="443"/>
        <v>0.13974296404750286</v>
      </c>
      <c r="Q155" s="15">
        <f t="shared" si="443"/>
        <v>7.1986123156981788E-2</v>
      </c>
      <c r="R155" s="15">
        <f t="shared" si="443"/>
        <v>7.8280749885688158E-2</v>
      </c>
      <c r="S155" s="15">
        <f t="shared" si="443"/>
        <v>6.9031334499761413E-2</v>
      </c>
      <c r="T155" s="101">
        <f t="shared" si="396"/>
        <v>-0.19922157159290232</v>
      </c>
      <c r="U155" s="110"/>
      <c r="V155" s="10">
        <f t="shared" ref="V155:AE155" si="444">V12/V9</f>
        <v>6.9031334499761413E-2</v>
      </c>
      <c r="W155" s="10">
        <f t="shared" si="444"/>
        <v>6.9031334499761413E-2</v>
      </c>
      <c r="X155" s="10">
        <f t="shared" si="444"/>
        <v>6.9031334499761413E-2</v>
      </c>
      <c r="Y155" s="10">
        <f t="shared" si="444"/>
        <v>6.9031334499761399E-2</v>
      </c>
      <c r="Z155" s="10">
        <f t="shared" si="444"/>
        <v>6.9031334499761399E-2</v>
      </c>
      <c r="AA155" s="10">
        <f t="shared" si="444"/>
        <v>6.9031334499761399E-2</v>
      </c>
      <c r="AB155" s="10">
        <f t="shared" si="444"/>
        <v>6.9031334499761399E-2</v>
      </c>
      <c r="AC155" s="10">
        <f t="shared" si="444"/>
        <v>6.9031334499761399E-2</v>
      </c>
      <c r="AD155" s="10">
        <f t="shared" si="444"/>
        <v>6.9031334499761399E-2</v>
      </c>
      <c r="AE155" s="10">
        <f t="shared" si="444"/>
        <v>6.9031334499761399E-2</v>
      </c>
      <c r="AF155" s="101">
        <f t="shared" ref="AF155" si="445">((AE155/V155)^(1/($J$2-$J$1) ))-1</f>
        <v>0</v>
      </c>
      <c r="AG155" s="10"/>
      <c r="AH155" s="10"/>
    </row>
    <row r="156" spans="2:34">
      <c r="B156" s="10" t="s">
        <v>302</v>
      </c>
      <c r="C156" s="10"/>
      <c r="D156" s="10"/>
      <c r="E156" s="10"/>
      <c r="F156" s="10"/>
      <c r="G156" s="15">
        <f t="shared" ref="G156:H156" si="446">G25/360</f>
        <v>2.7777777777777779E-5</v>
      </c>
      <c r="H156" s="15">
        <f t="shared" si="446"/>
        <v>0</v>
      </c>
      <c r="I156" s="15">
        <f t="shared" ref="I156:S156" si="447">I25/360</f>
        <v>0</v>
      </c>
      <c r="J156" s="15">
        <f t="shared" si="447"/>
        <v>0</v>
      </c>
      <c r="K156" s="15">
        <f t="shared" si="447"/>
        <v>0</v>
      </c>
      <c r="L156" s="15">
        <f t="shared" si="447"/>
        <v>2.7777777777777779E-5</v>
      </c>
      <c r="M156" s="15">
        <f t="shared" si="447"/>
        <v>1.2972222222222223</v>
      </c>
      <c r="N156" s="15">
        <f t="shared" si="447"/>
        <v>5.9805555555555552</v>
      </c>
      <c r="O156" s="15">
        <f t="shared" si="447"/>
        <v>11.366666666666667</v>
      </c>
      <c r="P156" s="15">
        <f t="shared" si="447"/>
        <v>19.427777777777777</v>
      </c>
      <c r="Q156" s="15">
        <f t="shared" si="447"/>
        <v>44.427777777777777</v>
      </c>
      <c r="R156" s="15">
        <f t="shared" si="447"/>
        <v>54.25</v>
      </c>
      <c r="S156" s="15">
        <f t="shared" si="447"/>
        <v>70.647222222222226</v>
      </c>
      <c r="T156" s="101">
        <f t="shared" si="396"/>
        <v>2.4180871578399561</v>
      </c>
      <c r="U156" s="110"/>
      <c r="V156" s="15">
        <f t="shared" ref="V156:AE156" si="448">V25/360</f>
        <v>79.12488888888889</v>
      </c>
      <c r="W156" s="15">
        <f t="shared" si="448"/>
        <v>88.619875555555566</v>
      </c>
      <c r="X156" s="15">
        <f t="shared" si="448"/>
        <v>99.254260622222233</v>
      </c>
      <c r="Y156" s="15">
        <f t="shared" si="448"/>
        <v>111.16477189688891</v>
      </c>
      <c r="Z156" s="15">
        <f t="shared" si="448"/>
        <v>124.50454452451558</v>
      </c>
      <c r="AA156" s="15">
        <f t="shared" si="448"/>
        <v>139.44508986745745</v>
      </c>
      <c r="AB156" s="15">
        <f t="shared" si="448"/>
        <v>156.17850065155238</v>
      </c>
      <c r="AC156" s="15">
        <f t="shared" si="448"/>
        <v>174.91992072973866</v>
      </c>
      <c r="AD156" s="15">
        <f t="shared" si="448"/>
        <v>195.91031121730731</v>
      </c>
      <c r="AE156" s="15">
        <f t="shared" si="448"/>
        <v>219.41954856338421</v>
      </c>
      <c r="AF156" s="101">
        <f t="shared" ref="AF156:AF167" si="449">((AE156/V156)^(1/($J$2-$J$1) ))-1</f>
        <v>8.8713271415819861E-2</v>
      </c>
      <c r="AG156" s="10"/>
      <c r="AH156" s="10"/>
    </row>
    <row r="157" spans="2:34">
      <c r="B157" s="10" t="s">
        <v>301</v>
      </c>
      <c r="C157" s="10"/>
      <c r="D157" s="10"/>
      <c r="E157" s="10"/>
      <c r="F157" s="10"/>
      <c r="G157" s="15">
        <f t="shared" ref="G157:H157" si="450">G27/360</f>
        <v>2.7777777777777779E-5</v>
      </c>
      <c r="H157" s="15">
        <f t="shared" si="450"/>
        <v>0</v>
      </c>
      <c r="I157" s="15">
        <f t="shared" ref="I157:S157" si="451">I27/360</f>
        <v>0</v>
      </c>
      <c r="J157" s="15">
        <f t="shared" si="451"/>
        <v>0</v>
      </c>
      <c r="K157" s="15">
        <f t="shared" si="451"/>
        <v>0</v>
      </c>
      <c r="L157" s="15">
        <f t="shared" si="451"/>
        <v>2.7777777777777779E-5</v>
      </c>
      <c r="M157" s="15">
        <f t="shared" si="451"/>
        <v>0.53055555555555556</v>
      </c>
      <c r="N157" s="15">
        <f t="shared" si="451"/>
        <v>2.5416666666666665</v>
      </c>
      <c r="O157" s="15">
        <f t="shared" si="451"/>
        <v>7.677777777777778</v>
      </c>
      <c r="P157" s="15">
        <f t="shared" si="451"/>
        <v>16.163888888888888</v>
      </c>
      <c r="Q157" s="15">
        <f t="shared" si="451"/>
        <v>30.819444444444443</v>
      </c>
      <c r="R157" s="15">
        <f t="shared" si="451"/>
        <v>37.955555555555556</v>
      </c>
      <c r="S157" s="15">
        <f t="shared" si="451"/>
        <v>46.327777777777776</v>
      </c>
      <c r="T157" s="101">
        <f t="shared" si="396"/>
        <v>2.2999852404986036</v>
      </c>
      <c r="U157" s="110"/>
      <c r="V157" s="15">
        <f t="shared" ref="V157:AE157" si="452">V27/360</f>
        <v>51.887111111111111</v>
      </c>
      <c r="W157" s="15">
        <f t="shared" si="452"/>
        <v>58.113564444444457</v>
      </c>
      <c r="X157" s="15">
        <f t="shared" si="452"/>
        <v>65.087192177777794</v>
      </c>
      <c r="Y157" s="15">
        <f t="shared" si="452"/>
        <v>72.897655239111145</v>
      </c>
      <c r="Z157" s="15">
        <f t="shared" si="452"/>
        <v>81.64537386780448</v>
      </c>
      <c r="AA157" s="15">
        <f t="shared" si="452"/>
        <v>91.442818731941017</v>
      </c>
      <c r="AB157" s="15">
        <f t="shared" si="452"/>
        <v>102.41595697977395</v>
      </c>
      <c r="AC157" s="15">
        <f t="shared" si="452"/>
        <v>114.70587181734683</v>
      </c>
      <c r="AD157" s="15">
        <f t="shared" si="452"/>
        <v>128.47057643542846</v>
      </c>
      <c r="AE157" s="15">
        <f t="shared" si="452"/>
        <v>143.88704560767988</v>
      </c>
      <c r="AF157" s="101">
        <f t="shared" si="449"/>
        <v>8.8713271415819861E-2</v>
      </c>
      <c r="AG157" s="10"/>
      <c r="AH157" s="10"/>
    </row>
    <row r="158" spans="2:34">
      <c r="B158" s="10"/>
      <c r="C158" s="10"/>
      <c r="D158" s="10"/>
      <c r="E158" s="10"/>
      <c r="F158" s="10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10"/>
      <c r="U158" s="110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10"/>
      <c r="AG158" s="10"/>
      <c r="AH158" s="10"/>
    </row>
    <row r="159" spans="2:34">
      <c r="B159" s="10" t="s">
        <v>311</v>
      </c>
      <c r="C159" s="10"/>
      <c r="D159" s="10"/>
      <c r="E159" s="10"/>
      <c r="F159" s="10"/>
      <c r="G159" s="15">
        <f t="shared" ref="G159:H159" si="453">G10/G7</f>
        <v>2.1805069930069929</v>
      </c>
      <c r="H159" s="15" t="e">
        <f t="shared" si="453"/>
        <v>#DIV/0!</v>
      </c>
      <c r="I159" s="15" t="e">
        <f t="shared" ref="I159:S159" si="454">I10/I7</f>
        <v>#DIV/0!</v>
      </c>
      <c r="J159" s="15" t="e">
        <f t="shared" si="454"/>
        <v>#DIV/0!</v>
      </c>
      <c r="K159" s="15" t="e">
        <f t="shared" si="454"/>
        <v>#DIV/0!</v>
      </c>
      <c r="L159" s="15">
        <f t="shared" si="454"/>
        <v>2.1805069930069929</v>
      </c>
      <c r="M159" s="15">
        <f t="shared" si="454"/>
        <v>1.8293527172031845</v>
      </c>
      <c r="N159" s="15">
        <f t="shared" si="454"/>
        <v>3.8972482901224748</v>
      </c>
      <c r="O159" s="15">
        <f t="shared" si="454"/>
        <v>5.9601059427247147</v>
      </c>
      <c r="P159" s="15">
        <f t="shared" si="454"/>
        <v>8.7589098532494756</v>
      </c>
      <c r="Q159" s="15">
        <f t="shared" si="454"/>
        <v>6.0779458963778081</v>
      </c>
      <c r="R159" s="15">
        <f t="shared" si="454"/>
        <v>7.2299091544374567</v>
      </c>
      <c r="S159" s="15">
        <f t="shared" si="454"/>
        <v>6.6606561822125814</v>
      </c>
      <c r="T159" s="101">
        <f t="shared" si="396"/>
        <v>9.752215130283326E-2</v>
      </c>
      <c r="U159" s="110"/>
      <c r="V159" s="15">
        <f t="shared" ref="V159:AE159" si="455">V10/V7</f>
        <v>18.341493333333336</v>
      </c>
      <c r="W159" s="15">
        <f t="shared" si="455"/>
        <v>18.341493333333332</v>
      </c>
      <c r="X159" s="15">
        <f t="shared" si="455"/>
        <v>18.341493333333336</v>
      </c>
      <c r="Y159" s="15">
        <f t="shared" si="455"/>
        <v>18.341493333333332</v>
      </c>
      <c r="Z159" s="15">
        <f t="shared" si="455"/>
        <v>18.341493333333332</v>
      </c>
      <c r="AA159" s="15">
        <f t="shared" si="455"/>
        <v>18.341493333333332</v>
      </c>
      <c r="AB159" s="15">
        <f t="shared" si="455"/>
        <v>18.341493333333332</v>
      </c>
      <c r="AC159" s="15">
        <f t="shared" si="455"/>
        <v>18.341493333333332</v>
      </c>
      <c r="AD159" s="15">
        <f t="shared" si="455"/>
        <v>18.341493333333329</v>
      </c>
      <c r="AE159" s="15">
        <f t="shared" si="455"/>
        <v>18.341493333333329</v>
      </c>
      <c r="AF159" s="101">
        <f t="shared" si="449"/>
        <v>0</v>
      </c>
      <c r="AG159" s="10"/>
      <c r="AH159" s="10"/>
    </row>
    <row r="160" spans="2:34">
      <c r="B160" s="10" t="s">
        <v>303</v>
      </c>
      <c r="C160" s="10"/>
      <c r="D160" s="10"/>
      <c r="E160" s="10"/>
      <c r="F160" s="10"/>
      <c r="G160" s="15">
        <f t="shared" ref="G160:H160" si="456">G10/(G10+G7)</f>
        <v>0.68558471897760065</v>
      </c>
      <c r="H160" s="15" t="e">
        <f t="shared" si="456"/>
        <v>#DIV/0!</v>
      </c>
      <c r="I160" s="15" t="e">
        <f t="shared" ref="I160:S160" si="457">I10/(I10+I7)</f>
        <v>#DIV/0!</v>
      </c>
      <c r="J160" s="15" t="e">
        <f t="shared" si="457"/>
        <v>#DIV/0!</v>
      </c>
      <c r="K160" s="15" t="e">
        <f t="shared" si="457"/>
        <v>#DIV/0!</v>
      </c>
      <c r="L160" s="15">
        <f t="shared" si="457"/>
        <v>0.68558471897760065</v>
      </c>
      <c r="M160" s="15">
        <f t="shared" si="457"/>
        <v>0.6465622706141424</v>
      </c>
      <c r="N160" s="15">
        <f t="shared" si="457"/>
        <v>0.79580369612523949</v>
      </c>
      <c r="O160" s="15">
        <f t="shared" si="457"/>
        <v>0.85632402606668889</v>
      </c>
      <c r="P160" s="15">
        <f t="shared" si="457"/>
        <v>0.89752953813104186</v>
      </c>
      <c r="Q160" s="15">
        <f t="shared" si="457"/>
        <v>0.85871607177560405</v>
      </c>
      <c r="R160" s="15">
        <f t="shared" si="457"/>
        <v>0.8784919758852</v>
      </c>
      <c r="S160" s="15">
        <f t="shared" si="457"/>
        <v>0.86946287939120437</v>
      </c>
      <c r="T160" s="101">
        <f t="shared" si="396"/>
        <v>1.9997622971884343E-2</v>
      </c>
      <c r="U160" s="110"/>
      <c r="V160" s="15">
        <f t="shared" ref="V160:AE160" si="458">V10/(V10+V7)</f>
        <v>0.94829768401198944</v>
      </c>
      <c r="W160" s="15">
        <f t="shared" si="458"/>
        <v>0.94829768401198944</v>
      </c>
      <c r="X160" s="15">
        <f t="shared" si="458"/>
        <v>0.94829768401198944</v>
      </c>
      <c r="Y160" s="15">
        <f t="shared" si="458"/>
        <v>0.94829768401198944</v>
      </c>
      <c r="Z160" s="15">
        <f t="shared" si="458"/>
        <v>0.94829768401198944</v>
      </c>
      <c r="AA160" s="15">
        <f t="shared" si="458"/>
        <v>0.94829768401198933</v>
      </c>
      <c r="AB160" s="15">
        <f t="shared" si="458"/>
        <v>0.94829768401198944</v>
      </c>
      <c r="AC160" s="15">
        <f t="shared" si="458"/>
        <v>0.94829768401198944</v>
      </c>
      <c r="AD160" s="15">
        <f t="shared" si="458"/>
        <v>0.94829768401198944</v>
      </c>
      <c r="AE160" s="15">
        <f t="shared" si="458"/>
        <v>0.94829768401198944</v>
      </c>
      <c r="AF160" s="101">
        <f t="shared" si="449"/>
        <v>0</v>
      </c>
      <c r="AG160" s="10"/>
      <c r="AH160" s="10"/>
    </row>
    <row r="161" spans="2:34">
      <c r="B161" s="10"/>
      <c r="C161" s="10"/>
      <c r="D161" s="10"/>
      <c r="E161" s="10"/>
      <c r="F161" s="10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10"/>
      <c r="U161" s="110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15"/>
      <c r="AG161" s="10"/>
      <c r="AH161" s="10"/>
    </row>
    <row r="162" spans="2:34">
      <c r="B162" s="10" t="s">
        <v>308</v>
      </c>
      <c r="C162" s="10"/>
      <c r="D162" s="10"/>
      <c r="E162" s="10"/>
      <c r="F162" s="10"/>
      <c r="G162" s="15">
        <f t="shared" ref="G162:H162" si="459">G16</f>
        <v>413</v>
      </c>
      <c r="H162" s="15">
        <f t="shared" si="459"/>
        <v>0</v>
      </c>
      <c r="I162" s="15">
        <f t="shared" ref="I162:S162" si="460">I16</f>
        <v>0</v>
      </c>
      <c r="J162" s="15">
        <f t="shared" si="460"/>
        <v>0</v>
      </c>
      <c r="K162" s="15">
        <f t="shared" si="460"/>
        <v>0</v>
      </c>
      <c r="L162" s="15">
        <f t="shared" si="460"/>
        <v>413</v>
      </c>
      <c r="M162" s="15">
        <f t="shared" si="460"/>
        <v>894</v>
      </c>
      <c r="N162" s="15">
        <f t="shared" si="460"/>
        <v>-1091</v>
      </c>
      <c r="O162" s="15">
        <f t="shared" si="460"/>
        <v>61</v>
      </c>
      <c r="P162" s="15">
        <f t="shared" si="460"/>
        <v>-6191</v>
      </c>
      <c r="Q162" s="15">
        <f t="shared" si="460"/>
        <v>-3827</v>
      </c>
      <c r="R162" s="15">
        <f t="shared" si="460"/>
        <v>1480</v>
      </c>
      <c r="S162" s="15">
        <f t="shared" si="460"/>
        <v>5999</v>
      </c>
      <c r="T162" s="101">
        <f t="shared" si="396"/>
        <v>0.24981020804751353</v>
      </c>
      <c r="U162" s="110"/>
      <c r="V162" s="15">
        <f t="shared" ref="V162:AE162" si="461">V16</f>
        <v>6718.880000000001</v>
      </c>
      <c r="W162" s="15">
        <f t="shared" si="461"/>
        <v>7525.1456000000017</v>
      </c>
      <c r="X162" s="15">
        <f t="shared" si="461"/>
        <v>8428.163072000003</v>
      </c>
      <c r="Y162" s="15">
        <f t="shared" si="461"/>
        <v>9439.5426406400038</v>
      </c>
      <c r="Z162" s="15">
        <f t="shared" si="461"/>
        <v>10572.287757516806</v>
      </c>
      <c r="AA162" s="15">
        <f t="shared" si="461"/>
        <v>11840.962288418823</v>
      </c>
      <c r="AB162" s="15">
        <f t="shared" si="461"/>
        <v>13261.877763029082</v>
      </c>
      <c r="AC162" s="15">
        <f t="shared" si="461"/>
        <v>14853.303094592573</v>
      </c>
      <c r="AD162" s="15">
        <f t="shared" si="461"/>
        <v>16635.699465943682</v>
      </c>
      <c r="AE162" s="15">
        <f t="shared" si="461"/>
        <v>18631.983401856927</v>
      </c>
      <c r="AF162" s="101">
        <f t="shared" si="449"/>
        <v>8.8713271415819861E-2</v>
      </c>
      <c r="AG162" s="10"/>
      <c r="AH162" s="10"/>
    </row>
    <row r="163" spans="2:34">
      <c r="B163" s="10" t="s">
        <v>309</v>
      </c>
      <c r="C163" s="10"/>
      <c r="D163" s="10"/>
      <c r="E163" s="10"/>
      <c r="F163" s="10"/>
      <c r="G163" s="102">
        <f t="shared" ref="G163:H163" si="462">G162*365/G25</f>
        <v>15074500</v>
      </c>
      <c r="H163" s="102" t="e">
        <f t="shared" si="462"/>
        <v>#DIV/0!</v>
      </c>
      <c r="I163" s="102" t="e">
        <f t="shared" ref="I163:S163" si="463">I162*365/I25</f>
        <v>#DIV/0!</v>
      </c>
      <c r="J163" s="102" t="e">
        <f t="shared" si="463"/>
        <v>#DIV/0!</v>
      </c>
      <c r="K163" s="102" t="e">
        <f t="shared" si="463"/>
        <v>#DIV/0!</v>
      </c>
      <c r="L163" s="102">
        <f t="shared" si="463"/>
        <v>15074500</v>
      </c>
      <c r="M163" s="102">
        <f t="shared" si="463"/>
        <v>698.73661670235549</v>
      </c>
      <c r="N163" s="102">
        <f t="shared" si="463"/>
        <v>-184.95819786344634</v>
      </c>
      <c r="O163" s="102">
        <f t="shared" si="463"/>
        <v>5.4411045943304011</v>
      </c>
      <c r="P163" s="102">
        <f t="shared" si="463"/>
        <v>-323.09336574206463</v>
      </c>
      <c r="Q163" s="102">
        <f t="shared" si="463"/>
        <v>-87.336188570714015</v>
      </c>
      <c r="R163" s="102">
        <f t="shared" si="463"/>
        <v>27.660010240655403</v>
      </c>
      <c r="S163" s="102">
        <f t="shared" si="463"/>
        <v>86.094247631030555</v>
      </c>
      <c r="T163" s="101">
        <f t="shared" si="396"/>
        <v>-0.63435390897482979</v>
      </c>
      <c r="U163" s="110"/>
      <c r="V163" s="102">
        <f t="shared" ref="V163:AE163" si="464">V162*365/V25</f>
        <v>86.094247631030555</v>
      </c>
      <c r="W163" s="102">
        <f t="shared" si="464"/>
        <v>86.094247631030569</v>
      </c>
      <c r="X163" s="102">
        <f t="shared" si="464"/>
        <v>86.094247631030569</v>
      </c>
      <c r="Y163" s="102">
        <f t="shared" si="464"/>
        <v>86.094247631030569</v>
      </c>
      <c r="Z163" s="102">
        <f t="shared" si="464"/>
        <v>86.094247631030569</v>
      </c>
      <c r="AA163" s="102">
        <f t="shared" si="464"/>
        <v>86.094247631030584</v>
      </c>
      <c r="AB163" s="102">
        <f t="shared" si="464"/>
        <v>86.094247631030584</v>
      </c>
      <c r="AC163" s="102">
        <f t="shared" si="464"/>
        <v>86.094247631030569</v>
      </c>
      <c r="AD163" s="102">
        <f t="shared" si="464"/>
        <v>86.094247631030569</v>
      </c>
      <c r="AE163" s="102">
        <f t="shared" si="464"/>
        <v>86.094247631030584</v>
      </c>
      <c r="AF163" s="101">
        <f t="shared" si="449"/>
        <v>0</v>
      </c>
      <c r="AG163" s="10"/>
      <c r="AH163" s="10"/>
    </row>
    <row r="164" spans="2:34">
      <c r="B164" s="10" t="s">
        <v>312</v>
      </c>
      <c r="C164" s="10"/>
      <c r="D164" s="10"/>
      <c r="E164" s="10"/>
      <c r="F164" s="10"/>
      <c r="G164" s="112">
        <f t="shared" ref="G164:H164" si="465">G98/G29</f>
        <v>100</v>
      </c>
      <c r="H164" s="112" t="e">
        <f t="shared" si="465"/>
        <v>#DIV/0!</v>
      </c>
      <c r="I164" s="112" t="e">
        <f t="shared" ref="I164:S164" si="466">I98/I29</f>
        <v>#DIV/0!</v>
      </c>
      <c r="J164" s="112" t="e">
        <f t="shared" si="466"/>
        <v>#DIV/0!</v>
      </c>
      <c r="K164" s="112" t="e">
        <f t="shared" si="466"/>
        <v>#DIV/0!</v>
      </c>
      <c r="L164" s="112">
        <f t="shared" si="466"/>
        <v>100</v>
      </c>
      <c r="M164" s="112">
        <f t="shared" si="466"/>
        <v>2.9333655239014971E-2</v>
      </c>
      <c r="N164" s="112">
        <f t="shared" si="466"/>
        <v>2.3713263878090498E-2</v>
      </c>
      <c r="O164" s="112">
        <f t="shared" si="466"/>
        <v>8.2469221863991134E-3</v>
      </c>
      <c r="P164" s="112">
        <f t="shared" si="466"/>
        <v>2.3575512933344477E-3</v>
      </c>
      <c r="Q164" s="112">
        <f t="shared" si="466"/>
        <v>4.059537567231747E-3</v>
      </c>
      <c r="R164" s="112">
        <f t="shared" si="466"/>
        <v>3.6939579271295301E-3</v>
      </c>
      <c r="S164" s="112">
        <f t="shared" si="466"/>
        <v>4.3010796816452673E-3</v>
      </c>
      <c r="T164" s="101">
        <f t="shared" si="396"/>
        <v>-0.56735523077469141</v>
      </c>
      <c r="U164" s="110"/>
      <c r="V164" s="112">
        <f t="shared" ref="V164:AE164" si="467">V98/V29</f>
        <v>4.2167447859267331E-3</v>
      </c>
      <c r="W164" s="112">
        <f t="shared" si="467"/>
        <v>4.1340635156144438E-3</v>
      </c>
      <c r="X164" s="112">
        <f t="shared" si="467"/>
        <v>4.0530034466808281E-3</v>
      </c>
      <c r="Y164" s="112">
        <f t="shared" si="467"/>
        <v>3.9735327908635562E-3</v>
      </c>
      <c r="Z164" s="112">
        <f t="shared" si="467"/>
        <v>3.8956203831995661E-3</v>
      </c>
      <c r="AA164" s="112">
        <f t="shared" si="467"/>
        <v>3.8192356698034955E-3</v>
      </c>
      <c r="AB164" s="112">
        <f t="shared" si="467"/>
        <v>3.7443486958857798E-3</v>
      </c>
      <c r="AC164" s="112">
        <f t="shared" si="467"/>
        <v>3.6709300940056663E-3</v>
      </c>
      <c r="AD164" s="112">
        <f t="shared" si="467"/>
        <v>3.5989510725545747E-3</v>
      </c>
      <c r="AE164" s="112">
        <f t="shared" si="467"/>
        <v>3.528383404465269E-3</v>
      </c>
      <c r="AF164" s="101">
        <f t="shared" si="449"/>
        <v>-1.4742223947839528E-2</v>
      </c>
      <c r="AG164" s="10"/>
      <c r="AH164" s="10"/>
    </row>
    <row r="165" spans="2:34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10"/>
      <c r="U165" s="1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15"/>
      <c r="AG165" s="10"/>
      <c r="AH165" s="10"/>
    </row>
    <row r="166" spans="2:34">
      <c r="B166" s="10" t="s">
        <v>319</v>
      </c>
      <c r="C166" s="10"/>
      <c r="D166" s="10"/>
      <c r="E166" s="10"/>
      <c r="F166" s="10"/>
      <c r="G166" s="157" t="e">
        <f t="shared" ref="G166:H166" si="468">G25/G14</f>
        <v>#DIV/0!</v>
      </c>
      <c r="H166" s="157" t="e">
        <f t="shared" si="468"/>
        <v>#DIV/0!</v>
      </c>
      <c r="I166" s="157" t="e">
        <f t="shared" ref="I166:S166" si="469">I25/I14</f>
        <v>#DIV/0!</v>
      </c>
      <c r="J166" s="157" t="e">
        <f t="shared" si="469"/>
        <v>#DIV/0!</v>
      </c>
      <c r="K166" s="157" t="e">
        <f t="shared" si="469"/>
        <v>#DIV/0!</v>
      </c>
      <c r="L166" s="157" t="e">
        <f t="shared" si="469"/>
        <v>#DIV/0!</v>
      </c>
      <c r="M166" s="157">
        <f t="shared" si="469"/>
        <v>46.7</v>
      </c>
      <c r="N166" s="157">
        <f t="shared" si="469"/>
        <v>7.6077738515901059</v>
      </c>
      <c r="O166" s="157">
        <f t="shared" si="469"/>
        <v>4.9480048367593712</v>
      </c>
      <c r="P166" s="157">
        <f t="shared" si="469"/>
        <v>4.4977491961414788</v>
      </c>
      <c r="Q166" s="157">
        <f t="shared" si="469"/>
        <v>12.485558157689304</v>
      </c>
      <c r="R166" s="157">
        <f t="shared" si="469"/>
        <v>11.988950276243093</v>
      </c>
      <c r="S166" s="157">
        <f t="shared" si="469"/>
        <v>15.709079678814083</v>
      </c>
      <c r="T166" s="101" t="e">
        <f t="shared" si="396"/>
        <v>#DIV/0!</v>
      </c>
      <c r="U166" s="110"/>
      <c r="V166" s="10">
        <f t="shared" ref="V166:AE166" si="470">V25/V14</f>
        <v>15.709079678814083</v>
      </c>
      <c r="W166" s="10">
        <f t="shared" si="470"/>
        <v>15.709079678814083</v>
      </c>
      <c r="X166" s="10">
        <f t="shared" si="470"/>
        <v>15.70907967881408</v>
      </c>
      <c r="Y166" s="10">
        <f t="shared" si="470"/>
        <v>15.70907967881408</v>
      </c>
      <c r="Z166" s="10">
        <f t="shared" si="470"/>
        <v>15.70907967881408</v>
      </c>
      <c r="AA166" s="10">
        <f t="shared" si="470"/>
        <v>15.70907967881408</v>
      </c>
      <c r="AB166" s="10">
        <f t="shared" si="470"/>
        <v>15.709079678814078</v>
      </c>
      <c r="AC166" s="10">
        <f t="shared" si="470"/>
        <v>15.709079678814078</v>
      </c>
      <c r="AD166" s="10">
        <f t="shared" si="470"/>
        <v>15.709079678814076</v>
      </c>
      <c r="AE166" s="10">
        <f t="shared" si="470"/>
        <v>15.709079678814076</v>
      </c>
      <c r="AF166" s="101">
        <f t="shared" si="449"/>
        <v>0</v>
      </c>
      <c r="AG166" s="10"/>
      <c r="AH166" s="10"/>
    </row>
    <row r="167" spans="2:34">
      <c r="B167" s="10" t="s">
        <v>320</v>
      </c>
      <c r="C167" s="10"/>
      <c r="D167" s="10"/>
      <c r="E167" s="10"/>
      <c r="F167" s="10"/>
      <c r="G167" s="157" t="e">
        <f t="shared" ref="G167:H167" si="471">G27/G14</f>
        <v>#DIV/0!</v>
      </c>
      <c r="H167" s="157" t="e">
        <f t="shared" si="471"/>
        <v>#DIV/0!</v>
      </c>
      <c r="I167" s="157" t="e">
        <f t="shared" ref="I167:S167" si="472">I27/I14</f>
        <v>#DIV/0!</v>
      </c>
      <c r="J167" s="157" t="e">
        <f t="shared" si="472"/>
        <v>#DIV/0!</v>
      </c>
      <c r="K167" s="157" t="e">
        <f t="shared" si="472"/>
        <v>#DIV/0!</v>
      </c>
      <c r="L167" s="157" t="e">
        <f t="shared" si="472"/>
        <v>#DIV/0!</v>
      </c>
      <c r="M167" s="157">
        <f t="shared" si="472"/>
        <v>19.100000000000001</v>
      </c>
      <c r="N167" s="157">
        <f t="shared" si="472"/>
        <v>3.2332155477031801</v>
      </c>
      <c r="O167" s="157">
        <f t="shared" si="472"/>
        <v>3.3422007255139059</v>
      </c>
      <c r="P167" s="157">
        <f t="shared" si="472"/>
        <v>3.7421221864951768</v>
      </c>
      <c r="Q167" s="157">
        <f t="shared" si="472"/>
        <v>8.6612021857923498</v>
      </c>
      <c r="R167" s="157">
        <f t="shared" si="472"/>
        <v>8.3879680785758133</v>
      </c>
      <c r="S167" s="157">
        <f t="shared" si="472"/>
        <v>10.30142063001853</v>
      </c>
      <c r="T167" s="101" t="e">
        <f t="shared" si="396"/>
        <v>#DIV/0!</v>
      </c>
      <c r="U167" s="110"/>
      <c r="V167" s="10">
        <f t="shared" ref="V167:AE167" si="473">V27/V14</f>
        <v>10.301420630018528</v>
      </c>
      <c r="W167" s="10">
        <f t="shared" si="473"/>
        <v>10.30142063001853</v>
      </c>
      <c r="X167" s="10">
        <f t="shared" si="473"/>
        <v>10.30142063001853</v>
      </c>
      <c r="Y167" s="10">
        <f t="shared" si="473"/>
        <v>10.30142063001853</v>
      </c>
      <c r="Z167" s="10">
        <f t="shared" si="473"/>
        <v>10.30142063001853</v>
      </c>
      <c r="AA167" s="10">
        <f t="shared" si="473"/>
        <v>10.30142063001853</v>
      </c>
      <c r="AB167" s="10">
        <f t="shared" si="473"/>
        <v>10.301420630018528</v>
      </c>
      <c r="AC167" s="10">
        <f t="shared" si="473"/>
        <v>10.301420630018528</v>
      </c>
      <c r="AD167" s="10">
        <f t="shared" si="473"/>
        <v>10.301420630018528</v>
      </c>
      <c r="AE167" s="10">
        <f t="shared" si="473"/>
        <v>10.301420630018528</v>
      </c>
      <c r="AF167" s="101">
        <f t="shared" si="449"/>
        <v>0</v>
      </c>
      <c r="AG167" s="10"/>
      <c r="AH167" s="10"/>
    </row>
    <row r="168" spans="2:34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10"/>
      <c r="U168" s="110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15"/>
      <c r="AG168" s="10"/>
      <c r="AH168" s="10"/>
    </row>
    <row r="169" spans="2:34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414</v>
      </c>
      <c r="T169" s="13"/>
      <c r="U169" s="13" t="s">
        <v>415</v>
      </c>
      <c r="V169" s="105" t="s">
        <v>54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15"/>
      <c r="AG169" s="10"/>
      <c r="AH169" s="10"/>
    </row>
    <row r="170" spans="2:34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5"/>
      <c r="S170" s="112">
        <f>AVERAGE(O102:S102)</f>
        <v>-2.3435136026875432</v>
      </c>
      <c r="T170" s="137" t="e">
        <f>AVERAGE(I72:S72)</f>
        <v>#DIV/0!</v>
      </c>
      <c r="U170" s="137">
        <f>AVERAGE(I102:S102)</f>
        <v>-0.87898966266643763</v>
      </c>
      <c r="V170" s="171" t="s">
        <v>374</v>
      </c>
      <c r="W170" s="172" t="s">
        <v>375</v>
      </c>
      <c r="X170" s="10"/>
      <c r="Y170" s="10"/>
      <c r="Z170" s="10"/>
      <c r="AA170" s="10"/>
      <c r="AB170" s="10"/>
      <c r="AC170" s="10"/>
      <c r="AD170" s="10"/>
      <c r="AE170" s="10"/>
      <c r="AF170" s="115"/>
      <c r="AG170" s="10"/>
      <c r="AH170" s="10"/>
    </row>
    <row r="171" spans="2:34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18">
        <f>V171+W171</f>
        <v>67.229739482852864</v>
      </c>
      <c r="V171" s="112">
        <f>PV($C$1, ($AE$3-$V$3), 0, -AE72)</f>
        <v>1.8674927634125791</v>
      </c>
      <c r="W171" s="112">
        <f>PV($C$1, ($AE$3-$V$3), 0, -AH72)</f>
        <v>65.362246719440279</v>
      </c>
      <c r="X171" s="10"/>
      <c r="Y171" s="10"/>
      <c r="Z171" s="10"/>
      <c r="AA171" s="10"/>
      <c r="AB171" s="10"/>
      <c r="AC171" s="10"/>
      <c r="AD171" s="10"/>
      <c r="AE171" s="10"/>
      <c r="AF171" s="115"/>
      <c r="AG171" s="10"/>
      <c r="AH171" s="10"/>
    </row>
    <row r="172" spans="2:34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18">
        <f t="shared" ref="U172:U190" si="474">V172+W172</f>
        <v>368.65308575391043</v>
      </c>
      <c r="V172" s="112">
        <f>PV($C$1, ($AE$3-$V$3), 0, -AE74)</f>
        <v>10.240363493164178</v>
      </c>
      <c r="W172" s="112">
        <f>PV($C$1, ($AE$3-$V$3), 0, -AH74)</f>
        <v>358.41272226074625</v>
      </c>
      <c r="X172" s="10"/>
      <c r="Y172" s="10"/>
      <c r="Z172" s="10"/>
      <c r="AA172" s="10"/>
      <c r="AB172" s="10"/>
      <c r="AC172" s="10"/>
      <c r="AD172" s="10"/>
      <c r="AE172" s="10"/>
      <c r="AF172" s="115"/>
      <c r="AG172" s="10"/>
      <c r="AH172" s="10"/>
    </row>
    <row r="173" spans="2:34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18">
        <f t="shared" si="474"/>
        <v>556.30242177712751</v>
      </c>
      <c r="V173" s="112">
        <f>PV($C$1, ($AE$3-$V$3), 0, -AE75)</f>
        <v>15.452845049364653</v>
      </c>
      <c r="W173" s="112">
        <f>PV($C$1, ($AE$3-$V$3), 0, -AH75)</f>
        <v>540.84957672776284</v>
      </c>
      <c r="X173" s="10"/>
      <c r="Y173" s="10"/>
      <c r="Z173" s="10"/>
      <c r="AA173" s="10"/>
      <c r="AB173" s="10"/>
      <c r="AC173" s="10"/>
      <c r="AD173" s="10"/>
      <c r="AE173" s="10"/>
      <c r="AF173" s="115"/>
      <c r="AG173" s="10"/>
      <c r="AH173" s="10"/>
    </row>
    <row r="174" spans="2:34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18">
        <f t="shared" si="474"/>
        <v>6761.648114668109</v>
      </c>
      <c r="V174" s="112">
        <f>PV($C$1, ($AE$3-$V$3), 0, -AE76)</f>
        <v>187.82355874078078</v>
      </c>
      <c r="W174" s="112">
        <f>PV($C$1, ($AE$3-$V$3), 0, -AH76)</f>
        <v>6573.8245559273282</v>
      </c>
      <c r="X174" s="10"/>
      <c r="Y174" s="10"/>
      <c r="Z174" s="10"/>
      <c r="AA174" s="10"/>
      <c r="AB174" s="10"/>
      <c r="AC174" s="10"/>
      <c r="AD174" s="10"/>
      <c r="AE174" s="10"/>
      <c r="AF174" s="115"/>
      <c r="AG174" s="10"/>
      <c r="AH174" s="10"/>
    </row>
    <row r="175" spans="2:34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18">
        <f t="shared" si="474"/>
        <v>119.46326128217382</v>
      </c>
      <c r="V175" s="112">
        <f>PV($C$1, ($AE$3-$V$3), 0, -AE82)</f>
        <v>3.3184239245048284</v>
      </c>
      <c r="W175" s="112">
        <f>PV($C$1, ($AE$3-$V$3), 0, -AH82)</f>
        <v>116.14483735766899</v>
      </c>
      <c r="X175" s="10"/>
      <c r="Y175" s="10"/>
      <c r="Z175" s="10"/>
      <c r="AA175" s="10"/>
      <c r="AB175" s="10"/>
      <c r="AC175" s="10"/>
      <c r="AD175" s="10"/>
      <c r="AE175" s="10"/>
      <c r="AF175" s="115"/>
      <c r="AG175" s="10"/>
      <c r="AH175" s="10"/>
    </row>
    <row r="176" spans="2:34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18"/>
      <c r="V176" s="112"/>
      <c r="W176" s="10"/>
      <c r="X176" s="10"/>
      <c r="Y176" s="10"/>
      <c r="Z176" s="10"/>
      <c r="AA176" s="10"/>
      <c r="AB176" s="10"/>
      <c r="AC176" s="10"/>
      <c r="AD176" s="10"/>
      <c r="AE176" s="10"/>
      <c r="AF176" s="115"/>
      <c r="AG176" s="10"/>
      <c r="AH176" s="10"/>
    </row>
    <row r="177" spans="2:34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18">
        <f t="shared" si="474"/>
        <v>-6392.9950289141989</v>
      </c>
      <c r="V177" s="112">
        <f>PV($C$1, ($AE$3-$V$3), 0, -AE78)</f>
        <v>-177.5831952476166</v>
      </c>
      <c r="W177" s="112">
        <f>PV($C$1, ($AE$3-$V$3), 0, -$AH$78)</f>
        <v>-6215.4118336665824</v>
      </c>
      <c r="X177" s="10"/>
      <c r="Y177" s="10"/>
      <c r="Z177" s="10"/>
      <c r="AA177" s="10"/>
      <c r="AB177" s="10"/>
      <c r="AC177" s="10"/>
      <c r="AD177" s="10"/>
      <c r="AE177" s="10"/>
      <c r="AF177" s="115"/>
      <c r="AG177" s="10"/>
      <c r="AH177" s="10"/>
    </row>
    <row r="178" spans="2:34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18">
        <f t="shared" si="474"/>
        <v>-8123.5607516815417</v>
      </c>
      <c r="V178" s="112">
        <f>PV($C$1, ($AE$3-$V$3), 0, -AE79)</f>
        <v>-225.65446532448723</v>
      </c>
      <c r="W178" s="112">
        <f>PV($C$1, ($AE$3-$V$3), 0, -$AH$79)</f>
        <v>-7897.9062863570543</v>
      </c>
      <c r="X178" s="10"/>
      <c r="Y178" s="10"/>
      <c r="Z178" s="10"/>
      <c r="AA178" s="10"/>
      <c r="AB178" s="10"/>
      <c r="AC178" s="10"/>
      <c r="AD178" s="10"/>
      <c r="AE178" s="10"/>
      <c r="AF178" s="115"/>
      <c r="AG178" s="10"/>
      <c r="AH178" s="10"/>
    </row>
    <row r="179" spans="2:34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18">
        <f t="shared" si="474"/>
        <v>-6481.4914309930427</v>
      </c>
      <c r="V179" s="112">
        <f>PV($C$1, ($AE$3-$V$3), 0, -AE80)</f>
        <v>-180.04142863869563</v>
      </c>
      <c r="W179" s="112">
        <f>PV($C$1, ($AE$3-$V$3), 0, -$AH$80)</f>
        <v>-6301.4500023543469</v>
      </c>
      <c r="X179" s="10"/>
      <c r="Y179" s="10"/>
      <c r="Z179" s="10"/>
      <c r="AA179" s="10"/>
      <c r="AB179" s="10"/>
      <c r="AC179" s="10"/>
      <c r="AD179" s="10"/>
      <c r="AE179" s="10"/>
      <c r="AF179" s="115"/>
      <c r="AG179" s="10"/>
      <c r="AH179" s="10"/>
    </row>
    <row r="180" spans="2:34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18"/>
      <c r="V180" s="112"/>
      <c r="W180" s="10"/>
      <c r="X180" s="10"/>
      <c r="Y180" s="10"/>
      <c r="Z180" s="10"/>
      <c r="AA180" s="10"/>
      <c r="AB180" s="10"/>
      <c r="AC180" s="10"/>
      <c r="AD180" s="10"/>
      <c r="AE180" s="10"/>
      <c r="AF180" s="115"/>
      <c r="AG180" s="10"/>
      <c r="AH180" s="10"/>
    </row>
    <row r="181" spans="2:34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18">
        <f t="shared" si="474"/>
        <v>1642.0693206884982</v>
      </c>
      <c r="V181" s="112">
        <f>PV($C$1, ($AE$3-$V$3), 0, -AE85)</f>
        <v>45.613036685791613</v>
      </c>
      <c r="W181" s="112">
        <f>PV($C$1, ($AE$3-$V$3), 0, -AH85)</f>
        <v>1596.4562840027065</v>
      </c>
      <c r="X181" s="10"/>
      <c r="Y181" s="10"/>
      <c r="Z181" s="10"/>
      <c r="AA181" s="10"/>
      <c r="AB181" s="10"/>
      <c r="AC181" s="10"/>
      <c r="AD181" s="10"/>
      <c r="AE181" s="10"/>
      <c r="AF181" s="115"/>
      <c r="AG181" s="10"/>
      <c r="AH181" s="10"/>
    </row>
    <row r="182" spans="2:34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18">
        <f t="shared" si="474"/>
        <v>309.61698060127912</v>
      </c>
      <c r="V182" s="112">
        <f>PV($C$1, ($AE$3-$V$3), 0, -AE86)</f>
        <v>22.934591155650306</v>
      </c>
      <c r="W182" s="112">
        <f>PV($C$1, ($AE$3-$V$3), 0, -AH86)</f>
        <v>286.68238944562881</v>
      </c>
      <c r="X182" s="10"/>
      <c r="Y182" s="10"/>
      <c r="Z182" s="10"/>
      <c r="AA182" s="10"/>
      <c r="AB182" s="10"/>
      <c r="AC182" s="10"/>
      <c r="AD182" s="10"/>
      <c r="AE182" s="10"/>
      <c r="AF182" s="115"/>
      <c r="AG182" s="10"/>
      <c r="AH182" s="10"/>
    </row>
    <row r="183" spans="2:34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18"/>
      <c r="V183" s="112"/>
      <c r="W183" s="112"/>
      <c r="X183" s="10"/>
      <c r="Y183" s="10"/>
      <c r="Z183" s="10"/>
      <c r="AA183" s="10"/>
      <c r="AB183" s="10"/>
      <c r="AC183" s="10"/>
      <c r="AD183" s="10"/>
      <c r="AE183" s="10"/>
      <c r="AF183" s="115"/>
      <c r="AG183" s="10"/>
      <c r="AH183" s="10"/>
    </row>
    <row r="184" spans="2:34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18">
        <f t="shared" ref="U184" si="475">V184+W184</f>
        <v>48549.935051886052</v>
      </c>
      <c r="V184" s="112">
        <f>PV($C$1, ($AE$3-$V$3), 0, -AE12)</f>
        <v>1348.6093069968347</v>
      </c>
      <c r="W184" s="112">
        <f>PV($C$1, ($AE$3-$V$3), 0, -AH12)</f>
        <v>47201.325744889218</v>
      </c>
      <c r="X184" s="10"/>
      <c r="Y184" s="10"/>
      <c r="Z184" s="10"/>
      <c r="AA184" s="10"/>
      <c r="AB184" s="10"/>
      <c r="AC184" s="10"/>
      <c r="AD184" s="10"/>
      <c r="AE184" s="10"/>
      <c r="AF184" s="115"/>
      <c r="AG184" s="10"/>
      <c r="AH184" s="10"/>
    </row>
    <row r="185" spans="2:34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18">
        <f>V185+W185</f>
        <v>169.0516210588323</v>
      </c>
      <c r="V185" s="118">
        <f>V184/R57</f>
        <v>4.6958783627453418</v>
      </c>
      <c r="W185" s="118">
        <f>W184/R57</f>
        <v>164.35574269608696</v>
      </c>
      <c r="X185" s="10"/>
      <c r="Y185" s="10"/>
      <c r="Z185" s="10"/>
      <c r="AA185" s="10"/>
      <c r="AB185" s="10"/>
      <c r="AC185" s="10"/>
      <c r="AD185" s="10"/>
      <c r="AE185" s="10"/>
      <c r="AF185" s="115"/>
      <c r="AG185" s="10"/>
      <c r="AH185" s="10"/>
    </row>
    <row r="186" spans="2:34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18"/>
      <c r="V186" s="118"/>
      <c r="W186" s="118"/>
      <c r="X186" s="10"/>
      <c r="Y186" s="10"/>
      <c r="Z186" s="10"/>
      <c r="AA186" s="10"/>
      <c r="AB186" s="10"/>
      <c r="AC186" s="10"/>
      <c r="AD186" s="10"/>
      <c r="AE186" s="10"/>
      <c r="AF186" s="115"/>
      <c r="AG186" s="10"/>
      <c r="AH186" s="10"/>
    </row>
    <row r="187" spans="2:34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18"/>
      <c r="V187" s="112"/>
      <c r="W187" s="112"/>
      <c r="X187" s="10"/>
      <c r="Y187" s="10"/>
      <c r="Z187" s="10"/>
      <c r="AA187" s="10"/>
      <c r="AB187" s="10"/>
      <c r="AC187" s="10"/>
      <c r="AD187" s="10"/>
      <c r="AE187" s="10"/>
      <c r="AF187" s="115"/>
      <c r="AG187" s="10"/>
      <c r="AH187" s="10"/>
    </row>
    <row r="188" spans="2:34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18">
        <f t="shared" ref="U188" si="476">V188+W188</f>
        <v>0</v>
      </c>
      <c r="V188" s="112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0</v>
      </c>
      <c r="W188" s="112">
        <f>PV($C$1, ($AE$3-$V$3), 0, -AH88)</f>
        <v>0</v>
      </c>
      <c r="X188" s="10"/>
      <c r="Y188" s="10"/>
      <c r="Z188" s="10"/>
      <c r="AA188" s="10"/>
      <c r="AB188" s="10"/>
      <c r="AC188" s="10"/>
      <c r="AD188" s="10"/>
      <c r="AE188" s="10"/>
      <c r="AF188" s="115"/>
      <c r="AG188" s="10"/>
      <c r="AH188" s="10"/>
    </row>
    <row r="189" spans="2:34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18"/>
      <c r="V189" s="112"/>
      <c r="W189" s="112"/>
      <c r="X189" s="10"/>
      <c r="Y189" s="10"/>
      <c r="Z189" s="10"/>
      <c r="AA189" s="10"/>
      <c r="AB189" s="10"/>
      <c r="AC189" s="10"/>
      <c r="AD189" s="10"/>
      <c r="AE189" s="10"/>
      <c r="AF189" s="115"/>
      <c r="AG189" s="10"/>
      <c r="AH189" s="10"/>
    </row>
    <row r="190" spans="2:34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18">
        <f t="shared" si="474"/>
        <v>0</v>
      </c>
      <c r="V190" s="112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0</v>
      </c>
      <c r="W190" s="112">
        <f>PV($C$1, ($AE$3-$V$3), 0, -AH90)</f>
        <v>0</v>
      </c>
      <c r="X190" s="10"/>
      <c r="Y190" s="10"/>
      <c r="Z190" s="10"/>
      <c r="AA190" s="10"/>
      <c r="AB190" s="10"/>
      <c r="AC190" s="10"/>
      <c r="AD190" s="10"/>
      <c r="AE190" s="10"/>
      <c r="AF190" s="115"/>
      <c r="AG190" s="10"/>
      <c r="AH190" s="10"/>
    </row>
    <row r="191" spans="2:34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18"/>
      <c r="V191" s="112"/>
      <c r="W191" s="112"/>
      <c r="X191" s="10"/>
      <c r="Y191" s="10"/>
      <c r="Z191" s="10"/>
      <c r="AA191" s="10"/>
      <c r="AB191" s="10"/>
      <c r="AC191" s="10"/>
      <c r="AD191" s="10"/>
      <c r="AE191" s="10"/>
      <c r="AF191" s="115"/>
      <c r="AG191" s="10"/>
      <c r="AH191" s="10"/>
    </row>
    <row r="192" spans="2:34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18">
        <f t="shared" ref="U192:U195" si="477">V192+W192</f>
        <v>0</v>
      </c>
      <c r="V192" s="112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0</v>
      </c>
      <c r="W192" s="112">
        <f>PV($C$1, ($AE$3-$V$3), 0, -AH92)</f>
        <v>0</v>
      </c>
      <c r="X192" s="10"/>
      <c r="Y192" s="10"/>
      <c r="Z192" s="10"/>
      <c r="AA192" s="10"/>
      <c r="AB192" s="10"/>
      <c r="AC192" s="10"/>
      <c r="AD192" s="10"/>
      <c r="AE192" s="10"/>
      <c r="AF192" s="115"/>
      <c r="AG192" s="10"/>
      <c r="AH192" s="10"/>
    </row>
    <row r="193" spans="2:34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18">
        <f t="shared" si="477"/>
        <v>0</v>
      </c>
      <c r="V193" s="112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0</v>
      </c>
      <c r="W193" s="112">
        <f>PV($C$1, ($AE$3-$V$3), 0, -AH93)</f>
        <v>0</v>
      </c>
      <c r="X193" s="10"/>
      <c r="Y193" s="10"/>
      <c r="Z193" s="10"/>
      <c r="AA193" s="10"/>
      <c r="AB193" s="10"/>
      <c r="AC193" s="10"/>
      <c r="AD193" s="10"/>
      <c r="AE193" s="10"/>
      <c r="AF193" s="115"/>
      <c r="AG193" s="10"/>
      <c r="AH193" s="10"/>
    </row>
    <row r="194" spans="2:34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18">
        <f t="shared" si="477"/>
        <v>0</v>
      </c>
      <c r="V194" s="112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0</v>
      </c>
      <c r="W194" s="112">
        <f>PV($C$1, ($AE$3-$V$3), 0, -AH94)</f>
        <v>0</v>
      </c>
      <c r="X194" s="10"/>
      <c r="Y194" s="10"/>
      <c r="Z194" s="10"/>
      <c r="AA194" s="10"/>
      <c r="AB194" s="10"/>
      <c r="AC194" s="10"/>
      <c r="AD194" s="10"/>
      <c r="AE194" s="10"/>
      <c r="AF194" s="115"/>
      <c r="AG194" s="10"/>
      <c r="AH194" s="10"/>
    </row>
    <row r="195" spans="2:34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18">
        <f t="shared" si="477"/>
        <v>0</v>
      </c>
      <c r="V195" s="112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0</v>
      </c>
      <c r="W195" s="112">
        <f>PV($C$1, ($AE$3-$V$3), 0, -AH95)</f>
        <v>0</v>
      </c>
      <c r="X195" s="10"/>
      <c r="Y195" s="10"/>
      <c r="Z195" s="10"/>
      <c r="AA195" s="10"/>
      <c r="AB195" s="10"/>
      <c r="AC195" s="10"/>
      <c r="AD195" s="10"/>
      <c r="AE195" s="10"/>
      <c r="AF195" s="115"/>
      <c r="AG195" s="10"/>
      <c r="AH195" s="10"/>
    </row>
    <row r="196" spans="2:34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95">
        <f>U193+U194+U195</f>
        <v>0</v>
      </c>
      <c r="V196" s="95">
        <f t="shared" ref="V196:W196" si="478">V193+V194+V195</f>
        <v>0</v>
      </c>
      <c r="W196" s="95">
        <f t="shared" si="478"/>
        <v>0</v>
      </c>
      <c r="X196" s="10"/>
      <c r="Y196" s="10"/>
      <c r="Z196" s="10"/>
      <c r="AA196" s="10"/>
      <c r="AB196" s="10"/>
      <c r="AC196" s="10"/>
      <c r="AD196" s="10"/>
      <c r="AE196" s="10"/>
      <c r="AF196" s="115"/>
      <c r="AG196" s="10"/>
      <c r="AH196" s="10"/>
    </row>
    <row r="197" spans="2:34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18"/>
      <c r="V197" s="112"/>
      <c r="W197" s="112"/>
      <c r="X197" s="10"/>
      <c r="Y197" s="10"/>
      <c r="Z197" s="10"/>
      <c r="AA197" s="10"/>
      <c r="AB197" s="10"/>
      <c r="AC197" s="10"/>
      <c r="AD197" s="10"/>
      <c r="AE197" s="10"/>
      <c r="AF197" s="115"/>
      <c r="AG197" s="10"/>
      <c r="AH197" s="10"/>
    </row>
    <row r="198" spans="2:34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18">
        <f>V198+W198</f>
        <v>15.135243578652339</v>
      </c>
      <c r="V198" s="112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4.4306502737980527</v>
      </c>
      <c r="W198" s="112">
        <f>PV($C$1, ($AE$3-$V$3), 0, -AH96)</f>
        <v>10.704593304854287</v>
      </c>
      <c r="X198" s="10"/>
      <c r="Y198" s="10"/>
      <c r="Z198" s="10"/>
      <c r="AA198" s="10"/>
      <c r="AB198" s="10"/>
      <c r="AC198" s="10"/>
      <c r="AD198" s="10"/>
      <c r="AE198" s="10"/>
      <c r="AF198" s="115"/>
      <c r="AG198" s="10"/>
      <c r="AH198" s="10"/>
    </row>
    <row r="199" spans="2:34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60">
        <v>41729</v>
      </c>
      <c r="R199" s="10">
        <v>30</v>
      </c>
      <c r="S199" s="10"/>
      <c r="T199" s="10"/>
      <c r="U199" s="10"/>
      <c r="V199" s="104"/>
      <c r="W199" s="10"/>
      <c r="X199" s="10"/>
      <c r="Y199" s="10"/>
      <c r="Z199" s="10"/>
      <c r="AA199" s="10"/>
      <c r="AB199" s="10"/>
      <c r="AC199" s="10"/>
      <c r="AD199" s="10"/>
      <c r="AE199" s="10"/>
      <c r="AF199" s="115"/>
      <c r="AG199" s="10"/>
      <c r="AH199" s="10"/>
    </row>
    <row r="200" spans="2:34">
      <c r="B200" s="93" t="s">
        <v>209</v>
      </c>
      <c r="C200" s="10"/>
      <c r="D200" s="10"/>
      <c r="E200" s="10"/>
      <c r="F200" s="178" t="s">
        <v>413</v>
      </c>
      <c r="G200" s="173">
        <v>0</v>
      </c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3" t="s">
        <v>335</v>
      </c>
      <c r="R200" s="10">
        <v>29</v>
      </c>
      <c r="S200" s="10"/>
      <c r="T200" s="10" t="s">
        <v>514</v>
      </c>
      <c r="U200" s="13" t="s">
        <v>336</v>
      </c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15"/>
      <c r="AG200" s="10"/>
      <c r="AH200" s="10"/>
    </row>
    <row r="201" spans="2:34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100</v>
      </c>
      <c r="N201" s="12">
        <v>110</v>
      </c>
      <c r="O201" s="12">
        <v>62</v>
      </c>
      <c r="P201" s="12">
        <v>38</v>
      </c>
      <c r="Q201" s="12">
        <v>40</v>
      </c>
      <c r="R201" s="12">
        <v>52</v>
      </c>
      <c r="S201" s="12">
        <v>18</v>
      </c>
      <c r="T201" s="101" t="e">
        <f t="shared" ref="T201:T227" si="479">((S201/G201)^(1/($J$2-$J$1) ))-1</f>
        <v>#DIV/0!</v>
      </c>
      <c r="U201" s="21">
        <v>0</v>
      </c>
      <c r="V201" s="174">
        <v>50</v>
      </c>
      <c r="W201" s="102">
        <f t="shared" ref="W201:AE201" si="480">V201*(1+$U201)</f>
        <v>50</v>
      </c>
      <c r="X201" s="102">
        <f t="shared" si="480"/>
        <v>50</v>
      </c>
      <c r="Y201" s="102">
        <f t="shared" si="480"/>
        <v>50</v>
      </c>
      <c r="Z201" s="102">
        <f t="shared" si="480"/>
        <v>50</v>
      </c>
      <c r="AA201" s="102">
        <f t="shared" si="480"/>
        <v>50</v>
      </c>
      <c r="AB201" s="102">
        <f t="shared" si="480"/>
        <v>50</v>
      </c>
      <c r="AC201" s="102">
        <f t="shared" si="480"/>
        <v>50</v>
      </c>
      <c r="AD201" s="102">
        <f t="shared" si="480"/>
        <v>50</v>
      </c>
      <c r="AE201" s="102">
        <f t="shared" si="480"/>
        <v>50</v>
      </c>
      <c r="AF201" s="116" t="e">
        <f t="shared" ref="AF201:AF208" si="481">((AE201/I201)^(1/($AE$3-$J$1) ))-1</f>
        <v>#DIV/0!</v>
      </c>
      <c r="AG201" s="21">
        <f t="shared" ref="AG201:AG208" si="482">$N$1</f>
        <v>0.05</v>
      </c>
      <c r="AH201" s="109" t="e">
        <f t="shared" ref="AH201:AH212" si="483">(AE201*(1+AF201))/($C$1-AG201)</f>
        <v>#DIV/0!</v>
      </c>
    </row>
    <row r="202" spans="2:34">
      <c r="B202" s="10" t="s">
        <v>306</v>
      </c>
      <c r="C202" s="15"/>
      <c r="D202" s="15"/>
      <c r="E202" s="15"/>
      <c r="F202" s="15"/>
      <c r="G202" s="15">
        <f t="shared" ref="G202:H202" si="484">G201/G66</f>
        <v>0</v>
      </c>
      <c r="H202" s="15" t="e">
        <f t="shared" si="484"/>
        <v>#DIV/0!</v>
      </c>
      <c r="I202" s="15" t="e">
        <f t="shared" ref="I202:S202" si="485">I201/I66</f>
        <v>#DIV/0!</v>
      </c>
      <c r="J202" s="15" t="e">
        <f t="shared" si="485"/>
        <v>#DIV/0!</v>
      </c>
      <c r="K202" s="15" t="e">
        <f t="shared" si="485"/>
        <v>#DIV/0!</v>
      </c>
      <c r="L202" s="15">
        <f t="shared" si="485"/>
        <v>0</v>
      </c>
      <c r="M202" s="15">
        <f t="shared" si="485"/>
        <v>46.680942184154169</v>
      </c>
      <c r="N202" s="15">
        <f t="shared" si="485"/>
        <v>11.137947050627034</v>
      </c>
      <c r="O202" s="15">
        <f t="shared" si="485"/>
        <v>3.3030303030303028</v>
      </c>
      <c r="P202" s="15">
        <f t="shared" si="485"/>
        <v>1.298541607091793</v>
      </c>
      <c r="Q202" s="15">
        <f t="shared" si="485"/>
        <v>0.7177691634362886</v>
      </c>
      <c r="R202" s="15">
        <f t="shared" si="485"/>
        <v>0.76466359447004617</v>
      </c>
      <c r="S202" s="15">
        <f t="shared" si="485"/>
        <v>0.23595407541383243</v>
      </c>
      <c r="T202" s="101" t="e">
        <f t="shared" si="479"/>
        <v>#DIV/0!</v>
      </c>
      <c r="U202" s="110"/>
      <c r="V202" s="15">
        <f t="shared" ref="V202:AE202" si="486">V201/V66</f>
        <v>0.59690763125523072</v>
      </c>
      <c r="W202" s="15">
        <f t="shared" si="486"/>
        <v>0.5436123070360136</v>
      </c>
      <c r="X202" s="15">
        <f t="shared" si="486"/>
        <v>0.49507549390779815</v>
      </c>
      <c r="Y202" s="15">
        <f t="shared" si="486"/>
        <v>0.45087232480888761</v>
      </c>
      <c r="Z202" s="15">
        <f t="shared" si="486"/>
        <v>0.41061586723666549</v>
      </c>
      <c r="AA202" s="15">
        <f t="shared" si="486"/>
        <v>0.37395373623339173</v>
      </c>
      <c r="AB202" s="15">
        <f t="shared" si="486"/>
        <v>0.34056500978398169</v>
      </c>
      <c r="AC202" s="15">
        <f t="shared" si="486"/>
        <v>0.31015741962469762</v>
      </c>
      <c r="AD202" s="15">
        <f t="shared" si="486"/>
        <v>0.28246479287249249</v>
      </c>
      <c r="AE202" s="15">
        <f t="shared" si="486"/>
        <v>0.25724472208030569</v>
      </c>
      <c r="AF202" s="116" t="e">
        <f t="shared" ref="AF202" si="487">((AE202/I202)^(1/($AE$3-$J$1) ))-1</f>
        <v>#DIV/0!</v>
      </c>
      <c r="AG202" s="21">
        <f t="shared" si="482"/>
        <v>0.05</v>
      </c>
      <c r="AH202" s="109" t="e">
        <f t="shared" ref="AH202" si="488">(AE202*(1+AF202))/($C$1-AG202)</f>
        <v>#DIV/0!</v>
      </c>
    </row>
    <row r="203" spans="2:34">
      <c r="B203" s="10" t="s">
        <v>334</v>
      </c>
      <c r="C203" s="15"/>
      <c r="D203" s="15"/>
      <c r="E203" s="15"/>
      <c r="F203" s="15"/>
      <c r="G203" s="15">
        <f t="shared" ref="G203:H203" si="489">G201/G72</f>
        <v>0</v>
      </c>
      <c r="H203" s="15" t="e">
        <f t="shared" si="489"/>
        <v>#DIV/0!</v>
      </c>
      <c r="I203" s="15" t="e">
        <f t="shared" ref="I203:S203" si="490">I201/I72</f>
        <v>#DIV/0!</v>
      </c>
      <c r="J203" s="15" t="e">
        <f t="shared" si="490"/>
        <v>#DIV/0!</v>
      </c>
      <c r="K203" s="15" t="e">
        <f t="shared" si="490"/>
        <v>#DIV/0!</v>
      </c>
      <c r="L203" s="15">
        <f t="shared" si="490"/>
        <v>0</v>
      </c>
      <c r="M203" s="15">
        <f t="shared" si="490"/>
        <v>128.23529411764707</v>
      </c>
      <c r="N203" s="15">
        <f t="shared" si="490"/>
        <v>46.744639376218323</v>
      </c>
      <c r="O203" s="15">
        <f t="shared" si="490"/>
        <v>-45.816949152542371</v>
      </c>
      <c r="P203" s="15">
        <f t="shared" si="490"/>
        <v>-3.0323873121869784</v>
      </c>
      <c r="Q203" s="15">
        <f t="shared" si="490"/>
        <v>-39.58620689655173</v>
      </c>
      <c r="R203" s="15">
        <f t="shared" si="490"/>
        <v>-18.323779141104296</v>
      </c>
      <c r="S203" s="15">
        <f t="shared" si="490"/>
        <v>12.285088437602358</v>
      </c>
      <c r="T203" s="101" t="e">
        <f t="shared" si="479"/>
        <v>#DIV/0!</v>
      </c>
      <c r="U203" s="110"/>
      <c r="V203" s="102">
        <f t="shared" ref="V203:AE203" si="491">V201/V72</f>
        <v>31.07834872607739</v>
      </c>
      <c r="W203" s="102">
        <f t="shared" si="491"/>
        <v>28.303496161249047</v>
      </c>
      <c r="X203" s="102">
        <f t="shared" si="491"/>
        <v>25.776398289708951</v>
      </c>
      <c r="Y203" s="102">
        <f t="shared" si="491"/>
        <v>23.47493415669922</v>
      </c>
      <c r="Z203" s="102">
        <f t="shared" si="491"/>
        <v>21.378957892708218</v>
      </c>
      <c r="AA203" s="102">
        <f t="shared" si="491"/>
        <v>19.470122366573552</v>
      </c>
      <c r="AB203" s="102">
        <f t="shared" si="491"/>
        <v>17.731718583843772</v>
      </c>
      <c r="AC203" s="102">
        <f t="shared" si="491"/>
        <v>16.148529424572004</v>
      </c>
      <c r="AD203" s="102">
        <f t="shared" si="491"/>
        <v>14.706696440235218</v>
      </c>
      <c r="AE203" s="102">
        <f t="shared" si="491"/>
        <v>13.393598543785645</v>
      </c>
      <c r="AF203" s="116" t="e">
        <f t="shared" si="481"/>
        <v>#DIV/0!</v>
      </c>
      <c r="AG203" s="21">
        <f t="shared" si="482"/>
        <v>0.05</v>
      </c>
      <c r="AH203" s="109" t="e">
        <f t="shared" si="483"/>
        <v>#DIV/0!</v>
      </c>
    </row>
    <row r="204" spans="2:34">
      <c r="B204" s="10" t="s">
        <v>407</v>
      </c>
      <c r="C204" s="15"/>
      <c r="D204" s="15"/>
      <c r="E204" s="15"/>
      <c r="F204" s="15"/>
      <c r="G204" s="15">
        <f t="shared" ref="G204:H204" si="492">G201/G70</f>
        <v>0</v>
      </c>
      <c r="H204" s="15" t="e">
        <f t="shared" si="492"/>
        <v>#DIV/0!</v>
      </c>
      <c r="I204" s="15" t="e">
        <f t="shared" ref="I204:S204" si="493">I201/I70</f>
        <v>#DIV/0!</v>
      </c>
      <c r="J204" s="15" t="e">
        <f t="shared" si="493"/>
        <v>#DIV/0!</v>
      </c>
      <c r="K204" s="15" t="e">
        <f t="shared" si="493"/>
        <v>#DIV/0!</v>
      </c>
      <c r="L204" s="15">
        <f t="shared" si="493"/>
        <v>0</v>
      </c>
      <c r="M204" s="15">
        <f t="shared" si="493"/>
        <v>89.711934156378589</v>
      </c>
      <c r="N204" s="15">
        <f t="shared" si="493"/>
        <v>19.655737704918035</v>
      </c>
      <c r="O204" s="15">
        <f t="shared" si="493"/>
        <v>10.200754716981132</v>
      </c>
      <c r="P204" s="15">
        <f t="shared" si="493"/>
        <v>9.4702815432742451</v>
      </c>
      <c r="Q204" s="15">
        <f t="shared" si="493"/>
        <v>2.4571917808219177</v>
      </c>
      <c r="R204" s="15">
        <f t="shared" si="493"/>
        <v>2.8947237836790078</v>
      </c>
      <c r="S204" s="15">
        <f t="shared" si="493"/>
        <v>0.70170954162768939</v>
      </c>
      <c r="T204" s="101" t="e">
        <f t="shared" si="479"/>
        <v>#DIV/0!</v>
      </c>
      <c r="U204" s="110"/>
      <c r="V204" s="15">
        <f t="shared" ref="V204:AE204" si="494">V201/V70</f>
        <v>1.7751580666176663</v>
      </c>
      <c r="W204" s="15">
        <f t="shared" si="494"/>
        <v>1.6166618106696604</v>
      </c>
      <c r="X204" s="15">
        <f t="shared" si="494"/>
        <v>1.4723170061455833</v>
      </c>
      <c r="Y204" s="15">
        <f t="shared" si="494"/>
        <v>1.3408601305968706</v>
      </c>
      <c r="Z204" s="15">
        <f t="shared" si="494"/>
        <v>1.2211404760792923</v>
      </c>
      <c r="AA204" s="15">
        <f t="shared" si="494"/>
        <v>1.1121100764293557</v>
      </c>
      <c r="AB204" s="15">
        <f t="shared" si="494"/>
        <v>1.0128145338910202</v>
      </c>
      <c r="AC204" s="15">
        <f t="shared" si="494"/>
        <v>0.92238466479360759</v>
      </c>
      <c r="AD204" s="15">
        <f t="shared" si="494"/>
        <v>0.84002889115132118</v>
      </c>
      <c r="AE204" s="15">
        <f t="shared" si="494"/>
        <v>0.76502631158423895</v>
      </c>
      <c r="AF204" s="116" t="e">
        <f t="shared" ref="AF204:AF205" si="495">((AE204/I204)^(1/($AE$3-$J$1) ))-1</f>
        <v>#DIV/0!</v>
      </c>
      <c r="AG204" s="21">
        <f t="shared" si="482"/>
        <v>0.05</v>
      </c>
      <c r="AH204" s="109" t="e">
        <f t="shared" ref="AH204:AH205" si="496">(AE204*(1+AF204))/($C$1-AG204)</f>
        <v>#DIV/0!</v>
      </c>
    </row>
    <row r="205" spans="2:34">
      <c r="B205" s="10" t="s">
        <v>408</v>
      </c>
      <c r="C205" s="15"/>
      <c r="D205" s="15"/>
      <c r="E205" s="15"/>
      <c r="F205" s="15"/>
      <c r="G205" s="15">
        <f t="shared" ref="G205:H205" si="497">G201/G71</f>
        <v>0</v>
      </c>
      <c r="H205" s="15" t="e">
        <f t="shared" si="497"/>
        <v>#DIV/0!</v>
      </c>
      <c r="I205" s="15" t="e">
        <f t="shared" ref="I205:S205" si="498">I201/I71</f>
        <v>#DIV/0!</v>
      </c>
      <c r="J205" s="15" t="e">
        <f t="shared" si="498"/>
        <v>#DIV/0!</v>
      </c>
      <c r="K205" s="15" t="e">
        <f t="shared" si="498"/>
        <v>#DIV/0!</v>
      </c>
      <c r="L205" s="15">
        <f t="shared" si="498"/>
        <v>0</v>
      </c>
      <c r="M205" s="15">
        <f t="shared" si="498"/>
        <v>107.92079207920793</v>
      </c>
      <c r="N205" s="15">
        <f t="shared" si="498"/>
        <v>29.495694956949567</v>
      </c>
      <c r="O205" s="15">
        <f t="shared" si="498"/>
        <v>39752.941176470587</v>
      </c>
      <c r="P205" s="15">
        <f t="shared" si="498"/>
        <v>-4.9955995599559957</v>
      </c>
      <c r="Q205" s="15">
        <f t="shared" si="498"/>
        <v>-8.3856829802775756</v>
      </c>
      <c r="R205" s="15">
        <f t="shared" si="498"/>
        <v>-18.323779141104296</v>
      </c>
      <c r="S205" s="15">
        <f t="shared" si="498"/>
        <v>13.207051366697478</v>
      </c>
      <c r="T205" s="101" t="e">
        <f t="shared" si="479"/>
        <v>#DIV/0!</v>
      </c>
      <c r="U205" s="110"/>
      <c r="V205" s="15">
        <f t="shared" ref="V205:AE205" si="499">V201/V71</f>
        <v>33.410695421704922</v>
      </c>
      <c r="W205" s="15">
        <f t="shared" si="499"/>
        <v>30.427597616195552</v>
      </c>
      <c r="X205" s="15">
        <f t="shared" si="499"/>
        <v>27.710847829035227</v>
      </c>
      <c r="Y205" s="15">
        <f t="shared" si="499"/>
        <v>25.236664987157084</v>
      </c>
      <c r="Z205" s="15">
        <f t="shared" si="499"/>
        <v>22.983391327589484</v>
      </c>
      <c r="AA205" s="15">
        <f t="shared" si="499"/>
        <v>20.931302816197562</v>
      </c>
      <c r="AB205" s="15">
        <f t="shared" si="499"/>
        <v>19.062436493322778</v>
      </c>
      <c r="AC205" s="15">
        <f t="shared" si="499"/>
        <v>17.360433234990385</v>
      </c>
      <c r="AD205" s="15">
        <f t="shared" si="499"/>
        <v>15.810394553294813</v>
      </c>
      <c r="AE205" s="15">
        <f t="shared" si="499"/>
        <v>14.398752182464918</v>
      </c>
      <c r="AF205" s="116" t="e">
        <f t="shared" si="495"/>
        <v>#DIV/0!</v>
      </c>
      <c r="AG205" s="21">
        <f t="shared" si="482"/>
        <v>0.05</v>
      </c>
      <c r="AH205" s="109" t="e">
        <f t="shared" si="496"/>
        <v>#DIV/0!</v>
      </c>
    </row>
    <row r="206" spans="2:34">
      <c r="B206" s="10" t="s">
        <v>216</v>
      </c>
      <c r="C206" s="15"/>
      <c r="D206" s="15"/>
      <c r="E206" s="15"/>
      <c r="F206" s="15"/>
      <c r="G206" s="15">
        <f t="shared" ref="G206:H206" si="500">G201/G75</f>
        <v>0</v>
      </c>
      <c r="H206" s="15" t="e">
        <f t="shared" si="500"/>
        <v>#DIV/0!</v>
      </c>
      <c r="I206" s="15" t="e">
        <f t="shared" ref="I206:S206" si="501">I201/I75</f>
        <v>#DIV/0!</v>
      </c>
      <c r="J206" s="15" t="e">
        <f t="shared" si="501"/>
        <v>#DIV/0!</v>
      </c>
      <c r="K206" s="15" t="e">
        <f t="shared" si="501"/>
        <v>#DIV/0!</v>
      </c>
      <c r="L206" s="15">
        <f t="shared" si="501"/>
        <v>0</v>
      </c>
      <c r="M206" s="15">
        <f t="shared" si="501"/>
        <v>6.0606060606060606</v>
      </c>
      <c r="N206" s="15">
        <f t="shared" si="501"/>
        <v>5.8388117847577314</v>
      </c>
      <c r="O206" s="15">
        <f t="shared" si="501"/>
        <v>3.5006475006475006</v>
      </c>
      <c r="P206" s="15">
        <f t="shared" si="501"/>
        <v>4.78</v>
      </c>
      <c r="Q206" s="15">
        <f t="shared" si="501"/>
        <v>3.1272132933805499</v>
      </c>
      <c r="R206" s="15">
        <f t="shared" si="501"/>
        <v>5.2362833099579245</v>
      </c>
      <c r="S206" s="15">
        <f t="shared" si="501"/>
        <v>1.4846660069272635</v>
      </c>
      <c r="T206" s="101" t="e">
        <f t="shared" si="479"/>
        <v>#DIV/0!</v>
      </c>
      <c r="U206" s="110"/>
      <c r="V206" s="102">
        <f t="shared" ref="V206:AE206" si="502">V201/V75</f>
        <v>3.7558515056195652</v>
      </c>
      <c r="W206" s="102">
        <f t="shared" si="502"/>
        <v>3.4205076211892464</v>
      </c>
      <c r="X206" s="102">
        <f t="shared" si="502"/>
        <v>3.1151051550116349</v>
      </c>
      <c r="Y206" s="102">
        <f t="shared" si="502"/>
        <v>2.8369707661713104</v>
      </c>
      <c r="Z206" s="102">
        <f t="shared" si="502"/>
        <v>2.5836698049060147</v>
      </c>
      <c r="AA206" s="102">
        <f t="shared" si="502"/>
        <v>2.3529850008965485</v>
      </c>
      <c r="AB206" s="102">
        <f t="shared" si="502"/>
        <v>2.1428970543879275</v>
      </c>
      <c r="AC206" s="102">
        <f t="shared" si="502"/>
        <v>1.9515669602461485</v>
      </c>
      <c r="AD206" s="102">
        <f t="shared" si="502"/>
        <v>1.7773199102241708</v>
      </c>
      <c r="AE206" s="102">
        <f t="shared" si="502"/>
        <v>1.6186306325255841</v>
      </c>
      <c r="AF206" s="116" t="e">
        <f t="shared" si="481"/>
        <v>#DIV/0!</v>
      </c>
      <c r="AG206" s="21">
        <f t="shared" si="482"/>
        <v>0.05</v>
      </c>
      <c r="AH206" s="109" t="e">
        <f t="shared" si="483"/>
        <v>#DIV/0!</v>
      </c>
    </row>
    <row r="207" spans="2:34">
      <c r="B207" s="10" t="s">
        <v>217</v>
      </c>
      <c r="C207" s="15"/>
      <c r="D207" s="15"/>
      <c r="E207" s="15"/>
      <c r="F207" s="15"/>
      <c r="G207" s="15">
        <f t="shared" ref="G207:H207" si="503">G201/G84</f>
        <v>0</v>
      </c>
      <c r="H207" s="15" t="e">
        <f t="shared" si="503"/>
        <v>#DIV/0!</v>
      </c>
      <c r="I207" s="15" t="e">
        <f t="shared" ref="I207:S207" si="504">I201/I84</f>
        <v>#DIV/0!</v>
      </c>
      <c r="J207" s="15" t="e">
        <f t="shared" si="504"/>
        <v>#DIV/0!</v>
      </c>
      <c r="K207" s="15" t="e">
        <f t="shared" si="504"/>
        <v>#DIV/0!</v>
      </c>
      <c r="L207" s="15">
        <f t="shared" si="504"/>
        <v>0</v>
      </c>
      <c r="M207" s="15">
        <f t="shared" si="504"/>
        <v>18.69623759659008</v>
      </c>
      <c r="N207" s="15">
        <f t="shared" si="504"/>
        <v>18.956521739130434</v>
      </c>
      <c r="O207" s="15">
        <f t="shared" si="504"/>
        <v>4.1472844430806992</v>
      </c>
      <c r="P207" s="15">
        <f t="shared" si="504"/>
        <v>5.2165422171165998</v>
      </c>
      <c r="Q207" s="15">
        <f t="shared" si="504"/>
        <v>12.148148148148147</v>
      </c>
      <c r="R207" s="15">
        <f t="shared" si="504"/>
        <v>12.311525144270403</v>
      </c>
      <c r="S207" s="15">
        <f t="shared" si="504"/>
        <v>6.9131396447250184</v>
      </c>
      <c r="T207" s="101" t="e">
        <f t="shared" si="479"/>
        <v>#DIV/0!</v>
      </c>
      <c r="U207" s="110"/>
      <c r="V207" s="102">
        <f t="shared" ref="V207:AE207" si="505">V201/V84</f>
        <v>17.488597315524597</v>
      </c>
      <c r="W207" s="102">
        <f t="shared" si="505"/>
        <v>15.927115412352759</v>
      </c>
      <c r="X207" s="102">
        <f t="shared" si="505"/>
        <v>14.505051536249834</v>
      </c>
      <c r="Y207" s="102">
        <f t="shared" si="505"/>
        <v>13.20995764908467</v>
      </c>
      <c r="Z207" s="102">
        <f t="shared" si="505"/>
        <v>12.03049714470211</v>
      </c>
      <c r="AA207" s="102">
        <f t="shared" si="505"/>
        <v>10.956345613925135</v>
      </c>
      <c r="AB207" s="102">
        <f t="shared" si="505"/>
        <v>9.9781004698246729</v>
      </c>
      <c r="AC207" s="102">
        <f t="shared" si="505"/>
        <v>9.0871986421617557</v>
      </c>
      <c r="AD207" s="102">
        <f t="shared" si="505"/>
        <v>8.2758416205401701</v>
      </c>
      <c r="AE207" s="102">
        <f t="shared" si="505"/>
        <v>7.5369271901347981</v>
      </c>
      <c r="AF207" s="116" t="e">
        <f t="shared" si="481"/>
        <v>#DIV/0!</v>
      </c>
      <c r="AG207" s="21">
        <f t="shared" si="482"/>
        <v>0.05</v>
      </c>
      <c r="AH207" s="109" t="e">
        <f t="shared" si="483"/>
        <v>#DIV/0!</v>
      </c>
    </row>
    <row r="208" spans="2:34">
      <c r="B208" s="10" t="s">
        <v>218</v>
      </c>
      <c r="C208" s="15"/>
      <c r="D208" s="15"/>
      <c r="E208" s="15"/>
      <c r="F208" s="15"/>
      <c r="G208" s="15">
        <f t="shared" ref="G208:H208" si="506">G201/G86</f>
        <v>0</v>
      </c>
      <c r="H208" s="15" t="e">
        <f t="shared" si="506"/>
        <v>#DIV/0!</v>
      </c>
      <c r="I208" s="15" t="e">
        <f t="shared" ref="I208:S208" si="507">I201/I86</f>
        <v>#DIV/0!</v>
      </c>
      <c r="J208" s="15" t="e">
        <f t="shared" si="507"/>
        <v>#DIV/0!</v>
      </c>
      <c r="K208" s="15" t="e">
        <f t="shared" si="507"/>
        <v>#DIV/0!</v>
      </c>
      <c r="L208" s="15">
        <f t="shared" si="507"/>
        <v>0</v>
      </c>
      <c r="M208" s="15">
        <f t="shared" si="507"/>
        <v>24.384787472035796</v>
      </c>
      <c r="N208" s="15">
        <f t="shared" si="507"/>
        <v>-21.979835013748854</v>
      </c>
      <c r="O208" s="15">
        <f t="shared" si="507"/>
        <v>221.57377049180329</v>
      </c>
      <c r="P208" s="15">
        <f t="shared" si="507"/>
        <v>-1.4669681796155709</v>
      </c>
      <c r="Q208" s="15">
        <f t="shared" si="507"/>
        <v>-2.9997386987196237</v>
      </c>
      <c r="R208" s="15">
        <f t="shared" si="507"/>
        <v>10.09045945945946</v>
      </c>
      <c r="S208" s="15">
        <f t="shared" si="507"/>
        <v>1.0003367227871311</v>
      </c>
      <c r="T208" s="101" t="e">
        <f t="shared" si="479"/>
        <v>#DIV/0!</v>
      </c>
      <c r="U208" s="110"/>
      <c r="V208" s="102">
        <f t="shared" ref="V208:AE208" si="508">V201/V86</f>
        <v>2.5306137332412542</v>
      </c>
      <c r="W208" s="102">
        <f t="shared" si="508"/>
        <v>2.3046660784875703</v>
      </c>
      <c r="X208" s="102">
        <f t="shared" si="508"/>
        <v>2.0988923214797515</v>
      </c>
      <c r="Y208" s="102">
        <f t="shared" si="508"/>
        <v>1.9114912213476307</v>
      </c>
      <c r="Z208" s="102">
        <f t="shared" si="508"/>
        <v>1.7408223622987349</v>
      </c>
      <c r="AA208" s="102">
        <f t="shared" si="508"/>
        <v>1.5853917942363476</v>
      </c>
      <c r="AB208" s="102">
        <f t="shared" si="508"/>
        <v>1.4438389554652451</v>
      </c>
      <c r="AC208" s="102">
        <f t="shared" si="508"/>
        <v>1.314924763012991</v>
      </c>
      <c r="AD208" s="102">
        <f t="shared" si="508"/>
        <v>1.1975207663154024</v>
      </c>
      <c r="AE208" s="102">
        <f t="shared" si="508"/>
        <v>1.0905992693229558</v>
      </c>
      <c r="AF208" s="116" t="e">
        <f t="shared" si="481"/>
        <v>#DIV/0!</v>
      </c>
      <c r="AG208" s="21">
        <f t="shared" si="482"/>
        <v>0.05</v>
      </c>
      <c r="AH208" s="109" t="e">
        <f t="shared" si="483"/>
        <v>#DIV/0!</v>
      </c>
    </row>
    <row r="209" spans="2:34">
      <c r="B209" s="10" t="s">
        <v>232</v>
      </c>
      <c r="C209" s="15"/>
      <c r="D209" s="15"/>
      <c r="E209" s="15"/>
      <c r="F209" s="15"/>
      <c r="G209" s="159">
        <f t="shared" ref="G209:H209" si="509">G201/G80</f>
        <v>0</v>
      </c>
      <c r="H209" s="159" t="e">
        <f t="shared" si="509"/>
        <v>#DIV/0!</v>
      </c>
      <c r="I209" s="159" t="e">
        <f t="shared" ref="I209:S209" si="510">I201/I80</f>
        <v>#DIV/0!</v>
      </c>
      <c r="J209" s="159" t="e">
        <f t="shared" si="510"/>
        <v>#DIV/0!</v>
      </c>
      <c r="K209" s="159" t="e">
        <f t="shared" si="510"/>
        <v>#DIV/0!</v>
      </c>
      <c r="L209" s="159">
        <f t="shared" si="510"/>
        <v>0</v>
      </c>
      <c r="M209" s="159">
        <f t="shared" si="510"/>
        <v>-3.7534435261707992</v>
      </c>
      <c r="N209" s="159">
        <f t="shared" si="510"/>
        <v>-1.2056915883151489</v>
      </c>
      <c r="O209" s="159">
        <f t="shared" si="510"/>
        <v>-0.40354700982294811</v>
      </c>
      <c r="P209" s="159">
        <f t="shared" si="510"/>
        <v>-0.21846960621587166</v>
      </c>
      <c r="Q209" s="159">
        <f t="shared" si="510"/>
        <v>-0.27931193888226569</v>
      </c>
      <c r="R209" s="159">
        <f t="shared" si="510"/>
        <v>-0.36763939834075965</v>
      </c>
      <c r="S209" s="159">
        <f t="shared" si="510"/>
        <v>-0.14154684404189072</v>
      </c>
      <c r="T209" s="101" t="e">
        <f t="shared" si="479"/>
        <v>#DIV/0!</v>
      </c>
      <c r="U209" s="110"/>
      <c r="V209" s="113">
        <f t="shared" ref="V209:AE209" si="511">V201/V80</f>
        <v>-0.32236242393539893</v>
      </c>
      <c r="W209" s="113">
        <f t="shared" si="511"/>
        <v>-0.29358006465545256</v>
      </c>
      <c r="X209" s="113">
        <f t="shared" si="511"/>
        <v>-0.26736755888264424</v>
      </c>
      <c r="Y209" s="113">
        <f t="shared" si="511"/>
        <v>-0.24349545541097958</v>
      </c>
      <c r="Z209" s="113">
        <f t="shared" si="511"/>
        <v>-0.22175478974928492</v>
      </c>
      <c r="AA209" s="113">
        <f t="shared" si="511"/>
        <v>-0.20195525495024164</v>
      </c>
      <c r="AB209" s="113">
        <f t="shared" si="511"/>
        <v>-0.18392353575825574</v>
      </c>
      <c r="AC209" s="113">
        <f t="shared" si="511"/>
        <v>-0.16750179149412572</v>
      </c>
      <c r="AD209" s="113">
        <f t="shared" si="511"/>
        <v>-0.15254627439643595</v>
      </c>
      <c r="AE209" s="113">
        <f t="shared" si="511"/>
        <v>-0.13892607132532561</v>
      </c>
      <c r="AF209" s="116" t="e">
        <f t="shared" ref="AF209" si="512">((AE209/I209)^(1/($AE$3-$J$1) ))-1</f>
        <v>#DIV/0!</v>
      </c>
      <c r="AG209" s="21">
        <f t="shared" ref="AG209:AG212" si="513">$N$1</f>
        <v>0.05</v>
      </c>
      <c r="AH209" s="109" t="e">
        <f t="shared" si="483"/>
        <v>#DIV/0!</v>
      </c>
    </row>
    <row r="210" spans="2:34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10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6"/>
      <c r="AG210" s="21">
        <f t="shared" si="513"/>
        <v>0.05</v>
      </c>
      <c r="AH210" s="109"/>
    </row>
    <row r="211" spans="2:34">
      <c r="B211" s="10" t="s">
        <v>265</v>
      </c>
      <c r="C211" s="129"/>
      <c r="D211" s="129"/>
      <c r="E211" s="129"/>
      <c r="F211" s="129"/>
      <c r="G211" s="129" t="e">
        <f t="shared" ref="G211:H211" si="514">G59/G201</f>
        <v>#DIV/0!</v>
      </c>
      <c r="H211" s="129" t="e">
        <f t="shared" si="514"/>
        <v>#DIV/0!</v>
      </c>
      <c r="I211" s="129" t="e">
        <f t="shared" ref="I211:S211" si="515">I59/I201</f>
        <v>#DIV/0!</v>
      </c>
      <c r="J211" s="129" t="e">
        <f t="shared" si="515"/>
        <v>#DIV/0!</v>
      </c>
      <c r="K211" s="129" t="e">
        <f t="shared" si="515"/>
        <v>#DIV/0!</v>
      </c>
      <c r="L211" s="129" t="e">
        <f t="shared" si="515"/>
        <v>#DIV/0!</v>
      </c>
      <c r="M211" s="129">
        <f t="shared" si="515"/>
        <v>0</v>
      </c>
      <c r="N211" s="129">
        <f t="shared" si="515"/>
        <v>0</v>
      </c>
      <c r="O211" s="129">
        <f t="shared" si="515"/>
        <v>0</v>
      </c>
      <c r="P211" s="129">
        <f t="shared" si="515"/>
        <v>0</v>
      </c>
      <c r="Q211" s="129">
        <f t="shared" si="515"/>
        <v>0</v>
      </c>
      <c r="R211" s="129">
        <f t="shared" si="515"/>
        <v>0</v>
      </c>
      <c r="S211" s="129">
        <f t="shared" si="515"/>
        <v>0</v>
      </c>
      <c r="T211" s="101" t="e">
        <f t="shared" si="479"/>
        <v>#DIV/0!</v>
      </c>
      <c r="U211" s="110"/>
      <c r="V211" s="129">
        <f t="shared" ref="V211:AE211" si="516">V59/V201</f>
        <v>0</v>
      </c>
      <c r="W211" s="129">
        <f t="shared" si="516"/>
        <v>0</v>
      </c>
      <c r="X211" s="129">
        <f t="shared" si="516"/>
        <v>0</v>
      </c>
      <c r="Y211" s="129">
        <f t="shared" si="516"/>
        <v>0</v>
      </c>
      <c r="Z211" s="129">
        <f t="shared" si="516"/>
        <v>0</v>
      </c>
      <c r="AA211" s="129">
        <f t="shared" si="516"/>
        <v>0</v>
      </c>
      <c r="AB211" s="129">
        <f t="shared" si="516"/>
        <v>0</v>
      </c>
      <c r="AC211" s="129">
        <f t="shared" si="516"/>
        <v>0</v>
      </c>
      <c r="AD211" s="129">
        <f t="shared" si="516"/>
        <v>0</v>
      </c>
      <c r="AE211" s="129">
        <f t="shared" si="516"/>
        <v>0</v>
      </c>
      <c r="AF211" s="116" t="e">
        <f t="shared" ref="AF211:AF216" si="517">((AE211/I211)^(1/($AE$3-$J$1) ))-1</f>
        <v>#DIV/0!</v>
      </c>
      <c r="AG211" s="21">
        <f t="shared" si="513"/>
        <v>0.05</v>
      </c>
      <c r="AH211" s="109" t="e">
        <f t="shared" si="483"/>
        <v>#DIV/0!</v>
      </c>
    </row>
    <row r="212" spans="2:34">
      <c r="B212" s="10" t="s">
        <v>132</v>
      </c>
      <c r="C212" s="129"/>
      <c r="D212" s="129"/>
      <c r="E212" s="129"/>
      <c r="F212" s="129"/>
      <c r="G212" s="142">
        <f t="shared" ref="G212:H212" si="518">G201*G57</f>
        <v>0</v>
      </c>
      <c r="H212" s="142">
        <f t="shared" si="518"/>
        <v>0</v>
      </c>
      <c r="I212" s="142">
        <f t="shared" ref="I212:S212" si="519">I201*I57</f>
        <v>0</v>
      </c>
      <c r="J212" s="142">
        <f t="shared" si="519"/>
        <v>0</v>
      </c>
      <c r="K212" s="142">
        <f t="shared" si="519"/>
        <v>0</v>
      </c>
      <c r="L212" s="142">
        <f t="shared" si="519"/>
        <v>0</v>
      </c>
      <c r="M212" s="142">
        <f t="shared" si="519"/>
        <v>21800</v>
      </c>
      <c r="N212" s="142">
        <f t="shared" si="519"/>
        <v>23980</v>
      </c>
      <c r="O212" s="142">
        <f t="shared" si="519"/>
        <v>13516</v>
      </c>
      <c r="P212" s="142">
        <f t="shared" si="519"/>
        <v>9082</v>
      </c>
      <c r="Q212" s="142">
        <f t="shared" si="519"/>
        <v>11480</v>
      </c>
      <c r="R212" s="142">
        <f t="shared" si="519"/>
        <v>14933.88</v>
      </c>
      <c r="S212" s="142">
        <f t="shared" si="519"/>
        <v>6001.0199999999995</v>
      </c>
      <c r="T212" s="101" t="e">
        <f t="shared" si="479"/>
        <v>#DIV/0!</v>
      </c>
      <c r="U212" s="110"/>
      <c r="V212" s="142">
        <f t="shared" ref="V212:AE212" si="520">V201*V57</f>
        <v>17002.89</v>
      </c>
      <c r="W212" s="142">
        <f t="shared" si="520"/>
        <v>17342.947799999998</v>
      </c>
      <c r="X212" s="142">
        <f t="shared" si="520"/>
        <v>17689.806755999998</v>
      </c>
      <c r="Y212" s="142">
        <f t="shared" si="520"/>
        <v>18043.602891120001</v>
      </c>
      <c r="Z212" s="142">
        <f t="shared" si="520"/>
        <v>18404.474948942399</v>
      </c>
      <c r="AA212" s="142">
        <f t="shared" si="520"/>
        <v>18772.564447921246</v>
      </c>
      <c r="AB212" s="142">
        <f t="shared" si="520"/>
        <v>19148.015736879672</v>
      </c>
      <c r="AC212" s="142">
        <f t="shared" si="520"/>
        <v>19530.976051617265</v>
      </c>
      <c r="AD212" s="142">
        <f t="shared" si="520"/>
        <v>19921.59557264961</v>
      </c>
      <c r="AE212" s="142">
        <f t="shared" si="520"/>
        <v>20320.027484102604</v>
      </c>
      <c r="AF212" s="116" t="e">
        <f t="shared" si="517"/>
        <v>#DIV/0!</v>
      </c>
      <c r="AG212" s="21">
        <f t="shared" si="513"/>
        <v>0.05</v>
      </c>
      <c r="AH212" s="109" t="e">
        <f t="shared" si="483"/>
        <v>#DIV/0!</v>
      </c>
    </row>
    <row r="213" spans="2:34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10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</row>
    <row r="214" spans="2:34">
      <c r="B214" s="10" t="s">
        <v>316</v>
      </c>
      <c r="C214" s="138"/>
      <c r="D214" s="138"/>
      <c r="E214" s="138"/>
      <c r="F214" s="138"/>
      <c r="G214" s="138" t="e">
        <f t="shared" ref="G214:H214" si="521">G72/G201</f>
        <v>#DIV/0!</v>
      </c>
      <c r="H214" s="138" t="e">
        <f t="shared" si="521"/>
        <v>#DIV/0!</v>
      </c>
      <c r="I214" s="138" t="e">
        <f t="shared" ref="I214:S214" si="522">I72/I201</f>
        <v>#DIV/0!</v>
      </c>
      <c r="J214" s="138" t="e">
        <f t="shared" si="522"/>
        <v>#DIV/0!</v>
      </c>
      <c r="K214" s="138" t="e">
        <f t="shared" si="522"/>
        <v>#DIV/0!</v>
      </c>
      <c r="L214" s="138" t="e">
        <f t="shared" si="522"/>
        <v>#DIV/0!</v>
      </c>
      <c r="M214" s="138">
        <f t="shared" si="522"/>
        <v>7.7981651376146785E-3</v>
      </c>
      <c r="N214" s="138">
        <f t="shared" si="522"/>
        <v>2.1392827356130108E-2</v>
      </c>
      <c r="O214" s="138">
        <f t="shared" si="522"/>
        <v>-2.1825984018940515E-2</v>
      </c>
      <c r="P214" s="138">
        <f t="shared" si="522"/>
        <v>-0.32977317771415987</v>
      </c>
      <c r="Q214" s="138">
        <f t="shared" si="522"/>
        <v>-2.5261324041811844E-2</v>
      </c>
      <c r="R214" s="138">
        <f t="shared" si="522"/>
        <v>-5.4573895062770023E-2</v>
      </c>
      <c r="S214" s="138">
        <f t="shared" si="522"/>
        <v>8.1399495419112095E-2</v>
      </c>
      <c r="T214" s="101" t="e">
        <f t="shared" si="479"/>
        <v>#DIV/0!</v>
      </c>
      <c r="U214" s="110"/>
      <c r="V214" s="138">
        <f t="shared" ref="V214:AE214" si="523">V72/V201</f>
        <v>3.2176741718613726E-2</v>
      </c>
      <c r="W214" s="138">
        <f t="shared" si="523"/>
        <v>3.5331324240046445E-2</v>
      </c>
      <c r="X214" s="138">
        <f t="shared" si="523"/>
        <v>3.879517955769806E-2</v>
      </c>
      <c r="Y214" s="138">
        <f t="shared" si="523"/>
        <v>4.2598628533942973E-2</v>
      </c>
      <c r="Z214" s="138">
        <f t="shared" si="523"/>
        <v>4.6774964664721697E-2</v>
      </c>
      <c r="AA214" s="138">
        <f t="shared" si="523"/>
        <v>5.1360745514204227E-2</v>
      </c>
      <c r="AB214" s="138">
        <f t="shared" si="523"/>
        <v>5.6396112721479152E-2</v>
      </c>
      <c r="AC214" s="138">
        <f t="shared" si="523"/>
        <v>6.1925143380447703E-2</v>
      </c>
      <c r="AD214" s="138">
        <f t="shared" si="523"/>
        <v>6.7996235868726884E-2</v>
      </c>
      <c r="AE214" s="138">
        <f t="shared" si="523"/>
        <v>7.4662533502915795E-2</v>
      </c>
      <c r="AF214" s="116" t="e">
        <f t="shared" ref="AF214" si="524">((AE214/I214)^(1/($AE$3-$J$1) ))-1</f>
        <v>#DIV/0!</v>
      </c>
      <c r="AG214" s="21">
        <f t="shared" ref="AG214" si="525">$N$1</f>
        <v>0.05</v>
      </c>
      <c r="AH214" s="109" t="e">
        <f t="shared" ref="AH214" si="526">(AE214*(1+AF214))/($C$1-AG214)</f>
        <v>#DIV/0!</v>
      </c>
    </row>
    <row r="215" spans="2:34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:H215" si="527">G203</f>
        <v>0</v>
      </c>
      <c r="H215" s="158" t="e">
        <f t="shared" si="527"/>
        <v>#DIV/0!</v>
      </c>
      <c r="I215" s="158" t="e">
        <f t="shared" ref="I215:S215" si="528">I203</f>
        <v>#DIV/0!</v>
      </c>
      <c r="J215" s="158" t="e">
        <f t="shared" si="528"/>
        <v>#DIV/0!</v>
      </c>
      <c r="K215" s="158" t="e">
        <f t="shared" si="528"/>
        <v>#DIV/0!</v>
      </c>
      <c r="L215" s="158">
        <f t="shared" si="528"/>
        <v>0</v>
      </c>
      <c r="M215" s="158">
        <f t="shared" si="528"/>
        <v>128.23529411764707</v>
      </c>
      <c r="N215" s="158">
        <f t="shared" si="528"/>
        <v>46.744639376218323</v>
      </c>
      <c r="O215" s="158">
        <f t="shared" si="528"/>
        <v>-45.816949152542371</v>
      </c>
      <c r="P215" s="158">
        <f t="shared" si="528"/>
        <v>-3.0323873121869784</v>
      </c>
      <c r="Q215" s="158">
        <f t="shared" si="528"/>
        <v>-39.58620689655173</v>
      </c>
      <c r="R215" s="158">
        <f t="shared" si="528"/>
        <v>-18.323779141104296</v>
      </c>
      <c r="S215" s="158">
        <f t="shared" si="528"/>
        <v>12.285088437602358</v>
      </c>
      <c r="T215" s="101" t="e">
        <f t="shared" si="479"/>
        <v>#DIV/0!</v>
      </c>
      <c r="U215" s="110"/>
      <c r="V215" s="129">
        <f t="shared" ref="V215:AE215" si="529">V203</f>
        <v>31.07834872607739</v>
      </c>
      <c r="W215" s="129">
        <f t="shared" si="529"/>
        <v>28.303496161249047</v>
      </c>
      <c r="X215" s="129">
        <f t="shared" si="529"/>
        <v>25.776398289708951</v>
      </c>
      <c r="Y215" s="129">
        <f t="shared" si="529"/>
        <v>23.47493415669922</v>
      </c>
      <c r="Z215" s="129">
        <f t="shared" si="529"/>
        <v>21.378957892708218</v>
      </c>
      <c r="AA215" s="129">
        <f t="shared" si="529"/>
        <v>19.470122366573552</v>
      </c>
      <c r="AB215" s="129">
        <f t="shared" si="529"/>
        <v>17.731718583843772</v>
      </c>
      <c r="AC215" s="129">
        <f t="shared" si="529"/>
        <v>16.148529424572004</v>
      </c>
      <c r="AD215" s="129">
        <f t="shared" si="529"/>
        <v>14.706696440235218</v>
      </c>
      <c r="AE215" s="129">
        <f t="shared" si="529"/>
        <v>13.393598543785645</v>
      </c>
      <c r="AF215" s="116" t="e">
        <f t="shared" ref="AF215" si="530">((AE215/I215)^(1/($AE$3-$J$1) ))-1</f>
        <v>#DIV/0!</v>
      </c>
      <c r="AG215" s="21">
        <f t="shared" ref="AG215:AG217" si="531">$N$1</f>
        <v>0.05</v>
      </c>
      <c r="AH215" s="158" t="e">
        <f>(AH202)/($N$2*100)</f>
        <v>#DIV/0!</v>
      </c>
    </row>
    <row r="216" spans="2:34">
      <c r="B216" s="10" t="s">
        <v>439</v>
      </c>
      <c r="C216" s="158"/>
      <c r="D216" s="158"/>
      <c r="E216" s="158"/>
      <c r="F216" s="158"/>
      <c r="G216" s="158">
        <f t="shared" ref="G216:H216" si="532">(G203)/($N$2*100)</f>
        <v>0</v>
      </c>
      <c r="H216" s="158" t="e">
        <f t="shared" si="532"/>
        <v>#DIV/0!</v>
      </c>
      <c r="I216" s="158" t="e">
        <f t="shared" ref="I216:S216" si="533">(I203)/($N$2*100)</f>
        <v>#DIV/0!</v>
      </c>
      <c r="J216" s="158" t="e">
        <f t="shared" si="533"/>
        <v>#DIV/0!</v>
      </c>
      <c r="K216" s="158" t="e">
        <f t="shared" si="533"/>
        <v>#DIV/0!</v>
      </c>
      <c r="L216" s="158">
        <f t="shared" si="533"/>
        <v>0</v>
      </c>
      <c r="M216" s="158">
        <f t="shared" si="533"/>
        <v>10.686274509803923</v>
      </c>
      <c r="N216" s="158">
        <f t="shared" si="533"/>
        <v>3.8953866146848601</v>
      </c>
      <c r="O216" s="158">
        <f t="shared" si="533"/>
        <v>-3.8180790960451976</v>
      </c>
      <c r="P216" s="158">
        <f t="shared" si="533"/>
        <v>-0.25269894268224818</v>
      </c>
      <c r="Q216" s="158">
        <f t="shared" si="533"/>
        <v>-3.298850574712644</v>
      </c>
      <c r="R216" s="158">
        <f t="shared" si="533"/>
        <v>-1.5269815950920247</v>
      </c>
      <c r="S216" s="158">
        <f t="shared" si="533"/>
        <v>1.0237573698001965</v>
      </c>
      <c r="T216" s="101" t="e">
        <f t="shared" si="479"/>
        <v>#DIV/0!</v>
      </c>
      <c r="U216" s="110"/>
      <c r="V216" s="158">
        <f t="shared" ref="V216:AE216" si="534">(V203)/($N$2*100)</f>
        <v>2.5898623938397827</v>
      </c>
      <c r="W216" s="158">
        <f t="shared" si="534"/>
        <v>2.3586246801040871</v>
      </c>
      <c r="X216" s="158">
        <f t="shared" si="534"/>
        <v>2.1480331908090791</v>
      </c>
      <c r="Y216" s="158">
        <f t="shared" si="534"/>
        <v>1.9562445130582684</v>
      </c>
      <c r="Z216" s="158">
        <f t="shared" si="534"/>
        <v>1.7815798243923515</v>
      </c>
      <c r="AA216" s="158">
        <f t="shared" si="534"/>
        <v>1.6225101972144627</v>
      </c>
      <c r="AB216" s="158">
        <f t="shared" si="534"/>
        <v>1.4776432153203143</v>
      </c>
      <c r="AC216" s="158">
        <f t="shared" si="534"/>
        <v>1.3457107853810004</v>
      </c>
      <c r="AD216" s="158">
        <f t="shared" si="534"/>
        <v>1.2255580366862682</v>
      </c>
      <c r="AE216" s="158">
        <f t="shared" si="534"/>
        <v>1.116133211982137</v>
      </c>
      <c r="AF216" s="116" t="e">
        <f t="shared" si="517"/>
        <v>#DIV/0!</v>
      </c>
      <c r="AG216" s="21">
        <f t="shared" si="531"/>
        <v>0.05</v>
      </c>
      <c r="AH216" s="158" t="e">
        <f>(AH203)/($N$2*100)</f>
        <v>#DIV/0!</v>
      </c>
    </row>
    <row r="217" spans="2:34">
      <c r="B217" s="10" t="s">
        <v>440</v>
      </c>
      <c r="C217" s="129"/>
      <c r="D217" s="129"/>
      <c r="E217" s="129"/>
      <c r="F217" s="129"/>
      <c r="G217" s="129">
        <f t="shared" ref="G217:H217" si="535">G216-1</f>
        <v>-1</v>
      </c>
      <c r="H217" s="129" t="e">
        <f t="shared" si="535"/>
        <v>#DIV/0!</v>
      </c>
      <c r="I217" s="129" t="e">
        <f t="shared" ref="I217:R217" si="536">I216-1</f>
        <v>#DIV/0!</v>
      </c>
      <c r="J217" s="129" t="e">
        <f t="shared" si="536"/>
        <v>#DIV/0!</v>
      </c>
      <c r="K217" s="129" t="e">
        <f t="shared" si="536"/>
        <v>#DIV/0!</v>
      </c>
      <c r="L217" s="129">
        <f t="shared" si="536"/>
        <v>-1</v>
      </c>
      <c r="M217" s="129">
        <f t="shared" si="536"/>
        <v>9.6862745098039227</v>
      </c>
      <c r="N217" s="129">
        <f t="shared" si="536"/>
        <v>2.8953866146848601</v>
      </c>
      <c r="O217" s="129">
        <f t="shared" si="536"/>
        <v>-4.8180790960451976</v>
      </c>
      <c r="P217" s="129">
        <f t="shared" si="536"/>
        <v>-1.2526989426822481</v>
      </c>
      <c r="Q217" s="129">
        <f t="shared" si="536"/>
        <v>-4.2988505747126435</v>
      </c>
      <c r="R217" s="129">
        <f t="shared" si="536"/>
        <v>-2.5269815950920247</v>
      </c>
      <c r="S217" s="129">
        <f>S216-1</f>
        <v>2.3757369800196493E-2</v>
      </c>
      <c r="T217" s="101" t="e">
        <f t="shared" si="479"/>
        <v>#NUM!</v>
      </c>
      <c r="U217" s="110"/>
      <c r="V217" s="129">
        <f t="shared" ref="V217:AE217" si="537">V216-1</f>
        <v>1.5898623938397827</v>
      </c>
      <c r="W217" s="129">
        <f t="shared" si="537"/>
        <v>1.3586246801040871</v>
      </c>
      <c r="X217" s="129">
        <f t="shared" si="537"/>
        <v>1.1480331908090791</v>
      </c>
      <c r="Y217" s="129">
        <f t="shared" si="537"/>
        <v>0.95624451305826841</v>
      </c>
      <c r="Z217" s="129">
        <f t="shared" si="537"/>
        <v>0.78157982439235152</v>
      </c>
      <c r="AA217" s="129">
        <f t="shared" si="537"/>
        <v>0.62251019721446266</v>
      </c>
      <c r="AB217" s="129">
        <f t="shared" si="537"/>
        <v>0.47764321532031428</v>
      </c>
      <c r="AC217" s="129">
        <f t="shared" si="537"/>
        <v>0.34571078538100042</v>
      </c>
      <c r="AD217" s="129">
        <f t="shared" si="537"/>
        <v>0.22555803668626817</v>
      </c>
      <c r="AE217" s="129">
        <f t="shared" si="537"/>
        <v>0.116133211982137</v>
      </c>
      <c r="AF217" s="116" t="e">
        <f t="shared" ref="AF217" si="538">((AE217/I217)^(1/($AE$3-$J$1) ))-1</f>
        <v>#DIV/0!</v>
      </c>
      <c r="AG217" s="21">
        <f t="shared" si="531"/>
        <v>0.05</v>
      </c>
      <c r="AH217" s="158" t="e">
        <f>(AH204)/($N$2*100)</f>
        <v>#DIV/0!</v>
      </c>
    </row>
    <row r="218" spans="2:34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10"/>
      <c r="U218" s="110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13"/>
      <c r="AF218" s="115"/>
      <c r="AG218" s="10"/>
      <c r="AH218" s="109"/>
    </row>
    <row r="219" spans="2:34">
      <c r="B219" s="10" t="s">
        <v>416</v>
      </c>
      <c r="C219" s="129"/>
      <c r="D219" s="129"/>
      <c r="E219" s="129"/>
      <c r="F219" s="129"/>
      <c r="G219" s="129" t="e">
        <f t="shared" ref="G219:R219" si="539">1/G220</f>
        <v>#DIV/0!</v>
      </c>
      <c r="H219" s="129" t="e">
        <f t="shared" si="539"/>
        <v>#DIV/0!</v>
      </c>
      <c r="I219" s="129" t="e">
        <f t="shared" si="539"/>
        <v>#DIV/0!</v>
      </c>
      <c r="J219" s="129" t="e">
        <f t="shared" si="539"/>
        <v>#DIV/0!</v>
      </c>
      <c r="K219" s="129" t="e">
        <f t="shared" si="539"/>
        <v>#DIV/0!</v>
      </c>
      <c r="L219" s="129" t="e">
        <f t="shared" si="539"/>
        <v>#DIV/0!</v>
      </c>
      <c r="M219" s="129">
        <f t="shared" si="539"/>
        <v>-8.7898966266643768E-3</v>
      </c>
      <c r="N219" s="129">
        <f t="shared" si="539"/>
        <v>-7.9908151151494335E-3</v>
      </c>
      <c r="O219" s="129">
        <f t="shared" si="539"/>
        <v>-1.417725262365222E-2</v>
      </c>
      <c r="P219" s="129">
        <f t="shared" si="539"/>
        <v>-2.3131306912274673E-2</v>
      </c>
      <c r="Q219" s="129">
        <f t="shared" si="539"/>
        <v>-2.1974741566660939E-2</v>
      </c>
      <c r="R219" s="129">
        <f t="shared" si="539"/>
        <v>-1.6903647358969955E-2</v>
      </c>
      <c r="S219" s="129">
        <f>1/S220</f>
        <v>-4.8832759037024318E-2</v>
      </c>
      <c r="T219" s="101" t="e">
        <f t="shared" si="479"/>
        <v>#DIV/0!</v>
      </c>
      <c r="U219" s="110"/>
      <c r="V219" s="129">
        <f t="shared" ref="V219:AE219" si="540">1/V220</f>
        <v>-1.7579793253328754E-2</v>
      </c>
      <c r="W219" s="129">
        <f t="shared" si="540"/>
        <v>-1.7579793253328754E-2</v>
      </c>
      <c r="X219" s="129">
        <f t="shared" si="540"/>
        <v>-1.7579793253328754E-2</v>
      </c>
      <c r="Y219" s="129">
        <f t="shared" si="540"/>
        <v>-1.7579793253328754E-2</v>
      </c>
      <c r="Z219" s="129">
        <f t="shared" si="540"/>
        <v>-1.7579793253328754E-2</v>
      </c>
      <c r="AA219" s="129">
        <f t="shared" si="540"/>
        <v>-1.7579793253328754E-2</v>
      </c>
      <c r="AB219" s="129">
        <f t="shared" si="540"/>
        <v>-1.7579793253328754E-2</v>
      </c>
      <c r="AC219" s="129">
        <f t="shared" si="540"/>
        <v>-1.7579793253328754E-2</v>
      </c>
      <c r="AD219" s="129">
        <f t="shared" si="540"/>
        <v>-1.7579793253328754E-2</v>
      </c>
      <c r="AE219" s="129">
        <f t="shared" si="540"/>
        <v>-1.7579793253328754E-2</v>
      </c>
      <c r="AF219" s="116" t="e">
        <f t="shared" ref="AF219" si="541">((AE219/I219)^(1/($AE$3-$J$1) ))-1</f>
        <v>#DIV/0!</v>
      </c>
      <c r="AG219" s="21">
        <f t="shared" ref="AG219:AG222" si="542">$N$1</f>
        <v>0.05</v>
      </c>
      <c r="AH219" s="158" t="e">
        <f>(AH206)/($N$2*100)</f>
        <v>#DIV/0!</v>
      </c>
    </row>
    <row r="220" spans="2:34">
      <c r="B220" s="10" t="s">
        <v>417</v>
      </c>
      <c r="C220" s="111"/>
      <c r="D220" s="111"/>
      <c r="E220" s="111"/>
      <c r="F220" s="111"/>
      <c r="G220" s="113">
        <f t="shared" ref="G220:H220" si="543">G201/$U$170</f>
        <v>0</v>
      </c>
      <c r="H220" s="113">
        <f t="shared" si="543"/>
        <v>0</v>
      </c>
      <c r="I220" s="113">
        <f t="shared" ref="I220:S220" si="544">I201/$U$170</f>
        <v>0</v>
      </c>
      <c r="J220" s="113">
        <f t="shared" si="544"/>
        <v>0</v>
      </c>
      <c r="K220" s="113">
        <f t="shared" si="544"/>
        <v>0</v>
      </c>
      <c r="L220" s="113">
        <f t="shared" si="544"/>
        <v>0</v>
      </c>
      <c r="M220" s="113">
        <f t="shared" si="544"/>
        <v>-113.76698071356999</v>
      </c>
      <c r="N220" s="113">
        <f t="shared" si="544"/>
        <v>-125.14367878492699</v>
      </c>
      <c r="O220" s="113">
        <f t="shared" si="544"/>
        <v>-70.535528042413389</v>
      </c>
      <c r="P220" s="113">
        <f t="shared" si="544"/>
        <v>-43.231452671156596</v>
      </c>
      <c r="Q220" s="113">
        <f t="shared" si="544"/>
        <v>-45.506792285427998</v>
      </c>
      <c r="R220" s="113">
        <f t="shared" si="544"/>
        <v>-59.158829971056392</v>
      </c>
      <c r="S220" s="113">
        <f t="shared" si="544"/>
        <v>-20.478056528442597</v>
      </c>
      <c r="T220" s="101" t="e">
        <f t="shared" si="479"/>
        <v>#DIV/0!</v>
      </c>
      <c r="U220" s="110"/>
      <c r="V220" s="113">
        <f t="shared" ref="V220:AE220" si="545">V201/$U$170</f>
        <v>-56.883490356784996</v>
      </c>
      <c r="W220" s="113">
        <f t="shared" si="545"/>
        <v>-56.883490356784996</v>
      </c>
      <c r="X220" s="113">
        <f t="shared" si="545"/>
        <v>-56.883490356784996</v>
      </c>
      <c r="Y220" s="113">
        <f t="shared" si="545"/>
        <v>-56.883490356784996</v>
      </c>
      <c r="Z220" s="113">
        <f t="shared" si="545"/>
        <v>-56.883490356784996</v>
      </c>
      <c r="AA220" s="113">
        <f t="shared" si="545"/>
        <v>-56.883490356784996</v>
      </c>
      <c r="AB220" s="113">
        <f t="shared" si="545"/>
        <v>-56.883490356784996</v>
      </c>
      <c r="AC220" s="113">
        <f t="shared" si="545"/>
        <v>-56.883490356784996</v>
      </c>
      <c r="AD220" s="113">
        <f t="shared" si="545"/>
        <v>-56.883490356784996</v>
      </c>
      <c r="AE220" s="113">
        <f t="shared" si="545"/>
        <v>-56.883490356784996</v>
      </c>
      <c r="AF220" s="116" t="e">
        <f t="shared" ref="AF220:AF222" si="546">((AE220/I220)^(1/($AE$3-$J$1) ))-1</f>
        <v>#DIV/0!</v>
      </c>
      <c r="AG220" s="21">
        <f t="shared" si="542"/>
        <v>0.05</v>
      </c>
      <c r="AH220" s="158" t="e">
        <f>(AH206)/($N$2*100)</f>
        <v>#DIV/0!</v>
      </c>
    </row>
    <row r="221" spans="2:34">
      <c r="B221" s="10" t="s">
        <v>439</v>
      </c>
      <c r="C221" s="111"/>
      <c r="D221" s="111"/>
      <c r="E221" s="111"/>
      <c r="F221" s="111"/>
      <c r="G221" s="158">
        <f t="shared" ref="G221:H221" si="547">(G220)/($N$2*100)</f>
        <v>0</v>
      </c>
      <c r="H221" s="158">
        <f t="shared" si="547"/>
        <v>0</v>
      </c>
      <c r="I221" s="158">
        <f t="shared" ref="I221:S221" si="548">(I220)/($N$2*100)</f>
        <v>0</v>
      </c>
      <c r="J221" s="158">
        <f t="shared" si="548"/>
        <v>0</v>
      </c>
      <c r="K221" s="158">
        <f t="shared" si="548"/>
        <v>0</v>
      </c>
      <c r="L221" s="158">
        <f t="shared" si="548"/>
        <v>0</v>
      </c>
      <c r="M221" s="158">
        <f t="shared" si="548"/>
        <v>-9.4805817261308327</v>
      </c>
      <c r="N221" s="158">
        <f t="shared" si="548"/>
        <v>-10.428639898743915</v>
      </c>
      <c r="O221" s="158">
        <f t="shared" si="548"/>
        <v>-5.8779606702011158</v>
      </c>
      <c r="P221" s="158">
        <f t="shared" si="548"/>
        <v>-3.6026210559297165</v>
      </c>
      <c r="Q221" s="158">
        <f t="shared" si="548"/>
        <v>-3.7922326904523334</v>
      </c>
      <c r="R221" s="158">
        <f t="shared" si="548"/>
        <v>-4.9299024975880323</v>
      </c>
      <c r="S221" s="158">
        <f t="shared" si="548"/>
        <v>-1.7065047107035498</v>
      </c>
      <c r="T221" s="101" t="e">
        <f t="shared" si="479"/>
        <v>#DIV/0!</v>
      </c>
      <c r="U221" s="110"/>
      <c r="V221" s="158">
        <f t="shared" ref="V221:AE221" si="549">(V220)/($N$2*100)</f>
        <v>-4.7402908630654164</v>
      </c>
      <c r="W221" s="158">
        <f t="shared" si="549"/>
        <v>-4.7402908630654164</v>
      </c>
      <c r="X221" s="158">
        <f t="shared" si="549"/>
        <v>-4.7402908630654164</v>
      </c>
      <c r="Y221" s="158">
        <f t="shared" si="549"/>
        <v>-4.7402908630654164</v>
      </c>
      <c r="Z221" s="158">
        <f t="shared" si="549"/>
        <v>-4.7402908630654164</v>
      </c>
      <c r="AA221" s="158">
        <f t="shared" si="549"/>
        <v>-4.7402908630654164</v>
      </c>
      <c r="AB221" s="158">
        <f t="shared" si="549"/>
        <v>-4.7402908630654164</v>
      </c>
      <c r="AC221" s="158">
        <f t="shared" si="549"/>
        <v>-4.7402908630654164</v>
      </c>
      <c r="AD221" s="158">
        <f t="shared" si="549"/>
        <v>-4.7402908630654164</v>
      </c>
      <c r="AE221" s="158">
        <f t="shared" si="549"/>
        <v>-4.7402908630654164</v>
      </c>
      <c r="AF221" s="116" t="e">
        <f t="shared" si="546"/>
        <v>#DIV/0!</v>
      </c>
      <c r="AG221" s="21">
        <f t="shared" si="542"/>
        <v>0.05</v>
      </c>
      <c r="AH221" s="158" t="e">
        <f>(AH207)/($N$2*100)</f>
        <v>#DIV/0!</v>
      </c>
    </row>
    <row r="222" spans="2:34">
      <c r="B222" s="10" t="s">
        <v>441</v>
      </c>
      <c r="C222" s="111"/>
      <c r="D222" s="111"/>
      <c r="E222" s="111"/>
      <c r="F222" s="111"/>
      <c r="G222" s="129">
        <f t="shared" ref="G222:H222" si="550">G221-1</f>
        <v>-1</v>
      </c>
      <c r="H222" s="129">
        <f t="shared" si="550"/>
        <v>-1</v>
      </c>
      <c r="I222" s="129">
        <f t="shared" ref="I222:S222" si="551">I221-1</f>
        <v>-1</v>
      </c>
      <c r="J222" s="129">
        <f t="shared" si="551"/>
        <v>-1</v>
      </c>
      <c r="K222" s="129">
        <f t="shared" si="551"/>
        <v>-1</v>
      </c>
      <c r="L222" s="129">
        <f t="shared" si="551"/>
        <v>-1</v>
      </c>
      <c r="M222" s="129">
        <f t="shared" si="551"/>
        <v>-10.480581726130833</v>
      </c>
      <c r="N222" s="129">
        <f t="shared" si="551"/>
        <v>-11.428639898743915</v>
      </c>
      <c r="O222" s="129">
        <f t="shared" si="551"/>
        <v>-6.8779606702011158</v>
      </c>
      <c r="P222" s="129">
        <f t="shared" si="551"/>
        <v>-4.6026210559297169</v>
      </c>
      <c r="Q222" s="129">
        <f t="shared" si="551"/>
        <v>-4.7922326904523338</v>
      </c>
      <c r="R222" s="129">
        <f t="shared" si="551"/>
        <v>-5.9299024975880323</v>
      </c>
      <c r="S222" s="129">
        <f t="shared" si="551"/>
        <v>-2.70650471070355</v>
      </c>
      <c r="T222" s="101">
        <f t="shared" si="479"/>
        <v>8.6510845062172548E-2</v>
      </c>
      <c r="U222" s="110"/>
      <c r="V222" s="129">
        <f t="shared" ref="V222:AE222" si="552">V221-1</f>
        <v>-5.7402908630654164</v>
      </c>
      <c r="W222" s="129">
        <f t="shared" si="552"/>
        <v>-5.7402908630654164</v>
      </c>
      <c r="X222" s="129">
        <f t="shared" si="552"/>
        <v>-5.7402908630654164</v>
      </c>
      <c r="Y222" s="129">
        <f t="shared" si="552"/>
        <v>-5.7402908630654164</v>
      </c>
      <c r="Z222" s="129">
        <f t="shared" si="552"/>
        <v>-5.7402908630654164</v>
      </c>
      <c r="AA222" s="129">
        <f t="shared" si="552"/>
        <v>-5.7402908630654164</v>
      </c>
      <c r="AB222" s="129">
        <f t="shared" si="552"/>
        <v>-5.7402908630654164</v>
      </c>
      <c r="AC222" s="129">
        <f t="shared" si="552"/>
        <v>-5.7402908630654164</v>
      </c>
      <c r="AD222" s="129">
        <f t="shared" si="552"/>
        <v>-5.7402908630654164</v>
      </c>
      <c r="AE222" s="129">
        <f t="shared" si="552"/>
        <v>-5.7402908630654164</v>
      </c>
      <c r="AF222" s="116">
        <f t="shared" si="546"/>
        <v>8.6775175291780471E-2</v>
      </c>
      <c r="AG222" s="21">
        <f t="shared" si="542"/>
        <v>0.05</v>
      </c>
      <c r="AH222" s="158" t="e">
        <f>(AH208)/($N$2*100)</f>
        <v>#DIV/0!</v>
      </c>
    </row>
    <row r="223" spans="2:34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76"/>
      <c r="N223" s="177"/>
      <c r="O223" s="113"/>
      <c r="P223" s="113"/>
      <c r="Q223" s="113"/>
      <c r="R223" s="113"/>
      <c r="S223" s="113"/>
      <c r="T223" s="110"/>
      <c r="U223" s="110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5"/>
      <c r="AG223" s="10"/>
      <c r="AH223" s="10"/>
    </row>
    <row r="224" spans="2:34">
      <c r="B224" s="10" t="s">
        <v>416</v>
      </c>
      <c r="C224" s="111"/>
      <c r="D224" s="111"/>
      <c r="E224" s="111"/>
      <c r="F224" s="111"/>
      <c r="G224" s="129" t="e">
        <f t="shared" ref="G224:S224" si="553">1/G225</f>
        <v>#DIV/0!</v>
      </c>
      <c r="H224" s="129" t="e">
        <f t="shared" si="553"/>
        <v>#DIV/0!</v>
      </c>
      <c r="I224" s="129" t="e">
        <f t="shared" si="553"/>
        <v>#DIV/0!</v>
      </c>
      <c r="J224" s="129" t="e">
        <f t="shared" si="553"/>
        <v>#DIV/0!</v>
      </c>
      <c r="K224" s="129" t="e">
        <f t="shared" si="553"/>
        <v>#DIV/0!</v>
      </c>
      <c r="L224" s="129" t="e">
        <f t="shared" si="553"/>
        <v>#DIV/0!</v>
      </c>
      <c r="M224" s="129">
        <f t="shared" si="553"/>
        <v>-2.3435136026875431E-2</v>
      </c>
      <c r="N224" s="129">
        <f t="shared" si="553"/>
        <v>-2.1304669115341301E-2</v>
      </c>
      <c r="O224" s="129">
        <f t="shared" si="553"/>
        <v>-3.779860649496037E-2</v>
      </c>
      <c r="P224" s="129">
        <f t="shared" si="553"/>
        <v>-6.1671410597040607E-2</v>
      </c>
      <c r="Q224" s="129">
        <f t="shared" si="553"/>
        <v>-5.8587840067188583E-2</v>
      </c>
      <c r="R224" s="129">
        <f t="shared" si="553"/>
        <v>-4.506756928245275E-2</v>
      </c>
      <c r="S224" s="129">
        <f t="shared" si="553"/>
        <v>-0.13019520014930794</v>
      </c>
      <c r="T224" s="101" t="e">
        <f t="shared" si="479"/>
        <v>#DIV/0!</v>
      </c>
      <c r="U224" s="110"/>
      <c r="V224" s="129">
        <f t="shared" ref="V224:AE224" si="554">1/V225</f>
        <v>-4.6870272053750862E-2</v>
      </c>
      <c r="W224" s="129">
        <f t="shared" si="554"/>
        <v>-4.6870272053750862E-2</v>
      </c>
      <c r="X224" s="129">
        <f t="shared" si="554"/>
        <v>-4.6870272053750862E-2</v>
      </c>
      <c r="Y224" s="129">
        <f t="shared" si="554"/>
        <v>-4.6870272053750862E-2</v>
      </c>
      <c r="Z224" s="129">
        <f t="shared" si="554"/>
        <v>-4.6870272053750862E-2</v>
      </c>
      <c r="AA224" s="129">
        <f t="shared" si="554"/>
        <v>-4.6870272053750862E-2</v>
      </c>
      <c r="AB224" s="129">
        <f t="shared" si="554"/>
        <v>-4.6870272053750862E-2</v>
      </c>
      <c r="AC224" s="129">
        <f t="shared" si="554"/>
        <v>-4.6870272053750862E-2</v>
      </c>
      <c r="AD224" s="129">
        <f t="shared" si="554"/>
        <v>-4.6870272053750862E-2</v>
      </c>
      <c r="AE224" s="129">
        <f t="shared" si="554"/>
        <v>-4.6870272053750862E-2</v>
      </c>
      <c r="AF224" s="116" t="e">
        <f t="shared" ref="AF224" si="555">((AE224/I224)^(1/($AE$3-$J$1) ))-1</f>
        <v>#DIV/0!</v>
      </c>
      <c r="AG224" s="21">
        <f t="shared" ref="AG224" si="556">$N$1</f>
        <v>0.05</v>
      </c>
      <c r="AH224" s="158">
        <f>(AH210)/($N$2*100)</f>
        <v>0</v>
      </c>
    </row>
    <row r="225" spans="2:34">
      <c r="B225" s="10" t="s">
        <v>418</v>
      </c>
      <c r="C225" s="111"/>
      <c r="D225" s="111"/>
      <c r="E225" s="111"/>
      <c r="F225" s="111"/>
      <c r="G225" s="113">
        <f t="shared" ref="G225:H225" si="557">G201/$S$170</f>
        <v>0</v>
      </c>
      <c r="H225" s="113">
        <f t="shared" si="557"/>
        <v>0</v>
      </c>
      <c r="I225" s="113">
        <f t="shared" ref="I225:R225" si="558">I201/$S$170</f>
        <v>0</v>
      </c>
      <c r="J225" s="113">
        <f t="shared" si="558"/>
        <v>0</v>
      </c>
      <c r="K225" s="113">
        <f t="shared" si="558"/>
        <v>0</v>
      </c>
      <c r="L225" s="113">
        <f t="shared" si="558"/>
        <v>0</v>
      </c>
      <c r="M225" s="113">
        <f t="shared" si="558"/>
        <v>-42.670970582513334</v>
      </c>
      <c r="N225" s="113">
        <f t="shared" si="558"/>
        <v>-46.938067640764672</v>
      </c>
      <c r="O225" s="113">
        <f t="shared" si="558"/>
        <v>-26.456001761158269</v>
      </c>
      <c r="P225" s="113">
        <f t="shared" si="558"/>
        <v>-16.214968821355068</v>
      </c>
      <c r="Q225" s="113">
        <f t="shared" si="558"/>
        <v>-17.068388233005333</v>
      </c>
      <c r="R225" s="113">
        <f t="shared" si="558"/>
        <v>-22.188904702906935</v>
      </c>
      <c r="S225" s="113">
        <f>S201/$S$170</f>
        <v>-7.6807747048524009</v>
      </c>
      <c r="T225" s="101" t="e">
        <f t="shared" si="479"/>
        <v>#DIV/0!</v>
      </c>
      <c r="U225" s="110"/>
      <c r="V225" s="113">
        <f t="shared" ref="V225:AE225" si="559">V201/$S$170</f>
        <v>-21.335485291256667</v>
      </c>
      <c r="W225" s="113">
        <f t="shared" si="559"/>
        <v>-21.335485291256667</v>
      </c>
      <c r="X225" s="113">
        <f t="shared" si="559"/>
        <v>-21.335485291256667</v>
      </c>
      <c r="Y225" s="113">
        <f t="shared" si="559"/>
        <v>-21.335485291256667</v>
      </c>
      <c r="Z225" s="113">
        <f t="shared" si="559"/>
        <v>-21.335485291256667</v>
      </c>
      <c r="AA225" s="113">
        <f t="shared" si="559"/>
        <v>-21.335485291256667</v>
      </c>
      <c r="AB225" s="113">
        <f t="shared" si="559"/>
        <v>-21.335485291256667</v>
      </c>
      <c r="AC225" s="113">
        <f t="shared" si="559"/>
        <v>-21.335485291256667</v>
      </c>
      <c r="AD225" s="113">
        <f t="shared" si="559"/>
        <v>-21.335485291256667</v>
      </c>
      <c r="AE225" s="113">
        <f t="shared" si="559"/>
        <v>-21.335485291256667</v>
      </c>
      <c r="AF225" s="116" t="e">
        <f t="shared" ref="AF225:AF227" si="560">((AE225/I225)^(1/($AE$3-$J$1) ))-1</f>
        <v>#DIV/0!</v>
      </c>
      <c r="AG225" s="21">
        <f t="shared" ref="AG225:AG227" si="561">$N$1</f>
        <v>0.05</v>
      </c>
      <c r="AH225" s="158">
        <f>(AH210)/($N$2*100)</f>
        <v>0</v>
      </c>
    </row>
    <row r="226" spans="2:34">
      <c r="B226" s="10" t="s">
        <v>439</v>
      </c>
      <c r="C226" s="111"/>
      <c r="D226" s="111"/>
      <c r="E226" s="111"/>
      <c r="F226" s="111"/>
      <c r="G226" s="158">
        <f t="shared" ref="G226:H226" si="562">(G225)/($N$2*100)</f>
        <v>0</v>
      </c>
      <c r="H226" s="158">
        <f t="shared" si="562"/>
        <v>0</v>
      </c>
      <c r="I226" s="158">
        <f t="shared" ref="I226:S226" si="563">(I225)/($N$2*100)</f>
        <v>0</v>
      </c>
      <c r="J226" s="158">
        <f t="shared" si="563"/>
        <v>0</v>
      </c>
      <c r="K226" s="158">
        <f t="shared" si="563"/>
        <v>0</v>
      </c>
      <c r="L226" s="158">
        <f t="shared" si="563"/>
        <v>0</v>
      </c>
      <c r="M226" s="158">
        <f t="shared" si="563"/>
        <v>-3.5559142152094445</v>
      </c>
      <c r="N226" s="158">
        <f t="shared" si="563"/>
        <v>-3.9115056367303893</v>
      </c>
      <c r="O226" s="158">
        <f t="shared" si="563"/>
        <v>-2.2046668134298559</v>
      </c>
      <c r="P226" s="158">
        <f t="shared" si="563"/>
        <v>-1.351247401779589</v>
      </c>
      <c r="Q226" s="158">
        <f t="shared" si="563"/>
        <v>-1.4223656860837777</v>
      </c>
      <c r="R226" s="158">
        <f t="shared" si="563"/>
        <v>-1.8490753919089113</v>
      </c>
      <c r="S226" s="158">
        <f t="shared" si="563"/>
        <v>-0.64006455873770007</v>
      </c>
      <c r="T226" s="101" t="e">
        <f t="shared" si="479"/>
        <v>#DIV/0!</v>
      </c>
      <c r="U226" s="110"/>
      <c r="V226" s="158">
        <f t="shared" ref="V226:AE226" si="564">(V225)/($N$2*100)</f>
        <v>-1.7779571076047223</v>
      </c>
      <c r="W226" s="158">
        <f t="shared" si="564"/>
        <v>-1.7779571076047223</v>
      </c>
      <c r="X226" s="158">
        <f t="shared" si="564"/>
        <v>-1.7779571076047223</v>
      </c>
      <c r="Y226" s="158">
        <f t="shared" si="564"/>
        <v>-1.7779571076047223</v>
      </c>
      <c r="Z226" s="158">
        <f t="shared" si="564"/>
        <v>-1.7779571076047223</v>
      </c>
      <c r="AA226" s="158">
        <f t="shared" si="564"/>
        <v>-1.7779571076047223</v>
      </c>
      <c r="AB226" s="158">
        <f t="shared" si="564"/>
        <v>-1.7779571076047223</v>
      </c>
      <c r="AC226" s="158">
        <f t="shared" si="564"/>
        <v>-1.7779571076047223</v>
      </c>
      <c r="AD226" s="158">
        <f t="shared" si="564"/>
        <v>-1.7779571076047223</v>
      </c>
      <c r="AE226" s="158">
        <f t="shared" si="564"/>
        <v>-1.7779571076047223</v>
      </c>
      <c r="AF226" s="116" t="e">
        <f t="shared" si="560"/>
        <v>#DIV/0!</v>
      </c>
      <c r="AG226" s="21">
        <f t="shared" si="561"/>
        <v>0.05</v>
      </c>
      <c r="AH226" s="158" t="e">
        <f>(#REF!)/($N$2*100)</f>
        <v>#REF!</v>
      </c>
    </row>
    <row r="227" spans="2:34">
      <c r="B227" s="10" t="s">
        <v>441</v>
      </c>
      <c r="C227" s="111"/>
      <c r="D227" s="111"/>
      <c r="E227" s="111"/>
      <c r="F227" s="111"/>
      <c r="G227" s="129">
        <f t="shared" ref="G227:H227" si="565">G226-1</f>
        <v>-1</v>
      </c>
      <c r="H227" s="129">
        <f t="shared" si="565"/>
        <v>-1</v>
      </c>
      <c r="I227" s="129">
        <f t="shared" ref="I227:S227" si="566">I226-1</f>
        <v>-1</v>
      </c>
      <c r="J227" s="129">
        <f t="shared" si="566"/>
        <v>-1</v>
      </c>
      <c r="K227" s="129">
        <f t="shared" si="566"/>
        <v>-1</v>
      </c>
      <c r="L227" s="129">
        <f t="shared" si="566"/>
        <v>-1</v>
      </c>
      <c r="M227" s="129">
        <f t="shared" si="566"/>
        <v>-4.5559142152094445</v>
      </c>
      <c r="N227" s="129">
        <f t="shared" si="566"/>
        <v>-4.9115056367303893</v>
      </c>
      <c r="O227" s="129">
        <f t="shared" si="566"/>
        <v>-3.2046668134298559</v>
      </c>
      <c r="P227" s="129">
        <f t="shared" si="566"/>
        <v>-2.351247401779589</v>
      </c>
      <c r="Q227" s="129">
        <f t="shared" si="566"/>
        <v>-2.4223656860837774</v>
      </c>
      <c r="R227" s="129">
        <f t="shared" si="566"/>
        <v>-2.8490753919089116</v>
      </c>
      <c r="S227" s="129">
        <f t="shared" si="566"/>
        <v>-1.6400645587377001</v>
      </c>
      <c r="T227" s="101">
        <f t="shared" si="479"/>
        <v>4.2089640704761733E-2</v>
      </c>
      <c r="U227" s="110"/>
      <c r="V227" s="129">
        <f t="shared" ref="V227:AE227" si="567">V226-1</f>
        <v>-2.7779571076047223</v>
      </c>
      <c r="W227" s="129">
        <f t="shared" si="567"/>
        <v>-2.7779571076047223</v>
      </c>
      <c r="X227" s="129">
        <f t="shared" si="567"/>
        <v>-2.7779571076047223</v>
      </c>
      <c r="Y227" s="129">
        <f t="shared" si="567"/>
        <v>-2.7779571076047223</v>
      </c>
      <c r="Z227" s="129">
        <f t="shared" si="567"/>
        <v>-2.7779571076047223</v>
      </c>
      <c r="AA227" s="129">
        <f t="shared" si="567"/>
        <v>-2.7779571076047223</v>
      </c>
      <c r="AB227" s="129">
        <f t="shared" si="567"/>
        <v>-2.7779571076047223</v>
      </c>
      <c r="AC227" s="129">
        <f t="shared" si="567"/>
        <v>-2.7779571076047223</v>
      </c>
      <c r="AD227" s="129">
        <f t="shared" si="567"/>
        <v>-2.7779571076047223</v>
      </c>
      <c r="AE227" s="129">
        <f t="shared" si="567"/>
        <v>-2.7779571076047223</v>
      </c>
      <c r="AF227" s="116">
        <f t="shared" si="560"/>
        <v>4.9856127689071439E-2</v>
      </c>
      <c r="AG227" s="21">
        <f t="shared" si="561"/>
        <v>0.05</v>
      </c>
      <c r="AH227" s="158" t="e">
        <f>(AH211)/($N$2*100)</f>
        <v>#DIV/0!</v>
      </c>
    </row>
    <row r="228" spans="2:34">
      <c r="B228" s="10"/>
      <c r="C228" s="111"/>
      <c r="D228" s="111"/>
      <c r="E228" s="111"/>
      <c r="F228" s="111"/>
      <c r="G228" s="111"/>
      <c r="H228" s="111"/>
      <c r="I228" s="113"/>
      <c r="J228" s="113"/>
      <c r="K228" s="113"/>
      <c r="L228" s="113"/>
      <c r="M228" s="176"/>
      <c r="N228" s="177"/>
      <c r="O228" s="113"/>
      <c r="P228" s="113"/>
      <c r="Q228" s="113"/>
      <c r="R228" s="113"/>
      <c r="S228" s="113"/>
      <c r="T228" s="110"/>
      <c r="U228" s="110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5"/>
      <c r="AG228" s="10"/>
      <c r="AH228" s="10"/>
    </row>
    <row r="229" spans="2:34">
      <c r="B229" s="10" t="s">
        <v>416</v>
      </c>
      <c r="C229" s="111"/>
      <c r="D229" s="111"/>
      <c r="E229" s="111"/>
      <c r="F229" s="111"/>
      <c r="G229" s="129" t="e">
        <f t="shared" ref="G229:R229" si="568">1/G230</f>
        <v>#DIV/0!</v>
      </c>
      <c r="H229" s="129" t="e">
        <f t="shared" si="568"/>
        <v>#DIV/0!</v>
      </c>
      <c r="I229" s="129" t="e">
        <f t="shared" si="568"/>
        <v>#DIV/0!</v>
      </c>
      <c r="J229" s="129" t="e">
        <f t="shared" si="568"/>
        <v>#DIV/0!</v>
      </c>
      <c r="K229" s="129" t="e">
        <f t="shared" si="568"/>
        <v>#DIV/0!</v>
      </c>
      <c r="L229" s="129" t="e">
        <f t="shared" si="568"/>
        <v>#DIV/0!</v>
      </c>
      <c r="M229" s="129">
        <f t="shared" si="568"/>
        <v>1.8674927634125791E-2</v>
      </c>
      <c r="N229" s="129">
        <f t="shared" si="568"/>
        <v>1.6977206940114356E-2</v>
      </c>
      <c r="O229" s="129">
        <f t="shared" si="568"/>
        <v>3.0120851022783536E-2</v>
      </c>
      <c r="P229" s="129">
        <f t="shared" si="568"/>
        <v>4.9144546405594187E-2</v>
      </c>
      <c r="Q229" s="129">
        <f t="shared" si="568"/>
        <v>4.6687319085314476E-2</v>
      </c>
      <c r="R229" s="129">
        <f t="shared" si="568"/>
        <v>3.5913322373318825E-2</v>
      </c>
      <c r="S229" s="129">
        <f>1/S230</f>
        <v>0.10374959796736551</v>
      </c>
      <c r="T229" s="101" t="e">
        <f t="shared" ref="T229:T232" si="569">((S229/G229)^(1/($J$2-$J$1) ))-1</f>
        <v>#DIV/0!</v>
      </c>
      <c r="U229" s="110"/>
      <c r="V229" s="129">
        <f t="shared" ref="V229:AE229" si="570">1/V230</f>
        <v>-0.62396332740555382</v>
      </c>
      <c r="W229" s="129">
        <f t="shared" si="570"/>
        <v>-0.68513620264139252</v>
      </c>
      <c r="X229" s="129">
        <f t="shared" si="570"/>
        <v>-0.75230641858662717</v>
      </c>
      <c r="Y229" s="129">
        <f t="shared" si="570"/>
        <v>-0.82606194982061021</v>
      </c>
      <c r="Z229" s="129">
        <f t="shared" si="570"/>
        <v>-0.9070484154892976</v>
      </c>
      <c r="AA229" s="129">
        <f t="shared" si="570"/>
        <v>-0.99597473073334652</v>
      </c>
      <c r="AB229" s="129">
        <f t="shared" si="570"/>
        <v>-1.0936193121777926</v>
      </c>
      <c r="AC229" s="129">
        <f t="shared" si="570"/>
        <v>-1.2008368918030663</v>
      </c>
      <c r="AD229" s="129">
        <f t="shared" si="570"/>
        <v>-1.3185659988425826</v>
      </c>
      <c r="AE229" s="129">
        <f t="shared" si="570"/>
        <v>-1.4478371751996986</v>
      </c>
      <c r="AF229" s="116" t="e">
        <f t="shared" ref="AF229:AF232" si="571">((AE229/I229)^(1/($AE$3-$J$1) ))-1</f>
        <v>#DIV/0!</v>
      </c>
      <c r="AG229" s="21">
        <f t="shared" ref="AG229:AG232" si="572">$N$1</f>
        <v>0.05</v>
      </c>
      <c r="AH229" s="158" t="e">
        <f>(AH215)/($N$2*100)</f>
        <v>#DIV/0!</v>
      </c>
    </row>
    <row r="230" spans="2:34">
      <c r="B230" s="10" t="s">
        <v>513</v>
      </c>
      <c r="C230" s="111"/>
      <c r="D230" s="111"/>
      <c r="E230" s="111"/>
      <c r="F230" s="111"/>
      <c r="G230" s="113">
        <f t="shared" ref="G230:R230" si="573">G201/$V$171</f>
        <v>0</v>
      </c>
      <c r="H230" s="113">
        <f t="shared" si="573"/>
        <v>0</v>
      </c>
      <c r="I230" s="113">
        <f t="shared" si="573"/>
        <v>0</v>
      </c>
      <c r="J230" s="113">
        <f t="shared" si="573"/>
        <v>0</v>
      </c>
      <c r="K230" s="113">
        <f t="shared" si="573"/>
        <v>0</v>
      </c>
      <c r="L230" s="113">
        <f t="shared" si="573"/>
        <v>0</v>
      </c>
      <c r="M230" s="113">
        <f t="shared" si="573"/>
        <v>53.547730925213401</v>
      </c>
      <c r="N230" s="113">
        <f t="shared" si="573"/>
        <v>58.902504017734742</v>
      </c>
      <c r="O230" s="113">
        <f t="shared" si="573"/>
        <v>33.199593173632309</v>
      </c>
      <c r="P230" s="113">
        <f t="shared" si="573"/>
        <v>20.348137751581092</v>
      </c>
      <c r="Q230" s="113">
        <f t="shared" si="573"/>
        <v>21.419092370085362</v>
      </c>
      <c r="R230" s="113">
        <f t="shared" si="573"/>
        <v>27.844820081110971</v>
      </c>
      <c r="S230" s="113">
        <f>S201/$V$171</f>
        <v>9.6385915665384125</v>
      </c>
      <c r="T230" s="101" t="e">
        <f t="shared" si="569"/>
        <v>#DIV/0!</v>
      </c>
      <c r="U230" s="110"/>
      <c r="V230" s="113">
        <f t="shared" ref="V230:AE230" si="574">V206/$S$170</f>
        <v>-1.6026582910858089</v>
      </c>
      <c r="W230" s="113">
        <f t="shared" si="574"/>
        <v>-1.45956380081029</v>
      </c>
      <c r="X230" s="113">
        <f t="shared" si="574"/>
        <v>-1.3292456043093712</v>
      </c>
      <c r="Y230" s="113">
        <f t="shared" si="574"/>
        <v>-1.2105629610674631</v>
      </c>
      <c r="Z230" s="113">
        <f t="shared" si="574"/>
        <v>-1.1024769824007252</v>
      </c>
      <c r="AA230" s="113">
        <f t="shared" si="574"/>
        <v>-1.0040415375435174</v>
      </c>
      <c r="AB230" s="113">
        <f t="shared" si="574"/>
        <v>-0.91439497169141737</v>
      </c>
      <c r="AC230" s="113">
        <f t="shared" si="574"/>
        <v>-0.83275256350468374</v>
      </c>
      <c r="AD230" s="113">
        <f t="shared" si="574"/>
        <v>-0.75839965604890835</v>
      </c>
      <c r="AE230" s="113">
        <f t="shared" si="574"/>
        <v>-0.69068540104454157</v>
      </c>
      <c r="AF230" s="116" t="e">
        <f t="shared" si="571"/>
        <v>#DIV/0!</v>
      </c>
      <c r="AG230" s="21">
        <f t="shared" si="572"/>
        <v>0.05</v>
      </c>
      <c r="AH230" s="158" t="e">
        <f>(AH215)/($N$2*100)</f>
        <v>#DIV/0!</v>
      </c>
    </row>
    <row r="231" spans="2:34">
      <c r="B231" s="10" t="s">
        <v>439</v>
      </c>
      <c r="C231" s="111"/>
      <c r="D231" s="111"/>
      <c r="E231" s="111"/>
      <c r="F231" s="111"/>
      <c r="G231" s="158">
        <f t="shared" ref="G231:S231" si="575">(G230)/($N$2*100)</f>
        <v>0</v>
      </c>
      <c r="H231" s="158">
        <f t="shared" si="575"/>
        <v>0</v>
      </c>
      <c r="I231" s="158">
        <f t="shared" si="575"/>
        <v>0</v>
      </c>
      <c r="J231" s="158">
        <f t="shared" si="575"/>
        <v>0</v>
      </c>
      <c r="K231" s="158">
        <f t="shared" si="575"/>
        <v>0</v>
      </c>
      <c r="L231" s="158">
        <f t="shared" si="575"/>
        <v>0</v>
      </c>
      <c r="M231" s="158">
        <f t="shared" si="575"/>
        <v>4.4623109104344501</v>
      </c>
      <c r="N231" s="158">
        <f t="shared" si="575"/>
        <v>4.9085420014778949</v>
      </c>
      <c r="O231" s="158">
        <f t="shared" si="575"/>
        <v>2.7666327644693589</v>
      </c>
      <c r="P231" s="158">
        <f t="shared" si="575"/>
        <v>1.6956781459650909</v>
      </c>
      <c r="Q231" s="158">
        <f t="shared" si="575"/>
        <v>1.7849243641737802</v>
      </c>
      <c r="R231" s="158">
        <f t="shared" si="575"/>
        <v>2.3204016734259141</v>
      </c>
      <c r="S231" s="158">
        <f t="shared" si="575"/>
        <v>0.80321596387820104</v>
      </c>
      <c r="T231" s="101" t="e">
        <f t="shared" si="569"/>
        <v>#DIV/0!</v>
      </c>
      <c r="U231" s="110"/>
      <c r="V231" s="158">
        <f t="shared" ref="V231:AE231" si="576">(V230)/($N$2*100)</f>
        <v>-0.13355485759048408</v>
      </c>
      <c r="W231" s="158">
        <f t="shared" si="576"/>
        <v>-0.12163031673419084</v>
      </c>
      <c r="X231" s="158">
        <f t="shared" si="576"/>
        <v>-0.11077046702578093</v>
      </c>
      <c r="Y231" s="158">
        <f t="shared" si="576"/>
        <v>-0.10088024675562192</v>
      </c>
      <c r="Z231" s="158">
        <f t="shared" si="576"/>
        <v>-9.1873081866727102E-2</v>
      </c>
      <c r="AA231" s="158">
        <f t="shared" si="576"/>
        <v>-8.3670128128626453E-2</v>
      </c>
      <c r="AB231" s="158">
        <f t="shared" si="576"/>
        <v>-7.6199580974284781E-2</v>
      </c>
      <c r="AC231" s="158">
        <f t="shared" si="576"/>
        <v>-6.9396046958723645E-2</v>
      </c>
      <c r="AD231" s="158">
        <f t="shared" si="576"/>
        <v>-6.3199971337409025E-2</v>
      </c>
      <c r="AE231" s="158">
        <f t="shared" si="576"/>
        <v>-5.75571167537118E-2</v>
      </c>
      <c r="AF231" s="116" t="e">
        <f t="shared" si="571"/>
        <v>#DIV/0!</v>
      </c>
      <c r="AG231" s="21">
        <f t="shared" si="572"/>
        <v>0.05</v>
      </c>
      <c r="AH231" s="158" t="e">
        <f>(#REF!)/($N$2*100)</f>
        <v>#REF!</v>
      </c>
    </row>
    <row r="232" spans="2:34">
      <c r="B232" s="10" t="s">
        <v>441</v>
      </c>
      <c r="C232" s="111"/>
      <c r="D232" s="111"/>
      <c r="E232" s="111"/>
      <c r="F232" s="111"/>
      <c r="G232" s="129">
        <f t="shared" ref="G232:S232" si="577">G231-1</f>
        <v>-1</v>
      </c>
      <c r="H232" s="129">
        <f t="shared" si="577"/>
        <v>-1</v>
      </c>
      <c r="I232" s="129">
        <f t="shared" si="577"/>
        <v>-1</v>
      </c>
      <c r="J232" s="129">
        <f t="shared" si="577"/>
        <v>-1</v>
      </c>
      <c r="K232" s="129">
        <f t="shared" si="577"/>
        <v>-1</v>
      </c>
      <c r="L232" s="129">
        <f t="shared" si="577"/>
        <v>-1</v>
      </c>
      <c r="M232" s="129">
        <f t="shared" si="577"/>
        <v>3.4623109104344501</v>
      </c>
      <c r="N232" s="129">
        <f t="shared" si="577"/>
        <v>3.9085420014778949</v>
      </c>
      <c r="O232" s="129">
        <f t="shared" si="577"/>
        <v>1.7666327644693589</v>
      </c>
      <c r="P232" s="129">
        <f t="shared" si="577"/>
        <v>0.69567814596509092</v>
      </c>
      <c r="Q232" s="129">
        <f t="shared" si="577"/>
        <v>0.7849243641737802</v>
      </c>
      <c r="R232" s="129">
        <f t="shared" si="577"/>
        <v>1.3204016734259141</v>
      </c>
      <c r="S232" s="129">
        <f t="shared" si="577"/>
        <v>-0.19678403612179896</v>
      </c>
      <c r="T232" s="101">
        <f t="shared" si="569"/>
        <v>-0.12669525070310694</v>
      </c>
      <c r="U232" s="110"/>
      <c r="V232" s="129">
        <f t="shared" ref="V232:AE232" si="578">V231-1</f>
        <v>-1.1335548575904841</v>
      </c>
      <c r="W232" s="129">
        <f t="shared" si="578"/>
        <v>-1.1216303167341908</v>
      </c>
      <c r="X232" s="129">
        <f t="shared" si="578"/>
        <v>-1.110770467025781</v>
      </c>
      <c r="Y232" s="129">
        <f t="shared" si="578"/>
        <v>-1.100880246755622</v>
      </c>
      <c r="Z232" s="129">
        <f t="shared" si="578"/>
        <v>-1.091873081866727</v>
      </c>
      <c r="AA232" s="129">
        <f t="shared" si="578"/>
        <v>-1.0836701281286265</v>
      </c>
      <c r="AB232" s="129">
        <f t="shared" si="578"/>
        <v>-1.0761995809742848</v>
      </c>
      <c r="AC232" s="129">
        <f t="shared" si="578"/>
        <v>-1.0693960469587236</v>
      </c>
      <c r="AD232" s="129">
        <f t="shared" si="578"/>
        <v>-1.063199971337409</v>
      </c>
      <c r="AE232" s="129">
        <f t="shared" si="578"/>
        <v>-1.0575571167537119</v>
      </c>
      <c r="AF232" s="116">
        <f t="shared" si="571"/>
        <v>2.6683939183436145E-3</v>
      </c>
      <c r="AG232" s="21">
        <f t="shared" si="572"/>
        <v>0.05</v>
      </c>
      <c r="AH232" s="158" t="e">
        <f>(AH216)/($N$2*100)</f>
        <v>#DIV/0!</v>
      </c>
    </row>
    <row r="233" spans="2:34">
      <c r="B233" s="10"/>
      <c r="C233" s="111"/>
      <c r="D233" s="111"/>
      <c r="E233" s="111"/>
      <c r="F233" s="111"/>
      <c r="G233" s="111"/>
      <c r="H233" s="111"/>
      <c r="I233" s="113"/>
      <c r="J233" s="113"/>
      <c r="K233" s="113"/>
      <c r="L233" s="113"/>
      <c r="M233" s="176"/>
      <c r="N233" s="177"/>
      <c r="O233" s="113"/>
      <c r="P233" s="113"/>
      <c r="Q233" s="113"/>
      <c r="R233" s="113"/>
      <c r="S233" s="113"/>
      <c r="T233" s="110"/>
      <c r="U233" s="110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5"/>
      <c r="AG233" s="10"/>
      <c r="AH233" s="10"/>
    </row>
    <row r="234" spans="2:34">
      <c r="B234" s="10"/>
      <c r="C234" s="111"/>
      <c r="D234" s="111"/>
      <c r="E234" s="111"/>
      <c r="F234" s="111"/>
      <c r="G234" s="111"/>
      <c r="H234" s="111"/>
      <c r="I234" s="113"/>
      <c r="J234" s="113"/>
      <c r="K234" s="113"/>
      <c r="L234" s="113"/>
      <c r="M234" s="176"/>
      <c r="N234" s="177"/>
      <c r="O234" s="113"/>
      <c r="P234" s="113"/>
      <c r="Q234" s="113"/>
      <c r="R234" s="113"/>
      <c r="S234" s="113"/>
      <c r="T234" s="110"/>
      <c r="U234" s="110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5"/>
      <c r="AG234" s="10"/>
      <c r="AH234" s="10"/>
    </row>
    <row r="235" spans="2:34">
      <c r="B235" s="10"/>
      <c r="C235" s="111"/>
      <c r="D235" s="111"/>
      <c r="E235" s="111"/>
      <c r="F235" s="111"/>
      <c r="G235" s="111"/>
      <c r="H235" s="111"/>
      <c r="I235" s="113"/>
      <c r="J235" s="113"/>
      <c r="K235" s="113"/>
      <c r="L235" s="113"/>
      <c r="M235" s="176"/>
      <c r="N235" s="177"/>
      <c r="O235" s="113"/>
      <c r="P235" s="113"/>
      <c r="Q235" s="113"/>
      <c r="R235" s="113"/>
      <c r="S235" s="113"/>
      <c r="T235" s="110"/>
      <c r="U235" s="110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5"/>
      <c r="AG235" s="10"/>
      <c r="AH235" s="10"/>
    </row>
    <row r="236" spans="2:34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312" t="s">
        <v>296</v>
      </c>
      <c r="N236" s="313"/>
      <c r="O236" s="10"/>
      <c r="P236" s="10"/>
      <c r="Q236" s="10"/>
      <c r="R236" s="93" t="s">
        <v>375</v>
      </c>
      <c r="S236" s="93" t="s">
        <v>374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15"/>
      <c r="AG236" s="10"/>
      <c r="AH236" s="10"/>
    </row>
    <row r="237" spans="2:34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297</v>
      </c>
      <c r="N237" s="12">
        <v>1</v>
      </c>
      <c r="O237" s="10"/>
      <c r="P237" s="10"/>
      <c r="Q237" s="10"/>
      <c r="R237" s="110">
        <f>(S201-U188)/S201</f>
        <v>1</v>
      </c>
      <c r="S237" s="110">
        <f>(S201-V188)/S201</f>
        <v>1</v>
      </c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15"/>
      <c r="AG237" s="10"/>
      <c r="AH237" s="10"/>
    </row>
    <row r="238" spans="2:34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49">
        <f>$N$237</f>
        <v>1</v>
      </c>
      <c r="N238" s="10"/>
      <c r="O238" s="110">
        <f>(R201-(M238*U179))/R201</f>
        <v>125.64406598063543</v>
      </c>
      <c r="P238" s="10"/>
      <c r="Q238" s="10"/>
      <c r="R238" s="110">
        <f>(S201-U179)/S201</f>
        <v>361.08285727739127</v>
      </c>
      <c r="S238" s="110">
        <f>(S201-V179)/S201</f>
        <v>11.002301591038647</v>
      </c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15"/>
      <c r="AG238" s="10"/>
      <c r="AH238" s="10"/>
    </row>
    <row r="239" spans="2:34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49">
        <f>$N$237</f>
        <v>1</v>
      </c>
      <c r="N239" s="10"/>
      <c r="O239" s="110">
        <f>(R201-(M239*U172))/R201</f>
        <v>-6.0894824183444314</v>
      </c>
      <c r="P239" s="10"/>
      <c r="Q239" s="10"/>
      <c r="R239" s="110">
        <f>(S201-U172)/S201</f>
        <v>-19.480726986328357</v>
      </c>
      <c r="S239" s="110">
        <f>(S201-V172)/S201</f>
        <v>0.43109091704643454</v>
      </c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15"/>
      <c r="AG239" s="10"/>
      <c r="AH239" s="10"/>
    </row>
    <row r="240" spans="2:34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49">
        <f>$N$237</f>
        <v>1</v>
      </c>
      <c r="N240" s="10"/>
      <c r="O240" s="110">
        <f>(R201-(M240*U185))/R201</f>
        <v>-2.2509927126698517</v>
      </c>
      <c r="P240" s="10"/>
      <c r="Q240" s="10"/>
      <c r="R240" s="110">
        <f>(S201-U185)/S201</f>
        <v>-8.3917567254906835</v>
      </c>
      <c r="S240" s="110">
        <f>(S201-V185)/S201</f>
        <v>0.73911786873636987</v>
      </c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15"/>
      <c r="AG240" s="10"/>
      <c r="AH240" s="10"/>
    </row>
    <row r="241" spans="2:48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49">
        <f>$N$237</f>
        <v>1</v>
      </c>
      <c r="N241" s="10"/>
      <c r="O241" s="110">
        <f>(R201-(M241*U198))/R201</f>
        <v>0.70893762348745504</v>
      </c>
      <c r="P241" s="10"/>
      <c r="Q241" s="10"/>
      <c r="R241" s="110">
        <f>(S201-U198)/S201</f>
        <v>0.15915313451931448</v>
      </c>
      <c r="S241" s="110">
        <f>(S201-V198)/S201</f>
        <v>0.7538527625667748</v>
      </c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15"/>
      <c r="AG241" s="10"/>
      <c r="AH241" s="10"/>
    </row>
    <row r="242" spans="2:48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5">
        <f>S201/U171</f>
        <v>0.26773865462606694</v>
      </c>
      <c r="S242" s="15">
        <f>S201/V171</f>
        <v>9.6385915665384125</v>
      </c>
      <c r="T242" s="10"/>
      <c r="U242" s="10"/>
      <c r="V242" s="98" t="s">
        <v>5</v>
      </c>
      <c r="W242" s="98" t="s">
        <v>6</v>
      </c>
      <c r="X242" s="98" t="s">
        <v>7</v>
      </c>
      <c r="Y242" s="98" t="s">
        <v>8</v>
      </c>
      <c r="Z242" s="98" t="s">
        <v>9</v>
      </c>
      <c r="AA242" s="98" t="s">
        <v>192</v>
      </c>
      <c r="AB242" s="98" t="s">
        <v>193</v>
      </c>
      <c r="AC242" s="98" t="s">
        <v>194</v>
      </c>
      <c r="AD242" s="98" t="s">
        <v>195</v>
      </c>
      <c r="AE242" s="98" t="s">
        <v>196</v>
      </c>
      <c r="AF242" s="98" t="s">
        <v>352</v>
      </c>
      <c r="AG242" s="98" t="s">
        <v>353</v>
      </c>
      <c r="AH242" s="98" t="s">
        <v>354</v>
      </c>
      <c r="AI242" s="98" t="s">
        <v>355</v>
      </c>
      <c r="AJ242" s="98" t="s">
        <v>356</v>
      </c>
      <c r="AK242" s="98" t="s">
        <v>357</v>
      </c>
      <c r="AL242" s="98" t="s">
        <v>358</v>
      </c>
      <c r="AM242" s="98" t="s">
        <v>359</v>
      </c>
      <c r="AN242" s="98" t="s">
        <v>360</v>
      </c>
      <c r="AO242" s="98" t="s">
        <v>361</v>
      </c>
      <c r="AP242" s="98" t="s">
        <v>362</v>
      </c>
      <c r="AQ242" s="98" t="s">
        <v>363</v>
      </c>
      <c r="AR242" s="98" t="s">
        <v>364</v>
      </c>
      <c r="AS242" s="98" t="s">
        <v>365</v>
      </c>
      <c r="AT242" s="98" t="s">
        <v>366</v>
      </c>
      <c r="AU242" s="98" t="s">
        <v>367</v>
      </c>
      <c r="AV242" s="98" t="s">
        <v>368</v>
      </c>
    </row>
    <row r="243" spans="2:48">
      <c r="B243" s="10" t="s">
        <v>316</v>
      </c>
      <c r="C243" s="10"/>
      <c r="D243" s="10"/>
      <c r="E243" s="10"/>
      <c r="F243" s="10"/>
      <c r="G243" s="10"/>
      <c r="H243" s="10"/>
      <c r="I243" s="166" t="s">
        <v>391</v>
      </c>
      <c r="J243" s="167"/>
      <c r="K243" s="166" t="s">
        <v>392</v>
      </c>
      <c r="L243" s="167"/>
      <c r="M243" s="10"/>
      <c r="N243" s="166" t="s">
        <v>393</v>
      </c>
      <c r="O243" s="167"/>
      <c r="P243" s="166" t="s">
        <v>394</v>
      </c>
      <c r="Q243" s="167"/>
      <c r="R243" s="129">
        <f>1/R242</f>
        <v>3.7349855268251591</v>
      </c>
      <c r="S243" s="129">
        <f>1/S242</f>
        <v>0.10374959796736551</v>
      </c>
      <c r="T243" s="10"/>
      <c r="U243" s="10"/>
      <c r="V243" s="111" t="e">
        <f>S201-V244</f>
        <v>#DIV/0!</v>
      </c>
      <c r="W243" s="162" t="e">
        <f>V243-W244</f>
        <v>#DIV/0!</v>
      </c>
      <c r="X243" s="162" t="e">
        <f t="shared" ref="X243:Z243" si="579">W243-X244</f>
        <v>#DIV/0!</v>
      </c>
      <c r="Y243" s="162" t="e">
        <f t="shared" si="579"/>
        <v>#DIV/0!</v>
      </c>
      <c r="Z243" s="162" t="e">
        <f t="shared" si="579"/>
        <v>#DIV/0!</v>
      </c>
      <c r="AA243" s="162" t="e">
        <f>Z243-AA244</f>
        <v>#DIV/0!</v>
      </c>
      <c r="AB243" s="162" t="e">
        <f t="shared" ref="AB243:AE243" si="580">AA243-AB244</f>
        <v>#DIV/0!</v>
      </c>
      <c r="AC243" s="162" t="e">
        <f t="shared" si="580"/>
        <v>#DIV/0!</v>
      </c>
      <c r="AD243" s="162" t="e">
        <f t="shared" si="580"/>
        <v>#DIV/0!</v>
      </c>
      <c r="AE243" s="162" t="e">
        <f t="shared" si="580"/>
        <v>#DIV/0!</v>
      </c>
      <c r="AF243" s="162" t="e">
        <f t="shared" ref="AF243" si="581">AE243-AF244</f>
        <v>#DIV/0!</v>
      </c>
      <c r="AG243" s="162" t="e">
        <f t="shared" ref="AG243" si="582">AF243-AG244</f>
        <v>#DIV/0!</v>
      </c>
      <c r="AH243" s="162" t="e">
        <f t="shared" ref="AH243" si="583">AG243-AH244</f>
        <v>#DIV/0!</v>
      </c>
      <c r="AI243" s="162" t="e">
        <f t="shared" ref="AI243" si="584">AH243-AI244</f>
        <v>#DIV/0!</v>
      </c>
      <c r="AJ243" s="162" t="e">
        <f t="shared" ref="AJ243" si="585">AI243-AJ244</f>
        <v>#DIV/0!</v>
      </c>
      <c r="AK243" s="162" t="e">
        <f t="shared" ref="AK243" si="586">AJ243-AK244</f>
        <v>#DIV/0!</v>
      </c>
      <c r="AL243" s="162" t="e">
        <f t="shared" ref="AL243" si="587">AK243-AL244</f>
        <v>#DIV/0!</v>
      </c>
      <c r="AM243" s="162" t="e">
        <f t="shared" ref="AM243" si="588">AL243-AM244</f>
        <v>#DIV/0!</v>
      </c>
      <c r="AN243" s="162" t="e">
        <f t="shared" ref="AN243" si="589">AM243-AN244</f>
        <v>#DIV/0!</v>
      </c>
      <c r="AO243" s="162" t="e">
        <f t="shared" ref="AO243" si="590">AN243-AO244</f>
        <v>#DIV/0!</v>
      </c>
      <c r="AP243" s="162" t="e">
        <f t="shared" ref="AP243" si="591">AO243-AP244</f>
        <v>#DIV/0!</v>
      </c>
      <c r="AQ243" s="162" t="e">
        <f t="shared" ref="AQ243" si="592">AP243-AQ244</f>
        <v>#DIV/0!</v>
      </c>
      <c r="AR243" s="162" t="e">
        <f t="shared" ref="AR243" si="593">AQ243-AR244</f>
        <v>#DIV/0!</v>
      </c>
      <c r="AS243" s="162" t="e">
        <f t="shared" ref="AS243" si="594">AR243-AS244</f>
        <v>#DIV/0!</v>
      </c>
      <c r="AT243" s="162" t="e">
        <f t="shared" ref="AT243" si="595">AS243-AT244</f>
        <v>#DIV/0!</v>
      </c>
      <c r="AU243" s="162" t="e">
        <f t="shared" ref="AU243" si="596">AT243-AU244</f>
        <v>#DIV/0!</v>
      </c>
      <c r="AV243" s="162" t="e">
        <f t="shared" ref="AV243" si="597">AU243-AV244</f>
        <v>#DIV/0!</v>
      </c>
    </row>
    <row r="244" spans="2:48">
      <c r="B244" s="10" t="s">
        <v>341</v>
      </c>
      <c r="C244" s="10"/>
      <c r="D244" s="10"/>
      <c r="E244" s="10"/>
      <c r="F244" s="10"/>
      <c r="G244" s="10"/>
      <c r="H244" s="10"/>
      <c r="I244" s="168">
        <v>0</v>
      </c>
      <c r="J244" s="167"/>
      <c r="K244" s="168">
        <v>0.05</v>
      </c>
      <c r="L244" s="167"/>
      <c r="M244" s="161">
        <v>0.2</v>
      </c>
      <c r="N244" s="168">
        <v>0.12</v>
      </c>
      <c r="O244" s="167"/>
      <c r="P244" s="168">
        <v>0.2</v>
      </c>
      <c r="Q244" s="175" t="s">
        <v>231</v>
      </c>
      <c r="R244" s="158">
        <f>S201/U170</f>
        <v>-20.478056528442597</v>
      </c>
      <c r="S244" s="158" t="s">
        <v>412</v>
      </c>
      <c r="T244" s="10"/>
      <c r="U244" s="10"/>
      <c r="V244" s="163" t="e">
        <f>T170*(1+$M$244)</f>
        <v>#DIV/0!</v>
      </c>
      <c r="W244" s="163" t="e">
        <f>V244*(1+$M$244)</f>
        <v>#DIV/0!</v>
      </c>
      <c r="X244" s="163" t="e">
        <f t="shared" ref="X244:AE244" si="598">W244*(1+$M$244)</f>
        <v>#DIV/0!</v>
      </c>
      <c r="Y244" s="163" t="e">
        <f t="shared" si="598"/>
        <v>#DIV/0!</v>
      </c>
      <c r="Z244" s="163" t="e">
        <f t="shared" si="598"/>
        <v>#DIV/0!</v>
      </c>
      <c r="AA244" s="163" t="e">
        <f t="shared" si="598"/>
        <v>#DIV/0!</v>
      </c>
      <c r="AB244" s="163" t="e">
        <f t="shared" si="598"/>
        <v>#DIV/0!</v>
      </c>
      <c r="AC244" s="163" t="e">
        <f t="shared" si="598"/>
        <v>#DIV/0!</v>
      </c>
      <c r="AD244" s="163" t="e">
        <f t="shared" si="598"/>
        <v>#DIV/0!</v>
      </c>
      <c r="AE244" s="163" t="e">
        <f t="shared" si="598"/>
        <v>#DIV/0!</v>
      </c>
      <c r="AF244" s="163" t="e">
        <f t="shared" ref="AF244" si="599">AE244*(1+$M$244)</f>
        <v>#DIV/0!</v>
      </c>
      <c r="AG244" s="163" t="e">
        <f t="shared" ref="AG244" si="600">AF244*(1+$M$244)</f>
        <v>#DIV/0!</v>
      </c>
      <c r="AH244" s="163" t="e">
        <f t="shared" ref="AH244" si="601">AG244*(1+$M$244)</f>
        <v>#DIV/0!</v>
      </c>
      <c r="AI244" s="163" t="e">
        <f t="shared" ref="AI244" si="602">AH244*(1+$M$244)</f>
        <v>#DIV/0!</v>
      </c>
      <c r="AJ244" s="163" t="e">
        <f t="shared" ref="AJ244" si="603">AI244*(1+$M$244)</f>
        <v>#DIV/0!</v>
      </c>
      <c r="AK244" s="163" t="e">
        <f t="shared" ref="AK244" si="604">AJ244*(1+$M$244)</f>
        <v>#DIV/0!</v>
      </c>
      <c r="AL244" s="163" t="e">
        <f t="shared" ref="AL244" si="605">AK244*(1+$M$244)</f>
        <v>#DIV/0!</v>
      </c>
      <c r="AM244" s="163" t="e">
        <f t="shared" ref="AM244" si="606">AL244*(1+$M$244)</f>
        <v>#DIV/0!</v>
      </c>
      <c r="AN244" s="163" t="e">
        <f t="shared" ref="AN244" si="607">AM244*(1+$M$244)</f>
        <v>#DIV/0!</v>
      </c>
      <c r="AO244" s="163" t="e">
        <f t="shared" ref="AO244" si="608">AN244*(1+$M$244)</f>
        <v>#DIV/0!</v>
      </c>
      <c r="AP244" s="163" t="e">
        <f t="shared" ref="AP244" si="609">AO244*(1+$M$244)</f>
        <v>#DIV/0!</v>
      </c>
      <c r="AQ244" s="163" t="e">
        <f t="shared" ref="AQ244" si="610">AP244*(1+$M$244)</f>
        <v>#DIV/0!</v>
      </c>
      <c r="AR244" s="163" t="e">
        <f t="shared" ref="AR244" si="611">AQ244*(1+$M$244)</f>
        <v>#DIV/0!</v>
      </c>
      <c r="AS244" s="163" t="e">
        <f t="shared" ref="AS244" si="612">AR244*(1+$M$244)</f>
        <v>#DIV/0!</v>
      </c>
      <c r="AT244" s="163" t="e">
        <f t="shared" ref="AT244" si="613">AS244*(1+$M$244)</f>
        <v>#DIV/0!</v>
      </c>
      <c r="AU244" s="163" t="e">
        <f t="shared" ref="AU244" si="614">AT244*(1+$M$244)</f>
        <v>#DIV/0!</v>
      </c>
      <c r="AV244" s="163" t="e">
        <f t="shared" ref="AV244" si="615">AU244*(1+$M$244)</f>
        <v>#DIV/0!</v>
      </c>
    </row>
    <row r="245" spans="2:48">
      <c r="B245" s="10" t="s">
        <v>340</v>
      </c>
      <c r="C245" s="10"/>
      <c r="D245" s="10"/>
      <c r="E245" s="13" t="s">
        <v>336</v>
      </c>
      <c r="F245" s="13"/>
      <c r="G245" s="13"/>
      <c r="H245" s="12"/>
      <c r="I245" s="168">
        <v>0</v>
      </c>
      <c r="J245" s="169">
        <f>S203</f>
        <v>12.285088437602358</v>
      </c>
      <c r="K245" s="168">
        <v>0.05</v>
      </c>
      <c r="L245" s="167"/>
      <c r="M245" s="161">
        <v>0.2</v>
      </c>
      <c r="N245" s="168">
        <v>0.12</v>
      </c>
      <c r="O245" s="167"/>
      <c r="P245" s="168">
        <v>0.2</v>
      </c>
      <c r="Q245" s="175" t="s">
        <v>411</v>
      </c>
      <c r="R245" s="158">
        <f>S201/S72</f>
        <v>12.285088437602358</v>
      </c>
      <c r="S245" s="158" t="s">
        <v>412</v>
      </c>
      <c r="T245" s="10"/>
      <c r="U245" s="10"/>
      <c r="V245" s="163">
        <f>S72*(1+$M$245)</f>
        <v>1.758229101052821</v>
      </c>
      <c r="W245" s="163">
        <f>V245*(1+$M$245)</f>
        <v>2.1098749212633852</v>
      </c>
      <c r="X245" s="163">
        <f t="shared" ref="X245:AE245" si="616">W245*(1+$M$245)</f>
        <v>2.5318499055160619</v>
      </c>
      <c r="Y245" s="163">
        <f t="shared" si="616"/>
        <v>3.0382198866192742</v>
      </c>
      <c r="Z245" s="163">
        <f t="shared" si="616"/>
        <v>3.6458638639431289</v>
      </c>
      <c r="AA245" s="163">
        <f t="shared" si="616"/>
        <v>4.3750366367317541</v>
      </c>
      <c r="AB245" s="163">
        <f t="shared" si="616"/>
        <v>5.2500439640781051</v>
      </c>
      <c r="AC245" s="163">
        <f t="shared" si="616"/>
        <v>6.3000527568937263</v>
      </c>
      <c r="AD245" s="163">
        <f t="shared" si="616"/>
        <v>7.5600633082724711</v>
      </c>
      <c r="AE245" s="163">
        <f t="shared" si="616"/>
        <v>9.0720759699269653</v>
      </c>
      <c r="AF245" s="163">
        <f t="shared" ref="AF245" si="617">AE245*(1+$M$245)</f>
        <v>10.886491163912359</v>
      </c>
      <c r="AG245" s="163">
        <f t="shared" ref="AG245" si="618">AF245*(1+$M$245)</f>
        <v>13.06378939669483</v>
      </c>
      <c r="AH245" s="163">
        <f t="shared" ref="AH245" si="619">AG245*(1+$M$245)</f>
        <v>15.676547276033794</v>
      </c>
      <c r="AI245" s="163">
        <f t="shared" ref="AI245" si="620">AH245*(1+$M$245)</f>
        <v>18.811856731240553</v>
      </c>
      <c r="AJ245" s="163">
        <f t="shared" ref="AJ245" si="621">AI245*(1+$M$245)</f>
        <v>22.574228077488662</v>
      </c>
      <c r="AK245" s="163">
        <f t="shared" ref="AK245" si="622">AJ245*(1+$M$245)</f>
        <v>27.089073692986393</v>
      </c>
      <c r="AL245" s="163">
        <f t="shared" ref="AL245" si="623">AK245*(1+$M$245)</f>
        <v>32.506888431583668</v>
      </c>
      <c r="AM245" s="163">
        <f t="shared" ref="AM245" si="624">AL245*(1+$M$245)</f>
        <v>39.008266117900398</v>
      </c>
      <c r="AN245" s="163">
        <f t="shared" ref="AN245" si="625">AM245*(1+$M$245)</f>
        <v>46.809919341480473</v>
      </c>
      <c r="AO245" s="163">
        <f t="shared" ref="AO245" si="626">AN245*(1+$M$245)</f>
        <v>56.171903209776566</v>
      </c>
      <c r="AP245" s="163">
        <f t="shared" ref="AP245" si="627">AO245*(1+$M$245)</f>
        <v>67.406283851731871</v>
      </c>
      <c r="AQ245" s="163">
        <f t="shared" ref="AQ245" si="628">AP245*(1+$M$245)</f>
        <v>80.887540622078248</v>
      </c>
      <c r="AR245" s="163">
        <f t="shared" ref="AR245" si="629">AQ245*(1+$M$245)</f>
        <v>97.0650487464939</v>
      </c>
      <c r="AS245" s="163">
        <f t="shared" ref="AS245" si="630">AR245*(1+$M$245)</f>
        <v>116.47805849579268</v>
      </c>
      <c r="AT245" s="163">
        <f t="shared" ref="AT245" si="631">AS245*(1+$M$245)</f>
        <v>139.77367019495122</v>
      </c>
      <c r="AU245" s="163">
        <f t="shared" ref="AU245" si="632">AT245*(1+$M$245)</f>
        <v>167.72840423394146</v>
      </c>
      <c r="AV245" s="163">
        <f t="shared" ref="AV245" si="633">AU245*(1+$M$245)</f>
        <v>201.27408508072975</v>
      </c>
    </row>
    <row r="246" spans="2:48">
      <c r="B246" s="10"/>
      <c r="C246" s="10"/>
      <c r="D246" s="10"/>
      <c r="E246" s="13" t="s">
        <v>397</v>
      </c>
      <c r="F246" s="13"/>
      <c r="G246" s="13"/>
      <c r="H246" s="12"/>
      <c r="I246" s="168">
        <v>0</v>
      </c>
      <c r="J246" s="169"/>
      <c r="K246" s="168">
        <v>0.05</v>
      </c>
      <c r="L246" s="167"/>
      <c r="M246" s="167"/>
      <c r="N246" s="168">
        <v>0.12</v>
      </c>
      <c r="O246" s="167"/>
      <c r="P246" s="168">
        <v>0.2</v>
      </c>
      <c r="Q246" s="10"/>
      <c r="R246" s="10"/>
      <c r="S246" s="10"/>
      <c r="T246" s="10"/>
      <c r="U246" s="10"/>
      <c r="V246" s="111">
        <f>S201-V245</f>
        <v>16.241770898947181</v>
      </c>
      <c r="W246" s="162">
        <f>V246-W245</f>
        <v>14.131895977683795</v>
      </c>
      <c r="X246" s="162">
        <f t="shared" ref="X246:AC246" si="634">W246-X245</f>
        <v>11.600046072167734</v>
      </c>
      <c r="Y246" s="162">
        <f t="shared" si="634"/>
        <v>8.5618261855484601</v>
      </c>
      <c r="Z246" s="162">
        <f t="shared" si="634"/>
        <v>4.9159623216053312</v>
      </c>
      <c r="AA246" s="162">
        <f t="shared" si="634"/>
        <v>0.54092568487357706</v>
      </c>
      <c r="AB246" s="162">
        <f t="shared" si="634"/>
        <v>-4.7091182792045281</v>
      </c>
      <c r="AC246" s="162">
        <f t="shared" si="634"/>
        <v>-11.009171036098255</v>
      </c>
      <c r="AD246" s="162">
        <f>AC246-AD245</f>
        <v>-18.569234344370727</v>
      </c>
      <c r="AE246" s="162">
        <f t="shared" ref="AE246" si="635">AD246-AE245</f>
        <v>-27.641310314297691</v>
      </c>
      <c r="AF246" s="162">
        <f t="shared" ref="AF246" si="636">AE246-AF245</f>
        <v>-38.527801478210051</v>
      </c>
      <c r="AG246" s="162">
        <f t="shared" ref="AG246" si="637">AF246-AG245</f>
        <v>-51.591590874904881</v>
      </c>
      <c r="AH246" s="162">
        <f t="shared" ref="AH246" si="638">AG246-AH245</f>
        <v>-67.268138150938682</v>
      </c>
      <c r="AI246" s="162">
        <f t="shared" ref="AI246" si="639">AH246-AI245</f>
        <v>-86.079994882179236</v>
      </c>
      <c r="AJ246" s="162">
        <f t="shared" ref="AJ246" si="640">AI246-AJ245</f>
        <v>-108.65422295966789</v>
      </c>
      <c r="AK246" s="162">
        <f t="shared" ref="AK246" si="641">AJ246-AK245</f>
        <v>-135.74329665265429</v>
      </c>
      <c r="AL246" s="162">
        <f t="shared" ref="AL246" si="642">AK246-AL245</f>
        <v>-168.25018508423796</v>
      </c>
      <c r="AM246" s="162">
        <f t="shared" ref="AM246" si="643">AL246-AM245</f>
        <v>-207.25845120213836</v>
      </c>
      <c r="AN246" s="162">
        <f t="shared" ref="AN246" si="644">AM246-AN245</f>
        <v>-254.06837054361884</v>
      </c>
      <c r="AO246" s="162">
        <f t="shared" ref="AO246" si="645">AN246-AO245</f>
        <v>-310.2402737533954</v>
      </c>
      <c r="AP246" s="162">
        <f t="shared" ref="AP246" si="646">AO246-AP245</f>
        <v>-377.64655760512727</v>
      </c>
      <c r="AQ246" s="162">
        <f t="shared" ref="AQ246" si="647">AP246-AQ245</f>
        <v>-458.5340982272055</v>
      </c>
      <c r="AR246" s="162">
        <f t="shared" ref="AR246" si="648">AQ246-AR245</f>
        <v>-555.59914697369936</v>
      </c>
      <c r="AS246" s="162">
        <f t="shared" ref="AS246" si="649">AR246-AS245</f>
        <v>-672.07720546949201</v>
      </c>
      <c r="AT246" s="162">
        <f t="shared" ref="AT246" si="650">AS246-AT245</f>
        <v>-811.85087566444327</v>
      </c>
      <c r="AU246" s="162">
        <f t="shared" ref="AU246" si="651">AT246-AU245</f>
        <v>-979.5792798983847</v>
      </c>
      <c r="AV246" s="162">
        <f t="shared" ref="AV246" si="652">AU246-AV245</f>
        <v>-1180.8533649791145</v>
      </c>
    </row>
    <row r="247" spans="2:48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spans="2:48">
      <c r="B248" s="10" t="s">
        <v>255</v>
      </c>
      <c r="C248" s="15"/>
      <c r="D248" s="15"/>
      <c r="E248" s="15"/>
      <c r="F248" s="15"/>
      <c r="G248" s="15">
        <f t="shared" ref="G248:H248" si="653">G10/G7</f>
        <v>2.1805069930069929</v>
      </c>
      <c r="H248" s="15" t="e">
        <f t="shared" si="653"/>
        <v>#DIV/0!</v>
      </c>
      <c r="I248" s="15" t="e">
        <f t="shared" ref="I248:S248" si="654">I10/I7</f>
        <v>#DIV/0!</v>
      </c>
      <c r="J248" s="15" t="e">
        <f t="shared" si="654"/>
        <v>#DIV/0!</v>
      </c>
      <c r="K248" s="15" t="e">
        <f t="shared" si="654"/>
        <v>#DIV/0!</v>
      </c>
      <c r="L248" s="15">
        <f t="shared" si="654"/>
        <v>2.1805069930069929</v>
      </c>
      <c r="M248" s="15">
        <f t="shared" si="654"/>
        <v>1.8293527172031845</v>
      </c>
      <c r="N248" s="15">
        <f t="shared" si="654"/>
        <v>3.8972482901224748</v>
      </c>
      <c r="O248" s="15">
        <f t="shared" si="654"/>
        <v>5.9601059427247147</v>
      </c>
      <c r="P248" s="15">
        <f t="shared" si="654"/>
        <v>8.7589098532494756</v>
      </c>
      <c r="Q248" s="15">
        <f t="shared" si="654"/>
        <v>6.0779458963778081</v>
      </c>
      <c r="R248" s="15">
        <f t="shared" si="654"/>
        <v>7.2299091544374567</v>
      </c>
      <c r="S248" s="15">
        <f t="shared" si="654"/>
        <v>6.6606561822125814</v>
      </c>
      <c r="T248" s="101" t="e">
        <f t="shared" ref="T248:T250" si="655">((R248/I248)^(1/($J$2-$J$1) ))-1</f>
        <v>#DIV/0!</v>
      </c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spans="2:48">
      <c r="B249" s="10" t="s">
        <v>256</v>
      </c>
      <c r="C249" s="96"/>
      <c r="D249" s="96"/>
      <c r="E249" s="96"/>
      <c r="F249" s="96"/>
      <c r="G249" s="96">
        <f t="shared" ref="G249:H249" si="656">G10/G12</f>
        <v>8.9408602150537639</v>
      </c>
      <c r="H249" s="96" t="e">
        <f t="shared" si="656"/>
        <v>#DIV/0!</v>
      </c>
      <c r="I249" s="96" t="e">
        <f t="shared" ref="I249:S249" si="657">I10/I12</f>
        <v>#DIV/0!</v>
      </c>
      <c r="J249" s="96" t="e">
        <f t="shared" si="657"/>
        <v>#DIV/0!</v>
      </c>
      <c r="K249" s="96" t="e">
        <f t="shared" si="657"/>
        <v>#DIV/0!</v>
      </c>
      <c r="L249" s="96">
        <f t="shared" si="657"/>
        <v>8.9408602150537639</v>
      </c>
      <c r="M249" s="96">
        <f t="shared" si="657"/>
        <v>9.0651801029159511</v>
      </c>
      <c r="N249" s="96">
        <f t="shared" si="657"/>
        <v>19.523505976095617</v>
      </c>
      <c r="O249" s="96">
        <f t="shared" si="657"/>
        <v>11.112654320987655</v>
      </c>
      <c r="P249" s="96">
        <f t="shared" si="657"/>
        <v>21.88707799767171</v>
      </c>
      <c r="Q249" s="96">
        <f t="shared" si="657"/>
        <v>47.913253012048195</v>
      </c>
      <c r="R249" s="96">
        <f t="shared" si="657"/>
        <v>48.345794392523366</v>
      </c>
      <c r="S249" s="96">
        <f t="shared" si="657"/>
        <v>56.600230414746541</v>
      </c>
      <c r="T249" s="101" t="e">
        <f t="shared" si="655"/>
        <v>#DIV/0!</v>
      </c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spans="2:48">
      <c r="B250" s="10" t="s">
        <v>257</v>
      </c>
      <c r="C250" s="15"/>
      <c r="D250" s="15"/>
      <c r="E250" s="15"/>
      <c r="F250" s="15"/>
      <c r="G250" s="15">
        <f t="shared" ref="G250:H250" si="658">G10/(G12+G13)</f>
        <v>8.9408602150537639</v>
      </c>
      <c r="H250" s="15" t="e">
        <f t="shared" si="658"/>
        <v>#DIV/0!</v>
      </c>
      <c r="I250" s="15" t="e">
        <f t="shared" ref="I250:S250" si="659">I10/(I12+I13)</f>
        <v>#DIV/0!</v>
      </c>
      <c r="J250" s="15" t="e">
        <f t="shared" si="659"/>
        <v>#DIV/0!</v>
      </c>
      <c r="K250" s="15" t="e">
        <f t="shared" si="659"/>
        <v>#DIV/0!</v>
      </c>
      <c r="L250" s="15">
        <f t="shared" si="659"/>
        <v>8.9408602150537639</v>
      </c>
      <c r="M250" s="15">
        <f t="shared" si="659"/>
        <v>9.0651023576127141</v>
      </c>
      <c r="N250" s="15">
        <f t="shared" si="659"/>
        <v>19.369169960474309</v>
      </c>
      <c r="O250" s="15">
        <f t="shared" si="659"/>
        <v>11.047867444001227</v>
      </c>
      <c r="P250" s="15">
        <f t="shared" si="659"/>
        <v>21.597932222860425</v>
      </c>
      <c r="Q250" s="15">
        <f t="shared" si="659"/>
        <v>42.082539682539682</v>
      </c>
      <c r="R250" s="15">
        <f t="shared" si="659"/>
        <v>34.117065127782361</v>
      </c>
      <c r="S250" s="15">
        <f t="shared" si="659"/>
        <v>56.596318226850684</v>
      </c>
      <c r="T250" s="101" t="e">
        <f t="shared" si="655"/>
        <v>#DIV/0!</v>
      </c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spans="2:48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spans="2:48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spans="2:48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0"/>
      <c r="N253" s="309" t="s">
        <v>282</v>
      </c>
      <c r="O253" s="310"/>
      <c r="P253" s="311"/>
      <c r="Q253" s="13" t="s">
        <v>285</v>
      </c>
      <c r="R253" s="10"/>
      <c r="S253" s="115"/>
      <c r="T253" s="309" t="s">
        <v>283</v>
      </c>
      <c r="U253" s="310"/>
      <c r="V253" s="311"/>
      <c r="W253" s="13" t="s">
        <v>285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spans="2:48">
      <c r="B254" s="10"/>
      <c r="C254" s="143" t="s">
        <v>284</v>
      </c>
      <c r="D254" s="143" t="s">
        <v>0</v>
      </c>
      <c r="E254" s="143" t="s">
        <v>323</v>
      </c>
      <c r="F254" s="143"/>
      <c r="G254" s="143"/>
      <c r="H254" s="143" t="s">
        <v>324</v>
      </c>
      <c r="I254" s="143" t="s">
        <v>325</v>
      </c>
      <c r="J254" s="143" t="s">
        <v>326</v>
      </c>
      <c r="K254" s="143" t="s">
        <v>327</v>
      </c>
      <c r="L254" s="143" t="s">
        <v>328</v>
      </c>
      <c r="M254" s="10"/>
      <c r="N254" s="143" t="s">
        <v>284</v>
      </c>
      <c r="O254" s="143"/>
      <c r="P254" s="143" t="s">
        <v>0</v>
      </c>
      <c r="Q254" s="143" t="s">
        <v>317</v>
      </c>
      <c r="R254" s="10"/>
      <c r="S254" s="10"/>
      <c r="T254" s="143" t="s">
        <v>284</v>
      </c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48">
      <c r="B255" s="10"/>
      <c r="C255" s="144" t="s">
        <v>286</v>
      </c>
      <c r="D255" s="11"/>
      <c r="E255" s="153" t="s">
        <v>329</v>
      </c>
      <c r="F255" s="153"/>
      <c r="G255" s="153"/>
      <c r="H255" s="12">
        <v>1</v>
      </c>
      <c r="I255" s="12">
        <v>1</v>
      </c>
      <c r="J255" s="144">
        <f>H255/I255</f>
        <v>1</v>
      </c>
      <c r="K255" s="144">
        <f>J255*D256</f>
        <v>0</v>
      </c>
      <c r="L255" s="154">
        <f>K255+D256</f>
        <v>0</v>
      </c>
      <c r="M255" s="10"/>
      <c r="N255" s="144" t="s">
        <v>286</v>
      </c>
      <c r="O255" s="144"/>
      <c r="P255" s="11">
        <v>1</v>
      </c>
      <c r="Q255" s="150">
        <f>P255</f>
        <v>1</v>
      </c>
      <c r="R255" s="10"/>
      <c r="S255" s="10"/>
      <c r="T255" s="144" t="s">
        <v>286</v>
      </c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48">
      <c r="B256" s="10"/>
      <c r="C256" s="144" t="s">
        <v>287</v>
      </c>
      <c r="D256" s="11"/>
      <c r="E256" s="153" t="s">
        <v>330</v>
      </c>
      <c r="F256" s="153"/>
      <c r="G256" s="153"/>
      <c r="H256" s="12">
        <v>0</v>
      </c>
      <c r="I256" s="12">
        <v>1</v>
      </c>
      <c r="J256" s="144">
        <f>H256/I256</f>
        <v>0</v>
      </c>
      <c r="K256" s="144">
        <f>J256*L255</f>
        <v>0</v>
      </c>
      <c r="L256" s="144">
        <f>K256+L255</f>
        <v>0</v>
      </c>
      <c r="M256" s="10"/>
      <c r="N256" s="144" t="s">
        <v>287</v>
      </c>
      <c r="O256" s="144"/>
      <c r="P256" s="11">
        <v>1</v>
      </c>
      <c r="Q256" s="150">
        <f>P256</f>
        <v>1</v>
      </c>
      <c r="R256" s="10"/>
      <c r="S256" s="10"/>
      <c r="T256" s="144" t="s">
        <v>287</v>
      </c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0</v>
      </c>
      <c r="E257" s="153" t="s">
        <v>342</v>
      </c>
      <c r="F257" s="153"/>
      <c r="G257" s="153"/>
      <c r="H257" s="12">
        <v>0</v>
      </c>
      <c r="I257" s="12">
        <v>1</v>
      </c>
      <c r="J257" s="144">
        <f>H257/I257</f>
        <v>0</v>
      </c>
      <c r="K257" s="144">
        <f>J257*L256</f>
        <v>0</v>
      </c>
      <c r="L257" s="144">
        <f>K257+L256</f>
        <v>0</v>
      </c>
      <c r="M257" s="10"/>
      <c r="N257" s="144" t="s">
        <v>288</v>
      </c>
      <c r="O257" s="144"/>
      <c r="P257" s="145">
        <f>P255*P256</f>
        <v>1</v>
      </c>
      <c r="Q257" s="150">
        <f>P257</f>
        <v>1</v>
      </c>
      <c r="R257" s="10"/>
      <c r="S257" s="10"/>
      <c r="T257" s="144" t="s">
        <v>289</v>
      </c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53"/>
      <c r="H258" s="12">
        <v>0</v>
      </c>
      <c r="I258" s="12">
        <v>1</v>
      </c>
      <c r="J258" s="144">
        <f t="shared" ref="J258:J261" si="660">H258/I258</f>
        <v>0</v>
      </c>
      <c r="K258" s="144">
        <f t="shared" ref="K258:K260" si="661">J258*L257</f>
        <v>0</v>
      </c>
      <c r="L258" s="144">
        <f t="shared" ref="L258:L260" si="662">K258+L257</f>
        <v>0</v>
      </c>
      <c r="M258" s="10"/>
      <c r="N258" s="144" t="s">
        <v>290</v>
      </c>
      <c r="O258" s="144"/>
      <c r="P258" s="11">
        <v>1</v>
      </c>
      <c r="Q258" s="11">
        <v>1</v>
      </c>
      <c r="R258" s="10"/>
      <c r="S258" s="10"/>
      <c r="T258" s="144" t="s">
        <v>290</v>
      </c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53"/>
      <c r="H259" s="12">
        <v>0</v>
      </c>
      <c r="I259" s="12">
        <v>1</v>
      </c>
      <c r="J259" s="144">
        <f t="shared" si="660"/>
        <v>0</v>
      </c>
      <c r="K259" s="144">
        <f t="shared" si="661"/>
        <v>0</v>
      </c>
      <c r="L259" s="144">
        <f t="shared" si="662"/>
        <v>0</v>
      </c>
      <c r="M259" s="10"/>
      <c r="N259" s="144" t="s">
        <v>291</v>
      </c>
      <c r="O259" s="144"/>
      <c r="P259" s="145">
        <f>P258*P256</f>
        <v>1</v>
      </c>
      <c r="Q259" s="145">
        <f>Q258*Q256</f>
        <v>1</v>
      </c>
      <c r="R259" s="10"/>
      <c r="S259" s="10"/>
      <c r="T259" s="144" t="s">
        <v>287</v>
      </c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53"/>
      <c r="H260" s="12">
        <v>0</v>
      </c>
      <c r="I260" s="12">
        <v>1</v>
      </c>
      <c r="J260" s="144">
        <f t="shared" si="660"/>
        <v>0</v>
      </c>
      <c r="K260" s="144">
        <f t="shared" si="661"/>
        <v>0</v>
      </c>
      <c r="L260" s="144">
        <f t="shared" si="662"/>
        <v>0</v>
      </c>
      <c r="M260" s="10"/>
      <c r="N260" s="144"/>
      <c r="O260" s="144"/>
      <c r="P260" s="145"/>
      <c r="Q260" s="145"/>
      <c r="R260" s="10"/>
      <c r="S260" s="10"/>
      <c r="T260" s="144" t="s">
        <v>289</v>
      </c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53"/>
      <c r="H261" s="12">
        <v>10</v>
      </c>
      <c r="I261" s="12">
        <v>1</v>
      </c>
      <c r="J261" s="144">
        <f t="shared" si="660"/>
        <v>10</v>
      </c>
      <c r="K261" s="144">
        <f>J261*L260</f>
        <v>0</v>
      </c>
      <c r="L261" s="144">
        <f>K261</f>
        <v>0</v>
      </c>
      <c r="M261" s="10"/>
      <c r="N261" s="144"/>
      <c r="O261" s="144"/>
      <c r="P261" s="145"/>
      <c r="Q261" s="145"/>
      <c r="R261" s="10"/>
      <c r="S261" s="10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53"/>
      <c r="H262" s="12">
        <v>0</v>
      </c>
      <c r="I262" s="12">
        <v>1</v>
      </c>
      <c r="J262" s="144">
        <f>H262/I262</f>
        <v>0</v>
      </c>
      <c r="K262" s="144">
        <f>J262*L261</f>
        <v>0</v>
      </c>
      <c r="L262" s="144">
        <f>K262</f>
        <v>0</v>
      </c>
      <c r="M262" s="10"/>
      <c r="N262" s="146" t="s">
        <v>292</v>
      </c>
      <c r="O262" s="146"/>
      <c r="P262" s="147">
        <f>P259/P257</f>
        <v>1</v>
      </c>
      <c r="Q262" s="147">
        <f>Q259/Q257</f>
        <v>1</v>
      </c>
      <c r="R262" s="10"/>
      <c r="S262" s="10"/>
      <c r="T262" s="146" t="s">
        <v>292</v>
      </c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/>
      <c r="E263" s="153"/>
      <c r="F263" s="153"/>
      <c r="G263" s="153"/>
      <c r="H263" s="144"/>
      <c r="I263" s="144"/>
      <c r="J263" s="146" t="s">
        <v>332</v>
      </c>
      <c r="K263" s="144"/>
      <c r="L263" s="144">
        <f>L262</f>
        <v>0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/>
      <c r="E264" s="153" t="s">
        <v>331</v>
      </c>
      <c r="F264" s="153"/>
      <c r="G264" s="153"/>
      <c r="H264" s="12">
        <v>10</v>
      </c>
      <c r="I264" s="12">
        <v>2</v>
      </c>
      <c r="J264" s="144">
        <f>H264/I264</f>
        <v>5</v>
      </c>
      <c r="K264" s="154">
        <f>J264*D256</f>
        <v>0</v>
      </c>
      <c r="L264" s="154">
        <f>K264</f>
        <v>0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0</v>
      </c>
      <c r="E265" s="144"/>
      <c r="F265" s="144"/>
      <c r="G265" s="144"/>
      <c r="H265" s="144"/>
      <c r="I265" s="144"/>
      <c r="J265" s="146" t="s">
        <v>332</v>
      </c>
      <c r="K265" s="144"/>
      <c r="L265" s="144">
        <f>L264</f>
        <v>0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53"/>
      <c r="H266" s="12">
        <v>10</v>
      </c>
      <c r="I266" s="12">
        <v>2</v>
      </c>
      <c r="J266" s="144">
        <f>H266/I266</f>
        <v>5</v>
      </c>
      <c r="K266" s="144">
        <f>J266*L265</f>
        <v>0</v>
      </c>
      <c r="L266" s="144">
        <f>K266</f>
        <v>0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 t="e">
        <f>D265/D257</f>
        <v>#DIV/0!</v>
      </c>
      <c r="E267" s="153"/>
      <c r="F267" s="153"/>
      <c r="G267" s="153"/>
      <c r="H267" s="144"/>
      <c r="I267" s="144"/>
      <c r="J267" s="146" t="s">
        <v>332</v>
      </c>
      <c r="K267" s="144"/>
      <c r="L267" s="144">
        <f>L266</f>
        <v>0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6"/>
      <c r="J269" s="10"/>
      <c r="K269" s="115"/>
      <c r="L269" s="155"/>
      <c r="M269" s="156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2" t="s">
        <v>15</v>
      </c>
      <c r="E270" s="303"/>
      <c r="F270" s="303"/>
      <c r="G270" s="303"/>
      <c r="H270" s="303"/>
      <c r="I270" s="304"/>
      <c r="J270" s="10"/>
      <c r="K270" s="302" t="s">
        <v>337</v>
      </c>
      <c r="L270" s="303"/>
      <c r="M270" s="304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/>
      <c r="H271" s="109">
        <f>D257</f>
        <v>0</v>
      </c>
      <c r="I271" s="11">
        <f>D257</f>
        <v>0</v>
      </c>
      <c r="J271" s="10"/>
      <c r="K271" s="10" t="s">
        <v>16</v>
      </c>
      <c r="L271" s="109"/>
      <c r="M271" s="11">
        <f>I271</f>
        <v>0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/>
      <c r="H272" s="109">
        <f>D265</f>
        <v>0</v>
      </c>
      <c r="I272" s="11">
        <f>D265</f>
        <v>0</v>
      </c>
      <c r="J272" s="10"/>
      <c r="K272" s="10" t="s">
        <v>17</v>
      </c>
      <c r="L272" s="10"/>
      <c r="M272" s="11">
        <f>I272</f>
        <v>0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0"/>
      <c r="H273" s="12">
        <f>I273</f>
        <v>10</v>
      </c>
      <c r="I273" s="12">
        <v>10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/>
      <c r="H274" s="3" t="e">
        <f>((H272/H271)^(1/H273))-1</f>
        <v>#DIV/0!</v>
      </c>
      <c r="I274" s="3" t="e">
        <f>((I272/I271)^(1/I273))-1</f>
        <v>#DIV/0!</v>
      </c>
      <c r="J274" s="10"/>
      <c r="K274" s="13" t="s">
        <v>338</v>
      </c>
      <c r="L274" s="13"/>
      <c r="M274" s="170" t="e">
        <f>(M272-M271)/M271</f>
        <v>#DIV/0!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/>
      <c r="H275" s="142">
        <f>H273*12</f>
        <v>120</v>
      </c>
      <c r="I275" s="14">
        <f>I273*12</f>
        <v>120</v>
      </c>
      <c r="J275" s="10"/>
      <c r="K275" s="13" t="s">
        <v>339</v>
      </c>
      <c r="L275" s="13"/>
      <c r="M275" s="273" t="e">
        <f>M272/M271</f>
        <v>#DIV/0!</v>
      </c>
    </row>
    <row r="276" spans="2:34">
      <c r="B276" s="10"/>
      <c r="C276" s="10"/>
      <c r="D276" s="10" t="s">
        <v>18</v>
      </c>
      <c r="E276" s="15"/>
      <c r="F276" s="15"/>
      <c r="G276" s="15"/>
      <c r="H276" s="15">
        <f>H275/12</f>
        <v>10</v>
      </c>
      <c r="I276" s="15">
        <f>I275/12</f>
        <v>10</v>
      </c>
      <c r="J276" s="10"/>
      <c r="K276" s="10"/>
      <c r="L276" s="10"/>
      <c r="M276" s="10"/>
    </row>
    <row r="277" spans="2:34">
      <c r="B277" s="10"/>
      <c r="C277" s="10"/>
      <c r="D277" s="13" t="s">
        <v>21</v>
      </c>
      <c r="E277" s="3"/>
      <c r="F277" s="3"/>
      <c r="G277" s="3"/>
      <c r="H277" s="3" t="e">
        <f>((H272/H271)^(1/H276))-1</f>
        <v>#DIV/0!</v>
      </c>
      <c r="I277" s="3" t="e">
        <f>((I272/I271)^(1/I276))-1</f>
        <v>#DIV/0!</v>
      </c>
      <c r="J277" s="10"/>
      <c r="K277" s="10"/>
      <c r="L277" s="10"/>
      <c r="M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</sheetData>
  <mergeCells count="9">
    <mergeCell ref="A36:A45"/>
    <mergeCell ref="A124:A132"/>
    <mergeCell ref="D270:I270"/>
    <mergeCell ref="K270:M270"/>
    <mergeCell ref="AG2:AH2"/>
    <mergeCell ref="AG3:AH3"/>
    <mergeCell ref="N253:P253"/>
    <mergeCell ref="T253:V253"/>
    <mergeCell ref="M236:N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5" t="s">
        <v>15</v>
      </c>
      <c r="K5" s="275"/>
      <c r="M5" s="275" t="s">
        <v>53</v>
      </c>
      <c r="N5" s="275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5" t="s">
        <v>24</v>
      </c>
      <c r="K14" s="275"/>
      <c r="L14" s="275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5" t="s">
        <v>15</v>
      </c>
      <c r="S5" s="275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5" t="s">
        <v>24</v>
      </c>
      <c r="S14" s="275"/>
      <c r="T14" s="275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5" t="s">
        <v>15</v>
      </c>
      <c r="C2" s="275"/>
      <c r="E2" s="275" t="s">
        <v>53</v>
      </c>
      <c r="F2" s="275"/>
      <c r="H2" s="317" t="s">
        <v>24</v>
      </c>
      <c r="I2" s="318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19" t="s">
        <v>376</v>
      </c>
      <c r="C3" s="320"/>
      <c r="F3" s="319" t="s">
        <v>377</v>
      </c>
      <c r="G3" s="320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2018-07-14T11:02:33Z</dcterms:modified>
</cp:coreProperties>
</file>
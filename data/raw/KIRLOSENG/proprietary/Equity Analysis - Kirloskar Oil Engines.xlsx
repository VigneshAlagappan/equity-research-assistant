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Q190" i="18" l="1"/>
  <c r="Q189" i="18"/>
  <c r="Q187" i="18"/>
  <c r="Q188" i="18" s="1"/>
  <c r="Q186" i="18"/>
  <c r="Q185" i="18"/>
  <c r="Q184" i="18"/>
  <c r="Q182" i="18"/>
  <c r="Q183" i="18"/>
  <c r="AC91" i="18" l="1"/>
  <c r="T91" i="18"/>
  <c r="U91" i="18"/>
  <c r="V91" i="18"/>
  <c r="W91" i="18"/>
  <c r="X91" i="18"/>
  <c r="Y91" i="18"/>
  <c r="Z91" i="18"/>
  <c r="AA91" i="18"/>
  <c r="AB91" i="18"/>
  <c r="S91" i="18"/>
  <c r="Q91" i="18"/>
  <c r="H91" i="18"/>
  <c r="I91" i="18"/>
  <c r="J91" i="18"/>
  <c r="K91" i="18"/>
  <c r="L91" i="18"/>
  <c r="M91" i="18"/>
  <c r="N91" i="18"/>
  <c r="O91" i="18"/>
  <c r="P91" i="18"/>
  <c r="G91" i="18"/>
  <c r="AD52" i="18"/>
  <c r="AE52" i="18" s="1"/>
  <c r="AC52" i="18"/>
  <c r="U52" i="18"/>
  <c r="V52" i="18"/>
  <c r="W52" i="18"/>
  <c r="X52" i="18"/>
  <c r="Y52" i="18"/>
  <c r="Z52" i="18"/>
  <c r="AA52" i="18"/>
  <c r="AB52" i="18"/>
  <c r="T52" i="18"/>
  <c r="S52" i="18"/>
  <c r="Q52" i="18"/>
  <c r="H52" i="18"/>
  <c r="I52" i="18"/>
  <c r="J52" i="18"/>
  <c r="K52" i="18"/>
  <c r="L52" i="18"/>
  <c r="M52" i="18"/>
  <c r="N52" i="18"/>
  <c r="O52" i="18"/>
  <c r="P52" i="18"/>
  <c r="G52" i="18"/>
  <c r="P43" i="18"/>
  <c r="O43" i="18"/>
  <c r="N43" i="18"/>
  <c r="M43" i="18"/>
  <c r="L43" i="18"/>
  <c r="K43" i="18"/>
  <c r="J43" i="18"/>
  <c r="I43" i="18"/>
  <c r="H43" i="18"/>
  <c r="G43" i="18"/>
  <c r="R44" i="18" l="1"/>
  <c r="R42" i="18"/>
  <c r="G213" i="18"/>
  <c r="G212" i="18"/>
  <c r="S42" i="18" l="1"/>
  <c r="G215" i="18" l="1"/>
  <c r="K186" i="18" l="1"/>
  <c r="K185" i="18"/>
  <c r="K184" i="18"/>
  <c r="K183" i="18"/>
  <c r="H99" i="18" l="1"/>
  <c r="I99" i="18"/>
  <c r="J99" i="18"/>
  <c r="K99" i="18"/>
  <c r="L99" i="18"/>
  <c r="M99" i="18"/>
  <c r="N99" i="18"/>
  <c r="O99" i="18"/>
  <c r="P99" i="18"/>
  <c r="H100" i="18"/>
  <c r="I100" i="18"/>
  <c r="J100" i="18"/>
  <c r="K100" i="18"/>
  <c r="L100" i="18"/>
  <c r="M100" i="18"/>
  <c r="N100" i="18"/>
  <c r="O100" i="18"/>
  <c r="P100" i="18"/>
  <c r="H101" i="18"/>
  <c r="I101" i="18"/>
  <c r="J101" i="18"/>
  <c r="K101" i="18"/>
  <c r="L101" i="18"/>
  <c r="M101" i="18"/>
  <c r="N101" i="18"/>
  <c r="O101" i="18"/>
  <c r="P101" i="18"/>
  <c r="H102" i="18"/>
  <c r="I102" i="18"/>
  <c r="J102" i="18"/>
  <c r="K102" i="18"/>
  <c r="L102" i="18"/>
  <c r="M102" i="18"/>
  <c r="N102" i="18"/>
  <c r="O102" i="18"/>
  <c r="P102" i="18"/>
  <c r="H103" i="18"/>
  <c r="I103" i="18"/>
  <c r="J103" i="18"/>
  <c r="K103" i="18"/>
  <c r="L103" i="18"/>
  <c r="M103" i="18"/>
  <c r="N103" i="18"/>
  <c r="O103" i="18"/>
  <c r="P103" i="18"/>
  <c r="G100" i="18"/>
  <c r="G101" i="18"/>
  <c r="Q101" i="18" s="1"/>
  <c r="G102" i="18"/>
  <c r="G103" i="18"/>
  <c r="G99" i="18"/>
  <c r="Q100" i="18"/>
  <c r="Q102" i="18"/>
  <c r="Q103" i="18"/>
  <c r="Q99" i="18"/>
  <c r="AD38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90" i="18" l="1"/>
  <c r="K189" i="18"/>
  <c r="T204" i="18" l="1"/>
  <c r="T205" i="18" s="1"/>
  <c r="D202" i="18"/>
  <c r="H202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6" i="18"/>
  <c r="G217" i="18" s="1"/>
  <c r="G218" i="18" s="1"/>
  <c r="K213" i="18"/>
  <c r="K212" i="18"/>
  <c r="AD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7" i="18"/>
  <c r="D206" i="18"/>
  <c r="H205" i="18"/>
  <c r="I205" i="18" s="1"/>
  <c r="J205" i="18" s="1"/>
  <c r="J206" i="18" s="1"/>
  <c r="H203" i="18"/>
  <c r="H201" i="18"/>
  <c r="H200" i="18"/>
  <c r="I200" i="18" s="1"/>
  <c r="J200" i="18" s="1"/>
  <c r="D208" i="18" l="1"/>
  <c r="K216" i="18"/>
  <c r="Q55" i="18"/>
  <c r="K215" i="18"/>
  <c r="I201" i="18"/>
  <c r="J201" i="18" s="1"/>
  <c r="I207" i="18"/>
  <c r="J207" i="18" s="1"/>
  <c r="J208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7" i="18"/>
  <c r="G136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201" i="18"/>
  <c r="T200" i="18"/>
  <c r="O201" i="18"/>
  <c r="O204" i="18" s="1"/>
  <c r="O200" i="18"/>
  <c r="H97" i="18"/>
  <c r="I97" i="18"/>
  <c r="J97" i="18"/>
  <c r="K97" i="18"/>
  <c r="L97" i="18"/>
  <c r="M97" i="18"/>
  <c r="N97" i="18"/>
  <c r="O97" i="18"/>
  <c r="P97" i="18"/>
  <c r="G97" i="18"/>
  <c r="H94" i="18"/>
  <c r="I94" i="18"/>
  <c r="J94" i="18"/>
  <c r="K94" i="18"/>
  <c r="L94" i="18"/>
  <c r="M94" i="18"/>
  <c r="N94" i="18"/>
  <c r="O94" i="18"/>
  <c r="P94" i="18"/>
  <c r="G94" i="18"/>
  <c r="H95" i="18"/>
  <c r="I95" i="18"/>
  <c r="J95" i="18"/>
  <c r="K95" i="18"/>
  <c r="L95" i="18"/>
  <c r="M95" i="18"/>
  <c r="N95" i="18"/>
  <c r="O95" i="18"/>
  <c r="P95" i="18"/>
  <c r="G95" i="18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I202" i="18" l="1"/>
  <c r="J202" i="18" s="1"/>
  <c r="I203" i="18" s="1"/>
  <c r="J203" i="18" s="1"/>
  <c r="J204" i="18" s="1"/>
  <c r="Q136" i="18"/>
  <c r="Q137" i="18"/>
  <c r="Q90" i="18"/>
  <c r="Q97" i="18"/>
  <c r="AC14" i="18"/>
  <c r="AE14" i="18"/>
  <c r="Q94" i="18"/>
  <c r="Q133" i="18"/>
  <c r="Q132" i="18"/>
  <c r="Q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R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9" i="18"/>
  <c r="H109" i="18"/>
  <c r="I109" i="18"/>
  <c r="J109" i="18"/>
  <c r="K109" i="18"/>
  <c r="L109" i="18"/>
  <c r="M109" i="18"/>
  <c r="N109" i="18"/>
  <c r="O109" i="18"/>
  <c r="P109" i="18"/>
  <c r="S205" i="18"/>
  <c r="N204" i="18"/>
  <c r="S202" i="18"/>
  <c r="T202" i="18" s="1"/>
  <c r="T207" i="18" s="1"/>
  <c r="N202" i="18"/>
  <c r="O202" i="18" s="1"/>
  <c r="O207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Q127" i="18" l="1"/>
  <c r="Q89" i="18"/>
  <c r="Q124" i="18"/>
  <c r="Q130" i="18"/>
  <c r="Q129" i="18"/>
  <c r="Q125" i="18"/>
  <c r="Q126" i="18"/>
  <c r="Q119" i="18"/>
  <c r="Q120" i="18"/>
  <c r="Q121" i="18"/>
  <c r="Q109" i="18"/>
  <c r="AC32" i="18"/>
  <c r="AE32" i="18"/>
  <c r="N207" i="18"/>
  <c r="S207" i="18"/>
  <c r="Q117" i="18"/>
  <c r="Q116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4" i="18"/>
  <c r="AD50" i="18"/>
  <c r="AD51" i="18"/>
  <c r="AD54" i="18"/>
  <c r="AD56" i="18"/>
  <c r="AD57" i="18"/>
  <c r="AD58" i="18"/>
  <c r="AD60" i="18"/>
  <c r="AD61" i="18"/>
  <c r="AD62" i="18"/>
  <c r="AD64" i="18"/>
  <c r="AD65" i="18"/>
  <c r="AD66" i="18"/>
  <c r="AD67" i="18"/>
  <c r="AD69" i="18"/>
  <c r="AD70" i="18"/>
  <c r="AD72" i="18"/>
  <c r="AD74" i="18"/>
  <c r="AD75" i="18"/>
  <c r="AD76" i="18"/>
  <c r="AD77" i="18"/>
  <c r="AD78" i="18"/>
  <c r="AD80" i="18"/>
  <c r="AD81" i="18"/>
  <c r="AD82" i="18"/>
  <c r="AD7" i="18"/>
  <c r="AD6" i="18"/>
  <c r="Q106" i="18" l="1"/>
  <c r="H93" i="18"/>
  <c r="I93" i="18"/>
  <c r="J93" i="18"/>
  <c r="K93" i="18"/>
  <c r="L93" i="18"/>
  <c r="M93" i="18"/>
  <c r="N93" i="18"/>
  <c r="O93" i="18"/>
  <c r="P93" i="18"/>
  <c r="H96" i="18"/>
  <c r="I96" i="18"/>
  <c r="J96" i="18"/>
  <c r="K96" i="18"/>
  <c r="L96" i="18"/>
  <c r="M96" i="18"/>
  <c r="N96" i="18"/>
  <c r="O96" i="18"/>
  <c r="P96" i="18"/>
  <c r="G96" i="18"/>
  <c r="G93" i="18"/>
  <c r="S29" i="18"/>
  <c r="Q29" i="18"/>
  <c r="L30" i="18"/>
  <c r="K30" i="18"/>
  <c r="J30" i="18"/>
  <c r="I30" i="18"/>
  <c r="H30" i="18"/>
  <c r="G30" i="18"/>
  <c r="T29" i="18" l="1"/>
  <c r="Q96" i="18"/>
  <c r="Q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U29" i="18" l="1"/>
  <c r="Q107" i="18"/>
  <c r="Q108" i="18"/>
  <c r="AE69" i="18"/>
  <c r="V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S44" i="18"/>
  <c r="Q44" i="18"/>
  <c r="S70" i="18" l="1"/>
  <c r="S111" i="18" s="1"/>
  <c r="S112" i="18" s="1"/>
  <c r="W29" i="18"/>
  <c r="Q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Q111" i="18"/>
  <c r="T44" i="18"/>
  <c r="U44" i="18" l="1"/>
  <c r="X29" i="18"/>
  <c r="P113" i="18"/>
  <c r="Q112" i="18"/>
  <c r="T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V44" i="18" l="1"/>
  <c r="U70" i="18"/>
  <c r="Q134" i="18"/>
  <c r="Y29" i="18"/>
  <c r="Q82" i="18"/>
  <c r="Q80" i="18"/>
  <c r="Q81" i="18"/>
  <c r="Q87" i="18"/>
  <c r="Q88" i="18"/>
  <c r="P86" i="18"/>
  <c r="Q86" i="18" s="1"/>
  <c r="C193" i="18"/>
  <c r="D193" i="18"/>
  <c r="E193" i="18"/>
  <c r="F193" i="18"/>
  <c r="C194" i="18"/>
  <c r="D194" i="18"/>
  <c r="E194" i="18"/>
  <c r="F194" i="18"/>
  <c r="C195" i="18"/>
  <c r="D195" i="18"/>
  <c r="E195" i="18"/>
  <c r="F195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193" i="18"/>
  <c r="I193" i="18"/>
  <c r="J193" i="18"/>
  <c r="K193" i="18"/>
  <c r="L193" i="18"/>
  <c r="M193" i="18"/>
  <c r="N193" i="18"/>
  <c r="O193" i="18"/>
  <c r="P193" i="18"/>
  <c r="G193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G177" i="18" s="1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4" i="18" s="1"/>
  <c r="S100" i="18" s="1"/>
  <c r="Q36" i="18"/>
  <c r="W44" i="18" l="1"/>
  <c r="V70" i="18"/>
  <c r="Q171" i="18"/>
  <c r="Z29" i="18"/>
  <c r="T36" i="18"/>
  <c r="T94" i="18" s="1"/>
  <c r="T100" i="18" s="1"/>
  <c r="Q195" i="18"/>
  <c r="Q51" i="18"/>
  <c r="Q50" i="18"/>
  <c r="Q194" i="18"/>
  <c r="Q193" i="18"/>
  <c r="Q31" i="18"/>
  <c r="Q34" i="18"/>
  <c r="X44" i="18" l="1"/>
  <c r="W70" i="18"/>
  <c r="AA29" i="18"/>
  <c r="U36" i="18"/>
  <c r="U94" i="18" s="1"/>
  <c r="U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Y44" i="18" l="1"/>
  <c r="X70" i="18"/>
  <c r="T23" i="18"/>
  <c r="S97" i="18"/>
  <c r="S103" i="18" s="1"/>
  <c r="AB29" i="18"/>
  <c r="AE31" i="18"/>
  <c r="AC31" i="18"/>
  <c r="AC22" i="18"/>
  <c r="AE22" i="18"/>
  <c r="V36" i="18"/>
  <c r="V94" i="18" s="1"/>
  <c r="V100" i="18" s="1"/>
  <c r="Q77" i="18"/>
  <c r="Q78" i="18"/>
  <c r="Q76" i="18"/>
  <c r="Q74" i="18"/>
  <c r="Q75" i="18"/>
  <c r="Q22" i="18"/>
  <c r="Q21" i="18"/>
  <c r="Q72" i="18"/>
  <c r="S20" i="18"/>
  <c r="S55" i="18" s="1"/>
  <c r="T21" i="18"/>
  <c r="Q70" i="18"/>
  <c r="Q170" i="18"/>
  <c r="Y70" i="18" l="1"/>
  <c r="Z44" i="18"/>
  <c r="U23" i="18"/>
  <c r="T97" i="18"/>
  <c r="T103" i="18" s="1"/>
  <c r="AE29" i="18"/>
  <c r="AC29" i="18"/>
  <c r="T20" i="18"/>
  <c r="S72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90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4" i="18" s="1"/>
  <c r="W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Z70" i="18" l="1"/>
  <c r="AA44" i="18"/>
  <c r="T72" i="18"/>
  <c r="S126" i="18"/>
  <c r="S136" i="18"/>
  <c r="S127" i="18"/>
  <c r="S137" i="18"/>
  <c r="V23" i="18"/>
  <c r="U97" i="18"/>
  <c r="U103" i="18" s="1"/>
  <c r="S120" i="18"/>
  <c r="S121" i="18"/>
  <c r="S119" i="18"/>
  <c r="S109" i="18"/>
  <c r="P114" i="18"/>
  <c r="Q114" i="18" s="1"/>
  <c r="Q113" i="18"/>
  <c r="S93" i="18"/>
  <c r="S99" i="18" s="1"/>
  <c r="S117" i="18"/>
  <c r="S116" i="18"/>
  <c r="T18" i="18"/>
  <c r="O172" i="18"/>
  <c r="O177" i="18"/>
  <c r="U20" i="18"/>
  <c r="T27" i="18"/>
  <c r="X36" i="18"/>
  <c r="X94" i="18" s="1"/>
  <c r="X100" i="18" s="1"/>
  <c r="T25" i="18"/>
  <c r="T90" i="18" s="1"/>
  <c r="S86" i="18"/>
  <c r="V21" i="18"/>
  <c r="AC33" i="18"/>
  <c r="AC34" i="18"/>
  <c r="AC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B44" i="18" l="1"/>
  <c r="AA70" i="18"/>
  <c r="T127" i="18"/>
  <c r="T137" i="18"/>
  <c r="T126" i="18"/>
  <c r="T136" i="18"/>
  <c r="W23" i="18"/>
  <c r="V97" i="18"/>
  <c r="V103" i="18" s="1"/>
  <c r="T119" i="18"/>
  <c r="T121" i="18"/>
  <c r="T120" i="18"/>
  <c r="T109" i="18"/>
  <c r="T93" i="18"/>
  <c r="T99" i="18" s="1"/>
  <c r="T117" i="18"/>
  <c r="T116" i="18"/>
  <c r="U18" i="18"/>
  <c r="V20" i="18"/>
  <c r="U72" i="18"/>
  <c r="U27" i="18"/>
  <c r="U25" i="18"/>
  <c r="T86" i="18"/>
  <c r="Y36" i="18"/>
  <c r="Y94" i="18" s="1"/>
  <c r="Y100" i="18" s="1"/>
  <c r="W21" i="18"/>
  <c r="P176" i="18"/>
  <c r="Q176" i="18" s="1"/>
  <c r="Q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E44" i="18" l="1"/>
  <c r="AB70" i="18"/>
  <c r="AC44" i="18"/>
  <c r="U126" i="18"/>
  <c r="U136" i="18"/>
  <c r="U127" i="18"/>
  <c r="U137" i="18"/>
  <c r="U90" i="18"/>
  <c r="X23" i="18"/>
  <c r="W97" i="18"/>
  <c r="W103" i="18" s="1"/>
  <c r="U121" i="18"/>
  <c r="U120" i="18"/>
  <c r="U119" i="18"/>
  <c r="U109" i="18"/>
  <c r="U93" i="18"/>
  <c r="U99" i="18" s="1"/>
  <c r="U117" i="18"/>
  <c r="U116" i="18"/>
  <c r="V18" i="18"/>
  <c r="W20" i="18"/>
  <c r="V72" i="18"/>
  <c r="V27" i="18"/>
  <c r="V25" i="18"/>
  <c r="V90" i="18" s="1"/>
  <c r="U86" i="18"/>
  <c r="Z36" i="18"/>
  <c r="Z94" i="18" s="1"/>
  <c r="Z100" i="18" s="1"/>
  <c r="X21" i="18"/>
  <c r="Q60" i="18"/>
  <c r="Q61" i="18"/>
  <c r="C46" i="15"/>
  <c r="S158" i="18" l="1"/>
  <c r="AE70" i="18"/>
  <c r="T158" i="18" s="1"/>
  <c r="AC70" i="18"/>
  <c r="V127" i="18"/>
  <c r="V137" i="18"/>
  <c r="V126" i="18"/>
  <c r="V136" i="18"/>
  <c r="Y23" i="18"/>
  <c r="X97" i="18"/>
  <c r="X103" i="18" s="1"/>
  <c r="V109" i="18"/>
  <c r="V121" i="18"/>
  <c r="V120" i="18"/>
  <c r="V119" i="18"/>
  <c r="V93" i="18"/>
  <c r="V99" i="18" s="1"/>
  <c r="V117" i="18"/>
  <c r="V116" i="18"/>
  <c r="W18" i="18"/>
  <c r="X20" i="18"/>
  <c r="W72" i="18"/>
  <c r="W27" i="18"/>
  <c r="W25" i="18"/>
  <c r="V86" i="18"/>
  <c r="AA36" i="18"/>
  <c r="AA94" i="18" s="1"/>
  <c r="AA100" i="18" s="1"/>
  <c r="Y21" i="18"/>
  <c r="S170" i="18"/>
  <c r="S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S15" i="18"/>
  <c r="S124" i="18" s="1"/>
  <c r="S16" i="18"/>
  <c r="S132" i="18" s="1"/>
  <c r="S133" i="18" s="1"/>
  <c r="S40" i="18"/>
  <c r="S95" i="18" s="1"/>
  <c r="S101" i="18" s="1"/>
  <c r="S10" i="18"/>
  <c r="S12" i="18"/>
  <c r="S13" i="18"/>
  <c r="S7" i="18"/>
  <c r="S6" i="18"/>
  <c r="P190" i="18" l="1"/>
  <c r="S190" i="18"/>
  <c r="S106" i="18"/>
  <c r="R158" i="18"/>
  <c r="P182" i="18" s="1"/>
  <c r="W126" i="18"/>
  <c r="W136" i="18"/>
  <c r="W90" i="18"/>
  <c r="W127" i="18"/>
  <c r="W137" i="18"/>
  <c r="Z23" i="18"/>
  <c r="Y97" i="18"/>
  <c r="Y103" i="18" s="1"/>
  <c r="S88" i="18"/>
  <c r="S89" i="18"/>
  <c r="S130" i="18"/>
  <c r="S129" i="18"/>
  <c r="S96" i="18"/>
  <c r="S102" i="18" s="1"/>
  <c r="S125" i="18"/>
  <c r="H177" i="18"/>
  <c r="H172" i="18"/>
  <c r="W109" i="18"/>
  <c r="W120" i="18"/>
  <c r="W119" i="18"/>
  <c r="W121" i="18"/>
  <c r="S108" i="18"/>
  <c r="S113" i="18"/>
  <c r="S114" i="18" s="1"/>
  <c r="W93" i="18"/>
  <c r="W99" i="18" s="1"/>
  <c r="W117" i="18"/>
  <c r="W116" i="18"/>
  <c r="S107" i="18"/>
  <c r="X18" i="18"/>
  <c r="D172" i="18"/>
  <c r="D176" i="18" s="1"/>
  <c r="D177" i="18"/>
  <c r="E172" i="18"/>
  <c r="E176" i="18" s="1"/>
  <c r="E177" i="18"/>
  <c r="C172" i="18"/>
  <c r="C176" i="18" s="1"/>
  <c r="C177" i="18"/>
  <c r="P172" i="18"/>
  <c r="P177" i="18"/>
  <c r="Q177" i="18" s="1"/>
  <c r="K172" i="18"/>
  <c r="K177" i="18"/>
  <c r="F172" i="18"/>
  <c r="F176" i="18" s="1"/>
  <c r="F177" i="18"/>
  <c r="J172" i="18"/>
  <c r="J177" i="18"/>
  <c r="M172" i="18"/>
  <c r="M177" i="18"/>
  <c r="I172" i="18"/>
  <c r="I177" i="18"/>
  <c r="Q140" i="18"/>
  <c r="Y20" i="18"/>
  <c r="X72" i="18"/>
  <c r="H66" i="18"/>
  <c r="H174" i="18" s="1"/>
  <c r="X27" i="18"/>
  <c r="T12" i="18"/>
  <c r="T15" i="18"/>
  <c r="T124" i="18" s="1"/>
  <c r="T13" i="18"/>
  <c r="T10" i="18"/>
  <c r="T16" i="18"/>
  <c r="T132" i="18" s="1"/>
  <c r="T133" i="18" s="1"/>
  <c r="T6" i="18"/>
  <c r="T7" i="18"/>
  <c r="X25" i="18"/>
  <c r="X90" i="18" s="1"/>
  <c r="W86" i="18"/>
  <c r="T40" i="18"/>
  <c r="T95" i="18" s="1"/>
  <c r="T101" i="18" s="1"/>
  <c r="S87" i="18"/>
  <c r="AB36" i="18"/>
  <c r="F66" i="18"/>
  <c r="F174" i="18" s="1"/>
  <c r="L66" i="18"/>
  <c r="L174" i="18" s="1"/>
  <c r="K66" i="18"/>
  <c r="K174" i="18" s="1"/>
  <c r="J66" i="18"/>
  <c r="J174" i="18" s="1"/>
  <c r="Z21" i="18"/>
  <c r="C66" i="18"/>
  <c r="C174" i="18" s="1"/>
  <c r="T170" i="18"/>
  <c r="T178" i="18" s="1"/>
  <c r="I66" i="18"/>
  <c r="I174" i="18" s="1"/>
  <c r="Q56" i="18"/>
  <c r="G173" i="18"/>
  <c r="Q57" i="18"/>
  <c r="Q58" i="18"/>
  <c r="Q65" i="18"/>
  <c r="Q67" i="18"/>
  <c r="G172" i="18"/>
  <c r="Q54" i="18"/>
  <c r="G175" i="18"/>
  <c r="Q68" i="18"/>
  <c r="G66" i="18"/>
  <c r="Q64" i="18"/>
  <c r="N173" i="18"/>
  <c r="N172" i="18"/>
  <c r="N175" i="18"/>
  <c r="P173" i="18"/>
  <c r="L172" i="18"/>
  <c r="N66" i="18"/>
  <c r="M66" i="18"/>
  <c r="M174" i="18" s="1"/>
  <c r="P175" i="18"/>
  <c r="P66" i="18"/>
  <c r="S65" i="18"/>
  <c r="C6" i="12"/>
  <c r="C26" i="15"/>
  <c r="C58" i="15"/>
  <c r="C57" i="15"/>
  <c r="C54" i="15"/>
  <c r="C53" i="15"/>
  <c r="C50" i="15"/>
  <c r="C49" i="15"/>
  <c r="C45" i="15"/>
  <c r="T190" i="18" l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S191" i="18"/>
  <c r="T191" i="18" s="1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P189" i="18"/>
  <c r="S189" i="18"/>
  <c r="T106" i="18"/>
  <c r="X126" i="18"/>
  <c r="X136" i="18"/>
  <c r="X127" i="18"/>
  <c r="X137" i="18"/>
  <c r="AE36" i="18"/>
  <c r="AB94" i="18"/>
  <c r="AA23" i="18"/>
  <c r="Z97" i="18"/>
  <c r="Z103" i="18" s="1"/>
  <c r="T130" i="18"/>
  <c r="T129" i="18"/>
  <c r="T96" i="18"/>
  <c r="T102" i="18" s="1"/>
  <c r="T125" i="18"/>
  <c r="T89" i="18"/>
  <c r="X119" i="18"/>
  <c r="X120" i="18"/>
  <c r="X121" i="18"/>
  <c r="X109" i="18"/>
  <c r="X93" i="18"/>
  <c r="X99" i="18" s="1"/>
  <c r="X117" i="18"/>
  <c r="X116" i="18"/>
  <c r="T107" i="18"/>
  <c r="T108" i="18"/>
  <c r="Y18" i="18"/>
  <c r="Z20" i="18"/>
  <c r="Y72" i="18"/>
  <c r="S64" i="18"/>
  <c r="S81" i="18"/>
  <c r="S60" i="18"/>
  <c r="S62" i="18"/>
  <c r="S176" i="18" s="1"/>
  <c r="S68" i="18"/>
  <c r="S175" i="18" s="1"/>
  <c r="S78" i="18"/>
  <c r="S80" i="18"/>
  <c r="S134" i="18" s="1"/>
  <c r="S51" i="18"/>
  <c r="S50" i="18"/>
  <c r="S171" i="18" s="1"/>
  <c r="S61" i="18"/>
  <c r="S57" i="18"/>
  <c r="S58" i="18"/>
  <c r="S67" i="18"/>
  <c r="S56" i="18"/>
  <c r="S82" i="18"/>
  <c r="S54" i="18"/>
  <c r="S177" i="18" s="1"/>
  <c r="Y27" i="18"/>
  <c r="U15" i="18"/>
  <c r="U124" i="18" s="1"/>
  <c r="U13" i="18"/>
  <c r="U12" i="18"/>
  <c r="S66" i="18"/>
  <c r="U16" i="18"/>
  <c r="U132" i="18" s="1"/>
  <c r="U133" i="18" s="1"/>
  <c r="U10" i="18"/>
  <c r="U7" i="18"/>
  <c r="U6" i="18"/>
  <c r="AC36" i="18"/>
  <c r="Y25" i="18"/>
  <c r="Y90" i="18" s="1"/>
  <c r="X86" i="18"/>
  <c r="U40" i="18"/>
  <c r="U95" i="18" s="1"/>
  <c r="U101" i="18" s="1"/>
  <c r="T88" i="18"/>
  <c r="T87" i="18"/>
  <c r="T42" i="18"/>
  <c r="S75" i="18"/>
  <c r="S76" i="18"/>
  <c r="S77" i="18"/>
  <c r="S74" i="18"/>
  <c r="AA21" i="18"/>
  <c r="U170" i="18"/>
  <c r="U178" i="18" s="1"/>
  <c r="Q173" i="18"/>
  <c r="Q172" i="18"/>
  <c r="Q175" i="18"/>
  <c r="G174" i="18"/>
  <c r="Q66" i="18"/>
  <c r="N174" i="18"/>
  <c r="P174" i="18"/>
  <c r="C16" i="15"/>
  <c r="C21" i="15"/>
  <c r="C10" i="15"/>
  <c r="AC94" i="18" l="1"/>
  <c r="AB100" i="18"/>
  <c r="AC100" i="18" s="1"/>
  <c r="T189" i="18"/>
  <c r="U189" i="18" s="1"/>
  <c r="V189" i="18" s="1"/>
  <c r="W189" i="18" s="1"/>
  <c r="X189" i="18" s="1"/>
  <c r="Y189" i="18" s="1"/>
  <c r="Z189" i="18" s="1"/>
  <c r="AA189" i="18" s="1"/>
  <c r="AB189" i="18" s="1"/>
  <c r="AC189" i="18" s="1"/>
  <c r="S188" i="18"/>
  <c r="U106" i="18"/>
  <c r="T111" i="18"/>
  <c r="T112" i="18" s="1"/>
  <c r="T113" i="18" s="1"/>
  <c r="T114" i="18" s="1"/>
  <c r="T55" i="18"/>
  <c r="Y126" i="18"/>
  <c r="Y136" i="18"/>
  <c r="Y127" i="18"/>
  <c r="Y137" i="18"/>
  <c r="AB23" i="18"/>
  <c r="AA97" i="18"/>
  <c r="AA103" i="18" s="1"/>
  <c r="U96" i="18"/>
  <c r="U102" i="18" s="1"/>
  <c r="U125" i="18"/>
  <c r="U130" i="18"/>
  <c r="U129" i="18"/>
  <c r="U89" i="18"/>
  <c r="Y121" i="18"/>
  <c r="Y120" i="18"/>
  <c r="Y119" i="18"/>
  <c r="Y109" i="18"/>
  <c r="T64" i="18"/>
  <c r="Y93" i="18"/>
  <c r="Y99" i="18" s="1"/>
  <c r="Y117" i="18"/>
  <c r="Y116" i="18"/>
  <c r="U107" i="18"/>
  <c r="U108" i="18"/>
  <c r="T60" i="18"/>
  <c r="Z18" i="18"/>
  <c r="AA20" i="18"/>
  <c r="Z72" i="18"/>
  <c r="T62" i="18"/>
  <c r="T176" i="18" s="1"/>
  <c r="T68" i="18"/>
  <c r="T175" i="18" s="1"/>
  <c r="T78" i="18"/>
  <c r="T80" i="18"/>
  <c r="T134" i="18" s="1"/>
  <c r="T50" i="18"/>
  <c r="T171" i="18" s="1"/>
  <c r="T51" i="18"/>
  <c r="T57" i="18"/>
  <c r="T56" i="18"/>
  <c r="T67" i="18"/>
  <c r="T82" i="18"/>
  <c r="T61" i="18"/>
  <c r="T58" i="18"/>
  <c r="T54" i="18"/>
  <c r="T177" i="18" s="1"/>
  <c r="T65" i="18"/>
  <c r="T81" i="18"/>
  <c r="Z27" i="18"/>
  <c r="V13" i="18"/>
  <c r="V12" i="18"/>
  <c r="V15" i="18"/>
  <c r="V124" i="18" s="1"/>
  <c r="V10" i="18"/>
  <c r="V16" i="18"/>
  <c r="V132" i="18" s="1"/>
  <c r="V133" i="18" s="1"/>
  <c r="V6" i="18"/>
  <c r="V7" i="18"/>
  <c r="V40" i="18"/>
  <c r="V95" i="18" s="1"/>
  <c r="V101" i="18" s="1"/>
  <c r="U88" i="18"/>
  <c r="U87" i="18"/>
  <c r="Z25" i="18"/>
  <c r="Z90" i="18" s="1"/>
  <c r="Y86" i="18"/>
  <c r="U42" i="18"/>
  <c r="T77" i="18"/>
  <c r="T76" i="18"/>
  <c r="T75" i="18"/>
  <c r="T74" i="18"/>
  <c r="AB21" i="18"/>
  <c r="AE21" i="18" s="1"/>
  <c r="S174" i="18"/>
  <c r="V170" i="18"/>
  <c r="V178" i="18" s="1"/>
  <c r="S172" i="18"/>
  <c r="S173" i="18"/>
  <c r="Q174" i="18"/>
  <c r="D31" i="8"/>
  <c r="D29" i="8"/>
  <c r="D28" i="8"/>
  <c r="D13" i="8"/>
  <c r="D30" i="8" s="1"/>
  <c r="E14" i="8"/>
  <c r="F14" i="8" s="1"/>
  <c r="G14" i="8" s="1"/>
  <c r="H14" i="8" s="1"/>
  <c r="I14" i="8" s="1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D189" i="18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V106" i="18"/>
  <c r="U111" i="18"/>
  <c r="U112" i="18" s="1"/>
  <c r="U113" i="18" s="1"/>
  <c r="U114" i="18" s="1"/>
  <c r="U55" i="18"/>
  <c r="Z126" i="18"/>
  <c r="Z136" i="18"/>
  <c r="Z127" i="18"/>
  <c r="Z137" i="18"/>
  <c r="AE23" i="18"/>
  <c r="AB97" i="18"/>
  <c r="AC23" i="18"/>
  <c r="V89" i="18"/>
  <c r="V129" i="18"/>
  <c r="V130" i="18"/>
  <c r="V96" i="18"/>
  <c r="V102" i="18" s="1"/>
  <c r="V125" i="18"/>
  <c r="Z121" i="18"/>
  <c r="Z120" i="18"/>
  <c r="Z119" i="18"/>
  <c r="Z109" i="18"/>
  <c r="U64" i="18"/>
  <c r="T66" i="18"/>
  <c r="T174" i="18" s="1"/>
  <c r="Z93" i="18"/>
  <c r="Z99" i="18" s="1"/>
  <c r="Z117" i="18"/>
  <c r="Z116" i="18"/>
  <c r="V108" i="18"/>
  <c r="V107" i="18"/>
  <c r="AA18" i="18"/>
  <c r="AB20" i="18"/>
  <c r="AA72" i="18"/>
  <c r="U82" i="18"/>
  <c r="U81" i="18"/>
  <c r="U60" i="18"/>
  <c r="U68" i="18"/>
  <c r="U175" i="18" s="1"/>
  <c r="U67" i="18"/>
  <c r="U62" i="18"/>
  <c r="U176" i="18" s="1"/>
  <c r="U65" i="18"/>
  <c r="U56" i="18"/>
  <c r="U78" i="18"/>
  <c r="U80" i="18"/>
  <c r="U134" i="18" s="1"/>
  <c r="U51" i="18"/>
  <c r="U50" i="18"/>
  <c r="U171" i="18" s="1"/>
  <c r="U61" i="18"/>
  <c r="U57" i="18"/>
  <c r="U58" i="18"/>
  <c r="U54" i="18"/>
  <c r="U177" i="18" s="1"/>
  <c r="AA27" i="18"/>
  <c r="W12" i="18"/>
  <c r="W15" i="18"/>
  <c r="W124" i="18" s="1"/>
  <c r="W13" i="18"/>
  <c r="W16" i="18"/>
  <c r="W132" i="18" s="1"/>
  <c r="W133" i="18" s="1"/>
  <c r="W10" i="18"/>
  <c r="W7" i="18"/>
  <c r="W6" i="18"/>
  <c r="AA25" i="18"/>
  <c r="Z86" i="18"/>
  <c r="W40" i="18"/>
  <c r="W95" i="18" s="1"/>
  <c r="W101" i="18" s="1"/>
  <c r="V87" i="18"/>
  <c r="V88" i="18"/>
  <c r="V42" i="18"/>
  <c r="U77" i="18"/>
  <c r="U75" i="18"/>
  <c r="U76" i="18"/>
  <c r="U74" i="18"/>
  <c r="AC21" i="18"/>
  <c r="W170" i="18"/>
  <c r="W178" i="18" s="1"/>
  <c r="T172" i="18"/>
  <c r="T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C97" i="18" l="1"/>
  <c r="AB103" i="18"/>
  <c r="AC103" i="18" s="1"/>
  <c r="W106" i="18"/>
  <c r="V111" i="18"/>
  <c r="V112" i="18" s="1"/>
  <c r="V113" i="18" s="1"/>
  <c r="V114" i="18" s="1"/>
  <c r="V55" i="18"/>
  <c r="AA126" i="18"/>
  <c r="AA136" i="18"/>
  <c r="AA127" i="18"/>
  <c r="AA137" i="18"/>
  <c r="AE20" i="18"/>
  <c r="AA90" i="18"/>
  <c r="W130" i="18"/>
  <c r="W129" i="18"/>
  <c r="W96" i="18"/>
  <c r="W102" i="18" s="1"/>
  <c r="W125" i="18"/>
  <c r="W89" i="18"/>
  <c r="AA120" i="18"/>
  <c r="AA119" i="18"/>
  <c r="AA121" i="18"/>
  <c r="AA109" i="18"/>
  <c r="U66" i="18"/>
  <c r="U174" i="18" s="1"/>
  <c r="AA93" i="18"/>
  <c r="AA99" i="18" s="1"/>
  <c r="AA117" i="18"/>
  <c r="AA116" i="18"/>
  <c r="V67" i="18"/>
  <c r="W108" i="18"/>
  <c r="W107" i="18"/>
  <c r="AB18" i="18"/>
  <c r="V82" i="18"/>
  <c r="V58" i="18"/>
  <c r="V65" i="18"/>
  <c r="AC20" i="18"/>
  <c r="AB72" i="18"/>
  <c r="V56" i="18"/>
  <c r="V64" i="18"/>
  <c r="V61" i="18"/>
  <c r="V81" i="18"/>
  <c r="V57" i="18"/>
  <c r="V62" i="18"/>
  <c r="V176" i="18" s="1"/>
  <c r="V78" i="18"/>
  <c r="V80" i="18"/>
  <c r="V134" i="18" s="1"/>
  <c r="V50" i="18"/>
  <c r="V171" i="18" s="1"/>
  <c r="V51" i="18"/>
  <c r="V60" i="18"/>
  <c r="V68" i="18"/>
  <c r="V175" i="18" s="1"/>
  <c r="V54" i="18"/>
  <c r="V177" i="18" s="1"/>
  <c r="AB27" i="18"/>
  <c r="AB137" i="18" s="1"/>
  <c r="AC137" i="18" s="1"/>
  <c r="X15" i="18"/>
  <c r="X124" i="18" s="1"/>
  <c r="X13" i="18"/>
  <c r="X12" i="18"/>
  <c r="X10" i="18"/>
  <c r="X16" i="18"/>
  <c r="X132" i="18" s="1"/>
  <c r="X133" i="18" s="1"/>
  <c r="X6" i="18"/>
  <c r="X7" i="18"/>
  <c r="X40" i="18"/>
  <c r="X95" i="18" s="1"/>
  <c r="X101" i="18" s="1"/>
  <c r="W88" i="18"/>
  <c r="W87" i="18"/>
  <c r="AB25" i="18"/>
  <c r="AB90" i="18" s="1"/>
  <c r="AC90" i="18" s="1"/>
  <c r="AA86" i="18"/>
  <c r="W42" i="18"/>
  <c r="V77" i="18"/>
  <c r="V75" i="18"/>
  <c r="V76" i="18"/>
  <c r="V74" i="18"/>
  <c r="X170" i="18"/>
  <c r="X178" i="18" s="1"/>
  <c r="U172" i="18"/>
  <c r="U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6" i="18" l="1"/>
  <c r="W111" i="18"/>
  <c r="W112" i="18" s="1"/>
  <c r="W113" i="18" s="1"/>
  <c r="W114" i="18" s="1"/>
  <c r="W55" i="18"/>
  <c r="AB126" i="18"/>
  <c r="AC126" i="18" s="1"/>
  <c r="AB136" i="18"/>
  <c r="AC136" i="18" s="1"/>
  <c r="X96" i="18"/>
  <c r="X102" i="18" s="1"/>
  <c r="X125" i="18"/>
  <c r="X130" i="18"/>
  <c r="X129" i="18"/>
  <c r="AE27" i="18"/>
  <c r="AB127" i="18"/>
  <c r="AC127" i="18" s="1"/>
  <c r="X89" i="18"/>
  <c r="AB119" i="18"/>
  <c r="AC119" i="18" s="1"/>
  <c r="AB121" i="18"/>
  <c r="AC121" i="18" s="1"/>
  <c r="AB120" i="18"/>
  <c r="AC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9" i="18"/>
  <c r="AC109" i="18" s="1"/>
  <c r="V66" i="18"/>
  <c r="V174" i="18" s="1"/>
  <c r="W65" i="18"/>
  <c r="AB93" i="18"/>
  <c r="AB117" i="18"/>
  <c r="AC117" i="18" s="1"/>
  <c r="AB116" i="18"/>
  <c r="AC116" i="18" s="1"/>
  <c r="X108" i="18"/>
  <c r="X107" i="18"/>
  <c r="AE25" i="18"/>
  <c r="AE18" i="18"/>
  <c r="AC18" i="18"/>
  <c r="S160" i="18"/>
  <c r="AE72" i="18"/>
  <c r="AC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8" i="18"/>
  <c r="W175" i="18" s="1"/>
  <c r="W67" i="18"/>
  <c r="W62" i="18"/>
  <c r="W176" i="18" s="1"/>
  <c r="W64" i="18"/>
  <c r="W61" i="18"/>
  <c r="W81" i="18"/>
  <c r="W60" i="18"/>
  <c r="W82" i="18"/>
  <c r="W78" i="18"/>
  <c r="W80" i="18"/>
  <c r="W134" i="18" s="1"/>
  <c r="W51" i="18"/>
  <c r="W50" i="18"/>
  <c r="W171" i="18" s="1"/>
  <c r="W56" i="18"/>
  <c r="W57" i="18"/>
  <c r="W58" i="18"/>
  <c r="W54" i="18"/>
  <c r="W177" i="18" s="1"/>
  <c r="AC27" i="18"/>
  <c r="Y12" i="18"/>
  <c r="Y15" i="18"/>
  <c r="Y124" i="18" s="1"/>
  <c r="Y13" i="18"/>
  <c r="Y10" i="18"/>
  <c r="Y16" i="18"/>
  <c r="Y132" i="18" s="1"/>
  <c r="Y133" i="18" s="1"/>
  <c r="Y7" i="18"/>
  <c r="Y6" i="18"/>
  <c r="AC25" i="18"/>
  <c r="AB86" i="18"/>
  <c r="AC86" i="18" s="1"/>
  <c r="Y40" i="18"/>
  <c r="Y95" i="18" s="1"/>
  <c r="Y101" i="18" s="1"/>
  <c r="X88" i="18"/>
  <c r="X87" i="18"/>
  <c r="O31" i="9"/>
  <c r="O32" i="9" s="1"/>
  <c r="X42" i="18"/>
  <c r="W77" i="18"/>
  <c r="W75" i="18"/>
  <c r="W76" i="18"/>
  <c r="W74" i="18"/>
  <c r="Y170" i="18"/>
  <c r="Y178" i="18" s="1"/>
  <c r="V172" i="18"/>
  <c r="V173" i="18"/>
  <c r="P31" i="11"/>
  <c r="N32" i="11"/>
  <c r="T19" i="9"/>
  <c r="D22" i="9"/>
  <c r="AC93" i="18" l="1"/>
  <c r="AB99" i="18"/>
  <c r="AC99" i="18" s="1"/>
  <c r="Y106" i="18"/>
  <c r="X111" i="18"/>
  <c r="X112" i="18" s="1"/>
  <c r="X113" i="18" s="1"/>
  <c r="X114" i="18" s="1"/>
  <c r="X55" i="18"/>
  <c r="Y130" i="18"/>
  <c r="Y129" i="18"/>
  <c r="Y96" i="18"/>
  <c r="Y102" i="18" s="1"/>
  <c r="Y125" i="18"/>
  <c r="Y89" i="18"/>
  <c r="W66" i="18"/>
  <c r="W174" i="18" s="1"/>
  <c r="X58" i="18"/>
  <c r="Y107" i="18"/>
  <c r="Y108" i="18"/>
  <c r="T160" i="18"/>
  <c r="R160" i="18" s="1"/>
  <c r="X60" i="18"/>
  <c r="X67" i="18"/>
  <c r="X54" i="18"/>
  <c r="X177" i="18" s="1"/>
  <c r="X62" i="18"/>
  <c r="X176" i="18" s="1"/>
  <c r="X57" i="18"/>
  <c r="X56" i="18"/>
  <c r="X78" i="18"/>
  <c r="X80" i="18"/>
  <c r="X134" i="18" s="1"/>
  <c r="X51" i="18"/>
  <c r="X50" i="18"/>
  <c r="X171" i="18" s="1"/>
  <c r="X82" i="18"/>
  <c r="X61" i="18"/>
  <c r="X68" i="18"/>
  <c r="X175" i="18" s="1"/>
  <c r="X65" i="18"/>
  <c r="X64" i="18"/>
  <c r="X81" i="18"/>
  <c r="Z13" i="18"/>
  <c r="Z12" i="18"/>
  <c r="Z15" i="18"/>
  <c r="Z124" i="18" s="1"/>
  <c r="Z10" i="18"/>
  <c r="Z16" i="18"/>
  <c r="Z132" i="18" s="1"/>
  <c r="Z133" i="18" s="1"/>
  <c r="Z6" i="18"/>
  <c r="Z7" i="18"/>
  <c r="Z40" i="18"/>
  <c r="Z95" i="18" s="1"/>
  <c r="Z101" i="18" s="1"/>
  <c r="Y88" i="18"/>
  <c r="Y87" i="18"/>
  <c r="Y42" i="18"/>
  <c r="X77" i="18"/>
  <c r="X75" i="18"/>
  <c r="X76" i="18"/>
  <c r="X74" i="18"/>
  <c r="Z170" i="18"/>
  <c r="Z178" i="18" s="1"/>
  <c r="W172" i="18"/>
  <c r="W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6" i="18" l="1"/>
  <c r="Y111" i="18"/>
  <c r="Y112" i="18" s="1"/>
  <c r="Y113" i="18" s="1"/>
  <c r="Y114" i="18" s="1"/>
  <c r="Y55" i="18"/>
  <c r="Z96" i="18"/>
  <c r="Z102" i="18" s="1"/>
  <c r="Z125" i="18"/>
  <c r="Z129" i="18"/>
  <c r="Z130" i="18"/>
  <c r="Z89" i="18"/>
  <c r="Z107" i="18"/>
  <c r="Z108" i="18"/>
  <c r="X66" i="18"/>
  <c r="X174" i="18" s="1"/>
  <c r="Y78" i="18"/>
  <c r="Y80" i="18"/>
  <c r="Y134" i="18" s="1"/>
  <c r="Y50" i="18"/>
  <c r="Y171" i="18" s="1"/>
  <c r="Y51" i="18"/>
  <c r="Y62" i="18"/>
  <c r="Y176" i="18" s="1"/>
  <c r="Y68" i="18"/>
  <c r="Y175" i="18" s="1"/>
  <c r="Y67" i="18"/>
  <c r="Y65" i="18"/>
  <c r="Y56" i="18"/>
  <c r="Y54" i="18"/>
  <c r="Y177" i="18" s="1"/>
  <c r="Y61" i="18"/>
  <c r="Y57" i="18"/>
  <c r="Y58" i="18"/>
  <c r="Y64" i="18"/>
  <c r="Y81" i="18"/>
  <c r="Y60" i="18"/>
  <c r="Y82" i="18"/>
  <c r="AA12" i="18"/>
  <c r="AA15" i="18"/>
  <c r="AA124" i="18" s="1"/>
  <c r="AA13" i="18"/>
  <c r="AA10" i="18"/>
  <c r="AA16" i="18"/>
  <c r="AA132" i="18" s="1"/>
  <c r="AA133" i="18" s="1"/>
  <c r="AA7" i="18"/>
  <c r="AA6" i="18"/>
  <c r="AA40" i="18"/>
  <c r="AA95" i="18" s="1"/>
  <c r="AA101" i="18" s="1"/>
  <c r="Z87" i="18"/>
  <c r="Z88" i="18"/>
  <c r="Z42" i="18"/>
  <c r="Y77" i="18"/>
  <c r="Y75" i="18"/>
  <c r="Y76" i="18"/>
  <c r="Y74" i="18"/>
  <c r="AA170" i="18"/>
  <c r="AA178" i="18" s="1"/>
  <c r="X172" i="18"/>
  <c r="X173" i="18"/>
  <c r="N34" i="11"/>
  <c r="O33" i="11"/>
  <c r="D25" i="8"/>
  <c r="D23" i="8"/>
  <c r="AA106" i="18" l="1"/>
  <c r="Z111" i="18"/>
  <c r="Z112" i="18" s="1"/>
  <c r="Z113" i="18" s="1"/>
  <c r="Z114" i="18" s="1"/>
  <c r="Z55" i="18"/>
  <c r="AA89" i="18"/>
  <c r="AA129" i="18"/>
  <c r="AA130" i="18"/>
  <c r="AA96" i="18"/>
  <c r="AA102" i="18" s="1"/>
  <c r="AA125" i="18"/>
  <c r="AA107" i="18"/>
  <c r="AA108" i="18"/>
  <c r="Y66" i="18"/>
  <c r="Y174" i="18" s="1"/>
  <c r="Z78" i="18"/>
  <c r="Z80" i="18"/>
  <c r="Z134" i="18" s="1"/>
  <c r="Z51" i="18"/>
  <c r="Z50" i="18"/>
  <c r="Z171" i="18" s="1"/>
  <c r="Z56" i="18"/>
  <c r="Z67" i="18"/>
  <c r="Z57" i="18"/>
  <c r="Z62" i="18"/>
  <c r="Z176" i="18" s="1"/>
  <c r="Z65" i="18"/>
  <c r="Z64" i="18"/>
  <c r="Z82" i="18"/>
  <c r="Z68" i="18"/>
  <c r="Z175" i="18" s="1"/>
  <c r="Z54" i="18"/>
  <c r="Z177" i="18" s="1"/>
  <c r="Z61" i="18"/>
  <c r="Z81" i="18"/>
  <c r="Z60" i="18"/>
  <c r="Z58" i="18"/>
  <c r="AB15" i="18"/>
  <c r="AB13" i="18"/>
  <c r="AE13" i="18" s="1"/>
  <c r="AB12" i="18"/>
  <c r="AB125" i="18" s="1"/>
  <c r="AC125" i="18" s="1"/>
  <c r="AB10" i="18"/>
  <c r="AB16" i="18"/>
  <c r="AB6" i="18"/>
  <c r="AE6" i="18" s="1"/>
  <c r="AB7" i="18"/>
  <c r="AE7" i="18" s="1"/>
  <c r="AB40" i="18"/>
  <c r="AB95" i="18" s="1"/>
  <c r="AA88" i="18"/>
  <c r="AA87" i="18"/>
  <c r="AA42" i="18"/>
  <c r="Z77" i="18"/>
  <c r="Z75" i="18"/>
  <c r="Z76" i="18"/>
  <c r="Z74" i="18"/>
  <c r="AB170" i="18"/>
  <c r="AB178" i="18" s="1"/>
  <c r="Y172" i="18"/>
  <c r="Y173" i="18"/>
  <c r="N35" i="11"/>
  <c r="O34" i="11"/>
  <c r="D35" i="8"/>
  <c r="E5" i="8"/>
  <c r="E18" i="8" s="1"/>
  <c r="D18" i="8"/>
  <c r="D19" i="8"/>
  <c r="D21" i="8"/>
  <c r="D20" i="8"/>
  <c r="AC95" i="18" l="1"/>
  <c r="AB101" i="18"/>
  <c r="AC101" i="18" s="1"/>
  <c r="AB106" i="18"/>
  <c r="AC178" i="18"/>
  <c r="AE178" i="18" s="1"/>
  <c r="AA111" i="18"/>
  <c r="AA112" i="18" s="1"/>
  <c r="AA113" i="18" s="1"/>
  <c r="AA114" i="18" s="1"/>
  <c r="AA55" i="18"/>
  <c r="AE16" i="18"/>
  <c r="AB132" i="18"/>
  <c r="AB130" i="18"/>
  <c r="AC130" i="18" s="1"/>
  <c r="AB129" i="18"/>
  <c r="AC129" i="18" s="1"/>
  <c r="AE15" i="18"/>
  <c r="AB124" i="18"/>
  <c r="AC124" i="18" s="1"/>
  <c r="AB89" i="18"/>
  <c r="AC89" i="18" s="1"/>
  <c r="AE10" i="18"/>
  <c r="AC106" i="18"/>
  <c r="AE12" i="18"/>
  <c r="AB96" i="18"/>
  <c r="AE40" i="18"/>
  <c r="AB107" i="18"/>
  <c r="AC107" i="18" s="1"/>
  <c r="AB108" i="18"/>
  <c r="AC108" i="18" s="1"/>
  <c r="Z66" i="18"/>
  <c r="Z174" i="18" s="1"/>
  <c r="AA78" i="18"/>
  <c r="AA80" i="18"/>
  <c r="AA134" i="18" s="1"/>
  <c r="AA50" i="18"/>
  <c r="AA171" i="18" s="1"/>
  <c r="AA51" i="18"/>
  <c r="AA60" i="18"/>
  <c r="AA68" i="18"/>
  <c r="AA175" i="18" s="1"/>
  <c r="AA54" i="18"/>
  <c r="AA177" i="18" s="1"/>
  <c r="AA62" i="18"/>
  <c r="AA176" i="18" s="1"/>
  <c r="AA65" i="18"/>
  <c r="AA81" i="18"/>
  <c r="AA56" i="18"/>
  <c r="AA57" i="18"/>
  <c r="AA58" i="18"/>
  <c r="AA61" i="18"/>
  <c r="AA82" i="18"/>
  <c r="AA64" i="18"/>
  <c r="AA67" i="18"/>
  <c r="AC15" i="18"/>
  <c r="AC13" i="18"/>
  <c r="S154" i="18"/>
  <c r="AC12" i="18"/>
  <c r="AC10" i="18"/>
  <c r="AC16" i="18"/>
  <c r="AC7" i="18"/>
  <c r="AC6" i="18"/>
  <c r="AB88" i="18"/>
  <c r="AC88" i="18" s="1"/>
  <c r="AB87" i="18"/>
  <c r="AC87" i="18" s="1"/>
  <c r="AC40" i="18"/>
  <c r="AB42" i="18"/>
  <c r="AA77" i="18"/>
  <c r="AA75" i="18"/>
  <c r="AA76" i="18"/>
  <c r="AA74" i="18"/>
  <c r="AC170" i="18"/>
  <c r="AE170" i="18" s="1"/>
  <c r="Z172" i="18"/>
  <c r="Z173" i="18"/>
  <c r="N36" i="11"/>
  <c r="O35" i="11"/>
  <c r="F5" i="8"/>
  <c r="G5" i="8" s="1"/>
  <c r="H5" i="8" s="1"/>
  <c r="I5" i="8" s="1"/>
  <c r="AC96" i="18" l="1"/>
  <c r="AB102" i="18"/>
  <c r="AC102" i="18" s="1"/>
  <c r="AB111" i="18"/>
  <c r="AB112" i="18" s="1"/>
  <c r="AB113" i="18" s="1"/>
  <c r="AB114" i="18" s="1"/>
  <c r="AB55" i="18"/>
  <c r="AC132" i="18"/>
  <c r="AB133" i="18"/>
  <c r="AC133" i="18" s="1"/>
  <c r="AE42" i="18"/>
  <c r="T154" i="18"/>
  <c r="T155" i="18" s="1"/>
  <c r="AA66" i="18"/>
  <c r="AA174" i="18" s="1"/>
  <c r="AB78" i="18"/>
  <c r="AB80" i="18"/>
  <c r="AB50" i="18"/>
  <c r="AB171" i="18" s="1"/>
  <c r="AC171" i="18" s="1"/>
  <c r="AE171" i="18" s="1"/>
  <c r="AB51" i="18"/>
  <c r="AB60" i="18"/>
  <c r="AB65" i="18"/>
  <c r="AB54" i="18"/>
  <c r="AB62" i="18"/>
  <c r="AB58" i="18"/>
  <c r="AB81" i="18"/>
  <c r="AB57" i="18"/>
  <c r="AE57" i="18" s="1"/>
  <c r="AB56" i="18"/>
  <c r="AB67" i="18"/>
  <c r="AB82" i="18"/>
  <c r="AB61" i="18"/>
  <c r="AB68" i="18"/>
  <c r="AB64" i="18"/>
  <c r="S155" i="18"/>
  <c r="AB77" i="18"/>
  <c r="AB75" i="18"/>
  <c r="AC42" i="18"/>
  <c r="AB76" i="18"/>
  <c r="AB74" i="18"/>
  <c r="AA172" i="18"/>
  <c r="AA173" i="18"/>
  <c r="N37" i="11"/>
  <c r="O36" i="11"/>
  <c r="F18" i="8"/>
  <c r="G18" i="8"/>
  <c r="AE54" i="18" l="1"/>
  <c r="AB177" i="18"/>
  <c r="AE55" i="18"/>
  <c r="AC55" i="18"/>
  <c r="AE80" i="18"/>
  <c r="AB134" i="18"/>
  <c r="AC134" i="18" s="1"/>
  <c r="AC111" i="18"/>
  <c r="R154" i="18"/>
  <c r="R155" i="18"/>
  <c r="M185" i="18" s="1"/>
  <c r="AC81" i="18"/>
  <c r="AE81" i="18"/>
  <c r="AC51" i="18"/>
  <c r="AE51" i="18"/>
  <c r="S151" i="18"/>
  <c r="AE67" i="18"/>
  <c r="AB175" i="18"/>
  <c r="AC175" i="18" s="1"/>
  <c r="AE175" i="18" s="1"/>
  <c r="AE68" i="18"/>
  <c r="AC50" i="18"/>
  <c r="AE50" i="18"/>
  <c r="AC65" i="18"/>
  <c r="AE65" i="18"/>
  <c r="S145" i="18"/>
  <c r="AE64" i="18"/>
  <c r="S144" i="18"/>
  <c r="AE58" i="18"/>
  <c r="AB176" i="18"/>
  <c r="AC176" i="18" s="1"/>
  <c r="AE176" i="18" s="1"/>
  <c r="AE62" i="18"/>
  <c r="AC61" i="18"/>
  <c r="AE61" i="18"/>
  <c r="S142" i="18"/>
  <c r="AE56" i="18"/>
  <c r="S147" i="18"/>
  <c r="AE60" i="18"/>
  <c r="AC82" i="18"/>
  <c r="AE82" i="18"/>
  <c r="S167" i="18"/>
  <c r="AE78" i="18"/>
  <c r="S165" i="18"/>
  <c r="AE77" i="18"/>
  <c r="S164" i="18"/>
  <c r="AE76" i="18"/>
  <c r="S162" i="18"/>
  <c r="AE74" i="18"/>
  <c r="S163" i="18"/>
  <c r="AE75" i="18"/>
  <c r="AC67" i="18"/>
  <c r="S148" i="18"/>
  <c r="AC56" i="18"/>
  <c r="AC58" i="18"/>
  <c r="T144" i="18" s="1"/>
  <c r="AC60" i="18"/>
  <c r="S149" i="18"/>
  <c r="AC78" i="18"/>
  <c r="AC64" i="18"/>
  <c r="S152" i="18"/>
  <c r="AB66" i="18"/>
  <c r="AC62" i="18"/>
  <c r="AC68" i="18"/>
  <c r="AC80" i="18"/>
  <c r="AC76" i="18"/>
  <c r="AC75" i="18"/>
  <c r="AC74" i="18"/>
  <c r="AC77" i="18"/>
  <c r="S141" i="18"/>
  <c r="AC54" i="18"/>
  <c r="AB172" i="18"/>
  <c r="AC57" i="18"/>
  <c r="T143" i="18" s="1"/>
  <c r="AB173" i="18"/>
  <c r="S143" i="18"/>
  <c r="N38" i="11"/>
  <c r="O37" i="11"/>
  <c r="H18" i="8"/>
  <c r="AC177" i="18" l="1"/>
  <c r="AE177" i="18" s="1"/>
  <c r="T141" i="18"/>
  <c r="P185" i="18"/>
  <c r="AC112" i="18"/>
  <c r="T152" i="18"/>
  <c r="R152" i="18" s="1"/>
  <c r="T142" i="18"/>
  <c r="R142" i="18" s="1"/>
  <c r="M184" i="18" s="1"/>
  <c r="T151" i="18"/>
  <c r="R151" i="18" s="1"/>
  <c r="T147" i="18"/>
  <c r="R147" i="18" s="1"/>
  <c r="T149" i="18"/>
  <c r="R149" i="18" s="1"/>
  <c r="T167" i="18"/>
  <c r="R167" i="18" s="1"/>
  <c r="T164" i="18"/>
  <c r="R164" i="18" s="1"/>
  <c r="AC66" i="18"/>
  <c r="AE66" i="18"/>
  <c r="T145" i="18"/>
  <c r="R145" i="18" s="1"/>
  <c r="R144" i="18"/>
  <c r="T148" i="18"/>
  <c r="R148" i="18" s="1"/>
  <c r="T162" i="18"/>
  <c r="R162" i="18" s="1"/>
  <c r="AB174" i="18"/>
  <c r="AC174" i="18" s="1"/>
  <c r="AE174" i="18" s="1"/>
  <c r="T165" i="18"/>
  <c r="R165" i="18" s="1"/>
  <c r="T163" i="18"/>
  <c r="R163" i="18" s="1"/>
  <c r="R141" i="18"/>
  <c r="P187" i="18" s="1"/>
  <c r="P188" i="18" s="1"/>
  <c r="AC173" i="18"/>
  <c r="AE173" i="18" s="1"/>
  <c r="AC172" i="18"/>
  <c r="AE172" i="18" s="1"/>
  <c r="R143" i="18"/>
  <c r="N39" i="11"/>
  <c r="O38" i="11"/>
  <c r="I18" i="8"/>
  <c r="P186" i="18" l="1"/>
  <c r="M186" i="18"/>
  <c r="P184" i="18"/>
  <c r="P183" i="18"/>
  <c r="M183" i="18"/>
  <c r="AC114" i="18"/>
  <c r="AC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<sst xmlns="http://schemas.openxmlformats.org/spreadsheetml/2006/main" count="622" uniqueCount="432">
  <si>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</si>
  <si>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</si>
  <si>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</si>
  <si>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</si>
  <si>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</si>
  <si>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</si>
  <si>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</si>
  <si>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</si>
  <si>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</si>
  <si>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</si>
  <si>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</si>
  <si>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</si>
  <si>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</si>
  <si>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</si>
  <si>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</si>
  <si>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</si>
  <si>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</si>
  <si>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</si>
  <si>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</si>
  <si>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</si>
  <si>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</si>
  <si>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</si>
  <si>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</si>
  <si>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</si>
  <si>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</si>
  <si>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</si>
  <si>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</si>
  <si>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</si>
  <si>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</si>
  <si>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</si>
  <si>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</si>
  <si>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</si>
  <si>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</si>
  <si>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</si>
  <si>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</si>
  <si>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</si>
  <si>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</si>
  <si>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</si>
  <si>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</si>
  <si>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</si>
  <si>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</si>
  <si>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</si>
  <si>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</si>
  <si>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</si>
  <si>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</si>
  <si>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</si>
  <si>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</si>
  <si>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</si>
  <si>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</si>
  <si>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</si>
  <si>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</si>
  <si>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</si>
  <si>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</si>
  <si>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</si>
  <si>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</si>
  <si>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</si>
  <si>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</si>
  <si>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</si>
  <si>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</si>
  <si>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</si>
  <si>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</si>
  <si>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</si>
  <si>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</si>
  <si>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</si>
  <si>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</si>
  <si>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</si>
  <si>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</si>
  <si>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</si>
  <si>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</si>
  <si>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</si>
  <si>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</si>
  <si>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</si>
  <si>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</si>
  <si>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</si>
  <si>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</si>
  <si>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</si>
  <si>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</si>
  <si>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</si>
  <si>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</si>
  <si>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</si>
  <si>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</si>
  <si>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</si>
  <si>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</si>
  <si>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</si>
  <si>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</si>
  <si>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</si>
  <si>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</si>
  <si>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</si>
  <si>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</si>
  <si>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</si>
  <si>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</si>
  <si>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</si>
  <si>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</si>
  <si>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</si>
  <si>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</si>
  <si>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</si>
  <si>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</si>
  <si>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</si>
  <si>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</si>
  <si>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</si>
  <si>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</si>
  <si>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</si>
  <si>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</si>
  <si>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</si>
  <si>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</si>
  <si>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</si>
  <si>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</si>
  <si>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</si>
  <si>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</si>
  <si>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</si>
  <si>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</si>
  <si>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</si>
  <si>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</si>
  <si>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</si>
  <si>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</si>
  <si>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</si>
  <si>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</si>
  <si>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</si>
  <si>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</si>
  <si>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</si>
  <si>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</si>
  <si>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</si>
  <si>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</si>
  <si>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</si>
  <si>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</si>
  <si>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</si>
  <si>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</si>
  <si>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</si>
  <si>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</si>
  <si>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</si>
  <si>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</si>
  <si>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</si>
  <si>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</si>
  <si>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</si>
  <si>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</si>
  <si>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</si>
  <si>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</si>
  <si>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</si>
  <si>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</si>
  <si>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</si>
  <si>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</si>
  <si>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</si>
  <si>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</si>
  <si>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</si>
  <si>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</si>
  <si>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</si>
  <si>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</si>
  <si>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</si>
  <si>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</si>
  <si>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</si>
  <si>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</si>
  <si>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</si>
  <si>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</si>
  <si>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</si>
  <si>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</si>
  <si>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</si>
  <si>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</si>
  <si>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</si>
  <si>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</si>
  <si>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</si>
  <si>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</si>
  <si>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</si>
  <si>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</si>
  <si>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</si>
  <si>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</si>
  <si>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</si>
  <si>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</si>
  <si>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</si>
  <si>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</si>
  <si>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</si>
  <si>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</si>
  <si>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</si>
  <si>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</si>
  <si>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</si>
  <si>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</si>
  <si>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</si>
  <si>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</si>
  <si>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</si>
  <si>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</si>
  <si>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</si>
  <si>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</si>
  <si>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</si>
  <si>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</si>
  <si>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</si>
  <si>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</si>
  <si>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</si>
  <si>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</si>
  <si>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</si>
  <si>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</si>
  <si>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</si>
  <si>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</si>
  <si>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</si>
  <si>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</si>
  <si>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</si>
  <si>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</si>
  <si>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</si>
  <si>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</si>
  <si>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</si>
  <si>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</si>
  <si>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</si>
  <si>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</si>
  <si>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</si>
  <si>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</si>
  <si>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</si>
  <si>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</si>
  <si>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</si>
  <si>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</si>
  <si>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</si>
  <si>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</si>
  <si>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</si>
  <si>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</si>
  <si>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</si>
  <si>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</si>
  <si>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</si>
  <si>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</si>
  <si>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</si>
  <si>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</si>
  <si>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</si>
  <si>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</si>
  <si>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</si>
  <si>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</si>
  <si>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</si>
  <si>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</si>
  <si>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</si>
  <si>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</si>
  <si>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</si>
  <si>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</si>
  <si>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</si>
  <si>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</si>
  <si>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</si>
  <si>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</si>
  <si>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</si>
  <si>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</si>
  <si>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</si>
  <si>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</si>
  <si>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</si>
  <si>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</si>
  <si>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</si>
  <si>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</si>
  <si>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</si>
  <si>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</si>
  <si>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</si>
  <si>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</si>
  <si>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</si>
  <si>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</si>
  <si>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</si>
  <si>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</si>
  <si>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</si>
  <si>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</si>
  <si>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</si>
  <si>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</si>
  <si>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</si>
  <si>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</si>
  <si>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</si>
  <si>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</si>
  <si>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</si>
  <si>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</si>
  <si>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</si>
  <si>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</si>
  <si>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</si>
  <si>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</si>
  <si>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</si>
  <si>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</si>
  <si>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</si>
  <si>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</si>
  <si>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</si>
  <si>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</si>
  <si>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</si>
  <si>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</si>
  <si>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</si>
  <si>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</si>
  <si>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</si>
  <si>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</si>
  <si>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</si>
  <si>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</si>
  <si>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</si>
  <si>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</si>
  <si>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</si>
  <si>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</si>
  <si>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</si>
  <si>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</si>
  <si>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</si>
  <si>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</si>
  <si>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</si>
  <si>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</si>
  <si>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</si>
  <si>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</si>
  <si>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</si>
  <si>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</si>
  <si>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</si>
  <si>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</si>
  <si>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</si>
  <si>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</si>
  <si>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</si>
  <si>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</si>
  <si>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</si>
  <si>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</si>
  <si>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</si>
  <si>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</si>
  <si>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</si>
  <si>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</si>
  <si>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</si>
  <si>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</si>
  <si>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</si>
  <si>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</si>
  <si>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</si>
  <si>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</si>
  <si>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</si>
  <si>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</si>
  <si>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</si>
  <si>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</si>
  <si>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</si>
  <si>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</si>
  <si>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</si>
  <si>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</si>
  <si>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</si>
  <si>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</si>
  <si>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</si>
  <si>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</si>
  <si>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</si>
  <si>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</si>
  <si>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</si>
  <si>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</si>
  <si>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</si>
  <si>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</si>
  <si>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</si>
  <si>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</si>
  <si>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</si>
  <si>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</si>
  <si>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</si>
  <si>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</si>
  <si>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</si>
  <si>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</si>
  <si>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</si>
  <si>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</si>
  <si>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</si>
  <si>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</si>
  <si>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</si>
  <si>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</si>
  <si>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</si>
  <si>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</si>
  <si>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</si>
  <si>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</si>
  <si>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</si>
  <si>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</si>
  <si>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</si>
  <si>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</si>
  <si>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</si>
  <si>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</si>
  <si>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</si>
  <si>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</si>
  <si>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</si>
  <si>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</si>
  <si>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</si>
  <si>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</si>
  <si>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</si>
  <si>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</si>
  <si>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</si>
  <si>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</si>
  <si>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</si>
  <si>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</si>
  <si>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</si>
  <si>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</si>
  <si>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</si>
  <si>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</si>
  <si>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</si>
  <si>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</si>
  <si>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</si>
  <si>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</si>
  <si>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</si>
  <si>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</si>
  <si>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</si>
  <si>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</si>
  <si>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</si>
  <si>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</si>
  <si>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</si>
  <si>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</si>
  <si>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</si>
  <si>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</si>
  <si>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</si>
  <si>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</si>
  <si>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</si>
  <si>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</si>
  <si>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</si>
  <si>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</si>
  <si>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</si>
  <si>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</si>
  <si>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</si>
  <si>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</si>
  <si>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</si>
  <si>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</si>
  <si>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</si>
  <si>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</si>
  <si>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</si>
  <si>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</si>
  <si>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</si>
  <si>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</si>
  <si>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</si>
  <si>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</si>
  <si>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</si>
  <si>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</si>
  <si>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</si>
  <si>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</si>
  <si>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</si>
  <si>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</si>
  <si>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</si>
  <si>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</si>
  <si>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</si>
  <si>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</si>
  <si>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</si>
  <si>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</si>
  <si>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</si>
  <si>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</si>
  <si>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</si>
  <si>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</si>
  <si>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</si>
  <si>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</si>
  <si>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</si>
  <si>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</si>
  <si>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</si>
  <si>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</si>
  <si>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</si>
  <si>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</si>
  <si>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</si>
  <si>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</si>
  <si>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</si>
  <si>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</si>
  <si>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</si>
  <si>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</si>
  <si>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</si>
  <si>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Going Concern</t>
  </si>
  <si>
    <t>Next 10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</si>
</sst>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73824"/>
        <c:axId val="99375360"/>
      </c:lineChart>
      <c:catAx>
        <c:axId val="9937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99375360"/>
        <c:crosses val="autoZero"/>
        <c:auto val="1"/>
        <c:lblAlgn val="ctr"/>
        <c:lblOffset val="100"/>
        <c:noMultiLvlLbl val="0"/>
      </c:catAx>
      <c:valAx>
        <c:axId val="9937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3738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20"/>
  <sheetViews>
    <sheetView tabSelected="1" zoomScale="80" zoomScaleNormal="80" workbookViewId="0">
      <pane xSplit="2" ySplit="3" topLeftCell="E170" activePane="bottomRight" state="frozen"/>
      <selection pane="topRight" activeCell="C1" sqref="C1"/>
      <selection pane="bottomLeft" activeCell="A5" sqref="A5"/>
      <selection pane="bottomRight" activeCell="Q190" sqref="Q19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18" t="e">
        <f>((P6/G6)^(1/($H$2-$H$1) ))-1</f>
        <v>#DIV/0!</v>
      </c>
      <c r="R6" s="31">
        <f>$L$2</f>
        <v>0.12</v>
      </c>
      <c r="S6" s="154">
        <f>P6*(1+$R6)</f>
        <v>0</v>
      </c>
      <c r="T6" s="154">
        <f>S6*(1+$R6)</f>
        <v>0</v>
      </c>
      <c r="U6" s="154">
        <f t="shared" ref="U6:AB6" si="0">T6*(1+$R6)</f>
        <v>0</v>
      </c>
      <c r="V6" s="154">
        <f t="shared" si="0"/>
        <v>0</v>
      </c>
      <c r="W6" s="154">
        <f t="shared" si="0"/>
        <v>0</v>
      </c>
      <c r="X6" s="154">
        <f t="shared" si="0"/>
        <v>0</v>
      </c>
      <c r="Y6" s="154">
        <f t="shared" si="0"/>
        <v>0</v>
      </c>
      <c r="Z6" s="154">
        <f t="shared" si="0"/>
        <v>0</v>
      </c>
      <c r="AA6" s="154">
        <f t="shared" si="0"/>
        <v>0</v>
      </c>
      <c r="AB6" s="154">
        <f t="shared" si="0"/>
        <v>0</v>
      </c>
      <c r="AC6" s="138" t="e">
        <f>((AB6/G6)^(1/($AB$3-$H$1) ))-1</f>
        <v>#DIV/0!</v>
      </c>
      <c r="AD6" s="31">
        <f>$L$1</f>
        <v>0.05</v>
      </c>
      <c r="AE6" s="146">
        <f t="shared" ref="AE6:AE44" si="1">(AB6*(1+AD6))/($C$1-AD6)</f>
        <v>0</v>
      </c>
    </row>
    <row r="7" spans="2:31" x14ac:dyDescent="0.2">
      <c r="B7" s="20" t="s">
        <v>240</v>
      </c>
      <c r="C7" s="141"/>
      <c r="D7" s="141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18" t="e">
        <f>((P7/G7)^(1/($H$2-$H$1) ))-1</f>
        <v>#DIV/0!</v>
      </c>
      <c r="R7" s="31">
        <f>$L$2</f>
        <v>0.12</v>
      </c>
      <c r="S7" s="154">
        <f t="shared" ref="S7:S16" si="2">P7*(1+$R7)</f>
        <v>0</v>
      </c>
      <c r="T7" s="154">
        <f t="shared" ref="T7:AB7" si="3">S7*(1+$R7)</f>
        <v>0</v>
      </c>
      <c r="U7" s="154">
        <f t="shared" si="3"/>
        <v>0</v>
      </c>
      <c r="V7" s="154">
        <f t="shared" si="3"/>
        <v>0</v>
      </c>
      <c r="W7" s="154">
        <f t="shared" si="3"/>
        <v>0</v>
      </c>
      <c r="X7" s="154">
        <f t="shared" si="3"/>
        <v>0</v>
      </c>
      <c r="Y7" s="154">
        <f t="shared" si="3"/>
        <v>0</v>
      </c>
      <c r="Z7" s="154">
        <f t="shared" si="3"/>
        <v>0</v>
      </c>
      <c r="AA7" s="154">
        <f t="shared" si="3"/>
        <v>0</v>
      </c>
      <c r="AB7" s="154">
        <f t="shared" si="3"/>
        <v>0</v>
      </c>
      <c r="AC7" s="138" t="e">
        <f>((AB7/G7)^(1/($AB$3-$H$1) ))-1</f>
        <v>#DIV/0!</v>
      </c>
      <c r="AD7" s="31">
        <f>$L$1</f>
        <v>0.05</v>
      </c>
      <c r="AE7" s="146">
        <f t="shared" si="1"/>
        <v>0</v>
      </c>
    </row>
    <row r="8" spans="2:31" x14ac:dyDescent="0.2">
      <c r="B8" s="20"/>
      <c r="C8" s="141"/>
      <c r="D8" s="141"/>
      <c r="E8" s="147"/>
      <c r="F8" s="147"/>
      <c r="G8" s="148" t="e">
        <f>(G7-F7)/G7</f>
        <v>#DIV/0!</v>
      </c>
      <c r="H8" s="151" t="e">
        <f>(H7-G7)/H7</f>
        <v>#DIV/0!</v>
      </c>
      <c r="I8" s="151" t="e">
        <f t="shared" ref="I8:P8" si="4">(I7-H7)/I7</f>
        <v>#DIV/0!</v>
      </c>
      <c r="J8" s="151" t="e">
        <f t="shared" si="4"/>
        <v>#DIV/0!</v>
      </c>
      <c r="K8" s="151" t="e">
        <f t="shared" si="4"/>
        <v>#DIV/0!</v>
      </c>
      <c r="L8" s="151" t="e">
        <f t="shared" si="4"/>
        <v>#DIV/0!</v>
      </c>
      <c r="M8" s="151" t="e">
        <f t="shared" si="4"/>
        <v>#DIV/0!</v>
      </c>
      <c r="N8" s="151" t="e">
        <f t="shared" si="4"/>
        <v>#DIV/0!</v>
      </c>
      <c r="O8" s="151" t="e">
        <f t="shared" si="4"/>
        <v>#DIV/0!</v>
      </c>
      <c r="P8" s="151" t="e">
        <f t="shared" si="4"/>
        <v>#DIV/0!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18" t="e">
        <f t="shared" ref="Q9:Q16" si="5">((P9/G9)^(1/($H$2-$H$1) ))-1</f>
        <v>#DIV/0!</v>
      </c>
      <c r="R9" s="31">
        <f t="shared" ref="R9:R40" si="6">$L$2</f>
        <v>0.12</v>
      </c>
      <c r="S9" s="154">
        <f t="shared" ref="S9" si="7">P9*(1+$R9)</f>
        <v>0</v>
      </c>
      <c r="T9" s="154">
        <f t="shared" ref="T9" si="8">S9*(1+$R9)</f>
        <v>0</v>
      </c>
      <c r="U9" s="154">
        <f t="shared" ref="U9" si="9">T9*(1+$R9)</f>
        <v>0</v>
      </c>
      <c r="V9" s="154">
        <f t="shared" ref="V9" si="10">U9*(1+$R9)</f>
        <v>0</v>
      </c>
      <c r="W9" s="154">
        <f t="shared" ref="W9" si="11">V9*(1+$R9)</f>
        <v>0</v>
      </c>
      <c r="X9" s="154">
        <f t="shared" ref="X9" si="12">W9*(1+$R9)</f>
        <v>0</v>
      </c>
      <c r="Y9" s="154">
        <f t="shared" ref="Y9" si="13">X9*(1+$R9)</f>
        <v>0</v>
      </c>
      <c r="Z9" s="154">
        <f t="shared" ref="Z9" si="14">Y9*(1+$R9)</f>
        <v>0</v>
      </c>
      <c r="AA9" s="154">
        <f t="shared" ref="AA9" si="15">Z9*(1+$R9)</f>
        <v>0</v>
      </c>
      <c r="AB9" s="154">
        <f t="shared" ref="AB9" si="16">AA9*(1+$R9)</f>
        <v>0</v>
      </c>
      <c r="AC9" s="138" t="e">
        <f>((AB9/G9)^(1/($AB$3-$H$1) ))-1</f>
        <v>#DIV/0!</v>
      </c>
      <c r="AD9" s="31">
        <f t="shared" ref="AD9:AD81" si="17">$L$1</f>
        <v>0.05</v>
      </c>
      <c r="AE9" s="146">
        <f t="shared" si="1"/>
        <v>0</v>
      </c>
    </row>
    <row r="10" spans="2:31" x14ac:dyDescent="0.2">
      <c r="B10" s="20" t="s">
        <v>4</v>
      </c>
      <c r="C10" s="141"/>
      <c r="D10" s="141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18" t="e">
        <f t="shared" si="5"/>
        <v>#DIV/0!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 t="e">
        <f t="shared" ref="AC10:AC42" si="19">((AB10/G10)^(1/($AB$3-$H$1) ))-1</f>
        <v>#DIV/0!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 t="e">
        <f>(G10-F10)/G10</f>
        <v>#DIV/0!</v>
      </c>
      <c r="H11" s="148" t="e">
        <f t="shared" ref="H11:P11" si="20">(H10-G10)/H10</f>
        <v>#DIV/0!</v>
      </c>
      <c r="I11" s="148" t="e">
        <f t="shared" si="20"/>
        <v>#DIV/0!</v>
      </c>
      <c r="J11" s="148" t="e">
        <f t="shared" si="20"/>
        <v>#DIV/0!</v>
      </c>
      <c r="K11" s="148" t="e">
        <f t="shared" si="20"/>
        <v>#DIV/0!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18" t="e">
        <f t="shared" si="5"/>
        <v>#DIV/0!</v>
      </c>
      <c r="R12" s="31">
        <f t="shared" si="6"/>
        <v>0.12</v>
      </c>
      <c r="S12" s="154">
        <f t="shared" si="2"/>
        <v>0</v>
      </c>
      <c r="T12" s="154">
        <f t="shared" ref="T12:AB12" si="21">S12*(1+$R12)</f>
        <v>0</v>
      </c>
      <c r="U12" s="154">
        <f t="shared" si="21"/>
        <v>0</v>
      </c>
      <c r="V12" s="154">
        <f t="shared" si="21"/>
        <v>0</v>
      </c>
      <c r="W12" s="154">
        <f t="shared" si="21"/>
        <v>0</v>
      </c>
      <c r="X12" s="154">
        <f t="shared" si="21"/>
        <v>0</v>
      </c>
      <c r="Y12" s="154">
        <f t="shared" si="21"/>
        <v>0</v>
      </c>
      <c r="Z12" s="154">
        <f t="shared" si="21"/>
        <v>0</v>
      </c>
      <c r="AA12" s="154">
        <f t="shared" si="21"/>
        <v>0</v>
      </c>
      <c r="AB12" s="154">
        <f t="shared" si="21"/>
        <v>0</v>
      </c>
      <c r="AC12" s="138" t="e">
        <f t="shared" si="19"/>
        <v>#DIV/0!</v>
      </c>
      <c r="AD12" s="31">
        <f t="shared" si="17"/>
        <v>0.05</v>
      </c>
      <c r="AE12" s="146">
        <f t="shared" si="1"/>
        <v>0</v>
      </c>
    </row>
    <row r="13" spans="2:31" x14ac:dyDescent="0.2">
      <c r="B13" s="20" t="s">
        <v>218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f t="shared" si="6"/>
        <v>0.12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 t="e">
        <f t="shared" si="19"/>
        <v>#DIV/0!</v>
      </c>
      <c r="AD13" s="31">
        <f t="shared" si="17"/>
        <v>0.05</v>
      </c>
      <c r="AE13" s="146">
        <f t="shared" si="1"/>
        <v>0</v>
      </c>
    </row>
    <row r="14" spans="2:31" x14ac:dyDescent="0.2">
      <c r="B14" s="20" t="s">
        <v>373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ref="Q14" si="23">((P14/G14)^(1/($H$2-$H$1) ))-1</f>
        <v>#DIV/0!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 t="e">
        <f t="shared" ref="AC14" si="34">((AB14/G14)^(1/($AB$3-$H$1) ))-1</f>
        <v>#DIV/0!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18" t="e">
        <f t="shared" si="5"/>
        <v>#DIV/0!</v>
      </c>
      <c r="R15" s="31">
        <f t="shared" si="6"/>
        <v>0.12</v>
      </c>
      <c r="S15" s="154">
        <f t="shared" si="2"/>
        <v>0</v>
      </c>
      <c r="T15" s="154">
        <f t="shared" ref="T15:AB15" si="36">S15*(1+$R15)</f>
        <v>0</v>
      </c>
      <c r="U15" s="154">
        <f t="shared" si="36"/>
        <v>0</v>
      </c>
      <c r="V15" s="154">
        <f t="shared" si="36"/>
        <v>0</v>
      </c>
      <c r="W15" s="154">
        <f t="shared" si="36"/>
        <v>0</v>
      </c>
      <c r="X15" s="154">
        <f t="shared" si="36"/>
        <v>0</v>
      </c>
      <c r="Y15" s="154">
        <f t="shared" si="36"/>
        <v>0</v>
      </c>
      <c r="Z15" s="154">
        <f t="shared" si="36"/>
        <v>0</v>
      </c>
      <c r="AA15" s="154">
        <f t="shared" si="36"/>
        <v>0</v>
      </c>
      <c r="AB15" s="154">
        <f t="shared" si="36"/>
        <v>0</v>
      </c>
      <c r="AC15" s="138" t="e">
        <f t="shared" si="19"/>
        <v>#DIV/0!</v>
      </c>
      <c r="AD15" s="31">
        <f t="shared" si="17"/>
        <v>0.05</v>
      </c>
      <c r="AE15" s="146">
        <f t="shared" si="1"/>
        <v>0</v>
      </c>
    </row>
    <row r="16" spans="2:31" x14ac:dyDescent="0.2">
      <c r="B16" s="20" t="s">
        <v>23</v>
      </c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18" t="e">
        <f t="shared" si="5"/>
        <v>#DIV/0!</v>
      </c>
      <c r="R16" s="31">
        <f t="shared" si="6"/>
        <v>0.12</v>
      </c>
      <c r="S16" s="154">
        <f t="shared" si="2"/>
        <v>0</v>
      </c>
      <c r="T16" s="154">
        <f t="shared" ref="T16:AB16" si="37">S16*(1+$R16)</f>
        <v>0</v>
      </c>
      <c r="U16" s="154">
        <f t="shared" si="37"/>
        <v>0</v>
      </c>
      <c r="V16" s="154">
        <f t="shared" si="37"/>
        <v>0</v>
      </c>
      <c r="W16" s="154">
        <f t="shared" si="37"/>
        <v>0</v>
      </c>
      <c r="X16" s="154">
        <f t="shared" si="37"/>
        <v>0</v>
      </c>
      <c r="Y16" s="154">
        <f t="shared" si="37"/>
        <v>0</v>
      </c>
      <c r="Z16" s="154">
        <f t="shared" si="37"/>
        <v>0</v>
      </c>
      <c r="AA16" s="154">
        <f t="shared" si="37"/>
        <v>0</v>
      </c>
      <c r="AB16" s="154">
        <f t="shared" si="37"/>
        <v>0</v>
      </c>
      <c r="AC16" s="138" t="e">
        <f t="shared" si="19"/>
        <v>#DIV/0!</v>
      </c>
      <c r="AD16" s="31">
        <f t="shared" si="17"/>
        <v>0.05</v>
      </c>
      <c r="AE16" s="146">
        <f t="shared" si="1"/>
        <v>0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18" t="e">
        <f>((P18/G18)^(1/($H$2-$H$1) ))-1</f>
        <v>#DIV/0!</v>
      </c>
      <c r="R18" s="31">
        <f t="shared" si="6"/>
        <v>0.12</v>
      </c>
      <c r="S18" s="154">
        <f t="shared" ref="S18:S34" si="38">P18*(1+$R18)</f>
        <v>0</v>
      </c>
      <c r="T18" s="154">
        <f t="shared" ref="T18:T34" si="39">S18*(1+$R18)</f>
        <v>0</v>
      </c>
      <c r="U18" s="154">
        <f t="shared" ref="U18:U34" si="40">T18*(1+$R18)</f>
        <v>0</v>
      </c>
      <c r="V18" s="154">
        <f t="shared" ref="V18:V34" si="41">U18*(1+$R18)</f>
        <v>0</v>
      </c>
      <c r="W18" s="154">
        <f t="shared" ref="W18:W36" si="42">V18*(1+$R18)</f>
        <v>0</v>
      </c>
      <c r="X18" s="154">
        <f t="shared" ref="X18:X36" si="43">W18*(1+$R18)</f>
        <v>0</v>
      </c>
      <c r="Y18" s="154">
        <f t="shared" ref="Y18:Y36" si="44">X18*(1+$R18)</f>
        <v>0</v>
      </c>
      <c r="Z18" s="154">
        <f t="shared" ref="Z18:Z36" si="45">Y18*(1+$R18)</f>
        <v>0</v>
      </c>
      <c r="AA18" s="154">
        <f t="shared" ref="AA18:AA36" si="46">Z18*(1+$R18)</f>
        <v>0</v>
      </c>
      <c r="AB18" s="154">
        <f t="shared" ref="AB18:AB36" si="47">AA18*(1+$R18)</f>
        <v>0</v>
      </c>
      <c r="AC18" s="138" t="e">
        <f t="shared" si="19"/>
        <v>#DIV/0!</v>
      </c>
      <c r="AD18" s="31">
        <f t="shared" si="17"/>
        <v>0.05</v>
      </c>
      <c r="AE18" s="146">
        <f t="shared" si="1"/>
        <v>0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6"/>
        <v>0.12</v>
      </c>
      <c r="S25" s="154">
        <f t="shared" si="38"/>
        <v>0</v>
      </c>
      <c r="T25" s="154">
        <f t="shared" si="39"/>
        <v>0</v>
      </c>
      <c r="U25" s="154">
        <f t="shared" si="40"/>
        <v>0</v>
      </c>
      <c r="V25" s="154">
        <f t="shared" si="41"/>
        <v>0</v>
      </c>
      <c r="W25" s="154">
        <f t="shared" si="42"/>
        <v>0</v>
      </c>
      <c r="X25" s="154">
        <f t="shared" si="43"/>
        <v>0</v>
      </c>
      <c r="Y25" s="154">
        <f t="shared" si="44"/>
        <v>0</v>
      </c>
      <c r="Z25" s="154">
        <f t="shared" si="45"/>
        <v>0</v>
      </c>
      <c r="AA25" s="154">
        <f t="shared" si="46"/>
        <v>0</v>
      </c>
      <c r="AB25" s="154">
        <f t="shared" si="47"/>
        <v>0</v>
      </c>
      <c r="AC25" s="138" t="e">
        <f t="shared" si="19"/>
        <v>#DIV/0!</v>
      </c>
      <c r="AD25" s="31">
        <f t="shared" si="17"/>
        <v>0.05</v>
      </c>
      <c r="AE25" s="146">
        <f t="shared" si="1"/>
        <v>0</v>
      </c>
    </row>
    <row r="26" spans="2:31" s="123" customFormat="1" x14ac:dyDescent="0.2">
      <c r="B26" s="23"/>
      <c r="C26" s="149"/>
      <c r="D26" s="149"/>
      <c r="E26" s="150"/>
      <c r="F26" s="150"/>
      <c r="G26" s="148" t="e">
        <f>(G25-F25)/G25</f>
        <v>#DIV/0!</v>
      </c>
      <c r="H26" s="148" t="e">
        <f>(H25-G25)/H25</f>
        <v>#DIV/0!</v>
      </c>
      <c r="I26" s="148" t="e">
        <f t="shared" ref="I26" si="70">(I25-H25)/I25</f>
        <v>#DIV/0!</v>
      </c>
      <c r="J26" s="148" t="e">
        <f t="shared" ref="J26" si="71">(J25-I25)/J25</f>
        <v>#DIV/0!</v>
      </c>
      <c r="K26" s="148" t="e">
        <f t="shared" ref="K26" si="72">(K25-J25)/K25</f>
        <v>#DIV/0!</v>
      </c>
      <c r="L26" s="148" t="e">
        <f t="shared" ref="L26" si="73">(L25-K25)/L25</f>
        <v>#DIV/0!</v>
      </c>
      <c r="M26" s="148" t="e">
        <f t="shared" ref="M26" si="74">(M25-L25)/M25</f>
        <v>#DIV/0!</v>
      </c>
      <c r="N26" s="148" t="e">
        <f t="shared" ref="N26" si="75">(N25-M25)/N25</f>
        <v>#DIV/0!</v>
      </c>
      <c r="O26" s="148" t="e">
        <f t="shared" ref="O26" si="76">(O25-N25)/O25</f>
        <v>#DIV/0!</v>
      </c>
      <c r="P26" s="148" t="e">
        <f t="shared" ref="P26" si="77">(P25-O25)/P25</f>
        <v>#DIV/0!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6"/>
        <v>0.12</v>
      </c>
      <c r="S27" s="154">
        <f t="shared" si="38"/>
        <v>0</v>
      </c>
      <c r="T27" s="154">
        <f t="shared" si="39"/>
        <v>0</v>
      </c>
      <c r="U27" s="154">
        <f t="shared" si="40"/>
        <v>0</v>
      </c>
      <c r="V27" s="154">
        <f t="shared" si="41"/>
        <v>0</v>
      </c>
      <c r="W27" s="154">
        <f t="shared" si="42"/>
        <v>0</v>
      </c>
      <c r="X27" s="154">
        <f t="shared" si="43"/>
        <v>0</v>
      </c>
      <c r="Y27" s="154">
        <f t="shared" si="44"/>
        <v>0</v>
      </c>
      <c r="Z27" s="154">
        <f t="shared" si="45"/>
        <v>0</v>
      </c>
      <c r="AA27" s="154">
        <f t="shared" si="46"/>
        <v>0</v>
      </c>
      <c r="AB27" s="154">
        <f t="shared" si="47"/>
        <v>0</v>
      </c>
      <c r="AC27" s="138" t="e">
        <f t="shared" si="19"/>
        <v>#DIV/0!</v>
      </c>
      <c r="AD27" s="31">
        <f t="shared" si="17"/>
        <v>0.05</v>
      </c>
      <c r="AE27" s="146">
        <f t="shared" si="1"/>
        <v>0</v>
      </c>
    </row>
    <row r="28" spans="2:31" s="123" customFormat="1" x14ac:dyDescent="0.2">
      <c r="B28" s="23"/>
      <c r="C28" s="149"/>
      <c r="D28" s="149"/>
      <c r="E28" s="150"/>
      <c r="F28" s="150"/>
      <c r="G28" s="148" t="e">
        <f t="shared" ref="G28:M28" si="78">(G27-F27)/G27</f>
        <v>#DIV/0!</v>
      </c>
      <c r="H28" s="148" t="e">
        <f t="shared" si="78"/>
        <v>#DIV/0!</v>
      </c>
      <c r="I28" s="148" t="e">
        <f t="shared" si="78"/>
        <v>#DIV/0!</v>
      </c>
      <c r="J28" s="148" t="e">
        <f t="shared" si="78"/>
        <v>#DIV/0!</v>
      </c>
      <c r="K28" s="148" t="e">
        <f t="shared" si="78"/>
        <v>#DIV/0!</v>
      </c>
      <c r="L28" s="148" t="e">
        <f t="shared" si="78"/>
        <v>#DIV/0!</v>
      </c>
      <c r="M28" s="148" t="e">
        <f t="shared" si="78"/>
        <v>#DIV/0!</v>
      </c>
      <c r="N28" s="148" t="e">
        <f t="shared" ref="N28" si="79">(N27-M27)/N27</f>
        <v>#DIV/0!</v>
      </c>
      <c r="O28" s="148" t="e">
        <f t="shared" ref="O28" si="80">(O27-N27)/O27</f>
        <v>#DIV/0!</v>
      </c>
      <c r="P28" s="148" t="e">
        <f t="shared" ref="P28" si="81">(P27-O27)/P27</f>
        <v>#DIV/0!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18" t="e">
        <f>((P29/G29)^(1/($H$2-$H$1) ))-1</f>
        <v>#DIV/0!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 t="e">
        <f t="shared" ref="AC29" si="92">((AB29/G29)^(1/($AB$3-$H$1) ))-1</f>
        <v>#DIV/0!</v>
      </c>
      <c r="AD29" s="31">
        <f t="shared" si="17"/>
        <v>0.05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 t="e">
        <f t="shared" ref="G30:L30" si="94">(G29-F29)/G29</f>
        <v>#DIV/0!</v>
      </c>
      <c r="H30" s="148" t="e">
        <f t="shared" si="94"/>
        <v>#DIV/0!</v>
      </c>
      <c r="I30" s="148" t="e">
        <f t="shared" si="94"/>
        <v>#DIV/0!</v>
      </c>
      <c r="J30" s="148" t="e">
        <f t="shared" si="94"/>
        <v>#DIV/0!</v>
      </c>
      <c r="K30" s="148" t="e">
        <f t="shared" si="94"/>
        <v>#DIV/0!</v>
      </c>
      <c r="L30" s="148" t="e">
        <f t="shared" si="94"/>
        <v>#DIV/0!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 t="e">
        <f t="shared" si="19"/>
        <v>#DIV/0!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4">
        <f t="shared" si="38"/>
        <v>0</v>
      </c>
      <c r="T34" s="154">
        <f t="shared" si="39"/>
        <v>0</v>
      </c>
      <c r="U34" s="154">
        <f t="shared" si="40"/>
        <v>0</v>
      </c>
      <c r="V34" s="154">
        <f t="shared" si="41"/>
        <v>0</v>
      </c>
      <c r="W34" s="154">
        <f t="shared" si="42"/>
        <v>0</v>
      </c>
      <c r="X34" s="154">
        <f t="shared" si="43"/>
        <v>0</v>
      </c>
      <c r="Y34" s="154">
        <f t="shared" si="44"/>
        <v>0</v>
      </c>
      <c r="Z34" s="154">
        <f t="shared" si="45"/>
        <v>0</v>
      </c>
      <c r="AA34" s="154">
        <f t="shared" si="46"/>
        <v>0</v>
      </c>
      <c r="AB34" s="154">
        <f t="shared" si="47"/>
        <v>0</v>
      </c>
      <c r="AC34" s="138" t="e">
        <f t="shared" si="19"/>
        <v>#DIV/0!</v>
      </c>
      <c r="AD34" s="31">
        <f t="shared" si="17"/>
        <v>0.05</v>
      </c>
      <c r="AE34" s="146">
        <f t="shared" si="1"/>
        <v>0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f t="shared" si="6"/>
        <v>0.12</v>
      </c>
      <c r="S36" s="154">
        <f t="shared" ref="S36" si="102">P36*(1+$R36)</f>
        <v>0</v>
      </c>
      <c r="T36" s="154">
        <f t="shared" ref="T36" si="103">S36*(1+$R36)</f>
        <v>0</v>
      </c>
      <c r="U36" s="154">
        <f t="shared" ref="U36" si="104">T36*(1+$R36)</f>
        <v>0</v>
      </c>
      <c r="V36" s="154">
        <f t="shared" ref="V36" si="105">U36*(1+$R36)</f>
        <v>0</v>
      </c>
      <c r="W36" s="154">
        <f t="shared" si="42"/>
        <v>0</v>
      </c>
      <c r="X36" s="154">
        <f t="shared" si="43"/>
        <v>0</v>
      </c>
      <c r="Y36" s="154">
        <f t="shared" si="44"/>
        <v>0</v>
      </c>
      <c r="Z36" s="154">
        <f t="shared" si="45"/>
        <v>0</v>
      </c>
      <c r="AA36" s="154">
        <f t="shared" si="46"/>
        <v>0</v>
      </c>
      <c r="AB36" s="154">
        <f t="shared" si="47"/>
        <v>0</v>
      </c>
      <c r="AC36" s="138" t="e">
        <f t="shared" si="19"/>
        <v>#DIV/0!</v>
      </c>
      <c r="AD36" s="31">
        <f t="shared" si="17"/>
        <v>0.05</v>
      </c>
      <c r="AE36" s="146">
        <f t="shared" si="1"/>
        <v>0</v>
      </c>
    </row>
    <row r="37" spans="2:31" s="123" customFormat="1" x14ac:dyDescent="0.2">
      <c r="B37" s="23"/>
      <c r="C37" s="149"/>
      <c r="D37" s="149"/>
      <c r="E37" s="150"/>
      <c r="F37" s="150"/>
      <c r="G37" s="148" t="e">
        <f t="shared" ref="G37" si="106">(G36-F36)/G36</f>
        <v>#DIV/0!</v>
      </c>
      <c r="H37" s="148" t="e">
        <f t="shared" ref="H37" si="107">(H36-G36)/H36</f>
        <v>#DIV/0!</v>
      </c>
      <c r="I37" s="148" t="e">
        <f t="shared" ref="I37" si="108">(I36-H36)/I36</f>
        <v>#DIV/0!</v>
      </c>
      <c r="J37" s="148" t="e">
        <f t="shared" ref="J37" si="109">(J36-I36)/J36</f>
        <v>#DIV/0!</v>
      </c>
      <c r="K37" s="148" t="e">
        <f t="shared" ref="K37" si="110">(K36-J36)/K36</f>
        <v>#DIV/0!</v>
      </c>
      <c r="L37" s="148" t="e">
        <f t="shared" ref="L37" si="111">(L36-K36)/L36</f>
        <v>#DIV/0!</v>
      </c>
      <c r="M37" s="148" t="e">
        <f t="shared" ref="M37" si="112">(M36-L36)/M36</f>
        <v>#DIV/0!</v>
      </c>
      <c r="N37" s="148" t="e">
        <f t="shared" ref="N37" si="113">(N36-M36)/N36</f>
        <v>#DIV/0!</v>
      </c>
      <c r="O37" s="148" t="e">
        <f t="shared" ref="O37" si="114">(O36-N36)/O36</f>
        <v>#DIV/0!</v>
      </c>
      <c r="P37" s="148" t="e">
        <f t="shared" ref="P37" si="115">(P36-O36)/P36</f>
        <v>#DIV/0!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4">
        <f t="shared" ref="S38" si="116">P38*(1+$R38)</f>
        <v>0</v>
      </c>
      <c r="T38" s="154">
        <f t="shared" ref="T38" si="117">S38*(1+$R38)</f>
        <v>0</v>
      </c>
      <c r="U38" s="154">
        <f t="shared" ref="U38" si="118">T38*(1+$R38)</f>
        <v>0</v>
      </c>
      <c r="V38" s="154">
        <f t="shared" ref="V38" si="119">U38*(1+$R38)</f>
        <v>0</v>
      </c>
      <c r="W38" s="154">
        <f t="shared" ref="W38" si="120">V38*(1+$R38)</f>
        <v>0</v>
      </c>
      <c r="X38" s="154">
        <f t="shared" ref="X38" si="121">W38*(1+$R38)</f>
        <v>0</v>
      </c>
      <c r="Y38" s="154">
        <f t="shared" ref="Y38" si="122">X38*(1+$R38)</f>
        <v>0</v>
      </c>
      <c r="Z38" s="154">
        <f t="shared" ref="Z38" si="123">Y38*(1+$R38)</f>
        <v>0</v>
      </c>
      <c r="AA38" s="154">
        <f t="shared" ref="AA38" si="124">Z38*(1+$R38)</f>
        <v>0</v>
      </c>
      <c r="AB38" s="154">
        <f t="shared" ref="AB38" si="125">AA38*(1+$R38)</f>
        <v>0</v>
      </c>
      <c r="AC38" s="138" t="e">
        <f t="shared" ref="AC38" si="126">((AB38/G38)^(1/($AB$3-$H$1) ))-1</f>
        <v>#DIV/0!</v>
      </c>
      <c r="AD38" s="31">
        <f t="shared" si="17"/>
        <v>0.05</v>
      </c>
      <c r="AE38" s="146">
        <f t="shared" ref="AE38" si="127">(AB38*(1+AD38))/($C$1-AD38)</f>
        <v>0</v>
      </c>
    </row>
    <row r="39" spans="2:31" s="123" customFormat="1" x14ac:dyDescent="0.2">
      <c r="B39" s="23"/>
      <c r="C39" s="149"/>
      <c r="D39" s="149"/>
      <c r="E39" s="150"/>
      <c r="F39" s="150"/>
      <c r="G39" s="148" t="e">
        <f t="shared" ref="G39" si="128">(G38-F38)/G38</f>
        <v>#DIV/0!</v>
      </c>
      <c r="H39" s="148" t="e">
        <f t="shared" ref="H39" si="129">(H38-G38)/H38</f>
        <v>#DIV/0!</v>
      </c>
      <c r="I39" s="148" t="e">
        <f t="shared" ref="I39" si="130">(I38-H38)/I38</f>
        <v>#DIV/0!</v>
      </c>
      <c r="J39" s="148" t="e">
        <f t="shared" ref="J39" si="131">(J38-I38)/J38</f>
        <v>#DIV/0!</v>
      </c>
      <c r="K39" s="148" t="e">
        <f t="shared" ref="K39" si="132">(K38-J38)/K38</f>
        <v>#DIV/0!</v>
      </c>
      <c r="L39" s="148" t="e">
        <f t="shared" ref="L39" si="133">(L38-K38)/L38</f>
        <v>#DIV/0!</v>
      </c>
      <c r="M39" s="148" t="e">
        <f t="shared" ref="M39" si="134">(M38-L38)/M38</f>
        <v>#DIV/0!</v>
      </c>
      <c r="N39" s="148" t="e">
        <f t="shared" ref="N39" si="135">(N38-M38)/N38</f>
        <v>#DIV/0!</v>
      </c>
      <c r="O39" s="148" t="e">
        <f t="shared" ref="O39" si="136">(O38-N38)/O38</f>
        <v>#DIV/0!</v>
      </c>
      <c r="P39" s="148" t="e">
        <f t="shared" ref="P39" si="137">(P38-O38)/P38</f>
        <v>#DIV/0!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18" t="e">
        <f>((P40/G40)^(1/($H$2-$H$1) ))-1</f>
        <v>#DIV/0!</v>
      </c>
      <c r="R40" s="31">
        <f t="shared" si="6"/>
        <v>0.12</v>
      </c>
      <c r="S40" s="154">
        <f>P40*(1+$R40)</f>
        <v>0</v>
      </c>
      <c r="T40" s="154">
        <f t="shared" ref="T40:AB40" si="138">S40*(1+$R40)</f>
        <v>0</v>
      </c>
      <c r="U40" s="154">
        <f t="shared" si="138"/>
        <v>0</v>
      </c>
      <c r="V40" s="154">
        <f t="shared" si="138"/>
        <v>0</v>
      </c>
      <c r="W40" s="154">
        <f t="shared" si="138"/>
        <v>0</v>
      </c>
      <c r="X40" s="154">
        <f t="shared" si="138"/>
        <v>0</v>
      </c>
      <c r="Y40" s="154">
        <f t="shared" si="138"/>
        <v>0</v>
      </c>
      <c r="Z40" s="154">
        <f t="shared" si="138"/>
        <v>0</v>
      </c>
      <c r="AA40" s="154">
        <f t="shared" si="138"/>
        <v>0</v>
      </c>
      <c r="AB40" s="154">
        <f t="shared" si="138"/>
        <v>0</v>
      </c>
      <c r="AC40" s="138" t="e">
        <f t="shared" si="19"/>
        <v>#DIV/0!</v>
      </c>
      <c r="AD40" s="31">
        <f t="shared" si="17"/>
        <v>0.05</v>
      </c>
      <c r="AE40" s="146">
        <f t="shared" si="1"/>
        <v>0</v>
      </c>
    </row>
    <row r="41" spans="2:31" s="123" customFormat="1" x14ac:dyDescent="0.2">
      <c r="B41" s="23"/>
      <c r="C41" s="149"/>
      <c r="D41" s="149"/>
      <c r="E41" s="150"/>
      <c r="F41" s="150"/>
      <c r="G41" s="148" t="e">
        <f>(G40-F40)/G40</f>
        <v>#DIV/0!</v>
      </c>
      <c r="H41" s="148" t="e">
        <f t="shared" ref="H41:P41" si="139">(H40-G40)/H40</f>
        <v>#DIV/0!</v>
      </c>
      <c r="I41" s="148" t="e">
        <f t="shared" si="139"/>
        <v>#DIV/0!</v>
      </c>
      <c r="J41" s="148" t="e">
        <f t="shared" si="139"/>
        <v>#DIV/0!</v>
      </c>
      <c r="K41" s="148" t="e">
        <f t="shared" si="139"/>
        <v>#DIV/0!</v>
      </c>
      <c r="L41" s="148" t="e">
        <f t="shared" si="139"/>
        <v>#DIV/0!</v>
      </c>
      <c r="M41" s="148" t="e">
        <f t="shared" si="139"/>
        <v>#DIV/0!</v>
      </c>
      <c r="N41" s="148" t="e">
        <f t="shared" si="139"/>
        <v>#DIV/0!</v>
      </c>
      <c r="O41" s="148" t="e">
        <f t="shared" si="139"/>
        <v>#DIV/0!</v>
      </c>
      <c r="P41" s="148" t="e">
        <f t="shared" si="139"/>
        <v>#DIV/0!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18" t="e">
        <f>((P42/G42)^(1/($H$2-$H$1) ))-1</f>
        <v>#DIV/0!</v>
      </c>
      <c r="R42" s="31">
        <f>P1</f>
        <v>0.05</v>
      </c>
      <c r="S42" s="154">
        <f t="shared" ref="S42:S44" si="140">P42*(1+$R42)</f>
        <v>0</v>
      </c>
      <c r="T42" s="154">
        <f t="shared" ref="T42:AB42" si="141">S42*(1+$R42)</f>
        <v>0</v>
      </c>
      <c r="U42" s="154">
        <f t="shared" si="141"/>
        <v>0</v>
      </c>
      <c r="V42" s="154">
        <f t="shared" si="141"/>
        <v>0</v>
      </c>
      <c r="W42" s="154">
        <f t="shared" si="141"/>
        <v>0</v>
      </c>
      <c r="X42" s="154">
        <f t="shared" si="141"/>
        <v>0</v>
      </c>
      <c r="Y42" s="154">
        <f t="shared" si="141"/>
        <v>0</v>
      </c>
      <c r="Z42" s="154">
        <f t="shared" si="141"/>
        <v>0</v>
      </c>
      <c r="AA42" s="154">
        <f t="shared" si="141"/>
        <v>0</v>
      </c>
      <c r="AB42" s="154">
        <f t="shared" si="141"/>
        <v>0</v>
      </c>
      <c r="AC42" s="138" t="e">
        <f t="shared" si="19"/>
        <v>#DIV/0!</v>
      </c>
      <c r="AD42" s="31">
        <f t="shared" si="17"/>
        <v>0.05</v>
      </c>
      <c r="AE42" s="146">
        <f t="shared" si="1"/>
        <v>0</v>
      </c>
    </row>
    <row r="43" spans="2:31" x14ac:dyDescent="0.2">
      <c r="B43" s="20"/>
      <c r="C43" s="142"/>
      <c r="D43" s="142"/>
      <c r="E43" s="143"/>
      <c r="F43" s="147"/>
      <c r="G43" s="148" t="e">
        <f>(G42-F42)/G42</f>
        <v>#DIV/0!</v>
      </c>
      <c r="H43" s="148" t="e">
        <f t="shared" ref="H43" si="142">(H42-G42)/H42</f>
        <v>#DIV/0!</v>
      </c>
      <c r="I43" s="148" t="e">
        <f t="shared" ref="I43" si="143">(I42-H42)/I42</f>
        <v>#DIV/0!</v>
      </c>
      <c r="J43" s="148" t="e">
        <f t="shared" ref="J43" si="144">(J42-I42)/J42</f>
        <v>#DIV/0!</v>
      </c>
      <c r="K43" s="148" t="e">
        <f t="shared" ref="K43" si="145">(K42-J42)/K42</f>
        <v>#DIV/0!</v>
      </c>
      <c r="L43" s="148" t="e">
        <f t="shared" ref="L43" si="146">(L42-K42)/L42</f>
        <v>#DIV/0!</v>
      </c>
      <c r="M43" s="148" t="e">
        <f t="shared" ref="M43" si="147">(M42-L42)/M42</f>
        <v>#DIV/0!</v>
      </c>
      <c r="N43" s="148" t="e">
        <f t="shared" ref="N43" si="148">(N42-M42)/N42</f>
        <v>#DIV/0!</v>
      </c>
      <c r="O43" s="148" t="e">
        <f t="shared" ref="O43" si="149">(O42-N42)/O42</f>
        <v>#DIV/0!</v>
      </c>
      <c r="P43" s="148" t="e">
        <f t="shared" ref="P43" si="150">(P42-O42)/P42</f>
        <v>#DIV/0!</v>
      </c>
      <c r="Q43" s="128"/>
      <c r="R43" s="20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6"/>
    </row>
    <row r="44" spans="2:31" x14ac:dyDescent="0.2">
      <c r="B44" s="20" t="s">
        <v>282</v>
      </c>
      <c r="C44" s="145"/>
      <c r="D44" s="145"/>
      <c r="E44" s="145"/>
      <c r="F44" s="147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18" t="e">
        <f>((P44/G44)^(1/($H$2-$H$1) ))-1</f>
        <v>#DIV/0!</v>
      </c>
      <c r="R44" s="31">
        <f>P1</f>
        <v>0.05</v>
      </c>
      <c r="S44" s="154">
        <f t="shared" si="140"/>
        <v>0</v>
      </c>
      <c r="T44" s="154">
        <f t="shared" ref="T44" si="151">S44*(1+$R44)</f>
        <v>0</v>
      </c>
      <c r="U44" s="154">
        <f t="shared" ref="U44" si="152">T44*(1+$R44)</f>
        <v>0</v>
      </c>
      <c r="V44" s="154">
        <f t="shared" ref="V44" si="153">U44*(1+$R44)</f>
        <v>0</v>
      </c>
      <c r="W44" s="154">
        <f t="shared" ref="W44" si="154">V44*(1+$R44)</f>
        <v>0</v>
      </c>
      <c r="X44" s="154">
        <f t="shared" ref="X44" si="155">W44*(1+$R44)</f>
        <v>0</v>
      </c>
      <c r="Y44" s="154">
        <f t="shared" ref="Y44" si="156">X44*(1+$R44)</f>
        <v>0</v>
      </c>
      <c r="Z44" s="154">
        <f t="shared" ref="Z44" si="157">Y44*(1+$R44)</f>
        <v>0</v>
      </c>
      <c r="AA44" s="154">
        <f t="shared" ref="AA44" si="158">Z44*(1+$R44)</f>
        <v>0</v>
      </c>
      <c r="AB44" s="154">
        <f t="shared" ref="AB44" si="159">AA44*(1+$R44)</f>
        <v>0</v>
      </c>
      <c r="AC44" s="138" t="e">
        <f t="shared" ref="AC44" si="160">((AB44/G44)^(1/($AB$3-$H$1) ))-1</f>
        <v>#DIV/0!</v>
      </c>
      <c r="AD44" s="31">
        <f t="shared" si="17"/>
        <v>0.05</v>
      </c>
      <c r="AE44" s="146">
        <f t="shared" si="1"/>
        <v>0</v>
      </c>
    </row>
    <row r="45" spans="2:31" x14ac:dyDescent="0.2">
      <c r="B45" s="20" t="s">
        <v>427</v>
      </c>
      <c r="C45" s="20"/>
      <c r="D45" s="20"/>
      <c r="E45" s="127"/>
      <c r="F45" s="12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 t="s">
        <v>426</v>
      </c>
      <c r="C47" s="20"/>
      <c r="D47" s="20"/>
      <c r="E47" s="127"/>
      <c r="F47" s="12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128"/>
      <c r="R49" s="128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9"/>
      <c r="AD49" s="137"/>
      <c r="AE49" s="154"/>
    </row>
    <row r="50" spans="2:31" x14ac:dyDescent="0.2">
      <c r="B50" s="20" t="s">
        <v>303</v>
      </c>
      <c r="C50" s="133">
        <f t="shared" ref="C50:P50" si="161">C25/C42</f>
        <v>0</v>
      </c>
      <c r="D50" s="133">
        <f t="shared" si="161"/>
        <v>0</v>
      </c>
      <c r="E50" s="133">
        <f t="shared" si="161"/>
        <v>0</v>
      </c>
      <c r="F50" s="133">
        <f t="shared" si="161"/>
        <v>0</v>
      </c>
      <c r="G50" s="133" t="e">
        <f t="shared" si="161"/>
        <v>#DIV/0!</v>
      </c>
      <c r="H50" s="133" t="e">
        <f t="shared" si="161"/>
        <v>#DIV/0!</v>
      </c>
      <c r="I50" s="133" t="e">
        <f t="shared" si="161"/>
        <v>#DIV/0!</v>
      </c>
      <c r="J50" s="133" t="e">
        <f t="shared" si="161"/>
        <v>#DIV/0!</v>
      </c>
      <c r="K50" s="133" t="e">
        <f t="shared" si="161"/>
        <v>#DIV/0!</v>
      </c>
      <c r="L50" s="133" t="e">
        <f t="shared" si="161"/>
        <v>#DIV/0!</v>
      </c>
      <c r="M50" s="133" t="e">
        <f t="shared" si="161"/>
        <v>#DIV/0!</v>
      </c>
      <c r="N50" s="133" t="e">
        <f t="shared" si="161"/>
        <v>#DIV/0!</v>
      </c>
      <c r="O50" s="133" t="e">
        <f t="shared" si="161"/>
        <v>#DIV/0!</v>
      </c>
      <c r="P50" s="133" t="e">
        <f t="shared" si="161"/>
        <v>#DIV/0!</v>
      </c>
      <c r="Q50" s="118" t="e">
        <f>((P50/G50)^(1/($H$2-$H$1) ))-1</f>
        <v>#DIV/0!</v>
      </c>
      <c r="R50" s="128"/>
      <c r="S50" s="158" t="e">
        <f t="shared" ref="S50:AB50" si="162">S25/S42</f>
        <v>#DIV/0!</v>
      </c>
      <c r="T50" s="158" t="e">
        <f t="shared" si="162"/>
        <v>#DIV/0!</v>
      </c>
      <c r="U50" s="158" t="e">
        <f t="shared" si="162"/>
        <v>#DIV/0!</v>
      </c>
      <c r="V50" s="158" t="e">
        <f t="shared" si="162"/>
        <v>#DIV/0!</v>
      </c>
      <c r="W50" s="158" t="e">
        <f t="shared" si="162"/>
        <v>#DIV/0!</v>
      </c>
      <c r="X50" s="158" t="e">
        <f t="shared" si="162"/>
        <v>#DIV/0!</v>
      </c>
      <c r="Y50" s="158" t="e">
        <f t="shared" si="162"/>
        <v>#DIV/0!</v>
      </c>
      <c r="Z50" s="158" t="e">
        <f t="shared" si="162"/>
        <v>#DIV/0!</v>
      </c>
      <c r="AA50" s="158" t="e">
        <f t="shared" si="162"/>
        <v>#DIV/0!</v>
      </c>
      <c r="AB50" s="158" t="e">
        <f t="shared" si="162"/>
        <v>#DIV/0!</v>
      </c>
      <c r="AC50" s="138" t="e">
        <f t="shared" ref="AC50" si="163">((AB50/G50)^(1/($AB$3-$H$1) ))-1</f>
        <v>#DIV/0!</v>
      </c>
      <c r="AD50" s="31">
        <f t="shared" si="17"/>
        <v>0.05</v>
      </c>
      <c r="AE50" s="146" t="e">
        <f t="shared" ref="AE50:AE51" si="164">(AB50*(1+AD50))/($C$1-AD50)</f>
        <v>#DIV/0!</v>
      </c>
    </row>
    <row r="51" spans="2:31" x14ac:dyDescent="0.2">
      <c r="B51" s="20" t="s">
        <v>304</v>
      </c>
      <c r="C51" s="133">
        <f t="shared" ref="C51:P51" si="165">C27/C42</f>
        <v>0</v>
      </c>
      <c r="D51" s="133">
        <f t="shared" si="165"/>
        <v>0</v>
      </c>
      <c r="E51" s="133">
        <f t="shared" si="165"/>
        <v>0</v>
      </c>
      <c r="F51" s="133">
        <f t="shared" si="165"/>
        <v>0</v>
      </c>
      <c r="G51" s="133" t="e">
        <f t="shared" si="165"/>
        <v>#DIV/0!</v>
      </c>
      <c r="H51" s="133" t="e">
        <f t="shared" si="165"/>
        <v>#DIV/0!</v>
      </c>
      <c r="I51" s="133" t="e">
        <f t="shared" si="165"/>
        <v>#DIV/0!</v>
      </c>
      <c r="J51" s="133" t="e">
        <f t="shared" si="165"/>
        <v>#DIV/0!</v>
      </c>
      <c r="K51" s="133" t="e">
        <f t="shared" si="165"/>
        <v>#DIV/0!</v>
      </c>
      <c r="L51" s="133" t="e">
        <f t="shared" si="165"/>
        <v>#DIV/0!</v>
      </c>
      <c r="M51" s="133" t="e">
        <f t="shared" si="165"/>
        <v>#DIV/0!</v>
      </c>
      <c r="N51" s="133" t="e">
        <f t="shared" si="165"/>
        <v>#DIV/0!</v>
      </c>
      <c r="O51" s="133" t="e">
        <f t="shared" si="165"/>
        <v>#DIV/0!</v>
      </c>
      <c r="P51" s="133" t="e">
        <f t="shared" si="165"/>
        <v>#DIV/0!</v>
      </c>
      <c r="Q51" s="118" t="e">
        <f>((P51/G51)^(1/($H$2-$H$1) ))-1</f>
        <v>#DIV/0!</v>
      </c>
      <c r="R51" s="128"/>
      <c r="S51" s="158" t="e">
        <f t="shared" ref="S51:AB51" si="166">S27/S42</f>
        <v>#DIV/0!</v>
      </c>
      <c r="T51" s="158" t="e">
        <f t="shared" si="166"/>
        <v>#DIV/0!</v>
      </c>
      <c r="U51" s="158" t="e">
        <f t="shared" si="166"/>
        <v>#DIV/0!</v>
      </c>
      <c r="V51" s="158" t="e">
        <f t="shared" si="166"/>
        <v>#DIV/0!</v>
      </c>
      <c r="W51" s="158" t="e">
        <f t="shared" si="166"/>
        <v>#DIV/0!</v>
      </c>
      <c r="X51" s="158" t="e">
        <f t="shared" si="166"/>
        <v>#DIV/0!</v>
      </c>
      <c r="Y51" s="158" t="e">
        <f t="shared" si="166"/>
        <v>#DIV/0!</v>
      </c>
      <c r="Z51" s="158" t="e">
        <f t="shared" si="166"/>
        <v>#DIV/0!</v>
      </c>
      <c r="AA51" s="158" t="e">
        <f t="shared" si="166"/>
        <v>#DIV/0!</v>
      </c>
      <c r="AB51" s="158" t="e">
        <f t="shared" si="166"/>
        <v>#DIV/0!</v>
      </c>
      <c r="AC51" s="138" t="e">
        <f t="shared" ref="AC51" si="167">((AB51/G51)^(1/($AB$3-$H$1) ))-1</f>
        <v>#DIV/0!</v>
      </c>
      <c r="AD51" s="31">
        <f t="shared" si="17"/>
        <v>0.05</v>
      </c>
      <c r="AE51" s="146" t="e">
        <f t="shared" si="164"/>
        <v>#DIV/0!</v>
      </c>
    </row>
    <row r="52" spans="2:31" x14ac:dyDescent="0.2">
      <c r="B52" s="20" t="s">
        <v>428</v>
      </c>
      <c r="C52" s="133"/>
      <c r="D52" s="133"/>
      <c r="E52" s="133"/>
      <c r="F52" s="133"/>
      <c r="G52" s="133">
        <f>G38-G40</f>
        <v>0</v>
      </c>
      <c r="H52" s="133">
        <f t="shared" ref="H52:P52" si="168">H38-H40</f>
        <v>0</v>
      </c>
      <c r="I52" s="133">
        <f t="shared" si="168"/>
        <v>0</v>
      </c>
      <c r="J52" s="133">
        <f t="shared" si="168"/>
        <v>0</v>
      </c>
      <c r="K52" s="133">
        <f t="shared" si="168"/>
        <v>0</v>
      </c>
      <c r="L52" s="133">
        <f t="shared" si="168"/>
        <v>0</v>
      </c>
      <c r="M52" s="133">
        <f t="shared" si="168"/>
        <v>0</v>
      </c>
      <c r="N52" s="133">
        <f t="shared" si="168"/>
        <v>0</v>
      </c>
      <c r="O52" s="133">
        <f t="shared" si="168"/>
        <v>0</v>
      </c>
      <c r="P52" s="133">
        <f t="shared" si="168"/>
        <v>0</v>
      </c>
      <c r="Q52" s="118" t="e">
        <f>((P52/G52)^(1/($H$2-$H$1) ))-1</f>
        <v>#DIV/0!</v>
      </c>
      <c r="R52" s="128"/>
      <c r="S52" s="133">
        <f t="shared" ref="S52:AB52" si="169">S38-S40</f>
        <v>0</v>
      </c>
      <c r="T52" s="133">
        <f t="shared" si="169"/>
        <v>0</v>
      </c>
      <c r="U52" s="133">
        <f t="shared" si="169"/>
        <v>0</v>
      </c>
      <c r="V52" s="133">
        <f t="shared" si="169"/>
        <v>0</v>
      </c>
      <c r="W52" s="133">
        <f t="shared" si="169"/>
        <v>0</v>
      </c>
      <c r="X52" s="133">
        <f t="shared" si="169"/>
        <v>0</v>
      </c>
      <c r="Y52" s="133">
        <f t="shared" si="169"/>
        <v>0</v>
      </c>
      <c r="Z52" s="133">
        <f t="shared" si="169"/>
        <v>0</v>
      </c>
      <c r="AA52" s="133">
        <f t="shared" si="169"/>
        <v>0</v>
      </c>
      <c r="AB52" s="133">
        <f t="shared" si="169"/>
        <v>0</v>
      </c>
      <c r="AC52" s="138" t="e">
        <f t="shared" ref="AC52" si="170">((AB52/G52)^(1/($AB$3-$H$1) ))-1</f>
        <v>#DIV/0!</v>
      </c>
      <c r="AD52" s="31">
        <f t="shared" si="17"/>
        <v>0.05</v>
      </c>
      <c r="AE52" s="146">
        <f t="shared" ref="AE52" si="171">(AB52*(1+AD52))/($C$1-AD52)</f>
        <v>0</v>
      </c>
    </row>
    <row r="53" spans="2:31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28"/>
      <c r="R53" s="12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19"/>
      <c r="AD53" s="137"/>
      <c r="AE53" s="146"/>
    </row>
    <row r="54" spans="2:31" x14ac:dyDescent="0.2">
      <c r="B54" s="20" t="s">
        <v>257</v>
      </c>
      <c r="C54" s="25">
        <f t="shared" ref="C54:P54" si="172">C40/C42</f>
        <v>0</v>
      </c>
      <c r="D54" s="25">
        <f t="shared" si="172"/>
        <v>0</v>
      </c>
      <c r="E54" s="25">
        <f t="shared" si="172"/>
        <v>0</v>
      </c>
      <c r="F54" s="133">
        <f t="shared" si="172"/>
        <v>0</v>
      </c>
      <c r="G54" s="133" t="e">
        <f t="shared" si="172"/>
        <v>#DIV/0!</v>
      </c>
      <c r="H54" s="133" t="e">
        <f t="shared" si="172"/>
        <v>#DIV/0!</v>
      </c>
      <c r="I54" s="133" t="e">
        <f t="shared" si="172"/>
        <v>#DIV/0!</v>
      </c>
      <c r="J54" s="133" t="e">
        <f t="shared" si="172"/>
        <v>#DIV/0!</v>
      </c>
      <c r="K54" s="133" t="e">
        <f t="shared" si="172"/>
        <v>#DIV/0!</v>
      </c>
      <c r="L54" s="133" t="e">
        <f t="shared" si="172"/>
        <v>#DIV/0!</v>
      </c>
      <c r="M54" s="133" t="e">
        <f t="shared" si="172"/>
        <v>#DIV/0!</v>
      </c>
      <c r="N54" s="133" t="e">
        <f t="shared" si="172"/>
        <v>#DIV/0!</v>
      </c>
      <c r="O54" s="133" t="e">
        <f t="shared" si="172"/>
        <v>#DIV/0!</v>
      </c>
      <c r="P54" s="133" t="e">
        <f t="shared" si="172"/>
        <v>#DIV/0!</v>
      </c>
      <c r="Q54" s="118" t="e">
        <f>((P54/G54)^(1/($H$2-$H$1) ))-1</f>
        <v>#DIV/0!</v>
      </c>
      <c r="R54" s="128"/>
      <c r="S54" s="158" t="e">
        <f t="shared" ref="S54:AB54" si="173">S40/S42</f>
        <v>#DIV/0!</v>
      </c>
      <c r="T54" s="158" t="e">
        <f t="shared" si="173"/>
        <v>#DIV/0!</v>
      </c>
      <c r="U54" s="158" t="e">
        <f t="shared" si="173"/>
        <v>#DIV/0!</v>
      </c>
      <c r="V54" s="158" t="e">
        <f t="shared" si="173"/>
        <v>#DIV/0!</v>
      </c>
      <c r="W54" s="158" t="e">
        <f t="shared" si="173"/>
        <v>#DIV/0!</v>
      </c>
      <c r="X54" s="158" t="e">
        <f t="shared" si="173"/>
        <v>#DIV/0!</v>
      </c>
      <c r="Y54" s="158" t="e">
        <f t="shared" si="173"/>
        <v>#DIV/0!</v>
      </c>
      <c r="Z54" s="158" t="e">
        <f t="shared" si="173"/>
        <v>#DIV/0!</v>
      </c>
      <c r="AA54" s="158" t="e">
        <f t="shared" si="173"/>
        <v>#DIV/0!</v>
      </c>
      <c r="AB54" s="158" t="e">
        <f t="shared" si="173"/>
        <v>#DIV/0!</v>
      </c>
      <c r="AC54" s="138" t="e">
        <f t="shared" ref="AC54:AC68" si="174">((AB54/G54)^(1/($AB$3-$H$1) ))-1</f>
        <v>#DIV/0!</v>
      </c>
      <c r="AD54" s="31">
        <f t="shared" si="17"/>
        <v>0.05</v>
      </c>
      <c r="AE54" s="146" t="e">
        <f t="shared" ref="AE54:AE82" si="175">(AB54*(1+AD54))/($C$1-AD54)</f>
        <v>#DIV/0!</v>
      </c>
    </row>
    <row r="55" spans="2:31" x14ac:dyDescent="0.2">
      <c r="B55" s="20" t="s">
        <v>388</v>
      </c>
      <c r="C55" s="133">
        <f t="shared" ref="C55:F55" si="176">C20/C42</f>
        <v>0</v>
      </c>
      <c r="D55" s="133">
        <f t="shared" si="176"/>
        <v>0</v>
      </c>
      <c r="E55" s="133">
        <f t="shared" si="176"/>
        <v>0</v>
      </c>
      <c r="F55" s="133">
        <f t="shared" si="176"/>
        <v>0</v>
      </c>
      <c r="G55" s="133" t="e">
        <f>G20/G42</f>
        <v>#DIV/0!</v>
      </c>
      <c r="H55" s="133" t="e">
        <f t="shared" ref="H55:P55" si="177">H20/H42</f>
        <v>#DIV/0!</v>
      </c>
      <c r="I55" s="133" t="e">
        <f t="shared" si="177"/>
        <v>#DIV/0!</v>
      </c>
      <c r="J55" s="133" t="e">
        <f t="shared" si="177"/>
        <v>#DIV/0!</v>
      </c>
      <c r="K55" s="133" t="e">
        <f t="shared" si="177"/>
        <v>#DIV/0!</v>
      </c>
      <c r="L55" s="133" t="e">
        <f t="shared" si="177"/>
        <v>#DIV/0!</v>
      </c>
      <c r="M55" s="133" t="e">
        <f t="shared" si="177"/>
        <v>#DIV/0!</v>
      </c>
      <c r="N55" s="133" t="e">
        <f t="shared" si="177"/>
        <v>#DIV/0!</v>
      </c>
      <c r="O55" s="133" t="e">
        <f t="shared" si="177"/>
        <v>#DIV/0!</v>
      </c>
      <c r="P55" s="133" t="e">
        <f t="shared" si="177"/>
        <v>#DIV/0!</v>
      </c>
      <c r="Q55" s="118" t="e">
        <f>((P55/G55)^(1/($H$2-$H$1) ))-1</f>
        <v>#DIV/0!</v>
      </c>
      <c r="R55" s="128"/>
      <c r="S55" s="133" t="e">
        <f t="shared" ref="S55:AB55" si="178">S20/S42</f>
        <v>#DIV/0!</v>
      </c>
      <c r="T55" s="133" t="e">
        <f t="shared" si="178"/>
        <v>#DIV/0!</v>
      </c>
      <c r="U55" s="133" t="e">
        <f t="shared" si="178"/>
        <v>#DIV/0!</v>
      </c>
      <c r="V55" s="133" t="e">
        <f t="shared" si="178"/>
        <v>#DIV/0!</v>
      </c>
      <c r="W55" s="133" t="e">
        <f t="shared" si="178"/>
        <v>#DIV/0!</v>
      </c>
      <c r="X55" s="133" t="e">
        <f t="shared" si="178"/>
        <v>#DIV/0!</v>
      </c>
      <c r="Y55" s="133" t="e">
        <f t="shared" si="178"/>
        <v>#DIV/0!</v>
      </c>
      <c r="Z55" s="133" t="e">
        <f t="shared" si="178"/>
        <v>#DIV/0!</v>
      </c>
      <c r="AA55" s="133" t="e">
        <f t="shared" si="178"/>
        <v>#DIV/0!</v>
      </c>
      <c r="AB55" s="133" t="e">
        <f t="shared" si="178"/>
        <v>#DIV/0!</v>
      </c>
      <c r="AC55" s="138" t="e">
        <f t="shared" ref="AC55" si="179">((AB55/G55)^(1/($AB$3-$H$1) ))-1</f>
        <v>#DIV/0!</v>
      </c>
      <c r="AD55" s="31">
        <f t="shared" si="17"/>
        <v>0.05</v>
      </c>
      <c r="AE55" s="146" t="e">
        <f t="shared" si="175"/>
        <v>#DIV/0!</v>
      </c>
    </row>
    <row r="56" spans="2:31" x14ac:dyDescent="0.2">
      <c r="B56" s="20" t="s">
        <v>245</v>
      </c>
      <c r="C56" s="25">
        <f t="shared" ref="C56:P56" si="180">C7/C42</f>
        <v>0</v>
      </c>
      <c r="D56" s="25">
        <f t="shared" si="180"/>
        <v>0</v>
      </c>
      <c r="E56" s="25">
        <f t="shared" si="180"/>
        <v>0</v>
      </c>
      <c r="F56" s="133">
        <f t="shared" si="180"/>
        <v>0</v>
      </c>
      <c r="G56" s="133" t="e">
        <f t="shared" si="180"/>
        <v>#DIV/0!</v>
      </c>
      <c r="H56" s="133" t="e">
        <f t="shared" si="180"/>
        <v>#DIV/0!</v>
      </c>
      <c r="I56" s="133" t="e">
        <f t="shared" si="180"/>
        <v>#DIV/0!</v>
      </c>
      <c r="J56" s="133" t="e">
        <f t="shared" si="180"/>
        <v>#DIV/0!</v>
      </c>
      <c r="K56" s="133" t="e">
        <f t="shared" si="180"/>
        <v>#DIV/0!</v>
      </c>
      <c r="L56" s="133" t="e">
        <f t="shared" si="180"/>
        <v>#DIV/0!</v>
      </c>
      <c r="M56" s="133" t="e">
        <f t="shared" si="180"/>
        <v>#DIV/0!</v>
      </c>
      <c r="N56" s="133" t="e">
        <f t="shared" si="180"/>
        <v>#DIV/0!</v>
      </c>
      <c r="O56" s="133" t="e">
        <f t="shared" si="180"/>
        <v>#DIV/0!</v>
      </c>
      <c r="P56" s="133" t="e">
        <f t="shared" si="180"/>
        <v>#DIV/0!</v>
      </c>
      <c r="Q56" s="118" t="e">
        <f>((P56/G56)^(1/($H$2-$H$1) ))-1</f>
        <v>#DIV/0!</v>
      </c>
      <c r="R56" s="128"/>
      <c r="S56" s="158" t="e">
        <f t="shared" ref="S56:AB56" si="181">S7/S42</f>
        <v>#DIV/0!</v>
      </c>
      <c r="T56" s="158" t="e">
        <f t="shared" si="181"/>
        <v>#DIV/0!</v>
      </c>
      <c r="U56" s="158" t="e">
        <f t="shared" si="181"/>
        <v>#DIV/0!</v>
      </c>
      <c r="V56" s="158" t="e">
        <f t="shared" si="181"/>
        <v>#DIV/0!</v>
      </c>
      <c r="W56" s="158" t="e">
        <f t="shared" si="181"/>
        <v>#DIV/0!</v>
      </c>
      <c r="X56" s="158" t="e">
        <f t="shared" si="181"/>
        <v>#DIV/0!</v>
      </c>
      <c r="Y56" s="158" t="e">
        <f t="shared" si="181"/>
        <v>#DIV/0!</v>
      </c>
      <c r="Z56" s="158" t="e">
        <f t="shared" si="181"/>
        <v>#DIV/0!</v>
      </c>
      <c r="AA56" s="158" t="e">
        <f t="shared" si="181"/>
        <v>#DIV/0!</v>
      </c>
      <c r="AB56" s="158" t="e">
        <f t="shared" si="181"/>
        <v>#DIV/0!</v>
      </c>
      <c r="AC56" s="138" t="e">
        <f t="shared" si="174"/>
        <v>#DIV/0!</v>
      </c>
      <c r="AD56" s="31">
        <f t="shared" si="17"/>
        <v>0.05</v>
      </c>
      <c r="AE56" s="146" t="e">
        <f t="shared" si="175"/>
        <v>#DIV/0!</v>
      </c>
    </row>
    <row r="57" spans="2:31" x14ac:dyDescent="0.2">
      <c r="B57" s="20" t="s">
        <v>246</v>
      </c>
      <c r="C57" s="127">
        <f t="shared" ref="C57:P57" si="182">C6/C42</f>
        <v>0</v>
      </c>
      <c r="D57" s="127">
        <f t="shared" si="182"/>
        <v>0</v>
      </c>
      <c r="E57" s="127">
        <f t="shared" si="182"/>
        <v>0</v>
      </c>
      <c r="F57" s="144">
        <f t="shared" si="182"/>
        <v>0</v>
      </c>
      <c r="G57" s="144" t="e">
        <f t="shared" si="182"/>
        <v>#DIV/0!</v>
      </c>
      <c r="H57" s="144" t="e">
        <f t="shared" si="182"/>
        <v>#DIV/0!</v>
      </c>
      <c r="I57" s="144" t="e">
        <f t="shared" si="182"/>
        <v>#DIV/0!</v>
      </c>
      <c r="J57" s="144" t="e">
        <f t="shared" si="182"/>
        <v>#DIV/0!</v>
      </c>
      <c r="K57" s="144" t="e">
        <f t="shared" si="182"/>
        <v>#DIV/0!</v>
      </c>
      <c r="L57" s="144" t="e">
        <f t="shared" si="182"/>
        <v>#DIV/0!</v>
      </c>
      <c r="M57" s="144" t="e">
        <f t="shared" si="182"/>
        <v>#DIV/0!</v>
      </c>
      <c r="N57" s="144" t="e">
        <f t="shared" si="182"/>
        <v>#DIV/0!</v>
      </c>
      <c r="O57" s="144" t="e">
        <f t="shared" si="182"/>
        <v>#DIV/0!</v>
      </c>
      <c r="P57" s="144" t="e">
        <f t="shared" si="182"/>
        <v>#DIV/0!</v>
      </c>
      <c r="Q57" s="118" t="e">
        <f>((P57/G57)^(1/($H$2-$H$1) ))-1</f>
        <v>#DIV/0!</v>
      </c>
      <c r="R57" s="128"/>
      <c r="S57" s="157" t="e">
        <f t="shared" ref="S57:AB57" si="183">S6/S42</f>
        <v>#DIV/0!</v>
      </c>
      <c r="T57" s="157" t="e">
        <f t="shared" si="183"/>
        <v>#DIV/0!</v>
      </c>
      <c r="U57" s="157" t="e">
        <f t="shared" si="183"/>
        <v>#DIV/0!</v>
      </c>
      <c r="V57" s="157" t="e">
        <f t="shared" si="183"/>
        <v>#DIV/0!</v>
      </c>
      <c r="W57" s="157" t="e">
        <f t="shared" si="183"/>
        <v>#DIV/0!</v>
      </c>
      <c r="X57" s="157" t="e">
        <f t="shared" si="183"/>
        <v>#DIV/0!</v>
      </c>
      <c r="Y57" s="157" t="e">
        <f t="shared" si="183"/>
        <v>#DIV/0!</v>
      </c>
      <c r="Z57" s="157" t="e">
        <f t="shared" si="183"/>
        <v>#DIV/0!</v>
      </c>
      <c r="AA57" s="157" t="e">
        <f t="shared" si="183"/>
        <v>#DIV/0!</v>
      </c>
      <c r="AB57" s="157" t="e">
        <f t="shared" si="183"/>
        <v>#DIV/0!</v>
      </c>
      <c r="AC57" s="138" t="e">
        <f t="shared" si="174"/>
        <v>#DIV/0!</v>
      </c>
      <c r="AD57" s="31">
        <f t="shared" si="17"/>
        <v>0.05</v>
      </c>
      <c r="AE57" s="146" t="e">
        <f t="shared" si="175"/>
        <v>#DIV/0!</v>
      </c>
    </row>
    <row r="58" spans="2:31" x14ac:dyDescent="0.2">
      <c r="B58" s="20" t="s">
        <v>247</v>
      </c>
      <c r="C58" s="127">
        <f t="shared" ref="C58:P58" si="184">C10/C42</f>
        <v>0</v>
      </c>
      <c r="D58" s="127">
        <f t="shared" si="184"/>
        <v>0</v>
      </c>
      <c r="E58" s="127">
        <f t="shared" si="184"/>
        <v>0</v>
      </c>
      <c r="F58" s="144">
        <f t="shared" si="184"/>
        <v>0</v>
      </c>
      <c r="G58" s="144" t="e">
        <f t="shared" si="184"/>
        <v>#DIV/0!</v>
      </c>
      <c r="H58" s="144" t="e">
        <f t="shared" si="184"/>
        <v>#DIV/0!</v>
      </c>
      <c r="I58" s="144" t="e">
        <f t="shared" si="184"/>
        <v>#DIV/0!</v>
      </c>
      <c r="J58" s="144" t="e">
        <f t="shared" si="184"/>
        <v>#DIV/0!</v>
      </c>
      <c r="K58" s="144" t="e">
        <f t="shared" si="184"/>
        <v>#DIV/0!</v>
      </c>
      <c r="L58" s="144" t="e">
        <f t="shared" si="184"/>
        <v>#DIV/0!</v>
      </c>
      <c r="M58" s="144" t="e">
        <f t="shared" si="184"/>
        <v>#DIV/0!</v>
      </c>
      <c r="N58" s="144" t="e">
        <f t="shared" si="184"/>
        <v>#DIV/0!</v>
      </c>
      <c r="O58" s="144" t="e">
        <f t="shared" si="184"/>
        <v>#DIV/0!</v>
      </c>
      <c r="P58" s="144" t="e">
        <f t="shared" si="184"/>
        <v>#DIV/0!</v>
      </c>
      <c r="Q58" s="118" t="e">
        <f>((P58/G58)^(1/($H$2-$H$1) ))-1</f>
        <v>#DIV/0!</v>
      </c>
      <c r="R58" s="128"/>
      <c r="S58" s="157" t="e">
        <f t="shared" ref="S58:AB58" si="185">S10/S42</f>
        <v>#DIV/0!</v>
      </c>
      <c r="T58" s="157" t="e">
        <f t="shared" si="185"/>
        <v>#DIV/0!</v>
      </c>
      <c r="U58" s="157" t="e">
        <f t="shared" si="185"/>
        <v>#DIV/0!</v>
      </c>
      <c r="V58" s="157" t="e">
        <f t="shared" si="185"/>
        <v>#DIV/0!</v>
      </c>
      <c r="W58" s="157" t="e">
        <f t="shared" si="185"/>
        <v>#DIV/0!</v>
      </c>
      <c r="X58" s="157" t="e">
        <f t="shared" si="185"/>
        <v>#DIV/0!</v>
      </c>
      <c r="Y58" s="157" t="e">
        <f t="shared" si="185"/>
        <v>#DIV/0!</v>
      </c>
      <c r="Z58" s="157" t="e">
        <f t="shared" si="185"/>
        <v>#DIV/0!</v>
      </c>
      <c r="AA58" s="157" t="e">
        <f t="shared" si="185"/>
        <v>#DIV/0!</v>
      </c>
      <c r="AB58" s="157" t="e">
        <f t="shared" si="185"/>
        <v>#DIV/0!</v>
      </c>
      <c r="AC58" s="138" t="e">
        <f t="shared" si="174"/>
        <v>#DIV/0!</v>
      </c>
      <c r="AD58" s="31">
        <f t="shared" si="17"/>
        <v>0.05</v>
      </c>
      <c r="AE58" s="146" t="e">
        <f t="shared" si="175"/>
        <v>#DIV/0!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39"/>
      <c r="AD59" s="137"/>
      <c r="AE59" s="146"/>
    </row>
    <row r="60" spans="2:31" x14ac:dyDescent="0.2">
      <c r="B60" s="20" t="s">
        <v>270</v>
      </c>
      <c r="C60" s="127">
        <f t="shared" ref="C60:P60" si="186">(C7-C10)/C42</f>
        <v>0</v>
      </c>
      <c r="D60" s="127">
        <f t="shared" si="186"/>
        <v>0</v>
      </c>
      <c r="E60" s="127">
        <f t="shared" si="186"/>
        <v>0</v>
      </c>
      <c r="F60" s="144">
        <f t="shared" si="186"/>
        <v>0</v>
      </c>
      <c r="G60" s="144" t="e">
        <f t="shared" si="186"/>
        <v>#DIV/0!</v>
      </c>
      <c r="H60" s="144" t="e">
        <f t="shared" si="186"/>
        <v>#DIV/0!</v>
      </c>
      <c r="I60" s="144" t="e">
        <f t="shared" si="186"/>
        <v>#DIV/0!</v>
      </c>
      <c r="J60" s="144" t="e">
        <f t="shared" si="186"/>
        <v>#DIV/0!</v>
      </c>
      <c r="K60" s="144" t="e">
        <f t="shared" si="186"/>
        <v>#DIV/0!</v>
      </c>
      <c r="L60" s="144" t="e">
        <f t="shared" si="186"/>
        <v>#DIV/0!</v>
      </c>
      <c r="M60" s="144" t="e">
        <f t="shared" si="186"/>
        <v>#DIV/0!</v>
      </c>
      <c r="N60" s="144" t="e">
        <f t="shared" si="186"/>
        <v>#DIV/0!</v>
      </c>
      <c r="O60" s="144" t="e">
        <f t="shared" si="186"/>
        <v>#DIV/0!</v>
      </c>
      <c r="P60" s="144" t="e">
        <f t="shared" si="186"/>
        <v>#DIV/0!</v>
      </c>
      <c r="Q60" s="118" t="e">
        <f>((P60/G60)^(1/($H$2-$H$1) ))-1</f>
        <v>#DIV/0!</v>
      </c>
      <c r="R60" s="128"/>
      <c r="S60" s="157" t="e">
        <f t="shared" ref="S60:AB60" si="187">(S7-S10)/S42</f>
        <v>#DIV/0!</v>
      </c>
      <c r="T60" s="157" t="e">
        <f t="shared" si="187"/>
        <v>#DIV/0!</v>
      </c>
      <c r="U60" s="157" t="e">
        <f t="shared" si="187"/>
        <v>#DIV/0!</v>
      </c>
      <c r="V60" s="157" t="e">
        <f t="shared" si="187"/>
        <v>#DIV/0!</v>
      </c>
      <c r="W60" s="157" t="e">
        <f t="shared" si="187"/>
        <v>#DIV/0!</v>
      </c>
      <c r="X60" s="157" t="e">
        <f t="shared" si="187"/>
        <v>#DIV/0!</v>
      </c>
      <c r="Y60" s="157" t="e">
        <f t="shared" si="187"/>
        <v>#DIV/0!</v>
      </c>
      <c r="Z60" s="157" t="e">
        <f t="shared" si="187"/>
        <v>#DIV/0!</v>
      </c>
      <c r="AA60" s="157" t="e">
        <f t="shared" si="187"/>
        <v>#DIV/0!</v>
      </c>
      <c r="AB60" s="157" t="e">
        <f t="shared" si="187"/>
        <v>#DIV/0!</v>
      </c>
      <c r="AC60" s="138" t="e">
        <f t="shared" si="174"/>
        <v>#DIV/0!</v>
      </c>
      <c r="AD60" s="31">
        <f t="shared" si="17"/>
        <v>0.05</v>
      </c>
      <c r="AE60" s="146" t="e">
        <f t="shared" si="175"/>
        <v>#DIV/0!</v>
      </c>
    </row>
    <row r="61" spans="2:31" x14ac:dyDescent="0.2">
      <c r="B61" s="20" t="s">
        <v>271</v>
      </c>
      <c r="C61" s="127">
        <f t="shared" ref="C61:P61" si="188">(C7-C10-C9)/C42</f>
        <v>0</v>
      </c>
      <c r="D61" s="127">
        <f t="shared" si="188"/>
        <v>0</v>
      </c>
      <c r="E61" s="127">
        <f t="shared" si="188"/>
        <v>0</v>
      </c>
      <c r="F61" s="144">
        <f t="shared" si="188"/>
        <v>0</v>
      </c>
      <c r="G61" s="144" t="e">
        <f t="shared" si="188"/>
        <v>#DIV/0!</v>
      </c>
      <c r="H61" s="144" t="e">
        <f t="shared" si="188"/>
        <v>#DIV/0!</v>
      </c>
      <c r="I61" s="144" t="e">
        <f t="shared" si="188"/>
        <v>#DIV/0!</v>
      </c>
      <c r="J61" s="144" t="e">
        <f t="shared" si="188"/>
        <v>#DIV/0!</v>
      </c>
      <c r="K61" s="144" t="e">
        <f t="shared" si="188"/>
        <v>#DIV/0!</v>
      </c>
      <c r="L61" s="144" t="e">
        <f t="shared" si="188"/>
        <v>#DIV/0!</v>
      </c>
      <c r="M61" s="144" t="e">
        <f t="shared" si="188"/>
        <v>#DIV/0!</v>
      </c>
      <c r="N61" s="144" t="e">
        <f t="shared" si="188"/>
        <v>#DIV/0!</v>
      </c>
      <c r="O61" s="144" t="e">
        <f t="shared" si="188"/>
        <v>#DIV/0!</v>
      </c>
      <c r="P61" s="144" t="e">
        <f t="shared" si="188"/>
        <v>#DIV/0!</v>
      </c>
      <c r="Q61" s="118" t="e">
        <f>((P61/G61)^(1/($H$2-$H$1) ))-1</f>
        <v>#DIV/0!</v>
      </c>
      <c r="R61" s="128"/>
      <c r="S61" s="157" t="e">
        <f t="shared" ref="S61:AB61" si="189">(S7-S10-S9)/S42</f>
        <v>#DIV/0!</v>
      </c>
      <c r="T61" s="157" t="e">
        <f t="shared" si="189"/>
        <v>#DIV/0!</v>
      </c>
      <c r="U61" s="157" t="e">
        <f t="shared" si="189"/>
        <v>#DIV/0!</v>
      </c>
      <c r="V61" s="157" t="e">
        <f t="shared" si="189"/>
        <v>#DIV/0!</v>
      </c>
      <c r="W61" s="157" t="e">
        <f t="shared" si="189"/>
        <v>#DIV/0!</v>
      </c>
      <c r="X61" s="157" t="e">
        <f t="shared" si="189"/>
        <v>#DIV/0!</v>
      </c>
      <c r="Y61" s="157" t="e">
        <f t="shared" si="189"/>
        <v>#DIV/0!</v>
      </c>
      <c r="Z61" s="157" t="e">
        <f t="shared" si="189"/>
        <v>#DIV/0!</v>
      </c>
      <c r="AA61" s="157" t="e">
        <f t="shared" si="189"/>
        <v>#DIV/0!</v>
      </c>
      <c r="AB61" s="157" t="e">
        <f t="shared" si="189"/>
        <v>#DIV/0!</v>
      </c>
      <c r="AC61" s="138" t="e">
        <f t="shared" si="174"/>
        <v>#DIV/0!</v>
      </c>
      <c r="AD61" s="31">
        <f t="shared" si="17"/>
        <v>0.05</v>
      </c>
      <c r="AE61" s="146" t="e">
        <f t="shared" si="175"/>
        <v>#DIV/0!</v>
      </c>
    </row>
    <row r="62" spans="2:31" x14ac:dyDescent="0.2">
      <c r="B62" s="20" t="s">
        <v>276</v>
      </c>
      <c r="C62" s="127">
        <f t="shared" ref="C62:P62" si="190">(C7+C15-C10-C9)/C42</f>
        <v>0</v>
      </c>
      <c r="D62" s="127">
        <f t="shared" si="190"/>
        <v>0</v>
      </c>
      <c r="E62" s="127">
        <f t="shared" si="190"/>
        <v>0</v>
      </c>
      <c r="F62" s="144">
        <f t="shared" si="190"/>
        <v>0</v>
      </c>
      <c r="G62" s="144" t="e">
        <f t="shared" si="190"/>
        <v>#DIV/0!</v>
      </c>
      <c r="H62" s="144" t="e">
        <f t="shared" si="190"/>
        <v>#DIV/0!</v>
      </c>
      <c r="I62" s="144" t="e">
        <f t="shared" si="190"/>
        <v>#DIV/0!</v>
      </c>
      <c r="J62" s="144" t="e">
        <f t="shared" si="190"/>
        <v>#DIV/0!</v>
      </c>
      <c r="K62" s="144" t="e">
        <f t="shared" si="190"/>
        <v>#DIV/0!</v>
      </c>
      <c r="L62" s="144" t="e">
        <f t="shared" si="190"/>
        <v>#DIV/0!</v>
      </c>
      <c r="M62" s="144" t="e">
        <f t="shared" si="190"/>
        <v>#DIV/0!</v>
      </c>
      <c r="N62" s="144" t="e">
        <f t="shared" si="190"/>
        <v>#DIV/0!</v>
      </c>
      <c r="O62" s="144" t="e">
        <f t="shared" si="190"/>
        <v>#DIV/0!</v>
      </c>
      <c r="P62" s="144" t="e">
        <f t="shared" si="190"/>
        <v>#DIV/0!</v>
      </c>
      <c r="Q62" s="118" t="e">
        <f>((P62/G62)^(1/($H$2-$H$1) ))-1</f>
        <v>#DIV/0!</v>
      </c>
      <c r="R62" s="128"/>
      <c r="S62" s="157" t="e">
        <f t="shared" ref="S62:AB62" si="191">(S7+S15-S10-S9)/S42</f>
        <v>#DIV/0!</v>
      </c>
      <c r="T62" s="157" t="e">
        <f t="shared" si="191"/>
        <v>#DIV/0!</v>
      </c>
      <c r="U62" s="157" t="e">
        <f t="shared" si="191"/>
        <v>#DIV/0!</v>
      </c>
      <c r="V62" s="157" t="e">
        <f t="shared" si="191"/>
        <v>#DIV/0!</v>
      </c>
      <c r="W62" s="157" t="e">
        <f t="shared" si="191"/>
        <v>#DIV/0!</v>
      </c>
      <c r="X62" s="157" t="e">
        <f t="shared" si="191"/>
        <v>#DIV/0!</v>
      </c>
      <c r="Y62" s="157" t="e">
        <f t="shared" si="191"/>
        <v>#DIV/0!</v>
      </c>
      <c r="Z62" s="157" t="e">
        <f t="shared" si="191"/>
        <v>#DIV/0!</v>
      </c>
      <c r="AA62" s="157" t="e">
        <f t="shared" si="191"/>
        <v>#DIV/0!</v>
      </c>
      <c r="AB62" s="157" t="e">
        <f t="shared" si="191"/>
        <v>#DIV/0!</v>
      </c>
      <c r="AC62" s="138" t="e">
        <f t="shared" si="174"/>
        <v>#DIV/0!</v>
      </c>
      <c r="AD62" s="31">
        <f t="shared" si="17"/>
        <v>0.05</v>
      </c>
      <c r="AE62" s="146" t="e">
        <f t="shared" si="175"/>
        <v>#DIV/0!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39"/>
      <c r="AD63" s="137"/>
      <c r="AE63" s="154"/>
    </row>
    <row r="64" spans="2:31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 t="e">
        <f t="shared" si="192"/>
        <v>#DIV/0!</v>
      </c>
      <c r="H64" s="144" t="e">
        <f t="shared" si="192"/>
        <v>#DIV/0!</v>
      </c>
      <c r="I64" s="144" t="e">
        <f t="shared" si="192"/>
        <v>#DIV/0!</v>
      </c>
      <c r="J64" s="144" t="e">
        <f t="shared" si="192"/>
        <v>#DIV/0!</v>
      </c>
      <c r="K64" s="144" t="e">
        <f t="shared" si="192"/>
        <v>#DIV/0!</v>
      </c>
      <c r="L64" s="144" t="e">
        <f t="shared" si="192"/>
        <v>#DIV/0!</v>
      </c>
      <c r="M64" s="144" t="e">
        <f t="shared" si="192"/>
        <v>#DIV/0!</v>
      </c>
      <c r="N64" s="144" t="e">
        <f t="shared" si="192"/>
        <v>#DIV/0!</v>
      </c>
      <c r="O64" s="144" t="e">
        <f t="shared" si="192"/>
        <v>#DIV/0!</v>
      </c>
      <c r="P64" s="144" t="e">
        <f t="shared" si="192"/>
        <v>#DIV/0!</v>
      </c>
      <c r="Q64" s="118" t="e">
        <f>((P64/G64)^(1/($H$2-$H$1) ))-1</f>
        <v>#DIV/0!</v>
      </c>
      <c r="R64" s="128"/>
      <c r="S64" s="157" t="e">
        <f t="shared" ref="S64:AB64" si="193">S12/S42</f>
        <v>#DIV/0!</v>
      </c>
      <c r="T64" s="157" t="e">
        <f t="shared" si="193"/>
        <v>#DIV/0!</v>
      </c>
      <c r="U64" s="157" t="e">
        <f t="shared" si="193"/>
        <v>#DIV/0!</v>
      </c>
      <c r="V64" s="157" t="e">
        <f t="shared" si="193"/>
        <v>#DIV/0!</v>
      </c>
      <c r="W64" s="157" t="e">
        <f t="shared" si="193"/>
        <v>#DIV/0!</v>
      </c>
      <c r="X64" s="157" t="e">
        <f t="shared" si="193"/>
        <v>#DIV/0!</v>
      </c>
      <c r="Y64" s="157" t="e">
        <f t="shared" si="193"/>
        <v>#DIV/0!</v>
      </c>
      <c r="Z64" s="157" t="e">
        <f t="shared" si="193"/>
        <v>#DIV/0!</v>
      </c>
      <c r="AA64" s="157" t="e">
        <f t="shared" si="193"/>
        <v>#DIV/0!</v>
      </c>
      <c r="AB64" s="157" t="e">
        <f t="shared" si="193"/>
        <v>#DIV/0!</v>
      </c>
      <c r="AC64" s="138" t="e">
        <f t="shared" si="174"/>
        <v>#DIV/0!</v>
      </c>
      <c r="AD64" s="31">
        <f t="shared" si="17"/>
        <v>0.05</v>
      </c>
      <c r="AE64" s="146" t="e">
        <f t="shared" si="175"/>
        <v>#DIV/0!</v>
      </c>
    </row>
    <row r="65" spans="2:31" x14ac:dyDescent="0.2">
      <c r="B65" s="20" t="s">
        <v>255</v>
      </c>
      <c r="C65" s="127">
        <f t="shared" ref="C65:P65" si="194">C13/C42</f>
        <v>0</v>
      </c>
      <c r="D65" s="127">
        <f t="shared" si="194"/>
        <v>0</v>
      </c>
      <c r="E65" s="127">
        <f t="shared" si="194"/>
        <v>0</v>
      </c>
      <c r="F65" s="144">
        <f t="shared" si="194"/>
        <v>0</v>
      </c>
      <c r="G65" s="144" t="e">
        <f t="shared" si="194"/>
        <v>#DIV/0!</v>
      </c>
      <c r="H65" s="144" t="e">
        <f t="shared" si="194"/>
        <v>#DIV/0!</v>
      </c>
      <c r="I65" s="144" t="e">
        <f t="shared" si="194"/>
        <v>#DIV/0!</v>
      </c>
      <c r="J65" s="144" t="e">
        <f t="shared" si="194"/>
        <v>#DIV/0!</v>
      </c>
      <c r="K65" s="144" t="e">
        <f t="shared" si="194"/>
        <v>#DIV/0!</v>
      </c>
      <c r="L65" s="144" t="e">
        <f t="shared" si="194"/>
        <v>#DIV/0!</v>
      </c>
      <c r="M65" s="144" t="e">
        <f t="shared" si="194"/>
        <v>#DIV/0!</v>
      </c>
      <c r="N65" s="144" t="e">
        <f t="shared" si="194"/>
        <v>#DIV/0!</v>
      </c>
      <c r="O65" s="144" t="e">
        <f t="shared" si="194"/>
        <v>#DIV/0!</v>
      </c>
      <c r="P65" s="144" t="e">
        <f t="shared" si="194"/>
        <v>#DIV/0!</v>
      </c>
      <c r="Q65" s="118" t="e">
        <f>((P65/G65)^(1/($H$2-$H$1) ))-1</f>
        <v>#DIV/0!</v>
      </c>
      <c r="R65" s="128"/>
      <c r="S65" s="157" t="e">
        <f t="shared" ref="S65:AB65" si="195">S13/S42</f>
        <v>#DIV/0!</v>
      </c>
      <c r="T65" s="157" t="e">
        <f t="shared" si="195"/>
        <v>#DIV/0!</v>
      </c>
      <c r="U65" s="157" t="e">
        <f t="shared" si="195"/>
        <v>#DIV/0!</v>
      </c>
      <c r="V65" s="157" t="e">
        <f t="shared" si="195"/>
        <v>#DIV/0!</v>
      </c>
      <c r="W65" s="157" t="e">
        <f t="shared" si="195"/>
        <v>#DIV/0!</v>
      </c>
      <c r="X65" s="157" t="e">
        <f t="shared" si="195"/>
        <v>#DIV/0!</v>
      </c>
      <c r="Y65" s="157" t="e">
        <f t="shared" si="195"/>
        <v>#DIV/0!</v>
      </c>
      <c r="Z65" s="157" t="e">
        <f t="shared" si="195"/>
        <v>#DIV/0!</v>
      </c>
      <c r="AA65" s="157" t="e">
        <f t="shared" si="195"/>
        <v>#DIV/0!</v>
      </c>
      <c r="AB65" s="157" t="e">
        <f t="shared" si="195"/>
        <v>#DIV/0!</v>
      </c>
      <c r="AC65" s="138" t="e">
        <f t="shared" si="174"/>
        <v>#DIV/0!</v>
      </c>
      <c r="AD65" s="31">
        <f t="shared" si="17"/>
        <v>0.05</v>
      </c>
      <c r="AE65" s="146" t="e">
        <f t="shared" si="175"/>
        <v>#DIV/0!</v>
      </c>
    </row>
    <row r="66" spans="2:31" x14ac:dyDescent="0.2">
      <c r="B66" s="20" t="s">
        <v>256</v>
      </c>
      <c r="C66" s="127">
        <f>(C64+C65)</f>
        <v>0</v>
      </c>
      <c r="D66" s="127">
        <f t="shared" ref="D66:P66" si="196">(D64+D65)</f>
        <v>0</v>
      </c>
      <c r="E66" s="127">
        <f t="shared" si="196"/>
        <v>0</v>
      </c>
      <c r="F66" s="144">
        <f t="shared" si="196"/>
        <v>0</v>
      </c>
      <c r="G66" s="144" t="e">
        <f t="shared" si="196"/>
        <v>#DIV/0!</v>
      </c>
      <c r="H66" s="144" t="e">
        <f t="shared" si="196"/>
        <v>#DIV/0!</v>
      </c>
      <c r="I66" s="144" t="e">
        <f t="shared" si="196"/>
        <v>#DIV/0!</v>
      </c>
      <c r="J66" s="144" t="e">
        <f t="shared" si="196"/>
        <v>#DIV/0!</v>
      </c>
      <c r="K66" s="144" t="e">
        <f t="shared" si="196"/>
        <v>#DIV/0!</v>
      </c>
      <c r="L66" s="144" t="e">
        <f t="shared" si="196"/>
        <v>#DIV/0!</v>
      </c>
      <c r="M66" s="144" t="e">
        <f t="shared" si="196"/>
        <v>#DIV/0!</v>
      </c>
      <c r="N66" s="144" t="e">
        <f t="shared" si="196"/>
        <v>#DIV/0!</v>
      </c>
      <c r="O66" s="144" t="e">
        <f t="shared" ref="O66" si="197">(O64+O65)</f>
        <v>#DIV/0!</v>
      </c>
      <c r="P66" s="144" t="e">
        <f t="shared" si="196"/>
        <v>#DIV/0!</v>
      </c>
      <c r="Q66" s="118" t="e">
        <f>((P66/G66)^(1/($H$2-$H$1) ))-1</f>
        <v>#DIV/0!</v>
      </c>
      <c r="R66" s="128"/>
      <c r="S66" s="157" t="e">
        <f t="shared" ref="S66:AB66" si="198">(S64+S65)</f>
        <v>#DIV/0!</v>
      </c>
      <c r="T66" s="157" t="e">
        <f t="shared" si="198"/>
        <v>#DIV/0!</v>
      </c>
      <c r="U66" s="157" t="e">
        <f t="shared" si="198"/>
        <v>#DIV/0!</v>
      </c>
      <c r="V66" s="157" t="e">
        <f t="shared" si="198"/>
        <v>#DIV/0!</v>
      </c>
      <c r="W66" s="157" t="e">
        <f t="shared" si="198"/>
        <v>#DIV/0!</v>
      </c>
      <c r="X66" s="157" t="e">
        <f t="shared" si="198"/>
        <v>#DIV/0!</v>
      </c>
      <c r="Y66" s="157" t="e">
        <f t="shared" si="198"/>
        <v>#DIV/0!</v>
      </c>
      <c r="Z66" s="157" t="e">
        <f t="shared" si="198"/>
        <v>#DIV/0!</v>
      </c>
      <c r="AA66" s="157" t="e">
        <f t="shared" si="198"/>
        <v>#DIV/0!</v>
      </c>
      <c r="AB66" s="157" t="e">
        <f t="shared" si="198"/>
        <v>#DIV/0!</v>
      </c>
      <c r="AC66" s="138" t="e">
        <f t="shared" si="174"/>
        <v>#DIV/0!</v>
      </c>
      <c r="AD66" s="31">
        <f t="shared" si="17"/>
        <v>0.05</v>
      </c>
      <c r="AE66" s="146" t="e">
        <f t="shared" si="175"/>
        <v>#DIV/0!</v>
      </c>
    </row>
    <row r="67" spans="2:31" x14ac:dyDescent="0.2">
      <c r="B67" s="20" t="s">
        <v>249</v>
      </c>
      <c r="C67" s="127">
        <f t="shared" ref="C67:P67" si="199">C15/C42</f>
        <v>0</v>
      </c>
      <c r="D67" s="127">
        <f t="shared" si="199"/>
        <v>0</v>
      </c>
      <c r="E67" s="127">
        <f t="shared" si="199"/>
        <v>0</v>
      </c>
      <c r="F67" s="144">
        <f t="shared" si="199"/>
        <v>0</v>
      </c>
      <c r="G67" s="144" t="e">
        <f t="shared" si="199"/>
        <v>#DIV/0!</v>
      </c>
      <c r="H67" s="144" t="e">
        <f t="shared" si="199"/>
        <v>#DIV/0!</v>
      </c>
      <c r="I67" s="144" t="e">
        <f t="shared" si="199"/>
        <v>#DIV/0!</v>
      </c>
      <c r="J67" s="144" t="e">
        <f t="shared" si="199"/>
        <v>#DIV/0!</v>
      </c>
      <c r="K67" s="144" t="e">
        <f t="shared" si="199"/>
        <v>#DIV/0!</v>
      </c>
      <c r="L67" s="144" t="e">
        <f t="shared" si="199"/>
        <v>#DIV/0!</v>
      </c>
      <c r="M67" s="144" t="e">
        <f t="shared" si="199"/>
        <v>#DIV/0!</v>
      </c>
      <c r="N67" s="144" t="e">
        <f t="shared" si="199"/>
        <v>#DIV/0!</v>
      </c>
      <c r="O67" s="144" t="e">
        <f t="shared" si="199"/>
        <v>#DIV/0!</v>
      </c>
      <c r="P67" s="144" t="e">
        <f t="shared" si="199"/>
        <v>#DIV/0!</v>
      </c>
      <c r="Q67" s="118" t="e">
        <f>((P67/G67)^(1/($H$2-$H$1) ))-1</f>
        <v>#DIV/0!</v>
      </c>
      <c r="R67" s="128"/>
      <c r="S67" s="157" t="e">
        <f t="shared" ref="S67:AB67" si="200">S15/S42</f>
        <v>#DIV/0!</v>
      </c>
      <c r="T67" s="157" t="e">
        <f t="shared" si="200"/>
        <v>#DIV/0!</v>
      </c>
      <c r="U67" s="157" t="e">
        <f t="shared" si="200"/>
        <v>#DIV/0!</v>
      </c>
      <c r="V67" s="157" t="e">
        <f t="shared" si="200"/>
        <v>#DIV/0!</v>
      </c>
      <c r="W67" s="157" t="e">
        <f t="shared" si="200"/>
        <v>#DIV/0!</v>
      </c>
      <c r="X67" s="157" t="e">
        <f t="shared" si="200"/>
        <v>#DIV/0!</v>
      </c>
      <c r="Y67" s="157" t="e">
        <f t="shared" si="200"/>
        <v>#DIV/0!</v>
      </c>
      <c r="Z67" s="157" t="e">
        <f t="shared" si="200"/>
        <v>#DIV/0!</v>
      </c>
      <c r="AA67" s="157" t="e">
        <f t="shared" si="200"/>
        <v>#DIV/0!</v>
      </c>
      <c r="AB67" s="157" t="e">
        <f t="shared" si="200"/>
        <v>#DIV/0!</v>
      </c>
      <c r="AC67" s="138" t="e">
        <f t="shared" si="174"/>
        <v>#DIV/0!</v>
      </c>
      <c r="AD67" s="31">
        <f t="shared" si="17"/>
        <v>0.05</v>
      </c>
      <c r="AE67" s="146" t="e">
        <f t="shared" si="175"/>
        <v>#DIV/0!</v>
      </c>
    </row>
    <row r="68" spans="2:31" x14ac:dyDescent="0.2">
      <c r="B68" s="20" t="s">
        <v>250</v>
      </c>
      <c r="C68" s="127">
        <f t="shared" ref="C68:P68" si="201">C16/C42</f>
        <v>0</v>
      </c>
      <c r="D68" s="127">
        <f t="shared" si="201"/>
        <v>0</v>
      </c>
      <c r="E68" s="127">
        <f t="shared" si="201"/>
        <v>0</v>
      </c>
      <c r="F68" s="144">
        <f t="shared" si="201"/>
        <v>0</v>
      </c>
      <c r="G68" s="144" t="e">
        <f t="shared" si="201"/>
        <v>#DIV/0!</v>
      </c>
      <c r="H68" s="144" t="e">
        <f t="shared" si="201"/>
        <v>#DIV/0!</v>
      </c>
      <c r="I68" s="144" t="e">
        <f t="shared" si="201"/>
        <v>#DIV/0!</v>
      </c>
      <c r="J68" s="144" t="e">
        <f t="shared" si="201"/>
        <v>#DIV/0!</v>
      </c>
      <c r="K68" s="144" t="e">
        <f t="shared" si="201"/>
        <v>#DIV/0!</v>
      </c>
      <c r="L68" s="144" t="e">
        <f t="shared" si="201"/>
        <v>#DIV/0!</v>
      </c>
      <c r="M68" s="144" t="e">
        <f t="shared" si="201"/>
        <v>#DIV/0!</v>
      </c>
      <c r="N68" s="144" t="e">
        <f t="shared" si="201"/>
        <v>#DIV/0!</v>
      </c>
      <c r="O68" s="144" t="e">
        <f t="shared" si="201"/>
        <v>#DIV/0!</v>
      </c>
      <c r="P68" s="144" t="e">
        <f t="shared" si="201"/>
        <v>#DIV/0!</v>
      </c>
      <c r="Q68" s="118" t="e">
        <f>((P68/G68)^(1/($H$2-$H$1) ))-1</f>
        <v>#DIV/0!</v>
      </c>
      <c r="R68" s="128"/>
      <c r="S68" s="157" t="e">
        <f t="shared" ref="S68:AB68" si="202">S16/S42</f>
        <v>#DIV/0!</v>
      </c>
      <c r="T68" s="157" t="e">
        <f t="shared" si="202"/>
        <v>#DIV/0!</v>
      </c>
      <c r="U68" s="157" t="e">
        <f t="shared" si="202"/>
        <v>#DIV/0!</v>
      </c>
      <c r="V68" s="157" t="e">
        <f t="shared" si="202"/>
        <v>#DIV/0!</v>
      </c>
      <c r="W68" s="157" t="e">
        <f t="shared" si="202"/>
        <v>#DIV/0!</v>
      </c>
      <c r="X68" s="157" t="e">
        <f t="shared" si="202"/>
        <v>#DIV/0!</v>
      </c>
      <c r="Y68" s="157" t="e">
        <f t="shared" si="202"/>
        <v>#DIV/0!</v>
      </c>
      <c r="Z68" s="157" t="e">
        <f t="shared" si="202"/>
        <v>#DIV/0!</v>
      </c>
      <c r="AA68" s="157" t="e">
        <f t="shared" si="202"/>
        <v>#DIV/0!</v>
      </c>
      <c r="AB68" s="157" t="e">
        <f t="shared" si="202"/>
        <v>#DIV/0!</v>
      </c>
      <c r="AC68" s="138" t="e">
        <f t="shared" si="174"/>
        <v>#DIV/0!</v>
      </c>
      <c r="AD68" s="137"/>
      <c r="AE68" s="146" t="e">
        <f t="shared" si="175"/>
        <v>#DIV/0!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31">
        <f t="shared" si="17"/>
        <v>0.05</v>
      </c>
      <c r="AE69" s="146">
        <f t="shared" si="175"/>
        <v>0</v>
      </c>
    </row>
    <row r="70" spans="2:31" x14ac:dyDescent="0.2">
      <c r="B70" s="20" t="s">
        <v>282</v>
      </c>
      <c r="C70" s="159">
        <f>C44</f>
        <v>0</v>
      </c>
      <c r="D70" s="159">
        <f t="shared" ref="D70:P70" si="203">D44</f>
        <v>0</v>
      </c>
      <c r="E70" s="159">
        <f t="shared" si="203"/>
        <v>0</v>
      </c>
      <c r="F70" s="159">
        <f t="shared" si="203"/>
        <v>0</v>
      </c>
      <c r="G70" s="159">
        <f t="shared" si="203"/>
        <v>0</v>
      </c>
      <c r="H70" s="159">
        <f t="shared" si="203"/>
        <v>0</v>
      </c>
      <c r="I70" s="159">
        <f t="shared" si="203"/>
        <v>0</v>
      </c>
      <c r="J70" s="159">
        <f t="shared" si="203"/>
        <v>0</v>
      </c>
      <c r="K70" s="159">
        <f t="shared" si="203"/>
        <v>0</v>
      </c>
      <c r="L70" s="159">
        <f t="shared" si="203"/>
        <v>0</v>
      </c>
      <c r="M70" s="159">
        <f t="shared" si="203"/>
        <v>0</v>
      </c>
      <c r="N70" s="159">
        <f t="shared" si="203"/>
        <v>0</v>
      </c>
      <c r="O70" s="159">
        <f t="shared" si="203"/>
        <v>0</v>
      </c>
      <c r="P70" s="159">
        <f t="shared" si="203"/>
        <v>0</v>
      </c>
      <c r="Q70" s="118" t="e">
        <f>((P70/G70)^(1/($H$2-$H$1) ))-1</f>
        <v>#DIV/0!</v>
      </c>
      <c r="R70" s="128"/>
      <c r="S70" s="159">
        <f t="shared" ref="S70:AB70" si="204">S44</f>
        <v>0</v>
      </c>
      <c r="T70" s="159">
        <f t="shared" si="204"/>
        <v>0</v>
      </c>
      <c r="U70" s="159">
        <f t="shared" si="204"/>
        <v>0</v>
      </c>
      <c r="V70" s="159">
        <f t="shared" si="204"/>
        <v>0</v>
      </c>
      <c r="W70" s="159">
        <f t="shared" si="204"/>
        <v>0</v>
      </c>
      <c r="X70" s="159">
        <f t="shared" si="204"/>
        <v>0</v>
      </c>
      <c r="Y70" s="159">
        <f t="shared" si="204"/>
        <v>0</v>
      </c>
      <c r="Z70" s="159">
        <f t="shared" si="204"/>
        <v>0</v>
      </c>
      <c r="AA70" s="159">
        <f t="shared" si="204"/>
        <v>0</v>
      </c>
      <c r="AB70" s="159">
        <f t="shared" si="204"/>
        <v>0</v>
      </c>
      <c r="AC70" s="138" t="e">
        <f t="shared" ref="AC70" si="205">((AB70/G70)^(1/($AB$3-$H$1) ))-1</f>
        <v>#DIV/0!</v>
      </c>
      <c r="AD70" s="31">
        <f t="shared" si="17"/>
        <v>0.05</v>
      </c>
      <c r="AE70" s="146">
        <f t="shared" si="175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39"/>
      <c r="AD71" s="137"/>
      <c r="AE71" s="154"/>
    </row>
    <row r="72" spans="2:31" x14ac:dyDescent="0.2">
      <c r="B72" s="20" t="s">
        <v>317</v>
      </c>
      <c r="C72" s="127">
        <f t="shared" ref="C72:P72" si="206">C20+C21</f>
        <v>0</v>
      </c>
      <c r="D72" s="127">
        <f t="shared" si="206"/>
        <v>0</v>
      </c>
      <c r="E72" s="127">
        <f t="shared" si="206"/>
        <v>0</v>
      </c>
      <c r="F72" s="144">
        <f t="shared" si="206"/>
        <v>0</v>
      </c>
      <c r="G72" s="144">
        <f t="shared" si="206"/>
        <v>0</v>
      </c>
      <c r="H72" s="144">
        <f t="shared" si="206"/>
        <v>0</v>
      </c>
      <c r="I72" s="144">
        <f t="shared" si="206"/>
        <v>0</v>
      </c>
      <c r="J72" s="144">
        <f t="shared" si="206"/>
        <v>0</v>
      </c>
      <c r="K72" s="144">
        <f t="shared" si="206"/>
        <v>0</v>
      </c>
      <c r="L72" s="144">
        <f t="shared" si="206"/>
        <v>0</v>
      </c>
      <c r="M72" s="144">
        <f t="shared" si="206"/>
        <v>0</v>
      </c>
      <c r="N72" s="144">
        <f t="shared" si="206"/>
        <v>0</v>
      </c>
      <c r="O72" s="144">
        <f t="shared" si="206"/>
        <v>0</v>
      </c>
      <c r="P72" s="144">
        <f t="shared" si="206"/>
        <v>0</v>
      </c>
      <c r="Q72" s="118" t="e">
        <f>((P72/G72)^(1/($H$2-$H$1) ))-1</f>
        <v>#DIV/0!</v>
      </c>
      <c r="R72" s="128"/>
      <c r="S72" s="144">
        <f t="shared" ref="S72:AB72" si="207">S20+S21</f>
        <v>0</v>
      </c>
      <c r="T72" s="144">
        <f t="shared" si="207"/>
        <v>0</v>
      </c>
      <c r="U72" s="144">
        <f t="shared" si="207"/>
        <v>0</v>
      </c>
      <c r="V72" s="144">
        <f t="shared" si="207"/>
        <v>0</v>
      </c>
      <c r="W72" s="144">
        <f t="shared" si="207"/>
        <v>0</v>
      </c>
      <c r="X72" s="144">
        <f t="shared" si="207"/>
        <v>0</v>
      </c>
      <c r="Y72" s="144">
        <f t="shared" si="207"/>
        <v>0</v>
      </c>
      <c r="Z72" s="144">
        <f t="shared" si="207"/>
        <v>0</v>
      </c>
      <c r="AA72" s="144">
        <f t="shared" si="207"/>
        <v>0</v>
      </c>
      <c r="AB72" s="144">
        <f t="shared" si="207"/>
        <v>0</v>
      </c>
      <c r="AC72" s="138" t="e">
        <f t="shared" ref="AC72:AC77" si="208">((AB72/G72)^(1/($AB$3-$H$1) ))-1</f>
        <v>#DIV/0!</v>
      </c>
      <c r="AD72" s="31">
        <f t="shared" si="17"/>
        <v>0.05</v>
      </c>
      <c r="AE72" s="146">
        <f t="shared" si="175"/>
        <v>0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39"/>
      <c r="AD73" s="137"/>
      <c r="AE73" s="146"/>
    </row>
    <row r="74" spans="2:31" x14ac:dyDescent="0.2">
      <c r="B74" s="20" t="s">
        <v>318</v>
      </c>
      <c r="C74" s="127">
        <f t="shared" ref="C74:P74" si="209">C72/C42</f>
        <v>0</v>
      </c>
      <c r="D74" s="127">
        <f t="shared" si="209"/>
        <v>0</v>
      </c>
      <c r="E74" s="127">
        <f t="shared" si="209"/>
        <v>0</v>
      </c>
      <c r="F74" s="144">
        <f t="shared" si="209"/>
        <v>0</v>
      </c>
      <c r="G74" s="144" t="e">
        <f t="shared" si="209"/>
        <v>#DIV/0!</v>
      </c>
      <c r="H74" s="144" t="e">
        <f t="shared" si="209"/>
        <v>#DIV/0!</v>
      </c>
      <c r="I74" s="144" t="e">
        <f t="shared" si="209"/>
        <v>#DIV/0!</v>
      </c>
      <c r="J74" s="144" t="e">
        <f t="shared" si="209"/>
        <v>#DIV/0!</v>
      </c>
      <c r="K74" s="144" t="e">
        <f t="shared" si="209"/>
        <v>#DIV/0!</v>
      </c>
      <c r="L74" s="144" t="e">
        <f t="shared" si="209"/>
        <v>#DIV/0!</v>
      </c>
      <c r="M74" s="144" t="e">
        <f t="shared" si="209"/>
        <v>#DIV/0!</v>
      </c>
      <c r="N74" s="144" t="e">
        <f t="shared" si="209"/>
        <v>#DIV/0!</v>
      </c>
      <c r="O74" s="144" t="e">
        <f t="shared" si="209"/>
        <v>#DIV/0!</v>
      </c>
      <c r="P74" s="144" t="e">
        <f t="shared" si="209"/>
        <v>#DIV/0!</v>
      </c>
      <c r="Q74" s="118" t="e">
        <f>((P74/G74)^(1/($H$2-$H$1) ))-1</f>
        <v>#DIV/0!</v>
      </c>
      <c r="R74" s="128"/>
      <c r="S74" s="146" t="e">
        <f t="shared" ref="S74:AB74" si="210">S72/S42</f>
        <v>#DIV/0!</v>
      </c>
      <c r="T74" s="146" t="e">
        <f t="shared" si="210"/>
        <v>#DIV/0!</v>
      </c>
      <c r="U74" s="146" t="e">
        <f t="shared" si="210"/>
        <v>#DIV/0!</v>
      </c>
      <c r="V74" s="146" t="e">
        <f t="shared" si="210"/>
        <v>#DIV/0!</v>
      </c>
      <c r="W74" s="146" t="e">
        <f t="shared" si="210"/>
        <v>#DIV/0!</v>
      </c>
      <c r="X74" s="146" t="e">
        <f t="shared" si="210"/>
        <v>#DIV/0!</v>
      </c>
      <c r="Y74" s="146" t="e">
        <f t="shared" si="210"/>
        <v>#DIV/0!</v>
      </c>
      <c r="Z74" s="146" t="e">
        <f t="shared" si="210"/>
        <v>#DIV/0!</v>
      </c>
      <c r="AA74" s="146" t="e">
        <f t="shared" si="210"/>
        <v>#DIV/0!</v>
      </c>
      <c r="AB74" s="146" t="e">
        <f t="shared" si="210"/>
        <v>#DIV/0!</v>
      </c>
      <c r="AC74" s="138" t="e">
        <f t="shared" si="208"/>
        <v>#DIV/0!</v>
      </c>
      <c r="AD74" s="31">
        <f t="shared" si="17"/>
        <v>0.05</v>
      </c>
      <c r="AE74" s="146" t="e">
        <f t="shared" si="175"/>
        <v>#DIV/0!</v>
      </c>
    </row>
    <row r="75" spans="2:31" x14ac:dyDescent="0.2">
      <c r="B75" s="20" t="s">
        <v>287</v>
      </c>
      <c r="C75" s="127">
        <f t="shared" ref="C75:P75" si="211">C20/C42</f>
        <v>0</v>
      </c>
      <c r="D75" s="127">
        <f t="shared" si="211"/>
        <v>0</v>
      </c>
      <c r="E75" s="127">
        <f t="shared" si="211"/>
        <v>0</v>
      </c>
      <c r="F75" s="144">
        <f t="shared" si="211"/>
        <v>0</v>
      </c>
      <c r="G75" s="144" t="e">
        <f t="shared" si="211"/>
        <v>#DIV/0!</v>
      </c>
      <c r="H75" s="144" t="e">
        <f t="shared" si="211"/>
        <v>#DIV/0!</v>
      </c>
      <c r="I75" s="144" t="e">
        <f t="shared" si="211"/>
        <v>#DIV/0!</v>
      </c>
      <c r="J75" s="144" t="e">
        <f t="shared" si="211"/>
        <v>#DIV/0!</v>
      </c>
      <c r="K75" s="144" t="e">
        <f t="shared" si="211"/>
        <v>#DIV/0!</v>
      </c>
      <c r="L75" s="144" t="e">
        <f t="shared" si="211"/>
        <v>#DIV/0!</v>
      </c>
      <c r="M75" s="144" t="e">
        <f t="shared" si="211"/>
        <v>#DIV/0!</v>
      </c>
      <c r="N75" s="144" t="e">
        <f t="shared" si="211"/>
        <v>#DIV/0!</v>
      </c>
      <c r="O75" s="144" t="e">
        <f t="shared" si="211"/>
        <v>#DIV/0!</v>
      </c>
      <c r="P75" s="144" t="e">
        <f t="shared" si="211"/>
        <v>#DIV/0!</v>
      </c>
      <c r="Q75" s="118" t="e">
        <f>((P75/G75)^(1/($H$2-$H$1) ))-1</f>
        <v>#DIV/0!</v>
      </c>
      <c r="R75" s="128"/>
      <c r="S75" s="146" t="e">
        <f t="shared" ref="S75:AB75" si="212">S20/S42</f>
        <v>#DIV/0!</v>
      </c>
      <c r="T75" s="146" t="e">
        <f t="shared" si="212"/>
        <v>#DIV/0!</v>
      </c>
      <c r="U75" s="146" t="e">
        <f t="shared" si="212"/>
        <v>#DIV/0!</v>
      </c>
      <c r="V75" s="146" t="e">
        <f t="shared" si="212"/>
        <v>#DIV/0!</v>
      </c>
      <c r="W75" s="146" t="e">
        <f t="shared" si="212"/>
        <v>#DIV/0!</v>
      </c>
      <c r="X75" s="146" t="e">
        <f t="shared" si="212"/>
        <v>#DIV/0!</v>
      </c>
      <c r="Y75" s="146" t="e">
        <f t="shared" si="212"/>
        <v>#DIV/0!</v>
      </c>
      <c r="Z75" s="146" t="e">
        <f t="shared" si="212"/>
        <v>#DIV/0!</v>
      </c>
      <c r="AA75" s="146" t="e">
        <f t="shared" si="212"/>
        <v>#DIV/0!</v>
      </c>
      <c r="AB75" s="146" t="e">
        <f t="shared" si="212"/>
        <v>#DIV/0!</v>
      </c>
      <c r="AC75" s="138" t="e">
        <f t="shared" si="208"/>
        <v>#DIV/0!</v>
      </c>
      <c r="AD75" s="31">
        <f t="shared" si="17"/>
        <v>0.05</v>
      </c>
      <c r="AE75" s="146" t="e">
        <f t="shared" si="175"/>
        <v>#DIV/0!</v>
      </c>
    </row>
    <row r="76" spans="2:31" x14ac:dyDescent="0.2">
      <c r="B76" s="20" t="s">
        <v>288</v>
      </c>
      <c r="C76" s="127">
        <f t="shared" ref="C76:P76" si="213">C21/C42</f>
        <v>0</v>
      </c>
      <c r="D76" s="127">
        <f t="shared" si="213"/>
        <v>0</v>
      </c>
      <c r="E76" s="127">
        <f t="shared" si="213"/>
        <v>0</v>
      </c>
      <c r="F76" s="144">
        <f t="shared" si="213"/>
        <v>0</v>
      </c>
      <c r="G76" s="144" t="e">
        <f t="shared" si="213"/>
        <v>#DIV/0!</v>
      </c>
      <c r="H76" s="144" t="e">
        <f t="shared" si="213"/>
        <v>#DIV/0!</v>
      </c>
      <c r="I76" s="144" t="e">
        <f t="shared" si="213"/>
        <v>#DIV/0!</v>
      </c>
      <c r="J76" s="144" t="e">
        <f t="shared" si="213"/>
        <v>#DIV/0!</v>
      </c>
      <c r="K76" s="144" t="e">
        <f t="shared" si="213"/>
        <v>#DIV/0!</v>
      </c>
      <c r="L76" s="144" t="e">
        <f t="shared" si="213"/>
        <v>#DIV/0!</v>
      </c>
      <c r="M76" s="144" t="e">
        <f t="shared" si="213"/>
        <v>#DIV/0!</v>
      </c>
      <c r="N76" s="144" t="e">
        <f t="shared" si="213"/>
        <v>#DIV/0!</v>
      </c>
      <c r="O76" s="144" t="e">
        <f t="shared" si="213"/>
        <v>#DIV/0!</v>
      </c>
      <c r="P76" s="144" t="e">
        <f t="shared" si="213"/>
        <v>#DIV/0!</v>
      </c>
      <c r="Q76" s="118" t="e">
        <f>((P76/G76)^(1/($H$2-$H$1) ))-1</f>
        <v>#DIV/0!</v>
      </c>
      <c r="R76" s="128"/>
      <c r="S76" s="146" t="e">
        <f t="shared" ref="S76:AB76" si="214">S21/S42</f>
        <v>#DIV/0!</v>
      </c>
      <c r="T76" s="146" t="e">
        <f t="shared" si="214"/>
        <v>#DIV/0!</v>
      </c>
      <c r="U76" s="146" t="e">
        <f t="shared" si="214"/>
        <v>#DIV/0!</v>
      </c>
      <c r="V76" s="146" t="e">
        <f t="shared" si="214"/>
        <v>#DIV/0!</v>
      </c>
      <c r="W76" s="146" t="e">
        <f t="shared" si="214"/>
        <v>#DIV/0!</v>
      </c>
      <c r="X76" s="146" t="e">
        <f t="shared" si="214"/>
        <v>#DIV/0!</v>
      </c>
      <c r="Y76" s="146" t="e">
        <f t="shared" si="214"/>
        <v>#DIV/0!</v>
      </c>
      <c r="Z76" s="146" t="e">
        <f t="shared" si="214"/>
        <v>#DIV/0!</v>
      </c>
      <c r="AA76" s="146" t="e">
        <f t="shared" si="214"/>
        <v>#DIV/0!</v>
      </c>
      <c r="AB76" s="146" t="e">
        <f t="shared" si="214"/>
        <v>#DIV/0!</v>
      </c>
      <c r="AC76" s="138" t="e">
        <f t="shared" si="208"/>
        <v>#DIV/0!</v>
      </c>
      <c r="AD76" s="31">
        <f t="shared" si="17"/>
        <v>0.05</v>
      </c>
      <c r="AE76" s="146" t="e">
        <f t="shared" si="175"/>
        <v>#DIV/0!</v>
      </c>
    </row>
    <row r="77" spans="2:31" x14ac:dyDescent="0.2">
      <c r="B77" s="20" t="s">
        <v>289</v>
      </c>
      <c r="C77" s="127">
        <f t="shared" ref="C77:P77" si="215">C22/C42</f>
        <v>0</v>
      </c>
      <c r="D77" s="127">
        <f t="shared" si="215"/>
        <v>0</v>
      </c>
      <c r="E77" s="127">
        <f t="shared" si="215"/>
        <v>0</v>
      </c>
      <c r="F77" s="144">
        <f t="shared" si="215"/>
        <v>0</v>
      </c>
      <c r="G77" s="144" t="e">
        <f t="shared" si="215"/>
        <v>#DIV/0!</v>
      </c>
      <c r="H77" s="144" t="e">
        <f t="shared" si="215"/>
        <v>#DIV/0!</v>
      </c>
      <c r="I77" s="144" t="e">
        <f t="shared" si="215"/>
        <v>#DIV/0!</v>
      </c>
      <c r="J77" s="144" t="e">
        <f t="shared" si="215"/>
        <v>#DIV/0!</v>
      </c>
      <c r="K77" s="144" t="e">
        <f t="shared" si="215"/>
        <v>#DIV/0!</v>
      </c>
      <c r="L77" s="144" t="e">
        <f t="shared" si="215"/>
        <v>#DIV/0!</v>
      </c>
      <c r="M77" s="144" t="e">
        <f t="shared" si="215"/>
        <v>#DIV/0!</v>
      </c>
      <c r="N77" s="144" t="e">
        <f t="shared" si="215"/>
        <v>#DIV/0!</v>
      </c>
      <c r="O77" s="144" t="e">
        <f t="shared" si="215"/>
        <v>#DIV/0!</v>
      </c>
      <c r="P77" s="144" t="e">
        <f t="shared" si="215"/>
        <v>#DIV/0!</v>
      </c>
      <c r="Q77" s="118" t="e">
        <f>((P77/G77)^(1/($H$2-$H$1) ))-1</f>
        <v>#DIV/0!</v>
      </c>
      <c r="R77" s="128"/>
      <c r="S77" s="146" t="e">
        <f t="shared" ref="S77:AB77" si="216">S22/S42</f>
        <v>#DIV/0!</v>
      </c>
      <c r="T77" s="146" t="e">
        <f t="shared" si="216"/>
        <v>#DIV/0!</v>
      </c>
      <c r="U77" s="146" t="e">
        <f t="shared" si="216"/>
        <v>#DIV/0!</v>
      </c>
      <c r="V77" s="146" t="e">
        <f t="shared" si="216"/>
        <v>#DIV/0!</v>
      </c>
      <c r="W77" s="146" t="e">
        <f t="shared" si="216"/>
        <v>#DIV/0!</v>
      </c>
      <c r="X77" s="146" t="e">
        <f t="shared" si="216"/>
        <v>#DIV/0!</v>
      </c>
      <c r="Y77" s="146" t="e">
        <f t="shared" si="216"/>
        <v>#DIV/0!</v>
      </c>
      <c r="Z77" s="146" t="e">
        <f t="shared" si="216"/>
        <v>#DIV/0!</v>
      </c>
      <c r="AA77" s="146" t="e">
        <f t="shared" si="216"/>
        <v>#DIV/0!</v>
      </c>
      <c r="AB77" s="146" t="e">
        <f t="shared" si="216"/>
        <v>#DIV/0!</v>
      </c>
      <c r="AC77" s="138" t="e">
        <f t="shared" si="208"/>
        <v>#DIV/0!</v>
      </c>
      <c r="AD77" s="31">
        <f t="shared" si="17"/>
        <v>0.05</v>
      </c>
      <c r="AE77" s="146" t="e">
        <f t="shared" si="175"/>
        <v>#DIV/0!</v>
      </c>
    </row>
    <row r="78" spans="2:31" x14ac:dyDescent="0.2">
      <c r="B78" s="20" t="s">
        <v>296</v>
      </c>
      <c r="C78" s="127">
        <f t="shared" ref="C78:P78" si="217">C23/C42</f>
        <v>0</v>
      </c>
      <c r="D78" s="127">
        <f t="shared" si="217"/>
        <v>0</v>
      </c>
      <c r="E78" s="127">
        <f t="shared" si="217"/>
        <v>0</v>
      </c>
      <c r="F78" s="144">
        <f t="shared" si="217"/>
        <v>0</v>
      </c>
      <c r="G78" s="144" t="e">
        <f t="shared" si="217"/>
        <v>#DIV/0!</v>
      </c>
      <c r="H78" s="144" t="e">
        <f t="shared" si="217"/>
        <v>#DIV/0!</v>
      </c>
      <c r="I78" s="144" t="e">
        <f t="shared" si="217"/>
        <v>#DIV/0!</v>
      </c>
      <c r="J78" s="144" t="e">
        <f t="shared" si="217"/>
        <v>#DIV/0!</v>
      </c>
      <c r="K78" s="144" t="e">
        <f t="shared" si="217"/>
        <v>#DIV/0!</v>
      </c>
      <c r="L78" s="144" t="e">
        <f t="shared" si="217"/>
        <v>#DIV/0!</v>
      </c>
      <c r="M78" s="144" t="e">
        <f t="shared" si="217"/>
        <v>#DIV/0!</v>
      </c>
      <c r="N78" s="144" t="e">
        <f t="shared" si="217"/>
        <v>#DIV/0!</v>
      </c>
      <c r="O78" s="144" t="e">
        <f t="shared" si="217"/>
        <v>#DIV/0!</v>
      </c>
      <c r="P78" s="144" t="e">
        <f t="shared" si="217"/>
        <v>#DIV/0!</v>
      </c>
      <c r="Q78" s="118" t="e">
        <f>((P78/G78)^(1/($H$2-$H$1) ))-1</f>
        <v>#DIV/0!</v>
      </c>
      <c r="R78" s="128"/>
      <c r="S78" s="146" t="e">
        <f t="shared" ref="S78:AB78" si="218">S23/S42</f>
        <v>#DIV/0!</v>
      </c>
      <c r="T78" s="146" t="e">
        <f t="shared" si="218"/>
        <v>#DIV/0!</v>
      </c>
      <c r="U78" s="146" t="e">
        <f t="shared" si="218"/>
        <v>#DIV/0!</v>
      </c>
      <c r="V78" s="146" t="e">
        <f t="shared" si="218"/>
        <v>#DIV/0!</v>
      </c>
      <c r="W78" s="146" t="e">
        <f t="shared" si="218"/>
        <v>#DIV/0!</v>
      </c>
      <c r="X78" s="146" t="e">
        <f t="shared" si="218"/>
        <v>#DIV/0!</v>
      </c>
      <c r="Y78" s="146" t="e">
        <f t="shared" si="218"/>
        <v>#DIV/0!</v>
      </c>
      <c r="Z78" s="146" t="e">
        <f t="shared" si="218"/>
        <v>#DIV/0!</v>
      </c>
      <c r="AA78" s="146" t="e">
        <f t="shared" si="218"/>
        <v>#DIV/0!</v>
      </c>
      <c r="AB78" s="146" t="e">
        <f t="shared" si="218"/>
        <v>#DIV/0!</v>
      </c>
      <c r="AC78" s="138" t="e">
        <f t="shared" ref="AC78" si="219">((AB78/G78)^(1/($AB$3-$H$1) ))-1</f>
        <v>#DIV/0!</v>
      </c>
      <c r="AD78" s="31">
        <f t="shared" si="17"/>
        <v>0.05</v>
      </c>
      <c r="AE78" s="146" t="e">
        <f t="shared" si="175"/>
        <v>#DIV/0!</v>
      </c>
    </row>
    <row r="79" spans="2:31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137"/>
      <c r="AE79" s="154"/>
    </row>
    <row r="80" spans="2:31" x14ac:dyDescent="0.2">
      <c r="B80" s="20" t="s">
        <v>311</v>
      </c>
      <c r="C80" s="144">
        <f t="shared" ref="C80:P80" si="220">C36/C42</f>
        <v>0</v>
      </c>
      <c r="D80" s="144">
        <f t="shared" si="220"/>
        <v>0</v>
      </c>
      <c r="E80" s="144">
        <f t="shared" si="220"/>
        <v>0</v>
      </c>
      <c r="F80" s="144">
        <f t="shared" si="220"/>
        <v>0</v>
      </c>
      <c r="G80" s="144" t="e">
        <f t="shared" si="220"/>
        <v>#DIV/0!</v>
      </c>
      <c r="H80" s="144" t="e">
        <f t="shared" si="220"/>
        <v>#DIV/0!</v>
      </c>
      <c r="I80" s="144" t="e">
        <f t="shared" si="220"/>
        <v>#DIV/0!</v>
      </c>
      <c r="J80" s="144" t="e">
        <f t="shared" si="220"/>
        <v>#DIV/0!</v>
      </c>
      <c r="K80" s="144" t="e">
        <f t="shared" si="220"/>
        <v>#DIV/0!</v>
      </c>
      <c r="L80" s="144" t="e">
        <f t="shared" si="220"/>
        <v>#DIV/0!</v>
      </c>
      <c r="M80" s="144" t="e">
        <f t="shared" si="220"/>
        <v>#DIV/0!</v>
      </c>
      <c r="N80" s="144" t="e">
        <f t="shared" si="220"/>
        <v>#DIV/0!</v>
      </c>
      <c r="O80" s="144" t="e">
        <f t="shared" si="220"/>
        <v>#DIV/0!</v>
      </c>
      <c r="P80" s="144" t="e">
        <f t="shared" si="220"/>
        <v>#DIV/0!</v>
      </c>
      <c r="Q80" s="118" t="e">
        <f>((P80/G80)^(1/($H$2-$H$1) ))-1</f>
        <v>#DIV/0!</v>
      </c>
      <c r="R80" s="128"/>
      <c r="S80" s="144" t="e">
        <f t="shared" ref="S80:AB80" si="221">S36/S42</f>
        <v>#DIV/0!</v>
      </c>
      <c r="T80" s="144" t="e">
        <f t="shared" si="221"/>
        <v>#DIV/0!</v>
      </c>
      <c r="U80" s="144" t="e">
        <f t="shared" si="221"/>
        <v>#DIV/0!</v>
      </c>
      <c r="V80" s="144" t="e">
        <f t="shared" si="221"/>
        <v>#DIV/0!</v>
      </c>
      <c r="W80" s="144" t="e">
        <f t="shared" si="221"/>
        <v>#DIV/0!</v>
      </c>
      <c r="X80" s="144" t="e">
        <f t="shared" si="221"/>
        <v>#DIV/0!</v>
      </c>
      <c r="Y80" s="144" t="e">
        <f t="shared" si="221"/>
        <v>#DIV/0!</v>
      </c>
      <c r="Z80" s="144" t="e">
        <f t="shared" si="221"/>
        <v>#DIV/0!</v>
      </c>
      <c r="AA80" s="144" t="e">
        <f t="shared" si="221"/>
        <v>#DIV/0!</v>
      </c>
      <c r="AB80" s="144" t="e">
        <f t="shared" si="221"/>
        <v>#DIV/0!</v>
      </c>
      <c r="AC80" s="138" t="e">
        <f t="shared" ref="AC80:AC82" si="222">((AB80/G80)^(1/($AB$3-$H$1) ))-1</f>
        <v>#DIV/0!</v>
      </c>
      <c r="AD80" s="31">
        <f t="shared" si="17"/>
        <v>0.05</v>
      </c>
      <c r="AE80" s="146" t="e">
        <f t="shared" si="175"/>
        <v>#DIV/0!</v>
      </c>
    </row>
    <row r="81" spans="2:31" x14ac:dyDescent="0.2">
      <c r="B81" s="20" t="s">
        <v>312</v>
      </c>
      <c r="C81" s="144">
        <f t="shared" ref="C81:P81" si="223">C40/C42</f>
        <v>0</v>
      </c>
      <c r="D81" s="144">
        <f t="shared" si="223"/>
        <v>0</v>
      </c>
      <c r="E81" s="144">
        <f t="shared" si="223"/>
        <v>0</v>
      </c>
      <c r="F81" s="144">
        <f t="shared" si="223"/>
        <v>0</v>
      </c>
      <c r="G81" s="144" t="e">
        <f t="shared" si="223"/>
        <v>#DIV/0!</v>
      </c>
      <c r="H81" s="144" t="e">
        <f t="shared" si="223"/>
        <v>#DIV/0!</v>
      </c>
      <c r="I81" s="144" t="e">
        <f t="shared" si="223"/>
        <v>#DIV/0!</v>
      </c>
      <c r="J81" s="144" t="e">
        <f t="shared" si="223"/>
        <v>#DIV/0!</v>
      </c>
      <c r="K81" s="144" t="e">
        <f t="shared" si="223"/>
        <v>#DIV/0!</v>
      </c>
      <c r="L81" s="144" t="e">
        <f t="shared" si="223"/>
        <v>#DIV/0!</v>
      </c>
      <c r="M81" s="144" t="e">
        <f t="shared" si="223"/>
        <v>#DIV/0!</v>
      </c>
      <c r="N81" s="144" t="e">
        <f t="shared" si="223"/>
        <v>#DIV/0!</v>
      </c>
      <c r="O81" s="144" t="e">
        <f t="shared" si="223"/>
        <v>#DIV/0!</v>
      </c>
      <c r="P81" s="144" t="e">
        <f t="shared" si="223"/>
        <v>#DIV/0!</v>
      </c>
      <c r="Q81" s="118" t="e">
        <f>((P81/G81)^(1/($H$2-$H$1) ))-1</f>
        <v>#DIV/0!</v>
      </c>
      <c r="R81" s="128"/>
      <c r="S81" s="144" t="e">
        <f t="shared" ref="S81:AB81" si="224">S40/S42</f>
        <v>#DIV/0!</v>
      </c>
      <c r="T81" s="144" t="e">
        <f t="shared" si="224"/>
        <v>#DIV/0!</v>
      </c>
      <c r="U81" s="144" t="e">
        <f t="shared" si="224"/>
        <v>#DIV/0!</v>
      </c>
      <c r="V81" s="144" t="e">
        <f t="shared" si="224"/>
        <v>#DIV/0!</v>
      </c>
      <c r="W81" s="144" t="e">
        <f t="shared" si="224"/>
        <v>#DIV/0!</v>
      </c>
      <c r="X81" s="144" t="e">
        <f t="shared" si="224"/>
        <v>#DIV/0!</v>
      </c>
      <c r="Y81" s="144" t="e">
        <f t="shared" si="224"/>
        <v>#DIV/0!</v>
      </c>
      <c r="Z81" s="144" t="e">
        <f t="shared" si="224"/>
        <v>#DIV/0!</v>
      </c>
      <c r="AA81" s="144" t="e">
        <f t="shared" si="224"/>
        <v>#DIV/0!</v>
      </c>
      <c r="AB81" s="144" t="e">
        <f t="shared" si="224"/>
        <v>#DIV/0!</v>
      </c>
      <c r="AC81" s="138" t="e">
        <f t="shared" si="222"/>
        <v>#DIV/0!</v>
      </c>
      <c r="AD81" s="31">
        <f t="shared" si="17"/>
        <v>0.05</v>
      </c>
      <c r="AE81" s="146" t="e">
        <f t="shared" si="175"/>
        <v>#DIV/0!</v>
      </c>
    </row>
    <row r="82" spans="2:31" x14ac:dyDescent="0.2">
      <c r="B82" s="20" t="s">
        <v>313</v>
      </c>
      <c r="C82" s="144">
        <f t="shared" ref="C82:P82" si="225">C6/C42</f>
        <v>0</v>
      </c>
      <c r="D82" s="144">
        <f t="shared" si="225"/>
        <v>0</v>
      </c>
      <c r="E82" s="144">
        <f t="shared" si="225"/>
        <v>0</v>
      </c>
      <c r="F82" s="144">
        <f t="shared" si="225"/>
        <v>0</v>
      </c>
      <c r="G82" s="144" t="e">
        <f t="shared" si="225"/>
        <v>#DIV/0!</v>
      </c>
      <c r="H82" s="144" t="e">
        <f t="shared" si="225"/>
        <v>#DIV/0!</v>
      </c>
      <c r="I82" s="144" t="e">
        <f t="shared" si="225"/>
        <v>#DIV/0!</v>
      </c>
      <c r="J82" s="144" t="e">
        <f t="shared" si="225"/>
        <v>#DIV/0!</v>
      </c>
      <c r="K82" s="144" t="e">
        <f t="shared" si="225"/>
        <v>#DIV/0!</v>
      </c>
      <c r="L82" s="144" t="e">
        <f t="shared" si="225"/>
        <v>#DIV/0!</v>
      </c>
      <c r="M82" s="144" t="e">
        <f t="shared" si="225"/>
        <v>#DIV/0!</v>
      </c>
      <c r="N82" s="144" t="e">
        <f t="shared" si="225"/>
        <v>#DIV/0!</v>
      </c>
      <c r="O82" s="144" t="e">
        <f t="shared" si="225"/>
        <v>#DIV/0!</v>
      </c>
      <c r="P82" s="144" t="e">
        <f t="shared" si="225"/>
        <v>#DIV/0!</v>
      </c>
      <c r="Q82" s="118" t="e">
        <f>((P82/G82)^(1/($H$2-$H$1) ))-1</f>
        <v>#DIV/0!</v>
      </c>
      <c r="R82" s="128"/>
      <c r="S82" s="144" t="e">
        <f t="shared" ref="S82:AB82" si="226">S6/S42</f>
        <v>#DIV/0!</v>
      </c>
      <c r="T82" s="144" t="e">
        <f t="shared" si="226"/>
        <v>#DIV/0!</v>
      </c>
      <c r="U82" s="144" t="e">
        <f t="shared" si="226"/>
        <v>#DIV/0!</v>
      </c>
      <c r="V82" s="144" t="e">
        <f t="shared" si="226"/>
        <v>#DIV/0!</v>
      </c>
      <c r="W82" s="144" t="e">
        <f t="shared" si="226"/>
        <v>#DIV/0!</v>
      </c>
      <c r="X82" s="144" t="e">
        <f t="shared" si="226"/>
        <v>#DIV/0!</v>
      </c>
      <c r="Y82" s="144" t="e">
        <f t="shared" si="226"/>
        <v>#DIV/0!</v>
      </c>
      <c r="Z82" s="144" t="e">
        <f t="shared" si="226"/>
        <v>#DIV/0!</v>
      </c>
      <c r="AA82" s="144" t="e">
        <f t="shared" si="226"/>
        <v>#DIV/0!</v>
      </c>
      <c r="AB82" s="144" t="e">
        <f t="shared" si="226"/>
        <v>#DIV/0!</v>
      </c>
      <c r="AC82" s="138" t="e">
        <f t="shared" si="222"/>
        <v>#DIV/0!</v>
      </c>
      <c r="AD82" s="31">
        <f t="shared" ref="AD82" si="227">$L$1</f>
        <v>0.05</v>
      </c>
      <c r="AE82" s="146" t="e">
        <f t="shared" si="175"/>
        <v>#DIV/0!</v>
      </c>
    </row>
    <row r="83" spans="2:31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28"/>
      <c r="R83" s="128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39"/>
      <c r="AD83" s="20"/>
      <c r="AE83" s="154"/>
    </row>
    <row r="84" spans="2:31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28"/>
      <c r="R84" s="128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39"/>
      <c r="AD84" s="20"/>
      <c r="AE84" s="154"/>
    </row>
    <row r="85" spans="2:31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2:31" x14ac:dyDescent="0.2">
      <c r="B86" s="20" t="s">
        <v>309</v>
      </c>
      <c r="C86" s="152"/>
      <c r="D86" s="152"/>
      <c r="E86" s="152" t="e">
        <f t="shared" ref="E86:P86" si="228">E36/E25</f>
        <v>#DIV/0!</v>
      </c>
      <c r="F86" s="152" t="e">
        <f t="shared" si="228"/>
        <v>#DIV/0!</v>
      </c>
      <c r="G86" s="152" t="e">
        <f t="shared" si="228"/>
        <v>#DIV/0!</v>
      </c>
      <c r="H86" s="152" t="e">
        <f t="shared" si="228"/>
        <v>#DIV/0!</v>
      </c>
      <c r="I86" s="152" t="e">
        <f t="shared" si="228"/>
        <v>#DIV/0!</v>
      </c>
      <c r="J86" s="152" t="e">
        <f t="shared" si="228"/>
        <v>#DIV/0!</v>
      </c>
      <c r="K86" s="152" t="e">
        <f t="shared" si="228"/>
        <v>#DIV/0!</v>
      </c>
      <c r="L86" s="152" t="e">
        <f t="shared" si="228"/>
        <v>#DIV/0!</v>
      </c>
      <c r="M86" s="152" t="e">
        <f t="shared" si="228"/>
        <v>#DIV/0!</v>
      </c>
      <c r="N86" s="152" t="e">
        <f t="shared" si="228"/>
        <v>#DIV/0!</v>
      </c>
      <c r="O86" s="152" t="e">
        <f t="shared" si="228"/>
        <v>#DIV/0!</v>
      </c>
      <c r="P86" s="152" t="e">
        <f t="shared" si="228"/>
        <v>#DIV/0!</v>
      </c>
      <c r="Q86" s="118" t="e">
        <f t="shared" ref="Q86:Q137" si="229">((P86/G86)^(1/($H$2-$H$1) ))-1</f>
        <v>#DIV/0!</v>
      </c>
      <c r="R86" s="152"/>
      <c r="S86" s="152" t="e">
        <f t="shared" ref="S86:AB86" si="230">S36/S25</f>
        <v>#DIV/0!</v>
      </c>
      <c r="T86" s="152" t="e">
        <f t="shared" si="230"/>
        <v>#DIV/0!</v>
      </c>
      <c r="U86" s="152" t="e">
        <f t="shared" si="230"/>
        <v>#DIV/0!</v>
      </c>
      <c r="V86" s="152" t="e">
        <f t="shared" si="230"/>
        <v>#DIV/0!</v>
      </c>
      <c r="W86" s="152" t="e">
        <f t="shared" si="230"/>
        <v>#DIV/0!</v>
      </c>
      <c r="X86" s="152" t="e">
        <f t="shared" si="230"/>
        <v>#DIV/0!</v>
      </c>
      <c r="Y86" s="152" t="e">
        <f t="shared" si="230"/>
        <v>#DIV/0!</v>
      </c>
      <c r="Z86" s="152" t="e">
        <f t="shared" si="230"/>
        <v>#DIV/0!</v>
      </c>
      <c r="AA86" s="152" t="e">
        <f t="shared" si="230"/>
        <v>#DIV/0!</v>
      </c>
      <c r="AB86" s="152" t="e">
        <f t="shared" si="230"/>
        <v>#DIV/0!</v>
      </c>
      <c r="AC86" s="138" t="e">
        <f t="shared" ref="AC86:AC124" si="231">((AB86/G86)^(1/($AB$3-$H$1) ))-1</f>
        <v>#DIV/0!</v>
      </c>
      <c r="AD86" s="146"/>
      <c r="AE86" s="146"/>
    </row>
    <row r="87" spans="2:31" x14ac:dyDescent="0.2">
      <c r="B87" s="20" t="s">
        <v>266</v>
      </c>
      <c r="C87" s="152"/>
      <c r="D87" s="152"/>
      <c r="E87" s="152" t="e">
        <f t="shared" ref="E87:P87" si="232">E40/E25</f>
        <v>#DIV/0!</v>
      </c>
      <c r="F87" s="152" t="e">
        <f t="shared" si="232"/>
        <v>#DIV/0!</v>
      </c>
      <c r="G87" s="152" t="e">
        <f t="shared" si="232"/>
        <v>#DIV/0!</v>
      </c>
      <c r="H87" s="152" t="e">
        <f t="shared" si="232"/>
        <v>#DIV/0!</v>
      </c>
      <c r="I87" s="152" t="e">
        <f t="shared" si="232"/>
        <v>#DIV/0!</v>
      </c>
      <c r="J87" s="152" t="e">
        <f t="shared" si="232"/>
        <v>#DIV/0!</v>
      </c>
      <c r="K87" s="152" t="e">
        <f t="shared" si="232"/>
        <v>#DIV/0!</v>
      </c>
      <c r="L87" s="152" t="e">
        <f t="shared" si="232"/>
        <v>#DIV/0!</v>
      </c>
      <c r="M87" s="152" t="e">
        <f t="shared" si="232"/>
        <v>#DIV/0!</v>
      </c>
      <c r="N87" s="152" t="e">
        <f t="shared" si="232"/>
        <v>#DIV/0!</v>
      </c>
      <c r="O87" s="152" t="e">
        <f t="shared" si="232"/>
        <v>#DIV/0!</v>
      </c>
      <c r="P87" s="152" t="e">
        <f t="shared" si="232"/>
        <v>#DIV/0!</v>
      </c>
      <c r="Q87" s="118" t="e">
        <f t="shared" si="229"/>
        <v>#DIV/0!</v>
      </c>
      <c r="R87" s="152"/>
      <c r="S87" s="152" t="e">
        <f t="shared" ref="S87:AB87" si="233">S40/S25</f>
        <v>#DIV/0!</v>
      </c>
      <c r="T87" s="152" t="e">
        <f t="shared" si="233"/>
        <v>#DIV/0!</v>
      </c>
      <c r="U87" s="152" t="e">
        <f t="shared" si="233"/>
        <v>#DIV/0!</v>
      </c>
      <c r="V87" s="152" t="e">
        <f t="shared" si="233"/>
        <v>#DIV/0!</v>
      </c>
      <c r="W87" s="152" t="e">
        <f t="shared" si="233"/>
        <v>#DIV/0!</v>
      </c>
      <c r="X87" s="152" t="e">
        <f t="shared" si="233"/>
        <v>#DIV/0!</v>
      </c>
      <c r="Y87" s="152" t="e">
        <f t="shared" si="233"/>
        <v>#DIV/0!</v>
      </c>
      <c r="Z87" s="152" t="e">
        <f t="shared" si="233"/>
        <v>#DIV/0!</v>
      </c>
      <c r="AA87" s="152" t="e">
        <f t="shared" si="233"/>
        <v>#DIV/0!</v>
      </c>
      <c r="AB87" s="152" t="e">
        <f t="shared" si="233"/>
        <v>#DIV/0!</v>
      </c>
      <c r="AC87" s="138" t="e">
        <f t="shared" si="231"/>
        <v>#DIV/0!</v>
      </c>
      <c r="AD87" s="146"/>
      <c r="AE87" s="146"/>
    </row>
    <row r="88" spans="2:31" x14ac:dyDescent="0.2">
      <c r="B88" s="20" t="s">
        <v>359</v>
      </c>
      <c r="C88" s="152"/>
      <c r="D88" s="152"/>
      <c r="E88" s="152" t="e">
        <f t="shared" ref="E88:O88" si="234">E40/E7</f>
        <v>#DIV/0!</v>
      </c>
      <c r="F88" s="152" t="e">
        <f t="shared" si="234"/>
        <v>#DIV/0!</v>
      </c>
      <c r="G88" s="152" t="e">
        <f>G40/G7</f>
        <v>#DIV/0!</v>
      </c>
      <c r="H88" s="152" t="e">
        <f t="shared" si="234"/>
        <v>#DIV/0!</v>
      </c>
      <c r="I88" s="152" t="e">
        <f t="shared" si="234"/>
        <v>#DIV/0!</v>
      </c>
      <c r="J88" s="152" t="e">
        <f t="shared" si="234"/>
        <v>#DIV/0!</v>
      </c>
      <c r="K88" s="152" t="e">
        <f t="shared" si="234"/>
        <v>#DIV/0!</v>
      </c>
      <c r="L88" s="152" t="e">
        <f t="shared" si="234"/>
        <v>#DIV/0!</v>
      </c>
      <c r="M88" s="152" t="e">
        <f t="shared" si="234"/>
        <v>#DIV/0!</v>
      </c>
      <c r="N88" s="152" t="e">
        <f t="shared" si="234"/>
        <v>#DIV/0!</v>
      </c>
      <c r="O88" s="152" t="e">
        <f t="shared" si="234"/>
        <v>#DIV/0!</v>
      </c>
      <c r="P88" s="152" t="e">
        <f t="shared" ref="P88" si="235">P40/P7</f>
        <v>#DIV/0!</v>
      </c>
      <c r="Q88" s="118" t="e">
        <f t="shared" si="229"/>
        <v>#DIV/0!</v>
      </c>
      <c r="R88" s="20"/>
      <c r="S88" s="152" t="e">
        <f t="shared" ref="S88" si="236">S40/S7</f>
        <v>#DIV/0!</v>
      </c>
      <c r="T88" s="152" t="e">
        <f t="shared" ref="T88:AB88" si="237">T40/T7</f>
        <v>#DIV/0!</v>
      </c>
      <c r="U88" s="152" t="e">
        <f t="shared" si="237"/>
        <v>#DIV/0!</v>
      </c>
      <c r="V88" s="152" t="e">
        <f t="shared" si="237"/>
        <v>#DIV/0!</v>
      </c>
      <c r="W88" s="152" t="e">
        <f t="shared" si="237"/>
        <v>#DIV/0!</v>
      </c>
      <c r="X88" s="152" t="e">
        <f t="shared" si="237"/>
        <v>#DIV/0!</v>
      </c>
      <c r="Y88" s="152" t="e">
        <f t="shared" si="237"/>
        <v>#DIV/0!</v>
      </c>
      <c r="Z88" s="152" t="e">
        <f t="shared" si="237"/>
        <v>#DIV/0!</v>
      </c>
      <c r="AA88" s="152" t="e">
        <f t="shared" si="237"/>
        <v>#DIV/0!</v>
      </c>
      <c r="AB88" s="152" t="e">
        <f t="shared" si="237"/>
        <v>#DIV/0!</v>
      </c>
      <c r="AC88" s="138" t="e">
        <f t="shared" si="231"/>
        <v>#DIV/0!</v>
      </c>
      <c r="AD88" s="146"/>
      <c r="AE88" s="146"/>
    </row>
    <row r="89" spans="2:31" x14ac:dyDescent="0.2">
      <c r="B89" s="20" t="s">
        <v>360</v>
      </c>
      <c r="C89" s="152"/>
      <c r="D89" s="152"/>
      <c r="E89" s="152" t="e">
        <f t="shared" ref="E89:F89" si="238">(E40)/(E7+E10)</f>
        <v>#DIV/0!</v>
      </c>
      <c r="F89" s="152" t="e">
        <f t="shared" si="238"/>
        <v>#DIV/0!</v>
      </c>
      <c r="G89" s="152" t="e">
        <f>(G40)/(G7+G10)</f>
        <v>#DIV/0!</v>
      </c>
      <c r="H89" s="152" t="e">
        <f t="shared" ref="H89:O89" si="239">(H40)/(H7+H10)</f>
        <v>#DIV/0!</v>
      </c>
      <c r="I89" s="152" t="e">
        <f t="shared" si="239"/>
        <v>#DIV/0!</v>
      </c>
      <c r="J89" s="152" t="e">
        <f t="shared" si="239"/>
        <v>#DIV/0!</v>
      </c>
      <c r="K89" s="152" t="e">
        <f t="shared" si="239"/>
        <v>#DIV/0!</v>
      </c>
      <c r="L89" s="152" t="e">
        <f t="shared" si="239"/>
        <v>#DIV/0!</v>
      </c>
      <c r="M89" s="152" t="e">
        <f t="shared" si="239"/>
        <v>#DIV/0!</v>
      </c>
      <c r="N89" s="152" t="e">
        <f t="shared" si="239"/>
        <v>#DIV/0!</v>
      </c>
      <c r="O89" s="152" t="e">
        <f t="shared" si="239"/>
        <v>#DIV/0!</v>
      </c>
      <c r="P89" s="152" t="e">
        <f t="shared" ref="P89" si="240">(P40)/(P7+P10)</f>
        <v>#DIV/0!</v>
      </c>
      <c r="Q89" s="118" t="e">
        <f t="shared" si="229"/>
        <v>#DIV/0!</v>
      </c>
      <c r="R89" s="20"/>
      <c r="S89" s="152" t="e">
        <f t="shared" ref="S89:AB89" si="241">(S40)/(S7+S10)</f>
        <v>#DIV/0!</v>
      </c>
      <c r="T89" s="152" t="e">
        <f t="shared" si="241"/>
        <v>#DIV/0!</v>
      </c>
      <c r="U89" s="152" t="e">
        <f t="shared" si="241"/>
        <v>#DIV/0!</v>
      </c>
      <c r="V89" s="152" t="e">
        <f t="shared" si="241"/>
        <v>#DIV/0!</v>
      </c>
      <c r="W89" s="152" t="e">
        <f t="shared" si="241"/>
        <v>#DIV/0!</v>
      </c>
      <c r="X89" s="152" t="e">
        <f t="shared" si="241"/>
        <v>#DIV/0!</v>
      </c>
      <c r="Y89" s="152" t="e">
        <f t="shared" si="241"/>
        <v>#DIV/0!</v>
      </c>
      <c r="Z89" s="152" t="e">
        <f t="shared" si="241"/>
        <v>#DIV/0!</v>
      </c>
      <c r="AA89" s="152" t="e">
        <f t="shared" si="241"/>
        <v>#DIV/0!</v>
      </c>
      <c r="AB89" s="152" t="e">
        <f t="shared" si="241"/>
        <v>#DIV/0!</v>
      </c>
      <c r="AC89" s="138" t="e">
        <f t="shared" si="231"/>
        <v>#DIV/0!</v>
      </c>
      <c r="AD89" s="146"/>
      <c r="AE89" s="146"/>
    </row>
    <row r="90" spans="2:31" x14ac:dyDescent="0.2">
      <c r="B90" s="20" t="s">
        <v>376</v>
      </c>
      <c r="C90" s="152"/>
      <c r="D90" s="152"/>
      <c r="E90" s="152"/>
      <c r="F90" s="152"/>
      <c r="G90" s="152" t="e">
        <f>G20/G25</f>
        <v>#DIV/0!</v>
      </c>
      <c r="H90" s="152" t="e">
        <f t="shared" ref="H90:P90" si="242">H20/H25</f>
        <v>#DIV/0!</v>
      </c>
      <c r="I90" s="152" t="e">
        <f t="shared" si="242"/>
        <v>#DIV/0!</v>
      </c>
      <c r="J90" s="152" t="e">
        <f t="shared" si="242"/>
        <v>#DIV/0!</v>
      </c>
      <c r="K90" s="152" t="e">
        <f t="shared" si="242"/>
        <v>#DIV/0!</v>
      </c>
      <c r="L90" s="152" t="e">
        <f t="shared" si="242"/>
        <v>#DIV/0!</v>
      </c>
      <c r="M90" s="152" t="e">
        <f t="shared" si="242"/>
        <v>#DIV/0!</v>
      </c>
      <c r="N90" s="152" t="e">
        <f t="shared" si="242"/>
        <v>#DIV/0!</v>
      </c>
      <c r="O90" s="152" t="e">
        <f t="shared" si="242"/>
        <v>#DIV/0!</v>
      </c>
      <c r="P90" s="152" t="e">
        <f t="shared" si="242"/>
        <v>#DIV/0!</v>
      </c>
      <c r="Q90" s="118" t="e">
        <f t="shared" si="229"/>
        <v>#DIV/0!</v>
      </c>
      <c r="R90" s="20"/>
      <c r="S90" s="152" t="e">
        <f t="shared" ref="S90:AB90" si="243">S20/S25</f>
        <v>#DIV/0!</v>
      </c>
      <c r="T90" s="152" t="e">
        <f t="shared" si="243"/>
        <v>#DIV/0!</v>
      </c>
      <c r="U90" s="152" t="e">
        <f t="shared" si="243"/>
        <v>#DIV/0!</v>
      </c>
      <c r="V90" s="152" t="e">
        <f t="shared" si="243"/>
        <v>#DIV/0!</v>
      </c>
      <c r="W90" s="152" t="e">
        <f t="shared" si="243"/>
        <v>#DIV/0!</v>
      </c>
      <c r="X90" s="152" t="e">
        <f t="shared" si="243"/>
        <v>#DIV/0!</v>
      </c>
      <c r="Y90" s="152" t="e">
        <f t="shared" si="243"/>
        <v>#DIV/0!</v>
      </c>
      <c r="Z90" s="152" t="e">
        <f t="shared" si="243"/>
        <v>#DIV/0!</v>
      </c>
      <c r="AA90" s="152" t="e">
        <f t="shared" si="243"/>
        <v>#DIV/0!</v>
      </c>
      <c r="AB90" s="152" t="e">
        <f t="shared" si="243"/>
        <v>#DIV/0!</v>
      </c>
      <c r="AC90" s="138" t="e">
        <f t="shared" si="231"/>
        <v>#DIV/0!</v>
      </c>
      <c r="AD90" s="146"/>
      <c r="AE90" s="146"/>
    </row>
    <row r="91" spans="2:31" x14ac:dyDescent="0.2">
      <c r="B91" s="20" t="s">
        <v>429</v>
      </c>
      <c r="C91" s="152"/>
      <c r="D91" s="152"/>
      <c r="E91" s="152"/>
      <c r="F91" s="152"/>
      <c r="G91" s="152" t="e">
        <f>G52/G25</f>
        <v>#DIV/0!</v>
      </c>
      <c r="H91" s="152" t="e">
        <f t="shared" ref="H91:P91" si="244">H52/H25</f>
        <v>#DIV/0!</v>
      </c>
      <c r="I91" s="152" t="e">
        <f t="shared" si="244"/>
        <v>#DIV/0!</v>
      </c>
      <c r="J91" s="152" t="e">
        <f t="shared" si="244"/>
        <v>#DIV/0!</v>
      </c>
      <c r="K91" s="152" t="e">
        <f t="shared" si="244"/>
        <v>#DIV/0!</v>
      </c>
      <c r="L91" s="152" t="e">
        <f t="shared" si="244"/>
        <v>#DIV/0!</v>
      </c>
      <c r="M91" s="152" t="e">
        <f t="shared" si="244"/>
        <v>#DIV/0!</v>
      </c>
      <c r="N91" s="152" t="e">
        <f t="shared" si="244"/>
        <v>#DIV/0!</v>
      </c>
      <c r="O91" s="152" t="e">
        <f t="shared" si="244"/>
        <v>#DIV/0!</v>
      </c>
      <c r="P91" s="152" t="e">
        <f t="shared" si="244"/>
        <v>#DIV/0!</v>
      </c>
      <c r="Q91" s="118" t="e">
        <f t="shared" si="229"/>
        <v>#DIV/0!</v>
      </c>
      <c r="R91" s="20"/>
      <c r="S91" s="152" t="e">
        <f t="shared" ref="S91:AB91" si="245">S52/S25</f>
        <v>#DIV/0!</v>
      </c>
      <c r="T91" s="152" t="e">
        <f t="shared" si="245"/>
        <v>#DIV/0!</v>
      </c>
      <c r="U91" s="152" t="e">
        <f t="shared" si="245"/>
        <v>#DIV/0!</v>
      </c>
      <c r="V91" s="152" t="e">
        <f t="shared" si="245"/>
        <v>#DIV/0!</v>
      </c>
      <c r="W91" s="152" t="e">
        <f t="shared" si="245"/>
        <v>#DIV/0!</v>
      </c>
      <c r="X91" s="152" t="e">
        <f t="shared" si="245"/>
        <v>#DIV/0!</v>
      </c>
      <c r="Y91" s="152" t="e">
        <f t="shared" si="245"/>
        <v>#DIV/0!</v>
      </c>
      <c r="Z91" s="152" t="e">
        <f t="shared" si="245"/>
        <v>#DIV/0!</v>
      </c>
      <c r="AA91" s="152" t="e">
        <f t="shared" si="245"/>
        <v>#DIV/0!</v>
      </c>
      <c r="AB91" s="152" t="e">
        <f t="shared" si="245"/>
        <v>#DIV/0!</v>
      </c>
      <c r="AC91" s="138" t="e">
        <f t="shared" si="231"/>
        <v>#DIV/0!</v>
      </c>
      <c r="AD91" s="146"/>
      <c r="AE91" s="146"/>
    </row>
    <row r="92" spans="2:31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20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3"/>
      <c r="AD92" s="146"/>
      <c r="AE92" s="146"/>
    </row>
    <row r="93" spans="2:31" x14ac:dyDescent="0.2">
      <c r="B93" s="20" t="s">
        <v>323</v>
      </c>
      <c r="C93" s="152"/>
      <c r="D93" s="152"/>
      <c r="E93" s="152"/>
      <c r="F93" s="152"/>
      <c r="G93" s="152" t="e">
        <f>G29/G25</f>
        <v>#DIV/0!</v>
      </c>
      <c r="H93" s="152" t="e">
        <f t="shared" ref="H93:P93" si="246">H29/H25</f>
        <v>#DIV/0!</v>
      </c>
      <c r="I93" s="152" t="e">
        <f t="shared" si="246"/>
        <v>#DIV/0!</v>
      </c>
      <c r="J93" s="152" t="e">
        <f t="shared" si="246"/>
        <v>#DIV/0!</v>
      </c>
      <c r="K93" s="152" t="e">
        <f t="shared" si="246"/>
        <v>#DIV/0!</v>
      </c>
      <c r="L93" s="152" t="e">
        <f t="shared" si="246"/>
        <v>#DIV/0!</v>
      </c>
      <c r="M93" s="152" t="e">
        <f t="shared" si="246"/>
        <v>#DIV/0!</v>
      </c>
      <c r="N93" s="152" t="e">
        <f t="shared" si="246"/>
        <v>#DIV/0!</v>
      </c>
      <c r="O93" s="152" t="e">
        <f t="shared" si="246"/>
        <v>#DIV/0!</v>
      </c>
      <c r="P93" s="152" t="e">
        <f t="shared" si="246"/>
        <v>#DIV/0!</v>
      </c>
      <c r="Q93" s="118" t="e">
        <f t="shared" si="229"/>
        <v>#DIV/0!</v>
      </c>
      <c r="R93" s="20"/>
      <c r="S93" s="152" t="e">
        <f t="shared" ref="S93:AB93" si="247">S29/S25</f>
        <v>#DIV/0!</v>
      </c>
      <c r="T93" s="152" t="e">
        <f t="shared" si="247"/>
        <v>#DIV/0!</v>
      </c>
      <c r="U93" s="152" t="e">
        <f t="shared" si="247"/>
        <v>#DIV/0!</v>
      </c>
      <c r="V93" s="152" t="e">
        <f t="shared" si="247"/>
        <v>#DIV/0!</v>
      </c>
      <c r="W93" s="152" t="e">
        <f t="shared" si="247"/>
        <v>#DIV/0!</v>
      </c>
      <c r="X93" s="152" t="e">
        <f t="shared" si="247"/>
        <v>#DIV/0!</v>
      </c>
      <c r="Y93" s="152" t="e">
        <f t="shared" si="247"/>
        <v>#DIV/0!</v>
      </c>
      <c r="Z93" s="152" t="e">
        <f t="shared" si="247"/>
        <v>#DIV/0!</v>
      </c>
      <c r="AA93" s="152" t="e">
        <f t="shared" si="247"/>
        <v>#DIV/0!</v>
      </c>
      <c r="AB93" s="152" t="e">
        <f t="shared" si="247"/>
        <v>#DIV/0!</v>
      </c>
      <c r="AC93" s="138" t="e">
        <f t="shared" si="231"/>
        <v>#DIV/0!</v>
      </c>
      <c r="AD93" s="146"/>
      <c r="AE93" s="146"/>
    </row>
    <row r="94" spans="2:31" x14ac:dyDescent="0.2">
      <c r="B94" s="20" t="s">
        <v>369</v>
      </c>
      <c r="C94" s="152"/>
      <c r="D94" s="152"/>
      <c r="E94" s="152"/>
      <c r="F94" s="152"/>
      <c r="G94" s="152" t="e">
        <f>G29/G36</f>
        <v>#DIV/0!</v>
      </c>
      <c r="H94" s="152" t="e">
        <f t="shared" ref="H94:P94" si="248">H29/H36</f>
        <v>#DIV/0!</v>
      </c>
      <c r="I94" s="152" t="e">
        <f t="shared" si="248"/>
        <v>#DIV/0!</v>
      </c>
      <c r="J94" s="152" t="e">
        <f t="shared" si="248"/>
        <v>#DIV/0!</v>
      </c>
      <c r="K94" s="152" t="e">
        <f t="shared" si="248"/>
        <v>#DIV/0!</v>
      </c>
      <c r="L94" s="152" t="e">
        <f t="shared" si="248"/>
        <v>#DIV/0!</v>
      </c>
      <c r="M94" s="152" t="e">
        <f t="shared" si="248"/>
        <v>#DIV/0!</v>
      </c>
      <c r="N94" s="152" t="e">
        <f t="shared" si="248"/>
        <v>#DIV/0!</v>
      </c>
      <c r="O94" s="152" t="e">
        <f t="shared" si="248"/>
        <v>#DIV/0!</v>
      </c>
      <c r="P94" s="152" t="e">
        <f t="shared" si="248"/>
        <v>#DIV/0!</v>
      </c>
      <c r="Q94" s="118" t="e">
        <f t="shared" ref="Q94" si="249">((P94/G94)^(1/($H$2-$H$1) ))-1</f>
        <v>#DIV/0!</v>
      </c>
      <c r="R94" s="20"/>
      <c r="S94" s="152" t="e">
        <f t="shared" ref="S94:AB94" si="250">S29/S36</f>
        <v>#DIV/0!</v>
      </c>
      <c r="T94" s="152" t="e">
        <f t="shared" si="250"/>
        <v>#DIV/0!</v>
      </c>
      <c r="U94" s="152" t="e">
        <f t="shared" si="250"/>
        <v>#DIV/0!</v>
      </c>
      <c r="V94" s="152" t="e">
        <f t="shared" si="250"/>
        <v>#DIV/0!</v>
      </c>
      <c r="W94" s="152" t="e">
        <f t="shared" si="250"/>
        <v>#DIV/0!</v>
      </c>
      <c r="X94" s="152" t="e">
        <f t="shared" si="250"/>
        <v>#DIV/0!</v>
      </c>
      <c r="Y94" s="152" t="e">
        <f t="shared" si="250"/>
        <v>#DIV/0!</v>
      </c>
      <c r="Z94" s="152" t="e">
        <f t="shared" si="250"/>
        <v>#DIV/0!</v>
      </c>
      <c r="AA94" s="152" t="e">
        <f t="shared" si="250"/>
        <v>#DIV/0!</v>
      </c>
      <c r="AB94" s="152" t="e">
        <f t="shared" si="250"/>
        <v>#DIV/0!</v>
      </c>
      <c r="AC94" s="138" t="e">
        <f t="shared" ref="AC94" si="251">((AB94/G94)^(1/($AB$3-$H$1) ))-1</f>
        <v>#DIV/0!</v>
      </c>
      <c r="AD94" s="146"/>
      <c r="AE94" s="146"/>
    </row>
    <row r="95" spans="2:31" ht="12" customHeight="1" x14ac:dyDescent="0.2">
      <c r="B95" s="20" t="s">
        <v>368</v>
      </c>
      <c r="C95" s="152"/>
      <c r="D95" s="152"/>
      <c r="E95" s="152"/>
      <c r="F95" s="152"/>
      <c r="G95" s="171" t="e">
        <f t="shared" ref="G95:P95" si="252">G29/G40</f>
        <v>#DIV/0!</v>
      </c>
      <c r="H95" s="171" t="e">
        <f t="shared" si="252"/>
        <v>#DIV/0!</v>
      </c>
      <c r="I95" s="171" t="e">
        <f t="shared" si="252"/>
        <v>#DIV/0!</v>
      </c>
      <c r="J95" s="171" t="e">
        <f t="shared" si="252"/>
        <v>#DIV/0!</v>
      </c>
      <c r="K95" s="171" t="e">
        <f t="shared" si="252"/>
        <v>#DIV/0!</v>
      </c>
      <c r="L95" s="171" t="e">
        <f t="shared" si="252"/>
        <v>#DIV/0!</v>
      </c>
      <c r="M95" s="171" t="e">
        <f t="shared" si="252"/>
        <v>#DIV/0!</v>
      </c>
      <c r="N95" s="171" t="e">
        <f t="shared" si="252"/>
        <v>#DIV/0!</v>
      </c>
      <c r="O95" s="171" t="e">
        <f t="shared" si="252"/>
        <v>#DIV/0!</v>
      </c>
      <c r="P95" s="171" t="e">
        <f t="shared" si="252"/>
        <v>#DIV/0!</v>
      </c>
      <c r="Q95" s="118" t="e">
        <f t="shared" ref="Q95" si="253">((P95/G95)^(1/($H$2-$H$1) ))-1</f>
        <v>#DIV/0!</v>
      </c>
      <c r="R95" s="20"/>
      <c r="S95" s="171" t="e">
        <f t="shared" ref="S95:AB95" si="254">S29/S40</f>
        <v>#DIV/0!</v>
      </c>
      <c r="T95" s="171" t="e">
        <f t="shared" si="254"/>
        <v>#DIV/0!</v>
      </c>
      <c r="U95" s="171" t="e">
        <f t="shared" si="254"/>
        <v>#DIV/0!</v>
      </c>
      <c r="V95" s="171" t="e">
        <f t="shared" si="254"/>
        <v>#DIV/0!</v>
      </c>
      <c r="W95" s="171" t="e">
        <f t="shared" si="254"/>
        <v>#DIV/0!</v>
      </c>
      <c r="X95" s="171" t="e">
        <f t="shared" si="254"/>
        <v>#DIV/0!</v>
      </c>
      <c r="Y95" s="171" t="e">
        <f t="shared" si="254"/>
        <v>#DIV/0!</v>
      </c>
      <c r="Z95" s="171" t="e">
        <f t="shared" si="254"/>
        <v>#DIV/0!</v>
      </c>
      <c r="AA95" s="171" t="e">
        <f t="shared" si="254"/>
        <v>#DIV/0!</v>
      </c>
      <c r="AB95" s="171" t="e">
        <f t="shared" si="254"/>
        <v>#DIV/0!</v>
      </c>
      <c r="AC95" s="138" t="e">
        <f t="shared" ref="AC95" si="255">((AB95/G95)^(1/($AB$3-$H$1) ))-1</f>
        <v>#DIV/0!</v>
      </c>
      <c r="AD95" s="146"/>
      <c r="AE95" s="146"/>
    </row>
    <row r="96" spans="2:31" ht="12" customHeight="1" x14ac:dyDescent="0.2">
      <c r="B96" s="20" t="s">
        <v>325</v>
      </c>
      <c r="C96" s="152"/>
      <c r="D96" s="152"/>
      <c r="E96" s="152"/>
      <c r="F96" s="152"/>
      <c r="G96" s="171" t="e">
        <f t="shared" ref="G96:P96" si="256">G29/G12</f>
        <v>#DIV/0!</v>
      </c>
      <c r="H96" s="171" t="e">
        <f t="shared" si="256"/>
        <v>#DIV/0!</v>
      </c>
      <c r="I96" s="171" t="e">
        <f t="shared" si="256"/>
        <v>#DIV/0!</v>
      </c>
      <c r="J96" s="171" t="e">
        <f t="shared" si="256"/>
        <v>#DIV/0!</v>
      </c>
      <c r="K96" s="171" t="e">
        <f t="shared" si="256"/>
        <v>#DIV/0!</v>
      </c>
      <c r="L96" s="171" t="e">
        <f t="shared" si="256"/>
        <v>#DIV/0!</v>
      </c>
      <c r="M96" s="171" t="e">
        <f t="shared" si="256"/>
        <v>#DIV/0!</v>
      </c>
      <c r="N96" s="171" t="e">
        <f t="shared" si="256"/>
        <v>#DIV/0!</v>
      </c>
      <c r="O96" s="171" t="e">
        <f t="shared" si="256"/>
        <v>#DIV/0!</v>
      </c>
      <c r="P96" s="171" t="e">
        <f t="shared" si="256"/>
        <v>#DIV/0!</v>
      </c>
      <c r="Q96" s="118" t="e">
        <f t="shared" si="229"/>
        <v>#DIV/0!</v>
      </c>
      <c r="R96" s="20"/>
      <c r="S96" s="152" t="e">
        <f t="shared" ref="S96:AB96" si="257">S29/S12</f>
        <v>#DIV/0!</v>
      </c>
      <c r="T96" s="152" t="e">
        <f t="shared" si="257"/>
        <v>#DIV/0!</v>
      </c>
      <c r="U96" s="152" t="e">
        <f t="shared" si="257"/>
        <v>#DIV/0!</v>
      </c>
      <c r="V96" s="152" t="e">
        <f t="shared" si="257"/>
        <v>#DIV/0!</v>
      </c>
      <c r="W96" s="152" t="e">
        <f t="shared" si="257"/>
        <v>#DIV/0!</v>
      </c>
      <c r="X96" s="152" t="e">
        <f t="shared" si="257"/>
        <v>#DIV/0!</v>
      </c>
      <c r="Y96" s="152" t="e">
        <f t="shared" si="257"/>
        <v>#DIV/0!</v>
      </c>
      <c r="Z96" s="152" t="e">
        <f t="shared" si="257"/>
        <v>#DIV/0!</v>
      </c>
      <c r="AA96" s="152" t="e">
        <f t="shared" si="257"/>
        <v>#DIV/0!</v>
      </c>
      <c r="AB96" s="152" t="e">
        <f t="shared" si="257"/>
        <v>#DIV/0!</v>
      </c>
      <c r="AC96" s="138" t="e">
        <f t="shared" si="231"/>
        <v>#DIV/0!</v>
      </c>
      <c r="AD96" s="146"/>
      <c r="AE96" s="146"/>
    </row>
    <row r="97" spans="2:31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8">H29/H23</f>
        <v>#DIV/0!</v>
      </c>
      <c r="I97" s="171" t="e">
        <f t="shared" si="258"/>
        <v>#DIV/0!</v>
      </c>
      <c r="J97" s="171" t="e">
        <f t="shared" si="258"/>
        <v>#DIV/0!</v>
      </c>
      <c r="K97" s="171" t="e">
        <f t="shared" si="258"/>
        <v>#DIV/0!</v>
      </c>
      <c r="L97" s="171" t="e">
        <f t="shared" si="258"/>
        <v>#DIV/0!</v>
      </c>
      <c r="M97" s="171" t="e">
        <f t="shared" si="258"/>
        <v>#DIV/0!</v>
      </c>
      <c r="N97" s="171" t="e">
        <f t="shared" si="258"/>
        <v>#DIV/0!</v>
      </c>
      <c r="O97" s="171" t="e">
        <f t="shared" si="258"/>
        <v>#DIV/0!</v>
      </c>
      <c r="P97" s="171" t="e">
        <f t="shared" si="258"/>
        <v>#DIV/0!</v>
      </c>
      <c r="Q97" s="118" t="e">
        <f t="shared" ref="Q97" si="259">((P97/G97)^(1/($H$2-$H$1) ))-1</f>
        <v>#DIV/0!</v>
      </c>
      <c r="R97" s="20"/>
      <c r="S97" s="171" t="e">
        <f t="shared" ref="S97:AB97" si="260">S29/S23</f>
        <v>#DIV/0!</v>
      </c>
      <c r="T97" s="171" t="e">
        <f t="shared" si="260"/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38" t="e">
        <f t="shared" ref="AC97" si="261">((AB97/G97)^(1/($AB$3-$H$1) ))-1</f>
        <v>#DIV/0!</v>
      </c>
      <c r="AD97" s="146"/>
      <c r="AE97" s="146"/>
    </row>
    <row r="98" spans="2:31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20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46"/>
      <c r="AE98" s="146"/>
    </row>
    <row r="99" spans="2:31" ht="12" customHeight="1" x14ac:dyDescent="0.2">
      <c r="B99" s="20" t="s">
        <v>403</v>
      </c>
      <c r="C99" s="152"/>
      <c r="D99" s="152"/>
      <c r="E99" s="152"/>
      <c r="F99" s="152"/>
      <c r="G99" s="127" t="e">
        <f>1/G93</f>
        <v>#DIV/0!</v>
      </c>
      <c r="H99" s="127" t="e">
        <f t="shared" ref="H99:P99" si="262">1/H93</f>
        <v>#DIV/0!</v>
      </c>
      <c r="I99" s="127" t="e">
        <f t="shared" si="262"/>
        <v>#DIV/0!</v>
      </c>
      <c r="J99" s="127" t="e">
        <f t="shared" si="262"/>
        <v>#DIV/0!</v>
      </c>
      <c r="K99" s="127" t="e">
        <f t="shared" si="262"/>
        <v>#DIV/0!</v>
      </c>
      <c r="L99" s="127" t="e">
        <f t="shared" si="262"/>
        <v>#DIV/0!</v>
      </c>
      <c r="M99" s="127" t="e">
        <f t="shared" si="262"/>
        <v>#DIV/0!</v>
      </c>
      <c r="N99" s="127" t="e">
        <f t="shared" si="262"/>
        <v>#DIV/0!</v>
      </c>
      <c r="O99" s="127" t="e">
        <f t="shared" si="262"/>
        <v>#DIV/0!</v>
      </c>
      <c r="P99" s="127" t="e">
        <f t="shared" si="262"/>
        <v>#DIV/0!</v>
      </c>
      <c r="Q99" s="118" t="e">
        <f t="shared" si="229"/>
        <v>#DIV/0!</v>
      </c>
      <c r="R99" s="20"/>
      <c r="S99" s="127" t="e">
        <f t="shared" ref="S99:AB99" si="263">1/S93</f>
        <v>#DIV/0!</v>
      </c>
      <c r="T99" s="127" t="e">
        <f t="shared" si="263"/>
        <v>#DIV/0!</v>
      </c>
      <c r="U99" s="127" t="e">
        <f t="shared" si="263"/>
        <v>#DIV/0!</v>
      </c>
      <c r="V99" s="127" t="e">
        <f t="shared" si="263"/>
        <v>#DIV/0!</v>
      </c>
      <c r="W99" s="127" t="e">
        <f t="shared" si="263"/>
        <v>#DIV/0!</v>
      </c>
      <c r="X99" s="127" t="e">
        <f t="shared" si="263"/>
        <v>#DIV/0!</v>
      </c>
      <c r="Y99" s="127" t="e">
        <f t="shared" si="263"/>
        <v>#DIV/0!</v>
      </c>
      <c r="Z99" s="127" t="e">
        <f t="shared" si="263"/>
        <v>#DIV/0!</v>
      </c>
      <c r="AA99" s="127" t="e">
        <f t="shared" si="263"/>
        <v>#DIV/0!</v>
      </c>
      <c r="AB99" s="127" t="e">
        <f t="shared" si="263"/>
        <v>#DIV/0!</v>
      </c>
      <c r="AC99" s="138" t="e">
        <f t="shared" si="231"/>
        <v>#DIV/0!</v>
      </c>
      <c r="AD99" s="146"/>
      <c r="AE99" s="146"/>
    </row>
    <row r="100" spans="2:31" ht="12" customHeight="1" x14ac:dyDescent="0.2">
      <c r="B100" s="20" t="s">
        <v>404</v>
      </c>
      <c r="C100" s="152"/>
      <c r="D100" s="152"/>
      <c r="E100" s="152"/>
      <c r="F100" s="152"/>
      <c r="G100" s="127" t="e">
        <f t="shared" ref="G100:P103" si="264">1/G94</f>
        <v>#DIV/0!</v>
      </c>
      <c r="H100" s="127" t="e">
        <f t="shared" si="264"/>
        <v>#DIV/0!</v>
      </c>
      <c r="I100" s="127" t="e">
        <f t="shared" si="264"/>
        <v>#DIV/0!</v>
      </c>
      <c r="J100" s="127" t="e">
        <f t="shared" si="264"/>
        <v>#DIV/0!</v>
      </c>
      <c r="K100" s="127" t="e">
        <f t="shared" si="264"/>
        <v>#DIV/0!</v>
      </c>
      <c r="L100" s="127" t="e">
        <f t="shared" si="264"/>
        <v>#DIV/0!</v>
      </c>
      <c r="M100" s="127" t="e">
        <f t="shared" si="264"/>
        <v>#DIV/0!</v>
      </c>
      <c r="N100" s="127" t="e">
        <f t="shared" si="264"/>
        <v>#DIV/0!</v>
      </c>
      <c r="O100" s="127" t="e">
        <f t="shared" si="264"/>
        <v>#DIV/0!</v>
      </c>
      <c r="P100" s="127" t="e">
        <f t="shared" si="264"/>
        <v>#DIV/0!</v>
      </c>
      <c r="Q100" s="118" t="e">
        <f t="shared" si="229"/>
        <v>#DIV/0!</v>
      </c>
      <c r="R100" s="20"/>
      <c r="S100" s="127" t="e">
        <f t="shared" ref="S100:AB100" si="265">1/S94</f>
        <v>#DIV/0!</v>
      </c>
      <c r="T100" s="127" t="e">
        <f t="shared" si="265"/>
        <v>#DIV/0!</v>
      </c>
      <c r="U100" s="127" t="e">
        <f t="shared" si="265"/>
        <v>#DIV/0!</v>
      </c>
      <c r="V100" s="127" t="e">
        <f t="shared" si="265"/>
        <v>#DIV/0!</v>
      </c>
      <c r="W100" s="127" t="e">
        <f t="shared" si="265"/>
        <v>#DIV/0!</v>
      </c>
      <c r="X100" s="127" t="e">
        <f t="shared" si="265"/>
        <v>#DIV/0!</v>
      </c>
      <c r="Y100" s="127" t="e">
        <f t="shared" si="265"/>
        <v>#DIV/0!</v>
      </c>
      <c r="Z100" s="127" t="e">
        <f t="shared" si="265"/>
        <v>#DIV/0!</v>
      </c>
      <c r="AA100" s="127" t="e">
        <f t="shared" si="265"/>
        <v>#DIV/0!</v>
      </c>
      <c r="AB100" s="127" t="e">
        <f t="shared" si="265"/>
        <v>#DIV/0!</v>
      </c>
      <c r="AC100" s="138" t="e">
        <f t="shared" si="231"/>
        <v>#DIV/0!</v>
      </c>
      <c r="AD100" s="146"/>
      <c r="AE100" s="146"/>
    </row>
    <row r="101" spans="2:31" ht="12" customHeight="1" x14ac:dyDescent="0.2">
      <c r="B101" s="20" t="s">
        <v>405</v>
      </c>
      <c r="C101" s="152"/>
      <c r="D101" s="152"/>
      <c r="E101" s="152"/>
      <c r="F101" s="152"/>
      <c r="G101" s="127" t="e">
        <f t="shared" si="264"/>
        <v>#DIV/0!</v>
      </c>
      <c r="H101" s="127" t="e">
        <f t="shared" si="264"/>
        <v>#DIV/0!</v>
      </c>
      <c r="I101" s="127" t="e">
        <f t="shared" si="264"/>
        <v>#DIV/0!</v>
      </c>
      <c r="J101" s="127" t="e">
        <f t="shared" si="264"/>
        <v>#DIV/0!</v>
      </c>
      <c r="K101" s="127" t="e">
        <f t="shared" si="264"/>
        <v>#DIV/0!</v>
      </c>
      <c r="L101" s="127" t="e">
        <f t="shared" si="264"/>
        <v>#DIV/0!</v>
      </c>
      <c r="M101" s="127" t="e">
        <f t="shared" si="264"/>
        <v>#DIV/0!</v>
      </c>
      <c r="N101" s="127" t="e">
        <f t="shared" si="264"/>
        <v>#DIV/0!</v>
      </c>
      <c r="O101" s="127" t="e">
        <f t="shared" si="264"/>
        <v>#DIV/0!</v>
      </c>
      <c r="P101" s="127" t="e">
        <f t="shared" si="264"/>
        <v>#DIV/0!</v>
      </c>
      <c r="Q101" s="118" t="e">
        <f t="shared" si="229"/>
        <v>#DIV/0!</v>
      </c>
      <c r="R101" s="20"/>
      <c r="S101" s="127" t="e">
        <f t="shared" ref="S101:AB101" si="266">1/S95</f>
        <v>#DIV/0!</v>
      </c>
      <c r="T101" s="127" t="e">
        <f t="shared" si="266"/>
        <v>#DIV/0!</v>
      </c>
      <c r="U101" s="127" t="e">
        <f t="shared" si="266"/>
        <v>#DIV/0!</v>
      </c>
      <c r="V101" s="127" t="e">
        <f t="shared" si="266"/>
        <v>#DIV/0!</v>
      </c>
      <c r="W101" s="127" t="e">
        <f t="shared" si="266"/>
        <v>#DIV/0!</v>
      </c>
      <c r="X101" s="127" t="e">
        <f t="shared" si="266"/>
        <v>#DIV/0!</v>
      </c>
      <c r="Y101" s="127" t="e">
        <f t="shared" si="266"/>
        <v>#DIV/0!</v>
      </c>
      <c r="Z101" s="127" t="e">
        <f t="shared" si="266"/>
        <v>#DIV/0!</v>
      </c>
      <c r="AA101" s="127" t="e">
        <f t="shared" si="266"/>
        <v>#DIV/0!</v>
      </c>
      <c r="AB101" s="127" t="e">
        <f t="shared" si="266"/>
        <v>#DIV/0!</v>
      </c>
      <c r="AC101" s="138" t="e">
        <f t="shared" si="231"/>
        <v>#DIV/0!</v>
      </c>
      <c r="AD101" s="146"/>
      <c r="AE101" s="146"/>
    </row>
    <row r="102" spans="2:31" ht="12" customHeight="1" x14ac:dyDescent="0.2">
      <c r="B102" s="20" t="s">
        <v>406</v>
      </c>
      <c r="C102" s="152"/>
      <c r="D102" s="152"/>
      <c r="E102" s="152"/>
      <c r="F102" s="152"/>
      <c r="G102" s="127" t="e">
        <f t="shared" si="264"/>
        <v>#DIV/0!</v>
      </c>
      <c r="H102" s="127" t="e">
        <f t="shared" si="264"/>
        <v>#DIV/0!</v>
      </c>
      <c r="I102" s="127" t="e">
        <f t="shared" si="264"/>
        <v>#DIV/0!</v>
      </c>
      <c r="J102" s="127" t="e">
        <f t="shared" si="264"/>
        <v>#DIV/0!</v>
      </c>
      <c r="K102" s="127" t="e">
        <f t="shared" si="264"/>
        <v>#DIV/0!</v>
      </c>
      <c r="L102" s="127" t="e">
        <f t="shared" si="264"/>
        <v>#DIV/0!</v>
      </c>
      <c r="M102" s="127" t="e">
        <f t="shared" si="264"/>
        <v>#DIV/0!</v>
      </c>
      <c r="N102" s="127" t="e">
        <f t="shared" si="264"/>
        <v>#DIV/0!</v>
      </c>
      <c r="O102" s="127" t="e">
        <f t="shared" si="264"/>
        <v>#DIV/0!</v>
      </c>
      <c r="P102" s="127" t="e">
        <f t="shared" si="264"/>
        <v>#DIV/0!</v>
      </c>
      <c r="Q102" s="118" t="e">
        <f t="shared" si="229"/>
        <v>#DIV/0!</v>
      </c>
      <c r="R102" s="20"/>
      <c r="S102" s="127" t="e">
        <f t="shared" ref="S102:AB102" si="267">1/S96</f>
        <v>#DIV/0!</v>
      </c>
      <c r="T102" s="127" t="e">
        <f t="shared" si="267"/>
        <v>#DIV/0!</v>
      </c>
      <c r="U102" s="127" t="e">
        <f t="shared" si="267"/>
        <v>#DIV/0!</v>
      </c>
      <c r="V102" s="127" t="e">
        <f t="shared" si="267"/>
        <v>#DIV/0!</v>
      </c>
      <c r="W102" s="127" t="e">
        <f t="shared" si="267"/>
        <v>#DIV/0!</v>
      </c>
      <c r="X102" s="127" t="e">
        <f t="shared" si="267"/>
        <v>#DIV/0!</v>
      </c>
      <c r="Y102" s="127" t="e">
        <f t="shared" si="267"/>
        <v>#DIV/0!</v>
      </c>
      <c r="Z102" s="127" t="e">
        <f t="shared" si="267"/>
        <v>#DIV/0!</v>
      </c>
      <c r="AA102" s="127" t="e">
        <f t="shared" si="267"/>
        <v>#DIV/0!</v>
      </c>
      <c r="AB102" s="127" t="e">
        <f t="shared" si="267"/>
        <v>#DIV/0!</v>
      </c>
      <c r="AC102" s="138" t="e">
        <f t="shared" si="231"/>
        <v>#DIV/0!</v>
      </c>
      <c r="AD102" s="146"/>
      <c r="AE102" s="146"/>
    </row>
    <row r="103" spans="2:31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4"/>
        <v>#DIV/0!</v>
      </c>
      <c r="H103" s="127" t="e">
        <f t="shared" si="264"/>
        <v>#DIV/0!</v>
      </c>
      <c r="I103" s="127" t="e">
        <f t="shared" si="264"/>
        <v>#DIV/0!</v>
      </c>
      <c r="J103" s="127" t="e">
        <f t="shared" si="264"/>
        <v>#DIV/0!</v>
      </c>
      <c r="K103" s="127" t="e">
        <f t="shared" si="264"/>
        <v>#DIV/0!</v>
      </c>
      <c r="L103" s="127" t="e">
        <f t="shared" si="264"/>
        <v>#DIV/0!</v>
      </c>
      <c r="M103" s="127" t="e">
        <f t="shared" si="264"/>
        <v>#DIV/0!</v>
      </c>
      <c r="N103" s="127" t="e">
        <f t="shared" si="264"/>
        <v>#DIV/0!</v>
      </c>
      <c r="O103" s="127" t="e">
        <f t="shared" si="264"/>
        <v>#DIV/0!</v>
      </c>
      <c r="P103" s="127" t="e">
        <f t="shared" si="264"/>
        <v>#DIV/0!</v>
      </c>
      <c r="Q103" s="118" t="e">
        <f t="shared" si="229"/>
        <v>#DIV/0!</v>
      </c>
      <c r="R103" s="20"/>
      <c r="S103" s="127" t="e">
        <f t="shared" ref="S103:AB103" si="268">1/S97</f>
        <v>#DIV/0!</v>
      </c>
      <c r="T103" s="127" t="e">
        <f t="shared" si="268"/>
        <v>#DIV/0!</v>
      </c>
      <c r="U103" s="127" t="e">
        <f t="shared" si="268"/>
        <v>#DIV/0!</v>
      </c>
      <c r="V103" s="127" t="e">
        <f t="shared" si="268"/>
        <v>#DIV/0!</v>
      </c>
      <c r="W103" s="127" t="e">
        <f t="shared" si="268"/>
        <v>#DIV/0!</v>
      </c>
      <c r="X103" s="127" t="e">
        <f t="shared" si="268"/>
        <v>#DIV/0!</v>
      </c>
      <c r="Y103" s="127" t="e">
        <f t="shared" si="268"/>
        <v>#DIV/0!</v>
      </c>
      <c r="Z103" s="127" t="e">
        <f t="shared" si="268"/>
        <v>#DIV/0!</v>
      </c>
      <c r="AA103" s="127" t="e">
        <f t="shared" si="268"/>
        <v>#DIV/0!</v>
      </c>
      <c r="AB103" s="127" t="e">
        <f t="shared" si="268"/>
        <v>#DIV/0!</v>
      </c>
      <c r="AC103" s="138" t="e">
        <f t="shared" si="231"/>
        <v>#DIV/0!</v>
      </c>
      <c r="AD103" s="146"/>
      <c r="AE103" s="146"/>
    </row>
    <row r="104" spans="2:31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20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46"/>
      <c r="AE104" s="146"/>
    </row>
    <row r="105" spans="2:31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20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46"/>
      <c r="AE105" s="146"/>
    </row>
    <row r="106" spans="2:31" x14ac:dyDescent="0.2">
      <c r="B106" s="20" t="s">
        <v>326</v>
      </c>
      <c r="C106" s="152"/>
      <c r="D106" s="152"/>
      <c r="E106" s="152"/>
      <c r="F106" s="163">
        <f t="shared" ref="F106:O106" si="269">F10-(F12+F13)</f>
        <v>0</v>
      </c>
      <c r="G106" s="163">
        <f t="shared" si="269"/>
        <v>0</v>
      </c>
      <c r="H106" s="163">
        <f t="shared" si="269"/>
        <v>0</v>
      </c>
      <c r="I106" s="163">
        <f t="shared" si="269"/>
        <v>0</v>
      </c>
      <c r="J106" s="163">
        <f t="shared" si="269"/>
        <v>0</v>
      </c>
      <c r="K106" s="163">
        <f t="shared" si="269"/>
        <v>0</v>
      </c>
      <c r="L106" s="163">
        <f t="shared" si="269"/>
        <v>0</v>
      </c>
      <c r="M106" s="163">
        <f t="shared" si="269"/>
        <v>0</v>
      </c>
      <c r="N106" s="163">
        <f t="shared" si="269"/>
        <v>0</v>
      </c>
      <c r="O106" s="163">
        <f t="shared" si="269"/>
        <v>0</v>
      </c>
      <c r="P106" s="163">
        <f>P10-(P12+P13)</f>
        <v>0</v>
      </c>
      <c r="Q106" s="118" t="e">
        <f t="shared" si="229"/>
        <v>#DIV/0!</v>
      </c>
      <c r="R106" s="20"/>
      <c r="S106" s="163">
        <f>S10-(S12+S13)</f>
        <v>0</v>
      </c>
      <c r="T106" s="163">
        <f t="shared" ref="T106:AB106" si="270">T10-(T12+T13)</f>
        <v>0</v>
      </c>
      <c r="U106" s="163">
        <f t="shared" si="270"/>
        <v>0</v>
      </c>
      <c r="V106" s="163">
        <f t="shared" si="270"/>
        <v>0</v>
      </c>
      <c r="W106" s="163">
        <f t="shared" si="270"/>
        <v>0</v>
      </c>
      <c r="X106" s="163">
        <f t="shared" si="270"/>
        <v>0</v>
      </c>
      <c r="Y106" s="163">
        <f t="shared" si="270"/>
        <v>0</v>
      </c>
      <c r="Z106" s="163">
        <f t="shared" si="270"/>
        <v>0</v>
      </c>
      <c r="AA106" s="163">
        <f t="shared" si="270"/>
        <v>0</v>
      </c>
      <c r="AB106" s="163">
        <f t="shared" si="270"/>
        <v>0</v>
      </c>
      <c r="AC106" s="138" t="e">
        <f t="shared" si="231"/>
        <v>#DIV/0!</v>
      </c>
      <c r="AD106" s="146"/>
      <c r="AE106" s="146"/>
    </row>
    <row r="107" spans="2:31" ht="12" customHeight="1" x14ac:dyDescent="0.2">
      <c r="B107" s="20" t="s">
        <v>321</v>
      </c>
      <c r="C107" s="20"/>
      <c r="D107" s="20"/>
      <c r="E107" s="20"/>
      <c r="F107" s="20"/>
      <c r="G107" s="152" t="e">
        <f t="shared" ref="G107:P107" si="271">G40/G18</f>
        <v>#DIV/0!</v>
      </c>
      <c r="H107" s="152" t="e">
        <f t="shared" si="271"/>
        <v>#DIV/0!</v>
      </c>
      <c r="I107" s="152" t="e">
        <f t="shared" si="271"/>
        <v>#DIV/0!</v>
      </c>
      <c r="J107" s="152" t="e">
        <f t="shared" si="271"/>
        <v>#DIV/0!</v>
      </c>
      <c r="K107" s="152" t="e">
        <f t="shared" si="271"/>
        <v>#DIV/0!</v>
      </c>
      <c r="L107" s="152" t="e">
        <f t="shared" si="271"/>
        <v>#DIV/0!</v>
      </c>
      <c r="M107" s="152" t="e">
        <f t="shared" si="271"/>
        <v>#DIV/0!</v>
      </c>
      <c r="N107" s="152" t="e">
        <f t="shared" si="271"/>
        <v>#DIV/0!</v>
      </c>
      <c r="O107" s="152" t="e">
        <f t="shared" si="271"/>
        <v>#DIV/0!</v>
      </c>
      <c r="P107" s="152" t="e">
        <f t="shared" si="271"/>
        <v>#DIV/0!</v>
      </c>
      <c r="Q107" s="118" t="e">
        <f t="shared" si="229"/>
        <v>#DIV/0!</v>
      </c>
      <c r="R107" s="20"/>
      <c r="S107" s="152" t="e">
        <f t="shared" ref="S107:AB107" si="272">S40/S18</f>
        <v>#DIV/0!</v>
      </c>
      <c r="T107" s="152" t="e">
        <f t="shared" si="272"/>
        <v>#DIV/0!</v>
      </c>
      <c r="U107" s="152" t="e">
        <f t="shared" si="272"/>
        <v>#DIV/0!</v>
      </c>
      <c r="V107" s="152" t="e">
        <f t="shared" si="272"/>
        <v>#DIV/0!</v>
      </c>
      <c r="W107" s="152" t="e">
        <f t="shared" si="272"/>
        <v>#DIV/0!</v>
      </c>
      <c r="X107" s="152" t="e">
        <f t="shared" si="272"/>
        <v>#DIV/0!</v>
      </c>
      <c r="Y107" s="152" t="e">
        <f t="shared" si="272"/>
        <v>#DIV/0!</v>
      </c>
      <c r="Z107" s="152" t="e">
        <f t="shared" si="272"/>
        <v>#DIV/0!</v>
      </c>
      <c r="AA107" s="152" t="e">
        <f t="shared" si="272"/>
        <v>#DIV/0!</v>
      </c>
      <c r="AB107" s="152" t="e">
        <f t="shared" si="272"/>
        <v>#DIV/0!</v>
      </c>
      <c r="AC107" s="138" t="e">
        <f t="shared" si="231"/>
        <v>#DIV/0!</v>
      </c>
      <c r="AD107" s="20"/>
      <c r="AE107" s="20"/>
    </row>
    <row r="108" spans="2:31" x14ac:dyDescent="0.2">
      <c r="B108" s="20" t="s">
        <v>322</v>
      </c>
      <c r="C108" s="20"/>
      <c r="D108" s="20"/>
      <c r="E108" s="20"/>
      <c r="F108" s="20"/>
      <c r="G108" s="152" t="e">
        <f t="shared" ref="G108:P108" si="273">G40/G25</f>
        <v>#DIV/0!</v>
      </c>
      <c r="H108" s="152" t="e">
        <f t="shared" si="273"/>
        <v>#DIV/0!</v>
      </c>
      <c r="I108" s="152" t="e">
        <f t="shared" si="273"/>
        <v>#DIV/0!</v>
      </c>
      <c r="J108" s="152" t="e">
        <f t="shared" si="273"/>
        <v>#DIV/0!</v>
      </c>
      <c r="K108" s="152" t="e">
        <f t="shared" si="273"/>
        <v>#DIV/0!</v>
      </c>
      <c r="L108" s="152" t="e">
        <f t="shared" si="273"/>
        <v>#DIV/0!</v>
      </c>
      <c r="M108" s="152" t="e">
        <f t="shared" si="273"/>
        <v>#DIV/0!</v>
      </c>
      <c r="N108" s="152" t="e">
        <f t="shared" si="273"/>
        <v>#DIV/0!</v>
      </c>
      <c r="O108" s="152" t="e">
        <f t="shared" si="273"/>
        <v>#DIV/0!</v>
      </c>
      <c r="P108" s="152" t="e">
        <f t="shared" si="273"/>
        <v>#DIV/0!</v>
      </c>
      <c r="Q108" s="118" t="e">
        <f t="shared" si="229"/>
        <v>#DIV/0!</v>
      </c>
      <c r="R108" s="20"/>
      <c r="S108" s="152" t="e">
        <f t="shared" ref="S108:AB108" si="274">S40/S25</f>
        <v>#DIV/0!</v>
      </c>
      <c r="T108" s="152" t="e">
        <f t="shared" si="274"/>
        <v>#DIV/0!</v>
      </c>
      <c r="U108" s="152" t="e">
        <f t="shared" si="274"/>
        <v>#DIV/0!</v>
      </c>
      <c r="V108" s="152" t="e">
        <f t="shared" si="274"/>
        <v>#DIV/0!</v>
      </c>
      <c r="W108" s="152" t="e">
        <f t="shared" si="274"/>
        <v>#DIV/0!</v>
      </c>
      <c r="X108" s="152" t="e">
        <f t="shared" si="274"/>
        <v>#DIV/0!</v>
      </c>
      <c r="Y108" s="152" t="e">
        <f t="shared" si="274"/>
        <v>#DIV/0!</v>
      </c>
      <c r="Z108" s="152" t="e">
        <f t="shared" si="274"/>
        <v>#DIV/0!</v>
      </c>
      <c r="AA108" s="152" t="e">
        <f t="shared" si="274"/>
        <v>#DIV/0!</v>
      </c>
      <c r="AB108" s="152" t="e">
        <f t="shared" si="274"/>
        <v>#DIV/0!</v>
      </c>
      <c r="AC108" s="138" t="e">
        <f t="shared" si="231"/>
        <v>#DIV/0!</v>
      </c>
      <c r="AD108" s="20"/>
      <c r="AE108" s="20"/>
    </row>
    <row r="109" spans="2:31" x14ac:dyDescent="0.2">
      <c r="B109" s="20" t="s">
        <v>348</v>
      </c>
      <c r="C109" s="20"/>
      <c r="D109" s="20"/>
      <c r="E109" s="152"/>
      <c r="F109" s="152"/>
      <c r="G109" s="152" t="e">
        <f t="shared" ref="G109:O109" si="275">G25/G18</f>
        <v>#DIV/0!</v>
      </c>
      <c r="H109" s="152" t="e">
        <f t="shared" si="275"/>
        <v>#DIV/0!</v>
      </c>
      <c r="I109" s="152" t="e">
        <f t="shared" si="275"/>
        <v>#DIV/0!</v>
      </c>
      <c r="J109" s="152" t="e">
        <f t="shared" si="275"/>
        <v>#DIV/0!</v>
      </c>
      <c r="K109" s="152" t="e">
        <f t="shared" si="275"/>
        <v>#DIV/0!</v>
      </c>
      <c r="L109" s="152" t="e">
        <f t="shared" si="275"/>
        <v>#DIV/0!</v>
      </c>
      <c r="M109" s="152" t="e">
        <f t="shared" si="275"/>
        <v>#DIV/0!</v>
      </c>
      <c r="N109" s="152" t="e">
        <f t="shared" si="275"/>
        <v>#DIV/0!</v>
      </c>
      <c r="O109" s="152" t="e">
        <f t="shared" si="275"/>
        <v>#DIV/0!</v>
      </c>
      <c r="P109" s="152" t="e">
        <f>P25/P18</f>
        <v>#DIV/0!</v>
      </c>
      <c r="Q109" s="118" t="e">
        <f t="shared" si="229"/>
        <v>#DIV/0!</v>
      </c>
      <c r="R109" s="20"/>
      <c r="S109" s="152" t="e">
        <f>S25/S18</f>
        <v>#DIV/0!</v>
      </c>
      <c r="T109" s="152" t="e">
        <f t="shared" ref="T109:AB109" si="276">T25/T18</f>
        <v>#DIV/0!</v>
      </c>
      <c r="U109" s="152" t="e">
        <f t="shared" si="276"/>
        <v>#DIV/0!</v>
      </c>
      <c r="V109" s="152" t="e">
        <f t="shared" si="276"/>
        <v>#DIV/0!</v>
      </c>
      <c r="W109" s="152" t="e">
        <f t="shared" si="276"/>
        <v>#DIV/0!</v>
      </c>
      <c r="X109" s="152" t="e">
        <f t="shared" si="276"/>
        <v>#DIV/0!</v>
      </c>
      <c r="Y109" s="152" t="e">
        <f t="shared" si="276"/>
        <v>#DIV/0!</v>
      </c>
      <c r="Z109" s="152" t="e">
        <f t="shared" si="276"/>
        <v>#DIV/0!</v>
      </c>
      <c r="AA109" s="152" t="e">
        <f t="shared" si="276"/>
        <v>#DIV/0!</v>
      </c>
      <c r="AB109" s="152" t="e">
        <f t="shared" si="276"/>
        <v>#DIV/0!</v>
      </c>
      <c r="AC109" s="138" t="e">
        <f t="shared" si="231"/>
        <v>#DIV/0!</v>
      </c>
      <c r="AD109" s="20"/>
      <c r="AE109" s="20"/>
    </row>
    <row r="110" spans="2:31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28"/>
      <c r="R110" s="20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28"/>
      <c r="AD110" s="20"/>
      <c r="AE110" s="20"/>
    </row>
    <row r="111" spans="2:31" x14ac:dyDescent="0.2">
      <c r="B111" s="20" t="s">
        <v>334</v>
      </c>
      <c r="C111" s="20"/>
      <c r="D111" s="20"/>
      <c r="E111" s="165">
        <f t="shared" ref="E111:F111" si="277">E70*E42</f>
        <v>0</v>
      </c>
      <c r="F111" s="165">
        <f t="shared" si="277"/>
        <v>0</v>
      </c>
      <c r="G111" s="165">
        <f>G70*G42</f>
        <v>0</v>
      </c>
      <c r="H111" s="165">
        <f t="shared" ref="H111:P111" si="278">H70*H42</f>
        <v>0</v>
      </c>
      <c r="I111" s="165">
        <f t="shared" si="278"/>
        <v>0</v>
      </c>
      <c r="J111" s="165">
        <f t="shared" si="278"/>
        <v>0</v>
      </c>
      <c r="K111" s="165">
        <f t="shared" si="278"/>
        <v>0</v>
      </c>
      <c r="L111" s="165">
        <f t="shared" si="278"/>
        <v>0</v>
      </c>
      <c r="M111" s="165">
        <f t="shared" si="278"/>
        <v>0</v>
      </c>
      <c r="N111" s="165">
        <f t="shared" si="278"/>
        <v>0</v>
      </c>
      <c r="O111" s="165">
        <f t="shared" si="278"/>
        <v>0</v>
      </c>
      <c r="P111" s="165">
        <f t="shared" si="278"/>
        <v>0</v>
      </c>
      <c r="Q111" s="118" t="e">
        <f t="shared" si="229"/>
        <v>#DIV/0!</v>
      </c>
      <c r="R111" s="20"/>
      <c r="S111" s="165">
        <f t="shared" ref="S111:AB111" si="279">S70*S42</f>
        <v>0</v>
      </c>
      <c r="T111" s="165">
        <f t="shared" si="279"/>
        <v>0</v>
      </c>
      <c r="U111" s="165">
        <f t="shared" si="279"/>
        <v>0</v>
      </c>
      <c r="V111" s="165">
        <f t="shared" si="279"/>
        <v>0</v>
      </c>
      <c r="W111" s="165">
        <f t="shared" si="279"/>
        <v>0</v>
      </c>
      <c r="X111" s="165">
        <f t="shared" si="279"/>
        <v>0</v>
      </c>
      <c r="Y111" s="165">
        <f t="shared" si="279"/>
        <v>0</v>
      </c>
      <c r="Z111" s="165">
        <f t="shared" si="279"/>
        <v>0</v>
      </c>
      <c r="AA111" s="165">
        <f t="shared" si="279"/>
        <v>0</v>
      </c>
      <c r="AB111" s="165">
        <f t="shared" si="279"/>
        <v>0</v>
      </c>
      <c r="AC111" s="138" t="e">
        <f t="shared" si="231"/>
        <v>#DIV/0!</v>
      </c>
      <c r="AD111" s="20"/>
      <c r="AE111" s="20"/>
    </row>
    <row r="112" spans="2:31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0">(G111*0.17)+G111</f>
        <v>0</v>
      </c>
      <c r="H112" s="165">
        <f t="shared" si="280"/>
        <v>0</v>
      </c>
      <c r="I112" s="165">
        <f t="shared" si="280"/>
        <v>0</v>
      </c>
      <c r="J112" s="165">
        <f t="shared" si="280"/>
        <v>0</v>
      </c>
      <c r="K112" s="165">
        <f t="shared" si="280"/>
        <v>0</v>
      </c>
      <c r="L112" s="165">
        <f t="shared" si="280"/>
        <v>0</v>
      </c>
      <c r="M112" s="165">
        <f t="shared" si="280"/>
        <v>0</v>
      </c>
      <c r="N112" s="165">
        <f t="shared" si="280"/>
        <v>0</v>
      </c>
      <c r="O112" s="165">
        <f t="shared" si="280"/>
        <v>0</v>
      </c>
      <c r="P112" s="165">
        <f t="shared" si="280"/>
        <v>0</v>
      </c>
      <c r="Q112" s="118" t="e">
        <f t="shared" si="229"/>
        <v>#DIV/0!</v>
      </c>
      <c r="R112" s="20"/>
      <c r="S112" s="165">
        <f t="shared" ref="S112:AB112" si="281">(S111*0.17)+S111</f>
        <v>0</v>
      </c>
      <c r="T112" s="165">
        <f t="shared" si="281"/>
        <v>0</v>
      </c>
      <c r="U112" s="165">
        <f t="shared" si="281"/>
        <v>0</v>
      </c>
      <c r="V112" s="165">
        <f t="shared" si="281"/>
        <v>0</v>
      </c>
      <c r="W112" s="165">
        <f t="shared" si="281"/>
        <v>0</v>
      </c>
      <c r="X112" s="165">
        <f t="shared" si="281"/>
        <v>0</v>
      </c>
      <c r="Y112" s="165">
        <f t="shared" si="281"/>
        <v>0</v>
      </c>
      <c r="Z112" s="165">
        <f t="shared" si="281"/>
        <v>0</v>
      </c>
      <c r="AA112" s="165">
        <f t="shared" si="281"/>
        <v>0</v>
      </c>
      <c r="AB112" s="165">
        <f t="shared" si="281"/>
        <v>0</v>
      </c>
      <c r="AC112" s="138" t="e">
        <f t="shared" si="231"/>
        <v>#DIV/0!</v>
      </c>
      <c r="AD112" s="20"/>
      <c r="AE112" s="20"/>
    </row>
    <row r="113" spans="2:31" x14ac:dyDescent="0.2">
      <c r="B113" s="20" t="s">
        <v>336</v>
      </c>
      <c r="C113" s="20"/>
      <c r="D113" s="20"/>
      <c r="E113" s="20"/>
      <c r="F113" s="152" t="e">
        <f t="shared" ref="F113:P113" si="282">F112/F40</f>
        <v>#DIV/0!</v>
      </c>
      <c r="G113" s="152" t="e">
        <f t="shared" si="282"/>
        <v>#DIV/0!</v>
      </c>
      <c r="H113" s="152" t="e">
        <f t="shared" si="282"/>
        <v>#DIV/0!</v>
      </c>
      <c r="I113" s="152" t="e">
        <f t="shared" si="282"/>
        <v>#DIV/0!</v>
      </c>
      <c r="J113" s="152" t="e">
        <f t="shared" si="282"/>
        <v>#DIV/0!</v>
      </c>
      <c r="K113" s="152" t="e">
        <f t="shared" si="282"/>
        <v>#DIV/0!</v>
      </c>
      <c r="L113" s="152" t="e">
        <f t="shared" si="282"/>
        <v>#DIV/0!</v>
      </c>
      <c r="M113" s="152" t="e">
        <f t="shared" si="282"/>
        <v>#DIV/0!</v>
      </c>
      <c r="N113" s="152" t="e">
        <f t="shared" si="282"/>
        <v>#DIV/0!</v>
      </c>
      <c r="O113" s="152" t="e">
        <f t="shared" si="282"/>
        <v>#DIV/0!</v>
      </c>
      <c r="P113" s="152" t="e">
        <f t="shared" si="282"/>
        <v>#DIV/0!</v>
      </c>
      <c r="Q113" s="118" t="e">
        <f t="shared" si="229"/>
        <v>#DIV/0!</v>
      </c>
      <c r="R113" s="20"/>
      <c r="S113" s="152" t="e">
        <f t="shared" ref="S113:AB113" si="283">S112/S40</f>
        <v>#DIV/0!</v>
      </c>
      <c r="T113" s="152" t="e">
        <f t="shared" si="283"/>
        <v>#DIV/0!</v>
      </c>
      <c r="U113" s="152" t="e">
        <f t="shared" si="283"/>
        <v>#DIV/0!</v>
      </c>
      <c r="V113" s="152" t="e">
        <f t="shared" si="283"/>
        <v>#DIV/0!</v>
      </c>
      <c r="W113" s="152" t="e">
        <f t="shared" si="283"/>
        <v>#DIV/0!</v>
      </c>
      <c r="X113" s="152" t="e">
        <f t="shared" si="283"/>
        <v>#DIV/0!</v>
      </c>
      <c r="Y113" s="152" t="e">
        <f t="shared" si="283"/>
        <v>#DIV/0!</v>
      </c>
      <c r="Z113" s="152" t="e">
        <f t="shared" si="283"/>
        <v>#DIV/0!</v>
      </c>
      <c r="AA113" s="152" t="e">
        <f t="shared" si="283"/>
        <v>#DIV/0!</v>
      </c>
      <c r="AB113" s="152" t="e">
        <f t="shared" si="283"/>
        <v>#DIV/0!</v>
      </c>
      <c r="AC113" s="138" t="e">
        <f t="shared" si="231"/>
        <v>#DIV/0!</v>
      </c>
      <c r="AD113" s="20"/>
      <c r="AE113" s="20"/>
    </row>
    <row r="114" spans="2:31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 t="e">
        <f>1-G113</f>
        <v>#DIV/0!</v>
      </c>
      <c r="H114" s="152" t="e">
        <f t="shared" ref="H114:P114" si="284">1-H113</f>
        <v>#DIV/0!</v>
      </c>
      <c r="I114" s="152" t="e">
        <f t="shared" si="284"/>
        <v>#DIV/0!</v>
      </c>
      <c r="J114" s="152" t="e">
        <f t="shared" si="284"/>
        <v>#DIV/0!</v>
      </c>
      <c r="K114" s="152" t="e">
        <f t="shared" si="284"/>
        <v>#DIV/0!</v>
      </c>
      <c r="L114" s="152" t="e">
        <f t="shared" si="284"/>
        <v>#DIV/0!</v>
      </c>
      <c r="M114" s="152" t="e">
        <f t="shared" si="284"/>
        <v>#DIV/0!</v>
      </c>
      <c r="N114" s="152" t="e">
        <f t="shared" si="284"/>
        <v>#DIV/0!</v>
      </c>
      <c r="O114" s="152" t="e">
        <f t="shared" si="284"/>
        <v>#DIV/0!</v>
      </c>
      <c r="P114" s="152" t="e">
        <f t="shared" si="284"/>
        <v>#DIV/0!</v>
      </c>
      <c r="Q114" s="118" t="e">
        <f t="shared" si="229"/>
        <v>#DIV/0!</v>
      </c>
      <c r="R114" s="20"/>
      <c r="S114" s="152" t="e">
        <f t="shared" ref="S114:AB114" si="285">1-S113</f>
        <v>#DIV/0!</v>
      </c>
      <c r="T114" s="152" t="e">
        <f t="shared" si="285"/>
        <v>#DIV/0!</v>
      </c>
      <c r="U114" s="152" t="e">
        <f t="shared" si="285"/>
        <v>#DIV/0!</v>
      </c>
      <c r="V114" s="152" t="e">
        <f t="shared" si="285"/>
        <v>#DIV/0!</v>
      </c>
      <c r="W114" s="152" t="e">
        <f t="shared" si="285"/>
        <v>#DIV/0!</v>
      </c>
      <c r="X114" s="152" t="e">
        <f t="shared" si="285"/>
        <v>#DIV/0!</v>
      </c>
      <c r="Y114" s="152" t="e">
        <f t="shared" si="285"/>
        <v>#DIV/0!</v>
      </c>
      <c r="Z114" s="152" t="e">
        <f t="shared" si="285"/>
        <v>#DIV/0!</v>
      </c>
      <c r="AA114" s="152" t="e">
        <f t="shared" si="285"/>
        <v>#DIV/0!</v>
      </c>
      <c r="AB114" s="152" t="e">
        <f t="shared" si="285"/>
        <v>#DIV/0!</v>
      </c>
      <c r="AC114" s="138" t="e">
        <f t="shared" si="231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 t="e">
        <f>G31/G25</f>
        <v>#DIV/0!</v>
      </c>
      <c r="H116" s="152" t="e">
        <f t="shared" ref="H116:P116" si="286">H31/H25</f>
        <v>#DIV/0!</v>
      </c>
      <c r="I116" s="152" t="e">
        <f t="shared" si="286"/>
        <v>#DIV/0!</v>
      </c>
      <c r="J116" s="152" t="e">
        <f t="shared" si="286"/>
        <v>#DIV/0!</v>
      </c>
      <c r="K116" s="152" t="e">
        <f t="shared" si="286"/>
        <v>#DIV/0!</v>
      </c>
      <c r="L116" s="152" t="e">
        <f t="shared" si="286"/>
        <v>#DIV/0!</v>
      </c>
      <c r="M116" s="152" t="e">
        <f t="shared" si="286"/>
        <v>#DIV/0!</v>
      </c>
      <c r="N116" s="152" t="e">
        <f t="shared" si="286"/>
        <v>#DIV/0!</v>
      </c>
      <c r="O116" s="152" t="e">
        <f t="shared" si="286"/>
        <v>#DIV/0!</v>
      </c>
      <c r="P116" s="152" t="e">
        <f t="shared" si="286"/>
        <v>#DIV/0!</v>
      </c>
      <c r="Q116" s="118" t="e">
        <f t="shared" si="229"/>
        <v>#DIV/0!</v>
      </c>
      <c r="R116" s="20"/>
      <c r="S116" s="152" t="e">
        <f t="shared" ref="S116:AB116" si="287">S31/S25</f>
        <v>#DIV/0!</v>
      </c>
      <c r="T116" s="152" t="e">
        <f t="shared" si="287"/>
        <v>#DIV/0!</v>
      </c>
      <c r="U116" s="152" t="e">
        <f t="shared" si="287"/>
        <v>#DIV/0!</v>
      </c>
      <c r="V116" s="152" t="e">
        <f t="shared" si="287"/>
        <v>#DIV/0!</v>
      </c>
      <c r="W116" s="152" t="e">
        <f t="shared" si="287"/>
        <v>#DIV/0!</v>
      </c>
      <c r="X116" s="152" t="e">
        <f t="shared" si="287"/>
        <v>#DIV/0!</v>
      </c>
      <c r="Y116" s="152" t="e">
        <f t="shared" si="287"/>
        <v>#DIV/0!</v>
      </c>
      <c r="Z116" s="152" t="e">
        <f t="shared" si="287"/>
        <v>#DIV/0!</v>
      </c>
      <c r="AA116" s="152" t="e">
        <f t="shared" si="287"/>
        <v>#DIV/0!</v>
      </c>
      <c r="AB116" s="152" t="e">
        <f t="shared" si="287"/>
        <v>#DIV/0!</v>
      </c>
      <c r="AC116" s="138" t="e">
        <f t="shared" si="231"/>
        <v>#DIV/0!</v>
      </c>
      <c r="AD116" s="20"/>
      <c r="AE116" s="20"/>
    </row>
    <row r="117" spans="2:31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 t="e">
        <f>G32/G25</f>
        <v>#DIV/0!</v>
      </c>
      <c r="H117" s="152" t="e">
        <f t="shared" ref="H117:P117" si="288">H32/H25</f>
        <v>#DIV/0!</v>
      </c>
      <c r="I117" s="152" t="e">
        <f t="shared" si="288"/>
        <v>#DIV/0!</v>
      </c>
      <c r="J117" s="152" t="e">
        <f t="shared" si="288"/>
        <v>#DIV/0!</v>
      </c>
      <c r="K117" s="152" t="e">
        <f t="shared" si="288"/>
        <v>#DIV/0!</v>
      </c>
      <c r="L117" s="152" t="e">
        <f t="shared" si="288"/>
        <v>#DIV/0!</v>
      </c>
      <c r="M117" s="152" t="e">
        <f t="shared" si="288"/>
        <v>#DIV/0!</v>
      </c>
      <c r="N117" s="152" t="e">
        <f t="shared" si="288"/>
        <v>#DIV/0!</v>
      </c>
      <c r="O117" s="152" t="e">
        <f t="shared" si="288"/>
        <v>#DIV/0!</v>
      </c>
      <c r="P117" s="152" t="e">
        <f t="shared" si="288"/>
        <v>#DIV/0!</v>
      </c>
      <c r="Q117" s="118" t="e">
        <f t="shared" si="229"/>
        <v>#DIV/0!</v>
      </c>
      <c r="R117" s="20"/>
      <c r="S117" s="152" t="e">
        <f t="shared" ref="S117:AB117" si="289">S32/S25</f>
        <v>#DIV/0!</v>
      </c>
      <c r="T117" s="152" t="e">
        <f t="shared" si="289"/>
        <v>#DIV/0!</v>
      </c>
      <c r="U117" s="152" t="e">
        <f t="shared" si="289"/>
        <v>#DIV/0!</v>
      </c>
      <c r="V117" s="152" t="e">
        <f t="shared" si="289"/>
        <v>#DIV/0!</v>
      </c>
      <c r="W117" s="152" t="e">
        <f t="shared" si="289"/>
        <v>#DIV/0!</v>
      </c>
      <c r="X117" s="152" t="e">
        <f t="shared" si="289"/>
        <v>#DIV/0!</v>
      </c>
      <c r="Y117" s="152" t="e">
        <f t="shared" si="289"/>
        <v>#DIV/0!</v>
      </c>
      <c r="Z117" s="152" t="e">
        <f t="shared" si="289"/>
        <v>#DIV/0!</v>
      </c>
      <c r="AA117" s="152" t="e">
        <f t="shared" si="289"/>
        <v>#DIV/0!</v>
      </c>
      <c r="AB117" s="152" t="e">
        <f t="shared" si="289"/>
        <v>#DIV/0!</v>
      </c>
      <c r="AC117" s="138" t="e">
        <f t="shared" si="231"/>
        <v>#DIV/0!</v>
      </c>
      <c r="AD117" s="20"/>
      <c r="AE117" s="20"/>
    </row>
    <row r="118" spans="2:31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28"/>
      <c r="R118" s="20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28"/>
      <c r="AD118" s="20"/>
      <c r="AE118" s="20"/>
    </row>
    <row r="119" spans="2:31" x14ac:dyDescent="0.2">
      <c r="B119" s="20" t="s">
        <v>354</v>
      </c>
      <c r="C119" s="20"/>
      <c r="D119" s="20"/>
      <c r="E119" s="20"/>
      <c r="F119" s="20"/>
      <c r="G119" s="152" t="e">
        <f>G27/G25</f>
        <v>#DIV/0!</v>
      </c>
      <c r="H119" s="152" t="e">
        <f t="shared" ref="H119:P119" si="290">H27/H25</f>
        <v>#DIV/0!</v>
      </c>
      <c r="I119" s="152" t="e">
        <f t="shared" si="290"/>
        <v>#DIV/0!</v>
      </c>
      <c r="J119" s="152" t="e">
        <f t="shared" si="290"/>
        <v>#DIV/0!</v>
      </c>
      <c r="K119" s="152" t="e">
        <f t="shared" si="290"/>
        <v>#DIV/0!</v>
      </c>
      <c r="L119" s="152" t="e">
        <f t="shared" si="290"/>
        <v>#DIV/0!</v>
      </c>
      <c r="M119" s="152" t="e">
        <f t="shared" si="290"/>
        <v>#DIV/0!</v>
      </c>
      <c r="N119" s="152" t="e">
        <f t="shared" si="290"/>
        <v>#DIV/0!</v>
      </c>
      <c r="O119" s="152" t="e">
        <f t="shared" si="290"/>
        <v>#DIV/0!</v>
      </c>
      <c r="P119" s="152" t="e">
        <f t="shared" si="290"/>
        <v>#DIV/0!</v>
      </c>
      <c r="Q119" s="118" t="e">
        <f t="shared" si="229"/>
        <v>#DIV/0!</v>
      </c>
      <c r="R119" s="20"/>
      <c r="S119" s="152" t="e">
        <f t="shared" ref="S119:AB119" si="291">S27/S25</f>
        <v>#DIV/0!</v>
      </c>
      <c r="T119" s="152" t="e">
        <f t="shared" si="291"/>
        <v>#DIV/0!</v>
      </c>
      <c r="U119" s="152" t="e">
        <f t="shared" si="291"/>
        <v>#DIV/0!</v>
      </c>
      <c r="V119" s="152" t="e">
        <f t="shared" si="291"/>
        <v>#DIV/0!</v>
      </c>
      <c r="W119" s="152" t="e">
        <f t="shared" si="291"/>
        <v>#DIV/0!</v>
      </c>
      <c r="X119" s="152" t="e">
        <f t="shared" si="291"/>
        <v>#DIV/0!</v>
      </c>
      <c r="Y119" s="152" t="e">
        <f t="shared" si="291"/>
        <v>#DIV/0!</v>
      </c>
      <c r="Z119" s="152" t="e">
        <f t="shared" si="291"/>
        <v>#DIV/0!</v>
      </c>
      <c r="AA119" s="152" t="e">
        <f t="shared" si="291"/>
        <v>#DIV/0!</v>
      </c>
      <c r="AB119" s="152" t="e">
        <f t="shared" si="291"/>
        <v>#DIV/0!</v>
      </c>
      <c r="AC119" s="138" t="e">
        <f t="shared" si="231"/>
        <v>#DIV/0!</v>
      </c>
      <c r="AD119" s="20"/>
      <c r="AE119" s="20"/>
    </row>
    <row r="120" spans="2:31" x14ac:dyDescent="0.2">
      <c r="B120" s="20" t="str">
        <f>B33</f>
        <v>Top Expenses ( Raw material )</v>
      </c>
      <c r="C120" s="20"/>
      <c r="D120" s="20"/>
      <c r="E120" s="20"/>
      <c r="F120" s="20"/>
      <c r="G120" s="152" t="e">
        <f>G33/G25</f>
        <v>#DIV/0!</v>
      </c>
      <c r="H120" s="152" t="e">
        <f t="shared" ref="H120:P120" si="292">H33/H25</f>
        <v>#DIV/0!</v>
      </c>
      <c r="I120" s="152" t="e">
        <f t="shared" si="292"/>
        <v>#DIV/0!</v>
      </c>
      <c r="J120" s="152" t="e">
        <f t="shared" si="292"/>
        <v>#DIV/0!</v>
      </c>
      <c r="K120" s="152" t="e">
        <f t="shared" si="292"/>
        <v>#DIV/0!</v>
      </c>
      <c r="L120" s="152" t="e">
        <f t="shared" si="292"/>
        <v>#DIV/0!</v>
      </c>
      <c r="M120" s="152" t="e">
        <f t="shared" si="292"/>
        <v>#DIV/0!</v>
      </c>
      <c r="N120" s="152" t="e">
        <f t="shared" si="292"/>
        <v>#DIV/0!</v>
      </c>
      <c r="O120" s="152" t="e">
        <f t="shared" si="292"/>
        <v>#DIV/0!</v>
      </c>
      <c r="P120" s="152" t="e">
        <f t="shared" si="292"/>
        <v>#DIV/0!</v>
      </c>
      <c r="Q120" s="118" t="e">
        <f t="shared" si="229"/>
        <v>#DIV/0!</v>
      </c>
      <c r="R120" s="20"/>
      <c r="S120" s="152" t="e">
        <f t="shared" ref="S120:AB120" si="293">S33/S25</f>
        <v>#DIV/0!</v>
      </c>
      <c r="T120" s="152" t="e">
        <f t="shared" si="293"/>
        <v>#DIV/0!</v>
      </c>
      <c r="U120" s="152" t="e">
        <f t="shared" si="293"/>
        <v>#DIV/0!</v>
      </c>
      <c r="V120" s="152" t="e">
        <f t="shared" si="293"/>
        <v>#DIV/0!</v>
      </c>
      <c r="W120" s="152" t="e">
        <f t="shared" si="293"/>
        <v>#DIV/0!</v>
      </c>
      <c r="X120" s="152" t="e">
        <f t="shared" si="293"/>
        <v>#DIV/0!</v>
      </c>
      <c r="Y120" s="152" t="e">
        <f t="shared" si="293"/>
        <v>#DIV/0!</v>
      </c>
      <c r="Z120" s="152" t="e">
        <f t="shared" si="293"/>
        <v>#DIV/0!</v>
      </c>
      <c r="AA120" s="152" t="e">
        <f t="shared" si="293"/>
        <v>#DIV/0!</v>
      </c>
      <c r="AB120" s="152" t="e">
        <f t="shared" si="293"/>
        <v>#DIV/0!</v>
      </c>
      <c r="AC120" s="138" t="e">
        <f t="shared" si="231"/>
        <v>#DIV/0!</v>
      </c>
      <c r="AD120" s="20"/>
      <c r="AE120" s="20"/>
    </row>
    <row r="121" spans="2:31" x14ac:dyDescent="0.2">
      <c r="B121" s="20" t="str">
        <f>B34</f>
        <v>2nd highest Expenses Comp. ( Empl )</v>
      </c>
      <c r="C121" s="20"/>
      <c r="D121" s="20"/>
      <c r="E121" s="20"/>
      <c r="F121" s="20"/>
      <c r="G121" s="152" t="e">
        <f>G34/G25</f>
        <v>#DIV/0!</v>
      </c>
      <c r="H121" s="152" t="e">
        <f t="shared" ref="H121:P121" si="294">H34/H25</f>
        <v>#DIV/0!</v>
      </c>
      <c r="I121" s="152" t="e">
        <f t="shared" si="294"/>
        <v>#DIV/0!</v>
      </c>
      <c r="J121" s="152" t="e">
        <f t="shared" si="294"/>
        <v>#DIV/0!</v>
      </c>
      <c r="K121" s="152" t="e">
        <f t="shared" si="294"/>
        <v>#DIV/0!</v>
      </c>
      <c r="L121" s="152" t="e">
        <f t="shared" si="294"/>
        <v>#DIV/0!</v>
      </c>
      <c r="M121" s="152" t="e">
        <f t="shared" si="294"/>
        <v>#DIV/0!</v>
      </c>
      <c r="N121" s="152" t="e">
        <f t="shared" si="294"/>
        <v>#DIV/0!</v>
      </c>
      <c r="O121" s="152" t="e">
        <f t="shared" si="294"/>
        <v>#DIV/0!</v>
      </c>
      <c r="P121" s="152" t="e">
        <f t="shared" si="294"/>
        <v>#DIV/0!</v>
      </c>
      <c r="Q121" s="118" t="e">
        <f t="shared" si="229"/>
        <v>#DIV/0!</v>
      </c>
      <c r="R121" s="20"/>
      <c r="S121" s="152" t="e">
        <f t="shared" ref="S121:AB121" si="295">S34/S25</f>
        <v>#DIV/0!</v>
      </c>
      <c r="T121" s="152" t="e">
        <f t="shared" si="295"/>
        <v>#DIV/0!</v>
      </c>
      <c r="U121" s="152" t="e">
        <f t="shared" si="295"/>
        <v>#DIV/0!</v>
      </c>
      <c r="V121" s="152" t="e">
        <f t="shared" si="295"/>
        <v>#DIV/0!</v>
      </c>
      <c r="W121" s="152" t="e">
        <f t="shared" si="295"/>
        <v>#DIV/0!</v>
      </c>
      <c r="X121" s="152" t="e">
        <f t="shared" si="295"/>
        <v>#DIV/0!</v>
      </c>
      <c r="Y121" s="152" t="e">
        <f t="shared" si="295"/>
        <v>#DIV/0!</v>
      </c>
      <c r="Z121" s="152" t="e">
        <f t="shared" si="295"/>
        <v>#DIV/0!</v>
      </c>
      <c r="AA121" s="152" t="e">
        <f t="shared" si="295"/>
        <v>#DIV/0!</v>
      </c>
      <c r="AB121" s="152" t="e">
        <f t="shared" si="295"/>
        <v>#DIV/0!</v>
      </c>
      <c r="AC121" s="138" t="e">
        <f t="shared" si="231"/>
        <v>#DIV/0!</v>
      </c>
      <c r="AD121" s="20"/>
      <c r="AE121" s="20"/>
    </row>
    <row r="122" spans="2:3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28"/>
      <c r="R122" s="128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39"/>
      <c r="AD122" s="20"/>
      <c r="AE122" s="20"/>
    </row>
    <row r="123" spans="2:31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118"/>
      <c r="R123" s="128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138"/>
      <c r="AD123" s="20"/>
      <c r="AE123" s="20"/>
    </row>
    <row r="124" spans="2:31" x14ac:dyDescent="0.2">
      <c r="B124" s="20" t="s">
        <v>365</v>
      </c>
      <c r="C124" s="20"/>
      <c r="D124" s="20"/>
      <c r="E124" s="20"/>
      <c r="F124" s="20"/>
      <c r="G124" s="25" t="e">
        <f>G15/G9</f>
        <v>#DIV/0!</v>
      </c>
      <c r="H124" s="25" t="e">
        <f t="shared" ref="H124:AB124" si="296">H15/H9</f>
        <v>#DIV/0!</v>
      </c>
      <c r="I124" s="25" t="e">
        <f t="shared" si="296"/>
        <v>#DIV/0!</v>
      </c>
      <c r="J124" s="25" t="e">
        <f t="shared" si="296"/>
        <v>#DIV/0!</v>
      </c>
      <c r="K124" s="25" t="e">
        <f t="shared" si="296"/>
        <v>#DIV/0!</v>
      </c>
      <c r="L124" s="25" t="e">
        <f t="shared" si="296"/>
        <v>#DIV/0!</v>
      </c>
      <c r="M124" s="25" t="e">
        <f t="shared" si="296"/>
        <v>#DIV/0!</v>
      </c>
      <c r="N124" s="25" t="e">
        <f t="shared" si="296"/>
        <v>#DIV/0!</v>
      </c>
      <c r="O124" s="25" t="e">
        <f t="shared" si="296"/>
        <v>#DIV/0!</v>
      </c>
      <c r="P124" s="25" t="e">
        <f t="shared" si="296"/>
        <v>#DIV/0!</v>
      </c>
      <c r="Q124" s="118" t="e">
        <f t="shared" si="229"/>
        <v>#DIV/0!</v>
      </c>
      <c r="R124" s="20"/>
      <c r="S124" s="20" t="e">
        <f t="shared" si="296"/>
        <v>#DIV/0!</v>
      </c>
      <c r="T124" s="20" t="e">
        <f t="shared" si="296"/>
        <v>#DIV/0!</v>
      </c>
      <c r="U124" s="20" t="e">
        <f t="shared" si="296"/>
        <v>#DIV/0!</v>
      </c>
      <c r="V124" s="20" t="e">
        <f t="shared" si="296"/>
        <v>#DIV/0!</v>
      </c>
      <c r="W124" s="20" t="e">
        <f t="shared" si="296"/>
        <v>#DIV/0!</v>
      </c>
      <c r="X124" s="20" t="e">
        <f t="shared" si="296"/>
        <v>#DIV/0!</v>
      </c>
      <c r="Y124" s="20" t="e">
        <f t="shared" si="296"/>
        <v>#DIV/0!</v>
      </c>
      <c r="Z124" s="20" t="e">
        <f t="shared" si="296"/>
        <v>#DIV/0!</v>
      </c>
      <c r="AA124" s="20" t="e">
        <f t="shared" si="296"/>
        <v>#DIV/0!</v>
      </c>
      <c r="AB124" s="20" t="e">
        <f t="shared" si="296"/>
        <v>#DIV/0!</v>
      </c>
      <c r="AC124" s="138" t="e">
        <f t="shared" si="231"/>
        <v>#DIV/0!</v>
      </c>
      <c r="AD124" s="20"/>
      <c r="AE124" s="20"/>
    </row>
    <row r="125" spans="2:31" x14ac:dyDescent="0.2">
      <c r="B125" s="20" t="s">
        <v>355</v>
      </c>
      <c r="C125" s="20"/>
      <c r="D125" s="20"/>
      <c r="E125" s="20"/>
      <c r="F125" s="20"/>
      <c r="G125" s="25" t="e">
        <f>G12/G9</f>
        <v>#DIV/0!</v>
      </c>
      <c r="H125" s="25" t="e">
        <f t="shared" ref="H125:P125" si="297">H12/H9</f>
        <v>#DIV/0!</v>
      </c>
      <c r="I125" s="25" t="e">
        <f t="shared" si="297"/>
        <v>#DIV/0!</v>
      </c>
      <c r="J125" s="25" t="e">
        <f t="shared" si="297"/>
        <v>#DIV/0!</v>
      </c>
      <c r="K125" s="25" t="e">
        <f t="shared" si="297"/>
        <v>#DIV/0!</v>
      </c>
      <c r="L125" s="25" t="e">
        <f t="shared" si="297"/>
        <v>#DIV/0!</v>
      </c>
      <c r="M125" s="25" t="e">
        <f t="shared" si="297"/>
        <v>#DIV/0!</v>
      </c>
      <c r="N125" s="25" t="e">
        <f t="shared" si="297"/>
        <v>#DIV/0!</v>
      </c>
      <c r="O125" s="25" t="e">
        <f t="shared" si="297"/>
        <v>#DIV/0!</v>
      </c>
      <c r="P125" s="25" t="e">
        <f t="shared" si="297"/>
        <v>#DIV/0!</v>
      </c>
      <c r="Q125" s="118" t="e">
        <f t="shared" si="229"/>
        <v>#DIV/0!</v>
      </c>
      <c r="R125" s="128"/>
      <c r="S125" s="20" t="e">
        <f t="shared" ref="S125:AB125" si="298">S12/S9</f>
        <v>#DIV/0!</v>
      </c>
      <c r="T125" s="20" t="e">
        <f t="shared" si="298"/>
        <v>#DIV/0!</v>
      </c>
      <c r="U125" s="20" t="e">
        <f t="shared" si="298"/>
        <v>#DIV/0!</v>
      </c>
      <c r="V125" s="20" t="e">
        <f t="shared" si="298"/>
        <v>#DIV/0!</v>
      </c>
      <c r="W125" s="20" t="e">
        <f t="shared" si="298"/>
        <v>#DIV/0!</v>
      </c>
      <c r="X125" s="20" t="e">
        <f t="shared" si="298"/>
        <v>#DIV/0!</v>
      </c>
      <c r="Y125" s="20" t="e">
        <f t="shared" si="298"/>
        <v>#DIV/0!</v>
      </c>
      <c r="Z125" s="20" t="e">
        <f t="shared" si="298"/>
        <v>#DIV/0!</v>
      </c>
      <c r="AA125" s="20" t="e">
        <f t="shared" si="298"/>
        <v>#DIV/0!</v>
      </c>
      <c r="AB125" s="20" t="e">
        <f t="shared" si="298"/>
        <v>#DIV/0!</v>
      </c>
      <c r="AC125" s="118" t="e">
        <f t="shared" ref="AC125" si="299">((AB125/S125)^(1/($H$2-$H$1) ))-1</f>
        <v>#DIV/0!</v>
      </c>
      <c r="AD125" s="20"/>
      <c r="AE125" s="20"/>
    </row>
    <row r="126" spans="2:31" x14ac:dyDescent="0.2">
      <c r="B126" s="20" t="s">
        <v>357</v>
      </c>
      <c r="C126" s="20"/>
      <c r="D126" s="20"/>
      <c r="E126" s="20"/>
      <c r="F126" s="20"/>
      <c r="G126" s="25">
        <f>G25/360</f>
        <v>0</v>
      </c>
      <c r="H126" s="25">
        <f t="shared" ref="H126:P126" si="300">H25/360</f>
        <v>0</v>
      </c>
      <c r="I126" s="25">
        <f t="shared" si="300"/>
        <v>0</v>
      </c>
      <c r="J126" s="25">
        <f t="shared" si="300"/>
        <v>0</v>
      </c>
      <c r="K126" s="25">
        <f t="shared" si="300"/>
        <v>0</v>
      </c>
      <c r="L126" s="25">
        <f t="shared" si="300"/>
        <v>0</v>
      </c>
      <c r="M126" s="25">
        <f t="shared" si="300"/>
        <v>0</v>
      </c>
      <c r="N126" s="25">
        <f t="shared" si="300"/>
        <v>0</v>
      </c>
      <c r="O126" s="25">
        <f t="shared" si="300"/>
        <v>0</v>
      </c>
      <c r="P126" s="25">
        <f t="shared" si="300"/>
        <v>0</v>
      </c>
      <c r="Q126" s="118" t="e">
        <f t="shared" si="229"/>
        <v>#DIV/0!</v>
      </c>
      <c r="R126" s="128"/>
      <c r="S126" s="25">
        <f t="shared" ref="S126:AB126" si="301">S25/360</f>
        <v>0</v>
      </c>
      <c r="T126" s="25">
        <f t="shared" si="301"/>
        <v>0</v>
      </c>
      <c r="U126" s="25">
        <f t="shared" si="301"/>
        <v>0</v>
      </c>
      <c r="V126" s="25">
        <f t="shared" si="301"/>
        <v>0</v>
      </c>
      <c r="W126" s="25">
        <f t="shared" si="301"/>
        <v>0</v>
      </c>
      <c r="X126" s="25">
        <f t="shared" si="301"/>
        <v>0</v>
      </c>
      <c r="Y126" s="25">
        <f t="shared" si="301"/>
        <v>0</v>
      </c>
      <c r="Z126" s="25">
        <f t="shared" si="301"/>
        <v>0</v>
      </c>
      <c r="AA126" s="25">
        <f t="shared" si="301"/>
        <v>0</v>
      </c>
      <c r="AB126" s="25">
        <f t="shared" si="301"/>
        <v>0</v>
      </c>
      <c r="AC126" s="118" t="e">
        <f t="shared" ref="AC126:AC137" si="302">((AB126/S126)^(1/($H$2-$H$1) ))-1</f>
        <v>#DIV/0!</v>
      </c>
      <c r="AD126" s="20"/>
      <c r="AE126" s="20"/>
    </row>
    <row r="127" spans="2:31" x14ac:dyDescent="0.2">
      <c r="B127" s="20" t="s">
        <v>356</v>
      </c>
      <c r="C127" s="20"/>
      <c r="D127" s="20"/>
      <c r="E127" s="20"/>
      <c r="F127" s="20"/>
      <c r="G127" s="25">
        <f>G27/360</f>
        <v>0</v>
      </c>
      <c r="H127" s="25">
        <f t="shared" ref="H127:P127" si="303">H27/360</f>
        <v>0</v>
      </c>
      <c r="I127" s="25">
        <f t="shared" si="303"/>
        <v>0</v>
      </c>
      <c r="J127" s="25">
        <f t="shared" si="303"/>
        <v>0</v>
      </c>
      <c r="K127" s="25">
        <f t="shared" si="303"/>
        <v>0</v>
      </c>
      <c r="L127" s="25">
        <f t="shared" si="303"/>
        <v>0</v>
      </c>
      <c r="M127" s="25">
        <f t="shared" si="303"/>
        <v>0</v>
      </c>
      <c r="N127" s="25">
        <f t="shared" si="303"/>
        <v>0</v>
      </c>
      <c r="O127" s="25">
        <f t="shared" si="303"/>
        <v>0</v>
      </c>
      <c r="P127" s="25">
        <f t="shared" si="303"/>
        <v>0</v>
      </c>
      <c r="Q127" s="118" t="e">
        <f t="shared" si="229"/>
        <v>#DIV/0!</v>
      </c>
      <c r="R127" s="128"/>
      <c r="S127" s="25">
        <f t="shared" ref="S127:AB127" si="304">S27/360</f>
        <v>0</v>
      </c>
      <c r="T127" s="25">
        <f t="shared" si="304"/>
        <v>0</v>
      </c>
      <c r="U127" s="25">
        <f t="shared" si="304"/>
        <v>0</v>
      </c>
      <c r="V127" s="25">
        <f t="shared" si="304"/>
        <v>0</v>
      </c>
      <c r="W127" s="25">
        <f t="shared" si="304"/>
        <v>0</v>
      </c>
      <c r="X127" s="25">
        <f t="shared" si="304"/>
        <v>0</v>
      </c>
      <c r="Y127" s="25">
        <f t="shared" si="304"/>
        <v>0</v>
      </c>
      <c r="Z127" s="25">
        <f t="shared" si="304"/>
        <v>0</v>
      </c>
      <c r="AA127" s="25">
        <f t="shared" si="304"/>
        <v>0</v>
      </c>
      <c r="AB127" s="25">
        <f t="shared" si="304"/>
        <v>0</v>
      </c>
      <c r="AC127" s="118" t="e">
        <f t="shared" si="302"/>
        <v>#DIV/0!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28"/>
      <c r="AD128" s="20"/>
      <c r="AE128" s="20"/>
    </row>
    <row r="129" spans="2:31" x14ac:dyDescent="0.2">
      <c r="B129" s="20" t="s">
        <v>366</v>
      </c>
      <c r="C129" s="20"/>
      <c r="D129" s="20"/>
      <c r="E129" s="20"/>
      <c r="F129" s="20"/>
      <c r="G129" s="25" t="e">
        <f>G10/G7</f>
        <v>#DIV/0!</v>
      </c>
      <c r="H129" s="25" t="e">
        <f t="shared" ref="H129:P129" si="305">H10/H7</f>
        <v>#DIV/0!</v>
      </c>
      <c r="I129" s="25" t="e">
        <f t="shared" si="305"/>
        <v>#DIV/0!</v>
      </c>
      <c r="J129" s="25" t="e">
        <f t="shared" si="305"/>
        <v>#DIV/0!</v>
      </c>
      <c r="K129" s="25" t="e">
        <f t="shared" si="305"/>
        <v>#DIV/0!</v>
      </c>
      <c r="L129" s="25" t="e">
        <f t="shared" si="305"/>
        <v>#DIV/0!</v>
      </c>
      <c r="M129" s="25" t="e">
        <f t="shared" si="305"/>
        <v>#DIV/0!</v>
      </c>
      <c r="N129" s="25" t="e">
        <f t="shared" si="305"/>
        <v>#DIV/0!</v>
      </c>
      <c r="O129" s="25" t="e">
        <f t="shared" si="305"/>
        <v>#DIV/0!</v>
      </c>
      <c r="P129" s="25" t="e">
        <f t="shared" si="305"/>
        <v>#DIV/0!</v>
      </c>
      <c r="Q129" s="118" t="e">
        <f t="shared" si="229"/>
        <v>#DIV/0!</v>
      </c>
      <c r="R129" s="128"/>
      <c r="S129" s="25" t="e">
        <f t="shared" ref="S129:AB129" si="306">S10/S7</f>
        <v>#DIV/0!</v>
      </c>
      <c r="T129" s="25" t="e">
        <f t="shared" si="306"/>
        <v>#DIV/0!</v>
      </c>
      <c r="U129" s="25" t="e">
        <f t="shared" si="306"/>
        <v>#DIV/0!</v>
      </c>
      <c r="V129" s="25" t="e">
        <f t="shared" si="306"/>
        <v>#DIV/0!</v>
      </c>
      <c r="W129" s="25" t="e">
        <f t="shared" si="306"/>
        <v>#DIV/0!</v>
      </c>
      <c r="X129" s="25" t="e">
        <f t="shared" si="306"/>
        <v>#DIV/0!</v>
      </c>
      <c r="Y129" s="25" t="e">
        <f t="shared" si="306"/>
        <v>#DIV/0!</v>
      </c>
      <c r="Z129" s="25" t="e">
        <f t="shared" si="306"/>
        <v>#DIV/0!</v>
      </c>
      <c r="AA129" s="25" t="e">
        <f t="shared" si="306"/>
        <v>#DIV/0!</v>
      </c>
      <c r="AB129" s="25" t="e">
        <f t="shared" si="306"/>
        <v>#DIV/0!</v>
      </c>
      <c r="AC129" s="118" t="e">
        <f t="shared" si="302"/>
        <v>#DIV/0!</v>
      </c>
      <c r="AD129" s="20"/>
      <c r="AE129" s="20"/>
    </row>
    <row r="130" spans="2:31" x14ac:dyDescent="0.2">
      <c r="B130" s="20" t="s">
        <v>358</v>
      </c>
      <c r="C130" s="20"/>
      <c r="D130" s="20"/>
      <c r="E130" s="20"/>
      <c r="F130" s="20"/>
      <c r="G130" s="25" t="e">
        <f>G10/(G10+G7)</f>
        <v>#DIV/0!</v>
      </c>
      <c r="H130" s="25" t="e">
        <f t="shared" ref="H130:P130" si="307">H10/(H10+H7)</f>
        <v>#DIV/0!</v>
      </c>
      <c r="I130" s="25" t="e">
        <f t="shared" si="307"/>
        <v>#DIV/0!</v>
      </c>
      <c r="J130" s="25" t="e">
        <f t="shared" si="307"/>
        <v>#DIV/0!</v>
      </c>
      <c r="K130" s="25" t="e">
        <f t="shared" si="307"/>
        <v>#DIV/0!</v>
      </c>
      <c r="L130" s="25" t="e">
        <f t="shared" si="307"/>
        <v>#DIV/0!</v>
      </c>
      <c r="M130" s="25" t="e">
        <f t="shared" si="307"/>
        <v>#DIV/0!</v>
      </c>
      <c r="N130" s="25" t="e">
        <f t="shared" si="307"/>
        <v>#DIV/0!</v>
      </c>
      <c r="O130" s="25" t="e">
        <f t="shared" si="307"/>
        <v>#DIV/0!</v>
      </c>
      <c r="P130" s="25" t="e">
        <f t="shared" si="307"/>
        <v>#DIV/0!</v>
      </c>
      <c r="Q130" s="118" t="e">
        <f t="shared" si="229"/>
        <v>#DIV/0!</v>
      </c>
      <c r="R130" s="128"/>
      <c r="S130" s="25" t="e">
        <f t="shared" ref="S130:AB130" si="308">S10/(S10+S7)</f>
        <v>#DIV/0!</v>
      </c>
      <c r="T130" s="25" t="e">
        <f t="shared" si="308"/>
        <v>#DIV/0!</v>
      </c>
      <c r="U130" s="25" t="e">
        <f t="shared" si="308"/>
        <v>#DIV/0!</v>
      </c>
      <c r="V130" s="25" t="e">
        <f t="shared" si="308"/>
        <v>#DIV/0!</v>
      </c>
      <c r="W130" s="25" t="e">
        <f t="shared" si="308"/>
        <v>#DIV/0!</v>
      </c>
      <c r="X130" s="25" t="e">
        <f t="shared" si="308"/>
        <v>#DIV/0!</v>
      </c>
      <c r="Y130" s="25" t="e">
        <f t="shared" si="308"/>
        <v>#DIV/0!</v>
      </c>
      <c r="Z130" s="25" t="e">
        <f t="shared" si="308"/>
        <v>#DIV/0!</v>
      </c>
      <c r="AA130" s="25" t="e">
        <f t="shared" si="308"/>
        <v>#DIV/0!</v>
      </c>
      <c r="AB130" s="25" t="e">
        <f t="shared" si="308"/>
        <v>#DIV/0!</v>
      </c>
      <c r="AC130" s="118" t="e">
        <f t="shared" si="302"/>
        <v>#DIV/0!</v>
      </c>
      <c r="AD130" s="20"/>
      <c r="AE130" s="20"/>
    </row>
    <row r="131" spans="2:31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128"/>
      <c r="R131" s="128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137"/>
      <c r="AD131" s="20"/>
      <c r="AE131" s="20"/>
    </row>
    <row r="132" spans="2:31" x14ac:dyDescent="0.2">
      <c r="B132" s="20" t="s">
        <v>363</v>
      </c>
      <c r="C132" s="20"/>
      <c r="D132" s="20"/>
      <c r="E132" s="20"/>
      <c r="F132" s="20"/>
      <c r="G132" s="25">
        <f>G16</f>
        <v>0</v>
      </c>
      <c r="H132" s="25">
        <f t="shared" ref="H132:P132" si="309">H16</f>
        <v>0</v>
      </c>
      <c r="I132" s="25">
        <f t="shared" si="309"/>
        <v>0</v>
      </c>
      <c r="J132" s="25">
        <f t="shared" si="309"/>
        <v>0</v>
      </c>
      <c r="K132" s="25">
        <f t="shared" si="309"/>
        <v>0</v>
      </c>
      <c r="L132" s="25">
        <f t="shared" si="309"/>
        <v>0</v>
      </c>
      <c r="M132" s="25">
        <f t="shared" si="309"/>
        <v>0</v>
      </c>
      <c r="N132" s="25">
        <f t="shared" si="309"/>
        <v>0</v>
      </c>
      <c r="O132" s="25">
        <f t="shared" si="309"/>
        <v>0</v>
      </c>
      <c r="P132" s="25">
        <f t="shared" si="309"/>
        <v>0</v>
      </c>
      <c r="Q132" s="118" t="e">
        <f t="shared" si="229"/>
        <v>#DIV/0!</v>
      </c>
      <c r="R132" s="128"/>
      <c r="S132" s="25">
        <f t="shared" ref="S132:AB132" si="310">S16</f>
        <v>0</v>
      </c>
      <c r="T132" s="25">
        <f t="shared" si="310"/>
        <v>0</v>
      </c>
      <c r="U132" s="25">
        <f t="shared" si="310"/>
        <v>0</v>
      </c>
      <c r="V132" s="25">
        <f t="shared" si="310"/>
        <v>0</v>
      </c>
      <c r="W132" s="25">
        <f t="shared" si="310"/>
        <v>0</v>
      </c>
      <c r="X132" s="25">
        <f t="shared" si="310"/>
        <v>0</v>
      </c>
      <c r="Y132" s="25">
        <f t="shared" si="310"/>
        <v>0</v>
      </c>
      <c r="Z132" s="25">
        <f t="shared" si="310"/>
        <v>0</v>
      </c>
      <c r="AA132" s="25">
        <f t="shared" si="310"/>
        <v>0</v>
      </c>
      <c r="AB132" s="25">
        <f t="shared" si="310"/>
        <v>0</v>
      </c>
      <c r="AC132" s="118" t="e">
        <f t="shared" si="302"/>
        <v>#DIV/0!</v>
      </c>
      <c r="AD132" s="20"/>
      <c r="AE132" s="20"/>
    </row>
    <row r="133" spans="2:31" x14ac:dyDescent="0.2">
      <c r="B133" s="20" t="s">
        <v>364</v>
      </c>
      <c r="C133" s="20"/>
      <c r="D133" s="20"/>
      <c r="E133" s="20"/>
      <c r="F133" s="20"/>
      <c r="G133" s="119" t="e">
        <f t="shared" ref="G133:P133" si="311">G132*365/G25</f>
        <v>#DIV/0!</v>
      </c>
      <c r="H133" s="119" t="e">
        <f t="shared" si="311"/>
        <v>#DIV/0!</v>
      </c>
      <c r="I133" s="119" t="e">
        <f t="shared" si="311"/>
        <v>#DIV/0!</v>
      </c>
      <c r="J133" s="119" t="e">
        <f t="shared" si="311"/>
        <v>#DIV/0!</v>
      </c>
      <c r="K133" s="119" t="e">
        <f t="shared" si="311"/>
        <v>#DIV/0!</v>
      </c>
      <c r="L133" s="119" t="e">
        <f t="shared" si="311"/>
        <v>#DIV/0!</v>
      </c>
      <c r="M133" s="119" t="e">
        <f t="shared" si="311"/>
        <v>#DIV/0!</v>
      </c>
      <c r="N133" s="119" t="e">
        <f t="shared" si="311"/>
        <v>#DIV/0!</v>
      </c>
      <c r="O133" s="119" t="e">
        <f t="shared" si="311"/>
        <v>#DIV/0!</v>
      </c>
      <c r="P133" s="119" t="e">
        <f t="shared" si="311"/>
        <v>#DIV/0!</v>
      </c>
      <c r="Q133" s="118" t="e">
        <f t="shared" si="229"/>
        <v>#DIV/0!</v>
      </c>
      <c r="R133" s="128"/>
      <c r="S133" s="119" t="e">
        <f t="shared" ref="S133:AB133" si="312">S132*365/S25</f>
        <v>#DIV/0!</v>
      </c>
      <c r="T133" s="119" t="e">
        <f t="shared" si="312"/>
        <v>#DIV/0!</v>
      </c>
      <c r="U133" s="119" t="e">
        <f t="shared" si="312"/>
        <v>#DIV/0!</v>
      </c>
      <c r="V133" s="119" t="e">
        <f t="shared" si="312"/>
        <v>#DIV/0!</v>
      </c>
      <c r="W133" s="119" t="e">
        <f t="shared" si="312"/>
        <v>#DIV/0!</v>
      </c>
      <c r="X133" s="119" t="e">
        <f t="shared" si="312"/>
        <v>#DIV/0!</v>
      </c>
      <c r="Y133" s="119" t="e">
        <f t="shared" si="312"/>
        <v>#DIV/0!</v>
      </c>
      <c r="Z133" s="119" t="e">
        <f t="shared" si="312"/>
        <v>#DIV/0!</v>
      </c>
      <c r="AA133" s="119" t="e">
        <f t="shared" si="312"/>
        <v>#DIV/0!</v>
      </c>
      <c r="AB133" s="119" t="e">
        <f t="shared" si="312"/>
        <v>#DIV/0!</v>
      </c>
      <c r="AC133" s="118" t="e">
        <f t="shared" si="302"/>
        <v>#DIV/0!</v>
      </c>
      <c r="AD133" s="20"/>
      <c r="AE133" s="20"/>
    </row>
    <row r="134" spans="2:31" x14ac:dyDescent="0.2">
      <c r="B134" s="20" t="s">
        <v>367</v>
      </c>
      <c r="C134" s="20"/>
      <c r="D134" s="20"/>
      <c r="E134" s="20"/>
      <c r="F134" s="20"/>
      <c r="G134" s="133" t="e">
        <f>G80/G29</f>
        <v>#DIV/0!</v>
      </c>
      <c r="H134" s="133" t="e">
        <f t="shared" ref="H134:P134" si="313">H80/H29</f>
        <v>#DIV/0!</v>
      </c>
      <c r="I134" s="133" t="e">
        <f t="shared" si="313"/>
        <v>#DIV/0!</v>
      </c>
      <c r="J134" s="133" t="e">
        <f t="shared" si="313"/>
        <v>#DIV/0!</v>
      </c>
      <c r="K134" s="133" t="e">
        <f t="shared" si="313"/>
        <v>#DIV/0!</v>
      </c>
      <c r="L134" s="133" t="e">
        <f t="shared" si="313"/>
        <v>#DIV/0!</v>
      </c>
      <c r="M134" s="133" t="e">
        <f t="shared" si="313"/>
        <v>#DIV/0!</v>
      </c>
      <c r="N134" s="133" t="e">
        <f t="shared" si="313"/>
        <v>#DIV/0!</v>
      </c>
      <c r="O134" s="133" t="e">
        <f t="shared" si="313"/>
        <v>#DIV/0!</v>
      </c>
      <c r="P134" s="133" t="e">
        <f t="shared" si="313"/>
        <v>#DIV/0!</v>
      </c>
      <c r="Q134" s="118" t="e">
        <f t="shared" si="229"/>
        <v>#DIV/0!</v>
      </c>
      <c r="R134" s="128"/>
      <c r="S134" s="133" t="e">
        <f t="shared" ref="S134:AB134" si="314">S80/S29</f>
        <v>#DIV/0!</v>
      </c>
      <c r="T134" s="133" t="e">
        <f t="shared" si="314"/>
        <v>#DIV/0!</v>
      </c>
      <c r="U134" s="133" t="e">
        <f t="shared" si="314"/>
        <v>#DIV/0!</v>
      </c>
      <c r="V134" s="133" t="e">
        <f t="shared" si="314"/>
        <v>#DIV/0!</v>
      </c>
      <c r="W134" s="133" t="e">
        <f t="shared" si="314"/>
        <v>#DIV/0!</v>
      </c>
      <c r="X134" s="133" t="e">
        <f t="shared" si="314"/>
        <v>#DIV/0!</v>
      </c>
      <c r="Y134" s="133" t="e">
        <f t="shared" si="314"/>
        <v>#DIV/0!</v>
      </c>
      <c r="Z134" s="133" t="e">
        <f t="shared" si="314"/>
        <v>#DIV/0!</v>
      </c>
      <c r="AA134" s="133" t="e">
        <f t="shared" si="314"/>
        <v>#DIV/0!</v>
      </c>
      <c r="AB134" s="133" t="e">
        <f t="shared" si="314"/>
        <v>#DIV/0!</v>
      </c>
      <c r="AC134" s="118" t="e">
        <f t="shared" si="302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374</v>
      </c>
      <c r="C136" s="20"/>
      <c r="D136" s="20"/>
      <c r="E136" s="20"/>
      <c r="F136" s="20"/>
      <c r="G136" s="180" t="e">
        <f>G25/G14</f>
        <v>#DIV/0!</v>
      </c>
      <c r="H136" s="180" t="e">
        <f t="shared" ref="H136:P136" si="315">H25/H14</f>
        <v>#DIV/0!</v>
      </c>
      <c r="I136" s="180" t="e">
        <f t="shared" si="315"/>
        <v>#DIV/0!</v>
      </c>
      <c r="J136" s="180" t="e">
        <f t="shared" si="315"/>
        <v>#DIV/0!</v>
      </c>
      <c r="K136" s="180" t="e">
        <f t="shared" si="315"/>
        <v>#DIV/0!</v>
      </c>
      <c r="L136" s="180" t="e">
        <f t="shared" si="315"/>
        <v>#DIV/0!</v>
      </c>
      <c r="M136" s="180" t="e">
        <f t="shared" si="315"/>
        <v>#DIV/0!</v>
      </c>
      <c r="N136" s="180" t="e">
        <f t="shared" si="315"/>
        <v>#DIV/0!</v>
      </c>
      <c r="O136" s="180" t="e">
        <f t="shared" si="315"/>
        <v>#DIV/0!</v>
      </c>
      <c r="P136" s="180" t="e">
        <f t="shared" si="315"/>
        <v>#DIV/0!</v>
      </c>
      <c r="Q136" s="118" t="e">
        <f t="shared" si="229"/>
        <v>#DIV/0!</v>
      </c>
      <c r="R136" s="128"/>
      <c r="S136" s="20" t="e">
        <f t="shared" ref="S136" si="316">S25/S14</f>
        <v>#DIV/0!</v>
      </c>
      <c r="T136" s="20" t="e">
        <f t="shared" ref="T136:AB136" si="317">T25/T14</f>
        <v>#DIV/0!</v>
      </c>
      <c r="U136" s="20" t="e">
        <f t="shared" si="317"/>
        <v>#DIV/0!</v>
      </c>
      <c r="V136" s="20" t="e">
        <f t="shared" si="317"/>
        <v>#DIV/0!</v>
      </c>
      <c r="W136" s="20" t="e">
        <f t="shared" si="317"/>
        <v>#DIV/0!</v>
      </c>
      <c r="X136" s="20" t="e">
        <f t="shared" si="317"/>
        <v>#DIV/0!</v>
      </c>
      <c r="Y136" s="20" t="e">
        <f t="shared" si="317"/>
        <v>#DIV/0!</v>
      </c>
      <c r="Z136" s="20" t="e">
        <f t="shared" si="317"/>
        <v>#DIV/0!</v>
      </c>
      <c r="AA136" s="20" t="e">
        <f t="shared" si="317"/>
        <v>#DIV/0!</v>
      </c>
      <c r="AB136" s="20" t="e">
        <f t="shared" si="317"/>
        <v>#DIV/0!</v>
      </c>
      <c r="AC136" s="118" t="e">
        <f t="shared" si="302"/>
        <v>#DIV/0!</v>
      </c>
      <c r="AD136" s="20"/>
      <c r="AE136" s="20"/>
    </row>
    <row r="137" spans="2:31" x14ac:dyDescent="0.2">
      <c r="B137" s="20" t="s">
        <v>375</v>
      </c>
      <c r="C137" s="20"/>
      <c r="D137" s="20"/>
      <c r="E137" s="20"/>
      <c r="F137" s="20"/>
      <c r="G137" s="180" t="e">
        <f>G27/G14</f>
        <v>#DIV/0!</v>
      </c>
      <c r="H137" s="180" t="e">
        <f t="shared" ref="H137:P137" si="318">H27/H14</f>
        <v>#DIV/0!</v>
      </c>
      <c r="I137" s="180" t="e">
        <f t="shared" si="318"/>
        <v>#DIV/0!</v>
      </c>
      <c r="J137" s="180" t="e">
        <f t="shared" si="318"/>
        <v>#DIV/0!</v>
      </c>
      <c r="K137" s="180" t="e">
        <f t="shared" si="318"/>
        <v>#DIV/0!</v>
      </c>
      <c r="L137" s="180" t="e">
        <f t="shared" si="318"/>
        <v>#DIV/0!</v>
      </c>
      <c r="M137" s="180" t="e">
        <f t="shared" si="318"/>
        <v>#DIV/0!</v>
      </c>
      <c r="N137" s="180" t="e">
        <f t="shared" si="318"/>
        <v>#DIV/0!</v>
      </c>
      <c r="O137" s="180" t="e">
        <f t="shared" si="318"/>
        <v>#DIV/0!</v>
      </c>
      <c r="P137" s="180" t="e">
        <f t="shared" si="318"/>
        <v>#DIV/0!</v>
      </c>
      <c r="Q137" s="118" t="e">
        <f t="shared" si="229"/>
        <v>#DIV/0!</v>
      </c>
      <c r="R137" s="128"/>
      <c r="S137" s="20" t="e">
        <f t="shared" ref="S137:AB137" si="319">S27/S14</f>
        <v>#DIV/0!</v>
      </c>
      <c r="T137" s="20" t="e">
        <f t="shared" si="319"/>
        <v>#DIV/0!</v>
      </c>
      <c r="U137" s="20" t="e">
        <f t="shared" si="319"/>
        <v>#DIV/0!</v>
      </c>
      <c r="V137" s="20" t="e">
        <f t="shared" si="319"/>
        <v>#DIV/0!</v>
      </c>
      <c r="W137" s="20" t="e">
        <f t="shared" si="319"/>
        <v>#DIV/0!</v>
      </c>
      <c r="X137" s="20" t="e">
        <f t="shared" si="319"/>
        <v>#DIV/0!</v>
      </c>
      <c r="Y137" s="20" t="e">
        <f t="shared" si="319"/>
        <v>#DIV/0!</v>
      </c>
      <c r="Z137" s="20" t="e">
        <f t="shared" si="319"/>
        <v>#DIV/0!</v>
      </c>
      <c r="AA137" s="20" t="e">
        <f t="shared" si="319"/>
        <v>#DIV/0!</v>
      </c>
      <c r="AB137" s="20" t="e">
        <f t="shared" si="319"/>
        <v>#DIV/0!</v>
      </c>
      <c r="AC137" s="118" t="e">
        <f t="shared" si="302"/>
        <v>#DIV/0!</v>
      </c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128"/>
      <c r="R138" s="128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37"/>
      <c r="AD138" s="20"/>
      <c r="AE138" s="20"/>
    </row>
    <row r="139" spans="2:31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3"/>
      <c r="R139" s="23"/>
      <c r="S139" s="122" t="s">
        <v>66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160" t="e">
        <f>AVERAGE(G54:P54)</f>
        <v>#DIV/0!</v>
      </c>
      <c r="R140" s="23"/>
      <c r="S140" s="134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 t="e">
        <f>S141+T141</f>
        <v>#DIV/0!</v>
      </c>
      <c r="S141" s="133" t="e">
        <f>PV($C$1, ($AB$3-$S$3), 0, -AB54)</f>
        <v>#DIV/0!</v>
      </c>
      <c r="T141" s="133" t="e">
        <f>PV($C$1, ($AB$3-$S$3), 0, -AE54)</f>
        <v>#DIV/0!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 t="e">
        <f t="shared" ref="R142:R160" si="320">S142+T142</f>
        <v>#DIV/0!</v>
      </c>
      <c r="S142" s="133" t="e">
        <f>PV($C$1, ($AB$3-$S$3), 0, -AB56)</f>
        <v>#DIV/0!</v>
      </c>
      <c r="T142" s="133" t="e">
        <f>PV($C$1, ($AB$3-$S$3), 0, -AE56)</f>
        <v>#DIV/0!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 t="e">
        <f t="shared" si="320"/>
        <v>#DIV/0!</v>
      </c>
      <c r="S143" s="133" t="e">
        <f>PV($C$1, ($AB$3-$S$3), 0, -AB57)</f>
        <v>#DIV/0!</v>
      </c>
      <c r="T143" s="133" t="e">
        <f>PV($C$1, ($AB$3-$S$3), 0, -AE57)</f>
        <v>#DIV/0!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 t="e">
        <f t="shared" si="320"/>
        <v>#DIV/0!</v>
      </c>
      <c r="S144" s="133" t="e">
        <f>PV($C$1, ($AB$3-$S$3), 0, -AB58)</f>
        <v>#DIV/0!</v>
      </c>
      <c r="T144" s="133" t="e">
        <f>PV($C$1, ($AB$3-$S$3), 0, -AE58)</f>
        <v>#DIV/0!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 t="e">
        <f t="shared" si="320"/>
        <v>#DIV/0!</v>
      </c>
      <c r="S145" s="133" t="e">
        <f>PV($C$1, ($AB$3-$S$3), 0, -AB64)</f>
        <v>#DIV/0!</v>
      </c>
      <c r="T145" s="133" t="e">
        <f>PV($C$1, ($AB$3-$S$3), 0, -AE64)</f>
        <v>#DIV/0!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20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 t="e">
        <f t="shared" si="320"/>
        <v>#DIV/0!</v>
      </c>
      <c r="S147" s="133" t="e">
        <f>PV($C$1, ($AB$3-$S$3), 0, -AB60)</f>
        <v>#DIV/0!</v>
      </c>
      <c r="T147" s="133" t="e">
        <f>PV($C$1, ($AB$3-$S$3), 0, -$AE$60)</f>
        <v>#DIV/0!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 t="e">
        <f t="shared" si="320"/>
        <v>#DIV/0!</v>
      </c>
      <c r="S148" s="133" t="e">
        <f>PV($C$1, ($AB$3-$S$3), 0, -AB61)</f>
        <v>#DIV/0!</v>
      </c>
      <c r="T148" s="133" t="e">
        <f>PV($C$1, ($AB$3-$S$3), 0, -$AE$61)</f>
        <v>#DIV/0!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 t="e">
        <f t="shared" si="320"/>
        <v>#DIV/0!</v>
      </c>
      <c r="S149" s="133" t="e">
        <f>PV($C$1, ($AB$3-$S$3), 0, -AB62)</f>
        <v>#DIV/0!</v>
      </c>
      <c r="T149" s="133" t="e">
        <f>PV($C$1, ($AB$3-$S$3), 0, -$AE$62)</f>
        <v>#DIV/0!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20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 t="e">
        <f t="shared" si="320"/>
        <v>#DIV/0!</v>
      </c>
      <c r="S151" s="133" t="e">
        <f>PV($C$1, ($AB$3-$S$3), 0, -AB67)</f>
        <v>#DIV/0!</v>
      </c>
      <c r="T151" s="133" t="e">
        <f>PV($C$1, ($AB$3-$S$3), 0, -AE67)</f>
        <v>#DIV/0!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 t="e">
        <f t="shared" si="320"/>
        <v>#DIV/0!</v>
      </c>
      <c r="S152" s="133" t="e">
        <f>PV($C$1, ($AB$3-$S$3), 0, -AB68)</f>
        <v>#DIV/0!</v>
      </c>
      <c r="T152" s="133" t="e">
        <f>PV($C$1, ($AB$3-$S$3), 0, -AE68)</f>
        <v>#DIV/0!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33"/>
      <c r="T153" s="133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>
        <f t="shared" ref="R154" si="321">S154+T154</f>
        <v>0</v>
      </c>
      <c r="S154" s="133">
        <f>PV($C$1, ($AB$3-$S$3), 0, -AB12)</f>
        <v>0</v>
      </c>
      <c r="T154" s="133">
        <f>PV($C$1, ($AB$3-$S$3), 0, -AE12)</f>
        <v>0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 t="e">
        <f>S155+T155</f>
        <v>#DIV/0!</v>
      </c>
      <c r="S155" s="140" t="e">
        <f>S154/P42</f>
        <v>#DIV/0!</v>
      </c>
      <c r="T155" s="140" t="e">
        <f>T154/P42</f>
        <v>#DIV/0!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40"/>
      <c r="T156" s="140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/>
      <c r="S157" s="133"/>
      <c r="T157" s="133"/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ref="R158" si="322">S158+T158</f>
        <v>0</v>
      </c>
      <c r="S158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8" s="133">
        <f>PV($C$1, ($AB$3-$S$3), 0, -AE70)</f>
        <v>0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/>
      <c r="S159" s="133"/>
      <c r="T159" s="133"/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20"/>
        <v>0</v>
      </c>
      <c r="S160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60" s="133">
        <f>PV($C$1, ($AB$3-$S$3), 0, -AE72)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/>
      <c r="S161" s="133"/>
      <c r="T161" s="133"/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 t="e">
        <f t="shared" ref="R162:R165" si="323">S162+T162</f>
        <v>#DIV/0!</v>
      </c>
      <c r="S162" s="133" t="e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#DIV/0!</v>
      </c>
      <c r="T162" s="133" t="e">
        <f>PV($C$1, ($AB$3-$S$3), 0, -AE74)</f>
        <v>#DIV/0!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 t="e">
        <f t="shared" si="323"/>
        <v>#DIV/0!</v>
      </c>
      <c r="S163" s="133" t="e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#DIV/0!</v>
      </c>
      <c r="T163" s="133" t="e">
        <f>PV($C$1, ($AB$3-$S$3), 0, -AE75)</f>
        <v>#DIV/0!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 t="e">
        <f t="shared" si="323"/>
        <v>#DIV/0!</v>
      </c>
      <c r="S164" s="133" t="e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#DIV/0!</v>
      </c>
      <c r="T164" s="133" t="e">
        <f>PV($C$1, ($AB$3-$S$3), 0, -AE76)</f>
        <v>#DIV/0!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 t="e">
        <f t="shared" si="323"/>
        <v>#DIV/0!</v>
      </c>
      <c r="S165" s="133" t="e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#DIV/0!</v>
      </c>
      <c r="T165" s="133" t="e">
        <f>PV($C$1, ($AB$3-$S$3), 0, -AE77)</f>
        <v>#DIV/0!</v>
      </c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0"/>
      <c r="S166" s="133"/>
      <c r="T166" s="133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40" t="e">
        <f>S167+T167</f>
        <v>#DIV/0!</v>
      </c>
      <c r="S167" s="133" t="e">
        <f>PV($C$1, ($AB$3-$S$3), 0, -AB78)+PV($C$1, ($AA$3-$S$3), 0, -AB78)+PV($C$1, ($Z$3-$S$3), 0, -AB78)+PV($C$1, ($Y$3-$S$3), 0, -AB78)+PV($C$1, ($X$3-$S$3), 0, -AB78)+PV($C$1, ($W$3-$S$3), 0, -AB78)+PV($C$1, ($V$3-$S$3), 0, -AB78)+PV($C$1, ($U$3-$S$3), 0, -AB78)+PV($C$1, ($T$3-$S$3), 0, -AB78)+PV($C$1, ($S$3-$S$3), 0, -AB78)</f>
        <v>#DIV/0!</v>
      </c>
      <c r="T167" s="133" t="e">
        <f>PV($C$1, ($AB$3-$S$3), 0, -AE78)</f>
        <v>#DIV/0!</v>
      </c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0</v>
      </c>
      <c r="Q168" s="20"/>
      <c r="R168" s="20"/>
      <c r="S168" s="121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 t="s">
        <v>392</v>
      </c>
      <c r="Q169" s="20" t="s">
        <v>392</v>
      </c>
      <c r="R169" s="23" t="s">
        <v>391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118" t="e">
        <f t="shared" ref="Q170:Q175" si="324">((P170/G170)^(1/($H$2-$H$1) ))-1</f>
        <v>#DIV/0!</v>
      </c>
      <c r="R170" s="31">
        <f>L2-3%</f>
        <v>0.09</v>
      </c>
      <c r="S170" s="119">
        <f t="shared" ref="S170" si="325">P170*(1+$R170)</f>
        <v>0</v>
      </c>
      <c r="T170" s="119">
        <f t="shared" ref="T170:AB170" si="326">S170*(1+$R170)</f>
        <v>0</v>
      </c>
      <c r="U170" s="119">
        <f t="shared" si="326"/>
        <v>0</v>
      </c>
      <c r="V170" s="119">
        <f t="shared" si="326"/>
        <v>0</v>
      </c>
      <c r="W170" s="119">
        <f t="shared" si="326"/>
        <v>0</v>
      </c>
      <c r="X170" s="119">
        <f t="shared" si="326"/>
        <v>0</v>
      </c>
      <c r="Y170" s="119">
        <f t="shared" si="326"/>
        <v>0</v>
      </c>
      <c r="Z170" s="119">
        <f t="shared" si="326"/>
        <v>0</v>
      </c>
      <c r="AA170" s="119">
        <f t="shared" si="326"/>
        <v>0</v>
      </c>
      <c r="AB170" s="119">
        <f t="shared" si="326"/>
        <v>0</v>
      </c>
      <c r="AC170" s="138" t="e">
        <f t="shared" ref="AC170:AC175" si="327">((AB170/G170)^(1/($AB$3-$H$1) ))-1</f>
        <v>#DIV/0!</v>
      </c>
      <c r="AD170" s="31">
        <v>0.08</v>
      </c>
      <c r="AE170" s="127" t="e">
        <f t="shared" ref="AE170:AE178" si="328">(AB170*(1+AC170))/($C$1-AD170)</f>
        <v>#DIV/0!</v>
      </c>
    </row>
    <row r="171" spans="2:31" x14ac:dyDescent="0.2">
      <c r="B171" s="20" t="s">
        <v>361</v>
      </c>
      <c r="C171" s="25" t="e">
        <f t="shared" ref="C171:P171" si="329">C170/C50</f>
        <v>#DIV/0!</v>
      </c>
      <c r="D171" s="25" t="e">
        <f t="shared" si="329"/>
        <v>#DIV/0!</v>
      </c>
      <c r="E171" s="25" t="e">
        <f t="shared" si="329"/>
        <v>#DIV/0!</v>
      </c>
      <c r="F171" s="25" t="e">
        <f t="shared" si="329"/>
        <v>#DIV/0!</v>
      </c>
      <c r="G171" s="25" t="e">
        <f t="shared" si="329"/>
        <v>#DIV/0!</v>
      </c>
      <c r="H171" s="25" t="e">
        <f t="shared" si="329"/>
        <v>#DIV/0!</v>
      </c>
      <c r="I171" s="25" t="e">
        <f t="shared" si="329"/>
        <v>#DIV/0!</v>
      </c>
      <c r="J171" s="25" t="e">
        <f t="shared" si="329"/>
        <v>#DIV/0!</v>
      </c>
      <c r="K171" s="25" t="e">
        <f t="shared" si="329"/>
        <v>#DIV/0!</v>
      </c>
      <c r="L171" s="25" t="e">
        <f t="shared" si="329"/>
        <v>#DIV/0!</v>
      </c>
      <c r="M171" s="25" t="e">
        <f t="shared" si="329"/>
        <v>#DIV/0!</v>
      </c>
      <c r="N171" s="25" t="e">
        <f t="shared" si="329"/>
        <v>#DIV/0!</v>
      </c>
      <c r="O171" s="25" t="e">
        <f t="shared" si="329"/>
        <v>#DIV/0!</v>
      </c>
      <c r="P171" s="25" t="e">
        <f t="shared" si="329"/>
        <v>#DIV/0!</v>
      </c>
      <c r="Q171" s="118" t="e">
        <f t="shared" ref="Q171" si="330">((P171/G171)^(1/($H$2-$H$1) ))-1</f>
        <v>#DIV/0!</v>
      </c>
      <c r="R171" s="128"/>
      <c r="S171" s="25" t="e">
        <f t="shared" ref="S171:AB171" si="331">S170/S50</f>
        <v>#DIV/0!</v>
      </c>
      <c r="T171" s="25" t="e">
        <f t="shared" si="331"/>
        <v>#DIV/0!</v>
      </c>
      <c r="U171" s="25" t="e">
        <f t="shared" si="331"/>
        <v>#DIV/0!</v>
      </c>
      <c r="V171" s="25" t="e">
        <f t="shared" si="331"/>
        <v>#DIV/0!</v>
      </c>
      <c r="W171" s="25" t="e">
        <f t="shared" si="331"/>
        <v>#DIV/0!</v>
      </c>
      <c r="X171" s="25" t="e">
        <f t="shared" si="331"/>
        <v>#DIV/0!</v>
      </c>
      <c r="Y171" s="25" t="e">
        <f t="shared" si="331"/>
        <v>#DIV/0!</v>
      </c>
      <c r="Z171" s="25" t="e">
        <f t="shared" si="331"/>
        <v>#DIV/0!</v>
      </c>
      <c r="AA171" s="25" t="e">
        <f t="shared" si="331"/>
        <v>#DIV/0!</v>
      </c>
      <c r="AB171" s="25" t="e">
        <f t="shared" si="331"/>
        <v>#DIV/0!</v>
      </c>
      <c r="AC171" s="138" t="e">
        <f t="shared" ref="AC171" si="332">((AB171/G171)^(1/($AB$3-$H$1) ))-1</f>
        <v>#DIV/0!</v>
      </c>
      <c r="AD171" s="31">
        <v>0.08</v>
      </c>
      <c r="AE171" s="127" t="e">
        <f t="shared" ref="AE171" si="333">(AB171*(1+AC171))/($C$1-AD171)</f>
        <v>#DIV/0!</v>
      </c>
    </row>
    <row r="172" spans="2:31" x14ac:dyDescent="0.2">
      <c r="B172" s="20" t="s">
        <v>389</v>
      </c>
      <c r="C172" s="25" t="e">
        <f t="shared" ref="C172:P172" si="334">C170/C54</f>
        <v>#DIV/0!</v>
      </c>
      <c r="D172" s="25" t="e">
        <f t="shared" si="334"/>
        <v>#DIV/0!</v>
      </c>
      <c r="E172" s="25" t="e">
        <f t="shared" si="334"/>
        <v>#DIV/0!</v>
      </c>
      <c r="F172" s="25" t="e">
        <f t="shared" si="334"/>
        <v>#DIV/0!</v>
      </c>
      <c r="G172" s="25" t="e">
        <f t="shared" si="334"/>
        <v>#DIV/0!</v>
      </c>
      <c r="H172" s="25" t="e">
        <f t="shared" si="334"/>
        <v>#DIV/0!</v>
      </c>
      <c r="I172" s="25" t="e">
        <f t="shared" si="334"/>
        <v>#DIV/0!</v>
      </c>
      <c r="J172" s="25" t="e">
        <f t="shared" si="334"/>
        <v>#DIV/0!</v>
      </c>
      <c r="K172" s="25" t="e">
        <f t="shared" si="334"/>
        <v>#DIV/0!</v>
      </c>
      <c r="L172" s="25" t="e">
        <f t="shared" si="334"/>
        <v>#DIV/0!</v>
      </c>
      <c r="M172" s="25" t="e">
        <f t="shared" si="334"/>
        <v>#DIV/0!</v>
      </c>
      <c r="N172" s="25" t="e">
        <f t="shared" si="334"/>
        <v>#DIV/0!</v>
      </c>
      <c r="O172" s="25" t="e">
        <f t="shared" si="334"/>
        <v>#DIV/0!</v>
      </c>
      <c r="P172" s="25" t="e">
        <f t="shared" si="334"/>
        <v>#DIV/0!</v>
      </c>
      <c r="Q172" s="118" t="e">
        <f t="shared" si="324"/>
        <v>#DIV/0!</v>
      </c>
      <c r="R172" s="128"/>
      <c r="S172" s="119" t="e">
        <f t="shared" ref="S172:AB172" si="335">S170/S54</f>
        <v>#DIV/0!</v>
      </c>
      <c r="T172" s="119" t="e">
        <f t="shared" si="335"/>
        <v>#DIV/0!</v>
      </c>
      <c r="U172" s="119" t="e">
        <f t="shared" si="335"/>
        <v>#DIV/0!</v>
      </c>
      <c r="V172" s="119" t="e">
        <f t="shared" si="335"/>
        <v>#DIV/0!</v>
      </c>
      <c r="W172" s="119" t="e">
        <f t="shared" si="335"/>
        <v>#DIV/0!</v>
      </c>
      <c r="X172" s="119" t="e">
        <f t="shared" si="335"/>
        <v>#DIV/0!</v>
      </c>
      <c r="Y172" s="119" t="e">
        <f t="shared" si="335"/>
        <v>#DIV/0!</v>
      </c>
      <c r="Z172" s="119" t="e">
        <f t="shared" si="335"/>
        <v>#DIV/0!</v>
      </c>
      <c r="AA172" s="119" t="e">
        <f t="shared" si="335"/>
        <v>#DIV/0!</v>
      </c>
      <c r="AB172" s="119" t="e">
        <f t="shared" si="335"/>
        <v>#DIV/0!</v>
      </c>
      <c r="AC172" s="138" t="e">
        <f t="shared" si="327"/>
        <v>#DIV/0!</v>
      </c>
      <c r="AD172" s="31">
        <v>0.08</v>
      </c>
      <c r="AE172" s="127" t="e">
        <f t="shared" si="328"/>
        <v>#DIV/0!</v>
      </c>
    </row>
    <row r="173" spans="2:31" x14ac:dyDescent="0.2">
      <c r="B173" s="20" t="s">
        <v>258</v>
      </c>
      <c r="C173" s="25" t="e">
        <f t="shared" ref="C173:P173" si="336">C170/C57</f>
        <v>#DIV/0!</v>
      </c>
      <c r="D173" s="25" t="e">
        <f t="shared" si="336"/>
        <v>#DIV/0!</v>
      </c>
      <c r="E173" s="25" t="e">
        <f t="shared" si="336"/>
        <v>#DIV/0!</v>
      </c>
      <c r="F173" s="25" t="e">
        <f t="shared" si="336"/>
        <v>#DIV/0!</v>
      </c>
      <c r="G173" s="25" t="e">
        <f t="shared" si="336"/>
        <v>#DIV/0!</v>
      </c>
      <c r="H173" s="25" t="e">
        <f t="shared" si="336"/>
        <v>#DIV/0!</v>
      </c>
      <c r="I173" s="25" t="e">
        <f t="shared" si="336"/>
        <v>#DIV/0!</v>
      </c>
      <c r="J173" s="25" t="e">
        <f t="shared" si="336"/>
        <v>#DIV/0!</v>
      </c>
      <c r="K173" s="25" t="e">
        <f t="shared" si="336"/>
        <v>#DIV/0!</v>
      </c>
      <c r="L173" s="25" t="e">
        <f t="shared" si="336"/>
        <v>#DIV/0!</v>
      </c>
      <c r="M173" s="25" t="e">
        <f t="shared" si="336"/>
        <v>#DIV/0!</v>
      </c>
      <c r="N173" s="25" t="e">
        <f t="shared" si="336"/>
        <v>#DIV/0!</v>
      </c>
      <c r="O173" s="25" t="e">
        <f t="shared" si="336"/>
        <v>#DIV/0!</v>
      </c>
      <c r="P173" s="25" t="e">
        <f t="shared" si="336"/>
        <v>#DIV/0!</v>
      </c>
      <c r="Q173" s="118" t="e">
        <f t="shared" si="324"/>
        <v>#DIV/0!</v>
      </c>
      <c r="R173" s="128"/>
      <c r="S173" s="119" t="e">
        <f t="shared" ref="S173:AB173" si="337">S170/S57</f>
        <v>#DIV/0!</v>
      </c>
      <c r="T173" s="119" t="e">
        <f t="shared" si="337"/>
        <v>#DIV/0!</v>
      </c>
      <c r="U173" s="119" t="e">
        <f t="shared" si="337"/>
        <v>#DIV/0!</v>
      </c>
      <c r="V173" s="119" t="e">
        <f t="shared" si="337"/>
        <v>#DIV/0!</v>
      </c>
      <c r="W173" s="119" t="e">
        <f t="shared" si="337"/>
        <v>#DIV/0!</v>
      </c>
      <c r="X173" s="119" t="e">
        <f t="shared" si="337"/>
        <v>#DIV/0!</v>
      </c>
      <c r="Y173" s="119" t="e">
        <f t="shared" si="337"/>
        <v>#DIV/0!</v>
      </c>
      <c r="Z173" s="119" t="e">
        <f t="shared" si="337"/>
        <v>#DIV/0!</v>
      </c>
      <c r="AA173" s="119" t="e">
        <f t="shared" si="337"/>
        <v>#DIV/0!</v>
      </c>
      <c r="AB173" s="119" t="e">
        <f t="shared" si="337"/>
        <v>#DIV/0!</v>
      </c>
      <c r="AC173" s="138" t="e">
        <f t="shared" si="327"/>
        <v>#DIV/0!</v>
      </c>
      <c r="AD173" s="31">
        <v>0.08</v>
      </c>
      <c r="AE173" s="127" t="e">
        <f t="shared" si="328"/>
        <v>#DIV/0!</v>
      </c>
    </row>
    <row r="174" spans="2:31" x14ac:dyDescent="0.2">
      <c r="B174" s="20" t="s">
        <v>259</v>
      </c>
      <c r="C174" s="25" t="e">
        <f t="shared" ref="C174:P174" si="338">C170/C66</f>
        <v>#DIV/0!</v>
      </c>
      <c r="D174" s="25" t="e">
        <f t="shared" si="338"/>
        <v>#DIV/0!</v>
      </c>
      <c r="E174" s="25" t="e">
        <f t="shared" si="338"/>
        <v>#DIV/0!</v>
      </c>
      <c r="F174" s="25" t="e">
        <f t="shared" si="338"/>
        <v>#DIV/0!</v>
      </c>
      <c r="G174" s="25" t="e">
        <f t="shared" si="338"/>
        <v>#DIV/0!</v>
      </c>
      <c r="H174" s="25" t="e">
        <f t="shared" si="338"/>
        <v>#DIV/0!</v>
      </c>
      <c r="I174" s="25" t="e">
        <f t="shared" si="338"/>
        <v>#DIV/0!</v>
      </c>
      <c r="J174" s="25" t="e">
        <f t="shared" si="338"/>
        <v>#DIV/0!</v>
      </c>
      <c r="K174" s="25" t="e">
        <f t="shared" si="338"/>
        <v>#DIV/0!</v>
      </c>
      <c r="L174" s="25" t="e">
        <f t="shared" si="338"/>
        <v>#DIV/0!</v>
      </c>
      <c r="M174" s="25" t="e">
        <f t="shared" si="338"/>
        <v>#DIV/0!</v>
      </c>
      <c r="N174" s="25" t="e">
        <f t="shared" si="338"/>
        <v>#DIV/0!</v>
      </c>
      <c r="O174" s="25" t="e">
        <f t="shared" si="338"/>
        <v>#DIV/0!</v>
      </c>
      <c r="P174" s="25" t="e">
        <f t="shared" si="338"/>
        <v>#DIV/0!</v>
      </c>
      <c r="Q174" s="118" t="e">
        <f t="shared" si="324"/>
        <v>#DIV/0!</v>
      </c>
      <c r="R174" s="128"/>
      <c r="S174" s="119" t="e">
        <f t="shared" ref="S174:AB174" si="339">S170/S66</f>
        <v>#DIV/0!</v>
      </c>
      <c r="T174" s="119" t="e">
        <f t="shared" si="339"/>
        <v>#DIV/0!</v>
      </c>
      <c r="U174" s="119" t="e">
        <f t="shared" si="339"/>
        <v>#DIV/0!</v>
      </c>
      <c r="V174" s="119" t="e">
        <f t="shared" si="339"/>
        <v>#DIV/0!</v>
      </c>
      <c r="W174" s="119" t="e">
        <f t="shared" si="339"/>
        <v>#DIV/0!</v>
      </c>
      <c r="X174" s="119" t="e">
        <f t="shared" si="339"/>
        <v>#DIV/0!</v>
      </c>
      <c r="Y174" s="119" t="e">
        <f t="shared" si="339"/>
        <v>#DIV/0!</v>
      </c>
      <c r="Z174" s="119" t="e">
        <f t="shared" si="339"/>
        <v>#DIV/0!</v>
      </c>
      <c r="AA174" s="119" t="e">
        <f t="shared" si="339"/>
        <v>#DIV/0!</v>
      </c>
      <c r="AB174" s="119" t="e">
        <f t="shared" si="339"/>
        <v>#DIV/0!</v>
      </c>
      <c r="AC174" s="138" t="e">
        <f t="shared" si="327"/>
        <v>#DIV/0!</v>
      </c>
      <c r="AD174" s="31">
        <v>0.08</v>
      </c>
      <c r="AE174" s="127" t="e">
        <f t="shared" si="328"/>
        <v>#DIV/0!</v>
      </c>
    </row>
    <row r="175" spans="2:31" x14ac:dyDescent="0.2">
      <c r="B175" s="20" t="s">
        <v>260</v>
      </c>
      <c r="C175" s="25" t="e">
        <f t="shared" ref="C175:P175" si="340">C170/C68</f>
        <v>#DIV/0!</v>
      </c>
      <c r="D175" s="25" t="e">
        <f t="shared" si="340"/>
        <v>#DIV/0!</v>
      </c>
      <c r="E175" s="25" t="e">
        <f t="shared" si="340"/>
        <v>#DIV/0!</v>
      </c>
      <c r="F175" s="25" t="e">
        <f t="shared" si="340"/>
        <v>#DIV/0!</v>
      </c>
      <c r="G175" s="25" t="e">
        <f t="shared" si="340"/>
        <v>#DIV/0!</v>
      </c>
      <c r="H175" s="25" t="e">
        <f t="shared" si="340"/>
        <v>#DIV/0!</v>
      </c>
      <c r="I175" s="25" t="e">
        <f t="shared" si="340"/>
        <v>#DIV/0!</v>
      </c>
      <c r="J175" s="25" t="e">
        <f t="shared" si="340"/>
        <v>#DIV/0!</v>
      </c>
      <c r="K175" s="25" t="e">
        <f t="shared" si="340"/>
        <v>#DIV/0!</v>
      </c>
      <c r="L175" s="25" t="e">
        <f t="shared" si="340"/>
        <v>#DIV/0!</v>
      </c>
      <c r="M175" s="25" t="e">
        <f t="shared" si="340"/>
        <v>#DIV/0!</v>
      </c>
      <c r="N175" s="25" t="e">
        <f t="shared" si="340"/>
        <v>#DIV/0!</v>
      </c>
      <c r="O175" s="25" t="e">
        <f t="shared" si="340"/>
        <v>#DIV/0!</v>
      </c>
      <c r="P175" s="25" t="e">
        <f t="shared" si="340"/>
        <v>#DIV/0!</v>
      </c>
      <c r="Q175" s="118" t="e">
        <f t="shared" si="324"/>
        <v>#DIV/0!</v>
      </c>
      <c r="R175" s="128"/>
      <c r="S175" s="119" t="e">
        <f t="shared" ref="S175:AB175" si="341">S170/S68</f>
        <v>#DIV/0!</v>
      </c>
      <c r="T175" s="119" t="e">
        <f t="shared" si="341"/>
        <v>#DIV/0!</v>
      </c>
      <c r="U175" s="119" t="e">
        <f t="shared" si="341"/>
        <v>#DIV/0!</v>
      </c>
      <c r="V175" s="119" t="e">
        <f t="shared" si="341"/>
        <v>#DIV/0!</v>
      </c>
      <c r="W175" s="119" t="e">
        <f t="shared" si="341"/>
        <v>#DIV/0!</v>
      </c>
      <c r="X175" s="119" t="e">
        <f t="shared" si="341"/>
        <v>#DIV/0!</v>
      </c>
      <c r="Y175" s="119" t="e">
        <f t="shared" si="341"/>
        <v>#DIV/0!</v>
      </c>
      <c r="Z175" s="119" t="e">
        <f t="shared" si="341"/>
        <v>#DIV/0!</v>
      </c>
      <c r="AA175" s="119" t="e">
        <f t="shared" si="341"/>
        <v>#DIV/0!</v>
      </c>
      <c r="AB175" s="119" t="e">
        <f t="shared" si="341"/>
        <v>#DIV/0!</v>
      </c>
      <c r="AC175" s="138" t="e">
        <f t="shared" si="327"/>
        <v>#DIV/0!</v>
      </c>
      <c r="AD175" s="31">
        <v>0.08</v>
      </c>
      <c r="AE175" s="127" t="e">
        <f t="shared" si="328"/>
        <v>#DIV/0!</v>
      </c>
    </row>
    <row r="176" spans="2:31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 t="e">
        <f t="shared" ref="G176:P176" si="342">G170/G62</f>
        <v>#DIV/0!</v>
      </c>
      <c r="H176" s="182" t="e">
        <f t="shared" si="342"/>
        <v>#DIV/0!</v>
      </c>
      <c r="I176" s="182" t="e">
        <f t="shared" si="342"/>
        <v>#DIV/0!</v>
      </c>
      <c r="J176" s="182" t="e">
        <f t="shared" si="342"/>
        <v>#DIV/0!</v>
      </c>
      <c r="K176" s="182" t="e">
        <f t="shared" si="342"/>
        <v>#DIV/0!</v>
      </c>
      <c r="L176" s="182" t="e">
        <f t="shared" si="342"/>
        <v>#DIV/0!</v>
      </c>
      <c r="M176" s="182" t="e">
        <f t="shared" si="342"/>
        <v>#DIV/0!</v>
      </c>
      <c r="N176" s="182" t="e">
        <f t="shared" si="342"/>
        <v>#DIV/0!</v>
      </c>
      <c r="O176" s="182" t="e">
        <f t="shared" si="342"/>
        <v>#DIV/0!</v>
      </c>
      <c r="P176" s="182" t="e">
        <f t="shared" si="342"/>
        <v>#DIV/0!</v>
      </c>
      <c r="Q176" s="118" t="e">
        <f t="shared" ref="Q176:Q178" si="343">((P176/G176)^(1/($H$2-$H$1) ))-1</f>
        <v>#DIV/0!</v>
      </c>
      <c r="R176" s="128"/>
      <c r="S176" s="135" t="e">
        <f t="shared" ref="S176:AB176" si="344">S170/S62</f>
        <v>#DIV/0!</v>
      </c>
      <c r="T176" s="135" t="e">
        <f t="shared" si="344"/>
        <v>#DIV/0!</v>
      </c>
      <c r="U176" s="135" t="e">
        <f t="shared" si="344"/>
        <v>#DIV/0!</v>
      </c>
      <c r="V176" s="135" t="e">
        <f t="shared" si="344"/>
        <v>#DIV/0!</v>
      </c>
      <c r="W176" s="135" t="e">
        <f t="shared" si="344"/>
        <v>#DIV/0!</v>
      </c>
      <c r="X176" s="135" t="e">
        <f t="shared" si="344"/>
        <v>#DIV/0!</v>
      </c>
      <c r="Y176" s="135" t="e">
        <f t="shared" si="344"/>
        <v>#DIV/0!</v>
      </c>
      <c r="Z176" s="135" t="e">
        <f t="shared" si="344"/>
        <v>#DIV/0!</v>
      </c>
      <c r="AA176" s="135" t="e">
        <f t="shared" si="344"/>
        <v>#DIV/0!</v>
      </c>
      <c r="AB176" s="135" t="e">
        <f t="shared" si="344"/>
        <v>#DIV/0!</v>
      </c>
      <c r="AC176" s="138" t="e">
        <f t="shared" ref="AC176" si="345">((AB176/G176)^(1/($AB$3-$H$1) ))-1</f>
        <v>#DIV/0!</v>
      </c>
      <c r="AD176" s="31">
        <v>0.08</v>
      </c>
      <c r="AE176" s="127" t="e">
        <f t="shared" si="328"/>
        <v>#DIV/0!</v>
      </c>
    </row>
    <row r="177" spans="2:45" x14ac:dyDescent="0.2">
      <c r="B177" s="20" t="s">
        <v>371</v>
      </c>
      <c r="C177" s="161" t="e">
        <f t="shared" ref="C177:P177" si="346">C54/C170</f>
        <v>#DIV/0!</v>
      </c>
      <c r="D177" s="161" t="e">
        <f t="shared" si="346"/>
        <v>#DIV/0!</v>
      </c>
      <c r="E177" s="161" t="e">
        <f t="shared" si="346"/>
        <v>#DIV/0!</v>
      </c>
      <c r="F177" s="161" t="e">
        <f t="shared" si="346"/>
        <v>#DIV/0!</v>
      </c>
      <c r="G177" s="161" t="e">
        <f t="shared" si="346"/>
        <v>#DIV/0!</v>
      </c>
      <c r="H177" s="161" t="e">
        <f t="shared" si="346"/>
        <v>#DIV/0!</v>
      </c>
      <c r="I177" s="161" t="e">
        <f t="shared" si="346"/>
        <v>#DIV/0!</v>
      </c>
      <c r="J177" s="161" t="e">
        <f t="shared" si="346"/>
        <v>#DIV/0!</v>
      </c>
      <c r="K177" s="161" t="e">
        <f t="shared" si="346"/>
        <v>#DIV/0!</v>
      </c>
      <c r="L177" s="161" t="e">
        <f t="shared" si="346"/>
        <v>#DIV/0!</v>
      </c>
      <c r="M177" s="161" t="e">
        <f t="shared" si="346"/>
        <v>#DIV/0!</v>
      </c>
      <c r="N177" s="161" t="e">
        <f t="shared" si="346"/>
        <v>#DIV/0!</v>
      </c>
      <c r="O177" s="161" t="e">
        <f t="shared" si="346"/>
        <v>#DIV/0!</v>
      </c>
      <c r="P177" s="161" t="e">
        <f t="shared" si="346"/>
        <v>#DIV/0!</v>
      </c>
      <c r="Q177" s="118" t="e">
        <f t="shared" si="343"/>
        <v>#DIV/0!</v>
      </c>
      <c r="R177" s="128"/>
      <c r="S177" s="161" t="e">
        <f t="shared" ref="S177:AB177" si="347">S54/S170</f>
        <v>#DIV/0!</v>
      </c>
      <c r="T177" s="161" t="e">
        <f t="shared" si="347"/>
        <v>#DIV/0!</v>
      </c>
      <c r="U177" s="161" t="e">
        <f t="shared" si="347"/>
        <v>#DIV/0!</v>
      </c>
      <c r="V177" s="161" t="e">
        <f t="shared" si="347"/>
        <v>#DIV/0!</v>
      </c>
      <c r="W177" s="161" t="e">
        <f t="shared" si="347"/>
        <v>#DIV/0!</v>
      </c>
      <c r="X177" s="161" t="e">
        <f t="shared" si="347"/>
        <v>#DIV/0!</v>
      </c>
      <c r="Y177" s="161" t="e">
        <f t="shared" si="347"/>
        <v>#DIV/0!</v>
      </c>
      <c r="Z177" s="161" t="e">
        <f t="shared" si="347"/>
        <v>#DIV/0!</v>
      </c>
      <c r="AA177" s="161" t="e">
        <f t="shared" si="347"/>
        <v>#DIV/0!</v>
      </c>
      <c r="AB177" s="161" t="e">
        <f t="shared" si="347"/>
        <v>#DIV/0!</v>
      </c>
      <c r="AC177" s="138" t="e">
        <f t="shared" ref="AC177:AC178" si="348">((AB177/G177)^(1/($AB$3-$H$1) ))-1</f>
        <v>#DIV/0!</v>
      </c>
      <c r="AD177" s="31">
        <v>0.08</v>
      </c>
      <c r="AE177" s="127" t="e">
        <f t="shared" si="328"/>
        <v>#DIV/0!</v>
      </c>
    </row>
    <row r="178" spans="2:45" x14ac:dyDescent="0.2">
      <c r="B178" s="20" t="s">
        <v>320</v>
      </c>
      <c r="C178" s="152" t="e">
        <f t="shared" ref="C178:P178" si="349">C44/C170</f>
        <v>#DIV/0!</v>
      </c>
      <c r="D178" s="152" t="e">
        <f t="shared" si="349"/>
        <v>#DIV/0!</v>
      </c>
      <c r="E178" s="152" t="e">
        <f t="shared" si="349"/>
        <v>#DIV/0!</v>
      </c>
      <c r="F178" s="152" t="e">
        <f t="shared" si="349"/>
        <v>#DIV/0!</v>
      </c>
      <c r="G178" s="152" t="e">
        <f t="shared" si="349"/>
        <v>#DIV/0!</v>
      </c>
      <c r="H178" s="152" t="e">
        <f t="shared" si="349"/>
        <v>#DIV/0!</v>
      </c>
      <c r="I178" s="152" t="e">
        <f t="shared" si="349"/>
        <v>#DIV/0!</v>
      </c>
      <c r="J178" s="152" t="e">
        <f t="shared" si="349"/>
        <v>#DIV/0!</v>
      </c>
      <c r="K178" s="152" t="e">
        <f t="shared" si="349"/>
        <v>#DIV/0!</v>
      </c>
      <c r="L178" s="152" t="e">
        <f t="shared" si="349"/>
        <v>#DIV/0!</v>
      </c>
      <c r="M178" s="152" t="e">
        <f t="shared" si="349"/>
        <v>#DIV/0!</v>
      </c>
      <c r="N178" s="152" t="e">
        <f t="shared" si="349"/>
        <v>#DIV/0!</v>
      </c>
      <c r="O178" s="152" t="e">
        <f t="shared" si="349"/>
        <v>#DIV/0!</v>
      </c>
      <c r="P178" s="152" t="e">
        <f t="shared" si="349"/>
        <v>#DIV/0!</v>
      </c>
      <c r="Q178" s="118" t="e">
        <f t="shared" si="343"/>
        <v>#DIV/0!</v>
      </c>
      <c r="R178" s="128"/>
      <c r="S178" s="152" t="e">
        <f t="shared" ref="S178:AB178" si="350">S44/S170</f>
        <v>#DIV/0!</v>
      </c>
      <c r="T178" s="152" t="e">
        <f t="shared" si="350"/>
        <v>#DIV/0!</v>
      </c>
      <c r="U178" s="152" t="e">
        <f t="shared" si="350"/>
        <v>#DIV/0!</v>
      </c>
      <c r="V178" s="152" t="e">
        <f t="shared" si="350"/>
        <v>#DIV/0!</v>
      </c>
      <c r="W178" s="152" t="e">
        <f t="shared" si="350"/>
        <v>#DIV/0!</v>
      </c>
      <c r="X178" s="152" t="e">
        <f t="shared" si="350"/>
        <v>#DIV/0!</v>
      </c>
      <c r="Y178" s="152" t="e">
        <f t="shared" si="350"/>
        <v>#DIV/0!</v>
      </c>
      <c r="Z178" s="152" t="e">
        <f t="shared" si="350"/>
        <v>#DIV/0!</v>
      </c>
      <c r="AA178" s="152" t="e">
        <f t="shared" si="350"/>
        <v>#DIV/0!</v>
      </c>
      <c r="AB178" s="152" t="e">
        <f t="shared" si="350"/>
        <v>#DIV/0!</v>
      </c>
      <c r="AC178" s="138" t="e">
        <f t="shared" si="348"/>
        <v>#DIV/0!</v>
      </c>
      <c r="AD178" s="31">
        <v>0.08</v>
      </c>
      <c r="AE178" s="127" t="e">
        <f t="shared" si="328"/>
        <v>#DIV/0!</v>
      </c>
    </row>
    <row r="179" spans="2:45" x14ac:dyDescent="0.2">
      <c r="B179" s="20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28"/>
      <c r="R179" s="128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7"/>
      <c r="AD179" s="20"/>
      <c r="AE179" s="127"/>
    </row>
    <row r="180" spans="2:45" x14ac:dyDescent="0.2">
      <c r="B180" s="20"/>
      <c r="C180" s="129"/>
      <c r="D180" s="129"/>
      <c r="E180" s="129"/>
      <c r="F180" s="129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28"/>
      <c r="R180" s="128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7"/>
      <c r="AD180" s="20"/>
      <c r="AE180" s="20"/>
    </row>
    <row r="181" spans="2:45" x14ac:dyDescent="0.2">
      <c r="B181" s="108" t="s">
        <v>301</v>
      </c>
      <c r="C181" s="20"/>
      <c r="D181" s="20"/>
      <c r="E181" s="20"/>
      <c r="F181" s="20"/>
      <c r="G181" s="20"/>
      <c r="H181" s="20"/>
      <c r="I181" s="20"/>
      <c r="J181" s="20"/>
      <c r="K181" s="198" t="s">
        <v>351</v>
      </c>
      <c r="L181" s="199"/>
      <c r="M181" s="20"/>
      <c r="N181" s="20"/>
      <c r="O181" s="20"/>
      <c r="P181" s="108" t="s">
        <v>430</v>
      </c>
      <c r="Q181" s="108" t="s">
        <v>431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299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20" t="s">
        <v>352</v>
      </c>
      <c r="L182" s="22">
        <v>1</v>
      </c>
      <c r="M182" s="20"/>
      <c r="N182" s="20"/>
      <c r="O182" s="20"/>
      <c r="P182" s="128" t="e">
        <f>(P170-R158)/P170</f>
        <v>#DIV/0!</v>
      </c>
      <c r="Q182" s="128" t="e">
        <f>(P170-S158)/P170</f>
        <v>#DIV/0!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349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$L$182</f>
        <v>1</v>
      </c>
      <c r="L183" s="20"/>
      <c r="M183" s="128" t="e">
        <f>(P170-(K183*R149))/P170</f>
        <v>#DIV/0!</v>
      </c>
      <c r="N183" s="20"/>
      <c r="O183" s="20"/>
      <c r="P183" s="128" t="e">
        <f>(P170-R149)/P170</f>
        <v>#DIV/0!</v>
      </c>
      <c r="Q183" s="128" t="e">
        <f>(P170-S149)/P170</f>
        <v>#DIV/0!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350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$L$182</f>
        <v>1</v>
      </c>
      <c r="L184" s="20"/>
      <c r="M184" s="128" t="e">
        <f>(P170-(K184*R142))/P170</f>
        <v>#DIV/0!</v>
      </c>
      <c r="N184" s="20"/>
      <c r="O184" s="20"/>
      <c r="P184" s="128" t="e">
        <f>(P170-R142)/P170</f>
        <v>#DIV/0!</v>
      </c>
      <c r="Q184" s="128" t="e">
        <f>(P170-S142)/P170</f>
        <v>#DIV/0!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45" x14ac:dyDescent="0.2">
      <c r="B185" s="20" t="s">
        <v>353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$L$182</f>
        <v>1</v>
      </c>
      <c r="L185" s="20"/>
      <c r="M185" s="128" t="e">
        <f>(P170-(K185*R155))/P170</f>
        <v>#DIV/0!</v>
      </c>
      <c r="N185" s="20"/>
      <c r="O185" s="20"/>
      <c r="P185" s="128" t="e">
        <f>(P170-R155)/P170</f>
        <v>#DIV/0!</v>
      </c>
      <c r="Q185" s="128" t="e">
        <f>(P170-S155)/P170</f>
        <v>#DIV/0!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45" x14ac:dyDescent="0.2">
      <c r="B186" s="20" t="s">
        <v>400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$L$182</f>
        <v>1</v>
      </c>
      <c r="L186" s="20"/>
      <c r="M186" s="128" t="e">
        <f>(P170-(K186*R167))/P170</f>
        <v>#DIV/0!</v>
      </c>
      <c r="N186" s="20"/>
      <c r="O186" s="20"/>
      <c r="P186" s="128" t="e">
        <f>(P170-R167)/P170</f>
        <v>#DIV/0!</v>
      </c>
      <c r="Q186" s="128" t="e">
        <f>(P170-S167)/P170</f>
        <v>#DIV/0!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37"/>
      <c r="AD186" s="20"/>
      <c r="AE186" s="20"/>
    </row>
    <row r="187" spans="2:45" x14ac:dyDescent="0.2">
      <c r="B187" s="20" t="s">
        <v>300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5" t="e">
        <f>P170/R141</f>
        <v>#DIV/0!</v>
      </c>
      <c r="Q187" s="25" t="e">
        <f>P170/S141</f>
        <v>#DIV/0!</v>
      </c>
      <c r="R187" s="20"/>
      <c r="S187" s="115" t="s">
        <v>11</v>
      </c>
      <c r="T187" s="115" t="s">
        <v>12</v>
      </c>
      <c r="U187" s="115" t="s">
        <v>13</v>
      </c>
      <c r="V187" s="115" t="s">
        <v>14</v>
      </c>
      <c r="W187" s="115" t="s">
        <v>15</v>
      </c>
      <c r="X187" s="115" t="s">
        <v>234</v>
      </c>
      <c r="Y187" s="115" t="s">
        <v>235</v>
      </c>
      <c r="Z187" s="115" t="s">
        <v>236</v>
      </c>
      <c r="AA187" s="115" t="s">
        <v>237</v>
      </c>
      <c r="AB187" s="115" t="s">
        <v>238</v>
      </c>
      <c r="AC187" s="115" t="s">
        <v>408</v>
      </c>
      <c r="AD187" s="115" t="s">
        <v>409</v>
      </c>
      <c r="AE187" s="115" t="s">
        <v>410</v>
      </c>
      <c r="AF187" s="115" t="s">
        <v>411</v>
      </c>
      <c r="AG187" s="115" t="s">
        <v>412</v>
      </c>
      <c r="AH187" s="115" t="s">
        <v>413</v>
      </c>
      <c r="AI187" s="115" t="s">
        <v>414</v>
      </c>
      <c r="AJ187" s="115" t="s">
        <v>415</v>
      </c>
      <c r="AK187" s="115" t="s">
        <v>416</v>
      </c>
      <c r="AL187" s="115" t="s">
        <v>417</v>
      </c>
      <c r="AM187" s="115" t="s">
        <v>418</v>
      </c>
      <c r="AN187" s="115" t="s">
        <v>419</v>
      </c>
      <c r="AO187" s="115" t="s">
        <v>420</v>
      </c>
      <c r="AP187" s="115" t="s">
        <v>421</v>
      </c>
      <c r="AQ187" s="115" t="s">
        <v>422</v>
      </c>
      <c r="AR187" s="115" t="s">
        <v>423</v>
      </c>
      <c r="AS187" s="115" t="s">
        <v>424</v>
      </c>
    </row>
    <row r="188" spans="2:45" x14ac:dyDescent="0.2">
      <c r="B188" s="20" t="s">
        <v>371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52" t="e">
        <f>1/P187</f>
        <v>#DIV/0!</v>
      </c>
      <c r="Q188" s="152" t="e">
        <f>1/Q187</f>
        <v>#DIV/0!</v>
      </c>
      <c r="R188" s="20"/>
      <c r="S188" s="185" t="e">
        <f>P170-S189</f>
        <v>#DIV/0!</v>
      </c>
      <c r="T188" s="185" t="e">
        <f>S188-T189</f>
        <v>#DIV/0!</v>
      </c>
      <c r="U188" s="185" t="e">
        <f t="shared" ref="U188:W188" si="351">T188-U189</f>
        <v>#DIV/0!</v>
      </c>
      <c r="V188" s="185" t="e">
        <f t="shared" si="351"/>
        <v>#DIV/0!</v>
      </c>
      <c r="W188" s="185" t="e">
        <f t="shared" si="351"/>
        <v>#DIV/0!</v>
      </c>
      <c r="X188" s="185" t="e">
        <f>W188-X189</f>
        <v>#DIV/0!</v>
      </c>
      <c r="Y188" s="185" t="e">
        <f t="shared" ref="Y188:AB188" si="352">X188-Y189</f>
        <v>#DIV/0!</v>
      </c>
      <c r="Z188" s="185" t="e">
        <f t="shared" si="352"/>
        <v>#DIV/0!</v>
      </c>
      <c r="AA188" s="185" t="e">
        <f t="shared" si="352"/>
        <v>#DIV/0!</v>
      </c>
      <c r="AB188" s="185" t="e">
        <f t="shared" si="352"/>
        <v>#DIV/0!</v>
      </c>
      <c r="AC188" s="185" t="e">
        <f t="shared" ref="AC188" si="353">AB188-AC189</f>
        <v>#DIV/0!</v>
      </c>
      <c r="AD188" s="185" t="e">
        <f t="shared" ref="AD188" si="354">AC188-AD189</f>
        <v>#DIV/0!</v>
      </c>
      <c r="AE188" s="185" t="e">
        <f t="shared" ref="AE188" si="355">AD188-AE189</f>
        <v>#DIV/0!</v>
      </c>
      <c r="AF188" s="185" t="e">
        <f t="shared" ref="AF188" si="356">AE188-AF189</f>
        <v>#DIV/0!</v>
      </c>
      <c r="AG188" s="185" t="e">
        <f t="shared" ref="AG188" si="357">AF188-AG189</f>
        <v>#DIV/0!</v>
      </c>
      <c r="AH188" s="185" t="e">
        <f t="shared" ref="AH188" si="358">AG188-AH189</f>
        <v>#DIV/0!</v>
      </c>
      <c r="AI188" s="185" t="e">
        <f t="shared" ref="AI188" si="359">AH188-AI189</f>
        <v>#DIV/0!</v>
      </c>
      <c r="AJ188" s="185" t="e">
        <f t="shared" ref="AJ188" si="360">AI188-AJ189</f>
        <v>#DIV/0!</v>
      </c>
      <c r="AK188" s="185" t="e">
        <f t="shared" ref="AK188" si="361">AJ188-AK189</f>
        <v>#DIV/0!</v>
      </c>
      <c r="AL188" s="185" t="e">
        <f t="shared" ref="AL188" si="362">AK188-AL189</f>
        <v>#DIV/0!</v>
      </c>
      <c r="AM188" s="185" t="e">
        <f t="shared" ref="AM188" si="363">AL188-AM189</f>
        <v>#DIV/0!</v>
      </c>
      <c r="AN188" s="185" t="e">
        <f t="shared" ref="AN188" si="364">AM188-AN189</f>
        <v>#DIV/0!</v>
      </c>
      <c r="AO188" s="185" t="e">
        <f t="shared" ref="AO188" si="365">AN188-AO189</f>
        <v>#DIV/0!</v>
      </c>
      <c r="AP188" s="185" t="e">
        <f t="shared" ref="AP188" si="366">AO188-AP189</f>
        <v>#DIV/0!</v>
      </c>
      <c r="AQ188" s="185" t="e">
        <f t="shared" ref="AQ188" si="367">AP188-AQ189</f>
        <v>#DIV/0!</v>
      </c>
      <c r="AR188" s="185" t="e">
        <f t="shared" ref="AR188" si="368">AQ188-AR189</f>
        <v>#DIV/0!</v>
      </c>
      <c r="AS188" s="185" t="e">
        <f t="shared" ref="AS188" si="369">AR188-AS189</f>
        <v>#DIV/0!</v>
      </c>
    </row>
    <row r="189" spans="2:45" x14ac:dyDescent="0.2">
      <c r="B189" s="20" t="s">
        <v>397</v>
      </c>
      <c r="C189" s="20"/>
      <c r="D189" s="20"/>
      <c r="E189" s="20"/>
      <c r="F189" s="20"/>
      <c r="G189" s="20"/>
      <c r="H189" s="20"/>
      <c r="I189" s="20"/>
      <c r="J189" s="20"/>
      <c r="K189" s="184">
        <f>P1</f>
        <v>0.05</v>
      </c>
      <c r="L189" s="20"/>
      <c r="M189" s="187"/>
      <c r="N189" s="20"/>
      <c r="O189" s="20"/>
      <c r="P189" s="181" t="e">
        <f>P170/Q140</f>
        <v>#DIV/0!</v>
      </c>
      <c r="Q189" s="181" t="e">
        <f>P170/R140</f>
        <v>#DIV/0!</v>
      </c>
      <c r="R189" s="20"/>
      <c r="S189" s="186" t="e">
        <f>Q140*(1+$K$189)</f>
        <v>#DIV/0!</v>
      </c>
      <c r="T189" s="186" t="e">
        <f>S189*(1+$K$189)</f>
        <v>#DIV/0!</v>
      </c>
      <c r="U189" s="186" t="e">
        <f t="shared" ref="U189:AB189" si="370">T189*(1+$K$189)</f>
        <v>#DIV/0!</v>
      </c>
      <c r="V189" s="186" t="e">
        <f t="shared" si="370"/>
        <v>#DIV/0!</v>
      </c>
      <c r="W189" s="186" t="e">
        <f t="shared" si="370"/>
        <v>#DIV/0!</v>
      </c>
      <c r="X189" s="186" t="e">
        <f t="shared" si="370"/>
        <v>#DIV/0!</v>
      </c>
      <c r="Y189" s="186" t="e">
        <f t="shared" si="370"/>
        <v>#DIV/0!</v>
      </c>
      <c r="Z189" s="186" t="e">
        <f t="shared" si="370"/>
        <v>#DIV/0!</v>
      </c>
      <c r="AA189" s="186" t="e">
        <f t="shared" si="370"/>
        <v>#DIV/0!</v>
      </c>
      <c r="AB189" s="186" t="e">
        <f t="shared" si="370"/>
        <v>#DIV/0!</v>
      </c>
      <c r="AC189" s="186" t="e">
        <f t="shared" ref="AC189" si="371">AB189*(1+$K$189)</f>
        <v>#DIV/0!</v>
      </c>
      <c r="AD189" s="186" t="e">
        <f t="shared" ref="AD189" si="372">AC189*(1+$K$189)</f>
        <v>#DIV/0!</v>
      </c>
      <c r="AE189" s="186" t="e">
        <f t="shared" ref="AE189" si="373">AD189*(1+$K$189)</f>
        <v>#DIV/0!</v>
      </c>
      <c r="AF189" s="186" t="e">
        <f t="shared" ref="AF189" si="374">AE189*(1+$K$189)</f>
        <v>#DIV/0!</v>
      </c>
      <c r="AG189" s="186" t="e">
        <f t="shared" ref="AG189" si="375">AF189*(1+$K$189)</f>
        <v>#DIV/0!</v>
      </c>
      <c r="AH189" s="186" t="e">
        <f t="shared" ref="AH189" si="376">AG189*(1+$K$189)</f>
        <v>#DIV/0!</v>
      </c>
      <c r="AI189" s="186" t="e">
        <f t="shared" ref="AI189" si="377">AH189*(1+$K$189)</f>
        <v>#DIV/0!</v>
      </c>
      <c r="AJ189" s="186" t="e">
        <f t="shared" ref="AJ189" si="378">AI189*(1+$K$189)</f>
        <v>#DIV/0!</v>
      </c>
      <c r="AK189" s="186" t="e">
        <f t="shared" ref="AK189" si="379">AJ189*(1+$K$189)</f>
        <v>#DIV/0!</v>
      </c>
      <c r="AL189" s="186" t="e">
        <f t="shared" ref="AL189" si="380">AK189*(1+$K$189)</f>
        <v>#DIV/0!</v>
      </c>
      <c r="AM189" s="186" t="e">
        <f t="shared" ref="AM189" si="381">AL189*(1+$K$189)</f>
        <v>#DIV/0!</v>
      </c>
      <c r="AN189" s="186" t="e">
        <f t="shared" ref="AN189" si="382">AM189*(1+$K$189)</f>
        <v>#DIV/0!</v>
      </c>
      <c r="AO189" s="186" t="e">
        <f t="shared" ref="AO189" si="383">AN189*(1+$K$189)</f>
        <v>#DIV/0!</v>
      </c>
      <c r="AP189" s="186" t="e">
        <f t="shared" ref="AP189" si="384">AO189*(1+$K$189)</f>
        <v>#DIV/0!</v>
      </c>
      <c r="AQ189" s="186" t="e">
        <f t="shared" ref="AQ189" si="385">AP189*(1+$K$189)</f>
        <v>#DIV/0!</v>
      </c>
      <c r="AR189" s="186" t="e">
        <f t="shared" ref="AR189" si="386">AQ189*(1+$K$189)</f>
        <v>#DIV/0!</v>
      </c>
      <c r="AS189" s="186" t="e">
        <f t="shared" ref="AS189" si="387">AR189*(1+$K$189)</f>
        <v>#DIV/0!</v>
      </c>
    </row>
    <row r="190" spans="2:45" x14ac:dyDescent="0.2">
      <c r="B190" s="20" t="s">
        <v>396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 t="e">
        <f>P170/P54</f>
        <v>#DIV/0!</v>
      </c>
      <c r="Q190" s="181" t="e">
        <f>P170/Q54</f>
        <v>#DIV/0!</v>
      </c>
      <c r="R190" s="20"/>
      <c r="S190" s="186" t="e">
        <f>P54*(1+$K$190)</f>
        <v>#DIV/0!</v>
      </c>
      <c r="T190" s="186" t="e">
        <f>S190*(1+$K$190)</f>
        <v>#DIV/0!</v>
      </c>
      <c r="U190" s="186" t="e">
        <f t="shared" ref="U190:AB190" si="388">T190*(1+$K$190)</f>
        <v>#DIV/0!</v>
      </c>
      <c r="V190" s="186" t="e">
        <f t="shared" si="388"/>
        <v>#DIV/0!</v>
      </c>
      <c r="W190" s="186" t="e">
        <f t="shared" si="388"/>
        <v>#DIV/0!</v>
      </c>
      <c r="X190" s="186" t="e">
        <f t="shared" si="388"/>
        <v>#DIV/0!</v>
      </c>
      <c r="Y190" s="186" t="e">
        <f t="shared" si="388"/>
        <v>#DIV/0!</v>
      </c>
      <c r="Z190" s="186" t="e">
        <f t="shared" si="388"/>
        <v>#DIV/0!</v>
      </c>
      <c r="AA190" s="186" t="e">
        <f t="shared" si="388"/>
        <v>#DIV/0!</v>
      </c>
      <c r="AB190" s="186" t="e">
        <f t="shared" si="388"/>
        <v>#DIV/0!</v>
      </c>
      <c r="AC190" s="186" t="e">
        <f t="shared" ref="AC190" si="389">AB190*(1+$K$190)</f>
        <v>#DIV/0!</v>
      </c>
      <c r="AD190" s="186" t="e">
        <f t="shared" ref="AD190" si="390">AC190*(1+$K$190)</f>
        <v>#DIV/0!</v>
      </c>
      <c r="AE190" s="186" t="e">
        <f t="shared" ref="AE190" si="391">AD190*(1+$K$190)</f>
        <v>#DIV/0!</v>
      </c>
      <c r="AF190" s="186" t="e">
        <f t="shared" ref="AF190" si="392">AE190*(1+$K$190)</f>
        <v>#DIV/0!</v>
      </c>
      <c r="AG190" s="186" t="e">
        <f t="shared" ref="AG190" si="393">AF190*(1+$K$190)</f>
        <v>#DIV/0!</v>
      </c>
      <c r="AH190" s="186" t="e">
        <f t="shared" ref="AH190" si="394">AG190*(1+$K$190)</f>
        <v>#DIV/0!</v>
      </c>
      <c r="AI190" s="186" t="e">
        <f t="shared" ref="AI190" si="395">AH190*(1+$K$190)</f>
        <v>#DIV/0!</v>
      </c>
      <c r="AJ190" s="186" t="e">
        <f t="shared" ref="AJ190" si="396">AI190*(1+$K$190)</f>
        <v>#DIV/0!</v>
      </c>
      <c r="AK190" s="186" t="e">
        <f t="shared" ref="AK190" si="397">AJ190*(1+$K$190)</f>
        <v>#DIV/0!</v>
      </c>
      <c r="AL190" s="186" t="e">
        <f t="shared" ref="AL190" si="398">AK190*(1+$K$190)</f>
        <v>#DIV/0!</v>
      </c>
      <c r="AM190" s="186" t="e">
        <f t="shared" ref="AM190" si="399">AL190*(1+$K$190)</f>
        <v>#DIV/0!</v>
      </c>
      <c r="AN190" s="186" t="e">
        <f t="shared" ref="AN190" si="400">AM190*(1+$K$190)</f>
        <v>#DIV/0!</v>
      </c>
      <c r="AO190" s="186" t="e">
        <f t="shared" ref="AO190" si="401">AN190*(1+$K$190)</f>
        <v>#DIV/0!</v>
      </c>
      <c r="AP190" s="186" t="e">
        <f t="shared" ref="AP190" si="402">AO190*(1+$K$190)</f>
        <v>#DIV/0!</v>
      </c>
      <c r="AQ190" s="186" t="e">
        <f t="shared" ref="AQ190" si="403">AP190*(1+$K$190)</f>
        <v>#DIV/0!</v>
      </c>
      <c r="AR190" s="186" t="e">
        <f t="shared" ref="AR190" si="404">AQ190*(1+$K$190)</f>
        <v>#DIV/0!</v>
      </c>
      <c r="AS190" s="186" t="e">
        <f t="shared" ref="AS190" si="405">AR190*(1+$K$190)</f>
        <v>#DIV/0!</v>
      </c>
    </row>
    <row r="191" spans="2:45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85" t="e">
        <f>P170-S190</f>
        <v>#DIV/0!</v>
      </c>
      <c r="T191" s="185" t="e">
        <f>S191-T190</f>
        <v>#DIV/0!</v>
      </c>
      <c r="U191" s="185" t="e">
        <f t="shared" ref="U191:Z191" si="406">T191-U190</f>
        <v>#DIV/0!</v>
      </c>
      <c r="V191" s="185" t="e">
        <f t="shared" si="406"/>
        <v>#DIV/0!</v>
      </c>
      <c r="W191" s="185" t="e">
        <f t="shared" si="406"/>
        <v>#DIV/0!</v>
      </c>
      <c r="X191" s="185" t="e">
        <f t="shared" si="406"/>
        <v>#DIV/0!</v>
      </c>
      <c r="Y191" s="185" t="e">
        <f t="shared" si="406"/>
        <v>#DIV/0!</v>
      </c>
      <c r="Z191" s="185" t="e">
        <f t="shared" si="406"/>
        <v>#DIV/0!</v>
      </c>
      <c r="AA191" s="185" t="e">
        <f>Z191-AA190</f>
        <v>#DIV/0!</v>
      </c>
      <c r="AB191" s="185" t="e">
        <f t="shared" ref="AB191" si="407">AA191-AB190</f>
        <v>#DIV/0!</v>
      </c>
      <c r="AC191" s="185" t="e">
        <f t="shared" ref="AC191" si="408">AB191-AC190</f>
        <v>#DIV/0!</v>
      </c>
      <c r="AD191" s="185" t="e">
        <f t="shared" ref="AD191" si="409">AC191-AD190</f>
        <v>#DIV/0!</v>
      </c>
      <c r="AE191" s="185" t="e">
        <f t="shared" ref="AE191" si="410">AD191-AE190</f>
        <v>#DIV/0!</v>
      </c>
      <c r="AF191" s="185" t="e">
        <f t="shared" ref="AF191" si="411">AE191-AF190</f>
        <v>#DIV/0!</v>
      </c>
      <c r="AG191" s="185" t="e">
        <f t="shared" ref="AG191" si="412">AF191-AG190</f>
        <v>#DIV/0!</v>
      </c>
      <c r="AH191" s="185" t="e">
        <f t="shared" ref="AH191" si="413">AG191-AH190</f>
        <v>#DIV/0!</v>
      </c>
      <c r="AI191" s="185" t="e">
        <f t="shared" ref="AI191" si="414">AH191-AI190</f>
        <v>#DIV/0!</v>
      </c>
      <c r="AJ191" s="185" t="e">
        <f t="shared" ref="AJ191" si="415">AI191-AJ190</f>
        <v>#DIV/0!</v>
      </c>
      <c r="AK191" s="185" t="e">
        <f t="shared" ref="AK191" si="416">AJ191-AK190</f>
        <v>#DIV/0!</v>
      </c>
      <c r="AL191" s="185" t="e">
        <f t="shared" ref="AL191" si="417">AK191-AL190</f>
        <v>#DIV/0!</v>
      </c>
      <c r="AM191" s="185" t="e">
        <f t="shared" ref="AM191" si="418">AL191-AM190</f>
        <v>#DIV/0!</v>
      </c>
      <c r="AN191" s="185" t="e">
        <f t="shared" ref="AN191" si="419">AM191-AN190</f>
        <v>#DIV/0!</v>
      </c>
      <c r="AO191" s="185" t="e">
        <f t="shared" ref="AO191" si="420">AN191-AO190</f>
        <v>#DIV/0!</v>
      </c>
      <c r="AP191" s="185" t="e">
        <f t="shared" ref="AP191" si="421">AO191-AP190</f>
        <v>#DIV/0!</v>
      </c>
      <c r="AQ191" s="185" t="e">
        <f t="shared" ref="AQ191" si="422">AP191-AQ190</f>
        <v>#DIV/0!</v>
      </c>
      <c r="AR191" s="185" t="e">
        <f t="shared" ref="AR191" si="423">AQ191-AR190</f>
        <v>#DIV/0!</v>
      </c>
      <c r="AS191" s="185" t="e">
        <f t="shared" ref="AS191" si="424">AR191-AS190</f>
        <v>#DIV/0!</v>
      </c>
    </row>
    <row r="192" spans="2:45" x14ac:dyDescent="0.2">
      <c r="B192" s="108" t="s">
        <v>302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305</v>
      </c>
      <c r="C193" s="25" t="e">
        <f t="shared" ref="C193:P193" si="425">C10/C7</f>
        <v>#DIV/0!</v>
      </c>
      <c r="D193" s="25" t="e">
        <f t="shared" si="425"/>
        <v>#DIV/0!</v>
      </c>
      <c r="E193" s="25" t="e">
        <f t="shared" si="425"/>
        <v>#DIV/0!</v>
      </c>
      <c r="F193" s="25" t="e">
        <f t="shared" si="425"/>
        <v>#DIV/0!</v>
      </c>
      <c r="G193" s="25" t="e">
        <f t="shared" si="425"/>
        <v>#DIV/0!</v>
      </c>
      <c r="H193" s="25" t="e">
        <f t="shared" si="425"/>
        <v>#DIV/0!</v>
      </c>
      <c r="I193" s="25" t="e">
        <f t="shared" si="425"/>
        <v>#DIV/0!</v>
      </c>
      <c r="J193" s="25" t="e">
        <f t="shared" si="425"/>
        <v>#DIV/0!</v>
      </c>
      <c r="K193" s="25" t="e">
        <f t="shared" si="425"/>
        <v>#DIV/0!</v>
      </c>
      <c r="L193" s="25" t="e">
        <f t="shared" si="425"/>
        <v>#DIV/0!</v>
      </c>
      <c r="M193" s="25" t="e">
        <f t="shared" si="425"/>
        <v>#DIV/0!</v>
      </c>
      <c r="N193" s="25" t="e">
        <f t="shared" si="425"/>
        <v>#DIV/0!</v>
      </c>
      <c r="O193" s="25" t="e">
        <f t="shared" si="425"/>
        <v>#DIV/0!</v>
      </c>
      <c r="P193" s="25" t="e">
        <f t="shared" si="425"/>
        <v>#DIV/0!</v>
      </c>
      <c r="Q193" s="118" t="e">
        <f t="shared" ref="Q193:Q195" si="426">((P193/G193)^(1/($H$2-$H$1) ))-1</f>
        <v>#DIV/0!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 t="s">
        <v>306</v>
      </c>
      <c r="C194" s="112" t="e">
        <f>C10/C12</f>
        <v>#DIV/0!</v>
      </c>
      <c r="D194" s="112" t="e">
        <f>D10/D12</f>
        <v>#DIV/0!</v>
      </c>
      <c r="E194" s="112" t="e">
        <f>E10/E12</f>
        <v>#DIV/0!</v>
      </c>
      <c r="F194" s="112" t="e">
        <f>F10/F12</f>
        <v>#DIV/0!</v>
      </c>
      <c r="G194" s="112" t="e">
        <f>G10/G12</f>
        <v>#DIV/0!</v>
      </c>
      <c r="H194" s="112" t="e">
        <f t="shared" ref="H194:P194" si="427">H10/H12</f>
        <v>#DIV/0!</v>
      </c>
      <c r="I194" s="112" t="e">
        <f t="shared" si="427"/>
        <v>#DIV/0!</v>
      </c>
      <c r="J194" s="112" t="e">
        <f t="shared" si="427"/>
        <v>#DIV/0!</v>
      </c>
      <c r="K194" s="112" t="e">
        <f t="shared" si="427"/>
        <v>#DIV/0!</v>
      </c>
      <c r="L194" s="112" t="e">
        <f t="shared" si="427"/>
        <v>#DIV/0!</v>
      </c>
      <c r="M194" s="112" t="e">
        <f t="shared" si="427"/>
        <v>#DIV/0!</v>
      </c>
      <c r="N194" s="112" t="e">
        <f t="shared" si="427"/>
        <v>#DIV/0!</v>
      </c>
      <c r="O194" s="112" t="e">
        <f t="shared" si="427"/>
        <v>#DIV/0!</v>
      </c>
      <c r="P194" s="112" t="e">
        <f t="shared" si="427"/>
        <v>#DIV/0!</v>
      </c>
      <c r="Q194" s="118" t="e">
        <f t="shared" si="426"/>
        <v>#DIV/0!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 t="s">
        <v>307</v>
      </c>
      <c r="C195" s="25" t="e">
        <f>C10/(C12+C13)</f>
        <v>#DIV/0!</v>
      </c>
      <c r="D195" s="25" t="e">
        <f>D10/(D12+D13)</f>
        <v>#DIV/0!</v>
      </c>
      <c r="E195" s="25" t="e">
        <f>E10/(E12+E13)</f>
        <v>#DIV/0!</v>
      </c>
      <c r="F195" s="25" t="e">
        <f>F10/(F12+F13)</f>
        <v>#DIV/0!</v>
      </c>
      <c r="G195" s="25" t="e">
        <f>G10/(G12+G13)</f>
        <v>#DIV/0!</v>
      </c>
      <c r="H195" s="25" t="e">
        <f t="shared" ref="H195:P195" si="428">H10/(H12+H13)</f>
        <v>#DIV/0!</v>
      </c>
      <c r="I195" s="25" t="e">
        <f t="shared" si="428"/>
        <v>#DIV/0!</v>
      </c>
      <c r="J195" s="25" t="e">
        <f t="shared" si="428"/>
        <v>#DIV/0!</v>
      </c>
      <c r="K195" s="25" t="e">
        <f t="shared" si="428"/>
        <v>#DIV/0!</v>
      </c>
      <c r="L195" s="25" t="e">
        <f t="shared" si="428"/>
        <v>#DIV/0!</v>
      </c>
      <c r="M195" s="25" t="e">
        <f t="shared" si="428"/>
        <v>#DIV/0!</v>
      </c>
      <c r="N195" s="25" t="e">
        <f t="shared" si="428"/>
        <v>#DIV/0!</v>
      </c>
      <c r="O195" s="25" t="e">
        <f t="shared" si="428"/>
        <v>#DIV/0!</v>
      </c>
      <c r="P195" s="25" t="e">
        <f t="shared" si="428"/>
        <v>#DIV/0!</v>
      </c>
      <c r="Q195" s="118" t="e">
        <f t="shared" si="426"/>
        <v>#DIV/0!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74" t="s">
        <v>377</v>
      </c>
      <c r="D198" s="175"/>
      <c r="E198" s="175"/>
      <c r="F198" s="175"/>
      <c r="G198" s="175"/>
      <c r="H198" s="175"/>
      <c r="I198" s="175"/>
      <c r="J198" s="175"/>
      <c r="K198" s="20"/>
      <c r="L198" s="195" t="s">
        <v>337</v>
      </c>
      <c r="M198" s="196"/>
      <c r="N198" s="197"/>
      <c r="O198" s="23" t="s">
        <v>340</v>
      </c>
      <c r="P198" s="20"/>
      <c r="Q198" s="195" t="s">
        <v>338</v>
      </c>
      <c r="R198" s="196"/>
      <c r="S198" s="197"/>
      <c r="T198" s="23" t="s">
        <v>340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6" t="s">
        <v>339</v>
      </c>
      <c r="D199" s="166" t="s">
        <v>0</v>
      </c>
      <c r="E199" s="166" t="s">
        <v>378</v>
      </c>
      <c r="F199" s="166" t="s">
        <v>379</v>
      </c>
      <c r="G199" s="166" t="s">
        <v>380</v>
      </c>
      <c r="H199" s="166" t="s">
        <v>381</v>
      </c>
      <c r="I199" s="166" t="s">
        <v>382</v>
      </c>
      <c r="J199" s="166" t="s">
        <v>383</v>
      </c>
      <c r="K199" s="20"/>
      <c r="L199" s="166" t="s">
        <v>339</v>
      </c>
      <c r="M199" s="166"/>
      <c r="N199" s="166" t="s">
        <v>0</v>
      </c>
      <c r="O199" s="166" t="s">
        <v>372</v>
      </c>
      <c r="P199" s="20"/>
      <c r="Q199" s="166" t="s">
        <v>339</v>
      </c>
      <c r="R199" s="166"/>
      <c r="S199" s="166" t="s">
        <v>0</v>
      </c>
      <c r="T199" s="166" t="s">
        <v>372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341</v>
      </c>
      <c r="D200" s="21">
        <v>1</v>
      </c>
      <c r="E200" s="176" t="s">
        <v>384</v>
      </c>
      <c r="F200" s="22">
        <v>1</v>
      </c>
      <c r="G200" s="22">
        <v>1</v>
      </c>
      <c r="H200" s="167">
        <f>F200/G200</f>
        <v>1</v>
      </c>
      <c r="I200" s="167">
        <f>H200*D201</f>
        <v>1</v>
      </c>
      <c r="J200" s="177">
        <f>I200+D201</f>
        <v>2</v>
      </c>
      <c r="K200" s="20"/>
      <c r="L200" s="167" t="s">
        <v>341</v>
      </c>
      <c r="M200" s="167"/>
      <c r="N200" s="21">
        <v>1</v>
      </c>
      <c r="O200" s="173">
        <f>N200</f>
        <v>1</v>
      </c>
      <c r="P200" s="20"/>
      <c r="Q200" s="167" t="s">
        <v>341</v>
      </c>
      <c r="R200" s="167"/>
      <c r="S200" s="21">
        <v>1</v>
      </c>
      <c r="T200" s="173">
        <f>S200</f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342</v>
      </c>
      <c r="D201" s="21">
        <v>1</v>
      </c>
      <c r="E201" s="176" t="s">
        <v>385</v>
      </c>
      <c r="F201" s="22">
        <v>0</v>
      </c>
      <c r="G201" s="22">
        <v>1</v>
      </c>
      <c r="H201" s="167">
        <f>F201/G201</f>
        <v>0</v>
      </c>
      <c r="I201" s="167">
        <f>H201*J200</f>
        <v>0</v>
      </c>
      <c r="J201" s="167">
        <f>I201+J200</f>
        <v>2</v>
      </c>
      <c r="K201" s="20"/>
      <c r="L201" s="167" t="s">
        <v>342</v>
      </c>
      <c r="M201" s="167"/>
      <c r="N201" s="21">
        <v>1</v>
      </c>
      <c r="O201" s="173">
        <f>N201</f>
        <v>1</v>
      </c>
      <c r="P201" s="20"/>
      <c r="Q201" s="167" t="s">
        <v>342</v>
      </c>
      <c r="R201" s="167"/>
      <c r="S201" s="21">
        <v>1</v>
      </c>
      <c r="T201" s="173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344</v>
      </c>
      <c r="D202" s="168">
        <f>D200*D201</f>
        <v>1</v>
      </c>
      <c r="E202" s="176" t="s">
        <v>398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343</v>
      </c>
      <c r="M202" s="167"/>
      <c r="N202" s="168">
        <f>N200*N201</f>
        <v>1</v>
      </c>
      <c r="O202" s="173">
        <f>N202</f>
        <v>1</v>
      </c>
      <c r="P202" s="20"/>
      <c r="Q202" s="167" t="s">
        <v>344</v>
      </c>
      <c r="R202" s="167"/>
      <c r="S202" s="168">
        <f>S200*S201</f>
        <v>1</v>
      </c>
      <c r="T202" s="173">
        <f>S202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/>
      <c r="D203" s="168"/>
      <c r="E203" s="176" t="s">
        <v>386</v>
      </c>
      <c r="F203" s="22">
        <v>10</v>
      </c>
      <c r="G203" s="22">
        <v>1</v>
      </c>
      <c r="H203" s="167">
        <f>F203/G203</f>
        <v>10</v>
      </c>
      <c r="I203" s="167">
        <f>H203*J202</f>
        <v>20</v>
      </c>
      <c r="J203" s="167">
        <f>I203</f>
        <v>20</v>
      </c>
      <c r="K203" s="20"/>
      <c r="L203" s="167" t="s">
        <v>345</v>
      </c>
      <c r="M203" s="167"/>
      <c r="N203" s="21">
        <v>1</v>
      </c>
      <c r="O203" s="21">
        <v>1</v>
      </c>
      <c r="P203" s="20"/>
      <c r="Q203" s="167" t="s">
        <v>345</v>
      </c>
      <c r="R203" s="167"/>
      <c r="S203" s="21">
        <v>1</v>
      </c>
      <c r="T203" s="21">
        <v>1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 t="s">
        <v>345</v>
      </c>
      <c r="D204" s="21">
        <v>1</v>
      </c>
      <c r="E204" s="176"/>
      <c r="F204" s="167"/>
      <c r="G204" s="167"/>
      <c r="H204" s="169" t="s">
        <v>387</v>
      </c>
      <c r="I204" s="167"/>
      <c r="J204" s="167">
        <f>J203</f>
        <v>20</v>
      </c>
      <c r="K204" s="20"/>
      <c r="L204" s="167" t="s">
        <v>346</v>
      </c>
      <c r="M204" s="167"/>
      <c r="N204" s="168">
        <f>N203*N201</f>
        <v>1</v>
      </c>
      <c r="O204" s="168">
        <f>O203*O201</f>
        <v>1</v>
      </c>
      <c r="P204" s="20"/>
      <c r="Q204" s="167" t="s">
        <v>342</v>
      </c>
      <c r="R204" s="167"/>
      <c r="S204" s="21">
        <v>1</v>
      </c>
      <c r="T204" s="127">
        <f>S204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7" t="s">
        <v>342</v>
      </c>
      <c r="D205" s="21">
        <v>1</v>
      </c>
      <c r="E205" s="176" t="s">
        <v>386</v>
      </c>
      <c r="F205" s="22">
        <v>10</v>
      </c>
      <c r="G205" s="22">
        <v>2</v>
      </c>
      <c r="H205" s="167">
        <f>F205/G205</f>
        <v>5</v>
      </c>
      <c r="I205" s="177">
        <f>H205*D201</f>
        <v>5</v>
      </c>
      <c r="J205" s="177">
        <f>I205</f>
        <v>5</v>
      </c>
      <c r="K205" s="20"/>
      <c r="L205" s="167"/>
      <c r="M205" s="167"/>
      <c r="N205" s="168"/>
      <c r="O205" s="168"/>
      <c r="P205" s="20"/>
      <c r="Q205" s="167" t="s">
        <v>344</v>
      </c>
      <c r="R205" s="167"/>
      <c r="S205" s="168">
        <f>S204*S203</f>
        <v>1</v>
      </c>
      <c r="T205" s="168">
        <f>T204*T203</f>
        <v>1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7" t="s">
        <v>344</v>
      </c>
      <c r="D206" s="168">
        <f>D205*D204</f>
        <v>1</v>
      </c>
      <c r="E206" s="167"/>
      <c r="F206" s="167"/>
      <c r="G206" s="167"/>
      <c r="H206" s="169" t="s">
        <v>387</v>
      </c>
      <c r="I206" s="167"/>
      <c r="J206" s="167">
        <f>J205</f>
        <v>5</v>
      </c>
      <c r="K206" s="20"/>
      <c r="L206" s="167"/>
      <c r="M206" s="167"/>
      <c r="N206" s="168"/>
      <c r="O206" s="168"/>
      <c r="P206" s="20"/>
      <c r="Q206" s="167"/>
      <c r="R206" s="167"/>
      <c r="S206" s="168"/>
      <c r="T206" s="168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167"/>
      <c r="D207" s="168"/>
      <c r="E207" s="176" t="s">
        <v>386</v>
      </c>
      <c r="F207" s="22">
        <v>10</v>
      </c>
      <c r="G207" s="22">
        <v>2</v>
      </c>
      <c r="H207" s="167">
        <f>F207/G207</f>
        <v>5</v>
      </c>
      <c r="I207" s="167">
        <f>H207*J206</f>
        <v>25</v>
      </c>
      <c r="J207" s="167">
        <f>I207</f>
        <v>25</v>
      </c>
      <c r="K207" s="20"/>
      <c r="L207" s="169" t="s">
        <v>347</v>
      </c>
      <c r="M207" s="169"/>
      <c r="N207" s="170">
        <f>N204/N202</f>
        <v>1</v>
      </c>
      <c r="O207" s="170">
        <f>O204/O202</f>
        <v>1</v>
      </c>
      <c r="P207" s="20"/>
      <c r="Q207" s="169" t="s">
        <v>347</v>
      </c>
      <c r="R207" s="169"/>
      <c r="S207" s="170">
        <f>S205/S202</f>
        <v>1</v>
      </c>
      <c r="T207" s="170">
        <f>T205/T202</f>
        <v>1</v>
      </c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169" t="s">
        <v>347</v>
      </c>
      <c r="D208" s="170">
        <f>D206/D202</f>
        <v>1</v>
      </c>
      <c r="E208" s="176"/>
      <c r="F208" s="167"/>
      <c r="G208" s="167"/>
      <c r="H208" s="169" t="s">
        <v>387</v>
      </c>
      <c r="I208" s="167"/>
      <c r="J208" s="167">
        <f>J207</f>
        <v>25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137"/>
      <c r="E210" s="178"/>
      <c r="F210" s="178"/>
      <c r="G210" s="179"/>
      <c r="H210" s="20"/>
      <c r="I210" s="137"/>
      <c r="J210" s="178"/>
      <c r="K210" s="17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ht="14.25" x14ac:dyDescent="0.2">
      <c r="B211" s="20"/>
      <c r="C211" s="20"/>
      <c r="D211" s="188" t="s">
        <v>27</v>
      </c>
      <c r="E211" s="189"/>
      <c r="F211" s="189"/>
      <c r="G211" s="190"/>
      <c r="H211" s="20"/>
      <c r="I211" s="188" t="s">
        <v>393</v>
      </c>
      <c r="J211" s="189"/>
      <c r="K211" s="19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28</v>
      </c>
      <c r="E212" s="127"/>
      <c r="F212" s="127"/>
      <c r="G212" s="21">
        <f>D202</f>
        <v>1</v>
      </c>
      <c r="H212" s="20"/>
      <c r="I212" s="20" t="s">
        <v>28</v>
      </c>
      <c r="J212" s="127"/>
      <c r="K212" s="21">
        <f>G212</f>
        <v>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 t="s">
        <v>29</v>
      </c>
      <c r="E213" s="127"/>
      <c r="F213" s="127"/>
      <c r="G213" s="21">
        <f>D206</f>
        <v>1</v>
      </c>
      <c r="H213" s="20"/>
      <c r="I213" s="20" t="s">
        <v>29</v>
      </c>
      <c r="J213" s="20"/>
      <c r="K213" s="21">
        <f>G213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0"/>
      <c r="F214" s="20"/>
      <c r="G214" s="22"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31</v>
      </c>
      <c r="E215" s="3"/>
      <c r="F215" s="3"/>
      <c r="G215" s="3">
        <f>((G213/G212)^(1/G214))-1</f>
        <v>0</v>
      </c>
      <c r="H215" s="20"/>
      <c r="I215" s="23" t="s">
        <v>394</v>
      </c>
      <c r="J215" s="23"/>
      <c r="K215" s="23">
        <f>(K213-K212)/K212</f>
        <v>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3" t="s">
        <v>32</v>
      </c>
      <c r="E216" s="165"/>
      <c r="F216" s="165"/>
      <c r="G216" s="24">
        <f>G214*12</f>
        <v>12</v>
      </c>
      <c r="H216" s="20"/>
      <c r="I216" s="23" t="s">
        <v>395</v>
      </c>
      <c r="J216" s="23"/>
      <c r="K216" s="23">
        <f>K213/K212</f>
        <v>1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0" t="s">
        <v>30</v>
      </c>
      <c r="E217" s="25"/>
      <c r="F217" s="25"/>
      <c r="G217" s="25">
        <f>G216/12</f>
        <v>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"/>
      <c r="D218" s="23" t="s">
        <v>33</v>
      </c>
      <c r="E218" s="3"/>
      <c r="F218" s="3"/>
      <c r="G218" s="3">
        <f>((G213/G212)^(1/G217))-1</f>
        <v>0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spans="2:31" x14ac:dyDescent="0.2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spans="2:31" x14ac:dyDescent="0.2"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7">
    <mergeCell ref="D211:G211"/>
    <mergeCell ref="I211:K211"/>
    <mergeCell ref="AD2:AE2"/>
    <mergeCell ref="AD3:AE3"/>
    <mergeCell ref="L198:N198"/>
    <mergeCell ref="Q198:S198"/>
    <mergeCell ref="K181:L181"/>
  </mergeCells>
  <pageMargins left="0.7" right="0.7" top="0.75" bottom="0.75" header="0.3" footer="0.3"/>
  <pageSetup orientation="portrait" r:id="rId1"/>
  <ignoredErrors>
    <ignoredError sqref="C172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2014-04-26T07:21:23Z</dcterms:modified>
</cp:coreProperties>
</file>
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4519"/>
</workbook>
</file>

<file path=xl/calcChain.xml><?xml version="1.0" encoding="utf-8"?>
<calcChain xmlns="http://schemas.openxmlformats.org/spreadsheetml/2006/main">
  <c r="C1" i="18"/>
  <c r="S60" l="1"/>
  <c r="R60"/>
  <c r="Q60"/>
  <c r="P60"/>
  <c r="O60"/>
  <c r="N60"/>
  <c r="M60"/>
  <c r="L60"/>
  <c r="K60"/>
  <c r="J60"/>
  <c r="I60"/>
  <c r="H60"/>
  <c r="G60"/>
  <c r="S58"/>
  <c r="R58"/>
  <c r="Q58"/>
  <c r="P58"/>
  <c r="O58"/>
  <c r="N58"/>
  <c r="M58"/>
  <c r="L58"/>
  <c r="K58"/>
  <c r="J58"/>
  <c r="I58"/>
  <c r="H58"/>
  <c r="G58"/>
  <c r="S56"/>
  <c r="R56"/>
  <c r="Q56"/>
  <c r="P56"/>
  <c r="O56"/>
  <c r="N56"/>
  <c r="M56"/>
  <c r="L56"/>
  <c r="K56"/>
  <c r="J56"/>
  <c r="I56"/>
  <c r="H56"/>
  <c r="G56"/>
  <c r="S54"/>
  <c r="R54"/>
  <c r="Q54"/>
  <c r="P54"/>
  <c r="O54"/>
  <c r="N54"/>
  <c r="M54"/>
  <c r="L54"/>
  <c r="K54"/>
  <c r="J54"/>
  <c r="I54"/>
  <c r="H54"/>
  <c r="G54"/>
  <c r="S52"/>
  <c r="R52"/>
  <c r="Q52"/>
  <c r="P52"/>
  <c r="O52"/>
  <c r="N52"/>
  <c r="M52"/>
  <c r="L52"/>
  <c r="K52"/>
  <c r="J52"/>
  <c r="I52"/>
  <c r="H52"/>
  <c r="G52"/>
  <c r="I49"/>
  <c r="H49" s="1"/>
  <c r="G49" s="1"/>
  <c r="S48"/>
  <c r="R48"/>
  <c r="Q48"/>
  <c r="P48"/>
  <c r="O48"/>
  <c r="N48"/>
  <c r="M48"/>
  <c r="L48"/>
  <c r="K48"/>
  <c r="I47"/>
  <c r="J48" s="1"/>
  <c r="H47"/>
  <c r="S46"/>
  <c r="R46"/>
  <c r="Q46"/>
  <c r="P46"/>
  <c r="O46"/>
  <c r="N46"/>
  <c r="M46"/>
  <c r="L46"/>
  <c r="K46"/>
  <c r="I45"/>
  <c r="J46" s="1"/>
  <c r="H45"/>
  <c r="S44"/>
  <c r="R44"/>
  <c r="Q44"/>
  <c r="P44"/>
  <c r="O44"/>
  <c r="N44"/>
  <c r="M44"/>
  <c r="L44"/>
  <c r="K44"/>
  <c r="I43"/>
  <c r="J44" s="1"/>
  <c r="H43"/>
  <c r="I42"/>
  <c r="H42" s="1"/>
  <c r="G42" s="1"/>
  <c r="I41"/>
  <c r="H41"/>
  <c r="G41" s="1"/>
  <c r="I40"/>
  <c r="H40" s="1"/>
  <c r="G40" s="1"/>
  <c r="S39"/>
  <c r="R39"/>
  <c r="Q39"/>
  <c r="P39"/>
  <c r="O39"/>
  <c r="N39"/>
  <c r="M39"/>
  <c r="L39"/>
  <c r="K39"/>
  <c r="I38"/>
  <c r="S37"/>
  <c r="R37"/>
  <c r="Q37"/>
  <c r="P37"/>
  <c r="O37"/>
  <c r="N37"/>
  <c r="M37"/>
  <c r="L37"/>
  <c r="K37"/>
  <c r="I36"/>
  <c r="S30"/>
  <c r="R30"/>
  <c r="Q30"/>
  <c r="P30"/>
  <c r="O30"/>
  <c r="N30"/>
  <c r="M30"/>
  <c r="L30"/>
  <c r="K30"/>
  <c r="J30"/>
  <c r="I30"/>
  <c r="H30"/>
  <c r="G30"/>
  <c r="S28"/>
  <c r="R28"/>
  <c r="Q28"/>
  <c r="P28"/>
  <c r="O28"/>
  <c r="N28"/>
  <c r="M28"/>
  <c r="L28"/>
  <c r="K28"/>
  <c r="J28"/>
  <c r="I28"/>
  <c r="H28"/>
  <c r="G28"/>
  <c r="S26"/>
  <c r="R26"/>
  <c r="Q26"/>
  <c r="P26"/>
  <c r="O26"/>
  <c r="N26"/>
  <c r="M26"/>
  <c r="L26"/>
  <c r="K26"/>
  <c r="J26"/>
  <c r="I26"/>
  <c r="H26"/>
  <c r="G26"/>
  <c r="O12"/>
  <c r="L12"/>
  <c r="S11"/>
  <c r="R11"/>
  <c r="Q11"/>
  <c r="P11"/>
  <c r="O11"/>
  <c r="N11"/>
  <c r="M11"/>
  <c r="L11"/>
  <c r="K11"/>
  <c r="J11"/>
  <c r="I11"/>
  <c r="H11"/>
  <c r="G11"/>
  <c r="S8"/>
  <c r="R8"/>
  <c r="Q8"/>
  <c r="P8"/>
  <c r="O8"/>
  <c r="N8"/>
  <c r="M8"/>
  <c r="L8"/>
  <c r="K8"/>
  <c r="J8"/>
  <c r="I8"/>
  <c r="H8"/>
  <c r="G8"/>
  <c r="J37" l="1"/>
  <c r="J39"/>
  <c r="I44"/>
  <c r="I46"/>
  <c r="I48"/>
  <c r="H36"/>
  <c r="H38"/>
  <c r="G43"/>
  <c r="G44" s="1"/>
  <c r="G45"/>
  <c r="G46" s="1"/>
  <c r="G47"/>
  <c r="G48" s="1"/>
  <c r="G36" l="1"/>
  <c r="G37" s="1"/>
  <c r="H46"/>
  <c r="H44"/>
  <c r="I37"/>
  <c r="H39"/>
  <c r="G38"/>
  <c r="G39" s="1"/>
  <c r="H48"/>
  <c r="I39"/>
  <c r="H37" l="1"/>
  <c r="G102" l="1"/>
  <c r="H102"/>
  <c r="I102"/>
  <c r="J102"/>
  <c r="K102"/>
  <c r="L102"/>
  <c r="M102"/>
  <c r="N102"/>
  <c r="O102"/>
  <c r="P102"/>
  <c r="Q102"/>
  <c r="R102"/>
  <c r="S102"/>
  <c r="T102"/>
  <c r="U102"/>
  <c r="U250"/>
  <c r="V250" s="1"/>
  <c r="U249"/>
  <c r="U248"/>
  <c r="V248" s="1"/>
  <c r="X57"/>
  <c r="X59"/>
  <c r="V249"/>
  <c r="V201"/>
  <c r="S170"/>
  <c r="S244" s="1"/>
  <c r="T170"/>
  <c r="V7"/>
  <c r="V9"/>
  <c r="V10"/>
  <c r="V12"/>
  <c r="V13"/>
  <c r="V14"/>
  <c r="V15"/>
  <c r="V16"/>
  <c r="V18"/>
  <c r="V20"/>
  <c r="V21"/>
  <c r="V22"/>
  <c r="V23"/>
  <c r="V25"/>
  <c r="V27"/>
  <c r="V29"/>
  <c r="V31"/>
  <c r="V32"/>
  <c r="V33"/>
  <c r="V34"/>
  <c r="V51"/>
  <c r="V53"/>
  <c r="V55"/>
  <c r="V57"/>
  <c r="V59"/>
  <c r="V61"/>
  <c r="V62"/>
  <c r="V63"/>
  <c r="V102"/>
  <c r="V6"/>
  <c r="U66"/>
  <c r="U202" s="1"/>
  <c r="U67"/>
  <c r="U68"/>
  <c r="U70"/>
  <c r="U71"/>
  <c r="U72"/>
  <c r="U73"/>
  <c r="U74"/>
  <c r="U75"/>
  <c r="U76"/>
  <c r="U78"/>
  <c r="U79"/>
  <c r="U80"/>
  <c r="U82"/>
  <c r="U83"/>
  <c r="U85"/>
  <c r="U86"/>
  <c r="U88"/>
  <c r="U90"/>
  <c r="U92" s="1"/>
  <c r="U93"/>
  <c r="U94"/>
  <c r="U95"/>
  <c r="U96"/>
  <c r="U98"/>
  <c r="U99"/>
  <c r="U100"/>
  <c r="U105"/>
  <c r="U106"/>
  <c r="U107"/>
  <c r="U108"/>
  <c r="U109"/>
  <c r="U110"/>
  <c r="U112"/>
  <c r="U118" s="1"/>
  <c r="U113"/>
  <c r="U119" s="1"/>
  <c r="U114"/>
  <c r="U115"/>
  <c r="U116"/>
  <c r="U120"/>
  <c r="U121"/>
  <c r="U122"/>
  <c r="U124"/>
  <c r="U125"/>
  <c r="U126"/>
  <c r="U127"/>
  <c r="U128"/>
  <c r="U129"/>
  <c r="U130"/>
  <c r="U131"/>
  <c r="U132"/>
  <c r="U134"/>
  <c r="U135"/>
  <c r="U136"/>
  <c r="U137"/>
  <c r="U139"/>
  <c r="U140" s="1"/>
  <c r="U141" s="1"/>
  <c r="U142" s="1"/>
  <c r="U145"/>
  <c r="U146"/>
  <c r="U147"/>
  <c r="U149"/>
  <c r="U150"/>
  <c r="U151"/>
  <c r="U154"/>
  <c r="U155"/>
  <c r="U156"/>
  <c r="U157"/>
  <c r="U159"/>
  <c r="U160"/>
  <c r="U162"/>
  <c r="U163" s="1"/>
  <c r="U164"/>
  <c r="U166"/>
  <c r="U167"/>
  <c r="U203"/>
  <c r="U204"/>
  <c r="U205"/>
  <c r="U206"/>
  <c r="U208"/>
  <c r="U209"/>
  <c r="U211"/>
  <c r="U212"/>
  <c r="U214"/>
  <c r="U215"/>
  <c r="U216"/>
  <c r="U217" s="1"/>
  <c r="U220"/>
  <c r="U219" s="1"/>
  <c r="U225"/>
  <c r="U224" s="1"/>
  <c r="U8"/>
  <c r="U11"/>
  <c r="U26"/>
  <c r="U28"/>
  <c r="U30"/>
  <c r="U37"/>
  <c r="U39"/>
  <c r="U44"/>
  <c r="U46"/>
  <c r="U48"/>
  <c r="U52"/>
  <c r="U54"/>
  <c r="U56"/>
  <c r="U58"/>
  <c r="U60"/>
  <c r="U84" l="1"/>
  <c r="U207" s="1"/>
  <c r="S245"/>
  <c r="U143"/>
  <c r="U226"/>
  <c r="U221"/>
  <c r="G211"/>
  <c r="V211" s="1"/>
  <c r="G212"/>
  <c r="V212" s="1"/>
  <c r="G66"/>
  <c r="G202" s="1"/>
  <c r="V202" s="1"/>
  <c r="G67"/>
  <c r="V67" s="1"/>
  <c r="G68"/>
  <c r="G110" s="1"/>
  <c r="V110" s="1"/>
  <c r="G70"/>
  <c r="G204" s="1"/>
  <c r="V204" s="1"/>
  <c r="G71"/>
  <c r="G205" s="1"/>
  <c r="V205" s="1"/>
  <c r="G72"/>
  <c r="V72" s="1"/>
  <c r="G73"/>
  <c r="V73" s="1"/>
  <c r="G74"/>
  <c r="V74" s="1"/>
  <c r="G75"/>
  <c r="G206" s="1"/>
  <c r="V206" s="1"/>
  <c r="G76"/>
  <c r="V76" s="1"/>
  <c r="G78"/>
  <c r="V78" s="1"/>
  <c r="G79"/>
  <c r="V79" s="1"/>
  <c r="G80"/>
  <c r="G209" s="1"/>
  <c r="V209" s="1"/>
  <c r="G82"/>
  <c r="V82" s="1"/>
  <c r="G83"/>
  <c r="V83" s="1"/>
  <c r="G85"/>
  <c r="V85" s="1"/>
  <c r="G86"/>
  <c r="G208" s="1"/>
  <c r="V208" s="1"/>
  <c r="G88"/>
  <c r="G139" s="1"/>
  <c r="G140" s="1"/>
  <c r="G141" s="1"/>
  <c r="G142" s="1"/>
  <c r="V142" s="1"/>
  <c r="G90"/>
  <c r="G92" s="1"/>
  <c r="V92" s="1"/>
  <c r="G93"/>
  <c r="V93" s="1"/>
  <c r="G94"/>
  <c r="V94" s="1"/>
  <c r="G95"/>
  <c r="V95" s="1"/>
  <c r="G96"/>
  <c r="V96" s="1"/>
  <c r="G98"/>
  <c r="G164" s="1"/>
  <c r="V164" s="1"/>
  <c r="G99"/>
  <c r="V99" s="1"/>
  <c r="G100"/>
  <c r="V100" s="1"/>
  <c r="G105"/>
  <c r="V105" s="1"/>
  <c r="G106"/>
  <c r="V106" s="1"/>
  <c r="G107"/>
  <c r="V107" s="1"/>
  <c r="G108"/>
  <c r="V108" s="1"/>
  <c r="G109"/>
  <c r="V109" s="1"/>
  <c r="G112"/>
  <c r="G118" s="1"/>
  <c r="V118" s="1"/>
  <c r="G113"/>
  <c r="G119" s="1"/>
  <c r="V119" s="1"/>
  <c r="G114"/>
  <c r="G120" s="1"/>
  <c r="V120" s="1"/>
  <c r="G115"/>
  <c r="G121" s="1"/>
  <c r="V121" s="1"/>
  <c r="G116"/>
  <c r="G122" s="1"/>
  <c r="V122" s="1"/>
  <c r="G134"/>
  <c r="V134" s="1"/>
  <c r="G135"/>
  <c r="V135" s="1"/>
  <c r="G136"/>
  <c r="V136" s="1"/>
  <c r="G137"/>
  <c r="V137" s="1"/>
  <c r="G145"/>
  <c r="V145" s="1"/>
  <c r="G146"/>
  <c r="V146" s="1"/>
  <c r="G147"/>
  <c r="V147" s="1"/>
  <c r="G149"/>
  <c r="V149" s="1"/>
  <c r="G150"/>
  <c r="V150" s="1"/>
  <c r="G151"/>
  <c r="V151" s="1"/>
  <c r="G154"/>
  <c r="V154" s="1"/>
  <c r="G155"/>
  <c r="V155" s="1"/>
  <c r="G156"/>
  <c r="V156" s="1"/>
  <c r="G157"/>
  <c r="V157" s="1"/>
  <c r="G159"/>
  <c r="V159" s="1"/>
  <c r="G160"/>
  <c r="V160" s="1"/>
  <c r="G162"/>
  <c r="G163" s="1"/>
  <c r="V163" s="1"/>
  <c r="G166"/>
  <c r="V166" s="1"/>
  <c r="G167"/>
  <c r="V167" s="1"/>
  <c r="AI232"/>
  <c r="AJ231"/>
  <c r="AI231"/>
  <c r="AI230"/>
  <c r="AI229"/>
  <c r="V140" l="1"/>
  <c r="V141"/>
  <c r="V98"/>
  <c r="V113"/>
  <c r="V139"/>
  <c r="V75"/>
  <c r="V86"/>
  <c r="V112"/>
  <c r="V116"/>
  <c r="V68"/>
  <c r="V80"/>
  <c r="V162"/>
  <c r="V90"/>
  <c r="V70"/>
  <c r="V114"/>
  <c r="V66"/>
  <c r="V71"/>
  <c r="V88"/>
  <c r="V115"/>
  <c r="U227"/>
  <c r="U222"/>
  <c r="G203"/>
  <c r="G215" s="1"/>
  <c r="V215" s="1"/>
  <c r="G84"/>
  <c r="G143"/>
  <c r="V143" s="1"/>
  <c r="G214"/>
  <c r="V214" s="1"/>
  <c r="K124" i="20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37"/>
  <c r="H32"/>
  <c r="L31"/>
  <c r="L32" s="1"/>
  <c r="L33" s="1"/>
  <c r="H31"/>
  <c r="C31"/>
  <c r="C32" s="1"/>
  <c r="L30"/>
  <c r="L22"/>
  <c r="P21"/>
  <c r="L20"/>
  <c r="H20"/>
  <c r="P19"/>
  <c r="Q19" s="1"/>
  <c r="R19" s="1"/>
  <c r="R20" s="1"/>
  <c r="Q21" s="1"/>
  <c r="R21" s="1"/>
  <c r="R22" s="1"/>
  <c r="H19"/>
  <c r="C19"/>
  <c r="C20" s="1"/>
  <c r="P17"/>
  <c r="L17"/>
  <c r="P16"/>
  <c r="Q15"/>
  <c r="R15" s="1"/>
  <c r="P15"/>
  <c r="N12"/>
  <c r="N11"/>
  <c r="Q10"/>
  <c r="N10"/>
  <c r="H10"/>
  <c r="N9"/>
  <c r="H9"/>
  <c r="C9"/>
  <c r="C10" s="1"/>
  <c r="N8"/>
  <c r="N7"/>
  <c r="N6"/>
  <c r="Q5"/>
  <c r="N5"/>
  <c r="L41" l="1"/>
  <c r="M28" s="1"/>
  <c r="M29" s="1"/>
  <c r="G207" i="18"/>
  <c r="V207" s="1"/>
  <c r="V84"/>
  <c r="G216"/>
  <c r="V203"/>
  <c r="H69" i="20"/>
  <c r="G50"/>
  <c r="C51" s="1"/>
  <c r="F50"/>
  <c r="J50"/>
  <c r="P49"/>
  <c r="Q16"/>
  <c r="R16" s="1"/>
  <c r="Q17" s="1"/>
  <c r="R17" s="1"/>
  <c r="R18" s="1"/>
  <c r="I94"/>
  <c r="M93"/>
  <c r="L40"/>
  <c r="B94"/>
  <c r="F93"/>
  <c r="F92"/>
  <c r="G92" s="1"/>
  <c r="C93" s="1"/>
  <c r="M92"/>
  <c r="N92" s="1"/>
  <c r="J93" s="1"/>
  <c r="G217" i="18" l="1"/>
  <c r="V217" s="1"/>
  <c r="V216"/>
  <c r="B95" i="20"/>
  <c r="F94"/>
  <c r="I95"/>
  <c r="M94"/>
  <c r="N94" s="1"/>
  <c r="J95" s="1"/>
  <c r="M50"/>
  <c r="N50" s="1"/>
  <c r="H70"/>
  <c r="G51"/>
  <c r="C52" s="1"/>
  <c r="F51"/>
  <c r="G93"/>
  <c r="C94" s="1"/>
  <c r="N93"/>
  <c r="J94" s="1"/>
  <c r="J51" l="1"/>
  <c r="P50"/>
  <c r="I96"/>
  <c r="M95"/>
  <c r="N95" s="1"/>
  <c r="J96" s="1"/>
  <c r="B96"/>
  <c r="F95"/>
  <c r="H71"/>
  <c r="G52"/>
  <c r="C53" s="1"/>
  <c r="F52"/>
  <c r="G94"/>
  <c r="C95" s="1"/>
  <c r="H72" l="1"/>
  <c r="G53"/>
  <c r="C54" s="1"/>
  <c r="F53"/>
  <c r="B97"/>
  <c r="F96"/>
  <c r="I97"/>
  <c r="M96"/>
  <c r="N96" s="1"/>
  <c r="J97" s="1"/>
  <c r="N51"/>
  <c r="M51"/>
  <c r="G95"/>
  <c r="C96" s="1"/>
  <c r="J52" l="1"/>
  <c r="P51"/>
  <c r="I98"/>
  <c r="M97"/>
  <c r="N97" s="1"/>
  <c r="J98" s="1"/>
  <c r="B98"/>
  <c r="F97"/>
  <c r="H73"/>
  <c r="G54"/>
  <c r="C55" s="1"/>
  <c r="F54"/>
  <c r="G96"/>
  <c r="C97" s="1"/>
  <c r="H74" l="1"/>
  <c r="G55"/>
  <c r="C56" s="1"/>
  <c r="F55"/>
  <c r="B99"/>
  <c r="F98"/>
  <c r="I99"/>
  <c r="M98"/>
  <c r="N98" s="1"/>
  <c r="J99" s="1"/>
  <c r="N52"/>
  <c r="M52"/>
  <c r="G97"/>
  <c r="C98" s="1"/>
  <c r="G275" i="18"/>
  <c r="G276" s="1"/>
  <c r="H248"/>
  <c r="I248"/>
  <c r="H249"/>
  <c r="I249"/>
  <c r="H250"/>
  <c r="I250"/>
  <c r="H211"/>
  <c r="I211"/>
  <c r="H212"/>
  <c r="I212"/>
  <c r="H66"/>
  <c r="I66"/>
  <c r="I202" s="1"/>
  <c r="H67"/>
  <c r="I67"/>
  <c r="H68"/>
  <c r="I68"/>
  <c r="H70"/>
  <c r="H204" s="1"/>
  <c r="I70"/>
  <c r="I204" s="1"/>
  <c r="H71"/>
  <c r="H205" s="1"/>
  <c r="I71"/>
  <c r="I205" s="1"/>
  <c r="H72"/>
  <c r="I72"/>
  <c r="I203" s="1"/>
  <c r="H73"/>
  <c r="I73"/>
  <c r="H74"/>
  <c r="I74"/>
  <c r="I75"/>
  <c r="I206" s="1"/>
  <c r="H76"/>
  <c r="I76"/>
  <c r="H78"/>
  <c r="I78"/>
  <c r="H79"/>
  <c r="I79"/>
  <c r="H80"/>
  <c r="I80"/>
  <c r="I209" s="1"/>
  <c r="H82"/>
  <c r="I82"/>
  <c r="H83"/>
  <c r="I83"/>
  <c r="H84"/>
  <c r="H207" s="1"/>
  <c r="I84"/>
  <c r="I207" s="1"/>
  <c r="H85"/>
  <c r="I85"/>
  <c r="H86"/>
  <c r="H208" s="1"/>
  <c r="I86"/>
  <c r="I208" s="1"/>
  <c r="H88"/>
  <c r="H139" s="1"/>
  <c r="H140" s="1"/>
  <c r="I88"/>
  <c r="H90"/>
  <c r="I90"/>
  <c r="H92"/>
  <c r="I92"/>
  <c r="H93"/>
  <c r="I93"/>
  <c r="H94"/>
  <c r="I94"/>
  <c r="H95"/>
  <c r="I95"/>
  <c r="H96"/>
  <c r="I96"/>
  <c r="H98"/>
  <c r="I98"/>
  <c r="I164" s="1"/>
  <c r="H99"/>
  <c r="I99"/>
  <c r="I100"/>
  <c r="H105"/>
  <c r="I105"/>
  <c r="H106"/>
  <c r="I106"/>
  <c r="H107"/>
  <c r="I107"/>
  <c r="H108"/>
  <c r="I108"/>
  <c r="H109"/>
  <c r="I109"/>
  <c r="H110"/>
  <c r="I110"/>
  <c r="H112"/>
  <c r="I112"/>
  <c r="H113"/>
  <c r="I113"/>
  <c r="H114"/>
  <c r="I114"/>
  <c r="H115"/>
  <c r="I115"/>
  <c r="H116"/>
  <c r="I116"/>
  <c r="H118"/>
  <c r="I118"/>
  <c r="H119"/>
  <c r="I119"/>
  <c r="H120"/>
  <c r="I120"/>
  <c r="H121"/>
  <c r="I121"/>
  <c r="H122"/>
  <c r="I122"/>
  <c r="H134"/>
  <c r="I134"/>
  <c r="H135"/>
  <c r="I135"/>
  <c r="H136"/>
  <c r="I136"/>
  <c r="H137"/>
  <c r="I137"/>
  <c r="I139"/>
  <c r="I140" s="1"/>
  <c r="I141" s="1"/>
  <c r="I142" s="1"/>
  <c r="H145"/>
  <c r="I145"/>
  <c r="H146"/>
  <c r="I146"/>
  <c r="H147"/>
  <c r="I147"/>
  <c r="H149"/>
  <c r="I149"/>
  <c r="H150"/>
  <c r="I150"/>
  <c r="H151"/>
  <c r="I151"/>
  <c r="H154"/>
  <c r="I154"/>
  <c r="H155"/>
  <c r="I155"/>
  <c r="H156"/>
  <c r="I156"/>
  <c r="H157"/>
  <c r="I157"/>
  <c r="H159"/>
  <c r="I159"/>
  <c r="H160"/>
  <c r="I160"/>
  <c r="H162"/>
  <c r="I162"/>
  <c r="H163"/>
  <c r="I163"/>
  <c r="H164"/>
  <c r="H166"/>
  <c r="I166"/>
  <c r="H167"/>
  <c r="I167"/>
  <c r="V45" l="1"/>
  <c r="V38"/>
  <c r="I143"/>
  <c r="H141"/>
  <c r="H142" s="1"/>
  <c r="H143"/>
  <c r="V40"/>
  <c r="V42"/>
  <c r="V41"/>
  <c r="V43"/>
  <c r="I125"/>
  <c r="I126"/>
  <c r="I127"/>
  <c r="I128"/>
  <c r="I131"/>
  <c r="V47"/>
  <c r="I129"/>
  <c r="V36"/>
  <c r="I124"/>
  <c r="I132"/>
  <c r="I215"/>
  <c r="I216"/>
  <c r="I217" s="1"/>
  <c r="I214"/>
  <c r="H214"/>
  <c r="H203"/>
  <c r="H209"/>
  <c r="H202"/>
  <c r="G98" i="20"/>
  <c r="C99" s="1"/>
  <c r="J53"/>
  <c r="P52"/>
  <c r="I100"/>
  <c r="M99"/>
  <c r="N99" s="1"/>
  <c r="J100" s="1"/>
  <c r="B100"/>
  <c r="F99"/>
  <c r="G99" s="1"/>
  <c r="C100" s="1"/>
  <c r="F56"/>
  <c r="G56" s="1"/>
  <c r="H100" i="18"/>
  <c r="H75"/>
  <c r="T129"/>
  <c r="S129"/>
  <c r="R129"/>
  <c r="Q129"/>
  <c r="P129"/>
  <c r="O129"/>
  <c r="N129"/>
  <c r="M129"/>
  <c r="L129"/>
  <c r="K129"/>
  <c r="J129"/>
  <c r="AI47"/>
  <c r="W47"/>
  <c r="T48"/>
  <c r="T130"/>
  <c r="S130"/>
  <c r="R130"/>
  <c r="Q130"/>
  <c r="P130"/>
  <c r="O130"/>
  <c r="N130"/>
  <c r="M130"/>
  <c r="L130"/>
  <c r="K130"/>
  <c r="X47" l="1"/>
  <c r="Y47" s="1"/>
  <c r="Z47" s="1"/>
  <c r="AA47" s="1"/>
  <c r="AB47" s="1"/>
  <c r="AC47" s="1"/>
  <c r="AD47" s="1"/>
  <c r="AE47" s="1"/>
  <c r="AF47" s="1"/>
  <c r="AG47" s="1"/>
  <c r="AH47" s="1"/>
  <c r="G129"/>
  <c r="V129" s="1"/>
  <c r="G125"/>
  <c r="V125" s="1"/>
  <c r="G127"/>
  <c r="V127" s="1"/>
  <c r="G131"/>
  <c r="V131" s="1"/>
  <c r="G126"/>
  <c r="V126" s="1"/>
  <c r="G128"/>
  <c r="V128" s="1"/>
  <c r="G124"/>
  <c r="V124" s="1"/>
  <c r="G132"/>
  <c r="V132" s="1"/>
  <c r="H129"/>
  <c r="H125"/>
  <c r="H126"/>
  <c r="H127"/>
  <c r="H128"/>
  <c r="H131"/>
  <c r="H124"/>
  <c r="H132"/>
  <c r="H215"/>
  <c r="H216"/>
  <c r="H206"/>
  <c r="H56" i="20"/>
  <c r="H75" s="1"/>
  <c r="C57"/>
  <c r="B101"/>
  <c r="F100"/>
  <c r="G100" s="1"/>
  <c r="C101" s="1"/>
  <c r="I101"/>
  <c r="M100"/>
  <c r="N100" s="1"/>
  <c r="J101" s="1"/>
  <c r="M53"/>
  <c r="N53" s="1"/>
  <c r="T126" i="18"/>
  <c r="S126"/>
  <c r="R126"/>
  <c r="Q126"/>
  <c r="P126"/>
  <c r="O126"/>
  <c r="N126"/>
  <c r="M126"/>
  <c r="L126"/>
  <c r="K126"/>
  <c r="W49"/>
  <c r="X49" s="1"/>
  <c r="T46"/>
  <c r="T44"/>
  <c r="T39"/>
  <c r="T37"/>
  <c r="J126"/>
  <c r="J130" l="1"/>
  <c r="H217"/>
  <c r="J54" i="20"/>
  <c r="P53"/>
  <c r="H76"/>
  <c r="G57"/>
  <c r="C58" s="1"/>
  <c r="F57"/>
  <c r="I102"/>
  <c r="M101"/>
  <c r="N101" s="1"/>
  <c r="J102" s="1"/>
  <c r="B102"/>
  <c r="F101"/>
  <c r="G101" s="1"/>
  <c r="C102" s="1"/>
  <c r="T132" i="18"/>
  <c r="T131"/>
  <c r="T128"/>
  <c r="T127"/>
  <c r="S132"/>
  <c r="S131"/>
  <c r="S128"/>
  <c r="S127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28"/>
  <c r="J131"/>
  <c r="J127"/>
  <c r="T125"/>
  <c r="S125"/>
  <c r="R125"/>
  <c r="Q125"/>
  <c r="P125"/>
  <c r="O125"/>
  <c r="N125"/>
  <c r="M125"/>
  <c r="L125"/>
  <c r="K125"/>
  <c r="J125"/>
  <c r="T124"/>
  <c r="S124"/>
  <c r="R124"/>
  <c r="Q124"/>
  <c r="P124"/>
  <c r="O124"/>
  <c r="N124"/>
  <c r="M124"/>
  <c r="L124"/>
  <c r="K124"/>
  <c r="J124"/>
  <c r="AI49"/>
  <c r="AI45"/>
  <c r="AI43"/>
  <c r="AI42"/>
  <c r="AI41"/>
  <c r="AI40"/>
  <c r="AI38"/>
  <c r="AI36"/>
  <c r="W40"/>
  <c r="Y49"/>
  <c r="Z49" s="1"/>
  <c r="AA49" s="1"/>
  <c r="AB49" s="1"/>
  <c r="AC49" s="1"/>
  <c r="AD49" s="1"/>
  <c r="AE49" s="1"/>
  <c r="AF49" s="1"/>
  <c r="AG49" s="1"/>
  <c r="W45"/>
  <c r="X45" l="1"/>
  <c r="Y45" s="1"/>
  <c r="Z45" s="1"/>
  <c r="AA45" s="1"/>
  <c r="AB45" s="1"/>
  <c r="AC45" s="1"/>
  <c r="AD45" s="1"/>
  <c r="AE45" s="1"/>
  <c r="AF45" s="1"/>
  <c r="AG45" s="1"/>
  <c r="AH45" s="1"/>
  <c r="X40"/>
  <c r="Y40" s="1"/>
  <c r="Z40" s="1"/>
  <c r="AA40" s="1"/>
  <c r="AB40" s="1"/>
  <c r="AC40" s="1"/>
  <c r="AD40" s="1"/>
  <c r="AE40" s="1"/>
  <c r="AF40" s="1"/>
  <c r="AG40" s="1"/>
  <c r="AH40" s="1"/>
  <c r="I130"/>
  <c r="B103" i="20"/>
  <c r="F102"/>
  <c r="G102" s="1"/>
  <c r="C103" s="1"/>
  <c r="I103"/>
  <c r="M102"/>
  <c r="N102" s="1"/>
  <c r="J103" s="1"/>
  <c r="H77"/>
  <c r="F58"/>
  <c r="G58" s="1"/>
  <c r="C59" s="1"/>
  <c r="N54"/>
  <c r="M54"/>
  <c r="AH49" i="18"/>
  <c r="W43"/>
  <c r="W42"/>
  <c r="W41"/>
  <c r="W38"/>
  <c r="X38" s="1"/>
  <c r="W36"/>
  <c r="X36" s="1"/>
  <c r="X42" l="1"/>
  <c r="Y42" s="1"/>
  <c r="Z42" s="1"/>
  <c r="AA42" s="1"/>
  <c r="AB42" s="1"/>
  <c r="AC42" s="1"/>
  <c r="AD42" s="1"/>
  <c r="AE42" s="1"/>
  <c r="AF42" s="1"/>
  <c r="AG42" s="1"/>
  <c r="AH42" s="1"/>
  <c r="G130"/>
  <c r="V130" s="1"/>
  <c r="V49"/>
  <c r="X41"/>
  <c r="Y41" s="1"/>
  <c r="Z41" s="1"/>
  <c r="AA41" s="1"/>
  <c r="AB41" s="1"/>
  <c r="AC41" s="1"/>
  <c r="AD41" s="1"/>
  <c r="AE41" s="1"/>
  <c r="AF41" s="1"/>
  <c r="AG41" s="1"/>
  <c r="AH41" s="1"/>
  <c r="X43"/>
  <c r="Y43" s="1"/>
  <c r="Z43" s="1"/>
  <c r="AA43" s="1"/>
  <c r="AB43" s="1"/>
  <c r="AC43" s="1"/>
  <c r="AD43" s="1"/>
  <c r="AE43" s="1"/>
  <c r="AF43" s="1"/>
  <c r="AG43" s="1"/>
  <c r="AH43" s="1"/>
  <c r="H130"/>
  <c r="H78" i="20"/>
  <c r="G59"/>
  <c r="C60" s="1"/>
  <c r="F59"/>
  <c r="J55"/>
  <c r="P54"/>
  <c r="I104"/>
  <c r="M103"/>
  <c r="N103" s="1"/>
  <c r="J104" s="1"/>
  <c r="B104"/>
  <c r="F103"/>
  <c r="G103" s="1"/>
  <c r="C104" s="1"/>
  <c r="Y38" i="18"/>
  <c r="Y36"/>
  <c r="B215"/>
  <c r="AI227"/>
  <c r="AI224"/>
  <c r="AI226"/>
  <c r="AI225"/>
  <c r="AI222"/>
  <c r="AI221"/>
  <c r="AI220"/>
  <c r="AI219"/>
  <c r="AI214"/>
  <c r="AI217"/>
  <c r="AI216"/>
  <c r="AI215"/>
  <c r="AI212"/>
  <c r="AI211"/>
  <c r="AI208"/>
  <c r="AI207"/>
  <c r="AI210"/>
  <c r="AI209"/>
  <c r="AI206"/>
  <c r="AI205"/>
  <c r="AI204"/>
  <c r="AI203"/>
  <c r="AI202"/>
  <c r="AI201"/>
  <c r="AJ224"/>
  <c r="X126" l="1"/>
  <c r="X127"/>
  <c r="X128"/>
  <c r="B105" i="20"/>
  <c r="F104"/>
  <c r="G104" s="1"/>
  <c r="C105" s="1"/>
  <c r="I105"/>
  <c r="M104"/>
  <c r="N104" s="1"/>
  <c r="J105" s="1"/>
  <c r="M55"/>
  <c r="N55"/>
  <c r="H79"/>
  <c r="F60"/>
  <c r="G60" s="1"/>
  <c r="C61" s="1"/>
  <c r="Z38" i="18"/>
  <c r="Y127"/>
  <c r="Z36"/>
  <c r="Y126"/>
  <c r="Y128"/>
  <c r="AJ225"/>
  <c r="T212"/>
  <c r="S212"/>
  <c r="R212"/>
  <c r="Q212"/>
  <c r="P212"/>
  <c r="O212"/>
  <c r="N212"/>
  <c r="M212"/>
  <c r="L212"/>
  <c r="K212"/>
  <c r="J212"/>
  <c r="H80" i="20" l="1"/>
  <c r="G61"/>
  <c r="C62" s="1"/>
  <c r="F61"/>
  <c r="J56"/>
  <c r="P55"/>
  <c r="I106"/>
  <c r="M105"/>
  <c r="N105" s="1"/>
  <c r="J106" s="1"/>
  <c r="B106"/>
  <c r="F105"/>
  <c r="G105" s="1"/>
  <c r="C106" s="1"/>
  <c r="AA38" i="18"/>
  <c r="Z127"/>
  <c r="AA36"/>
  <c r="Z128"/>
  <c r="Z126"/>
  <c r="T60"/>
  <c r="T58"/>
  <c r="T56"/>
  <c r="T54"/>
  <c r="T52"/>
  <c r="T30"/>
  <c r="T28"/>
  <c r="T26"/>
  <c r="T11"/>
  <c r="T8"/>
  <c r="B107" i="20" l="1"/>
  <c r="F106"/>
  <c r="G106" s="1"/>
  <c r="C107" s="1"/>
  <c r="I107"/>
  <c r="M106"/>
  <c r="N106" s="1"/>
  <c r="J107" s="1"/>
  <c r="M56"/>
  <c r="N56"/>
  <c r="H81"/>
  <c r="F62"/>
  <c r="G62" s="1"/>
  <c r="C63" s="1"/>
  <c r="AB38" i="18"/>
  <c r="AA127"/>
  <c r="AB36"/>
  <c r="AA128"/>
  <c r="AA126"/>
  <c r="H82" i="20" l="1"/>
  <c r="G63"/>
  <c r="C64" s="1"/>
  <c r="F63"/>
  <c r="J57"/>
  <c r="P56"/>
  <c r="I108"/>
  <c r="M107"/>
  <c r="N107" s="1"/>
  <c r="J108" s="1"/>
  <c r="B108"/>
  <c r="F107"/>
  <c r="G107" s="1"/>
  <c r="C108" s="1"/>
  <c r="AC38" i="18"/>
  <c r="AB127"/>
  <c r="AC36"/>
  <c r="AB126"/>
  <c r="AB128"/>
  <c r="G220"/>
  <c r="V220" s="1"/>
  <c r="AJ47"/>
  <c r="T225" l="1"/>
  <c r="G225"/>
  <c r="V225" s="1"/>
  <c r="G219"/>
  <c r="V219" s="1"/>
  <c r="G221"/>
  <c r="X225"/>
  <c r="X226" s="1"/>
  <c r="X227" s="1"/>
  <c r="H225"/>
  <c r="I225"/>
  <c r="X220"/>
  <c r="X221" s="1"/>
  <c r="X222" s="1"/>
  <c r="H220"/>
  <c r="I220"/>
  <c r="B109" i="20"/>
  <c r="F108"/>
  <c r="G108" s="1"/>
  <c r="C109" s="1"/>
  <c r="I109"/>
  <c r="M108"/>
  <c r="N108" s="1"/>
  <c r="J109" s="1"/>
  <c r="M57"/>
  <c r="N57"/>
  <c r="H83"/>
  <c r="F64"/>
  <c r="G64" s="1"/>
  <c r="C65" s="1"/>
  <c r="AD38" i="18"/>
  <c r="AC127"/>
  <c r="AD36"/>
  <c r="AC126"/>
  <c r="AC128"/>
  <c r="AJ45"/>
  <c r="AJ40"/>
  <c r="AJ49"/>
  <c r="AJ41"/>
  <c r="AJ42"/>
  <c r="AJ43"/>
  <c r="N225"/>
  <c r="N226" s="1"/>
  <c r="N227" s="1"/>
  <c r="S225"/>
  <c r="S224" s="1"/>
  <c r="R225"/>
  <c r="M225"/>
  <c r="L225"/>
  <c r="Q225"/>
  <c r="K225"/>
  <c r="P225"/>
  <c r="J225"/>
  <c r="O225"/>
  <c r="P220"/>
  <c r="S220"/>
  <c r="S219" s="1"/>
  <c r="O220"/>
  <c r="K220"/>
  <c r="R220"/>
  <c r="N220"/>
  <c r="J220"/>
  <c r="Q220"/>
  <c r="M220"/>
  <c r="T220"/>
  <c r="L220"/>
  <c r="AI71"/>
  <c r="AI70"/>
  <c r="AI68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Q205" s="1"/>
  <c r="R71"/>
  <c r="R205" s="1"/>
  <c r="S71"/>
  <c r="T7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S70"/>
  <c r="S204" s="1"/>
  <c r="T70"/>
  <c r="G222" l="1"/>
  <c r="V222" s="1"/>
  <c r="V221"/>
  <c r="X224"/>
  <c r="G224"/>
  <c r="V224" s="1"/>
  <c r="G226"/>
  <c r="T219"/>
  <c r="X219"/>
  <c r="T205"/>
  <c r="T204"/>
  <c r="H219"/>
  <c r="H221"/>
  <c r="I224"/>
  <c r="I226"/>
  <c r="I227" s="1"/>
  <c r="I219"/>
  <c r="I221"/>
  <c r="I222" s="1"/>
  <c r="H224"/>
  <c r="H226"/>
  <c r="H84" i="20"/>
  <c r="G65"/>
  <c r="C66" s="1"/>
  <c r="F65"/>
  <c r="I110"/>
  <c r="M109"/>
  <c r="N109" s="1"/>
  <c r="J110" s="1"/>
  <c r="B110"/>
  <c r="F109"/>
  <c r="G109" s="1"/>
  <c r="C110" s="1"/>
  <c r="J58"/>
  <c r="P57"/>
  <c r="AE38" i="18"/>
  <c r="AD127"/>
  <c r="AE36"/>
  <c r="AD128"/>
  <c r="AD126"/>
  <c r="N224"/>
  <c r="S226"/>
  <c r="S227" s="1"/>
  <c r="M221"/>
  <c r="M222" s="1"/>
  <c r="M219"/>
  <c r="R221"/>
  <c r="R222" s="1"/>
  <c r="R219"/>
  <c r="P221"/>
  <c r="P222" s="1"/>
  <c r="P219"/>
  <c r="O226"/>
  <c r="O227" s="1"/>
  <c r="O224"/>
  <c r="Q226"/>
  <c r="Q227" s="1"/>
  <c r="Q224"/>
  <c r="Q221"/>
  <c r="Q222" s="1"/>
  <c r="Q219"/>
  <c r="K221"/>
  <c r="K222" s="1"/>
  <c r="K219"/>
  <c r="J226"/>
  <c r="J227" s="1"/>
  <c r="J224"/>
  <c r="L226"/>
  <c r="L227" s="1"/>
  <c r="L224"/>
  <c r="L221"/>
  <c r="L222" s="1"/>
  <c r="L219"/>
  <c r="J221"/>
  <c r="J222" s="1"/>
  <c r="J219"/>
  <c r="O221"/>
  <c r="O222" s="1"/>
  <c r="O219"/>
  <c r="P226"/>
  <c r="P227" s="1"/>
  <c r="P224"/>
  <c r="M226"/>
  <c r="M227" s="1"/>
  <c r="M224"/>
  <c r="T221"/>
  <c r="T222" s="1"/>
  <c r="N221"/>
  <c r="N222" s="1"/>
  <c r="N219"/>
  <c r="K226"/>
  <c r="K227" s="1"/>
  <c r="K224"/>
  <c r="R226"/>
  <c r="R227" s="1"/>
  <c r="R224"/>
  <c r="T226"/>
  <c r="T227" s="1"/>
  <c r="T224"/>
  <c r="S221"/>
  <c r="S205"/>
  <c r="G227" l="1"/>
  <c r="V227" s="1"/>
  <c r="V226"/>
  <c r="H222"/>
  <c r="H227"/>
  <c r="M58" i="20"/>
  <c r="N58" s="1"/>
  <c r="B111"/>
  <c r="F110"/>
  <c r="G110" s="1"/>
  <c r="C111" s="1"/>
  <c r="I111"/>
  <c r="M110"/>
  <c r="N110" s="1"/>
  <c r="J111" s="1"/>
  <c r="F66"/>
  <c r="G66"/>
  <c r="AF38" i="18"/>
  <c r="AE127"/>
  <c r="AF36"/>
  <c r="AE128"/>
  <c r="AE126"/>
  <c r="S222"/>
  <c r="J147"/>
  <c r="K147"/>
  <c r="L147"/>
  <c r="M147"/>
  <c r="N147"/>
  <c r="O147"/>
  <c r="P147"/>
  <c r="Q147"/>
  <c r="R147"/>
  <c r="S147"/>
  <c r="T147"/>
  <c r="T146"/>
  <c r="J59" i="20" l="1"/>
  <c r="P58"/>
  <c r="C67"/>
  <c r="H66"/>
  <c r="H85" s="1"/>
  <c r="I112"/>
  <c r="M111"/>
  <c r="N111" s="1"/>
  <c r="J112" s="1"/>
  <c r="B112"/>
  <c r="F111"/>
  <c r="G111" s="1"/>
  <c r="C112" s="1"/>
  <c r="AG38" i="18"/>
  <c r="AF127"/>
  <c r="AG36"/>
  <c r="AF126"/>
  <c r="AF128"/>
  <c r="I261"/>
  <c r="I258"/>
  <c r="I259"/>
  <c r="I260"/>
  <c r="B113" i="20" l="1"/>
  <c r="F112"/>
  <c r="G112" s="1"/>
  <c r="C113" s="1"/>
  <c r="I113"/>
  <c r="M112"/>
  <c r="N112" s="1"/>
  <c r="J113" s="1"/>
  <c r="H86"/>
  <c r="G67"/>
  <c r="C68" s="1"/>
  <c r="F67"/>
  <c r="M59"/>
  <c r="N59" s="1"/>
  <c r="AH38" i="18"/>
  <c r="AG127"/>
  <c r="AH127" s="1"/>
  <c r="AJ38"/>
  <c r="AG126"/>
  <c r="AH126" s="1"/>
  <c r="AG128"/>
  <c r="AH128" s="1"/>
  <c r="AH36"/>
  <c r="AJ36"/>
  <c r="T250"/>
  <c r="T249"/>
  <c r="T248"/>
  <c r="T211"/>
  <c r="T66"/>
  <c r="T67"/>
  <c r="T68"/>
  <c r="T72"/>
  <c r="T73"/>
  <c r="T74"/>
  <c r="T75"/>
  <c r="T76"/>
  <c r="T78"/>
  <c r="T79"/>
  <c r="T80"/>
  <c r="T82"/>
  <c r="T83"/>
  <c r="T85"/>
  <c r="T86"/>
  <c r="T88"/>
  <c r="T90"/>
  <c r="T93"/>
  <c r="T94"/>
  <c r="T95"/>
  <c r="T96"/>
  <c r="T98"/>
  <c r="T99"/>
  <c r="T100"/>
  <c r="T105"/>
  <c r="T106"/>
  <c r="T107"/>
  <c r="T108"/>
  <c r="T109"/>
  <c r="T112"/>
  <c r="T113"/>
  <c r="T114"/>
  <c r="T115"/>
  <c r="T116"/>
  <c r="T134"/>
  <c r="T135"/>
  <c r="T136"/>
  <c r="T137"/>
  <c r="T145"/>
  <c r="T149"/>
  <c r="T150"/>
  <c r="T151"/>
  <c r="T154"/>
  <c r="T155"/>
  <c r="T156"/>
  <c r="T157"/>
  <c r="T159"/>
  <c r="T160"/>
  <c r="T162"/>
  <c r="T166"/>
  <c r="T167"/>
  <c r="T92" l="1"/>
  <c r="T139"/>
  <c r="T214"/>
  <c r="T110"/>
  <c r="T164"/>
  <c r="T122"/>
  <c r="T120"/>
  <c r="T119"/>
  <c r="T202"/>
  <c r="T118"/>
  <c r="T163"/>
  <c r="T208"/>
  <c r="T121"/>
  <c r="T209"/>
  <c r="T206"/>
  <c r="J60" i="20"/>
  <c r="P59"/>
  <c r="H87"/>
  <c r="F68"/>
  <c r="G68" s="1"/>
  <c r="C69" s="1"/>
  <c r="I114"/>
  <c r="M113"/>
  <c r="N113" s="1"/>
  <c r="J114" s="1"/>
  <c r="B114"/>
  <c r="F113"/>
  <c r="G113" s="1"/>
  <c r="C114" s="1"/>
  <c r="T203" i="18"/>
  <c r="T84"/>
  <c r="K68"/>
  <c r="K110" s="1"/>
  <c r="L68"/>
  <c r="L110" s="1"/>
  <c r="M68"/>
  <c r="M110" s="1"/>
  <c r="N68"/>
  <c r="N110" s="1"/>
  <c r="O68"/>
  <c r="O110" s="1"/>
  <c r="P68"/>
  <c r="P110" s="1"/>
  <c r="Q68"/>
  <c r="Q110" s="1"/>
  <c r="R68"/>
  <c r="R110" s="1"/>
  <c r="S68"/>
  <c r="S110" s="1"/>
  <c r="J68"/>
  <c r="J110" s="1"/>
  <c r="T140" l="1"/>
  <c r="T207"/>
  <c r="F69" i="20"/>
  <c r="G69" s="1"/>
  <c r="C70" s="1"/>
  <c r="H88"/>
  <c r="B115"/>
  <c r="F114"/>
  <c r="G114" s="1"/>
  <c r="C115" s="1"/>
  <c r="I115"/>
  <c r="M114"/>
  <c r="N114" s="1"/>
  <c r="J115" s="1"/>
  <c r="N60"/>
  <c r="M60"/>
  <c r="T216" i="18"/>
  <c r="T215"/>
  <c r="K245"/>
  <c r="T143" l="1"/>
  <c r="T141"/>
  <c r="T142" s="1"/>
  <c r="T217"/>
  <c r="F70" i="20"/>
  <c r="G70" s="1"/>
  <c r="C71" s="1"/>
  <c r="J61"/>
  <c r="P60"/>
  <c r="I116"/>
  <c r="M115"/>
  <c r="N115" s="1"/>
  <c r="J116" s="1"/>
  <c r="B116"/>
  <c r="F115"/>
  <c r="G115" s="1"/>
  <c r="C116" s="1"/>
  <c r="N241" i="18"/>
  <c r="N240"/>
  <c r="N239"/>
  <c r="N238"/>
  <c r="F71" i="20" l="1"/>
  <c r="G71"/>
  <c r="C72" s="1"/>
  <c r="B117"/>
  <c r="F116"/>
  <c r="G116" s="1"/>
  <c r="C117" s="1"/>
  <c r="I117"/>
  <c r="M116"/>
  <c r="N116" s="1"/>
  <c r="J117" s="1"/>
  <c r="M61"/>
  <c r="N61"/>
  <c r="AI53" i="18"/>
  <c r="W53"/>
  <c r="X53" s="1"/>
  <c r="J62" i="20" l="1"/>
  <c r="P61"/>
  <c r="F72"/>
  <c r="G72" s="1"/>
  <c r="C73" s="1"/>
  <c r="I118"/>
  <c r="M117"/>
  <c r="N117" s="1"/>
  <c r="J118" s="1"/>
  <c r="B118"/>
  <c r="F117"/>
  <c r="G117" s="1"/>
  <c r="C118" s="1"/>
  <c r="F73" l="1"/>
  <c r="G73"/>
  <c r="C74" s="1"/>
  <c r="B119"/>
  <c r="F118"/>
  <c r="G118" s="1"/>
  <c r="C119" s="1"/>
  <c r="I119"/>
  <c r="M118"/>
  <c r="N118" s="1"/>
  <c r="J119" s="1"/>
  <c r="M62"/>
  <c r="N62" s="1"/>
  <c r="Y53" i="18"/>
  <c r="X245"/>
  <c r="X246" s="1"/>
  <c r="J63" i="20" l="1"/>
  <c r="P62"/>
  <c r="F74"/>
  <c r="G74" s="1"/>
  <c r="C75" s="1"/>
  <c r="I120"/>
  <c r="M119"/>
  <c r="N119" s="1"/>
  <c r="J120" s="1"/>
  <c r="B120"/>
  <c r="F119"/>
  <c r="G119" s="1"/>
  <c r="C120" s="1"/>
  <c r="Z53" i="18"/>
  <c r="D257"/>
  <c r="I257"/>
  <c r="O134"/>
  <c r="M134"/>
  <c r="K134"/>
  <c r="J134"/>
  <c r="L134"/>
  <c r="N134"/>
  <c r="P134"/>
  <c r="Q134"/>
  <c r="R134"/>
  <c r="S134"/>
  <c r="K167"/>
  <c r="L167"/>
  <c r="M167"/>
  <c r="N167"/>
  <c r="O167"/>
  <c r="P167"/>
  <c r="Q167"/>
  <c r="R167"/>
  <c r="S167"/>
  <c r="K166"/>
  <c r="L166"/>
  <c r="M166"/>
  <c r="N166"/>
  <c r="O166"/>
  <c r="P166"/>
  <c r="Q166"/>
  <c r="R166"/>
  <c r="S166"/>
  <c r="H275"/>
  <c r="H276" s="1"/>
  <c r="AI73"/>
  <c r="K73"/>
  <c r="L73"/>
  <c r="M73"/>
  <c r="N73"/>
  <c r="O73"/>
  <c r="P73"/>
  <c r="Q73"/>
  <c r="R73"/>
  <c r="S73"/>
  <c r="J73"/>
  <c r="I266"/>
  <c r="D265"/>
  <c r="I264"/>
  <c r="J264" s="1"/>
  <c r="K264" s="1"/>
  <c r="K265" s="1"/>
  <c r="I262"/>
  <c r="I256"/>
  <c r="I255"/>
  <c r="J255" s="1"/>
  <c r="K255" s="1"/>
  <c r="H272" l="1"/>
  <c r="N272" s="1"/>
  <c r="G272"/>
  <c r="H271"/>
  <c r="N271" s="1"/>
  <c r="N274" s="1"/>
  <c r="G271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/>
  <c r="AA53" i="18"/>
  <c r="D267"/>
  <c r="J256"/>
  <c r="K256" s="1"/>
  <c r="J266"/>
  <c r="K266" s="1"/>
  <c r="K267" s="1"/>
  <c r="K109"/>
  <c r="L109"/>
  <c r="M109"/>
  <c r="N109"/>
  <c r="O109"/>
  <c r="P109"/>
  <c r="Q109"/>
  <c r="R109"/>
  <c r="S109"/>
  <c r="J109"/>
  <c r="J167"/>
  <c r="J166"/>
  <c r="AI14"/>
  <c r="W14"/>
  <c r="X14" s="1"/>
  <c r="P256"/>
  <c r="P259" s="1"/>
  <c r="P255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S116"/>
  <c r="S122" s="1"/>
  <c r="J116"/>
  <c r="J122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R113"/>
  <c r="R119" s="1"/>
  <c r="S113"/>
  <c r="S119" s="1"/>
  <c r="J113"/>
  <c r="J119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R114"/>
  <c r="R120" s="1"/>
  <c r="S114"/>
  <c r="S120" s="1"/>
  <c r="J114"/>
  <c r="J120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R162"/>
  <c r="R163" s="1"/>
  <c r="S162"/>
  <c r="S163" s="1"/>
  <c r="J162"/>
  <c r="J163" s="1"/>
  <c r="N275" l="1"/>
  <c r="H274"/>
  <c r="H277"/>
  <c r="G277"/>
  <c r="G274"/>
  <c r="J64" i="20"/>
  <c r="P63"/>
  <c r="F76"/>
  <c r="G76" s="1"/>
  <c r="C77" s="1"/>
  <c r="N121"/>
  <c r="N124" s="1"/>
  <c r="N89" s="1"/>
  <c r="G121"/>
  <c r="G124" s="1"/>
  <c r="G89" s="1"/>
  <c r="AB53" i="18"/>
  <c r="Y14"/>
  <c r="Z14" s="1"/>
  <c r="AA14" s="1"/>
  <c r="AB14" s="1"/>
  <c r="AC14" s="1"/>
  <c r="AD14" s="1"/>
  <c r="AE14" s="1"/>
  <c r="AF14" s="1"/>
  <c r="AG14" s="1"/>
  <c r="J257"/>
  <c r="K257" s="1"/>
  <c r="S108"/>
  <c r="S107"/>
  <c r="K108"/>
  <c r="L108"/>
  <c r="M108"/>
  <c r="N108"/>
  <c r="O108"/>
  <c r="P108"/>
  <c r="Q108"/>
  <c r="R108"/>
  <c r="J108"/>
  <c r="J107"/>
  <c r="K160"/>
  <c r="L160"/>
  <c r="M160"/>
  <c r="N160"/>
  <c r="O160"/>
  <c r="P160"/>
  <c r="Q160"/>
  <c r="R160"/>
  <c r="S160"/>
  <c r="J160"/>
  <c r="K159"/>
  <c r="L159"/>
  <c r="M159"/>
  <c r="N159"/>
  <c r="O159"/>
  <c r="P159"/>
  <c r="Q159"/>
  <c r="R159"/>
  <c r="S159"/>
  <c r="J159"/>
  <c r="K156"/>
  <c r="L156"/>
  <c r="M156"/>
  <c r="N156"/>
  <c r="O156"/>
  <c r="P156"/>
  <c r="Q156"/>
  <c r="R156"/>
  <c r="S156"/>
  <c r="J156"/>
  <c r="K157"/>
  <c r="L157"/>
  <c r="M157"/>
  <c r="N157"/>
  <c r="O157"/>
  <c r="P157"/>
  <c r="Q157"/>
  <c r="R157"/>
  <c r="S157"/>
  <c r="J157"/>
  <c r="K155"/>
  <c r="L155"/>
  <c r="M155"/>
  <c r="N155"/>
  <c r="O155"/>
  <c r="P155"/>
  <c r="Q155"/>
  <c r="R155"/>
  <c r="S155"/>
  <c r="J155"/>
  <c r="K154"/>
  <c r="L154"/>
  <c r="M154"/>
  <c r="N154"/>
  <c r="O154"/>
  <c r="P154"/>
  <c r="Q154"/>
  <c r="R154"/>
  <c r="S154"/>
  <c r="J154"/>
  <c r="K151"/>
  <c r="L151"/>
  <c r="M151"/>
  <c r="N151"/>
  <c r="O151"/>
  <c r="P151"/>
  <c r="Q151"/>
  <c r="R151"/>
  <c r="S151"/>
  <c r="J151"/>
  <c r="K150"/>
  <c r="L150"/>
  <c r="M150"/>
  <c r="N150"/>
  <c r="O150"/>
  <c r="P150"/>
  <c r="Q150"/>
  <c r="R150"/>
  <c r="S150"/>
  <c r="J150"/>
  <c r="K149"/>
  <c r="L149"/>
  <c r="M149"/>
  <c r="N149"/>
  <c r="O149"/>
  <c r="P149"/>
  <c r="Q149"/>
  <c r="R149"/>
  <c r="S149"/>
  <c r="J149"/>
  <c r="B151"/>
  <c r="B150"/>
  <c r="AI32"/>
  <c r="W32"/>
  <c r="X32" s="1"/>
  <c r="J137"/>
  <c r="K137"/>
  <c r="L137"/>
  <c r="M137"/>
  <c r="N137"/>
  <c r="O137"/>
  <c r="P137"/>
  <c r="Q137"/>
  <c r="R137"/>
  <c r="S137"/>
  <c r="O259"/>
  <c r="O257"/>
  <c r="P257" s="1"/>
  <c r="P262" s="1"/>
  <c r="K146"/>
  <c r="L146"/>
  <c r="M146"/>
  <c r="N146"/>
  <c r="O146"/>
  <c r="P146"/>
  <c r="Q146"/>
  <c r="R146"/>
  <c r="S146"/>
  <c r="J146"/>
  <c r="K145"/>
  <c r="L145"/>
  <c r="M145"/>
  <c r="N145"/>
  <c r="O145"/>
  <c r="P145"/>
  <c r="Q145"/>
  <c r="R145"/>
  <c r="S145"/>
  <c r="J145"/>
  <c r="F77" i="20" l="1"/>
  <c r="G77"/>
  <c r="C78" s="1"/>
  <c r="M64"/>
  <c r="N64" s="1"/>
  <c r="J258" i="18"/>
  <c r="K258" s="1"/>
  <c r="J259" s="1"/>
  <c r="K259" s="1"/>
  <c r="J260" s="1"/>
  <c r="K260" s="1"/>
  <c r="J261" s="1"/>
  <c r="K261" s="1"/>
  <c r="J262" s="1"/>
  <c r="K262" s="1"/>
  <c r="K263" s="1"/>
  <c r="AC53"/>
  <c r="AH14"/>
  <c r="AJ14"/>
  <c r="Y32"/>
  <c r="Z32" s="1"/>
  <c r="AA32" s="1"/>
  <c r="AB32" s="1"/>
  <c r="AC32" s="1"/>
  <c r="AD32" s="1"/>
  <c r="AE32" s="1"/>
  <c r="AF32" s="1"/>
  <c r="AG32" s="1"/>
  <c r="AH32" s="1"/>
  <c r="O262"/>
  <c r="W9"/>
  <c r="X9" s="1"/>
  <c r="W10"/>
  <c r="X10" s="1"/>
  <c r="W12"/>
  <c r="X12" s="1"/>
  <c r="W13"/>
  <c r="X13" s="1"/>
  <c r="W15"/>
  <c r="X15" s="1"/>
  <c r="W16"/>
  <c r="X16" s="1"/>
  <c r="W18"/>
  <c r="X18" s="1"/>
  <c r="W20"/>
  <c r="X20" s="1"/>
  <c r="W21"/>
  <c r="X21" s="1"/>
  <c r="W22"/>
  <c r="X22" s="1"/>
  <c r="W23"/>
  <c r="X23" s="1"/>
  <c r="W25"/>
  <c r="W27"/>
  <c r="X27" s="1"/>
  <c r="W29"/>
  <c r="X29" s="1"/>
  <c r="W31"/>
  <c r="X31" s="1"/>
  <c r="W33"/>
  <c r="X33" s="1"/>
  <c r="W34"/>
  <c r="X34" s="1"/>
  <c r="W51"/>
  <c r="X51" s="1"/>
  <c r="W55"/>
  <c r="W7"/>
  <c r="X7" s="1"/>
  <c r="W6"/>
  <c r="X6" s="1"/>
  <c r="AI9"/>
  <c r="AI10"/>
  <c r="AI11"/>
  <c r="AI12"/>
  <c r="AI13"/>
  <c r="AI15"/>
  <c r="AI16"/>
  <c r="AI18"/>
  <c r="AI20"/>
  <c r="AI21"/>
  <c r="AI22"/>
  <c r="AI23"/>
  <c r="AI25"/>
  <c r="AI27"/>
  <c r="AI29"/>
  <c r="AI31"/>
  <c r="AI33"/>
  <c r="AI34"/>
  <c r="AI51"/>
  <c r="AI55"/>
  <c r="AI57"/>
  <c r="AI59"/>
  <c r="AI66"/>
  <c r="AI67"/>
  <c r="AI72"/>
  <c r="AI74"/>
  <c r="AI75"/>
  <c r="AI76"/>
  <c r="AI78"/>
  <c r="AI79"/>
  <c r="AI80"/>
  <c r="AI82"/>
  <c r="AI83"/>
  <c r="AI84"/>
  <c r="AI85"/>
  <c r="AI87"/>
  <c r="AI88"/>
  <c r="AI90"/>
  <c r="AI92"/>
  <c r="AI93"/>
  <c r="AI94"/>
  <c r="AI95"/>
  <c r="AI96"/>
  <c r="AI98"/>
  <c r="AI99"/>
  <c r="AI100"/>
  <c r="AI7"/>
  <c r="AI6"/>
  <c r="X25" l="1"/>
  <c r="X129" s="1"/>
  <c r="X55"/>
  <c r="X130" s="1"/>
  <c r="J65" i="20"/>
  <c r="P64"/>
  <c r="F78"/>
  <c r="G78" s="1"/>
  <c r="X132" i="18"/>
  <c r="X125"/>
  <c r="X68"/>
  <c r="AD53"/>
  <c r="AJ32"/>
  <c r="K112"/>
  <c r="K118" s="1"/>
  <c r="L112"/>
  <c r="L118" s="1"/>
  <c r="M112"/>
  <c r="M118" s="1"/>
  <c r="N112"/>
  <c r="N118" s="1"/>
  <c r="O112"/>
  <c r="O118" s="1"/>
  <c r="P112"/>
  <c r="P118" s="1"/>
  <c r="Q112"/>
  <c r="Q118" s="1"/>
  <c r="R112"/>
  <c r="R118" s="1"/>
  <c r="S112"/>
  <c r="S118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R115"/>
  <c r="R121" s="1"/>
  <c r="S115"/>
  <c r="S121" s="1"/>
  <c r="J115"/>
  <c r="J121" s="1"/>
  <c r="J112"/>
  <c r="J118" s="1"/>
  <c r="X131" l="1"/>
  <c r="X110"/>
  <c r="X124"/>
  <c r="G81" i="20"/>
  <c r="G82" s="1"/>
  <c r="C79"/>
  <c r="M65"/>
  <c r="N65"/>
  <c r="J66" s="1"/>
  <c r="AE53" i="18"/>
  <c r="Y31"/>
  <c r="X147"/>
  <c r="Y29"/>
  <c r="K136"/>
  <c r="L136"/>
  <c r="M136"/>
  <c r="N136"/>
  <c r="O136"/>
  <c r="P136"/>
  <c r="Q136"/>
  <c r="R136"/>
  <c r="S136"/>
  <c r="J136"/>
  <c r="K135"/>
  <c r="L135"/>
  <c r="M135"/>
  <c r="N135"/>
  <c r="O135"/>
  <c r="P135"/>
  <c r="Q135"/>
  <c r="R135"/>
  <c r="S135"/>
  <c r="J135"/>
  <c r="M66" i="20" l="1"/>
  <c r="N66"/>
  <c r="J67" s="1"/>
  <c r="F79"/>
  <c r="G79"/>
  <c r="AF53" i="18"/>
  <c r="Z31"/>
  <c r="Z29"/>
  <c r="AJ87"/>
  <c r="M67" i="20" l="1"/>
  <c r="N67"/>
  <c r="J68" s="1"/>
  <c r="AG53" i="18"/>
  <c r="AA31"/>
  <c r="AA29"/>
  <c r="J211"/>
  <c r="K211"/>
  <c r="L211"/>
  <c r="M211"/>
  <c r="N211"/>
  <c r="O211"/>
  <c r="P211"/>
  <c r="Q211"/>
  <c r="R211"/>
  <c r="S21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Q140" s="1"/>
  <c r="Q143" s="1"/>
  <c r="R88"/>
  <c r="R139" s="1"/>
  <c r="R140" s="1"/>
  <c r="R143" s="1"/>
  <c r="S88"/>
  <c r="S139" s="1"/>
  <c r="M68" i="20" l="1"/>
  <c r="N68" s="1"/>
  <c r="J69" s="1"/>
  <c r="AH53" i="18"/>
  <c r="AJ53"/>
  <c r="AB31"/>
  <c r="X88"/>
  <c r="AB29"/>
  <c r="Q141"/>
  <c r="Q142" s="1"/>
  <c r="M141"/>
  <c r="M142" s="1"/>
  <c r="O141"/>
  <c r="O142" s="1"/>
  <c r="K141"/>
  <c r="K142" s="1"/>
  <c r="P141"/>
  <c r="P142" s="1"/>
  <c r="L141"/>
  <c r="L142" s="1"/>
  <c r="R141"/>
  <c r="R142" s="1"/>
  <c r="N141"/>
  <c r="N142" s="1"/>
  <c r="J141"/>
  <c r="J142" s="1"/>
  <c r="S140"/>
  <c r="S143" s="1"/>
  <c r="Y59"/>
  <c r="M69" i="20" l="1"/>
  <c r="N69"/>
  <c r="J70" s="1"/>
  <c r="AC31" i="18"/>
  <c r="Z59"/>
  <c r="AC29"/>
  <c r="S141"/>
  <c r="Y88"/>
  <c r="J98"/>
  <c r="J164" s="1"/>
  <c r="K98"/>
  <c r="K164" s="1"/>
  <c r="L98"/>
  <c r="L164" s="1"/>
  <c r="M98"/>
  <c r="M164" s="1"/>
  <c r="N98"/>
  <c r="N164" s="1"/>
  <c r="O98"/>
  <c r="O164" s="1"/>
  <c r="P98"/>
  <c r="P164" s="1"/>
  <c r="Q98"/>
  <c r="Q164" s="1"/>
  <c r="R98"/>
  <c r="R164" s="1"/>
  <c r="J99"/>
  <c r="K99"/>
  <c r="L99"/>
  <c r="M99"/>
  <c r="N99"/>
  <c r="O99"/>
  <c r="P99"/>
  <c r="Q99"/>
  <c r="R99"/>
  <c r="J100"/>
  <c r="K100"/>
  <c r="L100"/>
  <c r="M100"/>
  <c r="N100"/>
  <c r="O100"/>
  <c r="P100"/>
  <c r="Q100"/>
  <c r="R100"/>
  <c r="S100"/>
  <c r="S99"/>
  <c r="S98"/>
  <c r="S164" s="1"/>
  <c r="K107"/>
  <c r="L107"/>
  <c r="M107"/>
  <c r="N107"/>
  <c r="O107"/>
  <c r="P107"/>
  <c r="Q107"/>
  <c r="R107"/>
  <c r="J106"/>
  <c r="K106"/>
  <c r="L106"/>
  <c r="M106"/>
  <c r="N106"/>
  <c r="O106"/>
  <c r="P106"/>
  <c r="Q106"/>
  <c r="R106"/>
  <c r="J105"/>
  <c r="K105"/>
  <c r="L105"/>
  <c r="M105"/>
  <c r="N105"/>
  <c r="O105"/>
  <c r="P105"/>
  <c r="Q105"/>
  <c r="R105"/>
  <c r="S106"/>
  <c r="M70" i="20" l="1"/>
  <c r="N70"/>
  <c r="J71" s="1"/>
  <c r="AD31" i="18"/>
  <c r="AA59"/>
  <c r="Z88"/>
  <c r="AD29"/>
  <c r="S105"/>
  <c r="K250"/>
  <c r="L250"/>
  <c r="M250"/>
  <c r="N250"/>
  <c r="O250"/>
  <c r="P250"/>
  <c r="Q250"/>
  <c r="R250"/>
  <c r="S250"/>
  <c r="J250"/>
  <c r="K249"/>
  <c r="L249"/>
  <c r="M249"/>
  <c r="N249"/>
  <c r="O249"/>
  <c r="P249"/>
  <c r="Q249"/>
  <c r="R249"/>
  <c r="S249"/>
  <c r="J249"/>
  <c r="K248"/>
  <c r="L248"/>
  <c r="M248"/>
  <c r="N248"/>
  <c r="O248"/>
  <c r="P248"/>
  <c r="Q248"/>
  <c r="R248"/>
  <c r="S248"/>
  <c r="J248"/>
  <c r="K67"/>
  <c r="L67"/>
  <c r="M67"/>
  <c r="N67"/>
  <c r="O67"/>
  <c r="P67"/>
  <c r="Q67"/>
  <c r="R67"/>
  <c r="S67"/>
  <c r="J67"/>
  <c r="J72"/>
  <c r="K66"/>
  <c r="K202" s="1"/>
  <c r="L66"/>
  <c r="L202" s="1"/>
  <c r="M66"/>
  <c r="M202" s="1"/>
  <c r="N66"/>
  <c r="N202" s="1"/>
  <c r="O66"/>
  <c r="O202" s="1"/>
  <c r="P66"/>
  <c r="P202" s="1"/>
  <c r="Q66"/>
  <c r="Q202" s="1"/>
  <c r="R66"/>
  <c r="R202" s="1"/>
  <c r="S66"/>
  <c r="S202" s="1"/>
  <c r="J66"/>
  <c r="J202" s="1"/>
  <c r="X113"/>
  <c r="X119" s="1"/>
  <c r="J214" l="1"/>
  <c r="M71" i="20"/>
  <c r="N71" s="1"/>
  <c r="J72" s="1"/>
  <c r="AE31" i="18"/>
  <c r="AB59"/>
  <c r="AA88"/>
  <c r="AE29"/>
  <c r="Y51"/>
  <c r="M72" i="20" l="1"/>
  <c r="N72" s="1"/>
  <c r="J73" s="1"/>
  <c r="Y113" i="18"/>
  <c r="Y119" s="1"/>
  <c r="AF31"/>
  <c r="AC59"/>
  <c r="AB88"/>
  <c r="AF29"/>
  <c r="Z51"/>
  <c r="L95"/>
  <c r="M95"/>
  <c r="N95"/>
  <c r="O95"/>
  <c r="P95"/>
  <c r="Q95"/>
  <c r="R95"/>
  <c r="S95"/>
  <c r="L96"/>
  <c r="M96"/>
  <c r="N96"/>
  <c r="O96"/>
  <c r="P96"/>
  <c r="Q96"/>
  <c r="R96"/>
  <c r="S96"/>
  <c r="L90"/>
  <c r="L92" s="1"/>
  <c r="M90"/>
  <c r="M92" s="1"/>
  <c r="N90"/>
  <c r="N92" s="1"/>
  <c r="O90"/>
  <c r="O92" s="1"/>
  <c r="P90"/>
  <c r="P92" s="1"/>
  <c r="Q90"/>
  <c r="Q92" s="1"/>
  <c r="R90"/>
  <c r="R92" s="1"/>
  <c r="S90"/>
  <c r="S92" s="1"/>
  <c r="L93"/>
  <c r="M93"/>
  <c r="N93"/>
  <c r="O93"/>
  <c r="P93"/>
  <c r="Q93"/>
  <c r="R93"/>
  <c r="S93"/>
  <c r="L94"/>
  <c r="M94"/>
  <c r="N94"/>
  <c r="O94"/>
  <c r="P94"/>
  <c r="Q94"/>
  <c r="R94"/>
  <c r="S94"/>
  <c r="J93"/>
  <c r="J94"/>
  <c r="J95"/>
  <c r="J96"/>
  <c r="K96"/>
  <c r="K95"/>
  <c r="Y22"/>
  <c r="Z22" s="1"/>
  <c r="AA22" s="1"/>
  <c r="AB22" s="1"/>
  <c r="AC22" s="1"/>
  <c r="AD22" s="1"/>
  <c r="AE22" s="1"/>
  <c r="AF22" s="1"/>
  <c r="AG22" s="1"/>
  <c r="J90"/>
  <c r="J92" s="1"/>
  <c r="K90"/>
  <c r="K92" s="1"/>
  <c r="K94"/>
  <c r="K93"/>
  <c r="N73" i="20" l="1"/>
  <c r="J74" s="1"/>
  <c r="M73"/>
  <c r="Z113" i="18"/>
  <c r="Z119" s="1"/>
  <c r="AG31"/>
  <c r="AH31" s="1"/>
  <c r="AD59"/>
  <c r="AC88"/>
  <c r="Y23"/>
  <c r="X116"/>
  <c r="X122" s="1"/>
  <c r="AG29"/>
  <c r="AH22"/>
  <c r="AJ22"/>
  <c r="AA51"/>
  <c r="Y21"/>
  <c r="M74" i="20" l="1"/>
  <c r="N74" s="1"/>
  <c r="J75" s="1"/>
  <c r="AJ31" i="18"/>
  <c r="AA113"/>
  <c r="AA119" s="1"/>
  <c r="AD88"/>
  <c r="AE59"/>
  <c r="Z23"/>
  <c r="Y116"/>
  <c r="Y122" s="1"/>
  <c r="AJ29"/>
  <c r="AH29"/>
  <c r="Y20"/>
  <c r="X90"/>
  <c r="Z21"/>
  <c r="Y9"/>
  <c r="Z9" s="1"/>
  <c r="AA9" s="1"/>
  <c r="AB9" s="1"/>
  <c r="AC9" s="1"/>
  <c r="AD9" s="1"/>
  <c r="AE9" s="1"/>
  <c r="AF9" s="1"/>
  <c r="AG9" s="1"/>
  <c r="AJ9" s="1"/>
  <c r="X109"/>
  <c r="Y33"/>
  <c r="Z33" s="1"/>
  <c r="AA33" s="1"/>
  <c r="AB33" s="1"/>
  <c r="AC33" s="1"/>
  <c r="AD33" s="1"/>
  <c r="AE33" s="1"/>
  <c r="AF33" s="1"/>
  <c r="AG33" s="1"/>
  <c r="AJ33" s="1"/>
  <c r="Y34"/>
  <c r="Z34" s="1"/>
  <c r="AA34" s="1"/>
  <c r="AB34" s="1"/>
  <c r="AC34" s="1"/>
  <c r="AD34" s="1"/>
  <c r="AE34" s="1"/>
  <c r="AF34" s="1"/>
  <c r="AG34" s="1"/>
  <c r="AJ34" s="1"/>
  <c r="AB51"/>
  <c r="R86"/>
  <c r="R208" s="1"/>
  <c r="R85"/>
  <c r="R83"/>
  <c r="R82"/>
  <c r="R80"/>
  <c r="R209" s="1"/>
  <c r="R79"/>
  <c r="R78"/>
  <c r="R76"/>
  <c r="R75"/>
  <c r="R206" s="1"/>
  <c r="R74"/>
  <c r="R72"/>
  <c r="R214" s="1"/>
  <c r="N75" i="20" l="1"/>
  <c r="J76" s="1"/>
  <c r="M75"/>
  <c r="AB113" i="18"/>
  <c r="AB119" s="1"/>
  <c r="AE88"/>
  <c r="AF59"/>
  <c r="Y90"/>
  <c r="X156"/>
  <c r="X166"/>
  <c r="X157"/>
  <c r="X167"/>
  <c r="AA23"/>
  <c r="Z116"/>
  <c r="Z122" s="1"/>
  <c r="X150"/>
  <c r="X151"/>
  <c r="X149"/>
  <c r="X137"/>
  <c r="S142"/>
  <c r="X112"/>
  <c r="X118" s="1"/>
  <c r="X146"/>
  <c r="X145"/>
  <c r="Y18"/>
  <c r="R203"/>
  <c r="Z20"/>
  <c r="Y27"/>
  <c r="AC51"/>
  <c r="Y25"/>
  <c r="Y129" s="1"/>
  <c r="X105"/>
  <c r="AA21"/>
  <c r="AH33"/>
  <c r="AH34"/>
  <c r="AH9"/>
  <c r="R84"/>
  <c r="R207" s="1"/>
  <c r="J80"/>
  <c r="J209" s="1"/>
  <c r="K80"/>
  <c r="K209" s="1"/>
  <c r="L80"/>
  <c r="L209" s="1"/>
  <c r="M80"/>
  <c r="M209" s="1"/>
  <c r="N80"/>
  <c r="N209" s="1"/>
  <c r="O80"/>
  <c r="O209" s="1"/>
  <c r="P80"/>
  <c r="P209" s="1"/>
  <c r="Q80"/>
  <c r="Q209" s="1"/>
  <c r="S80"/>
  <c r="M76" i="20" l="1"/>
  <c r="N76" s="1"/>
  <c r="J77" s="1"/>
  <c r="Y124" i="18"/>
  <c r="Y125"/>
  <c r="R216"/>
  <c r="R217" s="1"/>
  <c r="R215"/>
  <c r="AC113"/>
  <c r="AC119" s="1"/>
  <c r="Y109"/>
  <c r="Y147"/>
  <c r="AG59"/>
  <c r="AF88"/>
  <c r="Y157"/>
  <c r="Y167"/>
  <c r="Y156"/>
  <c r="Y166"/>
  <c r="AB23"/>
  <c r="AA116"/>
  <c r="AA122" s="1"/>
  <c r="Y149"/>
  <c r="Y151"/>
  <c r="Y150"/>
  <c r="Y137"/>
  <c r="Y112"/>
  <c r="Y118" s="1"/>
  <c r="Y146"/>
  <c r="Y145"/>
  <c r="Z18"/>
  <c r="AA20"/>
  <c r="Z90"/>
  <c r="Z27"/>
  <c r="Z25"/>
  <c r="Y105"/>
  <c r="AD51"/>
  <c r="AB21"/>
  <c r="S209"/>
  <c r="J79"/>
  <c r="K79"/>
  <c r="L79"/>
  <c r="M79"/>
  <c r="N79"/>
  <c r="O79"/>
  <c r="P79"/>
  <c r="Q79"/>
  <c r="S79"/>
  <c r="J78"/>
  <c r="K78"/>
  <c r="L78"/>
  <c r="M78"/>
  <c r="N78"/>
  <c r="O78"/>
  <c r="P78"/>
  <c r="Q78"/>
  <c r="S78"/>
  <c r="N77" i="20" l="1"/>
  <c r="J78" s="1"/>
  <c r="M77"/>
  <c r="Z125" i="18"/>
  <c r="Z129"/>
  <c r="Z147"/>
  <c r="Z124"/>
  <c r="AD113"/>
  <c r="AD119" s="1"/>
  <c r="AJ59"/>
  <c r="AG88"/>
  <c r="AH59"/>
  <c r="Z156"/>
  <c r="Z166"/>
  <c r="Z157"/>
  <c r="Z167"/>
  <c r="Z109"/>
  <c r="AC23"/>
  <c r="AB116"/>
  <c r="AB122" s="1"/>
  <c r="Z151"/>
  <c r="Z150"/>
  <c r="Z149"/>
  <c r="Z137"/>
  <c r="Z112"/>
  <c r="Z118" s="1"/>
  <c r="Z146"/>
  <c r="Z145"/>
  <c r="AA18"/>
  <c r="AB20"/>
  <c r="AA90"/>
  <c r="AA27"/>
  <c r="AA25"/>
  <c r="AA129" s="1"/>
  <c r="Z105"/>
  <c r="AE51"/>
  <c r="AC21"/>
  <c r="M78" i="20" l="1"/>
  <c r="N78" s="1"/>
  <c r="AA124" i="18"/>
  <c r="AA125"/>
  <c r="AE113"/>
  <c r="AE119" s="1"/>
  <c r="AA109"/>
  <c r="AA147"/>
  <c r="X188"/>
  <c r="T237" s="1"/>
  <c r="AJ88"/>
  <c r="Y188" s="1"/>
  <c r="S237" s="1"/>
  <c r="AH88"/>
  <c r="AA157"/>
  <c r="AA167"/>
  <c r="AA156"/>
  <c r="AA166"/>
  <c r="AD23"/>
  <c r="AC116"/>
  <c r="AC122" s="1"/>
  <c r="AA137"/>
  <c r="AA151"/>
  <c r="AA150"/>
  <c r="AA149"/>
  <c r="AA112"/>
  <c r="AA118" s="1"/>
  <c r="AA146"/>
  <c r="AA145"/>
  <c r="AB18"/>
  <c r="AC20"/>
  <c r="AB90"/>
  <c r="AB27"/>
  <c r="AB25"/>
  <c r="AA105"/>
  <c r="AF51"/>
  <c r="AD21"/>
  <c r="K72"/>
  <c r="L72"/>
  <c r="M72"/>
  <c r="M214" s="1"/>
  <c r="N72"/>
  <c r="N214" s="1"/>
  <c r="O72"/>
  <c r="O214" s="1"/>
  <c r="P72"/>
  <c r="P214" s="1"/>
  <c r="Q72"/>
  <c r="S72"/>
  <c r="S214" s="1"/>
  <c r="J86"/>
  <c r="K86"/>
  <c r="K208" s="1"/>
  <c r="L86"/>
  <c r="L208" s="1"/>
  <c r="M86"/>
  <c r="M208" s="1"/>
  <c r="N86"/>
  <c r="N208" s="1"/>
  <c r="O86"/>
  <c r="O208" s="1"/>
  <c r="P86"/>
  <c r="P208" s="1"/>
  <c r="Q86"/>
  <c r="S86"/>
  <c r="J85"/>
  <c r="K85"/>
  <c r="L85"/>
  <c r="M85"/>
  <c r="N85"/>
  <c r="O85"/>
  <c r="P85"/>
  <c r="Q85"/>
  <c r="S85"/>
  <c r="J83"/>
  <c r="K83"/>
  <c r="L83"/>
  <c r="M83"/>
  <c r="N83"/>
  <c r="O83"/>
  <c r="P83"/>
  <c r="Q83"/>
  <c r="S83"/>
  <c r="J82"/>
  <c r="K82"/>
  <c r="L82"/>
  <c r="M82"/>
  <c r="N82"/>
  <c r="O82"/>
  <c r="P82"/>
  <c r="Q82"/>
  <c r="S82"/>
  <c r="J76"/>
  <c r="K76"/>
  <c r="L76"/>
  <c r="M76"/>
  <c r="N76"/>
  <c r="O76"/>
  <c r="P76"/>
  <c r="Q76"/>
  <c r="S76"/>
  <c r="J75"/>
  <c r="K75"/>
  <c r="K206" s="1"/>
  <c r="L75"/>
  <c r="L206" s="1"/>
  <c r="M75"/>
  <c r="M206" s="1"/>
  <c r="N75"/>
  <c r="N206" s="1"/>
  <c r="O75"/>
  <c r="O206" s="1"/>
  <c r="P75"/>
  <c r="P206" s="1"/>
  <c r="Q75"/>
  <c r="S75"/>
  <c r="J74"/>
  <c r="K74"/>
  <c r="L74"/>
  <c r="M74"/>
  <c r="N74"/>
  <c r="O74"/>
  <c r="P74"/>
  <c r="Q74"/>
  <c r="S74"/>
  <c r="X154"/>
  <c r="X162"/>
  <c r="X163" s="1"/>
  <c r="X114"/>
  <c r="X120" s="1"/>
  <c r="Q214" l="1"/>
  <c r="U170"/>
  <c r="L214"/>
  <c r="V170"/>
  <c r="X244" s="1"/>
  <c r="X243" s="1"/>
  <c r="K214"/>
  <c r="N81" i="20"/>
  <c r="N82" s="1"/>
  <c r="J79"/>
  <c r="AB125" i="18"/>
  <c r="AB129"/>
  <c r="AB147"/>
  <c r="AB124"/>
  <c r="X211"/>
  <c r="AF113"/>
  <c r="AF119" s="1"/>
  <c r="X134"/>
  <c r="W188"/>
  <c r="AB156"/>
  <c r="AB166"/>
  <c r="AB109"/>
  <c r="AB157"/>
  <c r="AB167"/>
  <c r="AE23"/>
  <c r="AD116"/>
  <c r="AD122" s="1"/>
  <c r="X107"/>
  <c r="X108"/>
  <c r="X160"/>
  <c r="X159"/>
  <c r="X115"/>
  <c r="X121" s="1"/>
  <c r="X155"/>
  <c r="K203"/>
  <c r="AB137"/>
  <c r="AB150"/>
  <c r="AB149"/>
  <c r="AB151"/>
  <c r="X136"/>
  <c r="AB112"/>
  <c r="AB118" s="1"/>
  <c r="AB146"/>
  <c r="AB145"/>
  <c r="X135"/>
  <c r="AC18"/>
  <c r="S203"/>
  <c r="N203"/>
  <c r="M203"/>
  <c r="P203"/>
  <c r="L203"/>
  <c r="AD20"/>
  <c r="AC90"/>
  <c r="K84"/>
  <c r="K207" s="1"/>
  <c r="AC27"/>
  <c r="Y12"/>
  <c r="Y15"/>
  <c r="Y154" s="1"/>
  <c r="Y13"/>
  <c r="Y10"/>
  <c r="Y16"/>
  <c r="Y162" s="1"/>
  <c r="Y163" s="1"/>
  <c r="Y6"/>
  <c r="Y7"/>
  <c r="AC25"/>
  <c r="AC129" s="1"/>
  <c r="AB105"/>
  <c r="Y55"/>
  <c r="Y130" s="1"/>
  <c r="X106"/>
  <c r="AG51"/>
  <c r="O84"/>
  <c r="O207" s="1"/>
  <c r="N84"/>
  <c r="N207" s="1"/>
  <c r="M84"/>
  <c r="M207" s="1"/>
  <c r="AE21"/>
  <c r="Y201"/>
  <c r="L84"/>
  <c r="L207" s="1"/>
  <c r="J206"/>
  <c r="J203"/>
  <c r="J208"/>
  <c r="J84"/>
  <c r="Q206"/>
  <c r="Q203"/>
  <c r="Q208"/>
  <c r="S206"/>
  <c r="O203"/>
  <c r="Q84"/>
  <c r="P84"/>
  <c r="P207" s="1"/>
  <c r="S208"/>
  <c r="S84"/>
  <c r="C6" i="12"/>
  <c r="N79" i="20" l="1"/>
  <c r="J80" s="1"/>
  <c r="M79"/>
  <c r="Y132" i="18"/>
  <c r="Y131"/>
  <c r="AC124"/>
  <c r="AC125"/>
  <c r="Y211"/>
  <c r="Y220"/>
  <c r="Y225"/>
  <c r="J216"/>
  <c r="J217" s="1"/>
  <c r="J215"/>
  <c r="P216"/>
  <c r="P217" s="1"/>
  <c r="P215"/>
  <c r="N216"/>
  <c r="N217" s="1"/>
  <c r="N215"/>
  <c r="Q216"/>
  <c r="Q217" s="1"/>
  <c r="Q215"/>
  <c r="K216"/>
  <c r="K217" s="1"/>
  <c r="K215"/>
  <c r="L216"/>
  <c r="L217" s="1"/>
  <c r="L215"/>
  <c r="M216"/>
  <c r="M217" s="1"/>
  <c r="M215"/>
  <c r="S216"/>
  <c r="S217" s="1"/>
  <c r="S215"/>
  <c r="O216"/>
  <c r="O217" s="1"/>
  <c r="O215"/>
  <c r="AC109"/>
  <c r="AC147"/>
  <c r="Y114"/>
  <c r="Y120" s="1"/>
  <c r="Y68"/>
  <c r="Y110" s="1"/>
  <c r="Y245"/>
  <c r="Z245" s="1"/>
  <c r="AA245" s="1"/>
  <c r="AB245" s="1"/>
  <c r="AC245" s="1"/>
  <c r="AD245" s="1"/>
  <c r="AE245" s="1"/>
  <c r="AF245" s="1"/>
  <c r="AG245" s="1"/>
  <c r="AH245" s="1"/>
  <c r="AI245" s="1"/>
  <c r="AJ245" s="1"/>
  <c r="AK245" s="1"/>
  <c r="AL245" s="1"/>
  <c r="AM245" s="1"/>
  <c r="AN245" s="1"/>
  <c r="AO245" s="1"/>
  <c r="AP245" s="1"/>
  <c r="AQ245" s="1"/>
  <c r="AR245" s="1"/>
  <c r="AS245" s="1"/>
  <c r="AT245" s="1"/>
  <c r="AU245" s="1"/>
  <c r="AV245" s="1"/>
  <c r="AW245" s="1"/>
  <c r="AX245" s="1"/>
  <c r="Y134"/>
  <c r="AC156"/>
  <c r="AC166"/>
  <c r="AC157"/>
  <c r="AC167"/>
  <c r="AJ51"/>
  <c r="AG113"/>
  <c r="AF23"/>
  <c r="AE116"/>
  <c r="AE122" s="1"/>
  <c r="Y160"/>
  <c r="Y159"/>
  <c r="Y115"/>
  <c r="Y121" s="1"/>
  <c r="Y155"/>
  <c r="Y108"/>
  <c r="AC149"/>
  <c r="AC150"/>
  <c r="AC151"/>
  <c r="AC137"/>
  <c r="AC112"/>
  <c r="AC118" s="1"/>
  <c r="AC146"/>
  <c r="AC145"/>
  <c r="Y135"/>
  <c r="Y136"/>
  <c r="AD18"/>
  <c r="AE20"/>
  <c r="AD90"/>
  <c r="AD27"/>
  <c r="Z15"/>
  <c r="Z154" s="1"/>
  <c r="Z13"/>
  <c r="Z12"/>
  <c r="Z16"/>
  <c r="Z162" s="1"/>
  <c r="Z163" s="1"/>
  <c r="Z10"/>
  <c r="Z7"/>
  <c r="Z6"/>
  <c r="AH51"/>
  <c r="AD25"/>
  <c r="AD129" s="1"/>
  <c r="AC105"/>
  <c r="Z55"/>
  <c r="Z130" s="1"/>
  <c r="Y107"/>
  <c r="Y106"/>
  <c r="AF21"/>
  <c r="Z201"/>
  <c r="J207"/>
  <c r="Q207"/>
  <c r="S207"/>
  <c r="M80" i="20" l="1"/>
  <c r="N80" s="1"/>
  <c r="Z131" i="18"/>
  <c r="Z132"/>
  <c r="AD124"/>
  <c r="AD125"/>
  <c r="Y226"/>
  <c r="Y227" s="1"/>
  <c r="Y224"/>
  <c r="Y221"/>
  <c r="Y222" s="1"/>
  <c r="Y219"/>
  <c r="Z211"/>
  <c r="Z225"/>
  <c r="Z220"/>
  <c r="AD109"/>
  <c r="AD147"/>
  <c r="Z114"/>
  <c r="Z120" s="1"/>
  <c r="Z68"/>
  <c r="Z110" s="1"/>
  <c r="Y246"/>
  <c r="Z246" s="1"/>
  <c r="AA246" s="1"/>
  <c r="AB246" s="1"/>
  <c r="AC246" s="1"/>
  <c r="AD246" s="1"/>
  <c r="AE246" s="1"/>
  <c r="AF246" s="1"/>
  <c r="AG246" s="1"/>
  <c r="AH246" s="1"/>
  <c r="AI246" s="1"/>
  <c r="AJ246" s="1"/>
  <c r="AK246" s="1"/>
  <c r="AL246" s="1"/>
  <c r="AM246" s="1"/>
  <c r="AN246" s="1"/>
  <c r="AO246" s="1"/>
  <c r="AP246" s="1"/>
  <c r="AQ246" s="1"/>
  <c r="AR246" s="1"/>
  <c r="AS246" s="1"/>
  <c r="AT246" s="1"/>
  <c r="AU246" s="1"/>
  <c r="AV246" s="1"/>
  <c r="AW246" s="1"/>
  <c r="AX246" s="1"/>
  <c r="AH113"/>
  <c r="AG119"/>
  <c r="AH119" s="1"/>
  <c r="Y244"/>
  <c r="Z244" s="1"/>
  <c r="AA244" s="1"/>
  <c r="AB244" s="1"/>
  <c r="AC244" s="1"/>
  <c r="AD244" s="1"/>
  <c r="AE244" s="1"/>
  <c r="AF244" s="1"/>
  <c r="AG244" s="1"/>
  <c r="AH244" s="1"/>
  <c r="Z134"/>
  <c r="AD156"/>
  <c r="AD166"/>
  <c r="AD157"/>
  <c r="AD167"/>
  <c r="AG23"/>
  <c r="AF116"/>
  <c r="AF122" s="1"/>
  <c r="Z115"/>
  <c r="Z121" s="1"/>
  <c r="Z155"/>
  <c r="Z160"/>
  <c r="Z159"/>
  <c r="Z108"/>
  <c r="AD151"/>
  <c r="AD150"/>
  <c r="AD149"/>
  <c r="AD137"/>
  <c r="AD112"/>
  <c r="AD118" s="1"/>
  <c r="AD146"/>
  <c r="AD145"/>
  <c r="Z135"/>
  <c r="Z136"/>
  <c r="AE18"/>
  <c r="AF20"/>
  <c r="AE90"/>
  <c r="AE27"/>
  <c r="AA13"/>
  <c r="AA12"/>
  <c r="AA15"/>
  <c r="AA154" s="1"/>
  <c r="AA10"/>
  <c r="AA16"/>
  <c r="AA162" s="1"/>
  <c r="AA163" s="1"/>
  <c r="AA6"/>
  <c r="AA7"/>
  <c r="AA55"/>
  <c r="AA130" s="1"/>
  <c r="Z107"/>
  <c r="Z106"/>
  <c r="AE25"/>
  <c r="AE129" s="1"/>
  <c r="AD105"/>
  <c r="AG21"/>
  <c r="AJ21" s="1"/>
  <c r="AA201"/>
  <c r="AA132" l="1"/>
  <c r="AA131"/>
  <c r="AE124"/>
  <c r="AE125"/>
  <c r="Z221"/>
  <c r="Z222" s="1"/>
  <c r="Z219"/>
  <c r="Z226"/>
  <c r="Z227" s="1"/>
  <c r="Z224"/>
  <c r="AA211"/>
  <c r="AA220"/>
  <c r="AA225"/>
  <c r="AE109"/>
  <c r="AE147"/>
  <c r="AA114"/>
  <c r="AA120" s="1"/>
  <c r="AA68"/>
  <c r="AA110" s="1"/>
  <c r="Y243"/>
  <c r="Z243" s="1"/>
  <c r="AA243" s="1"/>
  <c r="AB243" s="1"/>
  <c r="AC243" s="1"/>
  <c r="AD243" s="1"/>
  <c r="AE243" s="1"/>
  <c r="AF243" s="1"/>
  <c r="AG243" s="1"/>
  <c r="AH243" s="1"/>
  <c r="AI244"/>
  <c r="AJ244" s="1"/>
  <c r="AK244" s="1"/>
  <c r="AL244" s="1"/>
  <c r="AM244" s="1"/>
  <c r="AN244" s="1"/>
  <c r="AO244" s="1"/>
  <c r="AP244" s="1"/>
  <c r="AQ244" s="1"/>
  <c r="AR244" s="1"/>
  <c r="AS244" s="1"/>
  <c r="AT244" s="1"/>
  <c r="AU244" s="1"/>
  <c r="AV244" s="1"/>
  <c r="AW244" s="1"/>
  <c r="AX244" s="1"/>
  <c r="AA134"/>
  <c r="AE156"/>
  <c r="AE166"/>
  <c r="AE157"/>
  <c r="AE167"/>
  <c r="AJ23"/>
  <c r="AG116"/>
  <c r="AH23"/>
  <c r="AA108"/>
  <c r="AA159"/>
  <c r="AA160"/>
  <c r="AA115"/>
  <c r="AA121" s="1"/>
  <c r="AA155"/>
  <c r="AE151"/>
  <c r="AE150"/>
  <c r="AE149"/>
  <c r="AE137"/>
  <c r="AE112"/>
  <c r="AE118" s="1"/>
  <c r="AE146"/>
  <c r="AE145"/>
  <c r="AA136"/>
  <c r="AA135"/>
  <c r="AF18"/>
  <c r="AG20"/>
  <c r="AF90"/>
  <c r="AF27"/>
  <c r="AB12"/>
  <c r="AB15"/>
  <c r="AB154" s="1"/>
  <c r="AB13"/>
  <c r="AB16"/>
  <c r="AB162" s="1"/>
  <c r="AB163" s="1"/>
  <c r="AB10"/>
  <c r="AB7"/>
  <c r="AB6"/>
  <c r="AF25"/>
  <c r="AE105"/>
  <c r="AB55"/>
  <c r="AB130" s="1"/>
  <c r="AA106"/>
  <c r="AA107"/>
  <c r="AH21"/>
  <c r="AB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F125" i="18" l="1"/>
  <c r="AF129"/>
  <c r="AB132"/>
  <c r="AB131"/>
  <c r="AF147"/>
  <c r="AF124"/>
  <c r="AA226"/>
  <c r="AA227" s="1"/>
  <c r="AA224"/>
  <c r="AA221"/>
  <c r="AA222" s="1"/>
  <c r="AA219"/>
  <c r="AB211"/>
  <c r="AB225"/>
  <c r="AB220"/>
  <c r="AB114"/>
  <c r="AB120" s="1"/>
  <c r="AB68"/>
  <c r="AB110" s="1"/>
  <c r="AI243"/>
  <c r="AJ243" s="1"/>
  <c r="AK243" s="1"/>
  <c r="AL243" s="1"/>
  <c r="AM243" s="1"/>
  <c r="AN243" s="1"/>
  <c r="AO243" s="1"/>
  <c r="AP243" s="1"/>
  <c r="AQ243" s="1"/>
  <c r="AR243" s="1"/>
  <c r="AS243" s="1"/>
  <c r="AT243" s="1"/>
  <c r="AU243" s="1"/>
  <c r="AV243" s="1"/>
  <c r="AW243" s="1"/>
  <c r="AX243" s="1"/>
  <c r="AH116"/>
  <c r="AG122"/>
  <c r="AH122" s="1"/>
  <c r="AB134"/>
  <c r="AF156"/>
  <c r="AF166"/>
  <c r="AF157"/>
  <c r="AF167"/>
  <c r="AJ20"/>
  <c r="AF109"/>
  <c r="AB160"/>
  <c r="AB159"/>
  <c r="AB115"/>
  <c r="AB121" s="1"/>
  <c r="AB155"/>
  <c r="AB108"/>
  <c r="AF150"/>
  <c r="AF149"/>
  <c r="AF151"/>
  <c r="AF137"/>
  <c r="AF112"/>
  <c r="AF118" s="1"/>
  <c r="AF146"/>
  <c r="AF145"/>
  <c r="AB136"/>
  <c r="AB135"/>
  <c r="AG18"/>
  <c r="AH20"/>
  <c r="AG90"/>
  <c r="AG27"/>
  <c r="AG167" s="1"/>
  <c r="AH167" s="1"/>
  <c r="AC15"/>
  <c r="AC154" s="1"/>
  <c r="AC13"/>
  <c r="AC12"/>
  <c r="AC10"/>
  <c r="AC16"/>
  <c r="AC162" s="1"/>
  <c r="AC163" s="1"/>
  <c r="AC6"/>
  <c r="AC7"/>
  <c r="AC55"/>
  <c r="AC130" s="1"/>
  <c r="AB107"/>
  <c r="AB106"/>
  <c r="AG25"/>
  <c r="AG129" s="1"/>
  <c r="AH129" s="1"/>
  <c r="AF105"/>
  <c r="AC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C132" i="18" l="1"/>
  <c r="AC131"/>
  <c r="AG124"/>
  <c r="AH124" s="1"/>
  <c r="AG125"/>
  <c r="AH125" s="1"/>
  <c r="AB221"/>
  <c r="AB222" s="1"/>
  <c r="AB219"/>
  <c r="AB226"/>
  <c r="AB227" s="1"/>
  <c r="AB224"/>
  <c r="AC211"/>
  <c r="AC225"/>
  <c r="AC220"/>
  <c r="AG109"/>
  <c r="AH109" s="1"/>
  <c r="AG147"/>
  <c r="AH147" s="1"/>
  <c r="AC114"/>
  <c r="AC120" s="1"/>
  <c r="AC68"/>
  <c r="AC110" s="1"/>
  <c r="AC134"/>
  <c r="AG156"/>
  <c r="AH156" s="1"/>
  <c r="AG166"/>
  <c r="AH166" s="1"/>
  <c r="AC115"/>
  <c r="AC121" s="1"/>
  <c r="AC155"/>
  <c r="AC160"/>
  <c r="AC159"/>
  <c r="AJ27"/>
  <c r="AG157"/>
  <c r="AH157" s="1"/>
  <c r="AC108"/>
  <c r="AG149"/>
  <c r="AH149" s="1"/>
  <c r="AG151"/>
  <c r="AH151" s="1"/>
  <c r="AG150"/>
  <c r="AH150" s="1"/>
  <c r="N32" i="9"/>
  <c r="N33" s="1"/>
  <c r="N34" s="1"/>
  <c r="N35" s="1"/>
  <c r="N36" s="1"/>
  <c r="N37" s="1"/>
  <c r="N38" s="1"/>
  <c r="N39" s="1"/>
  <c r="N40" s="1"/>
  <c r="N41" s="1"/>
  <c r="N42" s="1"/>
  <c r="M45"/>
  <c r="AG137" i="18"/>
  <c r="AH137" s="1"/>
  <c r="AG112"/>
  <c r="AG146"/>
  <c r="AH146" s="1"/>
  <c r="AG145"/>
  <c r="AH145" s="1"/>
  <c r="AC136"/>
  <c r="AC135"/>
  <c r="AJ25"/>
  <c r="AJ18"/>
  <c r="AH18"/>
  <c r="X190"/>
  <c r="AJ90"/>
  <c r="AH90"/>
  <c r="M32" i="9"/>
  <c r="M33" s="1"/>
  <c r="M34" s="1"/>
  <c r="M35" s="1"/>
  <c r="M36" s="1"/>
  <c r="M37" s="1"/>
  <c r="M38" s="1"/>
  <c r="M39" s="1"/>
  <c r="M40" s="1"/>
  <c r="M41" s="1"/>
  <c r="P32"/>
  <c r="AH27" i="18"/>
  <c r="AD12"/>
  <c r="AD15"/>
  <c r="AD154" s="1"/>
  <c r="AD13"/>
  <c r="AD10"/>
  <c r="AD16"/>
  <c r="AD162" s="1"/>
  <c r="AD163" s="1"/>
  <c r="AD7"/>
  <c r="AD6"/>
  <c r="AH25"/>
  <c r="AG105"/>
  <c r="AH105" s="1"/>
  <c r="AD55"/>
  <c r="AD130" s="1"/>
  <c r="AC107"/>
  <c r="AC106"/>
  <c r="O31" i="9"/>
  <c r="O32" s="1"/>
  <c r="AD201" i="18"/>
  <c r="P31" i="11"/>
  <c r="N32"/>
  <c r="T19" i="9"/>
  <c r="D22"/>
  <c r="AD131" i="18" l="1"/>
  <c r="AD132"/>
  <c r="AC221"/>
  <c r="AC222" s="1"/>
  <c r="AC219"/>
  <c r="AC226"/>
  <c r="AC227" s="1"/>
  <c r="AC224"/>
  <c r="AD211"/>
  <c r="AD220"/>
  <c r="AD225"/>
  <c r="AD114"/>
  <c r="AD120" s="1"/>
  <c r="AD68"/>
  <c r="AD110" s="1"/>
  <c r="AH112"/>
  <c r="AG118"/>
  <c r="AH118" s="1"/>
  <c r="AD134"/>
  <c r="AD160"/>
  <c r="AD159"/>
  <c r="AD115"/>
  <c r="AD121" s="1"/>
  <c r="AD155"/>
  <c r="AD108"/>
  <c r="AD135"/>
  <c r="AD136"/>
  <c r="Y190"/>
  <c r="W190" s="1"/>
  <c r="AE13"/>
  <c r="AE12"/>
  <c r="AE15"/>
  <c r="AE154" s="1"/>
  <c r="AE10"/>
  <c r="AE16"/>
  <c r="AE162" s="1"/>
  <c r="AE163" s="1"/>
  <c r="AE6"/>
  <c r="AE7"/>
  <c r="AE55"/>
  <c r="AE130" s="1"/>
  <c r="AD107"/>
  <c r="AD106"/>
  <c r="AE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E132" i="18" l="1"/>
  <c r="AE131"/>
  <c r="AD226"/>
  <c r="AD227" s="1"/>
  <c r="AD224"/>
  <c r="AD221"/>
  <c r="AD222" s="1"/>
  <c r="AD219"/>
  <c r="AE211"/>
  <c r="AE225"/>
  <c r="AE220"/>
  <c r="AE114"/>
  <c r="AE120" s="1"/>
  <c r="AE68"/>
  <c r="AE110" s="1"/>
  <c r="AE134"/>
  <c r="AE115"/>
  <c r="AE121" s="1"/>
  <c r="AE155"/>
  <c r="AE159"/>
  <c r="AE160"/>
  <c r="AE108"/>
  <c r="AE135"/>
  <c r="AE136"/>
  <c r="AF12"/>
  <c r="AF15"/>
  <c r="AF154" s="1"/>
  <c r="AF13"/>
  <c r="AF10"/>
  <c r="AF16"/>
  <c r="AF162" s="1"/>
  <c r="AF163" s="1"/>
  <c r="AF7"/>
  <c r="AF6"/>
  <c r="AF55"/>
  <c r="AF130" s="1"/>
  <c r="AE106"/>
  <c r="AE107"/>
  <c r="AF201"/>
  <c r="N34" i="11"/>
  <c r="O33"/>
  <c r="AF132" i="18" l="1"/>
  <c r="AF131"/>
  <c r="AE221"/>
  <c r="AE222" s="1"/>
  <c r="AE219"/>
  <c r="AE226"/>
  <c r="AE227" s="1"/>
  <c r="AE224"/>
  <c r="AF211"/>
  <c r="AF225"/>
  <c r="AF220"/>
  <c r="AF114"/>
  <c r="AF120" s="1"/>
  <c r="AF68"/>
  <c r="AF110" s="1"/>
  <c r="AF134"/>
  <c r="AF108"/>
  <c r="AF159"/>
  <c r="AF160"/>
  <c r="AF115"/>
  <c r="AF121" s="1"/>
  <c r="AF155"/>
  <c r="AF135"/>
  <c r="AF136"/>
  <c r="AG15"/>
  <c r="AG13"/>
  <c r="AJ13" s="1"/>
  <c r="AG12"/>
  <c r="AG155" s="1"/>
  <c r="AH155" s="1"/>
  <c r="AG10"/>
  <c r="AG16"/>
  <c r="AG6"/>
  <c r="AJ6" s="1"/>
  <c r="AG7"/>
  <c r="AJ7" s="1"/>
  <c r="AG55"/>
  <c r="AG130" s="1"/>
  <c r="AH130" s="1"/>
  <c r="AF107"/>
  <c r="AF106"/>
  <c r="AG201"/>
  <c r="N35" i="11"/>
  <c r="O34"/>
  <c r="AG132" i="18" l="1"/>
  <c r="AH132" s="1"/>
  <c r="AG131"/>
  <c r="AH131" s="1"/>
  <c r="AF221"/>
  <c r="AF222" s="1"/>
  <c r="AF219"/>
  <c r="AF226"/>
  <c r="AF227" s="1"/>
  <c r="AF224"/>
  <c r="AG211"/>
  <c r="AH211" s="1"/>
  <c r="AJ211" s="1"/>
  <c r="AJ227" s="1"/>
  <c r="AG225"/>
  <c r="AG224" s="1"/>
  <c r="AH224" s="1"/>
  <c r="AG220"/>
  <c r="AG219" s="1"/>
  <c r="AH219" s="1"/>
  <c r="AG114"/>
  <c r="AG120" s="1"/>
  <c r="AH120" s="1"/>
  <c r="AG68"/>
  <c r="AG134"/>
  <c r="AH134" s="1"/>
  <c r="AJ16"/>
  <c r="AG162"/>
  <c r="AG160"/>
  <c r="AH160" s="1"/>
  <c r="AG159"/>
  <c r="AH159" s="1"/>
  <c r="AJ15"/>
  <c r="AG154"/>
  <c r="AH154" s="1"/>
  <c r="AG108"/>
  <c r="AH108" s="1"/>
  <c r="AJ10"/>
  <c r="AJ12"/>
  <c r="AG115"/>
  <c r="AJ55"/>
  <c r="AG135"/>
  <c r="AH135" s="1"/>
  <c r="AG136"/>
  <c r="AH136" s="1"/>
  <c r="AH15"/>
  <c r="AH13"/>
  <c r="X184"/>
  <c r="AH12"/>
  <c r="AH10"/>
  <c r="AH16"/>
  <c r="AH7"/>
  <c r="AH6"/>
  <c r="AG107"/>
  <c r="AH107" s="1"/>
  <c r="AG106"/>
  <c r="AH106" s="1"/>
  <c r="AH55"/>
  <c r="AH201"/>
  <c r="AJ201" s="1"/>
  <c r="N36" i="11"/>
  <c r="O35"/>
  <c r="AG221" i="18" l="1"/>
  <c r="AH220"/>
  <c r="AH225"/>
  <c r="AG226"/>
  <c r="AH68"/>
  <c r="AJ68"/>
  <c r="AH114"/>
  <c r="AG110"/>
  <c r="AH110" s="1"/>
  <c r="AH115"/>
  <c r="AG121"/>
  <c r="AH121" s="1"/>
  <c r="AH162"/>
  <c r="AG163"/>
  <c r="AH163" s="1"/>
  <c r="Y184"/>
  <c r="Y185" s="1"/>
  <c r="S240" s="1"/>
  <c r="X185"/>
  <c r="T240" s="1"/>
  <c r="N37" i="11"/>
  <c r="O36"/>
  <c r="AH221" i="18" l="1"/>
  <c r="AG222"/>
  <c r="AH222" s="1"/>
  <c r="AG227"/>
  <c r="AH227" s="1"/>
  <c r="AH226"/>
  <c r="W184"/>
  <c r="W185"/>
  <c r="N38" i="11"/>
  <c r="O37"/>
  <c r="P240" i="18" l="1"/>
  <c r="N39" i="11"/>
  <c r="O38"/>
  <c r="N40" l="1"/>
  <c r="O39"/>
  <c r="N41" l="1"/>
  <c r="O40"/>
  <c r="N42" l="1"/>
  <c r="O41"/>
  <c r="X212" i="18"/>
  <c r="X93"/>
  <c r="X74"/>
  <c r="X79"/>
  <c r="X100"/>
  <c r="X102"/>
  <c r="X95"/>
  <c r="X92"/>
  <c r="X78"/>
  <c r="X73"/>
  <c r="X67"/>
  <c r="X85"/>
  <c r="X99"/>
  <c r="X83"/>
  <c r="X76"/>
  <c r="X94"/>
  <c r="X96"/>
  <c r="X80"/>
  <c r="X209" s="1"/>
  <c r="X66"/>
  <c r="X202" s="1"/>
  <c r="X71"/>
  <c r="X205" s="1"/>
  <c r="X86"/>
  <c r="X208" s="1"/>
  <c r="X98"/>
  <c r="X164" s="1"/>
  <c r="X70"/>
  <c r="X204" s="1"/>
  <c r="X82"/>
  <c r="X139"/>
  <c r="X140" s="1"/>
  <c r="X72"/>
  <c r="X214" s="1"/>
  <c r="X75"/>
  <c r="X206" s="1"/>
  <c r="X230" s="1"/>
  <c r="Y57"/>
  <c r="X231" l="1"/>
  <c r="X232" s="1"/>
  <c r="X229"/>
  <c r="X84"/>
  <c r="X207" s="1"/>
  <c r="Y76"/>
  <c r="Y99"/>
  <c r="Y83"/>
  <c r="Y95"/>
  <c r="Y79"/>
  <c r="Y78"/>
  <c r="Y212"/>
  <c r="Y94"/>
  <c r="Y74"/>
  <c r="Y98"/>
  <c r="Y164" s="1"/>
  <c r="Y86"/>
  <c r="Y208" s="1"/>
  <c r="Y70"/>
  <c r="Y204" s="1"/>
  <c r="Y139"/>
  <c r="Y140" s="1"/>
  <c r="Y92"/>
  <c r="Y73"/>
  <c r="Y102"/>
  <c r="Y85"/>
  <c r="Y100"/>
  <c r="Y93"/>
  <c r="Y96"/>
  <c r="Y67"/>
  <c r="Y75"/>
  <c r="Y206" s="1"/>
  <c r="Y230" s="1"/>
  <c r="Y66"/>
  <c r="Y202" s="1"/>
  <c r="Y80"/>
  <c r="Y209" s="1"/>
  <c r="Y71"/>
  <c r="Y205" s="1"/>
  <c r="Y72"/>
  <c r="Y214" s="1"/>
  <c r="Z57"/>
  <c r="Y82"/>
  <c r="X141"/>
  <c r="X142" s="1"/>
  <c r="X143"/>
  <c r="X203"/>
  <c r="Y231" l="1"/>
  <c r="Y232" s="1"/>
  <c r="Y229"/>
  <c r="Y84"/>
  <c r="Y207" s="1"/>
  <c r="X216"/>
  <c r="X217" s="1"/>
  <c r="X215"/>
  <c r="Z93"/>
  <c r="Z70"/>
  <c r="Z204" s="1"/>
  <c r="Z94"/>
  <c r="Z95"/>
  <c r="Z99"/>
  <c r="Z79"/>
  <c r="Z76"/>
  <c r="Z102"/>
  <c r="Z85"/>
  <c r="Z83"/>
  <c r="Z66"/>
  <c r="Z202" s="1"/>
  <c r="Z75"/>
  <c r="Z206" s="1"/>
  <c r="Z230" s="1"/>
  <c r="Z71"/>
  <c r="Z205" s="1"/>
  <c r="Z74"/>
  <c r="Z73"/>
  <c r="Z92"/>
  <c r="Z96"/>
  <c r="Z67"/>
  <c r="Z80"/>
  <c r="Z209" s="1"/>
  <c r="Z100"/>
  <c r="Z78"/>
  <c r="Z212"/>
  <c r="Z98"/>
  <c r="Z164" s="1"/>
  <c r="Z86"/>
  <c r="Z208" s="1"/>
  <c r="Z82"/>
  <c r="Z139"/>
  <c r="Z140" s="1"/>
  <c r="Z72"/>
  <c r="Z214" s="1"/>
  <c r="AA57"/>
  <c r="Y203"/>
  <c r="Y143"/>
  <c r="Y141"/>
  <c r="Y142" s="1"/>
  <c r="Z231" l="1"/>
  <c r="Z232" s="1"/>
  <c r="Z229"/>
  <c r="Y216"/>
  <c r="Y217" s="1"/>
  <c r="Y215"/>
  <c r="AA93"/>
  <c r="AA212"/>
  <c r="AA67"/>
  <c r="AA94"/>
  <c r="AA79"/>
  <c r="AA74"/>
  <c r="AA78"/>
  <c r="AA92"/>
  <c r="AA98"/>
  <c r="AA164" s="1"/>
  <c r="AA70"/>
  <c r="AA204" s="1"/>
  <c r="AA71"/>
  <c r="AA205" s="1"/>
  <c r="AA86"/>
  <c r="AA208" s="1"/>
  <c r="AA102"/>
  <c r="AA73"/>
  <c r="AA96"/>
  <c r="AA100"/>
  <c r="AA99"/>
  <c r="AA76"/>
  <c r="AA95"/>
  <c r="AA85"/>
  <c r="AA83"/>
  <c r="AA80"/>
  <c r="AA209" s="1"/>
  <c r="AA66"/>
  <c r="AA202" s="1"/>
  <c r="AA139"/>
  <c r="AA140" s="1"/>
  <c r="AA72"/>
  <c r="AA214" s="1"/>
  <c r="AA75"/>
  <c r="AA206" s="1"/>
  <c r="AA230" s="1"/>
  <c r="AB57"/>
  <c r="AA82"/>
  <c r="Z203"/>
  <c r="Z141"/>
  <c r="Z142" s="1"/>
  <c r="Z143"/>
  <c r="Z84"/>
  <c r="Z207" s="1"/>
  <c r="AA231" l="1"/>
  <c r="AA232" s="1"/>
  <c r="AA229"/>
  <c r="Z216"/>
  <c r="Z217" s="1"/>
  <c r="Z215"/>
  <c r="AA203"/>
  <c r="AA84"/>
  <c r="AA207" s="1"/>
  <c r="AA143"/>
  <c r="AA141"/>
  <c r="AA142" s="1"/>
  <c r="AB73"/>
  <c r="AB94"/>
  <c r="AB83"/>
  <c r="AB93"/>
  <c r="AB92"/>
  <c r="AB78"/>
  <c r="AB67"/>
  <c r="AB76"/>
  <c r="AB75"/>
  <c r="AB206" s="1"/>
  <c r="AB230" s="1"/>
  <c r="AB66"/>
  <c r="AB202" s="1"/>
  <c r="AB98"/>
  <c r="AB164" s="1"/>
  <c r="AB212"/>
  <c r="AB96"/>
  <c r="AB74"/>
  <c r="AB102"/>
  <c r="AB95"/>
  <c r="AB79"/>
  <c r="AB85"/>
  <c r="AB99"/>
  <c r="AB100"/>
  <c r="AB70"/>
  <c r="AB204" s="1"/>
  <c r="AB71"/>
  <c r="AB205" s="1"/>
  <c r="AB86"/>
  <c r="AB208" s="1"/>
  <c r="AB80"/>
  <c r="AB209" s="1"/>
  <c r="AB82"/>
  <c r="AB72"/>
  <c r="AB214" s="1"/>
  <c r="AB139"/>
  <c r="AB140" s="1"/>
  <c r="AC57"/>
  <c r="AB231" l="1"/>
  <c r="AB232" s="1"/>
  <c r="AB229"/>
  <c r="AB84"/>
  <c r="AB207" s="1"/>
  <c r="AA216"/>
  <c r="AA217" s="1"/>
  <c r="AA215"/>
  <c r="AC73"/>
  <c r="AC76"/>
  <c r="AC78"/>
  <c r="AC67"/>
  <c r="AC80"/>
  <c r="AC209" s="1"/>
  <c r="AC92"/>
  <c r="AC85"/>
  <c r="AC93"/>
  <c r="AC83"/>
  <c r="AC71"/>
  <c r="AC205" s="1"/>
  <c r="AC66"/>
  <c r="AC202" s="1"/>
  <c r="AC75"/>
  <c r="AC206" s="1"/>
  <c r="AC230" s="1"/>
  <c r="AC95"/>
  <c r="AC94"/>
  <c r="AC74"/>
  <c r="AC100"/>
  <c r="AC86"/>
  <c r="AC208" s="1"/>
  <c r="AC102"/>
  <c r="AC212"/>
  <c r="AC99"/>
  <c r="AC96"/>
  <c r="AC79"/>
  <c r="AC98"/>
  <c r="AC164" s="1"/>
  <c r="AC70"/>
  <c r="AC204" s="1"/>
  <c r="AD57"/>
  <c r="AC139"/>
  <c r="AC140" s="1"/>
  <c r="AC82"/>
  <c r="AC72"/>
  <c r="AC214" s="1"/>
  <c r="AB141"/>
  <c r="AB142" s="1"/>
  <c r="AB143"/>
  <c r="AB203"/>
  <c r="AC231" l="1"/>
  <c r="AC232" s="1"/>
  <c r="AC229"/>
  <c r="AB216"/>
  <c r="AB217" s="1"/>
  <c r="AB215"/>
  <c r="AC84"/>
  <c r="AC207" s="1"/>
  <c r="AD92"/>
  <c r="AD79"/>
  <c r="AD212"/>
  <c r="AD78"/>
  <c r="AD80"/>
  <c r="AD209" s="1"/>
  <c r="AD95"/>
  <c r="AD67"/>
  <c r="AD83"/>
  <c r="AD100"/>
  <c r="AD98"/>
  <c r="AD164" s="1"/>
  <c r="AD66"/>
  <c r="AD202" s="1"/>
  <c r="AD99"/>
  <c r="AD74"/>
  <c r="AD76"/>
  <c r="AD96"/>
  <c r="AD86"/>
  <c r="AD208" s="1"/>
  <c r="AD73"/>
  <c r="AD102"/>
  <c r="AD94"/>
  <c r="AD93"/>
  <c r="AD85"/>
  <c r="AD70"/>
  <c r="AD204" s="1"/>
  <c r="AD71"/>
  <c r="AD205" s="1"/>
  <c r="AD75"/>
  <c r="AD206" s="1"/>
  <c r="AD230" s="1"/>
  <c r="AD139"/>
  <c r="AD140" s="1"/>
  <c r="AD72"/>
  <c r="AD214" s="1"/>
  <c r="AD82"/>
  <c r="AE57"/>
  <c r="AC203"/>
  <c r="AC141"/>
  <c r="AC142" s="1"/>
  <c r="AC143"/>
  <c r="AD231" l="1"/>
  <c r="AD232" s="1"/>
  <c r="AD229"/>
  <c r="AC216"/>
  <c r="AC217" s="1"/>
  <c r="AC215"/>
  <c r="AD84"/>
  <c r="AD207" s="1"/>
  <c r="AD143"/>
  <c r="AD141"/>
  <c r="AD142" s="1"/>
  <c r="AE92"/>
  <c r="AE94"/>
  <c r="AE76"/>
  <c r="AE96"/>
  <c r="AE66"/>
  <c r="AE202" s="1"/>
  <c r="AE74"/>
  <c r="AE83"/>
  <c r="AE100"/>
  <c r="AE95"/>
  <c r="AE70"/>
  <c r="AE204" s="1"/>
  <c r="AE80"/>
  <c r="AE209" s="1"/>
  <c r="AE85"/>
  <c r="AE79"/>
  <c r="AE212"/>
  <c r="AE99"/>
  <c r="AE102"/>
  <c r="AE93"/>
  <c r="AE67"/>
  <c r="AE73"/>
  <c r="AE78"/>
  <c r="AE71"/>
  <c r="AE205" s="1"/>
  <c r="AE86"/>
  <c r="AE208" s="1"/>
  <c r="AE98"/>
  <c r="AE164" s="1"/>
  <c r="AE75"/>
  <c r="AE206" s="1"/>
  <c r="AE230" s="1"/>
  <c r="AE139"/>
  <c r="AE140" s="1"/>
  <c r="AE82"/>
  <c r="AE72"/>
  <c r="AE214" s="1"/>
  <c r="AF57"/>
  <c r="AD203"/>
  <c r="AE231" l="1"/>
  <c r="AE232" s="1"/>
  <c r="AE229"/>
  <c r="AD216"/>
  <c r="AD217" s="1"/>
  <c r="AD215"/>
  <c r="AE203"/>
  <c r="AE84"/>
  <c r="AE207" s="1"/>
  <c r="AE141"/>
  <c r="AE142" s="1"/>
  <c r="AE143"/>
  <c r="AF79"/>
  <c r="AF92"/>
  <c r="AF83"/>
  <c r="AF73"/>
  <c r="AF98"/>
  <c r="AF164" s="1"/>
  <c r="AF100"/>
  <c r="AF93"/>
  <c r="AF99"/>
  <c r="AF76"/>
  <c r="AF66"/>
  <c r="AF202" s="1"/>
  <c r="AF86"/>
  <c r="AF208" s="1"/>
  <c r="AF96"/>
  <c r="AF71"/>
  <c r="AF205" s="1"/>
  <c r="AF102"/>
  <c r="AF94"/>
  <c r="AF95"/>
  <c r="AF85"/>
  <c r="AF78"/>
  <c r="AF67"/>
  <c r="AF212"/>
  <c r="AF74"/>
  <c r="AF70"/>
  <c r="AF204" s="1"/>
  <c r="AF80"/>
  <c r="AF209" s="1"/>
  <c r="AF75"/>
  <c r="AF206" s="1"/>
  <c r="AF230" s="1"/>
  <c r="AF139"/>
  <c r="AF140" s="1"/>
  <c r="AF72"/>
  <c r="AF214" s="1"/>
  <c r="AG57"/>
  <c r="AF82"/>
  <c r="AF231" l="1"/>
  <c r="AF232" s="1"/>
  <c r="AF229"/>
  <c r="AE216"/>
  <c r="AE217" s="1"/>
  <c r="AE215"/>
  <c r="AF84"/>
  <c r="AF207" s="1"/>
  <c r="AF203"/>
  <c r="AG212"/>
  <c r="AG99"/>
  <c r="AG100"/>
  <c r="AG67"/>
  <c r="AH57"/>
  <c r="AG73"/>
  <c r="AJ57"/>
  <c r="AG102"/>
  <c r="AG98"/>
  <c r="AG70"/>
  <c r="AG66"/>
  <c r="AG71"/>
  <c r="AG75"/>
  <c r="AG85"/>
  <c r="AG72"/>
  <c r="AG214" s="1"/>
  <c r="AG86"/>
  <c r="AG93"/>
  <c r="AG95"/>
  <c r="AG80"/>
  <c r="AG82"/>
  <c r="AG78"/>
  <c r="AG83"/>
  <c r="AG94"/>
  <c r="AG92"/>
  <c r="AG76"/>
  <c r="AG96"/>
  <c r="AG139"/>
  <c r="AG74"/>
  <c r="AG79"/>
  <c r="AF143"/>
  <c r="AF141"/>
  <c r="AF142" s="1"/>
  <c r="AF216" l="1"/>
  <c r="AF217" s="1"/>
  <c r="AF215"/>
  <c r="AG140"/>
  <c r="AH139"/>
  <c r="AH94"/>
  <c r="X194"/>
  <c r="AJ94"/>
  <c r="Y194" s="1"/>
  <c r="AJ80"/>
  <c r="Y179" s="1"/>
  <c r="S238" s="1"/>
  <c r="AG209"/>
  <c r="AH80"/>
  <c r="X179"/>
  <c r="T238" s="1"/>
  <c r="AH72"/>
  <c r="AJ72"/>
  <c r="Y171" s="1"/>
  <c r="S242" s="1"/>
  <c r="X171"/>
  <c r="T242" s="1"/>
  <c r="AG203"/>
  <c r="AG215" s="1"/>
  <c r="AH215" s="1"/>
  <c r="AJ66"/>
  <c r="AH66"/>
  <c r="AG202"/>
  <c r="AH100"/>
  <c r="AJ100"/>
  <c r="X198"/>
  <c r="T241" s="1"/>
  <c r="AJ96"/>
  <c r="Y198" s="1"/>
  <c r="S241" s="1"/>
  <c r="AH96"/>
  <c r="AJ83"/>
  <c r="AH83"/>
  <c r="AJ95"/>
  <c r="Y195" s="1"/>
  <c r="AH95"/>
  <c r="X195"/>
  <c r="AH85"/>
  <c r="X181"/>
  <c r="AJ85"/>
  <c r="Y181" s="1"/>
  <c r="AH70"/>
  <c r="AJ70"/>
  <c r="AG204"/>
  <c r="AH73"/>
  <c r="AJ73"/>
  <c r="AJ99"/>
  <c r="AH99"/>
  <c r="AH79"/>
  <c r="AJ79"/>
  <c r="Y178" s="1"/>
  <c r="X178"/>
  <c r="AH76"/>
  <c r="X174"/>
  <c r="AJ76"/>
  <c r="Y174" s="1"/>
  <c r="X177"/>
  <c r="AH78"/>
  <c r="AJ78"/>
  <c r="Y177" s="1"/>
  <c r="AH93"/>
  <c r="X193"/>
  <c r="AJ93"/>
  <c r="Y193" s="1"/>
  <c r="AH75"/>
  <c r="AJ75"/>
  <c r="Y173" s="1"/>
  <c r="AG206"/>
  <c r="AG230" s="1"/>
  <c r="X173"/>
  <c r="AJ98"/>
  <c r="AH98"/>
  <c r="AG164"/>
  <c r="AH164" s="1"/>
  <c r="AH212"/>
  <c r="AJ212" s="1"/>
  <c r="X172"/>
  <c r="T239" s="1"/>
  <c r="AJ74"/>
  <c r="Y172" s="1"/>
  <c r="S239" s="1"/>
  <c r="AH74"/>
  <c r="AH92"/>
  <c r="X192"/>
  <c r="AJ92"/>
  <c r="Y192" s="1"/>
  <c r="AH82"/>
  <c r="AJ82"/>
  <c r="Y175" s="1"/>
  <c r="X175"/>
  <c r="AG84"/>
  <c r="AH86"/>
  <c r="AG208"/>
  <c r="X182"/>
  <c r="AJ86"/>
  <c r="Y182" s="1"/>
  <c r="AH71"/>
  <c r="AJ71"/>
  <c r="AG205"/>
  <c r="AH67"/>
  <c r="AJ67"/>
  <c r="G230" l="1"/>
  <c r="G231" s="1"/>
  <c r="G232" s="1"/>
  <c r="U230"/>
  <c r="G229"/>
  <c r="AG231"/>
  <c r="AG232" s="1"/>
  <c r="AG229"/>
  <c r="I230"/>
  <c r="K230"/>
  <c r="M230"/>
  <c r="O230"/>
  <c r="Q230"/>
  <c r="S230"/>
  <c r="H230"/>
  <c r="J230"/>
  <c r="L230"/>
  <c r="N230"/>
  <c r="P230"/>
  <c r="R230"/>
  <c r="T230"/>
  <c r="W175"/>
  <c r="Y196"/>
  <c r="AH214"/>
  <c r="AJ214" s="1"/>
  <c r="W192"/>
  <c r="W177"/>
  <c r="W173"/>
  <c r="W181"/>
  <c r="AJ84"/>
  <c r="AG207"/>
  <c r="AH84"/>
  <c r="AH206"/>
  <c r="AJ206" s="1"/>
  <c r="X196"/>
  <c r="W193"/>
  <c r="W178"/>
  <c r="W198"/>
  <c r="AJ226"/>
  <c r="W194"/>
  <c r="AH205"/>
  <c r="AJ205" s="1"/>
  <c r="W182"/>
  <c r="W172"/>
  <c r="W195"/>
  <c r="AH209"/>
  <c r="AJ209" s="1"/>
  <c r="AH208"/>
  <c r="AJ208" s="1"/>
  <c r="AJ222" s="1"/>
  <c r="W174"/>
  <c r="AG216"/>
  <c r="AH203"/>
  <c r="AJ203" s="1"/>
  <c r="AJ216" s="1"/>
  <c r="AJ232" s="1"/>
  <c r="AH204"/>
  <c r="AJ204" s="1"/>
  <c r="AJ217" s="1"/>
  <c r="AH202"/>
  <c r="AJ202" s="1"/>
  <c r="AJ215" s="1"/>
  <c r="W171"/>
  <c r="S243" s="1"/>
  <c r="T243"/>
  <c r="W179"/>
  <c r="AG143"/>
  <c r="AH140"/>
  <c r="AG141"/>
  <c r="U229" l="1"/>
  <c r="V229" s="1"/>
  <c r="V230"/>
  <c r="U231"/>
  <c r="AJ230"/>
  <c r="AJ229"/>
  <c r="T231"/>
  <c r="T229"/>
  <c r="P231"/>
  <c r="P232" s="1"/>
  <c r="P229"/>
  <c r="L231"/>
  <c r="L232" s="1"/>
  <c r="L229"/>
  <c r="H231"/>
  <c r="H232" s="1"/>
  <c r="H229"/>
  <c r="Q231"/>
  <c r="Q232" s="1"/>
  <c r="Q229"/>
  <c r="M231"/>
  <c r="M232" s="1"/>
  <c r="M229"/>
  <c r="I231"/>
  <c r="I232" s="1"/>
  <c r="I229"/>
  <c r="R229"/>
  <c r="R231"/>
  <c r="R232" s="1"/>
  <c r="N229"/>
  <c r="N231"/>
  <c r="N232" s="1"/>
  <c r="J229"/>
  <c r="AH229" s="1"/>
  <c r="J231"/>
  <c r="AH230"/>
  <c r="S231"/>
  <c r="S232" s="1"/>
  <c r="S229"/>
  <c r="O231"/>
  <c r="O232" s="1"/>
  <c r="O229"/>
  <c r="K231"/>
  <c r="K232" s="1"/>
  <c r="K229"/>
  <c r="AJ220"/>
  <c r="AJ219"/>
  <c r="AH216"/>
  <c r="AG217"/>
  <c r="AH217" s="1"/>
  <c r="W196"/>
  <c r="AH141"/>
  <c r="AG142"/>
  <c r="AH142" s="1"/>
  <c r="P238"/>
  <c r="P239"/>
  <c r="P241"/>
  <c r="AH207"/>
  <c r="AJ207" s="1"/>
  <c r="AJ221" s="1"/>
  <c r="U232" l="1"/>
  <c r="V232" s="1"/>
  <c r="V231"/>
  <c r="J232"/>
  <c r="AH232" s="1"/>
  <c r="AH231"/>
  <c r="T232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T17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<sst xmlns="http://schemas.openxmlformats.org/spreadsheetml/2006/main" count="765" uniqueCount="511">
  <si>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</si>
  <si>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</si>
  <si>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</si>
  <si>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</si>
  <si>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</si>
  <si>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</si>
  <si>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</si>
  <si>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</si>
  <si>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</si>
  <si>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</si>
  <si>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</si>
  <si>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</si>
  <si>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</si>
  <si>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</si>
  <si>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</si>
  <si>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</si>
  <si>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</si>
  <si>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</si>
  <si>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</si>
  <si>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</si>
  <si>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</si>
  <si>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</si>
  <si>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</si>
  <si>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</si>
  <si>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</si>
  <si>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</si>
  <si>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</si>
  <si>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</si>
  <si>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</si>
  <si>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</si>
  <si>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</si>
  <si>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</si>
  <si>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</si>
  <si>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</si>
  <si>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</si>
  <si>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</si>
  <si>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</si>
  <si>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</si>
  <si>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</si>
  <si>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</si>
  <si>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</si>
  <si>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</si>
  <si>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</si>
  <si>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</si>
  <si>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</si>
  <si>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</si>
  <si>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</si>
  <si>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</si>
  <si>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</si>
  <si>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</si>
  <si>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</si>
  <si>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</si>
  <si>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</si>
  <si>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</si>
  <si>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</si>
  <si>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</si>
  <si>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</si>
  <si>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</si>
  <si>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</si>
  <si>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</si>
  <si>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</si>
  <si>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</si>
  <si>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</si>
  <si>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</si>
  <si>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</si>
  <si>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</si>
  <si>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</si>
  <si>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</si>
  <si>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</si>
  <si>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</si>
  <si>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</si>
  <si>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</si>
  <si>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</si>
  <si>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</si>
  <si>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</si>
  <si>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</si>
  <si>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</si>
  <si>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</si>
  <si>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</si>
  <si>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</si>
  <si>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</si>
  <si>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</si>
  <si>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</si>
  <si>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</si>
  <si>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</si>
  <si>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</si>
  <si>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</si>
  <si>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</si>
  <si>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</si>
  <si>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</si>
  <si>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</si>
  <si>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</si>
  <si>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</si>
  <si>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</si>
  <si>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</si>
  <si>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</si>
  <si>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</si>
  <si>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</si>
  <si>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</si>
  <si>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</si>
  <si>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</si>
  <si>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</si>
  <si>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</si>
  <si>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</si>
  <si>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</si>
  <si>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</si>
  <si>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</si>
  <si>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</si>
  <si>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</si>
  <si>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</si>
  <si>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</si>
  <si>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</si>
  <si>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</si>
  <si>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</si>
  <si>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</si>
  <si>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</si>
  <si>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</si>
  <si>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</si>
  <si>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</si>
  <si>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</si>
  <si>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</si>
  <si>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</si>
  <si>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</si>
  <si>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</si>
  <si>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</si>
  <si>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</si>
  <si>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</si>
  <si>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</si>
  <si>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</si>
  <si>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</si>
  <si>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</si>
  <si>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</si>
  <si>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</si>
  <si>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</si>
  <si>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</si>
  <si>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</si>
  <si>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</si>
  <si>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</si>
  <si>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</si>
  <si>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</si>
  <si>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</si>
  <si>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</si>
  <si>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</si>
  <si>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</si>
  <si>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</si>
  <si>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</si>
  <si>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</si>
  <si>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</si>
  <si>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</si>
  <si>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</si>
  <si>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</si>
  <si>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</si>
  <si>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</si>
  <si>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</si>
  <si>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</si>
  <si>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</si>
  <si>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</si>
  <si>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</si>
  <si>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</si>
  <si>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</si>
  <si>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</si>
  <si>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</si>
  <si>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</si>
  <si>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</si>
  <si>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</si>
  <si>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</si>
  <si>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</si>
  <si>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</si>
  <si>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</si>
  <si>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</si>
  <si>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</si>
  <si>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</si>
  <si>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</si>
  <si>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</si>
  <si>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</si>
  <si>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</si>
  <si>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</si>
  <si>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</si>
  <si>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</si>
  <si>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</si>
  <si>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</si>
  <si>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</si>
  <si>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</si>
  <si>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</si>
  <si>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</si>
  <si>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</si>
  <si>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</si>
  <si>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</si>
  <si>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</si>
  <si>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</si>
  <si>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</si>
  <si>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</si>
  <si>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</si>
  <si>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</si>
  <si>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</si>
  <si>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</si>
  <si>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</si>
  <si>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</si>
  <si>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</si>
  <si>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</si>
  <si>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</si>
  <si>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</si>
  <si>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</si>
  <si>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</si>
  <si>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</si>
  <si>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</si>
  <si>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</si>
  <si>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</si>
  <si>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</si>
  <si>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</si>
  <si>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</si>
  <si>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</si>
  <si>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</si>
  <si>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</si>
  <si>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</si>
  <si>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</si>
  <si>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</si>
  <si>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</si>
  <si>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</si>
  <si>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</si>
  <si>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</si>
  <si>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</si>
  <si>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</si>
  <si>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</si>
  <si>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</si>
  <si>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</si>
  <si>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</si>
  <si>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</si>
  <si>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</si>
  <si>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</si>
  <si>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</si>
  <si>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</si>
  <si>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</si>
  <si>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</si>
  <si>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</si>
  <si>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</si>
  <si>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</si>
  <si>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</si>
  <si>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</si>
  <si>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</si>
  <si>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</si>
  <si>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</si>
  <si>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</si>
  <si>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</si>
  <si>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</si>
  <si>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</si>
  <si>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</si>
  <si>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</si>
  <si>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</si>
  <si>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</si>
  <si>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</si>
  <si>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</si>
  <si>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</si>
  <si>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</si>
  <si>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</si>
  <si>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</si>
  <si>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</si>
  <si>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</si>
  <si>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</si>
  <si>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</si>
  <si>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</si>
  <si>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</si>
  <si>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</si>
  <si>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</si>
  <si>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</si>
  <si>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</si>
  <si>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</si>
  <si>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</si>
  <si>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</si>
  <si>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</si>
  <si>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</si>
  <si>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</si>
  <si>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</si>
  <si>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</si>
  <si>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</si>
  <si>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</si>
  <si>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</si>
  <si>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</si>
  <si>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</si>
  <si>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</si>
  <si>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</si>
  <si>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</si>
  <si>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</si>
  <si>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</si>
  <si>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</si>
  <si>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</si>
  <si>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</si>
  <si>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</si>
  <si>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</si>
  <si>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</si>
  <si>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</si>
  <si>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</si>
  <si>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</si>
  <si>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</si>
  <si>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</si>
  <si>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</si>
  <si>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</si>
  <si>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</si>
  <si>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</si>
  <si>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</si>
  <si>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</si>
  <si>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</si>
  <si>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</si>
  <si>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</si>
  <si>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</si>
  <si>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</si>
  <si>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</si>
  <si>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</si>
  <si>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</si>
  <si>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</si>
  <si>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</si>
  <si>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</si>
  <si>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</si>
  <si>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</si>
  <si>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</si>
  <si>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</si>
  <si>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</si>
  <si>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</si>
  <si>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</si>
  <si>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</si>
  <si>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</si>
  <si>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</si>
  <si>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</si>
  <si>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</si>
  <si>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</si>
  <si>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</si>
  <si>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</si>
  <si>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</si>
  <si>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</si>
  <si>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</si>
  <si>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</si>
  <si>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</si>
  <si>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</si>
  <si>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</si>
  <si>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</si>
  <si>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</si>
  <si>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</si>
  <si>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</si>
  <si>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</si>
  <si>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</si>
  <si>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</si>
  <si>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</si>
  <si>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</si>
  <si>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</si>
  <si>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</si>
  <si>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</si>
  <si>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</si>
  <si>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</si>
  <si>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</si>
  <si>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</si>
  <si>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</si>
  <si>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</si>
  <si>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</si>
  <si>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</si>
  <si>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</si>
  <si>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</si>
  <si>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</si>
  <si>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</si>
  <si>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</si>
  <si>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</si>
  <si>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</si>
  <si>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</si>
  <si>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</si>
  <si>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</si>
  <si>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</si>
  <si>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</si>
  <si>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</si>
  <si>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</si>
  <si>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</si>
  <si>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</si>
  <si>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</si>
  <si>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</si>
  <si>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</si>
  <si>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</si>
  <si>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</si>
  <si>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</si>
  <si>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</si>
  <si>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</si>
  <si>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</si>
  <si>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</si>
  <si>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</si>
  <si>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</si>
  <si>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</si>
  <si>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</si>
  <si>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</si>
  <si>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</si>
  <si>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</si>
  <si>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</si>
  <si>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</si>
  <si>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</si>
  <si>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</si>
  <si>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</si>
  <si>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</si>
  <si>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</si>
  <si>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</si>
  <si>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</si>
  <si>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</si>
  <si>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</si>
  <si>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</si>
  <si>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</si>
  <si>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</si>
  <si>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</si>
  <si>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</si>
  <si>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</si>
  <si>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</si>
  <si>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</si>
  <si>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</si>
  <si>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</si>
  <si>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</si>
  <si>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</si>
  <si>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</si>
  <si>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</si>
  <si>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</si>
  <si>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</si>
  <si>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</si>
  <si>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</si>
  <si>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</si>
  <si>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</si>
  <si>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</si>
  <si>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</si>
  <si>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</si>
  <si>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</si>
  <si>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</si>
  <si>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</si>
  <si>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</si>
  <si>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</si>
  <si>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</si>
  <si>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</si>
  <si>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</si>
  <si>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</si>
  <si>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</si>
  <si>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</si>
  <si>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</si>
  <si>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</si>
  <si>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</si>
  <si>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</si>
  <si>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</si>
  <si>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</si>
  <si>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</si>
  <si>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</si>
  <si>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</si>
  <si>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</si>
  <si>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</si>
  <si>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</si>
  <si>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</si>
  <si>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</si>
  <si>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</si>
  <si>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</si>
  <si>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</si>
  <si>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</si>
  <si>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</si>
  <si>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</si>
  <si>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</si>
  <si>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</si>
  <si>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</si>
  <si>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</si>
  <si>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</si>
  <si>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</si>
  <si>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</si>
  <si>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</si>
  <si>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</si>
  <si>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</si>
  <si>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</si>
  <si>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</si>
  <si>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</si>
  <si>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</si>
  <si>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</si>
  <si>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</si>
  <si>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</si>
  <si>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</si>
  <si>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</si>
  <si>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</si>
  <si>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</si>
  <si>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</si>
  <si>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</si>
  <si>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</si>
  <si>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</si>
  <si>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</si>
  <si>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</si>
  <si>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</si>
  <si>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</si>
  <si>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</si>
  <si>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</si>
  <si>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</si>
  <si>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</si>
  <si>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</si>
  <si>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</si>
  <si>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</si>
  <si>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</si>
  <si>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</si>
  <si>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</si>
  <si>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</si>
  <si>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</si>
  <si>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</si>
  <si>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</si>
  <si>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</si>
  <si>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</si>
  <si>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</si>
  <si>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</si>
  <si>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</si>
  <si>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</si>
  <si>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Avg 14 yrs</t>
  </si>
  <si>
    <t>Avg10 yrs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</si>
  <si>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14 years</t>
    </r>
    <r>
      <rPr>
        <sz val="10"/>
        <color theme="1"/>
        <rFont val="Cambria"/>
        <family val="1"/>
        <scheme val="major"/>
      </rPr>
      <t>)</t>
    </r>
  </si>
  <si>
    <t>Earnings Yield (rationalized EPS)</t>
  </si>
  <si>
    <t>Earnings Yield (After 10 years)</t>
  </si>
  <si>
    <t>10x2</t>
  </si>
  <si>
    <t>2x1</t>
  </si>
  <si>
    <t>1x2</t>
  </si>
  <si>
    <t>in CR</t>
  </si>
  <si>
    <t>Required Rate of Return</t>
  </si>
</sst>
</file>

<file path=xl/styles.xml><?xml version="1.0" encoding="utf-8"?>
<styleSheet xmlns="http://schemas.openxmlformats.org/spreadsheetml/2006/main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1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5" fillId="5" borderId="1" xfId="0" applyFont="1" applyFill="1" applyBorder="1" applyAlignment="1">
      <alignment horizontal="right"/>
    </xf>
    <xf numFmtId="0" fontId="18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9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0" fillId="9" borderId="29" xfId="0" applyFill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9" fontId="5" fillId="6" borderId="0" xfId="0" applyNumberFormat="1" applyFont="1" applyFill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48965120"/>
        <c:axId val="48966656"/>
      </c:lineChart>
      <c:catAx>
        <c:axId val="48965120"/>
        <c:scaling>
          <c:orientation val="minMax"/>
        </c:scaling>
        <c:axPos val="b"/>
        <c:tickLblPos val="nextTo"/>
        <c:crossAx val="48966656"/>
        <c:crosses val="autoZero"/>
        <c:auto val="1"/>
        <c:lblAlgn val="ctr"/>
        <c:lblOffset val="100"/>
      </c:catAx>
      <c:valAx>
        <c:axId val="48966656"/>
        <c:scaling>
          <c:orientation val="minMax"/>
        </c:scaling>
        <c:axPos val="l"/>
        <c:majorGridlines/>
        <c:numFmt formatCode="General" sourceLinked="1"/>
        <c:tickLblPos val="nextTo"/>
        <c:crossAx val="48965120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766" l="0.70000000000000062" r="0.70000000000000062" t="0.750000000000007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C38" sqref="C38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5"/>
  <sheetViews>
    <sheetView topLeftCell="G11" zoomScale="80" zoomScaleNormal="80" workbookViewId="0">
      <selection activeCell="L29" sqref="L29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/>
    <row r="3" spans="2:23">
      <c r="B3" s="288" t="s">
        <v>435</v>
      </c>
      <c r="C3" s="288"/>
      <c r="D3" s="288"/>
      <c r="G3" s="288" t="s">
        <v>436</v>
      </c>
      <c r="H3" s="288"/>
      <c r="I3" s="288"/>
      <c r="P3" s="297" t="s">
        <v>437</v>
      </c>
      <c r="Q3" s="298"/>
      <c r="R3" s="298"/>
      <c r="S3" s="299"/>
      <c r="T3" s="297" t="s">
        <v>438</v>
      </c>
      <c r="U3" s="298"/>
      <c r="V3" s="298"/>
      <c r="W3" s="299"/>
    </row>
    <row r="4" spans="2:23">
      <c r="B4" s="183" t="s">
        <v>439</v>
      </c>
      <c r="C4" s="300">
        <v>9500000</v>
      </c>
      <c r="D4" s="300"/>
      <c r="G4" s="183" t="s">
        <v>440</v>
      </c>
      <c r="H4" s="290">
        <v>200000</v>
      </c>
      <c r="I4" s="290"/>
      <c r="K4" s="184" t="s">
        <v>441</v>
      </c>
      <c r="L4" s="184" t="s">
        <v>78</v>
      </c>
      <c r="M4" s="184" t="s">
        <v>390</v>
      </c>
      <c r="N4" s="184" t="s">
        <v>442</v>
      </c>
      <c r="O4" s="184" t="s">
        <v>443</v>
      </c>
      <c r="P4" s="185" t="s">
        <v>444</v>
      </c>
      <c r="Q4" s="186" t="s">
        <v>284</v>
      </c>
      <c r="R4" s="186" t="s">
        <v>443</v>
      </c>
      <c r="S4" s="187" t="s">
        <v>445</v>
      </c>
      <c r="T4" s="185" t="s">
        <v>444</v>
      </c>
      <c r="U4" s="186" t="s">
        <v>284</v>
      </c>
      <c r="V4" s="186" t="s">
        <v>443</v>
      </c>
      <c r="W4" s="187" t="s">
        <v>445</v>
      </c>
    </row>
    <row r="5" spans="2:23">
      <c r="B5" s="183" t="s">
        <v>446</v>
      </c>
      <c r="C5" s="291">
        <v>0.08</v>
      </c>
      <c r="D5" s="292"/>
      <c r="G5" s="183" t="s">
        <v>446</v>
      </c>
      <c r="H5" s="296">
        <v>0.12</v>
      </c>
      <c r="I5" s="296"/>
      <c r="K5" s="183" t="s">
        <v>447</v>
      </c>
      <c r="L5" s="183">
        <v>200</v>
      </c>
      <c r="M5" s="183">
        <v>560</v>
      </c>
      <c r="N5" s="188">
        <f t="shared" ref="N5:N12" si="0">(M5-L5)/L5</f>
        <v>1.8</v>
      </c>
      <c r="O5" s="189">
        <v>1</v>
      </c>
      <c r="P5" s="190">
        <v>17500</v>
      </c>
      <c r="Q5" s="191">
        <f>P5/L5</f>
        <v>87.5</v>
      </c>
      <c r="R5" s="192">
        <v>1</v>
      </c>
      <c r="S5" s="193"/>
      <c r="T5" s="190">
        <v>14000</v>
      </c>
      <c r="U5" s="194">
        <v>50</v>
      </c>
      <c r="V5" s="195">
        <v>1</v>
      </c>
      <c r="W5" s="193"/>
    </row>
    <row r="6" spans="2:23">
      <c r="B6" s="183" t="s">
        <v>448</v>
      </c>
      <c r="C6" s="290">
        <v>30</v>
      </c>
      <c r="D6" s="290"/>
      <c r="G6" s="183" t="s">
        <v>448</v>
      </c>
      <c r="H6" s="290">
        <v>10</v>
      </c>
      <c r="I6" s="290"/>
      <c r="K6" s="183" t="s">
        <v>449</v>
      </c>
      <c r="L6" s="183">
        <v>450</v>
      </c>
      <c r="M6" s="183">
        <v>900</v>
      </c>
      <c r="N6" s="188">
        <f t="shared" si="0"/>
        <v>1</v>
      </c>
      <c r="O6" s="189">
        <v>5</v>
      </c>
      <c r="P6" s="190"/>
      <c r="Q6" s="196"/>
      <c r="R6" s="196"/>
      <c r="S6" s="197"/>
      <c r="T6" s="190">
        <v>18000</v>
      </c>
      <c r="U6" s="198">
        <v>400</v>
      </c>
      <c r="V6" s="198">
        <v>2</v>
      </c>
      <c r="W6" s="197" t="s">
        <v>450</v>
      </c>
    </row>
    <row r="7" spans="2:23">
      <c r="B7" s="183"/>
      <c r="C7" s="289"/>
      <c r="D7" s="289"/>
      <c r="G7" s="183"/>
      <c r="H7" s="289"/>
      <c r="I7" s="289"/>
      <c r="K7" s="183" t="s">
        <v>451</v>
      </c>
      <c r="L7" s="183">
        <v>32</v>
      </c>
      <c r="M7" s="183">
        <v>70</v>
      </c>
      <c r="N7" s="188">
        <f t="shared" si="0"/>
        <v>1.1875</v>
      </c>
      <c r="O7" s="189">
        <v>3</v>
      </c>
      <c r="P7" s="199"/>
      <c r="Q7" s="200"/>
      <c r="R7" s="200"/>
      <c r="S7" s="197"/>
      <c r="T7" s="199"/>
      <c r="U7" s="196"/>
      <c r="V7" s="196"/>
      <c r="W7" s="197"/>
    </row>
    <row r="8" spans="2:23">
      <c r="B8" s="183"/>
      <c r="C8" s="289"/>
      <c r="D8" s="289"/>
      <c r="G8" s="183"/>
      <c r="H8" s="289"/>
      <c r="I8" s="289"/>
      <c r="K8" s="183" t="s">
        <v>452</v>
      </c>
      <c r="L8" s="183">
        <v>260</v>
      </c>
      <c r="M8" s="183">
        <v>400</v>
      </c>
      <c r="N8" s="188">
        <f t="shared" si="0"/>
        <v>0.53846153846153844</v>
      </c>
      <c r="O8" s="189">
        <v>6</v>
      </c>
      <c r="P8" s="199"/>
      <c r="Q8" s="196"/>
      <c r="R8" s="196"/>
      <c r="S8" s="197"/>
      <c r="T8" s="199"/>
      <c r="U8" s="196"/>
      <c r="V8" s="196"/>
      <c r="W8" s="197"/>
    </row>
    <row r="9" spans="2:23">
      <c r="B9" s="201" t="s">
        <v>440</v>
      </c>
      <c r="C9" s="287">
        <f>C4*(1/(1+C5)^C6)</f>
        <v>944084.6592231117</v>
      </c>
      <c r="D9" s="287"/>
      <c r="G9" s="201" t="s">
        <v>453</v>
      </c>
      <c r="H9" s="287">
        <f>H4*((1+H5)^H6)</f>
        <v>621169.64166884217</v>
      </c>
      <c r="I9" s="287"/>
      <c r="K9" s="183" t="s">
        <v>454</v>
      </c>
      <c r="L9" s="183">
        <v>300</v>
      </c>
      <c r="M9" s="183">
        <v>500</v>
      </c>
      <c r="N9" s="188">
        <f t="shared" si="0"/>
        <v>0.66666666666666663</v>
      </c>
      <c r="O9" s="189">
        <v>7</v>
      </c>
      <c r="P9" s="199"/>
      <c r="Q9" s="196"/>
      <c r="R9" s="196"/>
      <c r="S9" s="197"/>
      <c r="T9" s="199"/>
      <c r="U9" s="196"/>
      <c r="V9" s="196"/>
      <c r="W9" s="197"/>
    </row>
    <row r="10" spans="2:23">
      <c r="B10" s="201" t="s">
        <v>455</v>
      </c>
      <c r="C10" s="287">
        <f>C4-C9</f>
        <v>8555915.3407768887</v>
      </c>
      <c r="D10" s="287"/>
      <c r="G10" s="201" t="s">
        <v>455</v>
      </c>
      <c r="H10" s="295">
        <f>H9-H4</f>
        <v>421169.64166884217</v>
      </c>
      <c r="I10" s="295"/>
      <c r="K10" s="183" t="s">
        <v>456</v>
      </c>
      <c r="L10" s="183">
        <v>112</v>
      </c>
      <c r="M10" s="183">
        <v>272</v>
      </c>
      <c r="N10" s="188">
        <f t="shared" si="0"/>
        <v>1.4285714285714286</v>
      </c>
      <c r="O10" s="189">
        <v>2</v>
      </c>
      <c r="P10" s="199">
        <v>7000</v>
      </c>
      <c r="Q10" s="202">
        <f>P10/L10</f>
        <v>62.5</v>
      </c>
      <c r="R10" s="202">
        <v>1</v>
      </c>
      <c r="S10" s="197"/>
      <c r="T10" s="199"/>
      <c r="U10" s="196"/>
      <c r="V10" s="196"/>
      <c r="W10" s="197"/>
    </row>
    <row r="11" spans="2:23">
      <c r="K11" s="183" t="s">
        <v>457</v>
      </c>
      <c r="L11" s="183">
        <v>700</v>
      </c>
      <c r="M11" s="183">
        <v>1500</v>
      </c>
      <c r="N11" s="188">
        <f t="shared" si="0"/>
        <v>1.1428571428571428</v>
      </c>
      <c r="O11" s="189">
        <v>4</v>
      </c>
      <c r="P11" s="203">
        <v>7000</v>
      </c>
      <c r="Q11" s="194">
        <v>200</v>
      </c>
      <c r="R11" s="195">
        <v>2</v>
      </c>
      <c r="S11" s="193"/>
      <c r="T11" s="203"/>
      <c r="U11" s="194"/>
      <c r="V11" s="195"/>
      <c r="W11" s="193"/>
    </row>
    <row r="12" spans="2:23" ht="15.75" thickBot="1">
      <c r="K12" s="183" t="s">
        <v>458</v>
      </c>
      <c r="L12" s="183">
        <v>488</v>
      </c>
      <c r="M12" s="183">
        <v>900</v>
      </c>
      <c r="N12" s="188">
        <f t="shared" si="0"/>
        <v>0.84426229508196726</v>
      </c>
      <c r="O12" s="189"/>
      <c r="P12" s="204"/>
      <c r="Q12" s="205"/>
      <c r="R12" s="205"/>
      <c r="S12" s="206"/>
      <c r="T12" s="204"/>
      <c r="U12" s="205"/>
      <c r="V12" s="205"/>
      <c r="W12" s="206"/>
    </row>
    <row r="13" spans="2:23">
      <c r="K13" s="207" t="s">
        <v>319</v>
      </c>
    </row>
    <row r="14" spans="2:23">
      <c r="B14" s="288" t="s">
        <v>459</v>
      </c>
      <c r="C14" s="288"/>
      <c r="D14" s="288"/>
      <c r="G14" s="288" t="s">
        <v>460</v>
      </c>
      <c r="H14" s="288"/>
      <c r="I14" s="288"/>
      <c r="K14" s="182" t="s">
        <v>282</v>
      </c>
      <c r="L14" s="182" t="s">
        <v>0</v>
      </c>
      <c r="M14" s="182" t="s">
        <v>320</v>
      </c>
      <c r="N14" s="182" t="s">
        <v>321</v>
      </c>
      <c r="O14" s="182" t="s">
        <v>322</v>
      </c>
      <c r="P14" s="182" t="s">
        <v>323</v>
      </c>
      <c r="Q14" s="182" t="s">
        <v>324</v>
      </c>
      <c r="R14" s="182" t="s">
        <v>325</v>
      </c>
    </row>
    <row r="15" spans="2:23">
      <c r="B15" s="183" t="s">
        <v>461</v>
      </c>
      <c r="C15" s="290">
        <v>24000</v>
      </c>
      <c r="D15" s="290"/>
      <c r="G15" s="183" t="s">
        <v>461</v>
      </c>
      <c r="H15" s="290">
        <v>200000</v>
      </c>
      <c r="I15" s="290"/>
      <c r="K15" s="183" t="s">
        <v>283</v>
      </c>
      <c r="L15" s="208">
        <v>50</v>
      </c>
      <c r="M15" s="209" t="s">
        <v>326</v>
      </c>
      <c r="N15" s="210">
        <v>4</v>
      </c>
      <c r="O15" s="210">
        <v>1</v>
      </c>
      <c r="P15" s="183">
        <f>N15/O15</f>
        <v>4</v>
      </c>
      <c r="Q15" s="183">
        <f>P15*L16</f>
        <v>4</v>
      </c>
      <c r="R15" s="211">
        <f>Q15+L16</f>
        <v>5</v>
      </c>
    </row>
    <row r="16" spans="2:23">
      <c r="B16" s="183" t="s">
        <v>446</v>
      </c>
      <c r="C16" s="291">
        <v>0.1</v>
      </c>
      <c r="D16" s="292"/>
      <c r="G16" s="183" t="s">
        <v>446</v>
      </c>
      <c r="H16" s="291">
        <v>0.12</v>
      </c>
      <c r="I16" s="292"/>
      <c r="K16" s="183" t="s">
        <v>284</v>
      </c>
      <c r="L16" s="208">
        <v>1</v>
      </c>
      <c r="M16" s="209" t="s">
        <v>327</v>
      </c>
      <c r="N16" s="210">
        <v>1</v>
      </c>
      <c r="O16" s="210">
        <v>1</v>
      </c>
      <c r="P16" s="183">
        <f>N16/O16</f>
        <v>1</v>
      </c>
      <c r="Q16" s="183">
        <f>P16*R15</f>
        <v>5</v>
      </c>
      <c r="R16" s="183">
        <f>Q16+R15</f>
        <v>10</v>
      </c>
    </row>
    <row r="17" spans="2:18">
      <c r="B17" s="183" t="s">
        <v>448</v>
      </c>
      <c r="C17" s="290">
        <v>20</v>
      </c>
      <c r="D17" s="290"/>
      <c r="G17" s="183" t="s">
        <v>448</v>
      </c>
      <c r="H17" s="290">
        <v>10</v>
      </c>
      <c r="I17" s="290"/>
      <c r="K17" s="183" t="s">
        <v>286</v>
      </c>
      <c r="L17" s="212">
        <f>L15*L16</f>
        <v>50</v>
      </c>
      <c r="M17" s="209" t="s">
        <v>328</v>
      </c>
      <c r="N17" s="210">
        <v>0</v>
      </c>
      <c r="O17" s="210">
        <v>2</v>
      </c>
      <c r="P17" s="183">
        <f>N17/O17</f>
        <v>0</v>
      </c>
      <c r="Q17" s="183">
        <f>P17*R16</f>
        <v>0</v>
      </c>
      <c r="R17" s="183">
        <f>Q17</f>
        <v>0</v>
      </c>
    </row>
    <row r="18" spans="2:18">
      <c r="B18" s="183"/>
      <c r="C18" s="289"/>
      <c r="D18" s="289"/>
      <c r="G18" s="183"/>
      <c r="H18" s="289"/>
      <c r="I18" s="289"/>
      <c r="K18" s="183" t="s">
        <v>287</v>
      </c>
      <c r="L18" s="208">
        <v>95</v>
      </c>
      <c r="M18" s="209"/>
      <c r="N18" s="183"/>
      <c r="O18" s="183"/>
      <c r="P18" s="201" t="s">
        <v>329</v>
      </c>
      <c r="Q18" s="183"/>
      <c r="R18" s="183">
        <f>R17</f>
        <v>0</v>
      </c>
    </row>
    <row r="19" spans="2:18">
      <c r="B19" s="201" t="s">
        <v>462</v>
      </c>
      <c r="C19" s="283">
        <f>( ( 1-  (1/ ( (1+C16)^C17) ) ) / C16)</f>
        <v>8.5135637197585652</v>
      </c>
      <c r="D19" s="284"/>
      <c r="G19" s="201" t="s">
        <v>463</v>
      </c>
      <c r="H19" s="283">
        <f>( ((1+H16)^H17) -1 ) / H16</f>
        <v>17.548735069535095</v>
      </c>
      <c r="I19" s="284"/>
      <c r="K19" s="183" t="s">
        <v>284</v>
      </c>
      <c r="L19" s="208">
        <v>10</v>
      </c>
      <c r="M19" s="209" t="s">
        <v>328</v>
      </c>
      <c r="N19" s="210">
        <v>10</v>
      </c>
      <c r="O19" s="210">
        <v>2</v>
      </c>
      <c r="P19" s="183">
        <f>N19/O19</f>
        <v>5</v>
      </c>
      <c r="Q19" s="211">
        <f>P19*L16</f>
        <v>5</v>
      </c>
      <c r="R19" s="211">
        <f>Q19</f>
        <v>5</v>
      </c>
    </row>
    <row r="20" spans="2:18">
      <c r="B20" s="201" t="s">
        <v>464</v>
      </c>
      <c r="C20" s="293">
        <f>C19 * C15</f>
        <v>204325.52927420556</v>
      </c>
      <c r="D20" s="294"/>
      <c r="G20" s="201" t="s">
        <v>465</v>
      </c>
      <c r="H20" s="283">
        <f>H19 * H15</f>
        <v>3509747.013907019</v>
      </c>
      <c r="I20" s="284"/>
      <c r="K20" s="183" t="s">
        <v>286</v>
      </c>
      <c r="L20" s="212">
        <f>L19*L18</f>
        <v>950</v>
      </c>
      <c r="M20" s="183"/>
      <c r="N20" s="183"/>
      <c r="O20" s="183"/>
      <c r="P20" s="201" t="s">
        <v>329</v>
      </c>
      <c r="Q20" s="183"/>
      <c r="R20" s="183">
        <f>R19</f>
        <v>5</v>
      </c>
    </row>
    <row r="21" spans="2:18">
      <c r="B21" s="201"/>
      <c r="C21" s="285"/>
      <c r="D21" s="286"/>
      <c r="G21" s="201"/>
      <c r="H21" s="285"/>
      <c r="I21" s="286"/>
      <c r="K21" s="183"/>
      <c r="L21" s="212"/>
      <c r="M21" s="209" t="s">
        <v>328</v>
      </c>
      <c r="N21" s="210">
        <v>10</v>
      </c>
      <c r="O21" s="210">
        <v>2</v>
      </c>
      <c r="P21" s="183">
        <f>N21/O21</f>
        <v>5</v>
      </c>
      <c r="Q21" s="183">
        <f>P21*R20</f>
        <v>25</v>
      </c>
      <c r="R21" s="183">
        <f>Q21</f>
        <v>25</v>
      </c>
    </row>
    <row r="22" spans="2:18">
      <c r="B22" s="201"/>
      <c r="C22" s="287"/>
      <c r="D22" s="287"/>
      <c r="G22" s="201"/>
      <c r="H22" s="287"/>
      <c r="I22" s="287"/>
      <c r="K22" s="201" t="s">
        <v>289</v>
      </c>
      <c r="L22" s="213">
        <f>L20/L17</f>
        <v>19</v>
      </c>
      <c r="M22" s="209"/>
      <c r="N22" s="183"/>
      <c r="O22" s="183"/>
      <c r="P22" s="201" t="s">
        <v>329</v>
      </c>
      <c r="Q22" s="183"/>
      <c r="R22" s="183">
        <f>R21</f>
        <v>25</v>
      </c>
    </row>
    <row r="26" spans="2:18">
      <c r="B26" s="288" t="s">
        <v>466</v>
      </c>
      <c r="C26" s="288"/>
      <c r="D26" s="288"/>
      <c r="G26" s="288" t="s">
        <v>467</v>
      </c>
      <c r="H26" s="288"/>
      <c r="I26" s="288"/>
      <c r="K26" s="288" t="s">
        <v>15</v>
      </c>
      <c r="L26" s="288"/>
    </row>
    <row r="27" spans="2:18">
      <c r="B27" s="183" t="s">
        <v>461</v>
      </c>
      <c r="C27" s="290">
        <v>100</v>
      </c>
      <c r="D27" s="290"/>
      <c r="G27" s="183" t="s">
        <v>461</v>
      </c>
      <c r="H27" s="290">
        <v>200000</v>
      </c>
      <c r="I27" s="290"/>
      <c r="K27" s="10" t="s">
        <v>16</v>
      </c>
      <c r="L27" s="11">
        <v>200</v>
      </c>
      <c r="M27" s="271">
        <v>1000000</v>
      </c>
    </row>
    <row r="28" spans="2:18">
      <c r="B28" s="183" t="s">
        <v>446</v>
      </c>
      <c r="C28" s="291">
        <v>0.05</v>
      </c>
      <c r="D28" s="292"/>
      <c r="G28" s="183" t="s">
        <v>446</v>
      </c>
      <c r="H28" s="291">
        <v>0.12</v>
      </c>
      <c r="I28" s="292"/>
      <c r="K28" s="10" t="s">
        <v>17</v>
      </c>
      <c r="L28" s="11">
        <v>6000</v>
      </c>
      <c r="M28" s="212">
        <f>L41*M27</f>
        <v>30000000</v>
      </c>
      <c r="R28">
        <v>416</v>
      </c>
    </row>
    <row r="29" spans="2:18">
      <c r="B29" s="183" t="s">
        <v>448</v>
      </c>
      <c r="C29" s="290">
        <v>3</v>
      </c>
      <c r="D29" s="290"/>
      <c r="G29" s="183" t="s">
        <v>448</v>
      </c>
      <c r="H29" s="290">
        <v>11</v>
      </c>
      <c r="I29" s="290"/>
      <c r="K29" s="10" t="s">
        <v>18</v>
      </c>
      <c r="L29" s="12">
        <v>14</v>
      </c>
      <c r="M29" s="270">
        <f>M28/10000000</f>
        <v>3</v>
      </c>
      <c r="N29" t="s">
        <v>509</v>
      </c>
    </row>
    <row r="30" spans="2:18" ht="15.75" thickBot="1">
      <c r="B30" s="183"/>
      <c r="C30" s="289"/>
      <c r="D30" s="289"/>
      <c r="G30" s="183"/>
      <c r="H30" s="289"/>
      <c r="I30" s="289"/>
      <c r="K30" s="13" t="s">
        <v>19</v>
      </c>
      <c r="L30" s="3">
        <f>((L28/L27)^(1/L29))-1</f>
        <v>0.2749955266809756</v>
      </c>
      <c r="M30" s="3"/>
    </row>
    <row r="31" spans="2:18">
      <c r="B31" s="201" t="s">
        <v>462</v>
      </c>
      <c r="C31" s="283">
        <f>( ( ( 1-  (1/ ( (1+C28)^C29) ) ) / C28) ) * (1+C28)</f>
        <v>2.859410430839004</v>
      </c>
      <c r="D31" s="284"/>
      <c r="G31" s="201" t="s">
        <v>463</v>
      </c>
      <c r="H31" s="283">
        <f>(( ((1+H28)^H29) -1 ) / H28 ) * ( 1+H28)</f>
        <v>23.133133271224832</v>
      </c>
      <c r="I31" s="284"/>
      <c r="K31" s="13" t="s">
        <v>20</v>
      </c>
      <c r="L31" s="14">
        <f>L29*12</f>
        <v>168</v>
      </c>
      <c r="M31" s="272"/>
      <c r="P31" s="215" t="s">
        <v>468</v>
      </c>
      <c r="Q31" s="216" t="s">
        <v>469</v>
      </c>
    </row>
    <row r="32" spans="2:18">
      <c r="B32" s="201" t="s">
        <v>470</v>
      </c>
      <c r="C32" s="283">
        <f>C31 * C27</f>
        <v>285.94104308390041</v>
      </c>
      <c r="D32" s="284"/>
      <c r="G32" s="201" t="s">
        <v>471</v>
      </c>
      <c r="H32" s="283">
        <f>H31 * H27</f>
        <v>4626626.6542449668</v>
      </c>
      <c r="I32" s="284"/>
      <c r="K32" s="10" t="s">
        <v>18</v>
      </c>
      <c r="L32" s="15">
        <f>L31/12</f>
        <v>14</v>
      </c>
      <c r="M32" s="273"/>
      <c r="P32" s="217">
        <v>0.05</v>
      </c>
      <c r="Q32" s="218">
        <v>14</v>
      </c>
    </row>
    <row r="33" spans="2:17">
      <c r="B33" s="201"/>
      <c r="C33" s="285"/>
      <c r="D33" s="286"/>
      <c r="G33" s="201"/>
      <c r="H33" s="285"/>
      <c r="I33" s="286"/>
      <c r="K33" s="13" t="s">
        <v>21</v>
      </c>
      <c r="L33" s="3">
        <f>((L28/L27)^(1/L32))-1</f>
        <v>0.2749955266809756</v>
      </c>
      <c r="M33" s="274"/>
      <c r="P33" s="217">
        <v>0.08</v>
      </c>
      <c r="Q33" s="218">
        <v>9</v>
      </c>
    </row>
    <row r="34" spans="2:17">
      <c r="B34" s="201"/>
      <c r="C34" s="287"/>
      <c r="D34" s="287"/>
      <c r="G34" s="201"/>
      <c r="H34" s="287"/>
      <c r="I34" s="287"/>
      <c r="P34" s="217">
        <v>0.1</v>
      </c>
      <c r="Q34" s="218">
        <v>10</v>
      </c>
    </row>
    <row r="35" spans="2:17">
      <c r="P35" s="217">
        <v>0.15</v>
      </c>
      <c r="Q35" s="218">
        <v>5</v>
      </c>
    </row>
    <row r="36" spans="2:17">
      <c r="B36" s="288" t="s">
        <v>24</v>
      </c>
      <c r="C36" s="288"/>
      <c r="D36" s="288"/>
      <c r="E36" s="219"/>
      <c r="G36" s="288" t="s">
        <v>53</v>
      </c>
      <c r="H36" s="288"/>
      <c r="K36" s="288" t="s">
        <v>334</v>
      </c>
      <c r="L36" s="288"/>
      <c r="P36" s="217">
        <v>0.2</v>
      </c>
      <c r="Q36" s="218">
        <v>4</v>
      </c>
    </row>
    <row r="37" spans="2:17">
      <c r="B37" s="19" t="s">
        <v>25</v>
      </c>
      <c r="C37" s="19"/>
      <c r="D37" s="220">
        <v>1000000</v>
      </c>
      <c r="E37" s="219"/>
      <c r="G37" s="19" t="s">
        <v>29</v>
      </c>
      <c r="H37" s="44">
        <v>342</v>
      </c>
      <c r="K37" s="10" t="s">
        <v>16</v>
      </c>
      <c r="L37" s="11">
        <f>L27</f>
        <v>200</v>
      </c>
      <c r="M37" s="214"/>
      <c r="P37" s="217">
        <v>0.25</v>
      </c>
      <c r="Q37" s="218">
        <v>3</v>
      </c>
    </row>
    <row r="38" spans="2:17">
      <c r="B38" s="19" t="s">
        <v>26</v>
      </c>
      <c r="C38" s="19"/>
      <c r="D38" s="21">
        <v>0.66</v>
      </c>
      <c r="E38" s="219"/>
      <c r="G38" s="19" t="s">
        <v>26</v>
      </c>
      <c r="H38" s="21">
        <v>0.12</v>
      </c>
      <c r="K38" s="10" t="s">
        <v>17</v>
      </c>
      <c r="L38" s="11">
        <f>L28</f>
        <v>6000</v>
      </c>
      <c r="M38" s="214"/>
      <c r="P38" s="217">
        <v>0.3</v>
      </c>
      <c r="Q38" s="218">
        <v>2.5</v>
      </c>
    </row>
    <row r="39" spans="2:17">
      <c r="B39" s="19" t="s">
        <v>27</v>
      </c>
      <c r="C39" s="19"/>
      <c r="D39" s="221">
        <v>6</v>
      </c>
      <c r="E39" s="219"/>
      <c r="G39" s="19" t="s">
        <v>27</v>
      </c>
      <c r="H39" s="22">
        <v>10</v>
      </c>
      <c r="K39" s="10" t="s">
        <v>472</v>
      </c>
      <c r="L39" s="10"/>
      <c r="M39" s="214"/>
      <c r="P39" s="222">
        <v>0.4</v>
      </c>
      <c r="Q39" s="223">
        <v>2</v>
      </c>
    </row>
    <row r="40" spans="2:17">
      <c r="B40" s="19" t="s">
        <v>28</v>
      </c>
      <c r="C40" s="19"/>
      <c r="D40" s="23">
        <v>500000</v>
      </c>
      <c r="E40" s="219"/>
      <c r="G40" s="19" t="s">
        <v>28</v>
      </c>
      <c r="H40" s="20">
        <v>0</v>
      </c>
      <c r="K40" s="10" t="s">
        <v>335</v>
      </c>
      <c r="L40" s="188">
        <f>(L38-L37)/L37</f>
        <v>29</v>
      </c>
      <c r="P40" s="222">
        <v>0.5</v>
      </c>
      <c r="Q40" s="223">
        <v>1</v>
      </c>
    </row>
    <row r="41" spans="2:17">
      <c r="B41" s="24" t="s">
        <v>29</v>
      </c>
      <c r="C41" s="24"/>
      <c r="D41" s="45">
        <f>FV(D38,D39,-D40,-D37)</f>
        <v>36018262.604416013</v>
      </c>
      <c r="E41" s="219"/>
      <c r="G41" s="24" t="s">
        <v>54</v>
      </c>
      <c r="H41" s="45">
        <f>PV(H38,H39,H40,-H37)</f>
        <v>110.11484691401803</v>
      </c>
      <c r="K41" s="10" t="s">
        <v>336</v>
      </c>
      <c r="L41" s="224">
        <f>L38/L37</f>
        <v>30</v>
      </c>
      <c r="P41" s="222">
        <v>0.75</v>
      </c>
      <c r="Q41" s="223">
        <v>1.3</v>
      </c>
    </row>
    <row r="42" spans="2:17" ht="15.75" thickBot="1">
      <c r="B42" s="225" t="s">
        <v>473</v>
      </c>
      <c r="D42" s="226">
        <f>D41/10000000</f>
        <v>3.6018262604416011</v>
      </c>
      <c r="P42" s="227">
        <v>1</v>
      </c>
      <c r="Q42" s="228">
        <v>1</v>
      </c>
    </row>
    <row r="43" spans="2:17" ht="15.75" thickBot="1">
      <c r="C43" s="282" t="s">
        <v>453</v>
      </c>
      <c r="D43" s="282"/>
      <c r="E43" s="282"/>
      <c r="F43" s="282"/>
      <c r="J43" s="282" t="s">
        <v>453</v>
      </c>
      <c r="K43" s="282"/>
      <c r="L43" s="282"/>
      <c r="M43" s="282"/>
    </row>
    <row r="44" spans="2:17" ht="15.75" thickBot="1">
      <c r="B44" s="229"/>
      <c r="C44" s="275" t="s">
        <v>474</v>
      </c>
      <c r="D44" s="276"/>
      <c r="E44" s="230" t="s">
        <v>475</v>
      </c>
      <c r="F44" s="230"/>
      <c r="G44" s="231"/>
      <c r="I44" s="229"/>
      <c r="J44" s="275" t="s">
        <v>476</v>
      </c>
      <c r="K44" s="276"/>
      <c r="L44" s="230" t="s">
        <v>477</v>
      </c>
      <c r="M44" s="230"/>
      <c r="N44" s="231"/>
    </row>
    <row r="45" spans="2:17" ht="15.75" thickBot="1">
      <c r="B45" s="199"/>
      <c r="C45" s="196"/>
      <c r="D45" s="196"/>
      <c r="E45" s="196"/>
      <c r="F45" s="196"/>
      <c r="G45" s="197"/>
      <c r="I45" s="199"/>
      <c r="J45" s="196"/>
      <c r="K45" s="196"/>
      <c r="L45" s="196"/>
      <c r="M45" s="196"/>
      <c r="N45" s="197"/>
    </row>
    <row r="46" spans="2:17" ht="15.75" thickBot="1">
      <c r="B46" s="277" t="s">
        <v>478</v>
      </c>
      <c r="C46" s="278"/>
      <c r="D46" s="278"/>
      <c r="E46" s="278"/>
      <c r="F46" s="278"/>
      <c r="G46" s="279"/>
      <c r="I46" s="277" t="s">
        <v>478</v>
      </c>
      <c r="J46" s="278"/>
      <c r="K46" s="278"/>
      <c r="L46" s="278"/>
      <c r="M46" s="278"/>
      <c r="N46" s="279"/>
    </row>
    <row r="47" spans="2:17">
      <c r="B47" s="199"/>
      <c r="C47" s="196"/>
      <c r="D47" s="232">
        <v>1100000</v>
      </c>
      <c r="E47" s="196"/>
      <c r="F47" s="196"/>
      <c r="G47" s="197"/>
      <c r="I47" s="199"/>
      <c r="J47" s="196"/>
      <c r="K47" s="196"/>
      <c r="L47" s="196"/>
      <c r="M47" s="196"/>
      <c r="N47" s="197"/>
    </row>
    <row r="48" spans="2:17" ht="30">
      <c r="B48" s="233" t="s">
        <v>14</v>
      </c>
      <c r="C48" s="234" t="s">
        <v>479</v>
      </c>
      <c r="D48" s="234" t="s">
        <v>480</v>
      </c>
      <c r="E48" s="234" t="s">
        <v>481</v>
      </c>
      <c r="F48" s="234" t="s">
        <v>482</v>
      </c>
      <c r="G48" s="235" t="s">
        <v>483</v>
      </c>
      <c r="I48" s="233" t="s">
        <v>14</v>
      </c>
      <c r="J48" s="234" t="s">
        <v>479</v>
      </c>
      <c r="K48" s="234" t="s">
        <v>484</v>
      </c>
      <c r="L48" s="234" t="s">
        <v>481</v>
      </c>
      <c r="M48" s="234" t="s">
        <v>482</v>
      </c>
      <c r="N48" s="235" t="s">
        <v>483</v>
      </c>
      <c r="O48" s="236" t="s">
        <v>485</v>
      </c>
      <c r="P48" s="237" t="s">
        <v>4</v>
      </c>
    </row>
    <row r="49" spans="1:16">
      <c r="A49">
        <v>2013</v>
      </c>
      <c r="B49" s="238">
        <v>0</v>
      </c>
      <c r="C49" s="239">
        <v>0</v>
      </c>
      <c r="D49" s="240">
        <v>1000000</v>
      </c>
      <c r="E49" s="241">
        <v>0.5</v>
      </c>
      <c r="F49" s="242">
        <f xml:space="preserve"> (C49) * E49</f>
        <v>0</v>
      </c>
      <c r="G49" s="243">
        <f>C49+D49+F49</f>
        <v>1000000</v>
      </c>
      <c r="H49" s="214"/>
      <c r="I49" s="238">
        <v>0</v>
      </c>
      <c r="J49" s="239">
        <v>1</v>
      </c>
      <c r="K49" s="240">
        <v>0</v>
      </c>
      <c r="L49" s="241">
        <v>3</v>
      </c>
      <c r="M49" s="239">
        <f xml:space="preserve"> (J49+K49) * L49</f>
        <v>3</v>
      </c>
      <c r="N49" s="244">
        <f>J49+K49+M49</f>
        <v>4</v>
      </c>
      <c r="O49">
        <v>2015</v>
      </c>
      <c r="P49" s="245">
        <f t="shared" ref="P49:P64" si="1">N49/10000000</f>
        <v>3.9999999999999998E-7</v>
      </c>
    </row>
    <row r="50" spans="1:16">
      <c r="A50">
        <f>A49+1</f>
        <v>2014</v>
      </c>
      <c r="B50" s="238">
        <f>B49+1</f>
        <v>1</v>
      </c>
      <c r="C50" s="239">
        <f t="shared" ref="C50:C79" si="2">G49</f>
        <v>1000000</v>
      </c>
      <c r="D50" s="240">
        <v>1500000</v>
      </c>
      <c r="E50" s="241">
        <f>E49</f>
        <v>0.5</v>
      </c>
      <c r="F50" s="242">
        <f t="shared" ref="F50:F79" si="3" xml:space="preserve"> (C50) * E50</f>
        <v>500000</v>
      </c>
      <c r="G50" s="243">
        <f t="shared" ref="G50:G80" si="4">C50+D50+F50</f>
        <v>3000000</v>
      </c>
      <c r="H50" s="214"/>
      <c r="I50" s="238">
        <f>I49+1</f>
        <v>1</v>
      </c>
      <c r="J50" s="239">
        <f>N49</f>
        <v>4</v>
      </c>
      <c r="K50" s="240">
        <v>0</v>
      </c>
      <c r="L50" s="241">
        <v>2</v>
      </c>
      <c r="M50" s="239">
        <f t="shared" ref="M50:M80" si="5" xml:space="preserve"> (J50+K50) * L50</f>
        <v>8</v>
      </c>
      <c r="N50" s="244">
        <f t="shared" ref="N50:N80" si="6">J50+K50+M50</f>
        <v>12</v>
      </c>
      <c r="O50">
        <f t="shared" ref="O50:O64" si="7">O49+1</f>
        <v>2016</v>
      </c>
      <c r="P50" s="245">
        <f t="shared" si="1"/>
        <v>1.1999999999999999E-6</v>
      </c>
    </row>
    <row r="51" spans="1:16">
      <c r="A51">
        <f t="shared" ref="A51:B66" si="8">A50+1</f>
        <v>2015</v>
      </c>
      <c r="B51" s="238">
        <f t="shared" si="8"/>
        <v>2</v>
      </c>
      <c r="C51" s="239">
        <f t="shared" si="2"/>
        <v>3000000</v>
      </c>
      <c r="D51" s="240">
        <v>2000000</v>
      </c>
      <c r="E51" s="241">
        <f>E50</f>
        <v>0.5</v>
      </c>
      <c r="F51" s="242">
        <f t="shared" si="3"/>
        <v>1500000</v>
      </c>
      <c r="G51" s="243">
        <f t="shared" si="4"/>
        <v>6500000</v>
      </c>
      <c r="H51" s="214"/>
      <c r="I51" s="238">
        <f t="shared" ref="I51:I79" si="9">I50+1</f>
        <v>2</v>
      </c>
      <c r="J51" s="239">
        <f t="shared" ref="J51:J80" si="10">N50</f>
        <v>12</v>
      </c>
      <c r="K51" s="240">
        <v>0</v>
      </c>
      <c r="L51" s="241">
        <v>0.8</v>
      </c>
      <c r="M51" s="239">
        <f t="shared" si="5"/>
        <v>9.6000000000000014</v>
      </c>
      <c r="N51" s="244">
        <f t="shared" si="6"/>
        <v>21.6</v>
      </c>
      <c r="O51">
        <f t="shared" si="7"/>
        <v>2017</v>
      </c>
      <c r="P51" s="245">
        <f t="shared" si="1"/>
        <v>2.1600000000000001E-6</v>
      </c>
    </row>
    <row r="52" spans="1:16">
      <c r="A52">
        <f t="shared" si="8"/>
        <v>2016</v>
      </c>
      <c r="B52" s="238">
        <f t="shared" si="8"/>
        <v>3</v>
      </c>
      <c r="C52" s="239">
        <f t="shared" si="2"/>
        <v>6500000</v>
      </c>
      <c r="D52" s="240">
        <v>2500000</v>
      </c>
      <c r="E52" s="241">
        <f t="shared" ref="E52:E70" si="11">E51</f>
        <v>0.5</v>
      </c>
      <c r="F52" s="242">
        <f t="shared" si="3"/>
        <v>3250000</v>
      </c>
      <c r="G52" s="243">
        <f t="shared" si="4"/>
        <v>12250000</v>
      </c>
      <c r="H52" s="214"/>
      <c r="I52" s="238">
        <f t="shared" si="9"/>
        <v>3</v>
      </c>
      <c r="J52" s="239">
        <f t="shared" si="10"/>
        <v>21.6</v>
      </c>
      <c r="K52" s="240">
        <v>0</v>
      </c>
      <c r="L52" s="246">
        <v>0.4</v>
      </c>
      <c r="M52" s="239">
        <f t="shared" si="5"/>
        <v>8.64</v>
      </c>
      <c r="N52" s="244">
        <f t="shared" si="6"/>
        <v>30.240000000000002</v>
      </c>
      <c r="O52">
        <f t="shared" si="7"/>
        <v>2018</v>
      </c>
      <c r="P52" s="245">
        <f t="shared" si="1"/>
        <v>3.0240000000000002E-6</v>
      </c>
    </row>
    <row r="53" spans="1:16">
      <c r="A53">
        <f t="shared" si="8"/>
        <v>2017</v>
      </c>
      <c r="B53" s="238">
        <f t="shared" si="8"/>
        <v>4</v>
      </c>
      <c r="C53" s="239">
        <f t="shared" si="2"/>
        <v>12250000</v>
      </c>
      <c r="D53" s="240">
        <v>3000000</v>
      </c>
      <c r="E53" s="241">
        <f t="shared" si="11"/>
        <v>0.5</v>
      </c>
      <c r="F53" s="242">
        <f t="shared" si="3"/>
        <v>6125000</v>
      </c>
      <c r="G53" s="243">
        <f t="shared" si="4"/>
        <v>21375000</v>
      </c>
      <c r="H53" s="214"/>
      <c r="I53" s="238">
        <f t="shared" si="9"/>
        <v>4</v>
      </c>
      <c r="J53" s="239">
        <f t="shared" si="10"/>
        <v>30.240000000000002</v>
      </c>
      <c r="K53" s="240">
        <v>0</v>
      </c>
      <c r="L53" s="246">
        <v>0.3</v>
      </c>
      <c r="M53" s="239">
        <f t="shared" si="5"/>
        <v>9.072000000000001</v>
      </c>
      <c r="N53" s="244">
        <f t="shared" si="6"/>
        <v>39.312000000000005</v>
      </c>
      <c r="O53">
        <f t="shared" si="7"/>
        <v>2019</v>
      </c>
      <c r="P53" s="245">
        <f t="shared" si="1"/>
        <v>3.9312000000000006E-6</v>
      </c>
    </row>
    <row r="54" spans="1:16">
      <c r="A54">
        <f t="shared" si="8"/>
        <v>2018</v>
      </c>
      <c r="B54" s="238">
        <f t="shared" si="8"/>
        <v>5</v>
      </c>
      <c r="C54" s="239">
        <f t="shared" si="2"/>
        <v>21375000</v>
      </c>
      <c r="D54" s="240">
        <v>3500000</v>
      </c>
      <c r="E54" s="241">
        <f t="shared" si="11"/>
        <v>0.5</v>
      </c>
      <c r="F54" s="242">
        <f t="shared" si="3"/>
        <v>10687500</v>
      </c>
      <c r="G54" s="243">
        <f t="shared" si="4"/>
        <v>35562500</v>
      </c>
      <c r="H54" s="214"/>
      <c r="I54" s="238">
        <f t="shared" si="9"/>
        <v>5</v>
      </c>
      <c r="J54" s="239">
        <f t="shared" si="10"/>
        <v>39.312000000000005</v>
      </c>
      <c r="K54" s="240">
        <v>0</v>
      </c>
      <c r="L54" s="241">
        <v>0.2</v>
      </c>
      <c r="M54" s="239">
        <f t="shared" si="5"/>
        <v>7.8624000000000009</v>
      </c>
      <c r="N54" s="244">
        <f t="shared" si="6"/>
        <v>47.174400000000006</v>
      </c>
      <c r="O54">
        <f t="shared" si="7"/>
        <v>2020</v>
      </c>
      <c r="P54" s="245">
        <f t="shared" si="1"/>
        <v>4.7174400000000002E-6</v>
      </c>
    </row>
    <row r="55" spans="1:16">
      <c r="A55">
        <f t="shared" si="8"/>
        <v>2019</v>
      </c>
      <c r="B55" s="238">
        <f t="shared" si="8"/>
        <v>6</v>
      </c>
      <c r="C55" s="239">
        <f t="shared" si="2"/>
        <v>35562500</v>
      </c>
      <c r="D55" s="240">
        <v>4000000</v>
      </c>
      <c r="E55" s="241">
        <f t="shared" si="11"/>
        <v>0.5</v>
      </c>
      <c r="F55" s="242">
        <f t="shared" si="3"/>
        <v>17781250</v>
      </c>
      <c r="G55" s="243">
        <f t="shared" si="4"/>
        <v>57343750</v>
      </c>
      <c r="H55" s="214"/>
      <c r="I55" s="238">
        <f t="shared" si="9"/>
        <v>6</v>
      </c>
      <c r="J55" s="239">
        <f t="shared" si="10"/>
        <v>47.174400000000006</v>
      </c>
      <c r="K55" s="240">
        <v>0</v>
      </c>
      <c r="L55" s="241">
        <f t="shared" ref="L55:L67" si="12">L54</f>
        <v>0.2</v>
      </c>
      <c r="M55" s="239">
        <f t="shared" si="5"/>
        <v>9.4348800000000015</v>
      </c>
      <c r="N55" s="244">
        <f t="shared" si="6"/>
        <v>56.609280000000005</v>
      </c>
      <c r="O55">
        <f t="shared" si="7"/>
        <v>2021</v>
      </c>
      <c r="P55" s="245">
        <f t="shared" si="1"/>
        <v>5.6609280000000002E-6</v>
      </c>
    </row>
    <row r="56" spans="1:16">
      <c r="A56">
        <f t="shared" si="8"/>
        <v>2020</v>
      </c>
      <c r="B56" s="238">
        <f t="shared" si="8"/>
        <v>7</v>
      </c>
      <c r="C56" s="239">
        <f t="shared" si="2"/>
        <v>57343750</v>
      </c>
      <c r="D56" s="240">
        <v>5000000</v>
      </c>
      <c r="E56" s="241">
        <f t="shared" si="11"/>
        <v>0.5</v>
      </c>
      <c r="F56" s="242">
        <f t="shared" si="3"/>
        <v>28671875</v>
      </c>
      <c r="G56" s="243">
        <f t="shared" si="4"/>
        <v>91015625</v>
      </c>
      <c r="H56" s="214">
        <f>G56/10000000</f>
        <v>9.1015625</v>
      </c>
      <c r="I56" s="238">
        <f t="shared" si="9"/>
        <v>7</v>
      </c>
      <c r="J56" s="239">
        <f t="shared" si="10"/>
        <v>56.609280000000005</v>
      </c>
      <c r="K56" s="240">
        <v>0</v>
      </c>
      <c r="L56" s="241">
        <f t="shared" si="12"/>
        <v>0.2</v>
      </c>
      <c r="M56" s="239">
        <f t="shared" si="5"/>
        <v>11.321856000000002</v>
      </c>
      <c r="N56" s="244">
        <f t="shared" si="6"/>
        <v>67.931136000000009</v>
      </c>
      <c r="O56">
        <f t="shared" si="7"/>
        <v>2022</v>
      </c>
      <c r="P56" s="245">
        <f t="shared" si="1"/>
        <v>6.7931136000000013E-6</v>
      </c>
    </row>
    <row r="57" spans="1:16">
      <c r="A57">
        <f t="shared" si="8"/>
        <v>2021</v>
      </c>
      <c r="B57" s="238">
        <f t="shared" si="8"/>
        <v>8</v>
      </c>
      <c r="C57" s="239">
        <f t="shared" si="2"/>
        <v>91015625</v>
      </c>
      <c r="D57" s="240">
        <v>0</v>
      </c>
      <c r="E57" s="241">
        <f t="shared" si="11"/>
        <v>0.5</v>
      </c>
      <c r="F57" s="242">
        <f t="shared" si="3"/>
        <v>45507812.5</v>
      </c>
      <c r="G57" s="243">
        <f t="shared" si="4"/>
        <v>136523437.5</v>
      </c>
      <c r="H57" s="214"/>
      <c r="I57" s="238">
        <f t="shared" si="9"/>
        <v>8</v>
      </c>
      <c r="J57" s="239">
        <f t="shared" si="10"/>
        <v>67.931136000000009</v>
      </c>
      <c r="K57" s="240">
        <v>0</v>
      </c>
      <c r="L57" s="241">
        <f t="shared" si="12"/>
        <v>0.2</v>
      </c>
      <c r="M57" s="239">
        <f t="shared" si="5"/>
        <v>13.586227200000003</v>
      </c>
      <c r="N57" s="244">
        <f t="shared" si="6"/>
        <v>81.517363200000005</v>
      </c>
      <c r="O57">
        <f t="shared" si="7"/>
        <v>2023</v>
      </c>
      <c r="P57" s="245">
        <f t="shared" si="1"/>
        <v>8.1517363199999998E-6</v>
      </c>
    </row>
    <row r="58" spans="1:16">
      <c r="A58">
        <f t="shared" si="8"/>
        <v>2022</v>
      </c>
      <c r="B58" s="238">
        <f t="shared" si="8"/>
        <v>9</v>
      </c>
      <c r="C58" s="239">
        <f t="shared" si="2"/>
        <v>136523437.5</v>
      </c>
      <c r="D58" s="240">
        <v>0</v>
      </c>
      <c r="E58" s="241">
        <f t="shared" si="11"/>
        <v>0.5</v>
      </c>
      <c r="F58" s="242">
        <f t="shared" si="3"/>
        <v>68261718.75</v>
      </c>
      <c r="G58" s="243">
        <f t="shared" si="4"/>
        <v>204785156.25</v>
      </c>
      <c r="H58" s="214"/>
      <c r="I58" s="238">
        <f t="shared" si="9"/>
        <v>9</v>
      </c>
      <c r="J58" s="239">
        <f t="shared" si="10"/>
        <v>81.517363200000005</v>
      </c>
      <c r="K58" s="240">
        <v>0</v>
      </c>
      <c r="L58" s="241">
        <f t="shared" si="12"/>
        <v>0.2</v>
      </c>
      <c r="M58" s="239">
        <f t="shared" si="5"/>
        <v>16.303472640000003</v>
      </c>
      <c r="N58" s="244">
        <f t="shared" si="6"/>
        <v>97.820835840000001</v>
      </c>
      <c r="O58">
        <f t="shared" si="7"/>
        <v>2024</v>
      </c>
      <c r="P58" s="245">
        <f t="shared" si="1"/>
        <v>9.7820835840000005E-6</v>
      </c>
    </row>
    <row r="59" spans="1:16">
      <c r="A59">
        <f t="shared" si="8"/>
        <v>2023</v>
      </c>
      <c r="B59" s="238">
        <f t="shared" si="8"/>
        <v>10</v>
      </c>
      <c r="C59" s="239">
        <f t="shared" si="2"/>
        <v>204785156.25</v>
      </c>
      <c r="D59" s="240">
        <v>0</v>
      </c>
      <c r="E59" s="241">
        <f t="shared" si="11"/>
        <v>0.5</v>
      </c>
      <c r="F59" s="242">
        <f t="shared" si="3"/>
        <v>102392578.125</v>
      </c>
      <c r="G59" s="243">
        <f t="shared" si="4"/>
        <v>307177734.375</v>
      </c>
      <c r="H59" s="214"/>
      <c r="I59" s="238">
        <f t="shared" si="9"/>
        <v>10</v>
      </c>
      <c r="J59" s="239">
        <f t="shared" si="10"/>
        <v>97.820835840000001</v>
      </c>
      <c r="K59" s="240">
        <v>0</v>
      </c>
      <c r="L59" s="241">
        <f t="shared" si="12"/>
        <v>0.2</v>
      </c>
      <c r="M59" s="239">
        <f t="shared" si="5"/>
        <v>19.564167168000001</v>
      </c>
      <c r="N59" s="244">
        <f t="shared" si="6"/>
        <v>117.385003008</v>
      </c>
      <c r="O59">
        <f t="shared" si="7"/>
        <v>2025</v>
      </c>
      <c r="P59" s="245">
        <f t="shared" si="1"/>
        <v>1.17385003008E-5</v>
      </c>
    </row>
    <row r="60" spans="1:16">
      <c r="A60">
        <f t="shared" si="8"/>
        <v>2024</v>
      </c>
      <c r="B60" s="238">
        <f t="shared" si="8"/>
        <v>11</v>
      </c>
      <c r="C60" s="239">
        <f t="shared" si="2"/>
        <v>307177734.375</v>
      </c>
      <c r="D60" s="240">
        <v>0</v>
      </c>
      <c r="E60" s="241">
        <f t="shared" si="11"/>
        <v>0.5</v>
      </c>
      <c r="F60" s="242">
        <f t="shared" si="3"/>
        <v>153588867.1875</v>
      </c>
      <c r="G60" s="243">
        <f t="shared" si="4"/>
        <v>460766601.5625</v>
      </c>
      <c r="H60" s="214"/>
      <c r="I60" s="238">
        <f t="shared" si="9"/>
        <v>11</v>
      </c>
      <c r="J60" s="239">
        <f t="shared" si="10"/>
        <v>117.385003008</v>
      </c>
      <c r="K60" s="240">
        <v>0</v>
      </c>
      <c r="L60" s="241">
        <f t="shared" si="12"/>
        <v>0.2</v>
      </c>
      <c r="M60" s="239">
        <f t="shared" si="5"/>
        <v>23.4770006016</v>
      </c>
      <c r="N60" s="244">
        <f t="shared" si="6"/>
        <v>140.86200360960001</v>
      </c>
      <c r="O60">
        <f t="shared" si="7"/>
        <v>2026</v>
      </c>
      <c r="P60" s="245">
        <f t="shared" si="1"/>
        <v>1.4086200360960001E-5</v>
      </c>
    </row>
    <row r="61" spans="1:16">
      <c r="A61">
        <f t="shared" si="8"/>
        <v>2025</v>
      </c>
      <c r="B61" s="238">
        <f t="shared" si="8"/>
        <v>12</v>
      </c>
      <c r="C61" s="239">
        <f t="shared" si="2"/>
        <v>460766601.5625</v>
      </c>
      <c r="D61" s="240">
        <v>0</v>
      </c>
      <c r="E61" s="241">
        <f t="shared" si="11"/>
        <v>0.5</v>
      </c>
      <c r="F61" s="242">
        <f t="shared" si="3"/>
        <v>230383300.78125</v>
      </c>
      <c r="G61" s="243">
        <f t="shared" si="4"/>
        <v>691149902.34375</v>
      </c>
      <c r="H61" s="214"/>
      <c r="I61" s="238">
        <f t="shared" si="9"/>
        <v>12</v>
      </c>
      <c r="J61" s="239">
        <f t="shared" si="10"/>
        <v>140.86200360960001</v>
      </c>
      <c r="K61" s="240">
        <v>0</v>
      </c>
      <c r="L61" s="241">
        <f t="shared" si="12"/>
        <v>0.2</v>
      </c>
      <c r="M61" s="239">
        <f t="shared" si="5"/>
        <v>28.172400721920003</v>
      </c>
      <c r="N61" s="244">
        <f t="shared" si="6"/>
        <v>169.03440433152002</v>
      </c>
      <c r="O61">
        <f t="shared" si="7"/>
        <v>2027</v>
      </c>
      <c r="P61" s="245">
        <f t="shared" si="1"/>
        <v>1.6903440433152003E-5</v>
      </c>
    </row>
    <row r="62" spans="1:16">
      <c r="A62">
        <f t="shared" si="8"/>
        <v>2026</v>
      </c>
      <c r="B62" s="238">
        <f t="shared" si="8"/>
        <v>13</v>
      </c>
      <c r="C62" s="239">
        <f t="shared" si="2"/>
        <v>691149902.34375</v>
      </c>
      <c r="D62" s="240">
        <v>0</v>
      </c>
      <c r="E62" s="241">
        <f t="shared" si="11"/>
        <v>0.5</v>
      </c>
      <c r="F62" s="242">
        <f t="shared" si="3"/>
        <v>345574951.171875</v>
      </c>
      <c r="G62" s="243">
        <f t="shared" si="4"/>
        <v>1036724853.515625</v>
      </c>
      <c r="H62" s="214"/>
      <c r="I62" s="238">
        <f t="shared" si="9"/>
        <v>13</v>
      </c>
      <c r="J62" s="239">
        <f t="shared" si="10"/>
        <v>169.03440433152002</v>
      </c>
      <c r="K62" s="240">
        <v>0</v>
      </c>
      <c r="L62" s="241">
        <f t="shared" si="12"/>
        <v>0.2</v>
      </c>
      <c r="M62" s="239">
        <f t="shared" si="5"/>
        <v>33.806880866304006</v>
      </c>
      <c r="N62" s="244">
        <f t="shared" si="6"/>
        <v>202.84128519782402</v>
      </c>
      <c r="O62">
        <f t="shared" si="7"/>
        <v>2028</v>
      </c>
      <c r="P62" s="245">
        <f t="shared" si="1"/>
        <v>2.0284128519782403E-5</v>
      </c>
    </row>
    <row r="63" spans="1:16">
      <c r="A63">
        <f t="shared" si="8"/>
        <v>2027</v>
      </c>
      <c r="B63" s="238">
        <f t="shared" si="8"/>
        <v>14</v>
      </c>
      <c r="C63" s="239">
        <f t="shared" si="2"/>
        <v>1036724853.515625</v>
      </c>
      <c r="D63" s="240">
        <v>0</v>
      </c>
      <c r="E63" s="241">
        <f t="shared" si="11"/>
        <v>0.5</v>
      </c>
      <c r="F63" s="242">
        <f t="shared" si="3"/>
        <v>518362426.7578125</v>
      </c>
      <c r="G63" s="243">
        <f t="shared" si="4"/>
        <v>1555087280.2734375</v>
      </c>
      <c r="H63" s="214"/>
      <c r="I63" s="238">
        <f t="shared" si="9"/>
        <v>14</v>
      </c>
      <c r="J63" s="239">
        <f t="shared" si="10"/>
        <v>202.84128519782402</v>
      </c>
      <c r="K63" s="240">
        <v>0</v>
      </c>
      <c r="L63" s="241">
        <f t="shared" si="12"/>
        <v>0.2</v>
      </c>
      <c r="M63" s="239">
        <f t="shared" si="5"/>
        <v>40.568257039564806</v>
      </c>
      <c r="N63" s="244">
        <f t="shared" si="6"/>
        <v>243.40954223738882</v>
      </c>
      <c r="O63">
        <f t="shared" si="7"/>
        <v>2029</v>
      </c>
      <c r="P63" s="245">
        <f t="shared" si="1"/>
        <v>2.4340954223738881E-5</v>
      </c>
    </row>
    <row r="64" spans="1:16">
      <c r="A64">
        <f t="shared" si="8"/>
        <v>2028</v>
      </c>
      <c r="B64" s="238">
        <f t="shared" si="8"/>
        <v>15</v>
      </c>
      <c r="C64" s="239">
        <f t="shared" si="2"/>
        <v>1555087280.2734375</v>
      </c>
      <c r="D64" s="240">
        <v>0</v>
      </c>
      <c r="E64" s="241">
        <f t="shared" si="11"/>
        <v>0.5</v>
      </c>
      <c r="F64" s="242">
        <f t="shared" si="3"/>
        <v>777543640.13671875</v>
      </c>
      <c r="G64" s="243">
        <f t="shared" si="4"/>
        <v>2332630920.4101562</v>
      </c>
      <c r="H64" s="214"/>
      <c r="I64" s="238">
        <f t="shared" si="9"/>
        <v>15</v>
      </c>
      <c r="J64" s="239">
        <f t="shared" si="10"/>
        <v>243.40954223738882</v>
      </c>
      <c r="K64" s="240">
        <v>0</v>
      </c>
      <c r="L64" s="241">
        <f t="shared" si="12"/>
        <v>0.2</v>
      </c>
      <c r="M64" s="239">
        <f t="shared" si="5"/>
        <v>48.681908447477767</v>
      </c>
      <c r="N64" s="244">
        <f t="shared" si="6"/>
        <v>292.09145068486657</v>
      </c>
      <c r="O64">
        <f t="shared" si="7"/>
        <v>2030</v>
      </c>
      <c r="P64" s="245">
        <f t="shared" si="1"/>
        <v>2.9209145068486657E-5</v>
      </c>
    </row>
    <row r="65" spans="1:14">
      <c r="A65">
        <f t="shared" si="8"/>
        <v>2029</v>
      </c>
      <c r="B65" s="238">
        <f t="shared" si="8"/>
        <v>16</v>
      </c>
      <c r="C65" s="239">
        <f t="shared" si="2"/>
        <v>2332630920.4101562</v>
      </c>
      <c r="D65" s="240">
        <v>0</v>
      </c>
      <c r="E65" s="241">
        <f t="shared" si="11"/>
        <v>0.5</v>
      </c>
      <c r="F65" s="242">
        <f t="shared" si="3"/>
        <v>1166315460.2050781</v>
      </c>
      <c r="G65" s="243">
        <f t="shared" si="4"/>
        <v>3498946380.6152344</v>
      </c>
      <c r="H65" s="214"/>
      <c r="I65" s="238">
        <f t="shared" si="9"/>
        <v>16</v>
      </c>
      <c r="J65" s="239">
        <f t="shared" si="10"/>
        <v>292.09145068486657</v>
      </c>
      <c r="K65" s="240">
        <v>0</v>
      </c>
      <c r="L65" s="241">
        <f t="shared" si="12"/>
        <v>0.2</v>
      </c>
      <c r="M65" s="239">
        <f t="shared" si="5"/>
        <v>58.418290136973319</v>
      </c>
      <c r="N65" s="244">
        <f t="shared" si="6"/>
        <v>350.5097408218399</v>
      </c>
    </row>
    <row r="66" spans="1:14">
      <c r="A66" s="247">
        <f t="shared" si="8"/>
        <v>2030</v>
      </c>
      <c r="B66" s="238">
        <f t="shared" si="8"/>
        <v>17</v>
      </c>
      <c r="C66" s="239">
        <f t="shared" si="2"/>
        <v>3498946380.6152344</v>
      </c>
      <c r="D66" s="240">
        <v>0</v>
      </c>
      <c r="E66" s="241">
        <f t="shared" si="11"/>
        <v>0.5</v>
      </c>
      <c r="F66" s="242">
        <f t="shared" si="3"/>
        <v>1749473190.3076172</v>
      </c>
      <c r="G66" s="248">
        <f t="shared" si="4"/>
        <v>5248419570.9228516</v>
      </c>
      <c r="H66" s="214">
        <f>G66/10000000</f>
        <v>524.84195709228516</v>
      </c>
      <c r="I66" s="238">
        <f t="shared" si="9"/>
        <v>17</v>
      </c>
      <c r="J66" s="239">
        <f t="shared" si="10"/>
        <v>350.5097408218399</v>
      </c>
      <c r="K66" s="240">
        <v>0</v>
      </c>
      <c r="L66" s="241">
        <f t="shared" si="12"/>
        <v>0.2</v>
      </c>
      <c r="M66" s="239">
        <f t="shared" si="5"/>
        <v>70.101948164367982</v>
      </c>
      <c r="N66" s="244">
        <f t="shared" si="6"/>
        <v>420.61168898620787</v>
      </c>
    </row>
    <row r="67" spans="1:14">
      <c r="A67">
        <f t="shared" ref="A67:B79" si="13">A66+1</f>
        <v>2031</v>
      </c>
      <c r="B67" s="238">
        <f t="shared" si="13"/>
        <v>18</v>
      </c>
      <c r="C67" s="239">
        <f t="shared" si="2"/>
        <v>5248419570.9228516</v>
      </c>
      <c r="D67" s="240">
        <v>0</v>
      </c>
      <c r="E67" s="241">
        <v>0</v>
      </c>
      <c r="F67" s="242">
        <f t="shared" si="3"/>
        <v>0</v>
      </c>
      <c r="G67" s="243">
        <f t="shared" si="4"/>
        <v>5248419570.9228516</v>
      </c>
      <c r="H67" s="249"/>
      <c r="I67" s="238">
        <f t="shared" si="9"/>
        <v>18</v>
      </c>
      <c r="J67" s="239">
        <f t="shared" si="10"/>
        <v>420.61168898620787</v>
      </c>
      <c r="K67" s="240">
        <v>0</v>
      </c>
      <c r="L67" s="241">
        <f t="shared" si="12"/>
        <v>0.2</v>
      </c>
      <c r="M67" s="239">
        <f t="shared" si="5"/>
        <v>84.122337797241585</v>
      </c>
      <c r="N67" s="244">
        <f t="shared" si="6"/>
        <v>504.73402678344945</v>
      </c>
    </row>
    <row r="68" spans="1:14">
      <c r="B68" s="238">
        <f t="shared" si="13"/>
        <v>19</v>
      </c>
      <c r="C68" s="239">
        <f t="shared" si="2"/>
        <v>5248419570.9228516</v>
      </c>
      <c r="D68" s="240">
        <v>0</v>
      </c>
      <c r="E68" s="241">
        <v>0</v>
      </c>
      <c r="F68" s="242">
        <f t="shared" si="3"/>
        <v>0</v>
      </c>
      <c r="G68" s="243">
        <f t="shared" si="4"/>
        <v>5248419570.9228516</v>
      </c>
      <c r="H68" s="250" t="e">
        <f>H49/C49</f>
        <v>#DIV/0!</v>
      </c>
      <c r="I68" s="238">
        <f t="shared" si="9"/>
        <v>19</v>
      </c>
      <c r="J68" s="239">
        <f t="shared" si="10"/>
        <v>504.73402678344945</v>
      </c>
      <c r="K68" s="240"/>
      <c r="L68" s="241"/>
      <c r="M68" s="239">
        <f t="shared" si="5"/>
        <v>0</v>
      </c>
      <c r="N68" s="244">
        <f t="shared" si="6"/>
        <v>504.73402678344945</v>
      </c>
    </row>
    <row r="69" spans="1:14">
      <c r="B69" s="238">
        <f t="shared" si="13"/>
        <v>20</v>
      </c>
      <c r="C69" s="239">
        <f t="shared" si="2"/>
        <v>5248419570.9228516</v>
      </c>
      <c r="D69" s="240">
        <v>0</v>
      </c>
      <c r="E69" s="241">
        <f t="shared" si="11"/>
        <v>0</v>
      </c>
      <c r="F69" s="242">
        <f t="shared" si="3"/>
        <v>0</v>
      </c>
      <c r="G69" s="243">
        <f t="shared" si="4"/>
        <v>5248419570.9228516</v>
      </c>
      <c r="H69" s="250">
        <f t="shared" ref="H69:H88" si="14">H50/C50</f>
        <v>0</v>
      </c>
      <c r="I69" s="238">
        <f t="shared" si="9"/>
        <v>20</v>
      </c>
      <c r="J69" s="239">
        <f t="shared" si="10"/>
        <v>504.73402678344945</v>
      </c>
      <c r="K69" s="240"/>
      <c r="L69" s="241"/>
      <c r="M69" s="239">
        <f t="shared" si="5"/>
        <v>0</v>
      </c>
      <c r="N69" s="244">
        <f t="shared" si="6"/>
        <v>504.73402678344945</v>
      </c>
    </row>
    <row r="70" spans="1:14">
      <c r="B70" s="238">
        <f t="shared" si="13"/>
        <v>21</v>
      </c>
      <c r="C70" s="239">
        <f t="shared" si="2"/>
        <v>5248419570.9228516</v>
      </c>
      <c r="D70" s="240"/>
      <c r="E70" s="241">
        <f t="shared" si="11"/>
        <v>0</v>
      </c>
      <c r="F70" s="242">
        <f t="shared" si="3"/>
        <v>0</v>
      </c>
      <c r="G70" s="243">
        <f t="shared" si="4"/>
        <v>5248419570.9228516</v>
      </c>
      <c r="H70" s="250">
        <f t="shared" si="14"/>
        <v>0</v>
      </c>
      <c r="I70" s="238">
        <f t="shared" si="9"/>
        <v>21</v>
      </c>
      <c r="J70" s="239">
        <f t="shared" si="10"/>
        <v>504.73402678344945</v>
      </c>
      <c r="K70" s="240"/>
      <c r="L70" s="241"/>
      <c r="M70" s="239">
        <f t="shared" si="5"/>
        <v>0</v>
      </c>
      <c r="N70" s="244">
        <f t="shared" si="6"/>
        <v>504.73402678344945</v>
      </c>
    </row>
    <row r="71" spans="1:14">
      <c r="B71" s="238">
        <f t="shared" si="13"/>
        <v>22</v>
      </c>
      <c r="C71" s="239">
        <f t="shared" si="2"/>
        <v>5248419570.9228516</v>
      </c>
      <c r="D71" s="240"/>
      <c r="E71" s="241"/>
      <c r="F71" s="242">
        <f t="shared" si="3"/>
        <v>0</v>
      </c>
      <c r="G71" s="243">
        <f t="shared" si="4"/>
        <v>5248419570.9228516</v>
      </c>
      <c r="H71" s="250">
        <f t="shared" si="14"/>
        <v>0</v>
      </c>
      <c r="I71" s="238">
        <f t="shared" si="9"/>
        <v>22</v>
      </c>
      <c r="J71" s="239">
        <f t="shared" si="10"/>
        <v>504.73402678344945</v>
      </c>
      <c r="K71" s="240"/>
      <c r="L71" s="241"/>
      <c r="M71" s="239">
        <f t="shared" si="5"/>
        <v>0</v>
      </c>
      <c r="N71" s="244">
        <f t="shared" si="6"/>
        <v>504.73402678344945</v>
      </c>
    </row>
    <row r="72" spans="1:14">
      <c r="B72" s="238">
        <f t="shared" si="13"/>
        <v>23</v>
      </c>
      <c r="C72" s="239">
        <f t="shared" si="2"/>
        <v>5248419570.9228516</v>
      </c>
      <c r="D72" s="240"/>
      <c r="E72" s="241"/>
      <c r="F72" s="242">
        <f t="shared" si="3"/>
        <v>0</v>
      </c>
      <c r="G72" s="243">
        <f t="shared" si="4"/>
        <v>5248419570.9228516</v>
      </c>
      <c r="H72" s="250">
        <f t="shared" si="14"/>
        <v>0</v>
      </c>
      <c r="I72" s="238">
        <f t="shared" si="9"/>
        <v>23</v>
      </c>
      <c r="J72" s="239">
        <f t="shared" si="10"/>
        <v>504.73402678344945</v>
      </c>
      <c r="K72" s="240"/>
      <c r="L72" s="241"/>
      <c r="M72" s="239">
        <f t="shared" si="5"/>
        <v>0</v>
      </c>
      <c r="N72" s="244">
        <f t="shared" si="6"/>
        <v>504.73402678344945</v>
      </c>
    </row>
    <row r="73" spans="1:14">
      <c r="B73" s="238">
        <f t="shared" si="13"/>
        <v>24</v>
      </c>
      <c r="C73" s="239">
        <f t="shared" si="2"/>
        <v>5248419570.9228516</v>
      </c>
      <c r="D73" s="240"/>
      <c r="E73" s="241"/>
      <c r="F73" s="242">
        <f t="shared" si="3"/>
        <v>0</v>
      </c>
      <c r="G73" s="243">
        <f t="shared" si="4"/>
        <v>5248419570.9228516</v>
      </c>
      <c r="H73" s="250">
        <f t="shared" si="14"/>
        <v>0</v>
      </c>
      <c r="I73" s="238">
        <f t="shared" si="9"/>
        <v>24</v>
      </c>
      <c r="J73" s="239">
        <f t="shared" si="10"/>
        <v>504.73402678344945</v>
      </c>
      <c r="K73" s="240"/>
      <c r="L73" s="241"/>
      <c r="M73" s="239">
        <f t="shared" si="5"/>
        <v>0</v>
      </c>
      <c r="N73" s="244">
        <f t="shared" si="6"/>
        <v>504.73402678344945</v>
      </c>
    </row>
    <row r="74" spans="1:14">
      <c r="B74" s="238">
        <f t="shared" si="13"/>
        <v>25</v>
      </c>
      <c r="C74" s="239">
        <f t="shared" si="2"/>
        <v>5248419570.9228516</v>
      </c>
      <c r="D74" s="240"/>
      <c r="E74" s="241"/>
      <c r="F74" s="242">
        <f t="shared" si="3"/>
        <v>0</v>
      </c>
      <c r="G74" s="243">
        <f t="shared" si="4"/>
        <v>5248419570.9228516</v>
      </c>
      <c r="H74" s="250">
        <f t="shared" si="14"/>
        <v>0</v>
      </c>
      <c r="I74" s="238">
        <f t="shared" si="9"/>
        <v>25</v>
      </c>
      <c r="J74" s="239">
        <f t="shared" si="10"/>
        <v>504.73402678344945</v>
      </c>
      <c r="K74" s="240"/>
      <c r="L74" s="241"/>
      <c r="M74" s="239">
        <f t="shared" si="5"/>
        <v>0</v>
      </c>
      <c r="N74" s="244">
        <f t="shared" si="6"/>
        <v>504.73402678344945</v>
      </c>
    </row>
    <row r="75" spans="1:14">
      <c r="B75" s="238">
        <f t="shared" si="13"/>
        <v>26</v>
      </c>
      <c r="C75" s="239">
        <f t="shared" si="2"/>
        <v>5248419570.9228516</v>
      </c>
      <c r="D75" s="240"/>
      <c r="E75" s="241"/>
      <c r="F75" s="242">
        <f t="shared" si="3"/>
        <v>0</v>
      </c>
      <c r="G75" s="243">
        <f t="shared" si="4"/>
        <v>5248419570.9228516</v>
      </c>
      <c r="H75" s="250">
        <f t="shared" si="14"/>
        <v>1.5871934604904632E-7</v>
      </c>
      <c r="I75" s="238">
        <f t="shared" si="9"/>
        <v>26</v>
      </c>
      <c r="J75" s="239">
        <f t="shared" si="10"/>
        <v>504.73402678344945</v>
      </c>
      <c r="K75" s="240"/>
      <c r="L75" s="241"/>
      <c r="M75" s="239">
        <f t="shared" si="5"/>
        <v>0</v>
      </c>
      <c r="N75" s="244">
        <f t="shared" si="6"/>
        <v>504.73402678344945</v>
      </c>
    </row>
    <row r="76" spans="1:14">
      <c r="B76" s="238">
        <f t="shared" si="13"/>
        <v>27</v>
      </c>
      <c r="C76" s="239">
        <f t="shared" si="2"/>
        <v>5248419570.9228516</v>
      </c>
      <c r="D76" s="240"/>
      <c r="E76" s="241"/>
      <c r="F76" s="242">
        <f t="shared" si="3"/>
        <v>0</v>
      </c>
      <c r="G76" s="243">
        <f t="shared" si="4"/>
        <v>5248419570.9228516</v>
      </c>
      <c r="H76" s="250">
        <f t="shared" si="14"/>
        <v>0</v>
      </c>
      <c r="I76" s="238">
        <f t="shared" si="9"/>
        <v>27</v>
      </c>
      <c r="J76" s="239">
        <f t="shared" si="10"/>
        <v>504.73402678344945</v>
      </c>
      <c r="K76" s="240"/>
      <c r="L76" s="241"/>
      <c r="M76" s="239">
        <f t="shared" si="5"/>
        <v>0</v>
      </c>
      <c r="N76" s="244">
        <f t="shared" si="6"/>
        <v>504.73402678344945</v>
      </c>
    </row>
    <row r="77" spans="1:14">
      <c r="B77" s="238">
        <f t="shared" si="13"/>
        <v>28</v>
      </c>
      <c r="C77" s="239">
        <f t="shared" si="2"/>
        <v>5248419570.9228516</v>
      </c>
      <c r="D77" s="240"/>
      <c r="E77" s="241"/>
      <c r="F77" s="242">
        <f t="shared" si="3"/>
        <v>0</v>
      </c>
      <c r="G77" s="243">
        <f t="shared" si="4"/>
        <v>5248419570.9228516</v>
      </c>
      <c r="H77" s="250">
        <f t="shared" si="14"/>
        <v>0</v>
      </c>
      <c r="I77" s="238">
        <f t="shared" si="9"/>
        <v>28</v>
      </c>
      <c r="J77" s="239">
        <f t="shared" si="10"/>
        <v>504.73402678344945</v>
      </c>
      <c r="K77" s="240"/>
      <c r="L77" s="241"/>
      <c r="M77" s="239">
        <f t="shared" si="5"/>
        <v>0</v>
      </c>
      <c r="N77" s="244">
        <f t="shared" si="6"/>
        <v>504.73402678344945</v>
      </c>
    </row>
    <row r="78" spans="1:14">
      <c r="B78" s="238">
        <f t="shared" si="13"/>
        <v>29</v>
      </c>
      <c r="C78" s="239">
        <f t="shared" si="2"/>
        <v>5248419570.9228516</v>
      </c>
      <c r="D78" s="240"/>
      <c r="E78" s="241"/>
      <c r="F78" s="242">
        <f t="shared" si="3"/>
        <v>0</v>
      </c>
      <c r="G78" s="243">
        <f t="shared" si="4"/>
        <v>5248419570.9228516</v>
      </c>
      <c r="H78" s="250">
        <f t="shared" si="14"/>
        <v>0</v>
      </c>
      <c r="I78" s="238">
        <f t="shared" si="9"/>
        <v>29</v>
      </c>
      <c r="J78" s="239">
        <f t="shared" si="10"/>
        <v>504.73402678344945</v>
      </c>
      <c r="K78" s="240"/>
      <c r="L78" s="241"/>
      <c r="M78" s="239">
        <f t="shared" si="5"/>
        <v>0</v>
      </c>
      <c r="N78" s="244">
        <f t="shared" si="6"/>
        <v>504.73402678344945</v>
      </c>
    </row>
    <row r="79" spans="1:14">
      <c r="B79" s="238">
        <f t="shared" si="13"/>
        <v>30</v>
      </c>
      <c r="C79" s="239">
        <f t="shared" si="2"/>
        <v>5248419570.9228516</v>
      </c>
      <c r="D79" s="240"/>
      <c r="E79" s="241"/>
      <c r="F79" s="242">
        <f t="shared" si="3"/>
        <v>0</v>
      </c>
      <c r="G79" s="243">
        <f t="shared" si="4"/>
        <v>5248419570.9228516</v>
      </c>
      <c r="H79" s="250">
        <f t="shared" si="14"/>
        <v>0</v>
      </c>
      <c r="I79" s="238">
        <f t="shared" si="9"/>
        <v>30</v>
      </c>
      <c r="J79" s="239">
        <f t="shared" si="10"/>
        <v>504.73402678344945</v>
      </c>
      <c r="K79" s="240"/>
      <c r="L79" s="241"/>
      <c r="M79" s="239">
        <f t="shared" si="5"/>
        <v>0</v>
      </c>
      <c r="N79" s="244">
        <f t="shared" si="6"/>
        <v>504.73402678344945</v>
      </c>
    </row>
    <row r="80" spans="1:14" ht="15.75" thickBot="1">
      <c r="B80" s="238"/>
      <c r="C80" s="251"/>
      <c r="D80" s="240"/>
      <c r="E80" s="241"/>
      <c r="F80" s="251"/>
      <c r="G80" s="243">
        <f t="shared" si="4"/>
        <v>0</v>
      </c>
      <c r="H80" s="250">
        <f t="shared" si="14"/>
        <v>0</v>
      </c>
      <c r="I80" s="238"/>
      <c r="J80" s="239">
        <f t="shared" si="10"/>
        <v>504.73402678344945</v>
      </c>
      <c r="K80" s="240"/>
      <c r="L80" s="241"/>
      <c r="M80" s="239">
        <f t="shared" si="5"/>
        <v>0</v>
      </c>
      <c r="N80" s="244">
        <f t="shared" si="6"/>
        <v>504.73402678344945</v>
      </c>
    </row>
    <row r="81" spans="2:14" ht="15.75" thickBot="1">
      <c r="B81" s="280" t="s">
        <v>486</v>
      </c>
      <c r="C81" s="281"/>
      <c r="D81" s="252">
        <f>SUM(D48:D80)</f>
        <v>22500000</v>
      </c>
      <c r="E81" s="253"/>
      <c r="F81" s="253"/>
      <c r="G81" s="254">
        <f>G78</f>
        <v>5248419570.9228516</v>
      </c>
      <c r="H81" s="250">
        <f t="shared" si="14"/>
        <v>0</v>
      </c>
      <c r="I81" s="280" t="s">
        <v>486</v>
      </c>
      <c r="J81" s="281"/>
      <c r="K81" s="255">
        <f>SUM(K48:K80)</f>
        <v>0</v>
      </c>
      <c r="L81" s="253"/>
      <c r="M81" s="252"/>
      <c r="N81" s="256">
        <f>N78</f>
        <v>504.73402678344945</v>
      </c>
    </row>
    <row r="82" spans="2:14" ht="15.75" thickBot="1">
      <c r="B82" s="257"/>
      <c r="C82" s="258" t="s">
        <v>487</v>
      </c>
      <c r="D82" s="259">
        <f>D81/10000000</f>
        <v>2.25</v>
      </c>
      <c r="E82" s="258"/>
      <c r="F82" s="258"/>
      <c r="G82" s="260">
        <f>G81/10000000</f>
        <v>524.84195709228516</v>
      </c>
      <c r="H82" s="250">
        <f t="shared" si="14"/>
        <v>0</v>
      </c>
      <c r="I82" s="257"/>
      <c r="J82" s="258" t="s">
        <v>487</v>
      </c>
      <c r="K82" s="259">
        <f>K81/10000000</f>
        <v>0</v>
      </c>
      <c r="L82" s="258"/>
      <c r="M82" s="258"/>
      <c r="N82" s="260">
        <f>N81/10000000</f>
        <v>5.0473402678344942E-5</v>
      </c>
    </row>
    <row r="83" spans="2:14">
      <c r="G83" s="261"/>
      <c r="H83" s="250">
        <f t="shared" si="14"/>
        <v>0</v>
      </c>
    </row>
    <row r="84" spans="2:14" ht="15.75" thickBot="1">
      <c r="C84" s="282" t="s">
        <v>488</v>
      </c>
      <c r="D84" s="282"/>
      <c r="E84" s="282"/>
      <c r="F84" s="282"/>
      <c r="H84" s="250">
        <f t="shared" si="14"/>
        <v>0</v>
      </c>
      <c r="J84" s="282" t="s">
        <v>488</v>
      </c>
      <c r="K84" s="282"/>
      <c r="L84" s="282"/>
      <c r="M84" s="282"/>
    </row>
    <row r="85" spans="2:14" ht="15.75" thickBot="1">
      <c r="H85" s="250">
        <f t="shared" si="14"/>
        <v>1.4999999999999999E-7</v>
      </c>
    </row>
    <row r="86" spans="2:14" ht="15.75" thickBot="1">
      <c r="B86" s="229"/>
      <c r="C86" s="275" t="s">
        <v>474</v>
      </c>
      <c r="D86" s="276"/>
      <c r="E86" s="230" t="s">
        <v>475</v>
      </c>
      <c r="F86" s="230"/>
      <c r="G86" s="231"/>
      <c r="H86" s="250">
        <f t="shared" si="14"/>
        <v>0</v>
      </c>
      <c r="I86" s="229"/>
      <c r="J86" s="275" t="s">
        <v>489</v>
      </c>
      <c r="K86" s="276"/>
      <c r="L86" s="230" t="s">
        <v>490</v>
      </c>
      <c r="M86" s="230"/>
      <c r="N86" s="231"/>
    </row>
    <row r="87" spans="2:14" ht="15.75" thickBot="1">
      <c r="B87" s="199"/>
      <c r="C87" s="196"/>
      <c r="D87" s="196"/>
      <c r="E87" s="196"/>
      <c r="F87" s="196"/>
      <c r="G87" s="197"/>
      <c r="H87" s="250" t="e">
        <f t="shared" si="14"/>
        <v>#DIV/0!</v>
      </c>
      <c r="I87" s="199"/>
      <c r="J87" s="196"/>
      <c r="K87" s="196"/>
      <c r="L87" s="196"/>
      <c r="M87" s="196"/>
      <c r="N87" s="197"/>
    </row>
    <row r="88" spans="2:14" ht="15.75" thickBot="1">
      <c r="B88" s="277" t="s">
        <v>491</v>
      </c>
      <c r="C88" s="278"/>
      <c r="D88" s="278"/>
      <c r="E88" s="278"/>
      <c r="F88" s="278"/>
      <c r="G88" s="279"/>
      <c r="H88" s="250">
        <f t="shared" si="14"/>
        <v>0</v>
      </c>
      <c r="I88" s="277" t="s">
        <v>491</v>
      </c>
      <c r="J88" s="278"/>
      <c r="K88" s="278"/>
      <c r="L88" s="278"/>
      <c r="M88" s="278"/>
      <c r="N88" s="279"/>
    </row>
    <row r="89" spans="2:14">
      <c r="B89" s="262"/>
      <c r="C89" s="263"/>
      <c r="D89" s="263"/>
      <c r="E89" s="263"/>
      <c r="F89" s="263"/>
      <c r="G89" s="264">
        <f>G124</f>
        <v>1413.1902480939689</v>
      </c>
      <c r="I89" s="262"/>
      <c r="J89" s="263"/>
      <c r="K89" s="263"/>
      <c r="L89" s="263"/>
      <c r="M89" s="263"/>
      <c r="N89" s="264">
        <f>N124</f>
        <v>285.94104308390024</v>
      </c>
    </row>
    <row r="90" spans="2:14" ht="30">
      <c r="B90" s="233" t="s">
        <v>14</v>
      </c>
      <c r="C90" s="234" t="s">
        <v>479</v>
      </c>
      <c r="D90" s="234" t="s">
        <v>492</v>
      </c>
      <c r="E90" s="234" t="s">
        <v>481</v>
      </c>
      <c r="F90" s="234" t="s">
        <v>493</v>
      </c>
      <c r="G90" s="235" t="s">
        <v>494</v>
      </c>
      <c r="I90" s="233" t="s">
        <v>14</v>
      </c>
      <c r="J90" s="234" t="s">
        <v>495</v>
      </c>
      <c r="K90" s="234" t="s">
        <v>496</v>
      </c>
      <c r="L90" s="234" t="s">
        <v>481</v>
      </c>
      <c r="M90" s="234" t="s">
        <v>493</v>
      </c>
      <c r="N90" s="235" t="s">
        <v>494</v>
      </c>
    </row>
    <row r="91" spans="2:14">
      <c r="B91" s="238">
        <v>0</v>
      </c>
      <c r="C91" s="251">
        <v>0</v>
      </c>
      <c r="D91" s="251">
        <v>100</v>
      </c>
      <c r="E91" s="265">
        <v>0.06</v>
      </c>
      <c r="F91" s="251">
        <f>((1/(1+E91) ) ^ (B91 + 1) ) * D91</f>
        <v>94.339622641509422</v>
      </c>
      <c r="G91" s="266">
        <f>F91+C91</f>
        <v>94.339622641509422</v>
      </c>
      <c r="I91" s="238">
        <v>0</v>
      </c>
      <c r="J91" s="251">
        <v>0</v>
      </c>
      <c r="K91" s="251">
        <v>100</v>
      </c>
      <c r="L91" s="265">
        <v>0</v>
      </c>
      <c r="M91" s="251">
        <f t="shared" ref="M91:M92" si="15">((1/(1+L91) ) ^ (I91) ) * K91</f>
        <v>100</v>
      </c>
      <c r="N91" s="266">
        <f>M91+J91</f>
        <v>100</v>
      </c>
    </row>
    <row r="92" spans="2:14">
      <c r="B92" s="238">
        <f>B91+1</f>
        <v>1</v>
      </c>
      <c r="C92" s="251">
        <f>G91</f>
        <v>94.339622641509422</v>
      </c>
      <c r="D92" s="251">
        <v>200</v>
      </c>
      <c r="E92" s="265">
        <v>0.06</v>
      </c>
      <c r="F92" s="251">
        <f>((1/(1+E92) ) ^ (B92 + 1) ) * D92</f>
        <v>177.99928800284795</v>
      </c>
      <c r="G92" s="266">
        <f>F92+C92</f>
        <v>272.33891064435738</v>
      </c>
      <c r="I92" s="238">
        <f>I91+1</f>
        <v>1</v>
      </c>
      <c r="J92" s="251">
        <f>N91</f>
        <v>100</v>
      </c>
      <c r="K92" s="251">
        <v>100</v>
      </c>
      <c r="L92" s="265">
        <v>0.05</v>
      </c>
      <c r="M92" s="251">
        <f t="shared" si="15"/>
        <v>95.238095238095227</v>
      </c>
      <c r="N92" s="266">
        <f>M92+J92</f>
        <v>195.23809523809524</v>
      </c>
    </row>
    <row r="93" spans="2:14">
      <c r="B93" s="238">
        <f t="shared" ref="B93:B121" si="16">B92+1</f>
        <v>2</v>
      </c>
      <c r="C93" s="251">
        <f t="shared" ref="C93:C121" si="17">G92</f>
        <v>272.33891064435738</v>
      </c>
      <c r="D93" s="251">
        <v>200</v>
      </c>
      <c r="E93" s="265">
        <v>0.06</v>
      </c>
      <c r="F93" s="251">
        <f t="shared" ref="F93:F121" si="18">((1/(1+E93) ) ^ (B93 + 1) ) * D93</f>
        <v>167.9238566064603</v>
      </c>
      <c r="G93" s="266">
        <f t="shared" ref="G93:G121" si="19">F93+C93</f>
        <v>440.26276725081766</v>
      </c>
      <c r="I93" s="238">
        <f t="shared" ref="I93:I121" si="20">I92+1</f>
        <v>2</v>
      </c>
      <c r="J93" s="251">
        <f t="shared" ref="J93:J121" si="21">N92</f>
        <v>195.23809523809524</v>
      </c>
      <c r="K93" s="251">
        <v>100</v>
      </c>
      <c r="L93" s="265">
        <v>0.05</v>
      </c>
      <c r="M93" s="251">
        <f>((1/(1+L93) ) ^ (I93) ) * K93</f>
        <v>90.702947845804985</v>
      </c>
      <c r="N93" s="266">
        <f t="shared" ref="N93:N121" si="22">M93+J93</f>
        <v>285.94104308390024</v>
      </c>
    </row>
    <row r="94" spans="2:14">
      <c r="B94" s="238">
        <f t="shared" si="16"/>
        <v>3</v>
      </c>
      <c r="C94" s="251">
        <f t="shared" si="17"/>
        <v>440.26276725081766</v>
      </c>
      <c r="D94" s="251">
        <v>200</v>
      </c>
      <c r="E94" s="265">
        <v>0.06</v>
      </c>
      <c r="F94" s="251">
        <f t="shared" si="18"/>
        <v>158.41873264760403</v>
      </c>
      <c r="G94" s="266">
        <f t="shared" si="19"/>
        <v>598.68149989842163</v>
      </c>
      <c r="I94" s="238">
        <f t="shared" si="20"/>
        <v>3</v>
      </c>
      <c r="J94" s="251">
        <f t="shared" si="21"/>
        <v>285.94104308390024</v>
      </c>
      <c r="K94" s="251"/>
      <c r="L94" s="265">
        <v>0.05</v>
      </c>
      <c r="M94" s="251">
        <f t="shared" ref="M94:M121" si="23">((1/(1+L94) ) ^ (I94) ) * K94</f>
        <v>0</v>
      </c>
      <c r="N94" s="266">
        <f t="shared" si="22"/>
        <v>285.94104308390024</v>
      </c>
    </row>
    <row r="95" spans="2:14">
      <c r="B95" s="238">
        <f t="shared" si="16"/>
        <v>4</v>
      </c>
      <c r="C95" s="251">
        <f t="shared" si="17"/>
        <v>598.68149989842163</v>
      </c>
      <c r="D95" s="251">
        <v>200</v>
      </c>
      <c r="E95" s="265">
        <v>0.06</v>
      </c>
      <c r="F95" s="251">
        <f t="shared" si="18"/>
        <v>149.45163457321135</v>
      </c>
      <c r="G95" s="266">
        <f t="shared" si="19"/>
        <v>748.13313447163296</v>
      </c>
      <c r="I95" s="238">
        <f t="shared" si="20"/>
        <v>4</v>
      </c>
      <c r="J95" s="251">
        <f t="shared" si="21"/>
        <v>285.94104308390024</v>
      </c>
      <c r="K95" s="251"/>
      <c r="L95" s="265">
        <v>0.05</v>
      </c>
      <c r="M95" s="251">
        <f t="shared" si="23"/>
        <v>0</v>
      </c>
      <c r="N95" s="266">
        <f t="shared" si="22"/>
        <v>285.94104308390024</v>
      </c>
    </row>
    <row r="96" spans="2:14">
      <c r="B96" s="238">
        <f t="shared" si="16"/>
        <v>5</v>
      </c>
      <c r="C96" s="251">
        <f t="shared" si="17"/>
        <v>748.13313447163296</v>
      </c>
      <c r="D96" s="251">
        <v>0</v>
      </c>
      <c r="E96" s="265">
        <v>0.06</v>
      </c>
      <c r="F96" s="251">
        <f t="shared" si="18"/>
        <v>0</v>
      </c>
      <c r="G96" s="266">
        <f t="shared" si="19"/>
        <v>748.13313447163296</v>
      </c>
      <c r="I96" s="238">
        <f t="shared" si="20"/>
        <v>5</v>
      </c>
      <c r="J96" s="251">
        <f t="shared" si="21"/>
        <v>285.94104308390024</v>
      </c>
      <c r="K96" s="251"/>
      <c r="L96" s="265">
        <v>0.05</v>
      </c>
      <c r="M96" s="251">
        <f t="shared" si="23"/>
        <v>0</v>
      </c>
      <c r="N96" s="266">
        <f t="shared" si="22"/>
        <v>285.94104308390024</v>
      </c>
    </row>
    <row r="97" spans="2:14">
      <c r="B97" s="238">
        <f t="shared" si="16"/>
        <v>6</v>
      </c>
      <c r="C97" s="251">
        <f t="shared" si="17"/>
        <v>748.13313447163296</v>
      </c>
      <c r="D97" s="251">
        <v>1000</v>
      </c>
      <c r="E97" s="265">
        <v>0.06</v>
      </c>
      <c r="F97" s="251">
        <f t="shared" si="18"/>
        <v>665.05711362233581</v>
      </c>
      <c r="G97" s="266">
        <f t="shared" si="19"/>
        <v>1413.1902480939689</v>
      </c>
      <c r="I97" s="238">
        <f t="shared" si="20"/>
        <v>6</v>
      </c>
      <c r="J97" s="251">
        <f t="shared" si="21"/>
        <v>285.94104308390024</v>
      </c>
      <c r="K97" s="251"/>
      <c r="L97" s="265">
        <v>0.05</v>
      </c>
      <c r="M97" s="251">
        <f t="shared" si="23"/>
        <v>0</v>
      </c>
      <c r="N97" s="266">
        <f t="shared" si="22"/>
        <v>285.94104308390024</v>
      </c>
    </row>
    <row r="98" spans="2:14">
      <c r="B98" s="238">
        <f t="shared" si="16"/>
        <v>7</v>
      </c>
      <c r="C98" s="251">
        <f t="shared" si="17"/>
        <v>1413.1902480939689</v>
      </c>
      <c r="D98" s="251"/>
      <c r="E98" s="265">
        <v>0.05</v>
      </c>
      <c r="F98" s="251">
        <f t="shared" si="18"/>
        <v>0</v>
      </c>
      <c r="G98" s="266">
        <f t="shared" si="19"/>
        <v>1413.1902480939689</v>
      </c>
      <c r="I98" s="238">
        <f t="shared" si="20"/>
        <v>7</v>
      </c>
      <c r="J98" s="251">
        <f t="shared" si="21"/>
        <v>285.94104308390024</v>
      </c>
      <c r="K98" s="251"/>
      <c r="L98" s="265">
        <v>0.05</v>
      </c>
      <c r="M98" s="251">
        <f t="shared" si="23"/>
        <v>0</v>
      </c>
      <c r="N98" s="266">
        <f t="shared" si="22"/>
        <v>285.94104308390024</v>
      </c>
    </row>
    <row r="99" spans="2:14">
      <c r="B99" s="238">
        <f t="shared" si="16"/>
        <v>8</v>
      </c>
      <c r="C99" s="251">
        <f t="shared" si="17"/>
        <v>1413.1902480939689</v>
      </c>
      <c r="D99" s="251"/>
      <c r="E99" s="265">
        <v>0.05</v>
      </c>
      <c r="F99" s="251">
        <f t="shared" si="18"/>
        <v>0</v>
      </c>
      <c r="G99" s="266">
        <f t="shared" si="19"/>
        <v>1413.1902480939689</v>
      </c>
      <c r="I99" s="238">
        <f t="shared" si="20"/>
        <v>8</v>
      </c>
      <c r="J99" s="251">
        <f t="shared" si="21"/>
        <v>285.94104308390024</v>
      </c>
      <c r="K99" s="251"/>
      <c r="L99" s="265">
        <v>0.05</v>
      </c>
      <c r="M99" s="251">
        <f t="shared" si="23"/>
        <v>0</v>
      </c>
      <c r="N99" s="266">
        <f t="shared" si="22"/>
        <v>285.94104308390024</v>
      </c>
    </row>
    <row r="100" spans="2:14">
      <c r="B100" s="238">
        <f t="shared" si="16"/>
        <v>9</v>
      </c>
      <c r="C100" s="251">
        <f t="shared" si="17"/>
        <v>1413.1902480939689</v>
      </c>
      <c r="D100" s="251"/>
      <c r="E100" s="265">
        <v>0.05</v>
      </c>
      <c r="F100" s="251">
        <f t="shared" si="18"/>
        <v>0</v>
      </c>
      <c r="G100" s="266">
        <f t="shared" si="19"/>
        <v>1413.1902480939689</v>
      </c>
      <c r="I100" s="238">
        <f t="shared" si="20"/>
        <v>9</v>
      </c>
      <c r="J100" s="251">
        <f t="shared" si="21"/>
        <v>285.94104308390024</v>
      </c>
      <c r="K100" s="251"/>
      <c r="L100" s="265">
        <v>0.05</v>
      </c>
      <c r="M100" s="251">
        <f t="shared" si="23"/>
        <v>0</v>
      </c>
      <c r="N100" s="266">
        <f t="shared" si="22"/>
        <v>285.94104308390024</v>
      </c>
    </row>
    <row r="101" spans="2:14">
      <c r="B101" s="238">
        <f t="shared" si="16"/>
        <v>10</v>
      </c>
      <c r="C101" s="251">
        <f t="shared" si="17"/>
        <v>1413.1902480939689</v>
      </c>
      <c r="D101" s="251"/>
      <c r="E101" s="265">
        <v>0.05</v>
      </c>
      <c r="F101" s="251">
        <f t="shared" si="18"/>
        <v>0</v>
      </c>
      <c r="G101" s="266">
        <f t="shared" si="19"/>
        <v>1413.1902480939689</v>
      </c>
      <c r="I101" s="238">
        <f t="shared" si="20"/>
        <v>10</v>
      </c>
      <c r="J101" s="251">
        <f t="shared" si="21"/>
        <v>285.94104308390024</v>
      </c>
      <c r="K101" s="251"/>
      <c r="L101" s="265">
        <v>0.05</v>
      </c>
      <c r="M101" s="251">
        <f t="shared" si="23"/>
        <v>0</v>
      </c>
      <c r="N101" s="266">
        <f t="shared" si="22"/>
        <v>285.94104308390024</v>
      </c>
    </row>
    <row r="102" spans="2:14">
      <c r="B102" s="238">
        <f t="shared" si="16"/>
        <v>11</v>
      </c>
      <c r="C102" s="251">
        <f t="shared" si="17"/>
        <v>1413.1902480939689</v>
      </c>
      <c r="D102" s="251"/>
      <c r="E102" s="265">
        <v>0.05</v>
      </c>
      <c r="F102" s="251">
        <f t="shared" si="18"/>
        <v>0</v>
      </c>
      <c r="G102" s="266">
        <f t="shared" si="19"/>
        <v>1413.1902480939689</v>
      </c>
      <c r="I102" s="238">
        <f t="shared" si="20"/>
        <v>11</v>
      </c>
      <c r="J102" s="251">
        <f t="shared" si="21"/>
        <v>285.94104308390024</v>
      </c>
      <c r="K102" s="251"/>
      <c r="L102" s="265">
        <v>0.05</v>
      </c>
      <c r="M102" s="251">
        <f t="shared" si="23"/>
        <v>0</v>
      </c>
      <c r="N102" s="266">
        <f t="shared" si="22"/>
        <v>285.94104308390024</v>
      </c>
    </row>
    <row r="103" spans="2:14">
      <c r="B103" s="238">
        <f t="shared" si="16"/>
        <v>12</v>
      </c>
      <c r="C103" s="251">
        <f t="shared" si="17"/>
        <v>1413.1902480939689</v>
      </c>
      <c r="D103" s="251"/>
      <c r="E103" s="265">
        <v>0.05</v>
      </c>
      <c r="F103" s="251">
        <f t="shared" si="18"/>
        <v>0</v>
      </c>
      <c r="G103" s="266">
        <f t="shared" si="19"/>
        <v>1413.1902480939689</v>
      </c>
      <c r="I103" s="238">
        <f t="shared" si="20"/>
        <v>12</v>
      </c>
      <c r="J103" s="251">
        <f t="shared" si="21"/>
        <v>285.94104308390024</v>
      </c>
      <c r="K103" s="251"/>
      <c r="L103" s="265">
        <v>0.05</v>
      </c>
      <c r="M103" s="251">
        <f t="shared" si="23"/>
        <v>0</v>
      </c>
      <c r="N103" s="266">
        <f t="shared" si="22"/>
        <v>285.94104308390024</v>
      </c>
    </row>
    <row r="104" spans="2:14">
      <c r="B104" s="238">
        <f t="shared" si="16"/>
        <v>13</v>
      </c>
      <c r="C104" s="251">
        <f t="shared" si="17"/>
        <v>1413.1902480939689</v>
      </c>
      <c r="D104" s="251"/>
      <c r="E104" s="265">
        <v>0.05</v>
      </c>
      <c r="F104" s="251">
        <f t="shared" si="18"/>
        <v>0</v>
      </c>
      <c r="G104" s="266">
        <f t="shared" si="19"/>
        <v>1413.1902480939689</v>
      </c>
      <c r="I104" s="238">
        <f t="shared" si="20"/>
        <v>13</v>
      </c>
      <c r="J104" s="251">
        <f t="shared" si="21"/>
        <v>285.94104308390024</v>
      </c>
      <c r="K104" s="251"/>
      <c r="L104" s="265">
        <v>0.05</v>
      </c>
      <c r="M104" s="251">
        <f t="shared" si="23"/>
        <v>0</v>
      </c>
      <c r="N104" s="266">
        <f t="shared" si="22"/>
        <v>285.94104308390024</v>
      </c>
    </row>
    <row r="105" spans="2:14">
      <c r="B105" s="238">
        <f t="shared" si="16"/>
        <v>14</v>
      </c>
      <c r="C105" s="251">
        <f t="shared" si="17"/>
        <v>1413.1902480939689</v>
      </c>
      <c r="D105" s="251"/>
      <c r="E105" s="265">
        <v>0.05</v>
      </c>
      <c r="F105" s="251">
        <f t="shared" si="18"/>
        <v>0</v>
      </c>
      <c r="G105" s="266">
        <f t="shared" si="19"/>
        <v>1413.1902480939689</v>
      </c>
      <c r="I105" s="238">
        <f t="shared" si="20"/>
        <v>14</v>
      </c>
      <c r="J105" s="251">
        <f t="shared" si="21"/>
        <v>285.94104308390024</v>
      </c>
      <c r="K105" s="251"/>
      <c r="L105" s="265">
        <v>0.05</v>
      </c>
      <c r="M105" s="251">
        <f t="shared" si="23"/>
        <v>0</v>
      </c>
      <c r="N105" s="266">
        <f t="shared" si="22"/>
        <v>285.94104308390024</v>
      </c>
    </row>
    <row r="106" spans="2:14">
      <c r="B106" s="238">
        <f t="shared" si="16"/>
        <v>15</v>
      </c>
      <c r="C106" s="251">
        <f t="shared" si="17"/>
        <v>1413.1902480939689</v>
      </c>
      <c r="D106" s="251"/>
      <c r="E106" s="265">
        <v>0.05</v>
      </c>
      <c r="F106" s="251">
        <f t="shared" si="18"/>
        <v>0</v>
      </c>
      <c r="G106" s="266">
        <f t="shared" si="19"/>
        <v>1413.1902480939689</v>
      </c>
      <c r="I106" s="238">
        <f t="shared" si="20"/>
        <v>15</v>
      </c>
      <c r="J106" s="251">
        <f t="shared" si="21"/>
        <v>285.94104308390024</v>
      </c>
      <c r="K106" s="251"/>
      <c r="L106" s="265">
        <v>0.05</v>
      </c>
      <c r="M106" s="251">
        <f t="shared" si="23"/>
        <v>0</v>
      </c>
      <c r="N106" s="266">
        <f t="shared" si="22"/>
        <v>285.94104308390024</v>
      </c>
    </row>
    <row r="107" spans="2:14">
      <c r="B107" s="238">
        <f t="shared" si="16"/>
        <v>16</v>
      </c>
      <c r="C107" s="251">
        <f t="shared" si="17"/>
        <v>1413.1902480939689</v>
      </c>
      <c r="D107" s="251"/>
      <c r="E107" s="265">
        <v>0.05</v>
      </c>
      <c r="F107" s="251">
        <f t="shared" si="18"/>
        <v>0</v>
      </c>
      <c r="G107" s="266">
        <f t="shared" si="19"/>
        <v>1413.1902480939689</v>
      </c>
      <c r="I107" s="238">
        <f t="shared" si="20"/>
        <v>16</v>
      </c>
      <c r="J107" s="251">
        <f t="shared" si="21"/>
        <v>285.94104308390024</v>
      </c>
      <c r="K107" s="251"/>
      <c r="L107" s="265">
        <v>0.05</v>
      </c>
      <c r="M107" s="251">
        <f t="shared" si="23"/>
        <v>0</v>
      </c>
      <c r="N107" s="266">
        <f t="shared" si="22"/>
        <v>285.94104308390024</v>
      </c>
    </row>
    <row r="108" spans="2:14">
      <c r="B108" s="238">
        <f t="shared" si="16"/>
        <v>17</v>
      </c>
      <c r="C108" s="251">
        <f t="shared" si="17"/>
        <v>1413.1902480939689</v>
      </c>
      <c r="D108" s="251"/>
      <c r="E108" s="265">
        <v>0.05</v>
      </c>
      <c r="F108" s="251">
        <f t="shared" si="18"/>
        <v>0</v>
      </c>
      <c r="G108" s="266">
        <f t="shared" si="19"/>
        <v>1413.1902480939689</v>
      </c>
      <c r="I108" s="238">
        <f t="shared" si="20"/>
        <v>17</v>
      </c>
      <c r="J108" s="251">
        <f t="shared" si="21"/>
        <v>285.94104308390024</v>
      </c>
      <c r="K108" s="251"/>
      <c r="L108" s="265">
        <v>0.05</v>
      </c>
      <c r="M108" s="251">
        <f t="shared" si="23"/>
        <v>0</v>
      </c>
      <c r="N108" s="266">
        <f t="shared" si="22"/>
        <v>285.94104308390024</v>
      </c>
    </row>
    <row r="109" spans="2:14">
      <c r="B109" s="238">
        <f t="shared" si="16"/>
        <v>18</v>
      </c>
      <c r="C109" s="251">
        <f t="shared" si="17"/>
        <v>1413.1902480939689</v>
      </c>
      <c r="D109" s="251"/>
      <c r="E109" s="265">
        <v>0.05</v>
      </c>
      <c r="F109" s="251">
        <f t="shared" si="18"/>
        <v>0</v>
      </c>
      <c r="G109" s="266">
        <f t="shared" si="19"/>
        <v>1413.1902480939689</v>
      </c>
      <c r="I109" s="238">
        <f t="shared" si="20"/>
        <v>18</v>
      </c>
      <c r="J109" s="251">
        <f t="shared" si="21"/>
        <v>285.94104308390024</v>
      </c>
      <c r="K109" s="251"/>
      <c r="L109" s="265">
        <v>0.05</v>
      </c>
      <c r="M109" s="251">
        <f t="shared" si="23"/>
        <v>0</v>
      </c>
      <c r="N109" s="266">
        <f t="shared" si="22"/>
        <v>285.94104308390024</v>
      </c>
    </row>
    <row r="110" spans="2:14">
      <c r="B110" s="238">
        <f t="shared" si="16"/>
        <v>19</v>
      </c>
      <c r="C110" s="251">
        <f t="shared" si="17"/>
        <v>1413.1902480939689</v>
      </c>
      <c r="D110" s="251"/>
      <c r="E110" s="265">
        <v>0.05</v>
      </c>
      <c r="F110" s="251">
        <f t="shared" si="18"/>
        <v>0</v>
      </c>
      <c r="G110" s="266">
        <f t="shared" si="19"/>
        <v>1413.1902480939689</v>
      </c>
      <c r="I110" s="238">
        <f t="shared" si="20"/>
        <v>19</v>
      </c>
      <c r="J110" s="251">
        <f t="shared" si="21"/>
        <v>285.94104308390024</v>
      </c>
      <c r="K110" s="251"/>
      <c r="L110" s="265">
        <v>0.05</v>
      </c>
      <c r="M110" s="251">
        <f t="shared" si="23"/>
        <v>0</v>
      </c>
      <c r="N110" s="266">
        <f t="shared" si="22"/>
        <v>285.94104308390024</v>
      </c>
    </row>
    <row r="111" spans="2:14">
      <c r="B111" s="238">
        <f t="shared" si="16"/>
        <v>20</v>
      </c>
      <c r="C111" s="251">
        <f t="shared" si="17"/>
        <v>1413.1902480939689</v>
      </c>
      <c r="D111" s="251"/>
      <c r="E111" s="265">
        <v>0.05</v>
      </c>
      <c r="F111" s="251">
        <f t="shared" si="18"/>
        <v>0</v>
      </c>
      <c r="G111" s="266">
        <f t="shared" si="19"/>
        <v>1413.1902480939689</v>
      </c>
      <c r="I111" s="238">
        <f t="shared" si="20"/>
        <v>20</v>
      </c>
      <c r="J111" s="251">
        <f t="shared" si="21"/>
        <v>285.94104308390024</v>
      </c>
      <c r="K111" s="251"/>
      <c r="L111" s="265">
        <v>0.05</v>
      </c>
      <c r="M111" s="251">
        <f t="shared" si="23"/>
        <v>0</v>
      </c>
      <c r="N111" s="266">
        <f t="shared" si="22"/>
        <v>285.94104308390024</v>
      </c>
    </row>
    <row r="112" spans="2:14">
      <c r="B112" s="238">
        <f t="shared" si="16"/>
        <v>21</v>
      </c>
      <c r="C112" s="251">
        <f t="shared" si="17"/>
        <v>1413.1902480939689</v>
      </c>
      <c r="D112" s="251"/>
      <c r="E112" s="265">
        <v>0.05</v>
      </c>
      <c r="F112" s="251">
        <f t="shared" si="18"/>
        <v>0</v>
      </c>
      <c r="G112" s="266">
        <f t="shared" si="19"/>
        <v>1413.1902480939689</v>
      </c>
      <c r="I112" s="238">
        <f t="shared" si="20"/>
        <v>21</v>
      </c>
      <c r="J112" s="251">
        <f t="shared" si="21"/>
        <v>285.94104308390024</v>
      </c>
      <c r="K112" s="251"/>
      <c r="L112" s="265">
        <v>0.05</v>
      </c>
      <c r="M112" s="251">
        <f t="shared" si="23"/>
        <v>0</v>
      </c>
      <c r="N112" s="266">
        <f t="shared" si="22"/>
        <v>285.94104308390024</v>
      </c>
    </row>
    <row r="113" spans="2:14">
      <c r="B113" s="238">
        <f t="shared" si="16"/>
        <v>22</v>
      </c>
      <c r="C113" s="251">
        <f t="shared" si="17"/>
        <v>1413.1902480939689</v>
      </c>
      <c r="D113" s="251"/>
      <c r="E113" s="265">
        <v>0.05</v>
      </c>
      <c r="F113" s="251">
        <f t="shared" si="18"/>
        <v>0</v>
      </c>
      <c r="G113" s="266">
        <f t="shared" si="19"/>
        <v>1413.1902480939689</v>
      </c>
      <c r="I113" s="238">
        <f t="shared" si="20"/>
        <v>22</v>
      </c>
      <c r="J113" s="251">
        <f t="shared" si="21"/>
        <v>285.94104308390024</v>
      </c>
      <c r="K113" s="251"/>
      <c r="L113" s="265">
        <v>0.05</v>
      </c>
      <c r="M113" s="251">
        <f t="shared" si="23"/>
        <v>0</v>
      </c>
      <c r="N113" s="266">
        <f t="shared" si="22"/>
        <v>285.94104308390024</v>
      </c>
    </row>
    <row r="114" spans="2:14">
      <c r="B114" s="238">
        <f t="shared" si="16"/>
        <v>23</v>
      </c>
      <c r="C114" s="251">
        <f t="shared" si="17"/>
        <v>1413.1902480939689</v>
      </c>
      <c r="D114" s="251"/>
      <c r="E114" s="265">
        <v>0.05</v>
      </c>
      <c r="F114" s="251">
        <f t="shared" si="18"/>
        <v>0</v>
      </c>
      <c r="G114" s="266">
        <f t="shared" si="19"/>
        <v>1413.1902480939689</v>
      </c>
      <c r="I114" s="238">
        <f t="shared" si="20"/>
        <v>23</v>
      </c>
      <c r="J114" s="251">
        <f t="shared" si="21"/>
        <v>285.94104308390024</v>
      </c>
      <c r="K114" s="251"/>
      <c r="L114" s="265">
        <v>0.05</v>
      </c>
      <c r="M114" s="251">
        <f t="shared" si="23"/>
        <v>0</v>
      </c>
      <c r="N114" s="266">
        <f t="shared" si="22"/>
        <v>285.94104308390024</v>
      </c>
    </row>
    <row r="115" spans="2:14">
      <c r="B115" s="238">
        <f t="shared" si="16"/>
        <v>24</v>
      </c>
      <c r="C115" s="251">
        <f t="shared" si="17"/>
        <v>1413.1902480939689</v>
      </c>
      <c r="D115" s="251"/>
      <c r="E115" s="265">
        <v>0.05</v>
      </c>
      <c r="F115" s="251">
        <f t="shared" si="18"/>
        <v>0</v>
      </c>
      <c r="G115" s="266">
        <f t="shared" si="19"/>
        <v>1413.1902480939689</v>
      </c>
      <c r="I115" s="238">
        <f t="shared" si="20"/>
        <v>24</v>
      </c>
      <c r="J115" s="251">
        <f t="shared" si="21"/>
        <v>285.94104308390024</v>
      </c>
      <c r="K115" s="251"/>
      <c r="L115" s="265">
        <v>0.05</v>
      </c>
      <c r="M115" s="251">
        <f t="shared" si="23"/>
        <v>0</v>
      </c>
      <c r="N115" s="266">
        <f t="shared" si="22"/>
        <v>285.94104308390024</v>
      </c>
    </row>
    <row r="116" spans="2:14">
      <c r="B116" s="238">
        <f t="shared" si="16"/>
        <v>25</v>
      </c>
      <c r="C116" s="251">
        <f t="shared" si="17"/>
        <v>1413.1902480939689</v>
      </c>
      <c r="D116" s="251"/>
      <c r="E116" s="265">
        <v>0.05</v>
      </c>
      <c r="F116" s="251">
        <f t="shared" si="18"/>
        <v>0</v>
      </c>
      <c r="G116" s="266">
        <f t="shared" si="19"/>
        <v>1413.1902480939689</v>
      </c>
      <c r="I116" s="238">
        <f t="shared" si="20"/>
        <v>25</v>
      </c>
      <c r="J116" s="251">
        <f t="shared" si="21"/>
        <v>285.94104308390024</v>
      </c>
      <c r="K116" s="251"/>
      <c r="L116" s="265">
        <v>0.05</v>
      </c>
      <c r="M116" s="251">
        <f t="shared" si="23"/>
        <v>0</v>
      </c>
      <c r="N116" s="266">
        <f t="shared" si="22"/>
        <v>285.94104308390024</v>
      </c>
    </row>
    <row r="117" spans="2:14">
      <c r="B117" s="238">
        <f t="shared" si="16"/>
        <v>26</v>
      </c>
      <c r="C117" s="251">
        <f t="shared" si="17"/>
        <v>1413.1902480939689</v>
      </c>
      <c r="D117" s="251"/>
      <c r="E117" s="265">
        <v>0.05</v>
      </c>
      <c r="F117" s="251">
        <f t="shared" si="18"/>
        <v>0</v>
      </c>
      <c r="G117" s="266">
        <f t="shared" si="19"/>
        <v>1413.1902480939689</v>
      </c>
      <c r="I117" s="238">
        <f t="shared" si="20"/>
        <v>26</v>
      </c>
      <c r="J117" s="251">
        <f t="shared" si="21"/>
        <v>285.94104308390024</v>
      </c>
      <c r="K117" s="251"/>
      <c r="L117" s="265">
        <v>0.05</v>
      </c>
      <c r="M117" s="251">
        <f t="shared" si="23"/>
        <v>0</v>
      </c>
      <c r="N117" s="266">
        <f t="shared" si="22"/>
        <v>285.94104308390024</v>
      </c>
    </row>
    <row r="118" spans="2:14">
      <c r="B118" s="238">
        <f t="shared" si="16"/>
        <v>27</v>
      </c>
      <c r="C118" s="251">
        <f t="shared" si="17"/>
        <v>1413.1902480939689</v>
      </c>
      <c r="D118" s="251"/>
      <c r="E118" s="265">
        <v>0.05</v>
      </c>
      <c r="F118" s="251">
        <f t="shared" si="18"/>
        <v>0</v>
      </c>
      <c r="G118" s="266">
        <f t="shared" si="19"/>
        <v>1413.1902480939689</v>
      </c>
      <c r="I118" s="238">
        <f t="shared" si="20"/>
        <v>27</v>
      </c>
      <c r="J118" s="251">
        <f t="shared" si="21"/>
        <v>285.94104308390024</v>
      </c>
      <c r="K118" s="251"/>
      <c r="L118" s="265">
        <v>0.05</v>
      </c>
      <c r="M118" s="251">
        <f t="shared" si="23"/>
        <v>0</v>
      </c>
      <c r="N118" s="266">
        <f t="shared" si="22"/>
        <v>285.94104308390024</v>
      </c>
    </row>
    <row r="119" spans="2:14">
      <c r="B119" s="238">
        <f t="shared" si="16"/>
        <v>28</v>
      </c>
      <c r="C119" s="251">
        <f t="shared" si="17"/>
        <v>1413.1902480939689</v>
      </c>
      <c r="D119" s="251"/>
      <c r="E119" s="265">
        <v>0.05</v>
      </c>
      <c r="F119" s="251">
        <f t="shared" si="18"/>
        <v>0</v>
      </c>
      <c r="G119" s="266">
        <f t="shared" si="19"/>
        <v>1413.1902480939689</v>
      </c>
      <c r="I119" s="238">
        <f t="shared" si="20"/>
        <v>28</v>
      </c>
      <c r="J119" s="251">
        <f t="shared" si="21"/>
        <v>285.94104308390024</v>
      </c>
      <c r="K119" s="251"/>
      <c r="L119" s="265">
        <v>0.05</v>
      </c>
      <c r="M119" s="251">
        <f t="shared" si="23"/>
        <v>0</v>
      </c>
      <c r="N119" s="266">
        <f t="shared" si="22"/>
        <v>285.94104308390024</v>
      </c>
    </row>
    <row r="120" spans="2:14">
      <c r="B120" s="238">
        <f t="shared" si="16"/>
        <v>29</v>
      </c>
      <c r="C120" s="251">
        <f t="shared" si="17"/>
        <v>1413.1902480939689</v>
      </c>
      <c r="D120" s="251"/>
      <c r="E120" s="265">
        <v>0.05</v>
      </c>
      <c r="F120" s="251">
        <f t="shared" si="18"/>
        <v>0</v>
      </c>
      <c r="G120" s="266">
        <f t="shared" si="19"/>
        <v>1413.1902480939689</v>
      </c>
      <c r="I120" s="238">
        <f t="shared" si="20"/>
        <v>29</v>
      </c>
      <c r="J120" s="251">
        <f t="shared" si="21"/>
        <v>285.94104308390024</v>
      </c>
      <c r="K120" s="251"/>
      <c r="L120" s="265">
        <v>0.05</v>
      </c>
      <c r="M120" s="251">
        <f t="shared" si="23"/>
        <v>0</v>
      </c>
      <c r="N120" s="266">
        <f t="shared" si="22"/>
        <v>285.94104308390024</v>
      </c>
    </row>
    <row r="121" spans="2:14">
      <c r="B121" s="238">
        <f t="shared" si="16"/>
        <v>30</v>
      </c>
      <c r="C121" s="251">
        <f t="shared" si="17"/>
        <v>1413.1902480939689</v>
      </c>
      <c r="D121" s="251"/>
      <c r="E121" s="265">
        <v>0.05</v>
      </c>
      <c r="F121" s="251">
        <f t="shared" si="18"/>
        <v>0</v>
      </c>
      <c r="G121" s="266">
        <f t="shared" si="19"/>
        <v>1413.1902480939689</v>
      </c>
      <c r="I121" s="238">
        <f t="shared" si="20"/>
        <v>30</v>
      </c>
      <c r="J121" s="251">
        <f t="shared" si="21"/>
        <v>285.94104308390024</v>
      </c>
      <c r="K121" s="251"/>
      <c r="L121" s="265">
        <v>0.05</v>
      </c>
      <c r="M121" s="251">
        <f t="shared" si="23"/>
        <v>0</v>
      </c>
      <c r="N121" s="266">
        <f t="shared" si="22"/>
        <v>285.94104308390024</v>
      </c>
    </row>
    <row r="122" spans="2:14">
      <c r="B122" s="199"/>
      <c r="C122" s="196"/>
      <c r="D122" s="196"/>
      <c r="E122" s="196"/>
      <c r="F122" s="196"/>
      <c r="G122" s="197"/>
      <c r="I122" s="199"/>
      <c r="J122" s="196"/>
      <c r="K122" s="196"/>
      <c r="L122" s="196"/>
      <c r="M122" s="196"/>
      <c r="N122" s="197"/>
    </row>
    <row r="123" spans="2:14" ht="15.75" thickBot="1">
      <c r="B123" s="199"/>
      <c r="C123" s="196"/>
      <c r="D123" s="196"/>
      <c r="E123" s="196"/>
      <c r="F123" s="196"/>
      <c r="G123" s="197"/>
      <c r="I123" s="199"/>
      <c r="J123" s="196"/>
      <c r="K123" s="196"/>
      <c r="L123" s="196"/>
      <c r="M123" s="196"/>
      <c r="N123" s="197"/>
    </row>
    <row r="124" spans="2:14" ht="15.75" thickBot="1">
      <c r="B124" s="280" t="s">
        <v>497</v>
      </c>
      <c r="C124" s="281"/>
      <c r="D124" s="255">
        <f>SUM(D91:D123)</f>
        <v>1900</v>
      </c>
      <c r="E124" s="253"/>
      <c r="F124" s="253"/>
      <c r="G124" s="267">
        <f>G121</f>
        <v>1413.1902480939689</v>
      </c>
      <c r="I124" s="280" t="s">
        <v>497</v>
      </c>
      <c r="J124" s="281"/>
      <c r="K124" s="255">
        <f>SUM(K91:K123)</f>
        <v>300</v>
      </c>
      <c r="L124" s="253"/>
      <c r="M124" s="253"/>
      <c r="N124" s="267">
        <f>N121</f>
        <v>285.94104308390024</v>
      </c>
    </row>
    <row r="125" spans="2:14" ht="15.75" thickBot="1">
      <c r="B125" s="204"/>
      <c r="C125" s="205"/>
      <c r="D125" s="205"/>
      <c r="E125" s="205"/>
      <c r="F125" s="205"/>
      <c r="G125" s="206"/>
      <c r="I125" s="204"/>
      <c r="J125" s="205"/>
      <c r="K125" s="205"/>
      <c r="L125" s="205"/>
      <c r="M125" s="205"/>
      <c r="N125" s="206"/>
    </row>
  </sheetData>
  <mergeCells count="74">
    <mergeCell ref="B3:D3"/>
    <mergeCell ref="G3:I3"/>
    <mergeCell ref="P3:S3"/>
    <mergeCell ref="T3:W3"/>
    <mergeCell ref="C4:D4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B14:D14"/>
    <mergeCell ref="G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C20:D20"/>
    <mergeCell ref="H20:I20"/>
    <mergeCell ref="C21:D21"/>
    <mergeCell ref="H21:I21"/>
    <mergeCell ref="C22:D22"/>
    <mergeCell ref="H22:I22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30:D30"/>
    <mergeCell ref="H30:I30"/>
    <mergeCell ref="C31:D31"/>
    <mergeCell ref="H31:I31"/>
    <mergeCell ref="C44:D4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B46:G46"/>
    <mergeCell ref="I46:N46"/>
    <mergeCell ref="B81:C81"/>
    <mergeCell ref="I81:J81"/>
    <mergeCell ref="C84:F84"/>
    <mergeCell ref="J84:M84"/>
    <mergeCell ref="C86:D86"/>
    <mergeCell ref="J86:K86"/>
    <mergeCell ref="B88:G88"/>
    <mergeCell ref="I88:N88"/>
    <mergeCell ref="B124:C124"/>
    <mergeCell ref="I124:J1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279"/>
  <sheetViews>
    <sheetView tabSelected="1" zoomScale="80" zoomScaleNormal="80" workbookViewId="0">
      <pane xSplit="2" ySplit="3" topLeftCell="M169" activePane="bottomRight" state="frozen"/>
      <selection pane="topRight" activeCell="C1" sqref="C1"/>
      <selection pane="bottomLeft" activeCell="A5" sqref="A5"/>
      <selection pane="bottomRight" activeCell="O3" sqref="O3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1" width="10.7109375" style="89" customWidth="1"/>
    <col min="22" max="22" width="9.85546875" style="89" customWidth="1"/>
    <col min="23" max="23" width="10.85546875" style="89" bestFit="1" customWidth="1"/>
    <col min="24" max="25" width="9.7109375" style="89" bestFit="1" customWidth="1"/>
    <col min="26" max="32" width="8" style="89" bestFit="1" customWidth="1"/>
    <col min="33" max="33" width="11.28515625" style="89" bestFit="1" customWidth="1"/>
    <col min="34" max="34" width="9.28515625" style="89" bestFit="1" customWidth="1"/>
    <col min="35" max="35" width="9" style="89" customWidth="1"/>
    <col min="36" max="36" width="10.7109375" style="89" customWidth="1"/>
    <col min="37" max="16384" width="9.140625" style="89"/>
  </cols>
  <sheetData>
    <row r="1" spans="2:36">
      <c r="B1" s="106" t="s">
        <v>510</v>
      </c>
      <c r="C1" s="320">
        <f>S2</f>
        <v>0.22</v>
      </c>
      <c r="I1" s="89" t="s">
        <v>209</v>
      </c>
      <c r="K1" s="107">
        <v>2004</v>
      </c>
      <c r="M1" s="89" t="s">
        <v>271</v>
      </c>
      <c r="O1" s="139">
        <v>0.02</v>
      </c>
      <c r="Q1" s="89" t="s">
        <v>340</v>
      </c>
      <c r="S1" s="139">
        <v>0.02</v>
      </c>
    </row>
    <row r="2" spans="2:36">
      <c r="B2" s="129" t="s">
        <v>261</v>
      </c>
      <c r="C2" s="103"/>
      <c r="I2" s="89" t="s">
        <v>210</v>
      </c>
      <c r="K2" s="107">
        <v>2018</v>
      </c>
      <c r="M2" s="89" t="s">
        <v>272</v>
      </c>
      <c r="O2" s="139">
        <v>0.1</v>
      </c>
      <c r="Q2" s="89" t="s">
        <v>406</v>
      </c>
      <c r="S2" s="139">
        <v>0.22</v>
      </c>
      <c r="X2" s="98" t="s">
        <v>5</v>
      </c>
      <c r="Y2" s="98" t="s">
        <v>6</v>
      </c>
      <c r="Z2" s="98" t="s">
        <v>7</v>
      </c>
      <c r="AA2" s="98" t="s">
        <v>8</v>
      </c>
      <c r="AB2" s="98" t="s">
        <v>9</v>
      </c>
      <c r="AC2" s="98" t="s">
        <v>192</v>
      </c>
      <c r="AD2" s="98" t="s">
        <v>193</v>
      </c>
      <c r="AE2" s="98" t="s">
        <v>194</v>
      </c>
      <c r="AF2" s="98" t="s">
        <v>195</v>
      </c>
      <c r="AG2" s="98" t="s">
        <v>196</v>
      </c>
      <c r="AI2" s="305" t="s">
        <v>240</v>
      </c>
      <c r="AJ2" s="306"/>
    </row>
    <row r="3" spans="2:36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9" t="s">
        <v>1</v>
      </c>
      <c r="W3" s="99" t="s">
        <v>211</v>
      </c>
      <c r="X3" s="98">
        <v>2019</v>
      </c>
      <c r="Y3" s="98">
        <v>2020</v>
      </c>
      <c r="Z3" s="98">
        <v>2021</v>
      </c>
      <c r="AA3" s="98">
        <v>2022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113" t="s">
        <v>1</v>
      </c>
      <c r="AI3" s="307" t="s">
        <v>241</v>
      </c>
      <c r="AJ3" s="308"/>
    </row>
    <row r="4" spans="2:36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14"/>
      <c r="AI4" s="10"/>
      <c r="AJ4" s="10"/>
    </row>
    <row r="5" spans="2:36">
      <c r="B5" s="93" t="s">
        <v>199</v>
      </c>
      <c r="C5" s="10"/>
      <c r="D5" s="10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0"/>
      <c r="W5" s="1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14"/>
      <c r="AI5" s="10"/>
      <c r="AJ5" s="130"/>
    </row>
    <row r="6" spans="2:36">
      <c r="B6" s="10" t="s">
        <v>10</v>
      </c>
      <c r="C6" s="118"/>
      <c r="D6" s="118"/>
      <c r="E6" s="124"/>
      <c r="F6" s="124"/>
      <c r="G6" s="124">
        <v>163</v>
      </c>
      <c r="H6" s="124">
        <v>169</v>
      </c>
      <c r="I6" s="124">
        <v>190</v>
      </c>
      <c r="J6" s="124">
        <v>232</v>
      </c>
      <c r="K6" s="124">
        <v>322</v>
      </c>
      <c r="L6" s="124">
        <v>388</v>
      </c>
      <c r="M6" s="124">
        <v>527</v>
      </c>
      <c r="N6" s="124">
        <v>628</v>
      </c>
      <c r="O6" s="124">
        <v>806</v>
      </c>
      <c r="P6" s="124">
        <v>1042</v>
      </c>
      <c r="Q6" s="124">
        <v>1345</v>
      </c>
      <c r="R6" s="180">
        <v>1682.49</v>
      </c>
      <c r="S6" s="180">
        <v>2084</v>
      </c>
      <c r="T6" s="180">
        <v>2575</v>
      </c>
      <c r="U6" s="180">
        <v>2920</v>
      </c>
      <c r="V6" s="101">
        <f>((U6/G6)^(1/($K$2-$K$1) ))-1</f>
        <v>0.22889264857872393</v>
      </c>
      <c r="W6" s="21">
        <f>$O$2</f>
        <v>0.1</v>
      </c>
      <c r="X6" s="130">
        <f>U6*(1+$W6)</f>
        <v>3212.0000000000005</v>
      </c>
      <c r="Y6" s="130">
        <f>X6*(1+$W6)</f>
        <v>3533.2000000000007</v>
      </c>
      <c r="Z6" s="130">
        <f t="shared" ref="Z6:AG6" si="0">Y6*(1+$W6)</f>
        <v>3886.5200000000009</v>
      </c>
      <c r="AA6" s="130">
        <f t="shared" si="0"/>
        <v>4275.1720000000014</v>
      </c>
      <c r="AB6" s="130">
        <f t="shared" si="0"/>
        <v>4702.6892000000016</v>
      </c>
      <c r="AC6" s="130">
        <f t="shared" si="0"/>
        <v>5172.9581200000021</v>
      </c>
      <c r="AD6" s="130">
        <f t="shared" si="0"/>
        <v>5690.2539320000024</v>
      </c>
      <c r="AE6" s="130">
        <f t="shared" si="0"/>
        <v>6259.2793252000029</v>
      </c>
      <c r="AF6" s="130">
        <f t="shared" si="0"/>
        <v>6885.2072577200033</v>
      </c>
      <c r="AG6" s="130">
        <f t="shared" si="0"/>
        <v>7573.7279834920046</v>
      </c>
      <c r="AH6" s="115">
        <f>((AG6/J6)^(1/($AG$3-$K$1) ))-1</f>
        <v>0.15631432230825304</v>
      </c>
      <c r="AI6" s="21">
        <f>$O$1</f>
        <v>0.02</v>
      </c>
      <c r="AJ6" s="123">
        <f t="shared" ref="AJ6:AJ59" si="1">(AG6*(1+AI6))/($C$1-AI6)</f>
        <v>38626.012715809222</v>
      </c>
    </row>
    <row r="7" spans="2:36">
      <c r="B7" s="10" t="s">
        <v>198</v>
      </c>
      <c r="C7" s="118"/>
      <c r="D7" s="118"/>
      <c r="E7" s="124"/>
      <c r="F7" s="124"/>
      <c r="G7" s="124">
        <v>175</v>
      </c>
      <c r="H7" s="124">
        <v>181</v>
      </c>
      <c r="I7" s="124">
        <v>201</v>
      </c>
      <c r="J7" s="124">
        <v>243</v>
      </c>
      <c r="K7" s="124">
        <v>333</v>
      </c>
      <c r="L7" s="124">
        <v>406</v>
      </c>
      <c r="M7" s="124">
        <v>543</v>
      </c>
      <c r="N7" s="124">
        <v>646</v>
      </c>
      <c r="O7" s="124">
        <v>823</v>
      </c>
      <c r="P7" s="124">
        <v>1059</v>
      </c>
      <c r="Q7" s="124">
        <v>1362</v>
      </c>
      <c r="R7" s="180">
        <v>1699</v>
      </c>
      <c r="S7" s="180">
        <v>2101</v>
      </c>
      <c r="T7" s="180">
        <v>2593</v>
      </c>
      <c r="U7" s="180">
        <v>2937</v>
      </c>
      <c r="V7" s="101">
        <f t="shared" ref="V7:V70" si="2">((U7/G7)^(1/($K$2-$K$1) ))-1</f>
        <v>0.22318014049720269</v>
      </c>
      <c r="W7" s="21">
        <f>$O$2</f>
        <v>0.1</v>
      </c>
      <c r="X7" s="130">
        <f>U7*(1+$W7)</f>
        <v>3230.7000000000003</v>
      </c>
      <c r="Y7" s="130">
        <f t="shared" ref="Y7:AG7" si="3">X7*(1+$W7)</f>
        <v>3553.7700000000004</v>
      </c>
      <c r="Z7" s="130">
        <f t="shared" si="3"/>
        <v>3909.1470000000008</v>
      </c>
      <c r="AA7" s="130">
        <f t="shared" si="3"/>
        <v>4300.0617000000011</v>
      </c>
      <c r="AB7" s="130">
        <f t="shared" si="3"/>
        <v>4730.0678700000017</v>
      </c>
      <c r="AC7" s="130">
        <f t="shared" si="3"/>
        <v>5203.0746570000019</v>
      </c>
      <c r="AD7" s="130">
        <f t="shared" si="3"/>
        <v>5723.3821227000026</v>
      </c>
      <c r="AE7" s="130">
        <f t="shared" si="3"/>
        <v>6295.720334970003</v>
      </c>
      <c r="AF7" s="130">
        <f t="shared" si="3"/>
        <v>6925.2923684670041</v>
      </c>
      <c r="AG7" s="130">
        <f t="shared" si="3"/>
        <v>7617.8216053137048</v>
      </c>
      <c r="AH7" s="115">
        <f>((AG7/J7)^(1/($AG$3-$K$1) ))-1</f>
        <v>0.15436377176588234</v>
      </c>
      <c r="AI7" s="21">
        <f>$O$1</f>
        <v>0.02</v>
      </c>
      <c r="AJ7" s="123">
        <f t="shared" si="1"/>
        <v>38850.890187099889</v>
      </c>
    </row>
    <row r="8" spans="2:36">
      <c r="B8" s="10"/>
      <c r="C8" s="118"/>
      <c r="D8" s="118"/>
      <c r="E8" s="124"/>
      <c r="F8" s="268"/>
      <c r="G8" s="268">
        <f>(G7-F7)/G7</f>
        <v>1</v>
      </c>
      <c r="H8" s="127">
        <f>(H7-G7)/H7</f>
        <v>3.3149171270718231E-2</v>
      </c>
      <c r="I8" s="127">
        <f t="shared" ref="I8:Q8" si="4">(I7-H7)/I7</f>
        <v>9.950248756218906E-2</v>
      </c>
      <c r="J8" s="127">
        <f t="shared" si="4"/>
        <v>0.1728395061728395</v>
      </c>
      <c r="K8" s="127">
        <f t="shared" si="4"/>
        <v>0.27027027027027029</v>
      </c>
      <c r="L8" s="127">
        <f t="shared" si="4"/>
        <v>0.17980295566502463</v>
      </c>
      <c r="M8" s="127">
        <f t="shared" si="4"/>
        <v>0.25230202578268879</v>
      </c>
      <c r="N8" s="127">
        <f t="shared" si="4"/>
        <v>0.15944272445820434</v>
      </c>
      <c r="O8" s="127">
        <f t="shared" si="4"/>
        <v>0.21506682867557717</v>
      </c>
      <c r="P8" s="127">
        <f t="shared" si="4"/>
        <v>0.22285174693106705</v>
      </c>
      <c r="Q8" s="127">
        <f t="shared" si="4"/>
        <v>0.22246696035242292</v>
      </c>
      <c r="R8" s="127">
        <f t="shared" ref="R8:S8" si="5">(R7-Q7)/Q7</f>
        <v>0.24743024963289281</v>
      </c>
      <c r="S8" s="127">
        <f t="shared" si="5"/>
        <v>0.23660977045320777</v>
      </c>
      <c r="T8" s="127">
        <f t="shared" ref="T8:U8" si="6">(T7-S7)/S7</f>
        <v>0.2341742027605902</v>
      </c>
      <c r="U8" s="127">
        <f t="shared" si="6"/>
        <v>0.13266486694947938</v>
      </c>
      <c r="V8" s="10"/>
      <c r="W8" s="1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14"/>
      <c r="AI8" s="114"/>
      <c r="AJ8" s="123"/>
    </row>
    <row r="9" spans="2:36">
      <c r="B9" s="10" t="s">
        <v>220</v>
      </c>
      <c r="C9" s="118"/>
      <c r="D9" s="118"/>
      <c r="E9" s="124"/>
      <c r="F9" s="124"/>
      <c r="G9" s="124">
        <v>31</v>
      </c>
      <c r="H9" s="124">
        <v>48</v>
      </c>
      <c r="I9" s="124">
        <v>82</v>
      </c>
      <c r="J9" s="124">
        <v>87</v>
      </c>
      <c r="K9" s="124">
        <v>120</v>
      </c>
      <c r="L9" s="124">
        <v>132</v>
      </c>
      <c r="M9" s="124">
        <v>187</v>
      </c>
      <c r="N9" s="124">
        <v>212</v>
      </c>
      <c r="O9" s="124">
        <v>223</v>
      </c>
      <c r="P9" s="124">
        <v>336</v>
      </c>
      <c r="Q9" s="124">
        <v>373</v>
      </c>
      <c r="R9" s="180">
        <v>450</v>
      </c>
      <c r="S9" s="180">
        <v>636</v>
      </c>
      <c r="T9" s="180">
        <v>828</v>
      </c>
      <c r="U9" s="180">
        <v>1071</v>
      </c>
      <c r="V9" s="101">
        <f t="shared" si="2"/>
        <v>0.28791647392236164</v>
      </c>
      <c r="W9" s="21">
        <f t="shared" ref="W9:W55" si="7">$O$2</f>
        <v>0.1</v>
      </c>
      <c r="X9" s="130">
        <f t="shared" ref="X9:X59" si="8">U9*(1+$W9)</f>
        <v>1178.1000000000001</v>
      </c>
      <c r="Y9" s="130">
        <f t="shared" ref="Y9" si="9">X9*(1+$W9)</f>
        <v>1295.9100000000003</v>
      </c>
      <c r="Z9" s="130">
        <f t="shared" ref="Z9" si="10">Y9*(1+$W9)</f>
        <v>1425.5010000000004</v>
      </c>
      <c r="AA9" s="130">
        <f t="shared" ref="AA9" si="11">Z9*(1+$W9)</f>
        <v>1568.0511000000006</v>
      </c>
      <c r="AB9" s="130">
        <f t="shared" ref="AB9" si="12">AA9*(1+$W9)</f>
        <v>1724.8562100000008</v>
      </c>
      <c r="AC9" s="130">
        <f t="shared" ref="AC9" si="13">AB9*(1+$W9)</f>
        <v>1897.3418310000011</v>
      </c>
      <c r="AD9" s="130">
        <f t="shared" ref="AD9" si="14">AC9*(1+$W9)</f>
        <v>2087.0760141000014</v>
      </c>
      <c r="AE9" s="130">
        <f t="shared" ref="AE9" si="15">AD9*(1+$W9)</f>
        <v>2295.7836155100017</v>
      </c>
      <c r="AF9" s="130">
        <f t="shared" ref="AF9" si="16">AE9*(1+$W9)</f>
        <v>2525.3619770610021</v>
      </c>
      <c r="AG9" s="130">
        <f t="shared" ref="AG9" si="17">AF9*(1+$W9)</f>
        <v>2777.8981747671023</v>
      </c>
      <c r="AH9" s="115">
        <f>((AG9/J9)^(1/($AG$3-$K$1) ))-1</f>
        <v>0.15524707584446462</v>
      </c>
      <c r="AI9" s="21">
        <f t="shared" ref="AI9:AI99" si="18">$O$1</f>
        <v>0.02</v>
      </c>
      <c r="AJ9" s="123">
        <f t="shared" si="1"/>
        <v>14167.28069131222</v>
      </c>
    </row>
    <row r="10" spans="2:36">
      <c r="B10" s="10" t="s">
        <v>3</v>
      </c>
      <c r="C10" s="118"/>
      <c r="D10" s="118"/>
      <c r="E10" s="124"/>
      <c r="F10" s="124"/>
      <c r="G10" s="124">
        <v>15</v>
      </c>
      <c r="H10" s="124">
        <v>23</v>
      </c>
      <c r="I10" s="124">
        <v>38</v>
      </c>
      <c r="J10" s="124">
        <v>141</v>
      </c>
      <c r="K10" s="124">
        <v>317</v>
      </c>
      <c r="L10" s="124">
        <v>286</v>
      </c>
      <c r="M10" s="124">
        <v>91</v>
      </c>
      <c r="N10" s="124">
        <v>95</v>
      </c>
      <c r="O10" s="124">
        <v>84</v>
      </c>
      <c r="P10" s="124">
        <v>87</v>
      </c>
      <c r="Q10" s="124">
        <v>84</v>
      </c>
      <c r="R10" s="180">
        <v>74</v>
      </c>
      <c r="S10" s="180">
        <v>72</v>
      </c>
      <c r="T10" s="180">
        <v>72</v>
      </c>
      <c r="U10" s="180">
        <v>58</v>
      </c>
      <c r="V10" s="101">
        <f t="shared" si="2"/>
        <v>0.10141915190736195</v>
      </c>
      <c r="W10" s="21">
        <f t="shared" si="7"/>
        <v>0.1</v>
      </c>
      <c r="X10" s="130">
        <f t="shared" si="8"/>
        <v>63.800000000000004</v>
      </c>
      <c r="Y10" s="130">
        <f t="shared" ref="Y10:AG10" si="19">X10*(1+$W10)</f>
        <v>70.180000000000007</v>
      </c>
      <c r="Z10" s="130">
        <f t="shared" si="19"/>
        <v>77.198000000000008</v>
      </c>
      <c r="AA10" s="130">
        <f t="shared" si="19"/>
        <v>84.917800000000014</v>
      </c>
      <c r="AB10" s="130">
        <f t="shared" si="19"/>
        <v>93.40958000000002</v>
      </c>
      <c r="AC10" s="130">
        <f t="shared" si="19"/>
        <v>102.75053800000003</v>
      </c>
      <c r="AD10" s="130">
        <f t="shared" si="19"/>
        <v>113.02559180000004</v>
      </c>
      <c r="AE10" s="130">
        <f t="shared" si="19"/>
        <v>124.32815098000006</v>
      </c>
      <c r="AF10" s="130">
        <f t="shared" si="19"/>
        <v>136.76096607800008</v>
      </c>
      <c r="AG10" s="130">
        <f t="shared" si="19"/>
        <v>150.4370626858001</v>
      </c>
      <c r="AH10" s="115">
        <f t="shared" ref="AH10:AH57" si="20">((AG10/J10)^(1/($AG$3-$K$1) ))-1</f>
        <v>2.7030181760654415E-3</v>
      </c>
      <c r="AI10" s="21">
        <f t="shared" si="18"/>
        <v>0.02</v>
      </c>
      <c r="AJ10" s="123">
        <f t="shared" si="1"/>
        <v>767.2290196975805</v>
      </c>
    </row>
    <row r="11" spans="2:36">
      <c r="B11" s="10"/>
      <c r="C11" s="118"/>
      <c r="D11" s="118"/>
      <c r="E11" s="124"/>
      <c r="F11" s="268"/>
      <c r="G11" s="268">
        <f>(G10-F10)/G10</f>
        <v>1</v>
      </c>
      <c r="H11" s="268">
        <f t="shared" ref="H11:Q11" si="21">(H10-G10)/H10</f>
        <v>0.34782608695652173</v>
      </c>
      <c r="I11" s="268">
        <f t="shared" si="21"/>
        <v>0.39473684210526316</v>
      </c>
      <c r="J11" s="268">
        <f t="shared" si="21"/>
        <v>0.73049645390070927</v>
      </c>
      <c r="K11" s="268">
        <f t="shared" si="21"/>
        <v>0.55520504731861198</v>
      </c>
      <c r="L11" s="268">
        <f t="shared" si="21"/>
        <v>-0.10839160839160839</v>
      </c>
      <c r="M11" s="268">
        <f t="shared" si="21"/>
        <v>-2.1428571428571428</v>
      </c>
      <c r="N11" s="268">
        <f t="shared" si="21"/>
        <v>4.2105263157894736E-2</v>
      </c>
      <c r="O11" s="268">
        <f t="shared" si="21"/>
        <v>-0.13095238095238096</v>
      </c>
      <c r="P11" s="268">
        <f t="shared" si="21"/>
        <v>3.4482758620689655E-2</v>
      </c>
      <c r="Q11" s="268">
        <f t="shared" si="21"/>
        <v>-3.5714285714285712E-2</v>
      </c>
      <c r="R11" s="127">
        <f t="shared" ref="R11:S11" si="22">(R10-Q10)/Q10</f>
        <v>-0.11904761904761904</v>
      </c>
      <c r="S11" s="127">
        <f t="shared" si="22"/>
        <v>-2.7027027027027029E-2</v>
      </c>
      <c r="T11" s="127">
        <f t="shared" ref="T11:U11" si="23">(T10-S10)/S10</f>
        <v>0</v>
      </c>
      <c r="U11" s="127">
        <f t="shared" si="23"/>
        <v>-0.19444444444444445</v>
      </c>
      <c r="V11" s="10"/>
      <c r="W11" s="1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02"/>
      <c r="AI11" s="21">
        <f t="shared" si="18"/>
        <v>0.02</v>
      </c>
      <c r="AJ11" s="130"/>
    </row>
    <row r="12" spans="2:36">
      <c r="B12" s="10" t="s">
        <v>2</v>
      </c>
      <c r="C12" s="118"/>
      <c r="D12" s="118"/>
      <c r="E12" s="124"/>
      <c r="F12" s="124"/>
      <c r="G12" s="124">
        <v>15</v>
      </c>
      <c r="H12" s="124">
        <v>17</v>
      </c>
      <c r="I12" s="124">
        <v>21</v>
      </c>
      <c r="J12" s="124">
        <v>26</v>
      </c>
      <c r="K12" s="124">
        <v>52</v>
      </c>
      <c r="L12" s="124">
        <f>34+36</f>
        <v>70</v>
      </c>
      <c r="M12" s="124">
        <v>62</v>
      </c>
      <c r="N12" s="124">
        <v>40</v>
      </c>
      <c r="O12" s="124">
        <f>175+54</f>
        <v>229</v>
      </c>
      <c r="P12" s="124">
        <v>411</v>
      </c>
      <c r="Q12" s="124">
        <v>295</v>
      </c>
      <c r="R12" s="180">
        <v>222</v>
      </c>
      <c r="S12" s="180">
        <v>150</v>
      </c>
      <c r="T12" s="180">
        <v>170</v>
      </c>
      <c r="U12" s="180">
        <v>111</v>
      </c>
      <c r="V12" s="101">
        <f t="shared" si="2"/>
        <v>0.15368694965794938</v>
      </c>
      <c r="W12" s="21">
        <f t="shared" si="7"/>
        <v>0.1</v>
      </c>
      <c r="X12" s="130">
        <f t="shared" si="8"/>
        <v>122.10000000000001</v>
      </c>
      <c r="Y12" s="130">
        <f t="shared" ref="Y12:AG12" si="24">X12*(1+$W12)</f>
        <v>134.31000000000003</v>
      </c>
      <c r="Z12" s="130">
        <f t="shared" si="24"/>
        <v>147.74100000000004</v>
      </c>
      <c r="AA12" s="130">
        <f t="shared" si="24"/>
        <v>162.51510000000005</v>
      </c>
      <c r="AB12" s="130">
        <f t="shared" si="24"/>
        <v>178.76661000000007</v>
      </c>
      <c r="AC12" s="130">
        <f t="shared" si="24"/>
        <v>196.64327100000008</v>
      </c>
      <c r="AD12" s="130">
        <f t="shared" si="24"/>
        <v>216.30759810000012</v>
      </c>
      <c r="AE12" s="130">
        <f t="shared" si="24"/>
        <v>237.93835791000015</v>
      </c>
      <c r="AF12" s="130">
        <f t="shared" si="24"/>
        <v>261.7321937010002</v>
      </c>
      <c r="AG12" s="130">
        <f t="shared" si="24"/>
        <v>287.90541307110027</v>
      </c>
      <c r="AH12" s="115">
        <f t="shared" si="20"/>
        <v>0.10537979030971245</v>
      </c>
      <c r="AI12" s="21">
        <f t="shared" si="18"/>
        <v>0.02</v>
      </c>
      <c r="AJ12" s="123">
        <f t="shared" si="1"/>
        <v>1468.3176066626113</v>
      </c>
    </row>
    <row r="13" spans="2:36">
      <c r="B13" s="10" t="s">
        <v>191</v>
      </c>
      <c r="C13" s="118"/>
      <c r="D13" s="118"/>
      <c r="E13" s="124"/>
      <c r="F13" s="124"/>
      <c r="G13" s="124">
        <v>21</v>
      </c>
      <c r="H13" s="124">
        <v>24</v>
      </c>
      <c r="I13" s="124">
        <v>32</v>
      </c>
      <c r="J13" s="124">
        <v>16</v>
      </c>
      <c r="K13" s="124">
        <v>16</v>
      </c>
      <c r="L13" s="124">
        <v>47</v>
      </c>
      <c r="M13" s="124">
        <v>16</v>
      </c>
      <c r="N13" s="124">
        <v>16</v>
      </c>
      <c r="O13" s="124">
        <v>16</v>
      </c>
      <c r="P13" s="124">
        <v>16</v>
      </c>
      <c r="Q13" s="124">
        <v>16</v>
      </c>
      <c r="R13" s="180">
        <v>16</v>
      </c>
      <c r="S13" s="180">
        <v>16</v>
      </c>
      <c r="T13" s="180">
        <v>146</v>
      </c>
      <c r="U13" s="180">
        <v>35</v>
      </c>
      <c r="V13" s="101">
        <f t="shared" si="2"/>
        <v>3.716138563040583E-2</v>
      </c>
      <c r="W13" s="21">
        <f t="shared" si="7"/>
        <v>0.1</v>
      </c>
      <c r="X13" s="130">
        <f t="shared" si="8"/>
        <v>38.5</v>
      </c>
      <c r="Y13" s="130">
        <f t="shared" ref="Y13:AG13" si="25">X13*(1+$W13)</f>
        <v>42.35</v>
      </c>
      <c r="Z13" s="130">
        <f t="shared" si="25"/>
        <v>46.585000000000008</v>
      </c>
      <c r="AA13" s="130">
        <f t="shared" si="25"/>
        <v>51.243500000000012</v>
      </c>
      <c r="AB13" s="130">
        <f t="shared" si="25"/>
        <v>56.367850000000018</v>
      </c>
      <c r="AC13" s="130">
        <f t="shared" si="25"/>
        <v>62.004635000000029</v>
      </c>
      <c r="AD13" s="130">
        <f t="shared" si="25"/>
        <v>68.205098500000034</v>
      </c>
      <c r="AE13" s="130">
        <f t="shared" si="25"/>
        <v>75.025608350000041</v>
      </c>
      <c r="AF13" s="130">
        <f t="shared" si="25"/>
        <v>82.528169185000053</v>
      </c>
      <c r="AG13" s="130">
        <f t="shared" si="25"/>
        <v>90.780986103500069</v>
      </c>
      <c r="AH13" s="115">
        <f t="shared" si="20"/>
        <v>7.5007402268630896E-2</v>
      </c>
      <c r="AI13" s="21">
        <f t="shared" si="18"/>
        <v>0.02</v>
      </c>
      <c r="AJ13" s="123">
        <f t="shared" si="1"/>
        <v>462.98302912785033</v>
      </c>
    </row>
    <row r="14" spans="2:36">
      <c r="B14" s="10" t="s">
        <v>315</v>
      </c>
      <c r="C14" s="118"/>
      <c r="D14" s="118"/>
      <c r="E14" s="124"/>
      <c r="F14" s="124"/>
      <c r="G14" s="124">
        <v>31</v>
      </c>
      <c r="H14" s="124">
        <v>44</v>
      </c>
      <c r="I14" s="124">
        <v>57</v>
      </c>
      <c r="J14" s="124">
        <v>92</v>
      </c>
      <c r="K14" s="124">
        <v>194</v>
      </c>
      <c r="L14" s="124">
        <v>161</v>
      </c>
      <c r="M14" s="124">
        <v>218</v>
      </c>
      <c r="N14" s="124">
        <v>285</v>
      </c>
      <c r="O14" s="124">
        <v>266</v>
      </c>
      <c r="P14" s="124">
        <v>293</v>
      </c>
      <c r="Q14" s="124">
        <v>335</v>
      </c>
      <c r="R14" s="180">
        <v>418</v>
      </c>
      <c r="S14" s="180">
        <v>601</v>
      </c>
      <c r="T14" s="180">
        <v>601</v>
      </c>
      <c r="U14" s="180">
        <v>1049</v>
      </c>
      <c r="V14" s="101">
        <f t="shared" si="2"/>
        <v>0.28600850990306936</v>
      </c>
      <c r="W14" s="21">
        <f t="shared" si="7"/>
        <v>0.1</v>
      </c>
      <c r="X14" s="130">
        <f t="shared" si="8"/>
        <v>1153.9000000000001</v>
      </c>
      <c r="Y14" s="130">
        <f t="shared" ref="Y14" si="26">X14*(1+$W14)</f>
        <v>1269.2900000000002</v>
      </c>
      <c r="Z14" s="130">
        <f t="shared" ref="Z14" si="27">Y14*(1+$W14)</f>
        <v>1396.2190000000003</v>
      </c>
      <c r="AA14" s="130">
        <f t="shared" ref="AA14" si="28">Z14*(1+$W14)</f>
        <v>1535.8409000000004</v>
      </c>
      <c r="AB14" s="130">
        <f t="shared" ref="AB14" si="29">AA14*(1+$W14)</f>
        <v>1689.4249900000004</v>
      </c>
      <c r="AC14" s="130">
        <f t="shared" ref="AC14" si="30">AB14*(1+$W14)</f>
        <v>1858.3674890000007</v>
      </c>
      <c r="AD14" s="130">
        <f t="shared" ref="AD14" si="31">AC14*(1+$W14)</f>
        <v>2044.2042379000009</v>
      </c>
      <c r="AE14" s="130">
        <f t="shared" ref="AE14" si="32">AD14*(1+$W14)</f>
        <v>2248.6246616900012</v>
      </c>
      <c r="AF14" s="130">
        <f t="shared" ref="AF14" si="33">AE14*(1+$W14)</f>
        <v>2473.4871278590017</v>
      </c>
      <c r="AG14" s="130">
        <f t="shared" ref="AG14" si="34">AF14*(1+$W14)</f>
        <v>2720.835840644902</v>
      </c>
      <c r="AH14" s="115">
        <f t="shared" ref="AH14" si="35">((AG14/J14)^(1/($AG$3-$K$1) ))-1</f>
        <v>0.15156406657400656</v>
      </c>
      <c r="AI14" s="21">
        <f t="shared" si="18"/>
        <v>0.02</v>
      </c>
      <c r="AJ14" s="123">
        <f t="shared" ref="AJ14" si="36">(AG14*(1+AI14))/($C$1-AI14)</f>
        <v>13876.262787288999</v>
      </c>
    </row>
    <row r="15" spans="2:36">
      <c r="B15" s="10" t="s">
        <v>11</v>
      </c>
      <c r="C15" s="118"/>
      <c r="D15" s="118"/>
      <c r="E15" s="124"/>
      <c r="F15" s="124"/>
      <c r="G15" s="124">
        <v>79</v>
      </c>
      <c r="H15" s="124">
        <v>114</v>
      </c>
      <c r="I15" s="124">
        <v>145</v>
      </c>
      <c r="J15" s="124">
        <v>243</v>
      </c>
      <c r="K15" s="124">
        <v>450</v>
      </c>
      <c r="L15" s="124">
        <v>403</v>
      </c>
      <c r="M15" s="124">
        <v>506</v>
      </c>
      <c r="N15" s="124">
        <v>599</v>
      </c>
      <c r="O15" s="124">
        <v>640</v>
      </c>
      <c r="P15" s="124">
        <v>1084</v>
      </c>
      <c r="Q15" s="124">
        <v>1082</v>
      </c>
      <c r="R15" s="180">
        <v>1194</v>
      </c>
      <c r="S15" s="180">
        <v>1344</v>
      </c>
      <c r="T15" s="180">
        <v>1558</v>
      </c>
      <c r="U15" s="180">
        <v>1943</v>
      </c>
      <c r="V15" s="101">
        <f t="shared" si="2"/>
        <v>0.25703138789708402</v>
      </c>
      <c r="W15" s="21">
        <f t="shared" si="7"/>
        <v>0.1</v>
      </c>
      <c r="X15" s="130">
        <f t="shared" si="8"/>
        <v>2137.3000000000002</v>
      </c>
      <c r="Y15" s="130">
        <f t="shared" ref="Y15:AG15" si="37">X15*(1+$W15)</f>
        <v>2351.0300000000002</v>
      </c>
      <c r="Z15" s="130">
        <f t="shared" si="37"/>
        <v>2586.1330000000003</v>
      </c>
      <c r="AA15" s="130">
        <f t="shared" si="37"/>
        <v>2844.7463000000007</v>
      </c>
      <c r="AB15" s="130">
        <f t="shared" si="37"/>
        <v>3129.2209300000009</v>
      </c>
      <c r="AC15" s="130">
        <f t="shared" si="37"/>
        <v>3442.1430230000014</v>
      </c>
      <c r="AD15" s="130">
        <f t="shared" si="37"/>
        <v>3786.3573253000018</v>
      </c>
      <c r="AE15" s="130">
        <f t="shared" si="37"/>
        <v>4164.9930578300027</v>
      </c>
      <c r="AF15" s="130">
        <f t="shared" si="37"/>
        <v>4581.4923636130034</v>
      </c>
      <c r="AG15" s="130">
        <f t="shared" si="37"/>
        <v>5039.641599974304</v>
      </c>
      <c r="AH15" s="115">
        <f t="shared" si="20"/>
        <v>0.13466168714790427</v>
      </c>
      <c r="AI15" s="21">
        <f t="shared" si="18"/>
        <v>0.02</v>
      </c>
      <c r="AJ15" s="123">
        <f t="shared" si="1"/>
        <v>25702.172159868951</v>
      </c>
    </row>
    <row r="16" spans="2:36">
      <c r="B16" s="10" t="s">
        <v>12</v>
      </c>
      <c r="C16" s="118"/>
      <c r="D16" s="118"/>
      <c r="E16" s="124"/>
      <c r="F16" s="124"/>
      <c r="G16" s="124">
        <v>68</v>
      </c>
      <c r="H16" s="124">
        <v>84</v>
      </c>
      <c r="I16" s="124">
        <v>98</v>
      </c>
      <c r="J16" s="124">
        <v>205</v>
      </c>
      <c r="K16" s="124">
        <v>378</v>
      </c>
      <c r="L16" s="124">
        <v>323</v>
      </c>
      <c r="M16" s="124">
        <v>290</v>
      </c>
      <c r="N16" s="124">
        <v>368</v>
      </c>
      <c r="O16" s="124">
        <v>504</v>
      </c>
      <c r="P16" s="124">
        <v>669</v>
      </c>
      <c r="Q16" s="124">
        <v>663</v>
      </c>
      <c r="R16" s="180">
        <v>727</v>
      </c>
      <c r="S16" s="180">
        <v>721</v>
      </c>
      <c r="T16" s="180">
        <v>783</v>
      </c>
      <c r="U16" s="180">
        <v>1031</v>
      </c>
      <c r="V16" s="101">
        <f t="shared" si="2"/>
        <v>0.21433711232931674</v>
      </c>
      <c r="W16" s="21">
        <f t="shared" si="7"/>
        <v>0.1</v>
      </c>
      <c r="X16" s="130">
        <f t="shared" si="8"/>
        <v>1134.1000000000001</v>
      </c>
      <c r="Y16" s="130">
        <f t="shared" ref="Y16:AG16" si="38">X16*(1+$W16)</f>
        <v>1247.5100000000002</v>
      </c>
      <c r="Z16" s="130">
        <f t="shared" si="38"/>
        <v>1372.2610000000004</v>
      </c>
      <c r="AA16" s="130">
        <f t="shared" si="38"/>
        <v>1509.4871000000005</v>
      </c>
      <c r="AB16" s="130">
        <f t="shared" si="38"/>
        <v>1660.4358100000006</v>
      </c>
      <c r="AC16" s="130">
        <f t="shared" si="38"/>
        <v>1826.4793910000008</v>
      </c>
      <c r="AD16" s="130">
        <f t="shared" si="38"/>
        <v>2009.127330100001</v>
      </c>
      <c r="AE16" s="130">
        <f t="shared" si="38"/>
        <v>2210.0400631100015</v>
      </c>
      <c r="AF16" s="130">
        <f t="shared" si="38"/>
        <v>2431.044069421002</v>
      </c>
      <c r="AG16" s="130">
        <f t="shared" si="38"/>
        <v>2674.1484763631024</v>
      </c>
      <c r="AH16" s="115">
        <f t="shared" si="20"/>
        <v>0.11295170463328374</v>
      </c>
      <c r="AI16" s="21">
        <f t="shared" si="18"/>
        <v>0.02</v>
      </c>
      <c r="AJ16" s="123">
        <f t="shared" si="1"/>
        <v>13638.157229451821</v>
      </c>
    </row>
    <row r="17" spans="2:36">
      <c r="B17" s="10"/>
      <c r="C17" s="118"/>
      <c r="D17" s="118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80"/>
      <c r="U17" s="180"/>
      <c r="V17" s="10"/>
      <c r="W17" s="1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16"/>
      <c r="AI17" s="114"/>
      <c r="AJ17" s="130"/>
    </row>
    <row r="18" spans="2:36">
      <c r="B18" s="10" t="s">
        <v>228</v>
      </c>
      <c r="C18" s="118"/>
      <c r="D18" s="118"/>
      <c r="E18" s="124"/>
      <c r="F18" s="124"/>
      <c r="G18" s="124">
        <v>99</v>
      </c>
      <c r="H18" s="124">
        <v>95</v>
      </c>
      <c r="I18" s="124">
        <v>104</v>
      </c>
      <c r="J18" s="124">
        <v>157</v>
      </c>
      <c r="K18" s="124">
        <v>189</v>
      </c>
      <c r="L18" s="124">
        <v>281</v>
      </c>
      <c r="M18" s="124">
        <v>306</v>
      </c>
      <c r="N18" s="124">
        <v>315</v>
      </c>
      <c r="O18" s="124">
        <v>355</v>
      </c>
      <c r="P18" s="124">
        <v>358</v>
      </c>
      <c r="Q18" s="124">
        <v>623</v>
      </c>
      <c r="R18" s="180">
        <v>944</v>
      </c>
      <c r="S18" s="180">
        <v>1316</v>
      </c>
      <c r="T18" s="180">
        <v>1492</v>
      </c>
      <c r="U18" s="180">
        <v>1703</v>
      </c>
      <c r="V18" s="101">
        <f t="shared" si="2"/>
        <v>0.22533736022058015</v>
      </c>
      <c r="W18" s="21">
        <f t="shared" si="7"/>
        <v>0.1</v>
      </c>
      <c r="X18" s="130">
        <f t="shared" si="8"/>
        <v>1873.3000000000002</v>
      </c>
      <c r="Y18" s="130">
        <f t="shared" ref="Y18:Y34" si="39">X18*(1+$W18)</f>
        <v>2060.6300000000006</v>
      </c>
      <c r="Z18" s="130">
        <f t="shared" ref="Z18:Z34" si="40">Y18*(1+$W18)</f>
        <v>2266.6930000000007</v>
      </c>
      <c r="AA18" s="130">
        <f t="shared" ref="AA18:AA34" si="41">Z18*(1+$W18)</f>
        <v>2493.3623000000011</v>
      </c>
      <c r="AB18" s="130">
        <f t="shared" ref="AB18:AB51" si="42">AA18*(1+$W18)</f>
        <v>2742.6985300000015</v>
      </c>
      <c r="AC18" s="130">
        <f t="shared" ref="AC18:AC51" si="43">AB18*(1+$W18)</f>
        <v>3016.9683830000017</v>
      </c>
      <c r="AD18" s="130">
        <f t="shared" ref="AD18:AD51" si="44">AC18*(1+$W18)</f>
        <v>3318.665221300002</v>
      </c>
      <c r="AE18" s="130">
        <f t="shared" ref="AE18:AE51" si="45">AD18*(1+$W18)</f>
        <v>3650.5317434300027</v>
      </c>
      <c r="AF18" s="130">
        <f t="shared" ref="AF18:AF51" si="46">AE18*(1+$W18)</f>
        <v>4015.5849177730033</v>
      </c>
      <c r="AG18" s="130">
        <f t="shared" ref="AG18:AG51" si="47">AF18*(1+$W18)</f>
        <v>4417.1434095503037</v>
      </c>
      <c r="AH18" s="115">
        <f t="shared" si="20"/>
        <v>0.14917210917811663</v>
      </c>
      <c r="AI18" s="21">
        <f t="shared" si="18"/>
        <v>0.02</v>
      </c>
      <c r="AJ18" s="123">
        <f t="shared" si="1"/>
        <v>22527.431388706547</v>
      </c>
    </row>
    <row r="19" spans="2:36">
      <c r="B19" s="10"/>
      <c r="C19" s="118"/>
      <c r="D19" s="118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80"/>
      <c r="U19" s="180"/>
      <c r="V19" s="10"/>
      <c r="W19" s="1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16"/>
      <c r="AI19" s="114"/>
      <c r="AJ19" s="130"/>
    </row>
    <row r="20" spans="2:36">
      <c r="B20" s="10" t="s">
        <v>233</v>
      </c>
      <c r="C20" s="118"/>
      <c r="D20" s="118"/>
      <c r="E20" s="124"/>
      <c r="F20" s="124"/>
      <c r="G20" s="124">
        <v>6</v>
      </c>
      <c r="H20" s="124">
        <v>7</v>
      </c>
      <c r="I20" s="124">
        <v>26</v>
      </c>
      <c r="J20" s="124">
        <v>-38</v>
      </c>
      <c r="K20" s="124">
        <v>-30</v>
      </c>
      <c r="L20" s="124">
        <v>223</v>
      </c>
      <c r="M20" s="124">
        <v>214</v>
      </c>
      <c r="N20" s="124">
        <v>85</v>
      </c>
      <c r="O20" s="124">
        <v>296</v>
      </c>
      <c r="P20" s="124">
        <v>335</v>
      </c>
      <c r="Q20" s="124">
        <v>279</v>
      </c>
      <c r="R20" s="180">
        <v>388</v>
      </c>
      <c r="S20" s="180">
        <v>554</v>
      </c>
      <c r="T20" s="180">
        <v>552</v>
      </c>
      <c r="U20" s="180">
        <v>552</v>
      </c>
      <c r="V20" s="101">
        <f t="shared" si="2"/>
        <v>0.38124449169195262</v>
      </c>
      <c r="W20" s="21">
        <f t="shared" si="7"/>
        <v>0.1</v>
      </c>
      <c r="X20" s="130">
        <f t="shared" si="8"/>
        <v>607.20000000000005</v>
      </c>
      <c r="Y20" s="130">
        <f t="shared" ref="Y20:Y22" si="48">X20*(1+$W20)</f>
        <v>667.92000000000007</v>
      </c>
      <c r="Z20" s="130">
        <f t="shared" ref="Z20:Z22" si="49">Y20*(1+$W20)</f>
        <v>734.7120000000001</v>
      </c>
      <c r="AA20" s="130">
        <f t="shared" ref="AA20:AA22" si="50">Z20*(1+$W20)</f>
        <v>808.18320000000017</v>
      </c>
      <c r="AB20" s="130">
        <f t="shared" ref="AB20:AB22" si="51">AA20*(1+$W20)</f>
        <v>889.00152000000026</v>
      </c>
      <c r="AC20" s="130">
        <f t="shared" ref="AC20:AC22" si="52">AB20*(1+$W20)</f>
        <v>977.9016720000003</v>
      </c>
      <c r="AD20" s="130">
        <f t="shared" ref="AD20:AD22" si="53">AC20*(1+$W20)</f>
        <v>1075.6918392000005</v>
      </c>
      <c r="AE20" s="130">
        <f t="shared" ref="AE20:AE22" si="54">AD20*(1+$W20)</f>
        <v>1183.2610231200006</v>
      </c>
      <c r="AF20" s="130">
        <f t="shared" ref="AF20:AF22" si="55">AE20*(1+$W20)</f>
        <v>1301.5871254320007</v>
      </c>
      <c r="AG20" s="130">
        <f t="shared" ref="AG20:AG22" si="56">AF20*(1+$W20)</f>
        <v>1431.7458379752009</v>
      </c>
      <c r="AH20" s="115" t="e">
        <f t="shared" ref="AH20:AH22" si="57">((AG20/J20)^(1/($AG$3-$K$1) ))-1</f>
        <v>#NUM!</v>
      </c>
      <c r="AI20" s="21">
        <f t="shared" si="18"/>
        <v>0.02</v>
      </c>
      <c r="AJ20" s="123">
        <f t="shared" si="1"/>
        <v>7301.9037736735236</v>
      </c>
    </row>
    <row r="21" spans="2:36">
      <c r="B21" s="10" t="s">
        <v>234</v>
      </c>
      <c r="C21" s="118"/>
      <c r="D21" s="118"/>
      <c r="E21" s="124"/>
      <c r="F21" s="124"/>
      <c r="G21" s="124">
        <v>-10</v>
      </c>
      <c r="H21" s="124">
        <v>-11</v>
      </c>
      <c r="I21" s="124">
        <v>-35</v>
      </c>
      <c r="J21" s="124">
        <v>-54</v>
      </c>
      <c r="K21" s="124">
        <v>-115</v>
      </c>
      <c r="L21" s="124">
        <v>-132</v>
      </c>
      <c r="M21" s="124">
        <v>-18</v>
      </c>
      <c r="N21" s="124">
        <v>-61</v>
      </c>
      <c r="O21" s="124">
        <v>-70</v>
      </c>
      <c r="P21" s="124">
        <v>-120</v>
      </c>
      <c r="Q21" s="124">
        <v>-344</v>
      </c>
      <c r="R21" s="124">
        <v>-381</v>
      </c>
      <c r="S21" s="124">
        <v>-392</v>
      </c>
      <c r="T21" s="180">
        <v>-534</v>
      </c>
      <c r="U21" s="180">
        <v>-534</v>
      </c>
      <c r="V21" s="101">
        <f t="shared" si="2"/>
        <v>0.3286047600482882</v>
      </c>
      <c r="W21" s="21">
        <f t="shared" si="7"/>
        <v>0.1</v>
      </c>
      <c r="X21" s="130">
        <f t="shared" si="8"/>
        <v>-587.40000000000009</v>
      </c>
      <c r="Y21" s="130">
        <f t="shared" si="48"/>
        <v>-646.1400000000001</v>
      </c>
      <c r="Z21" s="130">
        <f t="shared" si="49"/>
        <v>-710.75400000000013</v>
      </c>
      <c r="AA21" s="130">
        <f t="shared" si="50"/>
        <v>-781.82940000000019</v>
      </c>
      <c r="AB21" s="130">
        <f t="shared" si="51"/>
        <v>-860.01234000000034</v>
      </c>
      <c r="AC21" s="130">
        <f t="shared" si="52"/>
        <v>-946.0135740000004</v>
      </c>
      <c r="AD21" s="130">
        <f t="shared" si="53"/>
        <v>-1040.6149314000006</v>
      </c>
      <c r="AE21" s="130">
        <f t="shared" si="54"/>
        <v>-1144.6764245400009</v>
      </c>
      <c r="AF21" s="130">
        <f t="shared" si="55"/>
        <v>-1259.1440669940012</v>
      </c>
      <c r="AG21" s="130">
        <f t="shared" si="56"/>
        <v>-1385.0584736934013</v>
      </c>
      <c r="AH21" s="115">
        <f t="shared" si="57"/>
        <v>0.1447520533550628</v>
      </c>
      <c r="AI21" s="21">
        <f t="shared" si="18"/>
        <v>0.02</v>
      </c>
      <c r="AJ21" s="123">
        <f t="shared" si="1"/>
        <v>-7063.7982158363466</v>
      </c>
    </row>
    <row r="22" spans="2:36">
      <c r="B22" s="10" t="s">
        <v>235</v>
      </c>
      <c r="C22" s="118"/>
      <c r="D22" s="118"/>
      <c r="E22" s="124"/>
      <c r="F22" s="124"/>
      <c r="G22" s="124">
        <v>3</v>
      </c>
      <c r="H22" s="124">
        <v>7</v>
      </c>
      <c r="I22" s="124">
        <v>12</v>
      </c>
      <c r="J22" s="124">
        <v>97</v>
      </c>
      <c r="K22" s="124">
        <v>171</v>
      </c>
      <c r="L22" s="124">
        <v>-73</v>
      </c>
      <c r="M22" s="124">
        <v>-204</v>
      </c>
      <c r="N22" s="124">
        <v>-46</v>
      </c>
      <c r="O22" s="124">
        <v>-42</v>
      </c>
      <c r="P22" s="124">
        <v>-35</v>
      </c>
      <c r="Q22" s="124">
        <v>-53</v>
      </c>
      <c r="R22" s="124">
        <v>-74</v>
      </c>
      <c r="S22" s="124">
        <v>-163</v>
      </c>
      <c r="T22" s="180">
        <v>-2</v>
      </c>
      <c r="U22" s="180">
        <v>-2</v>
      </c>
      <c r="V22" s="101" t="e">
        <f t="shared" si="2"/>
        <v>#NUM!</v>
      </c>
      <c r="W22" s="21">
        <f t="shared" si="7"/>
        <v>0.1</v>
      </c>
      <c r="X22" s="130">
        <f t="shared" si="8"/>
        <v>-2.2000000000000002</v>
      </c>
      <c r="Y22" s="130">
        <f t="shared" si="48"/>
        <v>-2.4200000000000004</v>
      </c>
      <c r="Z22" s="130">
        <f t="shared" si="49"/>
        <v>-2.6620000000000008</v>
      </c>
      <c r="AA22" s="130">
        <f t="shared" si="50"/>
        <v>-2.9282000000000012</v>
      </c>
      <c r="AB22" s="130">
        <f t="shared" si="51"/>
        <v>-3.2210200000000015</v>
      </c>
      <c r="AC22" s="130">
        <f t="shared" si="52"/>
        <v>-3.5431220000000021</v>
      </c>
      <c r="AD22" s="130">
        <f t="shared" si="53"/>
        <v>-3.8974342000000028</v>
      </c>
      <c r="AE22" s="130">
        <f t="shared" si="54"/>
        <v>-4.2871776200000031</v>
      </c>
      <c r="AF22" s="130">
        <f t="shared" si="55"/>
        <v>-4.7158953820000038</v>
      </c>
      <c r="AG22" s="130">
        <f t="shared" si="56"/>
        <v>-5.1874849202000046</v>
      </c>
      <c r="AH22" s="115" t="e">
        <f t="shared" si="57"/>
        <v>#NUM!</v>
      </c>
      <c r="AI22" s="21">
        <f t="shared" si="18"/>
        <v>0.02</v>
      </c>
      <c r="AJ22" s="123">
        <f t="shared" si="1"/>
        <v>-26.456173093020023</v>
      </c>
    </row>
    <row r="23" spans="2:36">
      <c r="B23" s="10" t="s">
        <v>244</v>
      </c>
      <c r="C23" s="118"/>
      <c r="D23" s="118"/>
      <c r="E23" s="124"/>
      <c r="F23" s="124"/>
      <c r="G23" s="124">
        <v>15</v>
      </c>
      <c r="H23" s="124">
        <v>17</v>
      </c>
      <c r="I23" s="124">
        <v>21</v>
      </c>
      <c r="J23" s="124">
        <v>26</v>
      </c>
      <c r="K23" s="124">
        <v>51</v>
      </c>
      <c r="L23" s="124">
        <v>70</v>
      </c>
      <c r="M23" s="124">
        <v>62</v>
      </c>
      <c r="N23" s="124">
        <v>40</v>
      </c>
      <c r="O23" s="124">
        <v>229</v>
      </c>
      <c r="P23" s="124">
        <v>409</v>
      </c>
      <c r="Q23" s="124">
        <v>293</v>
      </c>
      <c r="R23" s="180">
        <v>220</v>
      </c>
      <c r="S23" s="180">
        <v>78</v>
      </c>
      <c r="T23" s="180">
        <v>22</v>
      </c>
      <c r="U23" s="180">
        <v>22</v>
      </c>
      <c r="V23" s="101">
        <f t="shared" si="2"/>
        <v>2.7734216605775464E-2</v>
      </c>
      <c r="W23" s="21">
        <f t="shared" si="7"/>
        <v>0.1</v>
      </c>
      <c r="X23" s="130">
        <f t="shared" si="8"/>
        <v>24.200000000000003</v>
      </c>
      <c r="Y23" s="130">
        <f t="shared" ref="Y23" si="58">X23*(1+$W23)</f>
        <v>26.620000000000005</v>
      </c>
      <c r="Z23" s="130">
        <f t="shared" ref="Z23" si="59">Y23*(1+$W23)</f>
        <v>29.282000000000007</v>
      </c>
      <c r="AA23" s="130">
        <f t="shared" ref="AA23" si="60">Z23*(1+$W23)</f>
        <v>32.210200000000007</v>
      </c>
      <c r="AB23" s="130">
        <f t="shared" ref="AB23" si="61">AA23*(1+$W23)</f>
        <v>35.43122000000001</v>
      </c>
      <c r="AC23" s="130">
        <f t="shared" ref="AC23" si="62">AB23*(1+$W23)</f>
        <v>38.974342000000014</v>
      </c>
      <c r="AD23" s="130">
        <f t="shared" ref="AD23" si="63">AC23*(1+$W23)</f>
        <v>42.871776200000021</v>
      </c>
      <c r="AE23" s="130">
        <f t="shared" ref="AE23" si="64">AD23*(1+$W23)</f>
        <v>47.158953820000029</v>
      </c>
      <c r="AF23" s="130">
        <f t="shared" ref="AF23" si="65">AE23*(1+$W23)</f>
        <v>51.874849202000036</v>
      </c>
      <c r="AG23" s="130">
        <f t="shared" ref="AG23" si="66">AF23*(1+$W23)</f>
        <v>57.062334122200042</v>
      </c>
      <c r="AH23" s="115">
        <f t="shared" ref="AH23" si="67">((AG23/J23)^(1/($AG$3-$K$1) ))-1</f>
        <v>3.329423814857968E-2</v>
      </c>
      <c r="AI23" s="21">
        <f t="shared" si="18"/>
        <v>0.02</v>
      </c>
      <c r="AJ23" s="123">
        <f t="shared" si="1"/>
        <v>291.01790402322018</v>
      </c>
    </row>
    <row r="24" spans="2:36">
      <c r="B24" s="10"/>
      <c r="C24" s="118"/>
      <c r="D24" s="118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80"/>
      <c r="U24" s="180"/>
      <c r="V24" s="10"/>
      <c r="W24" s="1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02"/>
      <c r="AI24" s="114"/>
      <c r="AJ24" s="130"/>
    </row>
    <row r="25" spans="2:36">
      <c r="B25" s="10" t="s">
        <v>68</v>
      </c>
      <c r="C25" s="118"/>
      <c r="D25" s="118"/>
      <c r="E25" s="124"/>
      <c r="F25" s="124"/>
      <c r="G25" s="124">
        <v>180</v>
      </c>
      <c r="H25" s="124">
        <v>246</v>
      </c>
      <c r="I25" s="124">
        <v>402</v>
      </c>
      <c r="J25" s="124">
        <v>620</v>
      </c>
      <c r="K25" s="124">
        <v>1162</v>
      </c>
      <c r="L25" s="124">
        <v>1293</v>
      </c>
      <c r="M25" s="124">
        <v>1523</v>
      </c>
      <c r="N25" s="124">
        <v>1794</v>
      </c>
      <c r="O25" s="124">
        <v>2363</v>
      </c>
      <c r="P25" s="124">
        <v>3030</v>
      </c>
      <c r="Q25" s="124">
        <v>3507</v>
      </c>
      <c r="R25" s="180">
        <v>4294</v>
      </c>
      <c r="S25" s="180">
        <v>4839</v>
      </c>
      <c r="T25" s="180">
        <v>5537</v>
      </c>
      <c r="U25" s="180">
        <v>6153</v>
      </c>
      <c r="V25" s="101">
        <f t="shared" si="2"/>
        <v>0.28693962229434145</v>
      </c>
      <c r="W25" s="21">
        <f t="shared" si="7"/>
        <v>0.1</v>
      </c>
      <c r="X25" s="130">
        <f t="shared" si="8"/>
        <v>6768.3</v>
      </c>
      <c r="Y25" s="130">
        <f t="shared" si="39"/>
        <v>7445.130000000001</v>
      </c>
      <c r="Z25" s="130">
        <f t="shared" si="40"/>
        <v>8189.6430000000018</v>
      </c>
      <c r="AA25" s="130">
        <f t="shared" si="41"/>
        <v>9008.6073000000033</v>
      </c>
      <c r="AB25" s="130">
        <f t="shared" si="42"/>
        <v>9909.4680300000036</v>
      </c>
      <c r="AC25" s="130">
        <f t="shared" si="43"/>
        <v>10900.414833000004</v>
      </c>
      <c r="AD25" s="130">
        <f t="shared" si="44"/>
        <v>11990.456316300006</v>
      </c>
      <c r="AE25" s="130">
        <f t="shared" si="45"/>
        <v>13189.501947930008</v>
      </c>
      <c r="AF25" s="130">
        <f t="shared" si="46"/>
        <v>14508.45214272301</v>
      </c>
      <c r="AG25" s="130">
        <f t="shared" si="47"/>
        <v>15959.297356995312</v>
      </c>
      <c r="AH25" s="115">
        <f t="shared" si="20"/>
        <v>0.14492205098642152</v>
      </c>
      <c r="AI25" s="21">
        <f t="shared" si="18"/>
        <v>0.02</v>
      </c>
      <c r="AJ25" s="123">
        <f t="shared" si="1"/>
        <v>81392.416520676081</v>
      </c>
    </row>
    <row r="26" spans="2:36" s="106" customFormat="1">
      <c r="B26" s="13"/>
      <c r="C26" s="125"/>
      <c r="D26" s="125"/>
      <c r="E26" s="126"/>
      <c r="F26" s="268"/>
      <c r="G26" s="268">
        <f>(G25-F25)/G25</f>
        <v>1</v>
      </c>
      <c r="H26" s="268">
        <f>(H25-G25)/H25</f>
        <v>0.26829268292682928</v>
      </c>
      <c r="I26" s="268">
        <f t="shared" ref="I26:Q26" si="68">(I25-H25)/I25</f>
        <v>0.38805970149253732</v>
      </c>
      <c r="J26" s="268">
        <f t="shared" si="68"/>
        <v>0.35161290322580646</v>
      </c>
      <c r="K26" s="268">
        <f t="shared" si="68"/>
        <v>0.46643717728055079</v>
      </c>
      <c r="L26" s="268">
        <f t="shared" si="68"/>
        <v>0.10131477184841454</v>
      </c>
      <c r="M26" s="268">
        <f t="shared" si="68"/>
        <v>0.15101772816808931</v>
      </c>
      <c r="N26" s="268">
        <f t="shared" si="68"/>
        <v>0.15105908584169453</v>
      </c>
      <c r="O26" s="268">
        <f t="shared" si="68"/>
        <v>0.2407955988150656</v>
      </c>
      <c r="P26" s="268">
        <f t="shared" si="68"/>
        <v>0.22013201320132014</v>
      </c>
      <c r="Q26" s="268">
        <f t="shared" si="68"/>
        <v>0.1360136869118905</v>
      </c>
      <c r="R26" s="127">
        <f t="shared" ref="R26:S26" si="69">(R25-Q25)/Q25</f>
        <v>0.22440832620473339</v>
      </c>
      <c r="S26" s="127">
        <f t="shared" si="69"/>
        <v>0.12692128551467163</v>
      </c>
      <c r="T26" s="127">
        <f t="shared" ref="T26:U26" si="70">(T25-S25)/S25</f>
        <v>0.14424467865261417</v>
      </c>
      <c r="U26" s="127">
        <f t="shared" si="70"/>
        <v>0.11125158027812895</v>
      </c>
      <c r="V26" s="10"/>
      <c r="W26" s="10"/>
      <c r="X26" s="130"/>
      <c r="Y26" s="131"/>
      <c r="Z26" s="131"/>
      <c r="AA26" s="131"/>
      <c r="AB26" s="131"/>
      <c r="AC26" s="131"/>
      <c r="AD26" s="131"/>
      <c r="AE26" s="131"/>
      <c r="AF26" s="131"/>
      <c r="AG26" s="131"/>
      <c r="AH26" s="102"/>
      <c r="AI26" s="114"/>
      <c r="AJ26" s="130"/>
    </row>
    <row r="27" spans="2:36">
      <c r="B27" s="10" t="s">
        <v>218</v>
      </c>
      <c r="C27" s="118"/>
      <c r="D27" s="118"/>
      <c r="E27" s="124"/>
      <c r="F27" s="124"/>
      <c r="G27" s="124">
        <v>156</v>
      </c>
      <c r="H27" s="124">
        <v>220</v>
      </c>
      <c r="I27" s="124">
        <v>348</v>
      </c>
      <c r="J27" s="124">
        <v>527</v>
      </c>
      <c r="K27" s="124">
        <v>977</v>
      </c>
      <c r="L27" s="124">
        <v>1114</v>
      </c>
      <c r="M27" s="124">
        <v>1216</v>
      </c>
      <c r="N27" s="124">
        <v>1530</v>
      </c>
      <c r="O27" s="124">
        <v>1996</v>
      </c>
      <c r="P27" s="124">
        <v>2541</v>
      </c>
      <c r="Q27" s="124">
        <v>2905</v>
      </c>
      <c r="R27" s="180">
        <v>3550</v>
      </c>
      <c r="S27" s="180">
        <v>3970</v>
      </c>
      <c r="T27" s="180">
        <v>4638</v>
      </c>
      <c r="U27" s="180">
        <v>5203</v>
      </c>
      <c r="V27" s="101">
        <f t="shared" si="2"/>
        <v>0.28467994610558267</v>
      </c>
      <c r="W27" s="21">
        <f t="shared" si="7"/>
        <v>0.1</v>
      </c>
      <c r="X27" s="130">
        <f t="shared" si="8"/>
        <v>5723.3</v>
      </c>
      <c r="Y27" s="130">
        <f t="shared" si="39"/>
        <v>6295.630000000001</v>
      </c>
      <c r="Z27" s="130">
        <f t="shared" si="40"/>
        <v>6925.193000000002</v>
      </c>
      <c r="AA27" s="130">
        <f t="shared" si="41"/>
        <v>7617.7123000000029</v>
      </c>
      <c r="AB27" s="130">
        <f t="shared" si="42"/>
        <v>8379.4835300000032</v>
      </c>
      <c r="AC27" s="130">
        <f t="shared" si="43"/>
        <v>9217.4318830000047</v>
      </c>
      <c r="AD27" s="130">
        <f t="shared" si="44"/>
        <v>10139.175071300006</v>
      </c>
      <c r="AE27" s="130">
        <f t="shared" si="45"/>
        <v>11153.092578430007</v>
      </c>
      <c r="AF27" s="130">
        <f t="shared" si="46"/>
        <v>12268.401836273009</v>
      </c>
      <c r="AG27" s="130">
        <f t="shared" si="47"/>
        <v>13495.242019900312</v>
      </c>
      <c r="AH27" s="115">
        <f t="shared" si="20"/>
        <v>0.14467470508889591</v>
      </c>
      <c r="AI27" s="21">
        <f t="shared" si="18"/>
        <v>0.02</v>
      </c>
      <c r="AJ27" s="123">
        <f t="shared" si="1"/>
        <v>68825.734301491582</v>
      </c>
    </row>
    <row r="28" spans="2:36" s="106" customFormat="1">
      <c r="B28" s="13"/>
      <c r="C28" s="125"/>
      <c r="D28" s="125"/>
      <c r="E28" s="126"/>
      <c r="F28" s="268"/>
      <c r="G28" s="268">
        <f t="shared" ref="G28:Q28" si="71">(G27-F27)/G27</f>
        <v>1</v>
      </c>
      <c r="H28" s="268">
        <f t="shared" si="71"/>
        <v>0.29090909090909089</v>
      </c>
      <c r="I28" s="268">
        <f t="shared" si="71"/>
        <v>0.36781609195402298</v>
      </c>
      <c r="J28" s="268">
        <f t="shared" si="71"/>
        <v>0.3396584440227704</v>
      </c>
      <c r="K28" s="268">
        <f t="shared" si="71"/>
        <v>0.46059365404298874</v>
      </c>
      <c r="L28" s="268">
        <f t="shared" si="71"/>
        <v>0.12298025134649911</v>
      </c>
      <c r="M28" s="268">
        <f t="shared" si="71"/>
        <v>8.3881578947368418E-2</v>
      </c>
      <c r="N28" s="268">
        <f t="shared" si="71"/>
        <v>0.20522875816993463</v>
      </c>
      <c r="O28" s="268">
        <f t="shared" si="71"/>
        <v>0.23346693386773548</v>
      </c>
      <c r="P28" s="268">
        <f t="shared" si="71"/>
        <v>0.21448248720975993</v>
      </c>
      <c r="Q28" s="268">
        <f t="shared" si="71"/>
        <v>0.12530120481927712</v>
      </c>
      <c r="R28" s="127">
        <f t="shared" ref="R28:S28" si="72">(R27-Q27)/Q27</f>
        <v>0.22203098106712565</v>
      </c>
      <c r="S28" s="127">
        <f t="shared" si="72"/>
        <v>0.11830985915492957</v>
      </c>
      <c r="T28" s="127">
        <f t="shared" ref="T28:U28" si="73">(T27-S27)/S27</f>
        <v>0.16826196473551638</v>
      </c>
      <c r="U28" s="127">
        <f t="shared" si="73"/>
        <v>0.12181974989219491</v>
      </c>
      <c r="V28" s="10"/>
      <c r="W28" s="10"/>
      <c r="X28" s="130"/>
      <c r="Y28" s="131"/>
      <c r="Z28" s="131"/>
      <c r="AA28" s="131"/>
      <c r="AB28" s="131"/>
      <c r="AC28" s="131"/>
      <c r="AD28" s="131"/>
      <c r="AE28" s="131"/>
      <c r="AF28" s="131"/>
      <c r="AG28" s="131"/>
      <c r="AH28" s="102"/>
      <c r="AI28" s="114"/>
      <c r="AJ28" s="130"/>
    </row>
    <row r="29" spans="2:36" s="106" customFormat="1">
      <c r="B29" s="10" t="s">
        <v>268</v>
      </c>
      <c r="C29" s="125"/>
      <c r="D29" s="125"/>
      <c r="E29" s="126"/>
      <c r="F29" s="124"/>
      <c r="G29" s="124">
        <v>0.18</v>
      </c>
      <c r="H29" s="124">
        <v>0.14000000000000001</v>
      </c>
      <c r="I29" s="124">
        <v>1</v>
      </c>
      <c r="J29" s="124">
        <v>5</v>
      </c>
      <c r="K29" s="124">
        <v>15</v>
      </c>
      <c r="L29" s="124">
        <v>21</v>
      </c>
      <c r="M29" s="124">
        <v>8</v>
      </c>
      <c r="N29" s="124">
        <v>3</v>
      </c>
      <c r="O29" s="124">
        <v>2</v>
      </c>
      <c r="P29" s="124">
        <v>1</v>
      </c>
      <c r="Q29" s="124">
        <v>0.72</v>
      </c>
      <c r="R29" s="180">
        <v>0.24</v>
      </c>
      <c r="S29" s="180">
        <v>0.49</v>
      </c>
      <c r="T29" s="180">
        <v>5</v>
      </c>
      <c r="U29" s="180">
        <v>5</v>
      </c>
      <c r="V29" s="101">
        <f t="shared" si="2"/>
        <v>0.26800582885683411</v>
      </c>
      <c r="W29" s="21">
        <f t="shared" si="7"/>
        <v>0.1</v>
      </c>
      <c r="X29" s="130">
        <f t="shared" si="8"/>
        <v>5.5</v>
      </c>
      <c r="Y29" s="130">
        <f t="shared" ref="Y29" si="74">X29*(1+$W29)</f>
        <v>6.0500000000000007</v>
      </c>
      <c r="Z29" s="130">
        <f t="shared" ref="Z29" si="75">Y29*(1+$W29)</f>
        <v>6.6550000000000011</v>
      </c>
      <c r="AA29" s="130">
        <f t="shared" ref="AA29" si="76">Z29*(1+$W29)</f>
        <v>7.3205000000000018</v>
      </c>
      <c r="AB29" s="130">
        <f t="shared" ref="AB29" si="77">AA29*(1+$W29)</f>
        <v>8.0525500000000019</v>
      </c>
      <c r="AC29" s="130">
        <f t="shared" ref="AC29" si="78">AB29*(1+$W29)</f>
        <v>8.8578050000000026</v>
      </c>
      <c r="AD29" s="130">
        <f t="shared" ref="AD29" si="79">AC29*(1+$W29)</f>
        <v>9.7435855000000036</v>
      </c>
      <c r="AE29" s="130">
        <f t="shared" ref="AE29" si="80">AD29*(1+$W29)</f>
        <v>10.717944050000005</v>
      </c>
      <c r="AF29" s="130">
        <f t="shared" ref="AF29" si="81">AE29*(1+$W29)</f>
        <v>11.789738455000007</v>
      </c>
      <c r="AG29" s="130">
        <f t="shared" ref="AG29" si="82">AF29*(1+$W29)</f>
        <v>12.968712300500009</v>
      </c>
      <c r="AH29" s="115">
        <f t="shared" ref="AH29" si="83">((AG29/J29)^(1/($AG$3-$K$1) ))-1</f>
        <v>4.0511662058981157E-2</v>
      </c>
      <c r="AI29" s="21">
        <f t="shared" si="18"/>
        <v>0.02</v>
      </c>
      <c r="AJ29" s="123">
        <f t="shared" ref="AJ29" si="84">(AG29*(1+AI29))/($C$1-AI29)</f>
        <v>66.140432732550039</v>
      </c>
    </row>
    <row r="30" spans="2:36" s="106" customFormat="1">
      <c r="B30" s="13"/>
      <c r="C30" s="125"/>
      <c r="D30" s="125"/>
      <c r="E30" s="126"/>
      <c r="F30" s="268"/>
      <c r="G30" s="268">
        <f t="shared" ref="G30:Q30" si="85">(G29-F29)/G29</f>
        <v>1</v>
      </c>
      <c r="H30" s="268">
        <f t="shared" si="85"/>
        <v>-0.28571428571428553</v>
      </c>
      <c r="I30" s="268">
        <f t="shared" si="85"/>
        <v>0.86</v>
      </c>
      <c r="J30" s="268">
        <f t="shared" si="85"/>
        <v>0.8</v>
      </c>
      <c r="K30" s="268">
        <f t="shared" si="85"/>
        <v>0.66666666666666663</v>
      </c>
      <c r="L30" s="268">
        <f t="shared" si="85"/>
        <v>0.2857142857142857</v>
      </c>
      <c r="M30" s="268">
        <f t="shared" si="85"/>
        <v>-1.625</v>
      </c>
      <c r="N30" s="268">
        <f t="shared" si="85"/>
        <v>-1.6666666666666667</v>
      </c>
      <c r="O30" s="268">
        <f t="shared" si="85"/>
        <v>-0.5</v>
      </c>
      <c r="P30" s="268">
        <f t="shared" si="85"/>
        <v>-1</v>
      </c>
      <c r="Q30" s="268">
        <f t="shared" si="85"/>
        <v>-0.38888888888888895</v>
      </c>
      <c r="R30" s="127">
        <f t="shared" ref="R30:S30" si="86">(R29-Q29)/Q29</f>
        <v>-0.66666666666666663</v>
      </c>
      <c r="S30" s="127">
        <f t="shared" si="86"/>
        <v>1.0416666666666667</v>
      </c>
      <c r="T30" s="127">
        <f t="shared" ref="T30:U30" si="87">(T29-S29)/S29</f>
        <v>9.204081632653061</v>
      </c>
      <c r="U30" s="127">
        <f t="shared" si="87"/>
        <v>0</v>
      </c>
      <c r="V30" s="10"/>
      <c r="W30" s="10"/>
      <c r="X30" s="130"/>
      <c r="Y30" s="131"/>
      <c r="Z30" s="131"/>
      <c r="AA30" s="131"/>
      <c r="AB30" s="131"/>
      <c r="AC30" s="131"/>
      <c r="AD30" s="131"/>
      <c r="AE30" s="131"/>
      <c r="AF30" s="131"/>
      <c r="AG30" s="131"/>
      <c r="AH30" s="137"/>
      <c r="AI30" s="114"/>
      <c r="AJ30" s="130"/>
    </row>
    <row r="31" spans="2:36">
      <c r="B31" s="10" t="s">
        <v>276</v>
      </c>
      <c r="C31" s="118"/>
      <c r="D31" s="118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80">
        <v>0</v>
      </c>
      <c r="S31" s="180">
        <v>0</v>
      </c>
      <c r="T31" s="180">
        <v>0</v>
      </c>
      <c r="U31" s="180">
        <v>0</v>
      </c>
      <c r="V31" s="101" t="e">
        <f t="shared" si="2"/>
        <v>#DIV/0!</v>
      </c>
      <c r="W31" s="21">
        <f t="shared" si="7"/>
        <v>0.1</v>
      </c>
      <c r="X31" s="130">
        <f t="shared" si="8"/>
        <v>0</v>
      </c>
      <c r="Y31" s="130">
        <f>X31*(1+$W31)</f>
        <v>0</v>
      </c>
      <c r="Z31" s="130">
        <f t="shared" ref="Z31:AG32" si="88">Y31*(1+$W31)</f>
        <v>0</v>
      </c>
      <c r="AA31" s="130">
        <f t="shared" si="88"/>
        <v>0</v>
      </c>
      <c r="AB31" s="130">
        <f t="shared" si="88"/>
        <v>0</v>
      </c>
      <c r="AC31" s="130">
        <f t="shared" si="88"/>
        <v>0</v>
      </c>
      <c r="AD31" s="130">
        <f t="shared" si="88"/>
        <v>0</v>
      </c>
      <c r="AE31" s="130">
        <f t="shared" si="88"/>
        <v>0</v>
      </c>
      <c r="AF31" s="130">
        <f t="shared" si="88"/>
        <v>0</v>
      </c>
      <c r="AG31" s="130">
        <f t="shared" si="88"/>
        <v>0</v>
      </c>
      <c r="AH31" s="115" t="e">
        <f t="shared" ref="AH31" si="89">((AG31/J31)^(1/($AG$3-$K$1) ))-1</f>
        <v>#DIV/0!</v>
      </c>
      <c r="AI31" s="21">
        <f t="shared" si="18"/>
        <v>0.02</v>
      </c>
      <c r="AJ31" s="123">
        <f t="shared" si="1"/>
        <v>0</v>
      </c>
    </row>
    <row r="32" spans="2:36">
      <c r="B32" s="10" t="s">
        <v>275</v>
      </c>
      <c r="C32" s="118"/>
      <c r="D32" s="118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80">
        <v>0</v>
      </c>
      <c r="S32" s="180">
        <v>0</v>
      </c>
      <c r="T32" s="180"/>
      <c r="U32" s="180"/>
      <c r="V32" s="101" t="e">
        <f t="shared" si="2"/>
        <v>#DIV/0!</v>
      </c>
      <c r="W32" s="21">
        <f t="shared" si="7"/>
        <v>0.1</v>
      </c>
      <c r="X32" s="130">
        <f t="shared" si="8"/>
        <v>0</v>
      </c>
      <c r="Y32" s="130">
        <f>X32*(1+$W32)</f>
        <v>0</v>
      </c>
      <c r="Z32" s="130">
        <f t="shared" si="88"/>
        <v>0</v>
      </c>
      <c r="AA32" s="130">
        <f t="shared" si="88"/>
        <v>0</v>
      </c>
      <c r="AB32" s="130">
        <f t="shared" si="88"/>
        <v>0</v>
      </c>
      <c r="AC32" s="130">
        <f t="shared" si="88"/>
        <v>0</v>
      </c>
      <c r="AD32" s="130">
        <f t="shared" si="88"/>
        <v>0</v>
      </c>
      <c r="AE32" s="130">
        <f t="shared" si="88"/>
        <v>0</v>
      </c>
      <c r="AF32" s="130">
        <f t="shared" si="88"/>
        <v>0</v>
      </c>
      <c r="AG32" s="130">
        <f t="shared" si="88"/>
        <v>0</v>
      </c>
      <c r="AH32" s="115" t="e">
        <f t="shared" ref="AH32" si="90">((AG32/J32)^(1/($AG$3-$K$1) ))-1</f>
        <v>#DIV/0!</v>
      </c>
      <c r="AI32" s="21">
        <f t="shared" si="18"/>
        <v>0.02</v>
      </c>
      <c r="AJ32" s="123">
        <f t="shared" si="1"/>
        <v>0</v>
      </c>
    </row>
    <row r="33" spans="1:36">
      <c r="B33" s="10" t="s">
        <v>498</v>
      </c>
      <c r="C33" s="118"/>
      <c r="D33" s="118"/>
      <c r="E33" s="124"/>
      <c r="F33" s="124"/>
      <c r="G33" s="124">
        <v>85</v>
      </c>
      <c r="H33" s="124">
        <v>140</v>
      </c>
      <c r="I33" s="124">
        <v>229</v>
      </c>
      <c r="J33" s="124">
        <v>401</v>
      </c>
      <c r="K33" s="124">
        <v>789</v>
      </c>
      <c r="L33" s="124">
        <v>884</v>
      </c>
      <c r="M33" s="124">
        <v>938</v>
      </c>
      <c r="N33" s="124">
        <v>1218</v>
      </c>
      <c r="O33" s="124">
        <v>1614</v>
      </c>
      <c r="P33" s="124">
        <v>2065</v>
      </c>
      <c r="Q33" s="124">
        <v>2357</v>
      </c>
      <c r="R33" s="180">
        <v>2882</v>
      </c>
      <c r="S33" s="180">
        <v>3138</v>
      </c>
      <c r="T33" s="180">
        <v>3733</v>
      </c>
      <c r="U33" s="180">
        <v>4217</v>
      </c>
      <c r="V33" s="101">
        <f t="shared" si="2"/>
        <v>0.32164005115415684</v>
      </c>
      <c r="W33" s="21">
        <f t="shared" si="7"/>
        <v>0.1</v>
      </c>
      <c r="X33" s="130">
        <f t="shared" si="8"/>
        <v>4638.7000000000007</v>
      </c>
      <c r="Y33" s="130">
        <f t="shared" si="39"/>
        <v>5102.5700000000015</v>
      </c>
      <c r="Z33" s="130">
        <f t="shared" si="40"/>
        <v>5612.827000000002</v>
      </c>
      <c r="AA33" s="130">
        <f t="shared" si="41"/>
        <v>6174.1097000000027</v>
      </c>
      <c r="AB33" s="130">
        <f t="shared" si="42"/>
        <v>6791.5206700000035</v>
      </c>
      <c r="AC33" s="130">
        <f t="shared" si="43"/>
        <v>7470.6727370000044</v>
      </c>
      <c r="AD33" s="130">
        <f t="shared" si="44"/>
        <v>8217.7400107000049</v>
      </c>
      <c r="AE33" s="130">
        <f t="shared" si="45"/>
        <v>9039.5140117700066</v>
      </c>
      <c r="AF33" s="130">
        <f t="shared" si="46"/>
        <v>9943.4654129470073</v>
      </c>
      <c r="AG33" s="130">
        <f t="shared" si="47"/>
        <v>10937.811954241708</v>
      </c>
      <c r="AH33" s="115">
        <f t="shared" si="20"/>
        <v>0.14768953070805479</v>
      </c>
      <c r="AI33" s="21">
        <f t="shared" si="18"/>
        <v>0.02</v>
      </c>
      <c r="AJ33" s="123">
        <f t="shared" si="1"/>
        <v>55782.840966632706</v>
      </c>
    </row>
    <row r="34" spans="1:36">
      <c r="B34" s="10" t="s">
        <v>499</v>
      </c>
      <c r="C34" s="118"/>
      <c r="D34" s="118"/>
      <c r="E34" s="124"/>
      <c r="F34" s="124"/>
      <c r="G34" s="124">
        <v>16</v>
      </c>
      <c r="H34" s="124">
        <v>18</v>
      </c>
      <c r="I34" s="124">
        <v>24</v>
      </c>
      <c r="J34" s="124">
        <v>33</v>
      </c>
      <c r="K34" s="124">
        <v>53</v>
      </c>
      <c r="L34" s="124">
        <v>62</v>
      </c>
      <c r="M34" s="124">
        <v>84</v>
      </c>
      <c r="N34" s="124">
        <v>97</v>
      </c>
      <c r="O34" s="124">
        <v>111</v>
      </c>
      <c r="P34" s="124">
        <v>127</v>
      </c>
      <c r="Q34" s="124">
        <v>158</v>
      </c>
      <c r="R34" s="180">
        <v>195</v>
      </c>
      <c r="S34" s="180">
        <v>243</v>
      </c>
      <c r="T34" s="180">
        <v>277</v>
      </c>
      <c r="U34" s="180">
        <v>308</v>
      </c>
      <c r="V34" s="101">
        <f t="shared" si="2"/>
        <v>0.23522209763420121</v>
      </c>
      <c r="W34" s="21">
        <f t="shared" si="7"/>
        <v>0.1</v>
      </c>
      <c r="X34" s="130">
        <f t="shared" si="8"/>
        <v>338.8</v>
      </c>
      <c r="Y34" s="130">
        <f t="shared" si="39"/>
        <v>372.68000000000006</v>
      </c>
      <c r="Z34" s="130">
        <f t="shared" si="40"/>
        <v>409.94800000000009</v>
      </c>
      <c r="AA34" s="130">
        <f t="shared" si="41"/>
        <v>450.94280000000015</v>
      </c>
      <c r="AB34" s="130">
        <f t="shared" si="42"/>
        <v>496.03708000000023</v>
      </c>
      <c r="AC34" s="130">
        <f t="shared" si="43"/>
        <v>545.64078800000027</v>
      </c>
      <c r="AD34" s="130">
        <f t="shared" si="44"/>
        <v>600.20486680000033</v>
      </c>
      <c r="AE34" s="130">
        <f t="shared" si="45"/>
        <v>660.22535348000042</v>
      </c>
      <c r="AF34" s="130">
        <f t="shared" si="46"/>
        <v>726.24788882800055</v>
      </c>
      <c r="AG34" s="130">
        <f t="shared" si="47"/>
        <v>798.87267771080064</v>
      </c>
      <c r="AH34" s="115">
        <f t="shared" si="20"/>
        <v>0.14199749473733103</v>
      </c>
      <c r="AI34" s="21">
        <f t="shared" si="18"/>
        <v>0.02</v>
      </c>
      <c r="AJ34" s="123">
        <f t="shared" si="1"/>
        <v>4074.2506563250831</v>
      </c>
    </row>
    <row r="35" spans="1:36">
      <c r="B35" s="10"/>
      <c r="C35" s="118"/>
      <c r="D35" s="118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0"/>
      <c r="W35" s="124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16"/>
      <c r="AI35" s="114"/>
      <c r="AJ35" s="130"/>
    </row>
    <row r="36" spans="1:36">
      <c r="A36" s="301" t="s">
        <v>418</v>
      </c>
      <c r="B36" s="177" t="s">
        <v>412</v>
      </c>
      <c r="C36" s="118"/>
      <c r="D36" s="118"/>
      <c r="E36" s="124"/>
      <c r="F36" s="180"/>
      <c r="G36" s="180">
        <f t="shared" ref="G36:H36" si="91">H36</f>
        <v>0</v>
      </c>
      <c r="H36" s="180">
        <f t="shared" si="91"/>
        <v>0</v>
      </c>
      <c r="I36" s="180">
        <f>J36</f>
        <v>0</v>
      </c>
      <c r="J36" s="180">
        <v>0</v>
      </c>
      <c r="K36" s="180">
        <v>0</v>
      </c>
      <c r="L36" s="180">
        <v>0</v>
      </c>
      <c r="M36" s="180">
        <v>0</v>
      </c>
      <c r="N36" s="180">
        <v>0</v>
      </c>
      <c r="O36" s="180">
        <v>0</v>
      </c>
      <c r="P36" s="180">
        <v>0</v>
      </c>
      <c r="Q36" s="180">
        <v>0</v>
      </c>
      <c r="R36" s="180">
        <v>0</v>
      </c>
      <c r="S36" s="180">
        <v>0</v>
      </c>
      <c r="T36" s="180">
        <v>0</v>
      </c>
      <c r="U36" s="180">
        <v>0</v>
      </c>
      <c r="V36" s="101" t="e">
        <f t="shared" si="2"/>
        <v>#DIV/0!</v>
      </c>
      <c r="W36" s="21">
        <f t="shared" si="7"/>
        <v>0.1</v>
      </c>
      <c r="X36" s="130">
        <f t="shared" si="8"/>
        <v>0</v>
      </c>
      <c r="Y36" s="130">
        <f t="shared" ref="Y36:Y49" si="92">X36*(1+$W36)</f>
        <v>0</v>
      </c>
      <c r="Z36" s="130">
        <f t="shared" ref="Z36:Z49" si="93">Y36*(1+$W36)</f>
        <v>0</v>
      </c>
      <c r="AA36" s="130">
        <f t="shared" ref="AA36:AA49" si="94">Z36*(1+$W36)</f>
        <v>0</v>
      </c>
      <c r="AB36" s="130">
        <f t="shared" ref="AB36:AB49" si="95">AA36*(1+$W36)</f>
        <v>0</v>
      </c>
      <c r="AC36" s="130">
        <f t="shared" ref="AC36:AC49" si="96">AB36*(1+$W36)</f>
        <v>0</v>
      </c>
      <c r="AD36" s="130">
        <f t="shared" ref="AD36:AD49" si="97">AC36*(1+$W36)</f>
        <v>0</v>
      </c>
      <c r="AE36" s="130">
        <f t="shared" ref="AE36:AE49" si="98">AD36*(1+$W36)</f>
        <v>0</v>
      </c>
      <c r="AF36" s="130">
        <f t="shared" ref="AF36:AF49" si="99">AE36*(1+$W36)</f>
        <v>0</v>
      </c>
      <c r="AG36" s="130">
        <f t="shared" ref="AG36:AG49" si="100">AF36*(1+$W36)</f>
        <v>0</v>
      </c>
      <c r="AH36" s="115" t="e">
        <f t="shared" ref="AH36:AH49" si="101">((AG36/J36)^(1/($AG$3-$K$1) ))-1</f>
        <v>#DIV/0!</v>
      </c>
      <c r="AI36" s="21">
        <f t="shared" si="18"/>
        <v>0.02</v>
      </c>
      <c r="AJ36" s="123">
        <f t="shared" ref="AJ36:AJ49" si="102">(AG36*(1+AI36))/($C$1-AI36)</f>
        <v>0</v>
      </c>
    </row>
    <row r="37" spans="1:36">
      <c r="A37" s="301"/>
      <c r="B37" s="177"/>
      <c r="C37" s="118"/>
      <c r="D37" s="118"/>
      <c r="E37" s="124"/>
      <c r="F37" s="127"/>
      <c r="G37" s="127" t="e">
        <f t="shared" ref="G37:S37" si="103">(G36-F36)/F36</f>
        <v>#DIV/0!</v>
      </c>
      <c r="H37" s="127" t="e">
        <f t="shared" si="103"/>
        <v>#DIV/0!</v>
      </c>
      <c r="I37" s="127" t="e">
        <f t="shared" si="103"/>
        <v>#DIV/0!</v>
      </c>
      <c r="J37" s="127" t="e">
        <f t="shared" si="103"/>
        <v>#DIV/0!</v>
      </c>
      <c r="K37" s="127" t="e">
        <f t="shared" si="103"/>
        <v>#DIV/0!</v>
      </c>
      <c r="L37" s="127" t="e">
        <f t="shared" si="103"/>
        <v>#DIV/0!</v>
      </c>
      <c r="M37" s="127" t="e">
        <f t="shared" si="103"/>
        <v>#DIV/0!</v>
      </c>
      <c r="N37" s="127" t="e">
        <f t="shared" si="103"/>
        <v>#DIV/0!</v>
      </c>
      <c r="O37" s="127" t="e">
        <f t="shared" si="103"/>
        <v>#DIV/0!</v>
      </c>
      <c r="P37" s="127" t="e">
        <f t="shared" si="103"/>
        <v>#DIV/0!</v>
      </c>
      <c r="Q37" s="127" t="e">
        <f t="shared" si="103"/>
        <v>#DIV/0!</v>
      </c>
      <c r="R37" s="127" t="e">
        <f t="shared" si="103"/>
        <v>#DIV/0!</v>
      </c>
      <c r="S37" s="127" t="e">
        <f t="shared" si="103"/>
        <v>#DIV/0!</v>
      </c>
      <c r="T37" s="127" t="e">
        <f t="shared" ref="T37:U37" si="104">(T36-S36)/S36</f>
        <v>#DIV/0!</v>
      </c>
      <c r="U37" s="127" t="e">
        <f t="shared" si="104"/>
        <v>#DIV/0!</v>
      </c>
      <c r="V37" s="10"/>
      <c r="W37" s="1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23"/>
    </row>
    <row r="38" spans="1:36">
      <c r="A38" s="301"/>
      <c r="B38" s="177" t="s">
        <v>413</v>
      </c>
      <c r="C38" s="118"/>
      <c r="D38" s="118"/>
      <c r="E38" s="124"/>
      <c r="F38" s="180"/>
      <c r="G38" s="180">
        <f t="shared" ref="G38:H38" si="105">H38</f>
        <v>0</v>
      </c>
      <c r="H38" s="180">
        <f t="shared" si="105"/>
        <v>0</v>
      </c>
      <c r="I38" s="180">
        <f>J38</f>
        <v>0</v>
      </c>
      <c r="J38" s="180">
        <v>0</v>
      </c>
      <c r="K38" s="180">
        <v>0</v>
      </c>
      <c r="L38" s="180">
        <v>0</v>
      </c>
      <c r="M38" s="180">
        <v>0</v>
      </c>
      <c r="N38" s="180">
        <v>0</v>
      </c>
      <c r="O38" s="180">
        <v>0</v>
      </c>
      <c r="P38" s="180">
        <v>0</v>
      </c>
      <c r="Q38" s="180">
        <v>0</v>
      </c>
      <c r="R38" s="180">
        <v>0</v>
      </c>
      <c r="S38" s="180">
        <v>0</v>
      </c>
      <c r="T38" s="180">
        <v>0</v>
      </c>
      <c r="U38" s="180">
        <v>1</v>
      </c>
      <c r="V38" s="101" t="e">
        <f t="shared" si="2"/>
        <v>#DIV/0!</v>
      </c>
      <c r="W38" s="21">
        <f t="shared" si="7"/>
        <v>0.1</v>
      </c>
      <c r="X38" s="130">
        <f t="shared" si="8"/>
        <v>1.1000000000000001</v>
      </c>
      <c r="Y38" s="130">
        <f t="shared" si="92"/>
        <v>1.2100000000000002</v>
      </c>
      <c r="Z38" s="130">
        <f t="shared" si="93"/>
        <v>1.3310000000000004</v>
      </c>
      <c r="AA38" s="130">
        <f t="shared" si="94"/>
        <v>1.4641000000000006</v>
      </c>
      <c r="AB38" s="130">
        <f t="shared" si="95"/>
        <v>1.6105100000000008</v>
      </c>
      <c r="AC38" s="130">
        <f t="shared" si="96"/>
        <v>1.7715610000000011</v>
      </c>
      <c r="AD38" s="130">
        <f t="shared" si="97"/>
        <v>1.9487171000000014</v>
      </c>
      <c r="AE38" s="130">
        <f t="shared" si="98"/>
        <v>2.1435888100000016</v>
      </c>
      <c r="AF38" s="130">
        <f t="shared" si="99"/>
        <v>2.3579476910000019</v>
      </c>
      <c r="AG38" s="130">
        <f t="shared" si="100"/>
        <v>2.5937424601000023</v>
      </c>
      <c r="AH38" s="115" t="e">
        <f t="shared" si="101"/>
        <v>#DIV/0!</v>
      </c>
      <c r="AI38" s="21">
        <f t="shared" si="18"/>
        <v>0.02</v>
      </c>
      <c r="AJ38" s="123">
        <f t="shared" si="102"/>
        <v>13.228086546510012</v>
      </c>
    </row>
    <row r="39" spans="1:36">
      <c r="A39" s="301"/>
      <c r="B39" s="177"/>
      <c r="C39" s="118"/>
      <c r="D39" s="118"/>
      <c r="E39" s="124"/>
      <c r="F39" s="127"/>
      <c r="G39" s="127" t="e">
        <f t="shared" ref="G39:S39" si="106">(G38-F38)/F38</f>
        <v>#DIV/0!</v>
      </c>
      <c r="H39" s="127" t="e">
        <f t="shared" si="106"/>
        <v>#DIV/0!</v>
      </c>
      <c r="I39" s="127" t="e">
        <f t="shared" si="106"/>
        <v>#DIV/0!</v>
      </c>
      <c r="J39" s="127" t="e">
        <f t="shared" si="106"/>
        <v>#DIV/0!</v>
      </c>
      <c r="K39" s="127" t="e">
        <f t="shared" si="106"/>
        <v>#DIV/0!</v>
      </c>
      <c r="L39" s="127" t="e">
        <f t="shared" si="106"/>
        <v>#DIV/0!</v>
      </c>
      <c r="M39" s="127" t="e">
        <f t="shared" si="106"/>
        <v>#DIV/0!</v>
      </c>
      <c r="N39" s="127" t="e">
        <f t="shared" si="106"/>
        <v>#DIV/0!</v>
      </c>
      <c r="O39" s="127" t="e">
        <f t="shared" si="106"/>
        <v>#DIV/0!</v>
      </c>
      <c r="P39" s="127" t="e">
        <f t="shared" si="106"/>
        <v>#DIV/0!</v>
      </c>
      <c r="Q39" s="127" t="e">
        <f t="shared" si="106"/>
        <v>#DIV/0!</v>
      </c>
      <c r="R39" s="127" t="e">
        <f t="shared" si="106"/>
        <v>#DIV/0!</v>
      </c>
      <c r="S39" s="127" t="e">
        <f t="shared" si="106"/>
        <v>#DIV/0!</v>
      </c>
      <c r="T39" s="127" t="e">
        <f t="shared" ref="T39:U39" si="107">(T38-S38)/S38</f>
        <v>#DIV/0!</v>
      </c>
      <c r="U39" s="127" t="e">
        <f t="shared" si="107"/>
        <v>#DIV/0!</v>
      </c>
      <c r="V39" s="10"/>
      <c r="W39" s="1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23"/>
    </row>
    <row r="40" spans="1:36">
      <c r="A40" s="301"/>
      <c r="B40" s="177" t="s">
        <v>417</v>
      </c>
      <c r="C40" s="118"/>
      <c r="D40" s="118"/>
      <c r="E40" s="124"/>
      <c r="F40" s="180"/>
      <c r="G40" s="180">
        <f t="shared" ref="G40:H43" si="108">H40</f>
        <v>0</v>
      </c>
      <c r="H40" s="180">
        <f t="shared" si="108"/>
        <v>0</v>
      </c>
      <c r="I40" s="180">
        <f>J40</f>
        <v>0</v>
      </c>
      <c r="J40" s="180">
        <v>0</v>
      </c>
      <c r="K40" s="180">
        <v>0</v>
      </c>
      <c r="L40" s="180">
        <v>0</v>
      </c>
      <c r="M40" s="180">
        <v>0</v>
      </c>
      <c r="N40" s="180">
        <v>0</v>
      </c>
      <c r="O40" s="180">
        <v>0</v>
      </c>
      <c r="P40" s="180">
        <v>0</v>
      </c>
      <c r="Q40" s="180">
        <v>0</v>
      </c>
      <c r="R40" s="180">
        <v>0</v>
      </c>
      <c r="S40" s="180">
        <v>0</v>
      </c>
      <c r="T40" s="180">
        <v>0</v>
      </c>
      <c r="U40" s="180">
        <v>0</v>
      </c>
      <c r="V40" s="101" t="e">
        <f t="shared" si="2"/>
        <v>#DIV/0!</v>
      </c>
      <c r="W40" s="21">
        <f t="shared" si="7"/>
        <v>0.1</v>
      </c>
      <c r="X40" s="130">
        <f t="shared" si="8"/>
        <v>0</v>
      </c>
      <c r="Y40" s="130">
        <f t="shared" si="92"/>
        <v>0</v>
      </c>
      <c r="Z40" s="130">
        <f t="shared" si="93"/>
        <v>0</v>
      </c>
      <c r="AA40" s="130">
        <f t="shared" si="94"/>
        <v>0</v>
      </c>
      <c r="AB40" s="130">
        <f t="shared" si="95"/>
        <v>0</v>
      </c>
      <c r="AC40" s="130">
        <f t="shared" si="96"/>
        <v>0</v>
      </c>
      <c r="AD40" s="130">
        <f t="shared" si="97"/>
        <v>0</v>
      </c>
      <c r="AE40" s="130">
        <f t="shared" si="98"/>
        <v>0</v>
      </c>
      <c r="AF40" s="130">
        <f t="shared" si="99"/>
        <v>0</v>
      </c>
      <c r="AG40" s="130">
        <f t="shared" si="100"/>
        <v>0</v>
      </c>
      <c r="AH40" s="115" t="e">
        <f t="shared" si="101"/>
        <v>#DIV/0!</v>
      </c>
      <c r="AI40" s="21">
        <f t="shared" si="18"/>
        <v>0.02</v>
      </c>
      <c r="AJ40" s="123">
        <f t="shared" si="102"/>
        <v>0</v>
      </c>
    </row>
    <row r="41" spans="1:36">
      <c r="A41" s="301"/>
      <c r="B41" s="177" t="s">
        <v>414</v>
      </c>
      <c r="C41" s="118"/>
      <c r="D41" s="118"/>
      <c r="E41" s="124"/>
      <c r="F41" s="180"/>
      <c r="G41" s="180">
        <f t="shared" si="108"/>
        <v>0</v>
      </c>
      <c r="H41" s="180">
        <f t="shared" si="108"/>
        <v>0</v>
      </c>
      <c r="I41" s="180">
        <f>J41</f>
        <v>0</v>
      </c>
      <c r="J41" s="180">
        <v>0</v>
      </c>
      <c r="K41" s="180">
        <v>0</v>
      </c>
      <c r="L41" s="180">
        <v>0</v>
      </c>
      <c r="M41" s="180">
        <v>0</v>
      </c>
      <c r="N41" s="180">
        <v>0</v>
      </c>
      <c r="O41" s="180">
        <v>0</v>
      </c>
      <c r="P41" s="180">
        <v>0</v>
      </c>
      <c r="Q41" s="180">
        <v>0</v>
      </c>
      <c r="R41" s="180">
        <v>0</v>
      </c>
      <c r="S41" s="180">
        <v>0</v>
      </c>
      <c r="T41" s="180">
        <v>0</v>
      </c>
      <c r="U41" s="180">
        <v>0</v>
      </c>
      <c r="V41" s="101" t="e">
        <f t="shared" si="2"/>
        <v>#DIV/0!</v>
      </c>
      <c r="W41" s="21">
        <f t="shared" si="7"/>
        <v>0.1</v>
      </c>
      <c r="X41" s="130">
        <f t="shared" si="8"/>
        <v>0</v>
      </c>
      <c r="Y41" s="130">
        <f t="shared" si="92"/>
        <v>0</v>
      </c>
      <c r="Z41" s="130">
        <f t="shared" si="93"/>
        <v>0</v>
      </c>
      <c r="AA41" s="130">
        <f t="shared" si="94"/>
        <v>0</v>
      </c>
      <c r="AB41" s="130">
        <f t="shared" si="95"/>
        <v>0</v>
      </c>
      <c r="AC41" s="130">
        <f t="shared" si="96"/>
        <v>0</v>
      </c>
      <c r="AD41" s="130">
        <f t="shared" si="97"/>
        <v>0</v>
      </c>
      <c r="AE41" s="130">
        <f t="shared" si="98"/>
        <v>0</v>
      </c>
      <c r="AF41" s="130">
        <f t="shared" si="99"/>
        <v>0</v>
      </c>
      <c r="AG41" s="130">
        <f t="shared" si="100"/>
        <v>0</v>
      </c>
      <c r="AH41" s="115" t="e">
        <f t="shared" si="101"/>
        <v>#DIV/0!</v>
      </c>
      <c r="AI41" s="21">
        <f t="shared" si="18"/>
        <v>0.02</v>
      </c>
      <c r="AJ41" s="123">
        <f t="shared" si="102"/>
        <v>0</v>
      </c>
    </row>
    <row r="42" spans="1:36">
      <c r="A42" s="301"/>
      <c r="B42" s="177" t="s">
        <v>416</v>
      </c>
      <c r="C42" s="118"/>
      <c r="D42" s="118"/>
      <c r="E42" s="124"/>
      <c r="F42" s="180"/>
      <c r="G42" s="180">
        <f t="shared" si="108"/>
        <v>0</v>
      </c>
      <c r="H42" s="180">
        <f t="shared" si="108"/>
        <v>0</v>
      </c>
      <c r="I42" s="180">
        <f>J42</f>
        <v>0</v>
      </c>
      <c r="J42" s="180">
        <v>0</v>
      </c>
      <c r="K42" s="180">
        <v>0</v>
      </c>
      <c r="L42" s="180">
        <v>0</v>
      </c>
      <c r="M42" s="180">
        <v>0</v>
      </c>
      <c r="N42" s="180">
        <v>0</v>
      </c>
      <c r="O42" s="180">
        <v>0</v>
      </c>
      <c r="P42" s="180">
        <v>0</v>
      </c>
      <c r="Q42" s="180">
        <v>0</v>
      </c>
      <c r="R42" s="180">
        <v>0</v>
      </c>
      <c r="S42" s="180">
        <v>0</v>
      </c>
      <c r="T42" s="180">
        <v>0</v>
      </c>
      <c r="U42" s="180">
        <v>0</v>
      </c>
      <c r="V42" s="101" t="e">
        <f t="shared" si="2"/>
        <v>#DIV/0!</v>
      </c>
      <c r="W42" s="21">
        <f t="shared" si="7"/>
        <v>0.1</v>
      </c>
      <c r="X42" s="130">
        <f t="shared" si="8"/>
        <v>0</v>
      </c>
      <c r="Y42" s="130">
        <f t="shared" si="92"/>
        <v>0</v>
      </c>
      <c r="Z42" s="130">
        <f t="shared" si="93"/>
        <v>0</v>
      </c>
      <c r="AA42" s="130">
        <f t="shared" si="94"/>
        <v>0</v>
      </c>
      <c r="AB42" s="130">
        <f t="shared" si="95"/>
        <v>0</v>
      </c>
      <c r="AC42" s="130">
        <f t="shared" si="96"/>
        <v>0</v>
      </c>
      <c r="AD42" s="130">
        <f t="shared" si="97"/>
        <v>0</v>
      </c>
      <c r="AE42" s="130">
        <f t="shared" si="98"/>
        <v>0</v>
      </c>
      <c r="AF42" s="130">
        <f t="shared" si="99"/>
        <v>0</v>
      </c>
      <c r="AG42" s="130">
        <f t="shared" si="100"/>
        <v>0</v>
      </c>
      <c r="AH42" s="115" t="e">
        <f t="shared" si="101"/>
        <v>#DIV/0!</v>
      </c>
      <c r="AI42" s="21">
        <f t="shared" si="18"/>
        <v>0.02</v>
      </c>
      <c r="AJ42" s="123">
        <f t="shared" si="102"/>
        <v>0</v>
      </c>
    </row>
    <row r="43" spans="1:36">
      <c r="A43" s="301"/>
      <c r="B43" s="177" t="s">
        <v>415</v>
      </c>
      <c r="C43" s="118"/>
      <c r="D43" s="118"/>
      <c r="E43" s="124"/>
      <c r="F43" s="180"/>
      <c r="G43" s="180">
        <f t="shared" si="108"/>
        <v>0</v>
      </c>
      <c r="H43" s="180">
        <f t="shared" si="108"/>
        <v>0</v>
      </c>
      <c r="I43" s="180">
        <f>J43</f>
        <v>0</v>
      </c>
      <c r="J43" s="180">
        <v>0</v>
      </c>
      <c r="K43" s="180">
        <v>0</v>
      </c>
      <c r="L43" s="180">
        <v>0</v>
      </c>
      <c r="M43" s="180">
        <v>0</v>
      </c>
      <c r="N43" s="180">
        <v>0</v>
      </c>
      <c r="O43" s="180">
        <v>0</v>
      </c>
      <c r="P43" s="180">
        <v>0</v>
      </c>
      <c r="Q43" s="180">
        <v>0</v>
      </c>
      <c r="R43" s="180">
        <v>0</v>
      </c>
      <c r="S43" s="180">
        <v>0</v>
      </c>
      <c r="T43" s="180">
        <v>0</v>
      </c>
      <c r="U43" s="180">
        <v>0</v>
      </c>
      <c r="V43" s="101" t="e">
        <f t="shared" si="2"/>
        <v>#DIV/0!</v>
      </c>
      <c r="W43" s="21">
        <f t="shared" si="7"/>
        <v>0.1</v>
      </c>
      <c r="X43" s="130">
        <f t="shared" si="8"/>
        <v>0</v>
      </c>
      <c r="Y43" s="130">
        <f t="shared" si="92"/>
        <v>0</v>
      </c>
      <c r="Z43" s="130">
        <f t="shared" si="93"/>
        <v>0</v>
      </c>
      <c r="AA43" s="130">
        <f t="shared" si="94"/>
        <v>0</v>
      </c>
      <c r="AB43" s="130">
        <f t="shared" si="95"/>
        <v>0</v>
      </c>
      <c r="AC43" s="130">
        <f t="shared" si="96"/>
        <v>0</v>
      </c>
      <c r="AD43" s="130">
        <f t="shared" si="97"/>
        <v>0</v>
      </c>
      <c r="AE43" s="130">
        <f t="shared" si="98"/>
        <v>0</v>
      </c>
      <c r="AF43" s="130">
        <f t="shared" si="99"/>
        <v>0</v>
      </c>
      <c r="AG43" s="130">
        <f t="shared" si="100"/>
        <v>0</v>
      </c>
      <c r="AH43" s="115" t="e">
        <f t="shared" si="101"/>
        <v>#DIV/0!</v>
      </c>
      <c r="AI43" s="21">
        <f t="shared" si="18"/>
        <v>0.02</v>
      </c>
      <c r="AJ43" s="123">
        <f t="shared" si="102"/>
        <v>0</v>
      </c>
    </row>
    <row r="44" spans="1:36">
      <c r="A44" s="301"/>
      <c r="B44" s="177"/>
      <c r="C44" s="118"/>
      <c r="D44" s="118"/>
      <c r="E44" s="124"/>
      <c r="F44" s="127"/>
      <c r="G44" s="127" t="e">
        <f t="shared" ref="G44:S44" si="109">(G43-F43)/F43</f>
        <v>#DIV/0!</v>
      </c>
      <c r="H44" s="127" t="e">
        <f t="shared" si="109"/>
        <v>#DIV/0!</v>
      </c>
      <c r="I44" s="127" t="e">
        <f t="shared" si="109"/>
        <v>#DIV/0!</v>
      </c>
      <c r="J44" s="127" t="e">
        <f t="shared" si="109"/>
        <v>#DIV/0!</v>
      </c>
      <c r="K44" s="127" t="e">
        <f t="shared" si="109"/>
        <v>#DIV/0!</v>
      </c>
      <c r="L44" s="127" t="e">
        <f t="shared" si="109"/>
        <v>#DIV/0!</v>
      </c>
      <c r="M44" s="127" t="e">
        <f t="shared" si="109"/>
        <v>#DIV/0!</v>
      </c>
      <c r="N44" s="127" t="e">
        <f t="shared" si="109"/>
        <v>#DIV/0!</v>
      </c>
      <c r="O44" s="127" t="e">
        <f t="shared" si="109"/>
        <v>#DIV/0!</v>
      </c>
      <c r="P44" s="127" t="e">
        <f t="shared" si="109"/>
        <v>#DIV/0!</v>
      </c>
      <c r="Q44" s="127" t="e">
        <f t="shared" si="109"/>
        <v>#DIV/0!</v>
      </c>
      <c r="R44" s="127" t="e">
        <f t="shared" si="109"/>
        <v>#DIV/0!</v>
      </c>
      <c r="S44" s="127" t="e">
        <f t="shared" si="109"/>
        <v>#DIV/0!</v>
      </c>
      <c r="T44" s="127" t="e">
        <f t="shared" ref="T44:U44" si="110">(T43-S43)/S43</f>
        <v>#DIV/0!</v>
      </c>
      <c r="U44" s="127" t="e">
        <f t="shared" si="110"/>
        <v>#DIV/0!</v>
      </c>
      <c r="V44" s="10"/>
      <c r="W44" s="1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23"/>
    </row>
    <row r="45" spans="1:36">
      <c r="A45" s="301"/>
      <c r="B45" s="177" t="s">
        <v>191</v>
      </c>
      <c r="C45" s="118"/>
      <c r="D45" s="118"/>
      <c r="E45" s="124"/>
      <c r="F45" s="180"/>
      <c r="G45" s="180">
        <f t="shared" ref="G45:H45" si="111">H45</f>
        <v>0</v>
      </c>
      <c r="H45" s="180">
        <f t="shared" si="111"/>
        <v>0</v>
      </c>
      <c r="I45" s="180">
        <f>J45</f>
        <v>0</v>
      </c>
      <c r="J45" s="180">
        <v>0</v>
      </c>
      <c r="K45" s="180">
        <v>0</v>
      </c>
      <c r="L45" s="180">
        <v>0</v>
      </c>
      <c r="M45" s="180">
        <v>0</v>
      </c>
      <c r="N45" s="180">
        <v>0</v>
      </c>
      <c r="O45" s="180">
        <v>0</v>
      </c>
      <c r="P45" s="180">
        <v>0</v>
      </c>
      <c r="Q45" s="180">
        <v>0</v>
      </c>
      <c r="R45" s="180">
        <v>0</v>
      </c>
      <c r="S45" s="180">
        <v>0</v>
      </c>
      <c r="T45" s="180">
        <v>0</v>
      </c>
      <c r="U45" s="180"/>
      <c r="V45" s="101" t="e">
        <f t="shared" si="2"/>
        <v>#DIV/0!</v>
      </c>
      <c r="W45" s="21">
        <f t="shared" si="7"/>
        <v>0.1</v>
      </c>
      <c r="X45" s="130">
        <f t="shared" si="8"/>
        <v>0</v>
      </c>
      <c r="Y45" s="130">
        <f t="shared" si="92"/>
        <v>0</v>
      </c>
      <c r="Z45" s="130">
        <f t="shared" si="93"/>
        <v>0</v>
      </c>
      <c r="AA45" s="130">
        <f t="shared" si="94"/>
        <v>0</v>
      </c>
      <c r="AB45" s="130">
        <f t="shared" si="95"/>
        <v>0</v>
      </c>
      <c r="AC45" s="130">
        <f t="shared" si="96"/>
        <v>0</v>
      </c>
      <c r="AD45" s="130">
        <f t="shared" si="97"/>
        <v>0</v>
      </c>
      <c r="AE45" s="130">
        <f t="shared" si="98"/>
        <v>0</v>
      </c>
      <c r="AF45" s="130">
        <f t="shared" si="99"/>
        <v>0</v>
      </c>
      <c r="AG45" s="130">
        <f t="shared" si="100"/>
        <v>0</v>
      </c>
      <c r="AH45" s="115" t="e">
        <f t="shared" si="101"/>
        <v>#DIV/0!</v>
      </c>
      <c r="AI45" s="21">
        <f t="shared" si="18"/>
        <v>0.02</v>
      </c>
      <c r="AJ45" s="123">
        <f t="shared" si="102"/>
        <v>0</v>
      </c>
    </row>
    <row r="46" spans="1:36">
      <c r="A46" s="178"/>
      <c r="B46" s="177"/>
      <c r="C46" s="118"/>
      <c r="D46" s="118"/>
      <c r="E46" s="124"/>
      <c r="F46" s="127"/>
      <c r="G46" s="127" t="e">
        <f t="shared" ref="G46:S46" si="112">(G45-F45)/F45</f>
        <v>#DIV/0!</v>
      </c>
      <c r="H46" s="127" t="e">
        <f t="shared" si="112"/>
        <v>#DIV/0!</v>
      </c>
      <c r="I46" s="127" t="e">
        <f t="shared" si="112"/>
        <v>#DIV/0!</v>
      </c>
      <c r="J46" s="127" t="e">
        <f t="shared" si="112"/>
        <v>#DIV/0!</v>
      </c>
      <c r="K46" s="127" t="e">
        <f t="shared" si="112"/>
        <v>#DIV/0!</v>
      </c>
      <c r="L46" s="127" t="e">
        <f t="shared" si="112"/>
        <v>#DIV/0!</v>
      </c>
      <c r="M46" s="127" t="e">
        <f t="shared" si="112"/>
        <v>#DIV/0!</v>
      </c>
      <c r="N46" s="127" t="e">
        <f t="shared" si="112"/>
        <v>#DIV/0!</v>
      </c>
      <c r="O46" s="127" t="e">
        <f t="shared" si="112"/>
        <v>#DIV/0!</v>
      </c>
      <c r="P46" s="127" t="e">
        <f t="shared" si="112"/>
        <v>#DIV/0!</v>
      </c>
      <c r="Q46" s="127" t="e">
        <f t="shared" si="112"/>
        <v>#DIV/0!</v>
      </c>
      <c r="R46" s="127" t="e">
        <f t="shared" si="112"/>
        <v>#DIV/0!</v>
      </c>
      <c r="S46" s="127" t="e">
        <f t="shared" si="112"/>
        <v>#DIV/0!</v>
      </c>
      <c r="T46" s="127" t="e">
        <f t="shared" ref="T46:U46" si="113">(T45-S45)/S45</f>
        <v>#DIV/0!</v>
      </c>
      <c r="U46" s="127" t="e">
        <f t="shared" si="113"/>
        <v>#DIV/0!</v>
      </c>
      <c r="V46" s="10"/>
      <c r="W46" s="1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23"/>
    </row>
    <row r="47" spans="1:36">
      <c r="A47" s="178"/>
      <c r="B47" s="177" t="s">
        <v>428</v>
      </c>
      <c r="C47" s="118"/>
      <c r="D47" s="118"/>
      <c r="E47" s="124"/>
      <c r="F47" s="180"/>
      <c r="G47" s="180">
        <f t="shared" ref="G47:H47" si="114">H47</f>
        <v>0</v>
      </c>
      <c r="H47" s="180">
        <f t="shared" si="114"/>
        <v>0</v>
      </c>
      <c r="I47" s="180">
        <f>J47</f>
        <v>0</v>
      </c>
      <c r="J47" s="180">
        <v>0</v>
      </c>
      <c r="K47" s="180">
        <v>0</v>
      </c>
      <c r="L47" s="180">
        <v>0</v>
      </c>
      <c r="M47" s="180">
        <v>0</v>
      </c>
      <c r="N47" s="180">
        <v>0</v>
      </c>
      <c r="O47" s="180">
        <v>0</v>
      </c>
      <c r="P47" s="180">
        <v>0</v>
      </c>
      <c r="Q47" s="180">
        <v>0</v>
      </c>
      <c r="R47" s="180">
        <v>0</v>
      </c>
      <c r="S47" s="180">
        <v>0</v>
      </c>
      <c r="T47" s="180">
        <v>0</v>
      </c>
      <c r="U47" s="180"/>
      <c r="V47" s="101" t="e">
        <f t="shared" si="2"/>
        <v>#DIV/0!</v>
      </c>
      <c r="W47" s="21">
        <f t="shared" si="7"/>
        <v>0.1</v>
      </c>
      <c r="X47" s="130">
        <f t="shared" si="8"/>
        <v>0</v>
      </c>
      <c r="Y47" s="130">
        <f t="shared" ref="Y47" si="115">X47*(1+$W47)</f>
        <v>0</v>
      </c>
      <c r="Z47" s="130">
        <f t="shared" ref="Z47" si="116">Y47*(1+$W47)</f>
        <v>0</v>
      </c>
      <c r="AA47" s="130">
        <f t="shared" ref="AA47" si="117">Z47*(1+$W47)</f>
        <v>0</v>
      </c>
      <c r="AB47" s="130">
        <f t="shared" ref="AB47" si="118">AA47*(1+$W47)</f>
        <v>0</v>
      </c>
      <c r="AC47" s="130">
        <f t="shared" ref="AC47" si="119">AB47*(1+$W47)</f>
        <v>0</v>
      </c>
      <c r="AD47" s="130">
        <f t="shared" ref="AD47" si="120">AC47*(1+$W47)</f>
        <v>0</v>
      </c>
      <c r="AE47" s="130">
        <f t="shared" ref="AE47" si="121">AD47*(1+$W47)</f>
        <v>0</v>
      </c>
      <c r="AF47" s="130">
        <f t="shared" ref="AF47" si="122">AE47*(1+$W47)</f>
        <v>0</v>
      </c>
      <c r="AG47" s="130">
        <f t="shared" ref="AG47" si="123">AF47*(1+$W47)</f>
        <v>0</v>
      </c>
      <c r="AH47" s="115" t="e">
        <f t="shared" ref="AH47" si="124">((AG47/J47)^(1/($AG$3-$K$1) ))-1</f>
        <v>#DIV/0!</v>
      </c>
      <c r="AI47" s="21">
        <f t="shared" si="18"/>
        <v>0.02</v>
      </c>
      <c r="AJ47" s="123">
        <f t="shared" si="102"/>
        <v>0</v>
      </c>
    </row>
    <row r="48" spans="1:36">
      <c r="A48" s="178"/>
      <c r="B48" s="177"/>
      <c r="C48" s="118"/>
      <c r="D48" s="118"/>
      <c r="E48" s="124"/>
      <c r="F48" s="127"/>
      <c r="G48" s="127" t="e">
        <f t="shared" ref="G48:S48" si="125">(G47-F47)/F47</f>
        <v>#DIV/0!</v>
      </c>
      <c r="H48" s="127" t="e">
        <f t="shared" si="125"/>
        <v>#DIV/0!</v>
      </c>
      <c r="I48" s="127" t="e">
        <f t="shared" si="125"/>
        <v>#DIV/0!</v>
      </c>
      <c r="J48" s="127" t="e">
        <f t="shared" si="125"/>
        <v>#DIV/0!</v>
      </c>
      <c r="K48" s="127" t="e">
        <f t="shared" si="125"/>
        <v>#DIV/0!</v>
      </c>
      <c r="L48" s="127" t="e">
        <f t="shared" si="125"/>
        <v>#DIV/0!</v>
      </c>
      <c r="M48" s="127" t="e">
        <f t="shared" si="125"/>
        <v>#DIV/0!</v>
      </c>
      <c r="N48" s="127" t="e">
        <f t="shared" si="125"/>
        <v>#DIV/0!</v>
      </c>
      <c r="O48" s="127" t="e">
        <f t="shared" si="125"/>
        <v>#DIV/0!</v>
      </c>
      <c r="P48" s="127" t="e">
        <f t="shared" si="125"/>
        <v>#DIV/0!</v>
      </c>
      <c r="Q48" s="127" t="e">
        <f t="shared" si="125"/>
        <v>#DIV/0!</v>
      </c>
      <c r="R48" s="127" t="e">
        <f t="shared" si="125"/>
        <v>#DIV/0!</v>
      </c>
      <c r="S48" s="127" t="e">
        <f t="shared" si="125"/>
        <v>#DIV/0!</v>
      </c>
      <c r="T48" s="127" t="e">
        <f t="shared" ref="T48:U48" si="126">(T47-S47)/S47</f>
        <v>#DIV/0!</v>
      </c>
      <c r="U48" s="127" t="e">
        <f t="shared" si="126"/>
        <v>#DIV/0!</v>
      </c>
      <c r="V48" s="10"/>
      <c r="W48" s="1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23"/>
    </row>
    <row r="49" spans="1:36">
      <c r="A49" s="178"/>
      <c r="B49" s="177" t="s">
        <v>419</v>
      </c>
      <c r="C49" s="118"/>
      <c r="D49" s="118"/>
      <c r="E49" s="124"/>
      <c r="F49" s="180"/>
      <c r="G49" s="180">
        <f t="shared" ref="G49:H49" si="127">H49</f>
        <v>0</v>
      </c>
      <c r="H49" s="180">
        <f t="shared" si="127"/>
        <v>0</v>
      </c>
      <c r="I49" s="180">
        <f>J49</f>
        <v>0</v>
      </c>
      <c r="J49" s="180">
        <v>0</v>
      </c>
      <c r="K49" s="180">
        <v>0</v>
      </c>
      <c r="L49" s="180">
        <v>0</v>
      </c>
      <c r="M49" s="180">
        <v>0</v>
      </c>
      <c r="N49" s="180">
        <v>0</v>
      </c>
      <c r="O49" s="180">
        <v>0</v>
      </c>
      <c r="P49" s="180">
        <v>0</v>
      </c>
      <c r="Q49" s="180">
        <v>0</v>
      </c>
      <c r="R49" s="180">
        <v>0</v>
      </c>
      <c r="S49" s="180">
        <v>0</v>
      </c>
      <c r="T49" s="180">
        <v>0</v>
      </c>
      <c r="U49" s="180"/>
      <c r="V49" s="101" t="e">
        <f t="shared" si="2"/>
        <v>#DIV/0!</v>
      </c>
      <c r="W49" s="21">
        <f t="shared" si="7"/>
        <v>0.1</v>
      </c>
      <c r="X49" s="130">
        <f t="shared" si="8"/>
        <v>0</v>
      </c>
      <c r="Y49" s="130">
        <f t="shared" si="92"/>
        <v>0</v>
      </c>
      <c r="Z49" s="130">
        <f t="shared" si="93"/>
        <v>0</v>
      </c>
      <c r="AA49" s="130">
        <f t="shared" si="94"/>
        <v>0</v>
      </c>
      <c r="AB49" s="130">
        <f t="shared" si="95"/>
        <v>0</v>
      </c>
      <c r="AC49" s="130">
        <f t="shared" si="96"/>
        <v>0</v>
      </c>
      <c r="AD49" s="130">
        <f t="shared" si="97"/>
        <v>0</v>
      </c>
      <c r="AE49" s="130">
        <f t="shared" si="98"/>
        <v>0</v>
      </c>
      <c r="AF49" s="130">
        <f t="shared" si="99"/>
        <v>0</v>
      </c>
      <c r="AG49" s="130">
        <f t="shared" si="100"/>
        <v>0</v>
      </c>
      <c r="AH49" s="115" t="e">
        <f t="shared" si="101"/>
        <v>#DIV/0!</v>
      </c>
      <c r="AI49" s="21">
        <f t="shared" si="18"/>
        <v>0.02</v>
      </c>
      <c r="AJ49" s="123">
        <f t="shared" si="102"/>
        <v>0</v>
      </c>
    </row>
    <row r="50" spans="1:36">
      <c r="B50" s="10"/>
      <c r="C50" s="118"/>
      <c r="D50" s="118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0"/>
      <c r="W50" s="1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16"/>
      <c r="AI50" s="114"/>
      <c r="AJ50" s="130"/>
    </row>
    <row r="51" spans="1:36">
      <c r="B51" s="10" t="s">
        <v>229</v>
      </c>
      <c r="C51" s="118"/>
      <c r="D51" s="118"/>
      <c r="E51" s="124"/>
      <c r="F51" s="124"/>
      <c r="G51" s="124">
        <v>22</v>
      </c>
      <c r="H51" s="124">
        <v>24</v>
      </c>
      <c r="I51" s="124">
        <v>53</v>
      </c>
      <c r="J51" s="124">
        <v>93</v>
      </c>
      <c r="K51" s="124">
        <v>182</v>
      </c>
      <c r="L51" s="124">
        <v>208</v>
      </c>
      <c r="M51" s="124">
        <v>293</v>
      </c>
      <c r="N51" s="124">
        <v>258</v>
      </c>
      <c r="O51" s="124">
        <v>356</v>
      </c>
      <c r="P51" s="124">
        <v>452</v>
      </c>
      <c r="Q51" s="124">
        <v>560</v>
      </c>
      <c r="R51" s="180">
        <v>709</v>
      </c>
      <c r="S51" s="180">
        <v>817</v>
      </c>
      <c r="T51" s="180">
        <v>849</v>
      </c>
      <c r="U51" s="180">
        <v>883</v>
      </c>
      <c r="V51" s="101">
        <f t="shared" si="2"/>
        <v>0.30178250365215731</v>
      </c>
      <c r="W51" s="21">
        <f t="shared" si="7"/>
        <v>0.1</v>
      </c>
      <c r="X51" s="130">
        <f t="shared" si="8"/>
        <v>971.30000000000007</v>
      </c>
      <c r="Y51" s="130">
        <f t="shared" ref="Y51" si="128">X51*(1+$W51)</f>
        <v>1068.43</v>
      </c>
      <c r="Z51" s="130">
        <f t="shared" ref="Z51" si="129">Y51*(1+$W51)</f>
        <v>1175.2730000000001</v>
      </c>
      <c r="AA51" s="130">
        <f t="shared" ref="AA51" si="130">Z51*(1+$W51)</f>
        <v>1292.8003000000003</v>
      </c>
      <c r="AB51" s="130">
        <f t="shared" si="42"/>
        <v>1422.0803300000005</v>
      </c>
      <c r="AC51" s="130">
        <f t="shared" si="43"/>
        <v>1564.2883630000006</v>
      </c>
      <c r="AD51" s="130">
        <f t="shared" si="44"/>
        <v>1720.7171993000009</v>
      </c>
      <c r="AE51" s="130">
        <f t="shared" si="45"/>
        <v>1892.7889192300011</v>
      </c>
      <c r="AF51" s="130">
        <f t="shared" si="46"/>
        <v>2082.0678111530015</v>
      </c>
      <c r="AG51" s="130">
        <f t="shared" si="47"/>
        <v>2290.2745922683016</v>
      </c>
      <c r="AH51" s="115">
        <f t="shared" si="20"/>
        <v>0.14281305239838482</v>
      </c>
      <c r="AI51" s="21">
        <f t="shared" si="18"/>
        <v>0.02</v>
      </c>
      <c r="AJ51" s="123">
        <f t="shared" si="1"/>
        <v>11680.400420568336</v>
      </c>
    </row>
    <row r="52" spans="1:36" s="106" customFormat="1">
      <c r="B52" s="13"/>
      <c r="C52" s="125"/>
      <c r="D52" s="125"/>
      <c r="E52" s="126"/>
      <c r="F52" s="268"/>
      <c r="G52" s="268">
        <f t="shared" ref="G52:Q52" si="131">(G51-F51)/G51</f>
        <v>1</v>
      </c>
      <c r="H52" s="268">
        <f t="shared" si="131"/>
        <v>8.3333333333333329E-2</v>
      </c>
      <c r="I52" s="268">
        <f t="shared" si="131"/>
        <v>0.54716981132075471</v>
      </c>
      <c r="J52" s="268">
        <f t="shared" si="131"/>
        <v>0.43010752688172044</v>
      </c>
      <c r="K52" s="268">
        <f t="shared" si="131"/>
        <v>0.48901098901098899</v>
      </c>
      <c r="L52" s="268">
        <f t="shared" si="131"/>
        <v>0.125</v>
      </c>
      <c r="M52" s="268">
        <f t="shared" si="131"/>
        <v>0.29010238907849828</v>
      </c>
      <c r="N52" s="268">
        <f t="shared" si="131"/>
        <v>-0.13565891472868216</v>
      </c>
      <c r="O52" s="268">
        <f t="shared" si="131"/>
        <v>0.2752808988764045</v>
      </c>
      <c r="P52" s="268">
        <f t="shared" si="131"/>
        <v>0.21238938053097345</v>
      </c>
      <c r="Q52" s="268">
        <f t="shared" si="131"/>
        <v>0.19285714285714287</v>
      </c>
      <c r="R52" s="127">
        <f t="shared" ref="R52:S52" si="132">(R51-Q51)/Q51</f>
        <v>0.26607142857142857</v>
      </c>
      <c r="S52" s="127">
        <f t="shared" si="132"/>
        <v>0.15232722143864599</v>
      </c>
      <c r="T52" s="127">
        <f t="shared" ref="T52:U52" si="133">(T51-S51)/S51</f>
        <v>3.9167686658506728E-2</v>
      </c>
      <c r="U52" s="127">
        <f t="shared" si="133"/>
        <v>4.0047114252061249E-2</v>
      </c>
      <c r="V52" s="10"/>
      <c r="W52" s="10"/>
      <c r="X52" s="130"/>
      <c r="Y52" s="131"/>
      <c r="Z52" s="131"/>
      <c r="AA52" s="131"/>
      <c r="AB52" s="131"/>
      <c r="AC52" s="131"/>
      <c r="AD52" s="131"/>
      <c r="AE52" s="131"/>
      <c r="AF52" s="131"/>
      <c r="AG52" s="131"/>
      <c r="AH52" s="116"/>
      <c r="AI52" s="114"/>
      <c r="AJ52" s="132"/>
    </row>
    <row r="53" spans="1:36" s="106" customFormat="1">
      <c r="B53" s="10" t="s">
        <v>342</v>
      </c>
      <c r="C53" s="125"/>
      <c r="D53" s="125"/>
      <c r="E53" s="126"/>
      <c r="F53" s="124"/>
      <c r="G53" s="124">
        <v>1</v>
      </c>
      <c r="H53" s="124">
        <v>12</v>
      </c>
      <c r="I53" s="124">
        <v>37</v>
      </c>
      <c r="J53" s="124">
        <v>72</v>
      </c>
      <c r="K53" s="124">
        <v>146</v>
      </c>
      <c r="L53" s="124">
        <v>124</v>
      </c>
      <c r="M53" s="124">
        <v>255</v>
      </c>
      <c r="N53" s="124">
        <v>220</v>
      </c>
      <c r="O53" s="124">
        <v>318</v>
      </c>
      <c r="P53" s="124">
        <v>422</v>
      </c>
      <c r="Q53" s="124">
        <v>536</v>
      </c>
      <c r="R53" s="180">
        <v>610</v>
      </c>
      <c r="S53" s="180">
        <v>722</v>
      </c>
      <c r="T53" s="180">
        <v>702</v>
      </c>
      <c r="U53" s="180">
        <v>715</v>
      </c>
      <c r="V53" s="101">
        <f t="shared" si="2"/>
        <v>0.59911244435066191</v>
      </c>
      <c r="W53" s="21">
        <f t="shared" si="7"/>
        <v>0.1</v>
      </c>
      <c r="X53" s="130">
        <f t="shared" si="8"/>
        <v>786.50000000000011</v>
      </c>
      <c r="Y53" s="130">
        <f t="shared" ref="Y53" si="134">X53*(1+$W53)</f>
        <v>865.1500000000002</v>
      </c>
      <c r="Z53" s="130">
        <f t="shared" ref="Z53" si="135">Y53*(1+$W53)</f>
        <v>951.6650000000003</v>
      </c>
      <c r="AA53" s="130">
        <f t="shared" ref="AA53" si="136">Z53*(1+$W53)</f>
        <v>1046.8315000000005</v>
      </c>
      <c r="AB53" s="130">
        <f t="shared" ref="AB53" si="137">AA53*(1+$W53)</f>
        <v>1151.5146500000005</v>
      </c>
      <c r="AC53" s="130">
        <f t="shared" ref="AC53" si="138">AB53*(1+$W53)</f>
        <v>1266.6661150000007</v>
      </c>
      <c r="AD53" s="130">
        <f t="shared" ref="AD53" si="139">AC53*(1+$W53)</f>
        <v>1393.3327265000009</v>
      </c>
      <c r="AE53" s="130">
        <f t="shared" ref="AE53" si="140">AD53*(1+$W53)</f>
        <v>1532.6659991500012</v>
      </c>
      <c r="AF53" s="130">
        <f t="shared" ref="AF53" si="141">AE53*(1+$W53)</f>
        <v>1685.9325990650013</v>
      </c>
      <c r="AG53" s="130">
        <f t="shared" ref="AG53" si="142">AF53*(1+$W53)</f>
        <v>1854.5258589715015</v>
      </c>
      <c r="AH53" s="115">
        <f t="shared" ref="AH53" si="143">((AG53/J53)^(1/($AG$3-$K$1) ))-1</f>
        <v>0.14495262343602167</v>
      </c>
      <c r="AI53" s="21">
        <f t="shared" si="18"/>
        <v>0.02</v>
      </c>
      <c r="AJ53" s="123">
        <f t="shared" ref="AJ53" si="144">(AG53*(1+AI53))/($C$1-AI53)</f>
        <v>9458.0818807546566</v>
      </c>
    </row>
    <row r="54" spans="1:36" s="106" customFormat="1">
      <c r="B54" s="13"/>
      <c r="C54" s="125"/>
      <c r="D54" s="125"/>
      <c r="E54" s="126"/>
      <c r="F54" s="268"/>
      <c r="G54" s="268">
        <f t="shared" ref="G54:Q54" si="145">(G53-F53)/G53</f>
        <v>1</v>
      </c>
      <c r="H54" s="268">
        <f t="shared" si="145"/>
        <v>0.91666666666666663</v>
      </c>
      <c r="I54" s="268">
        <f t="shared" si="145"/>
        <v>0.67567567567567566</v>
      </c>
      <c r="J54" s="268">
        <f t="shared" si="145"/>
        <v>0.4861111111111111</v>
      </c>
      <c r="K54" s="268">
        <f t="shared" si="145"/>
        <v>0.50684931506849318</v>
      </c>
      <c r="L54" s="268">
        <f t="shared" si="145"/>
        <v>-0.17741935483870969</v>
      </c>
      <c r="M54" s="268">
        <f t="shared" si="145"/>
        <v>0.51372549019607838</v>
      </c>
      <c r="N54" s="268">
        <f t="shared" si="145"/>
        <v>-0.15909090909090909</v>
      </c>
      <c r="O54" s="268">
        <f t="shared" si="145"/>
        <v>0.3081761006289308</v>
      </c>
      <c r="P54" s="268">
        <f t="shared" si="145"/>
        <v>0.24644549763033174</v>
      </c>
      <c r="Q54" s="268">
        <f t="shared" si="145"/>
        <v>0.21268656716417911</v>
      </c>
      <c r="R54" s="127">
        <f t="shared" ref="R54:S54" si="146">(R53-Q53)/Q53</f>
        <v>0.13805970149253732</v>
      </c>
      <c r="S54" s="127">
        <f t="shared" si="146"/>
        <v>0.18360655737704917</v>
      </c>
      <c r="T54" s="127">
        <f t="shared" ref="T54:U54" si="147">(T53-S53)/S53</f>
        <v>-2.7700831024930747E-2</v>
      </c>
      <c r="U54" s="127">
        <f t="shared" si="147"/>
        <v>1.8518518518518517E-2</v>
      </c>
      <c r="V54" s="10"/>
      <c r="W54" s="10"/>
      <c r="X54" s="130"/>
      <c r="Y54" s="131"/>
      <c r="Z54" s="131"/>
      <c r="AA54" s="131"/>
      <c r="AB54" s="131"/>
      <c r="AC54" s="131"/>
      <c r="AD54" s="131"/>
      <c r="AE54" s="131"/>
      <c r="AF54" s="131"/>
      <c r="AG54" s="131"/>
      <c r="AH54" s="116"/>
      <c r="AI54" s="114"/>
      <c r="AJ54" s="132"/>
    </row>
    <row r="55" spans="1:36">
      <c r="B55" s="10" t="s">
        <v>343</v>
      </c>
      <c r="C55" s="118"/>
      <c r="D55" s="118"/>
      <c r="E55" s="124"/>
      <c r="F55" s="124"/>
      <c r="G55" s="124">
        <v>1</v>
      </c>
      <c r="H55" s="124">
        <v>9</v>
      </c>
      <c r="I55" s="124">
        <v>24</v>
      </c>
      <c r="J55" s="124">
        <v>47</v>
      </c>
      <c r="K55" s="124">
        <v>94</v>
      </c>
      <c r="L55" s="124">
        <v>81</v>
      </c>
      <c r="M55" s="124">
        <v>167</v>
      </c>
      <c r="N55" s="124">
        <v>148</v>
      </c>
      <c r="O55" s="124">
        <v>215</v>
      </c>
      <c r="P55" s="124">
        <v>287</v>
      </c>
      <c r="Q55" s="124">
        <v>367</v>
      </c>
      <c r="R55" s="180">
        <v>410</v>
      </c>
      <c r="S55" s="180">
        <v>489</v>
      </c>
      <c r="T55" s="180">
        <v>478</v>
      </c>
      <c r="U55" s="180">
        <v>471</v>
      </c>
      <c r="V55" s="101">
        <f t="shared" si="2"/>
        <v>0.55213704647116657</v>
      </c>
      <c r="W55" s="21">
        <f t="shared" si="7"/>
        <v>0.1</v>
      </c>
      <c r="X55" s="130">
        <f t="shared" si="8"/>
        <v>518.1</v>
      </c>
      <c r="Y55" s="130">
        <f t="shared" ref="Y55:AG55" si="148">X55*(1+$W55)</f>
        <v>569.91000000000008</v>
      </c>
      <c r="Z55" s="130">
        <f t="shared" si="148"/>
        <v>626.90100000000018</v>
      </c>
      <c r="AA55" s="130">
        <f t="shared" si="148"/>
        <v>689.59110000000021</v>
      </c>
      <c r="AB55" s="130">
        <f t="shared" si="148"/>
        <v>758.55021000000033</v>
      </c>
      <c r="AC55" s="130">
        <f t="shared" si="148"/>
        <v>834.40523100000041</v>
      </c>
      <c r="AD55" s="130">
        <f t="shared" si="148"/>
        <v>917.84575410000048</v>
      </c>
      <c r="AE55" s="130">
        <f t="shared" si="148"/>
        <v>1009.6303295100006</v>
      </c>
      <c r="AF55" s="130">
        <f t="shared" si="148"/>
        <v>1110.5933624610007</v>
      </c>
      <c r="AG55" s="130">
        <f t="shared" si="148"/>
        <v>1221.6526987071009</v>
      </c>
      <c r="AH55" s="115">
        <f t="shared" si="20"/>
        <v>0.14538655054813265</v>
      </c>
      <c r="AI55" s="21">
        <f t="shared" si="18"/>
        <v>0.02</v>
      </c>
      <c r="AJ55" s="123">
        <f t="shared" si="1"/>
        <v>6230.4287634062139</v>
      </c>
    </row>
    <row r="56" spans="1:36" s="106" customFormat="1">
      <c r="B56" s="13"/>
      <c r="C56" s="125"/>
      <c r="D56" s="125"/>
      <c r="E56" s="126"/>
      <c r="F56" s="268"/>
      <c r="G56" s="268">
        <f>(G55-F55)/G55</f>
        <v>1</v>
      </c>
      <c r="H56" s="268">
        <f t="shared" ref="H56:Q56" si="149">(H55-G55)/H55</f>
        <v>0.88888888888888884</v>
      </c>
      <c r="I56" s="268">
        <f t="shared" si="149"/>
        <v>0.625</v>
      </c>
      <c r="J56" s="268">
        <f t="shared" si="149"/>
        <v>0.48936170212765956</v>
      </c>
      <c r="K56" s="268">
        <f t="shared" si="149"/>
        <v>0.5</v>
      </c>
      <c r="L56" s="268">
        <f t="shared" si="149"/>
        <v>-0.16049382716049382</v>
      </c>
      <c r="M56" s="268">
        <f t="shared" si="149"/>
        <v>0.51497005988023947</v>
      </c>
      <c r="N56" s="268">
        <f t="shared" si="149"/>
        <v>-0.12837837837837837</v>
      </c>
      <c r="O56" s="268">
        <f t="shared" si="149"/>
        <v>0.3116279069767442</v>
      </c>
      <c r="P56" s="268">
        <f t="shared" si="149"/>
        <v>0.25087108013937282</v>
      </c>
      <c r="Q56" s="268">
        <f t="shared" si="149"/>
        <v>0.21798365122615804</v>
      </c>
      <c r="R56" s="127">
        <f t="shared" ref="R56:S56" si="150">(R55-Q55)/Q55</f>
        <v>0.11716621253405994</v>
      </c>
      <c r="S56" s="127">
        <f t="shared" si="150"/>
        <v>0.1926829268292683</v>
      </c>
      <c r="T56" s="127">
        <f t="shared" ref="T56:U56" si="151">(T55-S55)/S55</f>
        <v>-2.2494887525562373E-2</v>
      </c>
      <c r="U56" s="127">
        <f t="shared" si="151"/>
        <v>-1.4644351464435146E-2</v>
      </c>
      <c r="V56" s="10"/>
      <c r="W56" s="10"/>
      <c r="X56" s="130"/>
      <c r="Y56" s="131"/>
      <c r="Z56" s="131"/>
      <c r="AA56" s="131"/>
      <c r="AB56" s="131"/>
      <c r="AC56" s="131"/>
      <c r="AD56" s="131"/>
      <c r="AE56" s="131"/>
      <c r="AF56" s="131"/>
      <c r="AG56" s="131"/>
      <c r="AH56" s="116"/>
      <c r="AI56" s="114"/>
      <c r="AJ56" s="132"/>
    </row>
    <row r="57" spans="1:36">
      <c r="B57" s="10" t="s">
        <v>197</v>
      </c>
      <c r="C57" s="119"/>
      <c r="D57" s="119"/>
      <c r="E57" s="122"/>
      <c r="F57" s="124"/>
      <c r="G57" s="122">
        <v>1.1299999999999999</v>
      </c>
      <c r="H57" s="122">
        <v>1.1299999999999999</v>
      </c>
      <c r="I57" s="122">
        <v>1.1299999999999999</v>
      </c>
      <c r="J57" s="122">
        <v>1.1299999999999999</v>
      </c>
      <c r="K57" s="122">
        <v>5.69</v>
      </c>
      <c r="L57" s="122">
        <v>8.5399999999999991</v>
      </c>
      <c r="M57" s="122">
        <v>8.5399999999999991</v>
      </c>
      <c r="N57" s="122">
        <v>8.5399999999999991</v>
      </c>
      <c r="O57" s="122">
        <v>8.5399999999999991</v>
      </c>
      <c r="P57" s="122">
        <v>17.079999999999998</v>
      </c>
      <c r="Q57" s="122">
        <v>17.079999999999998</v>
      </c>
      <c r="R57" s="122">
        <v>17.079999999999998</v>
      </c>
      <c r="S57" s="122">
        <v>17.079999999999998</v>
      </c>
      <c r="T57" s="122">
        <v>17.079999999999998</v>
      </c>
      <c r="U57" s="122">
        <v>17.079999999999998</v>
      </c>
      <c r="V57" s="101">
        <f t="shared" si="2"/>
        <v>0.21406944787766835</v>
      </c>
      <c r="W57" s="21">
        <v>0.02</v>
      </c>
      <c r="X57" s="130">
        <f t="shared" si="8"/>
        <v>17.421599999999998</v>
      </c>
      <c r="Y57" s="130">
        <f>X57*(1+$W57)</f>
        <v>17.770031999999997</v>
      </c>
      <c r="Z57" s="130">
        <f t="shared" ref="Z57:AG57" si="152">Y57*(1+$W57)</f>
        <v>18.125432639999996</v>
      </c>
      <c r="AA57" s="130">
        <f t="shared" si="152"/>
        <v>18.487941292799995</v>
      </c>
      <c r="AB57" s="130">
        <f t="shared" si="152"/>
        <v>18.857700118655995</v>
      </c>
      <c r="AC57" s="130">
        <f t="shared" si="152"/>
        <v>19.234854121029116</v>
      </c>
      <c r="AD57" s="130">
        <f t="shared" si="152"/>
        <v>19.619551203449699</v>
      </c>
      <c r="AE57" s="130">
        <f t="shared" si="152"/>
        <v>20.011942227518695</v>
      </c>
      <c r="AF57" s="130">
        <f t="shared" si="152"/>
        <v>20.412181072069068</v>
      </c>
      <c r="AG57" s="130">
        <f t="shared" si="152"/>
        <v>20.82042469351045</v>
      </c>
      <c r="AH57" s="115">
        <f t="shared" si="20"/>
        <v>0.12908194883182467</v>
      </c>
      <c r="AI57" s="21">
        <f t="shared" si="18"/>
        <v>0.02</v>
      </c>
      <c r="AJ57" s="123">
        <f t="shared" si="1"/>
        <v>106.1841659369033</v>
      </c>
    </row>
    <row r="58" spans="1:36">
      <c r="B58" s="10"/>
      <c r="C58" s="119"/>
      <c r="D58" s="119"/>
      <c r="E58" s="120"/>
      <c r="F58" s="268"/>
      <c r="G58" s="268">
        <f>(G57-F57)/G57</f>
        <v>1</v>
      </c>
      <c r="H58" s="268">
        <f t="shared" ref="H58:Q58" si="153">(H57-G57)/H57</f>
        <v>0</v>
      </c>
      <c r="I58" s="268">
        <f t="shared" si="153"/>
        <v>0</v>
      </c>
      <c r="J58" s="268">
        <f t="shared" si="153"/>
        <v>0</v>
      </c>
      <c r="K58" s="268">
        <f t="shared" si="153"/>
        <v>0.80140597539543057</v>
      </c>
      <c r="L58" s="268">
        <f t="shared" si="153"/>
        <v>0.33372365339578441</v>
      </c>
      <c r="M58" s="268">
        <f t="shared" si="153"/>
        <v>0</v>
      </c>
      <c r="N58" s="268">
        <f t="shared" si="153"/>
        <v>0</v>
      </c>
      <c r="O58" s="268">
        <f t="shared" si="153"/>
        <v>0</v>
      </c>
      <c r="P58" s="268">
        <f t="shared" si="153"/>
        <v>0.5</v>
      </c>
      <c r="Q58" s="268">
        <f t="shared" si="153"/>
        <v>0</v>
      </c>
      <c r="R58" s="127">
        <f t="shared" ref="R58:S58" si="154">(R57-Q57)/Q57</f>
        <v>0</v>
      </c>
      <c r="S58" s="127">
        <f t="shared" si="154"/>
        <v>0</v>
      </c>
      <c r="T58" s="127">
        <f t="shared" ref="T58:U58" si="155">(T57-S57)/S57</f>
        <v>0</v>
      </c>
      <c r="U58" s="127">
        <f t="shared" si="155"/>
        <v>0</v>
      </c>
      <c r="V58" s="10"/>
      <c r="W58" s="1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16"/>
      <c r="AI58" s="114"/>
      <c r="AJ58" s="123"/>
    </row>
    <row r="59" spans="1:36">
      <c r="B59" s="10" t="s">
        <v>232</v>
      </c>
      <c r="C59" s="122"/>
      <c r="D59" s="122"/>
      <c r="E59" s="122"/>
      <c r="F59" s="124"/>
      <c r="G59" s="122">
        <v>1.5</v>
      </c>
      <c r="H59" s="122">
        <v>2</v>
      </c>
      <c r="I59" s="122">
        <v>2.5</v>
      </c>
      <c r="J59" s="122">
        <v>3.5</v>
      </c>
      <c r="K59" s="122">
        <v>0.7</v>
      </c>
      <c r="L59" s="122">
        <v>0.8</v>
      </c>
      <c r="M59" s="122">
        <v>2.9</v>
      </c>
      <c r="N59" s="122">
        <v>4.5999999999999996</v>
      </c>
      <c r="O59" s="122">
        <v>3.78</v>
      </c>
      <c r="P59" s="122">
        <v>2.52</v>
      </c>
      <c r="Q59" s="122">
        <v>3.23</v>
      </c>
      <c r="R59" s="122">
        <v>3.61</v>
      </c>
      <c r="S59" s="122">
        <v>4.25</v>
      </c>
      <c r="T59" s="122">
        <v>4.25</v>
      </c>
      <c r="U59" s="122">
        <v>4.1500000000000004</v>
      </c>
      <c r="V59" s="101">
        <f t="shared" si="2"/>
        <v>7.5395823663501949E-2</v>
      </c>
      <c r="W59" s="21">
        <v>0.02</v>
      </c>
      <c r="X59" s="130">
        <f t="shared" si="8"/>
        <v>4.2330000000000005</v>
      </c>
      <c r="Y59" s="130">
        <f t="shared" ref="Y59" si="156">X59*(1+$W59)</f>
        <v>4.3176600000000009</v>
      </c>
      <c r="Z59" s="130">
        <f t="shared" ref="Z59" si="157">Y59*(1+$W59)</f>
        <v>4.4040132000000014</v>
      </c>
      <c r="AA59" s="130">
        <f t="shared" ref="AA59" si="158">Z59*(1+$W59)</f>
        <v>4.4920934640000016</v>
      </c>
      <c r="AB59" s="130">
        <f t="shared" ref="AB59" si="159">AA59*(1+$W59)</f>
        <v>4.5819353332800015</v>
      </c>
      <c r="AC59" s="130">
        <f t="shared" ref="AC59" si="160">AB59*(1+$W59)</f>
        <v>4.6735740399456018</v>
      </c>
      <c r="AD59" s="130">
        <f t="shared" ref="AD59" si="161">AC59*(1+$W59)</f>
        <v>4.7670455207445137</v>
      </c>
      <c r="AE59" s="130">
        <f t="shared" ref="AE59" si="162">AD59*(1+$W59)</f>
        <v>4.8623864311594041</v>
      </c>
      <c r="AF59" s="130">
        <f t="shared" ref="AF59" si="163">AE59*(1+$W59)</f>
        <v>4.9596341597825919</v>
      </c>
      <c r="AG59" s="130">
        <f t="shared" ref="AG59" si="164">AF59*(1+$W59)</f>
        <v>5.0588268429782435</v>
      </c>
      <c r="AH59" s="115">
        <f t="shared" ref="AH59" si="165">((AG59/J59)^(1/($AG$3-$K$1) ))-1</f>
        <v>1.5467216372172299E-2</v>
      </c>
      <c r="AI59" s="21">
        <f t="shared" si="18"/>
        <v>0.02</v>
      </c>
      <c r="AJ59" s="123">
        <f t="shared" si="1"/>
        <v>25.800016899189043</v>
      </c>
    </row>
    <row r="60" spans="1:36">
      <c r="B60" s="10"/>
      <c r="C60" s="122"/>
      <c r="D60" s="122"/>
      <c r="E60" s="122"/>
      <c r="F60" s="127"/>
      <c r="G60" s="127" t="e">
        <f t="shared" ref="G60:S60" si="166">(G59-F59)/F59</f>
        <v>#DIV/0!</v>
      </c>
      <c r="H60" s="127">
        <f t="shared" si="166"/>
        <v>0.33333333333333331</v>
      </c>
      <c r="I60" s="127">
        <f t="shared" si="166"/>
        <v>0.25</v>
      </c>
      <c r="J60" s="127">
        <f t="shared" si="166"/>
        <v>0.4</v>
      </c>
      <c r="K60" s="127">
        <f t="shared" si="166"/>
        <v>-0.79999999999999993</v>
      </c>
      <c r="L60" s="127">
        <f t="shared" si="166"/>
        <v>0.14285714285714299</v>
      </c>
      <c r="M60" s="127">
        <f t="shared" si="166"/>
        <v>2.6249999999999996</v>
      </c>
      <c r="N60" s="127">
        <f t="shared" si="166"/>
        <v>0.58620689655172409</v>
      </c>
      <c r="O60" s="127">
        <f t="shared" si="166"/>
        <v>-0.17826086956521736</v>
      </c>
      <c r="P60" s="127">
        <f t="shared" si="166"/>
        <v>-0.33333333333333331</v>
      </c>
      <c r="Q60" s="127">
        <f t="shared" si="166"/>
        <v>0.28174603174603174</v>
      </c>
      <c r="R60" s="127">
        <f t="shared" si="166"/>
        <v>0.11764705882352938</v>
      </c>
      <c r="S60" s="127">
        <f t="shared" si="166"/>
        <v>0.17728531855955681</v>
      </c>
      <c r="T60" s="127">
        <f t="shared" ref="T60:U60" si="167">(T59-S59)/S59</f>
        <v>0</v>
      </c>
      <c r="U60" s="127">
        <f t="shared" si="167"/>
        <v>-2.3529411764705799E-2</v>
      </c>
      <c r="V60" s="10"/>
      <c r="W60" s="10"/>
      <c r="X60" s="130"/>
      <c r="Y60" s="130"/>
      <c r="Z60" s="130"/>
      <c r="AA60" s="130"/>
      <c r="AB60" s="130"/>
      <c r="AC60" s="130"/>
      <c r="AD60" s="130"/>
      <c r="AE60" s="130"/>
      <c r="AF60" s="130"/>
      <c r="AG60" s="130"/>
      <c r="AH60" s="116"/>
      <c r="AI60" s="114"/>
      <c r="AJ60" s="123"/>
    </row>
    <row r="61" spans="1:36">
      <c r="B61" s="10" t="s">
        <v>368</v>
      </c>
      <c r="C61" s="10"/>
      <c r="D61" s="10"/>
      <c r="E61" s="108"/>
      <c r="F61" s="124"/>
      <c r="G61" s="124">
        <v>0</v>
      </c>
      <c r="H61" s="124">
        <v>0</v>
      </c>
      <c r="I61" s="124">
        <v>0</v>
      </c>
      <c r="J61" s="124">
        <v>0</v>
      </c>
      <c r="K61" s="124" t="s">
        <v>506</v>
      </c>
      <c r="L61" s="124">
        <v>0</v>
      </c>
      <c r="M61" s="124">
        <v>0</v>
      </c>
      <c r="N61" s="124">
        <v>0</v>
      </c>
      <c r="O61" s="124">
        <v>0</v>
      </c>
      <c r="P61" s="124" t="s">
        <v>507</v>
      </c>
      <c r="Q61" s="122">
        <v>0</v>
      </c>
      <c r="R61" s="124">
        <v>0</v>
      </c>
      <c r="S61" s="124">
        <v>0</v>
      </c>
      <c r="T61" s="124">
        <v>0</v>
      </c>
      <c r="U61" s="124">
        <v>0</v>
      </c>
      <c r="V61" s="101" t="e">
        <f t="shared" si="2"/>
        <v>#DIV/0!</v>
      </c>
      <c r="W61" s="109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  <c r="AH61" s="116"/>
      <c r="AI61" s="114"/>
      <c r="AJ61" s="130"/>
    </row>
    <row r="62" spans="1:36">
      <c r="B62" s="10" t="s">
        <v>366</v>
      </c>
      <c r="C62" s="10"/>
      <c r="D62" s="10"/>
      <c r="E62" s="108"/>
      <c r="F62" s="124"/>
      <c r="G62" s="124">
        <v>0</v>
      </c>
      <c r="H62" s="124">
        <v>0</v>
      </c>
      <c r="I62" s="124">
        <v>0</v>
      </c>
      <c r="J62" s="124">
        <v>0</v>
      </c>
      <c r="K62" s="124">
        <v>0</v>
      </c>
      <c r="L62" s="124" t="s">
        <v>508</v>
      </c>
      <c r="M62" s="124">
        <v>0</v>
      </c>
      <c r="N62" s="124">
        <v>0</v>
      </c>
      <c r="O62" s="124">
        <v>0</v>
      </c>
      <c r="P62" s="124">
        <v>0</v>
      </c>
      <c r="Q62" s="124">
        <v>0</v>
      </c>
      <c r="R62" s="124">
        <v>0</v>
      </c>
      <c r="S62" s="124">
        <v>0</v>
      </c>
      <c r="T62" s="124">
        <v>0</v>
      </c>
      <c r="U62" s="124">
        <v>0</v>
      </c>
      <c r="V62" s="101" t="e">
        <f t="shared" si="2"/>
        <v>#DIV/0!</v>
      </c>
      <c r="W62" s="109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16"/>
      <c r="AI62" s="114"/>
      <c r="AJ62" s="130"/>
    </row>
    <row r="63" spans="1:36">
      <c r="B63" s="10" t="s">
        <v>367</v>
      </c>
      <c r="C63" s="10"/>
      <c r="D63" s="10"/>
      <c r="E63" s="108"/>
      <c r="F63" s="124"/>
      <c r="G63" s="124">
        <v>0</v>
      </c>
      <c r="H63" s="124">
        <v>0</v>
      </c>
      <c r="I63" s="124">
        <v>0</v>
      </c>
      <c r="J63" s="124">
        <v>0</v>
      </c>
      <c r="K63" s="124">
        <v>0</v>
      </c>
      <c r="L63" s="124">
        <v>0</v>
      </c>
      <c r="M63" s="124">
        <v>0</v>
      </c>
      <c r="N63" s="124">
        <v>0</v>
      </c>
      <c r="O63" s="124">
        <v>0</v>
      </c>
      <c r="P63" s="124">
        <v>0</v>
      </c>
      <c r="Q63" s="124">
        <v>0</v>
      </c>
      <c r="R63" s="124">
        <v>0</v>
      </c>
      <c r="S63" s="124">
        <v>0</v>
      </c>
      <c r="T63" s="124">
        <v>0</v>
      </c>
      <c r="U63" s="124">
        <v>0</v>
      </c>
      <c r="V63" s="101" t="e">
        <f t="shared" si="2"/>
        <v>#DIV/0!</v>
      </c>
      <c r="W63" s="109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16"/>
      <c r="AI63" s="114"/>
      <c r="AJ63" s="130"/>
    </row>
    <row r="64" spans="1:36">
      <c r="B64" s="10"/>
      <c r="C64" s="10"/>
      <c r="D64" s="10"/>
      <c r="E64" s="108"/>
      <c r="F64" s="108"/>
      <c r="G64" s="108"/>
      <c r="H64" s="108"/>
      <c r="I64" s="108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16"/>
      <c r="AI64" s="114"/>
      <c r="AJ64" s="130"/>
    </row>
    <row r="65" spans="2:36">
      <c r="B65" s="93" t="s">
        <v>200</v>
      </c>
      <c r="C65" s="10"/>
      <c r="D65" s="10"/>
      <c r="E65" s="108"/>
      <c r="F65" s="108"/>
      <c r="G65" s="108"/>
      <c r="H65" s="108"/>
      <c r="I65" s="108"/>
      <c r="J65" s="108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16"/>
      <c r="AI65" s="114"/>
      <c r="AJ65" s="130"/>
    </row>
    <row r="66" spans="2:36">
      <c r="B66" s="10" t="s">
        <v>252</v>
      </c>
      <c r="C66" s="111"/>
      <c r="D66" s="111"/>
      <c r="E66" s="111"/>
      <c r="F66" s="111"/>
      <c r="G66" s="111">
        <f t="shared" ref="G66" si="168">G25/G57</f>
        <v>159.2920353982301</v>
      </c>
      <c r="H66" s="111">
        <f t="shared" ref="H66:I66" si="169">H25/H57</f>
        <v>217.6991150442478</v>
      </c>
      <c r="I66" s="111">
        <f t="shared" si="169"/>
        <v>355.75221238938059</v>
      </c>
      <c r="J66" s="111">
        <f t="shared" ref="J66:S66" si="170">J25/J57</f>
        <v>548.67256637168146</v>
      </c>
      <c r="K66" s="111">
        <f t="shared" si="170"/>
        <v>204.21792618629172</v>
      </c>
      <c r="L66" s="111">
        <f t="shared" si="170"/>
        <v>151.40515222482438</v>
      </c>
      <c r="M66" s="111">
        <f t="shared" si="170"/>
        <v>178.33723653395785</v>
      </c>
      <c r="N66" s="111">
        <f t="shared" si="170"/>
        <v>210.07025761124123</v>
      </c>
      <c r="O66" s="111">
        <f t="shared" si="170"/>
        <v>276.69789227166279</v>
      </c>
      <c r="P66" s="111">
        <f t="shared" si="170"/>
        <v>177.40046838407497</v>
      </c>
      <c r="Q66" s="111">
        <f t="shared" si="170"/>
        <v>205.32786885245903</v>
      </c>
      <c r="R66" s="111">
        <f t="shared" si="170"/>
        <v>251.40515222482438</v>
      </c>
      <c r="S66" s="111">
        <f t="shared" si="170"/>
        <v>283.31381733021078</v>
      </c>
      <c r="T66" s="111">
        <f t="shared" ref="T66:U66" si="171">T25/T57</f>
        <v>324.18032786885249</v>
      </c>
      <c r="U66" s="111">
        <f t="shared" si="171"/>
        <v>360.24590163934431</v>
      </c>
      <c r="V66" s="101">
        <f t="shared" si="2"/>
        <v>6.0021421792681329E-2</v>
      </c>
      <c r="W66" s="109"/>
      <c r="X66" s="134">
        <f t="shared" ref="X66:AG66" si="172">X25/X57</f>
        <v>388.50048216007718</v>
      </c>
      <c r="Y66" s="134">
        <f t="shared" si="172"/>
        <v>418.97110821184805</v>
      </c>
      <c r="Z66" s="134">
        <f t="shared" si="172"/>
        <v>451.83158728728716</v>
      </c>
      <c r="AA66" s="134">
        <f t="shared" si="172"/>
        <v>487.26935883923136</v>
      </c>
      <c r="AB66" s="134">
        <f t="shared" si="172"/>
        <v>525.48656345407301</v>
      </c>
      <c r="AC66" s="134">
        <f t="shared" si="172"/>
        <v>566.70119588184343</v>
      </c>
      <c r="AD66" s="134">
        <f t="shared" si="172"/>
        <v>611.14834850002728</v>
      </c>
      <c r="AE66" s="134">
        <f t="shared" si="172"/>
        <v>659.08155230395096</v>
      </c>
      <c r="AF66" s="134">
        <f t="shared" si="172"/>
        <v>710.77422307288839</v>
      </c>
      <c r="AG66" s="134">
        <f t="shared" si="172"/>
        <v>766.52122096095809</v>
      </c>
      <c r="AH66" s="115">
        <f t="shared" ref="AH66" si="173">((AG66/J66)^(1/($AG$3-$K$1) ))-1</f>
        <v>1.4029187315398595E-2</v>
      </c>
      <c r="AI66" s="21">
        <f t="shared" si="18"/>
        <v>0.02</v>
      </c>
      <c r="AJ66" s="123">
        <f t="shared" ref="AJ66:AJ67" si="174">(AG66*(1+AI66))/($C$1-AI66)</f>
        <v>3909.2582269008863</v>
      </c>
    </row>
    <row r="67" spans="2:36">
      <c r="B67" s="10" t="s">
        <v>253</v>
      </c>
      <c r="C67" s="111"/>
      <c r="D67" s="111"/>
      <c r="E67" s="111"/>
      <c r="F67" s="111"/>
      <c r="G67" s="111">
        <f t="shared" ref="G67" si="175">G27/G57</f>
        <v>138.05309734513276</v>
      </c>
      <c r="H67" s="111">
        <f t="shared" ref="H67:I67" si="176">H27/H57</f>
        <v>194.69026548672568</v>
      </c>
      <c r="I67" s="111">
        <f t="shared" si="176"/>
        <v>307.96460176991155</v>
      </c>
      <c r="J67" s="111">
        <f t="shared" ref="J67:S67" si="177">J27/J57</f>
        <v>466.37168141592923</v>
      </c>
      <c r="K67" s="111">
        <f t="shared" si="177"/>
        <v>171.70474516695955</v>
      </c>
      <c r="L67" s="111">
        <f t="shared" si="177"/>
        <v>130.4449648711944</v>
      </c>
      <c r="M67" s="111">
        <f t="shared" si="177"/>
        <v>142.38875878220142</v>
      </c>
      <c r="N67" s="111">
        <f t="shared" si="177"/>
        <v>179.15690866510539</v>
      </c>
      <c r="O67" s="111">
        <f t="shared" si="177"/>
        <v>233.72365339578457</v>
      </c>
      <c r="P67" s="111">
        <f t="shared" si="177"/>
        <v>148.7704918032787</v>
      </c>
      <c r="Q67" s="111">
        <f t="shared" si="177"/>
        <v>170.08196721311478</v>
      </c>
      <c r="R67" s="111">
        <f t="shared" si="177"/>
        <v>207.84543325526934</v>
      </c>
      <c r="S67" s="111">
        <f t="shared" si="177"/>
        <v>232.43559718969559</v>
      </c>
      <c r="T67" s="111">
        <f t="shared" ref="T67:U67" si="178">T27/T57</f>
        <v>271.54566744730681</v>
      </c>
      <c r="U67" s="111">
        <f t="shared" si="178"/>
        <v>304.62529274004686</v>
      </c>
      <c r="V67" s="101">
        <f t="shared" si="2"/>
        <v>5.8160180499846614E-2</v>
      </c>
      <c r="W67" s="109"/>
      <c r="X67" s="134">
        <f t="shared" ref="X67:AG67" si="179">X27/X57</f>
        <v>328.51747256279566</v>
      </c>
      <c r="Y67" s="134">
        <f t="shared" si="179"/>
        <v>354.28354884223069</v>
      </c>
      <c r="Z67" s="134">
        <f t="shared" si="179"/>
        <v>382.07049384946453</v>
      </c>
      <c r="AA67" s="134">
        <f t="shared" si="179"/>
        <v>412.03680709255985</v>
      </c>
      <c r="AB67" s="134">
        <f t="shared" si="179"/>
        <v>444.35341941354494</v>
      </c>
      <c r="AC67" s="134">
        <f t="shared" si="179"/>
        <v>479.20466799499945</v>
      </c>
      <c r="AD67" s="134">
        <f t="shared" si="179"/>
        <v>516.78934783774446</v>
      </c>
      <c r="AE67" s="134">
        <f t="shared" si="179"/>
        <v>557.32184570737149</v>
      </c>
      <c r="AF67" s="134">
        <f t="shared" si="179"/>
        <v>601.03336301775369</v>
      </c>
      <c r="AG67" s="134">
        <f t="shared" si="179"/>
        <v>648.17323462698937</v>
      </c>
      <c r="AH67" s="115">
        <f t="shared" ref="AH67" si="180">((AG67/J67)^(1/($AG$3-$K$1) ))-1</f>
        <v>1.3810119162035894E-2</v>
      </c>
      <c r="AI67" s="21">
        <f t="shared" si="18"/>
        <v>0.02</v>
      </c>
      <c r="AJ67" s="123">
        <f t="shared" si="174"/>
        <v>3305.6834965976454</v>
      </c>
    </row>
    <row r="68" spans="2:36">
      <c r="B68" s="10" t="s">
        <v>369</v>
      </c>
      <c r="C68" s="111"/>
      <c r="D68" s="111"/>
      <c r="E68" s="111"/>
      <c r="F68" s="111"/>
      <c r="G68" s="111">
        <f t="shared" ref="G68" si="181">G53-G55</f>
        <v>0</v>
      </c>
      <c r="H68" s="111">
        <f t="shared" ref="H68:I68" si="182">H53-H55</f>
        <v>3</v>
      </c>
      <c r="I68" s="111">
        <f t="shared" si="182"/>
        <v>13</v>
      </c>
      <c r="J68" s="111">
        <f>J53-J55</f>
        <v>25</v>
      </c>
      <c r="K68" s="111">
        <f t="shared" ref="K68:S68" si="183">K53-K55</f>
        <v>52</v>
      </c>
      <c r="L68" s="111">
        <f t="shared" si="183"/>
        <v>43</v>
      </c>
      <c r="M68" s="111">
        <f t="shared" si="183"/>
        <v>88</v>
      </c>
      <c r="N68" s="111">
        <f t="shared" si="183"/>
        <v>72</v>
      </c>
      <c r="O68" s="111">
        <f t="shared" si="183"/>
        <v>103</v>
      </c>
      <c r="P68" s="111">
        <f t="shared" si="183"/>
        <v>135</v>
      </c>
      <c r="Q68" s="111">
        <f t="shared" si="183"/>
        <v>169</v>
      </c>
      <c r="R68" s="111">
        <f t="shared" si="183"/>
        <v>200</v>
      </c>
      <c r="S68" s="111">
        <f t="shared" si="183"/>
        <v>233</v>
      </c>
      <c r="T68" s="111">
        <f t="shared" ref="T68:U68" si="184">T53-T55</f>
        <v>224</v>
      </c>
      <c r="U68" s="111">
        <f t="shared" si="184"/>
        <v>244</v>
      </c>
      <c r="V68" s="101" t="e">
        <f t="shared" si="2"/>
        <v>#DIV/0!</v>
      </c>
      <c r="W68" s="109"/>
      <c r="X68" s="111">
        <f t="shared" ref="X68:AG68" si="185">X53-X55</f>
        <v>268.40000000000009</v>
      </c>
      <c r="Y68" s="111">
        <f t="shared" si="185"/>
        <v>295.24000000000012</v>
      </c>
      <c r="Z68" s="111">
        <f t="shared" si="185"/>
        <v>324.76400000000012</v>
      </c>
      <c r="AA68" s="111">
        <f t="shared" si="185"/>
        <v>357.24040000000025</v>
      </c>
      <c r="AB68" s="111">
        <f t="shared" si="185"/>
        <v>392.9644400000002</v>
      </c>
      <c r="AC68" s="111">
        <f t="shared" si="185"/>
        <v>432.26088400000026</v>
      </c>
      <c r="AD68" s="111">
        <f t="shared" si="185"/>
        <v>475.48697240000047</v>
      </c>
      <c r="AE68" s="111">
        <f t="shared" si="185"/>
        <v>523.03566964000061</v>
      </c>
      <c r="AF68" s="111">
        <f t="shared" si="185"/>
        <v>575.33923660400069</v>
      </c>
      <c r="AG68" s="111">
        <f t="shared" si="185"/>
        <v>632.87316026440067</v>
      </c>
      <c r="AH68" s="115">
        <f t="shared" ref="AH68" si="186">((AG68/J68)^(1/($AG$3-$K$1) ))-1</f>
        <v>0.14412645557204873</v>
      </c>
      <c r="AI68" s="21">
        <f t="shared" si="18"/>
        <v>0.02</v>
      </c>
      <c r="AJ68" s="123">
        <f t="shared" ref="AJ68" si="187">(AG68*(1+AI68))/($C$1-AI68)</f>
        <v>3227.6531173484432</v>
      </c>
    </row>
    <row r="69" spans="2:36">
      <c r="B69" s="10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0"/>
      <c r="W69" s="10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02"/>
      <c r="AI69" s="114"/>
      <c r="AJ69" s="123"/>
    </row>
    <row r="70" spans="2:36">
      <c r="B70" s="10" t="s">
        <v>402</v>
      </c>
      <c r="C70" s="111"/>
      <c r="D70" s="111"/>
      <c r="E70" s="111"/>
      <c r="F70" s="15"/>
      <c r="G70" s="15">
        <f t="shared" ref="G70" si="188">G51/G57</f>
        <v>19.469026548672566</v>
      </c>
      <c r="H70" s="15">
        <f t="shared" ref="H70:I70" si="189">H51/H57</f>
        <v>21.238938053097346</v>
      </c>
      <c r="I70" s="15">
        <f t="shared" si="189"/>
        <v>46.902654867256643</v>
      </c>
      <c r="J70" s="15">
        <f t="shared" ref="J70:S70" si="190">J51/J57</f>
        <v>82.300884955752224</v>
      </c>
      <c r="K70" s="15">
        <f t="shared" si="190"/>
        <v>31.985940246045693</v>
      </c>
      <c r="L70" s="15">
        <f t="shared" si="190"/>
        <v>24.355971896955506</v>
      </c>
      <c r="M70" s="15">
        <f t="shared" si="190"/>
        <v>34.30913348946136</v>
      </c>
      <c r="N70" s="15">
        <f t="shared" si="190"/>
        <v>30.210772833723656</v>
      </c>
      <c r="O70" s="15">
        <f t="shared" si="190"/>
        <v>41.686182669789233</v>
      </c>
      <c r="P70" s="15">
        <f t="shared" si="190"/>
        <v>26.463700234192039</v>
      </c>
      <c r="Q70" s="15">
        <f t="shared" si="190"/>
        <v>32.786885245901644</v>
      </c>
      <c r="R70" s="15">
        <f t="shared" si="190"/>
        <v>41.510538641686189</v>
      </c>
      <c r="S70" s="15">
        <f t="shared" si="190"/>
        <v>47.833723653395786</v>
      </c>
      <c r="T70" s="15">
        <f>T51/T57</f>
        <v>49.707259953161596</v>
      </c>
      <c r="U70" s="15">
        <f>U51/U57</f>
        <v>51.697892271662766</v>
      </c>
      <c r="V70" s="101">
        <f t="shared" si="2"/>
        <v>7.2247148569483555E-2</v>
      </c>
      <c r="W70" s="109"/>
      <c r="X70" s="96">
        <f>X51/X57</f>
        <v>55.752628920420641</v>
      </c>
      <c r="Y70" s="96">
        <f t="shared" ref="Y70:AG70" si="191">Y51/Y57</f>
        <v>60.125384129865395</v>
      </c>
      <c r="Z70" s="96">
        <f t="shared" si="191"/>
        <v>64.84110053220779</v>
      </c>
      <c r="AA70" s="96">
        <f t="shared" si="191"/>
        <v>69.926677044537826</v>
      </c>
      <c r="AB70" s="96">
        <f t="shared" si="191"/>
        <v>75.411122302932952</v>
      </c>
      <c r="AC70" s="96">
        <f t="shared" si="191"/>
        <v>81.325720130613959</v>
      </c>
      <c r="AD70" s="96">
        <f t="shared" si="191"/>
        <v>87.70420798399546</v>
      </c>
      <c r="AE70" s="96">
        <f t="shared" si="191"/>
        <v>94.5829693945049</v>
      </c>
      <c r="AF70" s="96">
        <f t="shared" si="191"/>
        <v>102.00124150387786</v>
      </c>
      <c r="AG70" s="96">
        <f t="shared" si="191"/>
        <v>110.00133887673103</v>
      </c>
      <c r="AH70" s="115">
        <f t="shared" ref="AH70:AH71" si="192">((AG70/J70)^(1/($AG$3-$K$1) ))-1</f>
        <v>1.2161299346576948E-2</v>
      </c>
      <c r="AI70" s="21">
        <f t="shared" si="18"/>
        <v>0.02</v>
      </c>
      <c r="AJ70" s="123">
        <f t="shared" ref="AJ70:AJ71" si="193">(AG70*(1+AI70))/($C$1-AI70)</f>
        <v>561.00682827132823</v>
      </c>
    </row>
    <row r="71" spans="2:36">
      <c r="B71" s="10" t="s">
        <v>403</v>
      </c>
      <c r="C71" s="111"/>
      <c r="D71" s="111"/>
      <c r="E71" s="111"/>
      <c r="F71" s="15"/>
      <c r="G71" s="15">
        <f t="shared" ref="G71" si="194">G53/G57</f>
        <v>0.88495575221238942</v>
      </c>
      <c r="H71" s="15">
        <f t="shared" ref="H71:I71" si="195">H53/H57</f>
        <v>10.619469026548673</v>
      </c>
      <c r="I71" s="15">
        <f t="shared" si="195"/>
        <v>32.743362831858413</v>
      </c>
      <c r="J71" s="15">
        <f t="shared" ref="J71:S71" si="196">J53/J57</f>
        <v>63.716814159292042</v>
      </c>
      <c r="K71" s="15">
        <f t="shared" si="196"/>
        <v>25.659050966608081</v>
      </c>
      <c r="L71" s="15">
        <f t="shared" si="196"/>
        <v>14.519906323185014</v>
      </c>
      <c r="M71" s="15">
        <f t="shared" si="196"/>
        <v>29.859484777517569</v>
      </c>
      <c r="N71" s="15">
        <f t="shared" si="196"/>
        <v>25.761124121779861</v>
      </c>
      <c r="O71" s="15">
        <f t="shared" si="196"/>
        <v>37.236533957845438</v>
      </c>
      <c r="P71" s="15">
        <f t="shared" si="196"/>
        <v>24.707259953161596</v>
      </c>
      <c r="Q71" s="15">
        <f t="shared" si="196"/>
        <v>31.381733021077288</v>
      </c>
      <c r="R71" s="15">
        <f t="shared" si="196"/>
        <v>35.714285714285715</v>
      </c>
      <c r="S71" s="15">
        <f t="shared" si="196"/>
        <v>42.271662763466047</v>
      </c>
      <c r="T71" s="15">
        <f>T53/T57</f>
        <v>41.100702576112418</v>
      </c>
      <c r="U71" s="15">
        <f>U53/U57</f>
        <v>41.861826697892276</v>
      </c>
      <c r="V71" s="101">
        <f t="shared" ref="V71:V134" si="197">((U71/G71)^(1/($K$2-$K$1) ))-1</f>
        <v>0.31715071748662527</v>
      </c>
      <c r="W71" s="109"/>
      <c r="X71" s="96">
        <f>X53/X57</f>
        <v>45.145107223217167</v>
      </c>
      <c r="Y71" s="96">
        <f t="shared" ref="Y71:AG71" si="198">Y53/Y57</f>
        <v>48.685899946606753</v>
      </c>
      <c r="Z71" s="96">
        <f t="shared" si="198"/>
        <v>52.504401903203373</v>
      </c>
      <c r="AA71" s="96">
        <f t="shared" si="198"/>
        <v>56.622394209336981</v>
      </c>
      <c r="AB71" s="96">
        <f t="shared" si="198"/>
        <v>61.063366304186943</v>
      </c>
      <c r="AC71" s="96">
        <f t="shared" si="198"/>
        <v>65.852649935887882</v>
      </c>
      <c r="AD71" s="96">
        <f t="shared" si="198"/>
        <v>71.017563656349679</v>
      </c>
      <c r="AE71" s="96">
        <f t="shared" si="198"/>
        <v>76.587568649004552</v>
      </c>
      <c r="AF71" s="96">
        <f t="shared" si="198"/>
        <v>82.594436778338249</v>
      </c>
      <c r="AG71" s="96">
        <f t="shared" si="198"/>
        <v>89.07243181977654</v>
      </c>
      <c r="AH71" s="115">
        <f t="shared" si="192"/>
        <v>1.4056264579038968E-2</v>
      </c>
      <c r="AI71" s="21">
        <f t="shared" si="18"/>
        <v>0.02</v>
      </c>
      <c r="AJ71" s="123">
        <f t="shared" si="193"/>
        <v>454.26940228086039</v>
      </c>
    </row>
    <row r="72" spans="2:36">
      <c r="B72" s="10" t="s">
        <v>214</v>
      </c>
      <c r="C72" s="15"/>
      <c r="D72" s="15"/>
      <c r="E72" s="15"/>
      <c r="F72" s="111"/>
      <c r="G72" s="111">
        <f t="shared" ref="G72" si="199">G55/G57</f>
        <v>0.88495575221238942</v>
      </c>
      <c r="H72" s="111">
        <f t="shared" ref="H72:I72" si="200">H55/H57</f>
        <v>7.9646017699115053</v>
      </c>
      <c r="I72" s="111">
        <f t="shared" si="200"/>
        <v>21.238938053097346</v>
      </c>
      <c r="J72" s="111">
        <f t="shared" ref="J72:S72" si="201">J55/J57</f>
        <v>41.592920353982308</v>
      </c>
      <c r="K72" s="111">
        <f t="shared" si="201"/>
        <v>16.520210896309312</v>
      </c>
      <c r="L72" s="111">
        <f t="shared" si="201"/>
        <v>9.4847775175644031</v>
      </c>
      <c r="M72" s="111">
        <f t="shared" si="201"/>
        <v>19.555035128805624</v>
      </c>
      <c r="N72" s="111">
        <f t="shared" si="201"/>
        <v>17.330210772833727</v>
      </c>
      <c r="O72" s="111">
        <f t="shared" si="201"/>
        <v>25.175644028103047</v>
      </c>
      <c r="P72" s="111">
        <f t="shared" si="201"/>
        <v>16.803278688524593</v>
      </c>
      <c r="Q72" s="111">
        <f t="shared" si="201"/>
        <v>21.487119437939111</v>
      </c>
      <c r="R72" s="111">
        <f t="shared" si="201"/>
        <v>24.004683840749419</v>
      </c>
      <c r="S72" s="111">
        <f t="shared" si="201"/>
        <v>28.629976580796257</v>
      </c>
      <c r="T72" s="111">
        <f t="shared" ref="T72:U72" si="202">T55/T57</f>
        <v>27.985948477751759</v>
      </c>
      <c r="U72" s="111">
        <f t="shared" si="202"/>
        <v>27.576112412177988</v>
      </c>
      <c r="V72" s="101">
        <f t="shared" si="197"/>
        <v>0.27845820449932157</v>
      </c>
      <c r="W72" s="109"/>
      <c r="X72" s="134">
        <f t="shared" ref="X72:AG72" si="203">X55/X57</f>
        <v>29.738944758231167</v>
      </c>
      <c r="Y72" s="134">
        <f t="shared" si="203"/>
        <v>32.071411013778715</v>
      </c>
      <c r="Z72" s="134">
        <f t="shared" si="203"/>
        <v>34.586815799173131</v>
      </c>
      <c r="AA72" s="134">
        <f t="shared" si="203"/>
        <v>37.299507234402398</v>
      </c>
      <c r="AB72" s="134">
        <f t="shared" si="203"/>
        <v>40.224958782198669</v>
      </c>
      <c r="AC72" s="134">
        <f t="shared" si="203"/>
        <v>43.379857510214251</v>
      </c>
      <c r="AD72" s="134">
        <f t="shared" si="203"/>
        <v>46.782199275721247</v>
      </c>
      <c r="AE72" s="134">
        <f t="shared" si="203"/>
        <v>50.451391375777817</v>
      </c>
      <c r="AF72" s="134">
        <f t="shared" si="203"/>
        <v>54.408363248387843</v>
      </c>
      <c r="AG72" s="134">
        <f t="shared" si="203"/>
        <v>58.675685856104543</v>
      </c>
      <c r="AH72" s="115">
        <f t="shared" ref="AH72:AH86" si="204">((AG72/J72)^(1/($AG$3-$K$1) ))-1</f>
        <v>1.444058310663543E-2</v>
      </c>
      <c r="AI72" s="21">
        <f t="shared" si="18"/>
        <v>0.02</v>
      </c>
      <c r="AJ72" s="123">
        <f t="shared" ref="AJ72:AJ100" si="205">(AG72*(1+AI72))/($C$1-AI72)</f>
        <v>299.24599786613317</v>
      </c>
    </row>
    <row r="73" spans="2:36">
      <c r="B73" s="10" t="s">
        <v>330</v>
      </c>
      <c r="C73" s="111"/>
      <c r="D73" s="111"/>
      <c r="E73" s="111"/>
      <c r="F73" s="111"/>
      <c r="G73" s="111">
        <f t="shared" ref="G73" si="206">G20/G57</f>
        <v>5.3097345132743365</v>
      </c>
      <c r="H73" s="111">
        <f t="shared" ref="H73:I73" si="207">H20/H57</f>
        <v>6.1946902654867264</v>
      </c>
      <c r="I73" s="111">
        <f t="shared" si="207"/>
        <v>23.008849557522126</v>
      </c>
      <c r="J73" s="111">
        <f>J20/J57</f>
        <v>-33.628318584070797</v>
      </c>
      <c r="K73" s="111">
        <f t="shared" ref="K73:S73" si="208">K20/K57</f>
        <v>-5.2724077328646741</v>
      </c>
      <c r="L73" s="111">
        <f t="shared" si="208"/>
        <v>26.112412177985952</v>
      </c>
      <c r="M73" s="111">
        <f t="shared" si="208"/>
        <v>25.058548009367684</v>
      </c>
      <c r="N73" s="111">
        <f t="shared" si="208"/>
        <v>9.9531615925058556</v>
      </c>
      <c r="O73" s="111">
        <f t="shared" si="208"/>
        <v>34.660421545667454</v>
      </c>
      <c r="P73" s="111">
        <f t="shared" si="208"/>
        <v>19.613583138173304</v>
      </c>
      <c r="Q73" s="111">
        <f t="shared" si="208"/>
        <v>16.334894613583138</v>
      </c>
      <c r="R73" s="111">
        <f t="shared" si="208"/>
        <v>22.716627634660423</v>
      </c>
      <c r="S73" s="111">
        <f t="shared" si="208"/>
        <v>32.435597189695557</v>
      </c>
      <c r="T73" s="111">
        <f t="shared" ref="T73:U73" si="209">T20/T57</f>
        <v>32.318501170960189</v>
      </c>
      <c r="U73" s="111">
        <f t="shared" si="209"/>
        <v>32.318501170960189</v>
      </c>
      <c r="V73" s="101">
        <f t="shared" si="197"/>
        <v>0.13769808976457254</v>
      </c>
      <c r="W73" s="109"/>
      <c r="X73" s="111">
        <f t="shared" ref="X73:AG73" si="210">X20/X57</f>
        <v>34.8532855765257</v>
      </c>
      <c r="Y73" s="111">
        <f t="shared" si="210"/>
        <v>37.586876602135561</v>
      </c>
      <c r="Z73" s="111">
        <f t="shared" si="210"/>
        <v>40.534866923871689</v>
      </c>
      <c r="AA73" s="111">
        <f t="shared" si="210"/>
        <v>43.714072172802801</v>
      </c>
      <c r="AB73" s="111">
        <f t="shared" si="210"/>
        <v>47.142626853022634</v>
      </c>
      <c r="AC73" s="111">
        <f t="shared" si="210"/>
        <v>50.840087782671468</v>
      </c>
      <c r="AD73" s="111">
        <f t="shared" si="210"/>
        <v>54.827545647979036</v>
      </c>
      <c r="AE73" s="111">
        <f t="shared" si="210"/>
        <v>59.127745306644059</v>
      </c>
      <c r="AF73" s="111">
        <f t="shared" si="210"/>
        <v>63.765215526773012</v>
      </c>
      <c r="AG73" s="111">
        <f t="shared" si="210"/>
        <v>68.766408901421883</v>
      </c>
      <c r="AH73" s="115" t="e">
        <f t="shared" ref="AH73" si="211">((AG73/J73)^(1/($AG$3-$K$1) ))-1</f>
        <v>#NUM!</v>
      </c>
      <c r="AI73" s="21">
        <f t="shared" si="18"/>
        <v>0.02</v>
      </c>
      <c r="AJ73" s="123">
        <f t="shared" si="205"/>
        <v>350.7086853972516</v>
      </c>
    </row>
    <row r="74" spans="2:36">
      <c r="B74" s="10" t="s">
        <v>202</v>
      </c>
      <c r="C74" s="15"/>
      <c r="D74" s="15"/>
      <c r="E74" s="15"/>
      <c r="F74" s="111"/>
      <c r="G74" s="111">
        <f t="shared" ref="G74" si="212">G7/G57</f>
        <v>154.86725663716817</v>
      </c>
      <c r="H74" s="111">
        <f t="shared" ref="H74:I74" si="213">H7/H57</f>
        <v>160.17699115044249</v>
      </c>
      <c r="I74" s="111">
        <f t="shared" si="213"/>
        <v>177.87610619469029</v>
      </c>
      <c r="J74" s="111">
        <f t="shared" ref="J74:S74" si="214">J7/J57</f>
        <v>215.04424778761063</v>
      </c>
      <c r="K74" s="111">
        <f t="shared" si="214"/>
        <v>58.523725834797887</v>
      </c>
      <c r="L74" s="111">
        <f t="shared" si="214"/>
        <v>47.540983606557383</v>
      </c>
      <c r="M74" s="111">
        <f t="shared" si="214"/>
        <v>63.583138173302117</v>
      </c>
      <c r="N74" s="111">
        <f t="shared" si="214"/>
        <v>75.644028103044505</v>
      </c>
      <c r="O74" s="111">
        <f t="shared" si="214"/>
        <v>96.370023419203761</v>
      </c>
      <c r="P74" s="111">
        <f t="shared" si="214"/>
        <v>62.002341920374711</v>
      </c>
      <c r="Q74" s="111">
        <f t="shared" si="214"/>
        <v>79.742388758782212</v>
      </c>
      <c r="R74" s="111">
        <f t="shared" si="214"/>
        <v>99.473067915690876</v>
      </c>
      <c r="S74" s="111">
        <f t="shared" si="214"/>
        <v>123.00936768149884</v>
      </c>
      <c r="T74" s="111">
        <f t="shared" ref="T74:U74" si="215">T7/T57</f>
        <v>151.81498829039813</v>
      </c>
      <c r="U74" s="111">
        <f t="shared" si="215"/>
        <v>171.95550351288057</v>
      </c>
      <c r="V74" s="101">
        <f t="shared" si="197"/>
        <v>7.5042598555303819E-3</v>
      </c>
      <c r="W74" s="109"/>
      <c r="X74" s="134">
        <f t="shared" ref="X74:AG74" si="216">X7/X57</f>
        <v>185.44220967075358</v>
      </c>
      <c r="Y74" s="134">
        <f t="shared" si="216"/>
        <v>199.98669670375389</v>
      </c>
      <c r="Z74" s="134">
        <f t="shared" si="216"/>
        <v>215.67192781777382</v>
      </c>
      <c r="AA74" s="134">
        <f t="shared" si="216"/>
        <v>232.58737313681493</v>
      </c>
      <c r="AB74" s="134">
        <f t="shared" si="216"/>
        <v>250.82952004950633</v>
      </c>
      <c r="AC74" s="134">
        <f t="shared" si="216"/>
        <v>270.50242358280093</v>
      </c>
      <c r="AD74" s="134">
        <f t="shared" si="216"/>
        <v>291.71829994223629</v>
      </c>
      <c r="AE74" s="134">
        <f t="shared" si="216"/>
        <v>314.59816660437247</v>
      </c>
      <c r="AF74" s="134">
        <f t="shared" si="216"/>
        <v>339.27253261255862</v>
      </c>
      <c r="AG74" s="134">
        <f t="shared" si="216"/>
        <v>365.88214301354361</v>
      </c>
      <c r="AH74" s="115">
        <f t="shared" si="204"/>
        <v>2.2391486251476023E-2</v>
      </c>
      <c r="AI74" s="21">
        <f t="shared" si="18"/>
        <v>0.02</v>
      </c>
      <c r="AJ74" s="123">
        <f t="shared" si="205"/>
        <v>1865.9989293690724</v>
      </c>
    </row>
    <row r="75" spans="2:36">
      <c r="B75" s="10" t="s">
        <v>203</v>
      </c>
      <c r="C75" s="108"/>
      <c r="D75" s="108"/>
      <c r="E75" s="108"/>
      <c r="F75" s="121"/>
      <c r="G75" s="121">
        <f t="shared" ref="G75" si="217">G6/G57</f>
        <v>144.24778761061947</v>
      </c>
      <c r="H75" s="121">
        <f t="shared" ref="H75:I75" si="218">H6/H57</f>
        <v>149.55752212389382</v>
      </c>
      <c r="I75" s="121">
        <f t="shared" si="218"/>
        <v>168.14159292035399</v>
      </c>
      <c r="J75" s="121">
        <f t="shared" ref="J75:S75" si="219">J6/J57</f>
        <v>205.30973451327435</v>
      </c>
      <c r="K75" s="121">
        <f t="shared" si="219"/>
        <v>56.590509666080841</v>
      </c>
      <c r="L75" s="121">
        <f t="shared" si="219"/>
        <v>45.433255269320846</v>
      </c>
      <c r="M75" s="121">
        <f t="shared" si="219"/>
        <v>61.709601873536307</v>
      </c>
      <c r="N75" s="121">
        <f t="shared" si="219"/>
        <v>73.536299765807968</v>
      </c>
      <c r="O75" s="121">
        <f t="shared" si="219"/>
        <v>94.379391100702591</v>
      </c>
      <c r="P75" s="121">
        <f t="shared" si="219"/>
        <v>61.007025761124126</v>
      </c>
      <c r="Q75" s="121">
        <f t="shared" si="219"/>
        <v>78.74707259953162</v>
      </c>
      <c r="R75" s="121">
        <f t="shared" si="219"/>
        <v>98.50644028103045</v>
      </c>
      <c r="S75" s="121">
        <f t="shared" si="219"/>
        <v>122.01405152224825</v>
      </c>
      <c r="T75" s="121">
        <f t="shared" ref="T75:U75" si="220">T6/T57</f>
        <v>150.76112412177989</v>
      </c>
      <c r="U75" s="121">
        <f t="shared" si="220"/>
        <v>170.96018735363</v>
      </c>
      <c r="V75" s="101">
        <f t="shared" si="197"/>
        <v>1.2209516290001554E-2</v>
      </c>
      <c r="W75" s="109"/>
      <c r="X75" s="133">
        <f t="shared" ref="X75:AG75" si="221">X6/X57</f>
        <v>184.36882949901278</v>
      </c>
      <c r="Y75" s="133">
        <f t="shared" si="221"/>
        <v>198.82912985187653</v>
      </c>
      <c r="Z75" s="133">
        <f t="shared" si="221"/>
        <v>214.42357140888649</v>
      </c>
      <c r="AA75" s="133">
        <f t="shared" si="221"/>
        <v>231.24110642134821</v>
      </c>
      <c r="AB75" s="133">
        <f t="shared" si="221"/>
        <v>249.37766378772847</v>
      </c>
      <c r="AC75" s="133">
        <f t="shared" si="221"/>
        <v>268.93669624166796</v>
      </c>
      <c r="AD75" s="133">
        <f t="shared" si="221"/>
        <v>290.0297704567007</v>
      </c>
      <c r="AE75" s="133">
        <f t="shared" si="221"/>
        <v>312.77720343369685</v>
      </c>
      <c r="AF75" s="133">
        <f t="shared" si="221"/>
        <v>337.30874880104562</v>
      </c>
      <c r="AG75" s="133">
        <f t="shared" si="221"/>
        <v>363.76433694230411</v>
      </c>
      <c r="AH75" s="115">
        <f t="shared" si="204"/>
        <v>2.4119040699041916E-2</v>
      </c>
      <c r="AI75" s="21">
        <f t="shared" si="18"/>
        <v>0.02</v>
      </c>
      <c r="AJ75" s="123">
        <f t="shared" si="205"/>
        <v>1855.1981184057508</v>
      </c>
    </row>
    <row r="76" spans="2:36">
      <c r="B76" s="10" t="s">
        <v>204</v>
      </c>
      <c r="C76" s="108"/>
      <c r="D76" s="108"/>
      <c r="E76" s="108"/>
      <c r="F76" s="121"/>
      <c r="G76" s="121">
        <f t="shared" ref="G76" si="222">G10/G57</f>
        <v>13.274336283185843</v>
      </c>
      <c r="H76" s="121">
        <f t="shared" ref="H76:I76" si="223">H10/H57</f>
        <v>20.353982300884958</v>
      </c>
      <c r="I76" s="121">
        <f t="shared" si="223"/>
        <v>33.628318584070797</v>
      </c>
      <c r="J76" s="121">
        <f t="shared" ref="J76:S76" si="224">J10/J57</f>
        <v>124.77876106194691</v>
      </c>
      <c r="K76" s="121">
        <f t="shared" si="224"/>
        <v>55.711775043936726</v>
      </c>
      <c r="L76" s="121">
        <f t="shared" si="224"/>
        <v>33.489461358313818</v>
      </c>
      <c r="M76" s="121">
        <f t="shared" si="224"/>
        <v>10.655737704918034</v>
      </c>
      <c r="N76" s="121">
        <f t="shared" si="224"/>
        <v>11.124121779859486</v>
      </c>
      <c r="O76" s="121">
        <f t="shared" si="224"/>
        <v>9.8360655737704921</v>
      </c>
      <c r="P76" s="121">
        <f t="shared" si="224"/>
        <v>5.0936768149882905</v>
      </c>
      <c r="Q76" s="121">
        <f t="shared" si="224"/>
        <v>4.918032786885246</v>
      </c>
      <c r="R76" s="121">
        <f t="shared" si="224"/>
        <v>4.3325526932084317</v>
      </c>
      <c r="S76" s="121">
        <f t="shared" si="224"/>
        <v>4.2154566744730682</v>
      </c>
      <c r="T76" s="121">
        <f t="shared" ref="T76:U76" si="225">T10/T57</f>
        <v>4.2154566744730682</v>
      </c>
      <c r="U76" s="121">
        <f t="shared" si="225"/>
        <v>3.3957845433255271</v>
      </c>
      <c r="V76" s="101">
        <f t="shared" si="197"/>
        <v>-9.2787357566103124E-2</v>
      </c>
      <c r="W76" s="109"/>
      <c r="X76" s="133">
        <f t="shared" ref="X76:AG76" si="226">X10/X57</f>
        <v>3.6621205859392942</v>
      </c>
      <c r="Y76" s="133">
        <f t="shared" si="226"/>
        <v>3.9493457299345334</v>
      </c>
      <c r="Z76" s="133">
        <f t="shared" si="226"/>
        <v>4.259098336203909</v>
      </c>
      <c r="AA76" s="133">
        <f t="shared" si="226"/>
        <v>4.5931452645336277</v>
      </c>
      <c r="AB76" s="133">
        <f t="shared" si="226"/>
        <v>4.9533919519480305</v>
      </c>
      <c r="AC76" s="133">
        <f t="shared" si="226"/>
        <v>5.3418932815125819</v>
      </c>
      <c r="AD76" s="133">
        <f t="shared" si="226"/>
        <v>5.7608653035920003</v>
      </c>
      <c r="AE76" s="133">
        <f t="shared" si="226"/>
        <v>6.2126978764227454</v>
      </c>
      <c r="AF76" s="133">
        <f t="shared" si="226"/>
        <v>6.699968298102962</v>
      </c>
      <c r="AG76" s="133">
        <f t="shared" si="226"/>
        <v>7.2254560077580958</v>
      </c>
      <c r="AH76" s="115">
        <f t="shared" si="204"/>
        <v>-0.11193069802109024</v>
      </c>
      <c r="AI76" s="21">
        <f t="shared" si="18"/>
        <v>0.02</v>
      </c>
      <c r="AJ76" s="123">
        <f t="shared" si="205"/>
        <v>36.849825639566291</v>
      </c>
    </row>
    <row r="77" spans="2:36">
      <c r="B77" s="10"/>
      <c r="C77" s="108"/>
      <c r="D77" s="108"/>
      <c r="E77" s="108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0"/>
      <c r="W77" s="10"/>
      <c r="X77" s="133"/>
      <c r="Y77" s="133"/>
      <c r="Z77" s="133"/>
      <c r="AA77" s="133"/>
      <c r="AB77" s="133"/>
      <c r="AC77" s="133"/>
      <c r="AD77" s="133"/>
      <c r="AE77" s="133"/>
      <c r="AF77" s="133"/>
      <c r="AG77" s="133"/>
      <c r="AH77" s="116"/>
      <c r="AI77" s="114"/>
      <c r="AJ77" s="123"/>
    </row>
    <row r="78" spans="2:36">
      <c r="B78" s="10" t="s">
        <v>221</v>
      </c>
      <c r="C78" s="108"/>
      <c r="D78" s="108"/>
      <c r="E78" s="108"/>
      <c r="F78" s="121"/>
      <c r="G78" s="121">
        <f t="shared" ref="G78" si="227">(G7-G10)/G57</f>
        <v>141.59292035398232</v>
      </c>
      <c r="H78" s="121">
        <f t="shared" ref="H78:I78" si="228">(H7-H10)/H57</f>
        <v>139.82300884955754</v>
      </c>
      <c r="I78" s="121">
        <f t="shared" si="228"/>
        <v>144.24778761061947</v>
      </c>
      <c r="J78" s="121">
        <f t="shared" ref="J78:S78" si="229">(J7-J10)/J57</f>
        <v>90.26548672566372</v>
      </c>
      <c r="K78" s="121">
        <f t="shared" si="229"/>
        <v>2.8119507908611596</v>
      </c>
      <c r="L78" s="121">
        <f t="shared" si="229"/>
        <v>14.051522248243561</v>
      </c>
      <c r="M78" s="121">
        <f t="shared" si="229"/>
        <v>52.927400468384079</v>
      </c>
      <c r="N78" s="121">
        <f t="shared" si="229"/>
        <v>64.519906323185012</v>
      </c>
      <c r="O78" s="121">
        <f t="shared" si="229"/>
        <v>86.533957845433264</v>
      </c>
      <c r="P78" s="121">
        <f t="shared" si="229"/>
        <v>56.908665105386426</v>
      </c>
      <c r="Q78" s="121">
        <f t="shared" si="229"/>
        <v>74.824355971896964</v>
      </c>
      <c r="R78" s="121">
        <f t="shared" si="229"/>
        <v>95.140515222482449</v>
      </c>
      <c r="S78" s="121">
        <f t="shared" si="229"/>
        <v>118.79391100702577</v>
      </c>
      <c r="T78" s="121">
        <f t="shared" ref="T78:U78" si="230">(T7-T10)/T57</f>
        <v>147.59953161592506</v>
      </c>
      <c r="U78" s="121">
        <f t="shared" si="230"/>
        <v>168.55971896955506</v>
      </c>
      <c r="V78" s="101">
        <f t="shared" si="197"/>
        <v>1.2530277078354857E-2</v>
      </c>
      <c r="W78" s="109"/>
      <c r="X78" s="133">
        <f t="shared" ref="X78:AG78" si="231">(X7-X10)/X57</f>
        <v>181.78008908481428</v>
      </c>
      <c r="Y78" s="133">
        <f t="shared" si="231"/>
        <v>196.03735097381937</v>
      </c>
      <c r="Z78" s="133">
        <f t="shared" si="231"/>
        <v>211.41282948156993</v>
      </c>
      <c r="AA78" s="133">
        <f t="shared" si="231"/>
        <v>227.9942278722813</v>
      </c>
      <c r="AB78" s="133">
        <f t="shared" si="231"/>
        <v>245.87612809755828</v>
      </c>
      <c r="AC78" s="133">
        <f t="shared" si="231"/>
        <v>265.16053030128836</v>
      </c>
      <c r="AD78" s="133">
        <f t="shared" si="231"/>
        <v>285.95743463864432</v>
      </c>
      <c r="AE78" s="133">
        <f t="shared" si="231"/>
        <v>308.38546872794973</v>
      </c>
      <c r="AF78" s="133">
        <f t="shared" si="231"/>
        <v>332.57256431445563</v>
      </c>
      <c r="AG78" s="133">
        <f t="shared" si="231"/>
        <v>358.6566870057855</v>
      </c>
      <c r="AH78" s="115">
        <f t="shared" si="204"/>
        <v>5.9168078750924336E-2</v>
      </c>
      <c r="AI78" s="21">
        <f t="shared" si="18"/>
        <v>0.02</v>
      </c>
      <c r="AJ78" s="123">
        <f t="shared" si="205"/>
        <v>1829.1491037295059</v>
      </c>
    </row>
    <row r="79" spans="2:36">
      <c r="B79" s="10" t="s">
        <v>222</v>
      </c>
      <c r="C79" s="108"/>
      <c r="D79" s="108"/>
      <c r="E79" s="108"/>
      <c r="F79" s="121"/>
      <c r="G79" s="121">
        <f t="shared" ref="G79" si="232">(G7-G10-G9)/G57</f>
        <v>114.15929203539824</v>
      </c>
      <c r="H79" s="121">
        <f t="shared" ref="H79:I79" si="233">(H7-H10-H9)/H57</f>
        <v>97.345132743362839</v>
      </c>
      <c r="I79" s="121">
        <f t="shared" si="233"/>
        <v>71.681415929203553</v>
      </c>
      <c r="J79" s="121">
        <f t="shared" ref="J79:S79" si="234">(J7-J10-J9)/J57</f>
        <v>13.274336283185843</v>
      </c>
      <c r="K79" s="121">
        <f t="shared" si="234"/>
        <v>-18.277680140597539</v>
      </c>
      <c r="L79" s="121">
        <f t="shared" si="234"/>
        <v>-1.4051522248243562</v>
      </c>
      <c r="M79" s="121">
        <f t="shared" si="234"/>
        <v>31.030444964871197</v>
      </c>
      <c r="N79" s="121">
        <f t="shared" si="234"/>
        <v>39.695550351288063</v>
      </c>
      <c r="O79" s="121">
        <f t="shared" si="234"/>
        <v>60.421545667447312</v>
      </c>
      <c r="P79" s="121">
        <f t="shared" si="234"/>
        <v>37.236533957845438</v>
      </c>
      <c r="Q79" s="121">
        <f t="shared" si="234"/>
        <v>52.985948477751762</v>
      </c>
      <c r="R79" s="121">
        <f t="shared" si="234"/>
        <v>68.79391100702577</v>
      </c>
      <c r="S79" s="121">
        <f t="shared" si="234"/>
        <v>81.557377049180332</v>
      </c>
      <c r="T79" s="121">
        <f t="shared" ref="T79:U79" si="235">(T7-T10-T9)/T57</f>
        <v>99.121779859484789</v>
      </c>
      <c r="U79" s="121">
        <f t="shared" si="235"/>
        <v>105.85480093676816</v>
      </c>
      <c r="V79" s="101">
        <f t="shared" si="197"/>
        <v>-5.3802187171569926E-3</v>
      </c>
      <c r="W79" s="109"/>
      <c r="X79" s="133">
        <f t="shared" ref="X79:AG79" si="236">(X7-X10-X9)/X57</f>
        <v>114.15713826514214</v>
      </c>
      <c r="Y79" s="133">
        <f t="shared" si="236"/>
        <v>123.11063930554546</v>
      </c>
      <c r="Z79" s="133">
        <f t="shared" si="236"/>
        <v>132.76637572166669</v>
      </c>
      <c r="AA79" s="133">
        <f t="shared" si="236"/>
        <v>143.17942479787584</v>
      </c>
      <c r="AB79" s="133">
        <f t="shared" si="236"/>
        <v>154.40918360555239</v>
      </c>
      <c r="AC79" s="133">
        <f t="shared" si="236"/>
        <v>166.51970780990942</v>
      </c>
      <c r="AD79" s="133">
        <f t="shared" si="236"/>
        <v>179.58007704990231</v>
      </c>
      <c r="AE79" s="133">
        <f t="shared" si="236"/>
        <v>193.66478897538485</v>
      </c>
      <c r="AF79" s="133">
        <f t="shared" si="236"/>
        <v>208.85418418914057</v>
      </c>
      <c r="AG79" s="133">
        <f t="shared" si="236"/>
        <v>225.23490451770064</v>
      </c>
      <c r="AH79" s="115">
        <f t="shared" si="204"/>
        <v>0.12521182244894447</v>
      </c>
      <c r="AI79" s="21">
        <f t="shared" si="18"/>
        <v>0.02</v>
      </c>
      <c r="AJ79" s="123">
        <f t="shared" si="205"/>
        <v>1148.6980130402733</v>
      </c>
    </row>
    <row r="80" spans="2:36">
      <c r="B80" s="10" t="s">
        <v>227</v>
      </c>
      <c r="C80" s="108"/>
      <c r="D80" s="108"/>
      <c r="E80" s="108"/>
      <c r="F80" s="121"/>
      <c r="G80" s="121">
        <f t="shared" ref="G80" si="237">(G7+G15-G10-G9)/G57</f>
        <v>184.07079646017701</v>
      </c>
      <c r="H80" s="121">
        <f t="shared" ref="H80:I80" si="238">(H7+H15-H10-H9)/H57</f>
        <v>198.23008849557525</v>
      </c>
      <c r="I80" s="121">
        <f t="shared" si="238"/>
        <v>200.00000000000003</v>
      </c>
      <c r="J80" s="121">
        <f t="shared" ref="J80:S80" si="239">(J7+J15-J10-J9)/J57</f>
        <v>228.31858407079648</v>
      </c>
      <c r="K80" s="121">
        <f t="shared" si="239"/>
        <v>60.808435852372583</v>
      </c>
      <c r="L80" s="121">
        <f t="shared" si="239"/>
        <v>45.78454332552694</v>
      </c>
      <c r="M80" s="121">
        <f t="shared" si="239"/>
        <v>90.281030444964884</v>
      </c>
      <c r="N80" s="121">
        <f t="shared" si="239"/>
        <v>109.8360655737705</v>
      </c>
      <c r="O80" s="121">
        <f t="shared" si="239"/>
        <v>135.36299765807965</v>
      </c>
      <c r="P80" s="121">
        <f t="shared" si="239"/>
        <v>100.70257611241219</v>
      </c>
      <c r="Q80" s="121">
        <f t="shared" si="239"/>
        <v>116.33489461358315</v>
      </c>
      <c r="R80" s="121">
        <f t="shared" si="239"/>
        <v>138.70023419203747</v>
      </c>
      <c r="S80" s="121">
        <f t="shared" si="239"/>
        <v>160.24590163934428</v>
      </c>
      <c r="T80" s="121">
        <f t="shared" ref="T80:U80" si="240">(T7+T15-T10-T9)/T57</f>
        <v>190.33957845433258</v>
      </c>
      <c r="U80" s="121">
        <f t="shared" si="240"/>
        <v>219.61358313817331</v>
      </c>
      <c r="V80" s="101">
        <f t="shared" si="197"/>
        <v>1.2690500611775235E-2</v>
      </c>
      <c r="W80" s="109"/>
      <c r="X80" s="133">
        <f t="shared" ref="X80:AG80" si="241">(X7+X15-X10-X9)/X57</f>
        <v>236.83817789410847</v>
      </c>
      <c r="Y80" s="133">
        <f t="shared" si="241"/>
        <v>255.41372125835235</v>
      </c>
      <c r="Z80" s="133">
        <f t="shared" si="241"/>
        <v>275.4461699844976</v>
      </c>
      <c r="AA80" s="133">
        <f t="shared" si="241"/>
        <v>297.04979115975237</v>
      </c>
      <c r="AB80" s="133">
        <f t="shared" si="241"/>
        <v>320.34781399581141</v>
      </c>
      <c r="AC80" s="133">
        <f t="shared" si="241"/>
        <v>345.47313274058092</v>
      </c>
      <c r="AD80" s="133">
        <f t="shared" si="241"/>
        <v>372.56906472023434</v>
      </c>
      <c r="AE80" s="133">
        <f t="shared" si="241"/>
        <v>401.79016783554687</v>
      </c>
      <c r="AF80" s="133">
        <f t="shared" si="241"/>
        <v>433.30312217558981</v>
      </c>
      <c r="AG80" s="133">
        <f t="shared" si="241"/>
        <v>467.28768077759685</v>
      </c>
      <c r="AH80" s="115">
        <f t="shared" si="204"/>
        <v>3.0291526132975699E-2</v>
      </c>
      <c r="AI80" s="21">
        <f t="shared" si="18"/>
        <v>0.02</v>
      </c>
      <c r="AJ80" s="123">
        <f t="shared" si="205"/>
        <v>2383.1671719657438</v>
      </c>
    </row>
    <row r="81" spans="2:36">
      <c r="B81" s="10"/>
      <c r="C81" s="108"/>
      <c r="D81" s="108"/>
      <c r="E81" s="108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0"/>
      <c r="W81" s="10"/>
      <c r="X81" s="130"/>
      <c r="Y81" s="130"/>
      <c r="Z81" s="130"/>
      <c r="AA81" s="130"/>
      <c r="AB81" s="130"/>
      <c r="AC81" s="130"/>
      <c r="AD81" s="130"/>
      <c r="AE81" s="130"/>
      <c r="AF81" s="130"/>
      <c r="AG81" s="130"/>
      <c r="AH81" s="116"/>
      <c r="AI81" s="114"/>
      <c r="AJ81" s="130"/>
    </row>
    <row r="82" spans="2:36">
      <c r="B82" s="10" t="s">
        <v>205</v>
      </c>
      <c r="C82" s="108"/>
      <c r="D82" s="108"/>
      <c r="E82" s="108"/>
      <c r="F82" s="121"/>
      <c r="G82" s="121">
        <f t="shared" ref="G82" si="242">G12/G57</f>
        <v>13.274336283185843</v>
      </c>
      <c r="H82" s="121">
        <f t="shared" ref="H82:I82" si="243">H12/H57</f>
        <v>15.044247787610621</v>
      </c>
      <c r="I82" s="121">
        <f t="shared" si="243"/>
        <v>18.584070796460178</v>
      </c>
      <c r="J82" s="121">
        <f t="shared" ref="J82:S82" si="244">J12/J57</f>
        <v>23.008849557522126</v>
      </c>
      <c r="K82" s="121">
        <f t="shared" si="244"/>
        <v>9.1388400702987695</v>
      </c>
      <c r="L82" s="121">
        <f t="shared" si="244"/>
        <v>8.1967213114754109</v>
      </c>
      <c r="M82" s="121">
        <f t="shared" si="244"/>
        <v>7.2599531615925068</v>
      </c>
      <c r="N82" s="121">
        <f t="shared" si="244"/>
        <v>4.6838407494145207</v>
      </c>
      <c r="O82" s="121">
        <f t="shared" si="244"/>
        <v>26.81498829039813</v>
      </c>
      <c r="P82" s="121">
        <f t="shared" si="244"/>
        <v>24.063231850117099</v>
      </c>
      <c r="Q82" s="121">
        <f t="shared" si="244"/>
        <v>17.271662763466043</v>
      </c>
      <c r="R82" s="121">
        <f t="shared" si="244"/>
        <v>12.997658079625294</v>
      </c>
      <c r="S82" s="121">
        <f t="shared" si="244"/>
        <v>8.7822014051522252</v>
      </c>
      <c r="T82" s="121">
        <f t="shared" ref="T82:U82" si="245">T12/T57</f>
        <v>9.9531615925058556</v>
      </c>
      <c r="U82" s="121">
        <f t="shared" si="245"/>
        <v>6.4988290398126471</v>
      </c>
      <c r="V82" s="101">
        <f t="shared" si="197"/>
        <v>-4.9735621240839634E-2</v>
      </c>
      <c r="W82" s="109"/>
      <c r="X82" s="133">
        <f t="shared" ref="X82:AG82" si="246">X12/X57</f>
        <v>7.0085411213665809</v>
      </c>
      <c r="Y82" s="133">
        <f t="shared" si="246"/>
        <v>7.5582306210816084</v>
      </c>
      <c r="Z82" s="133">
        <f t="shared" si="246"/>
        <v>8.1510330227350689</v>
      </c>
      <c r="AA82" s="133">
        <f t="shared" si="246"/>
        <v>8.7903297304005648</v>
      </c>
      <c r="AB82" s="133">
        <f t="shared" si="246"/>
        <v>9.4797673563143352</v>
      </c>
      <c r="AC82" s="133">
        <f t="shared" si="246"/>
        <v>10.223278521515459</v>
      </c>
      <c r="AD82" s="133">
        <f t="shared" si="246"/>
        <v>11.02510428790883</v>
      </c>
      <c r="AE82" s="133">
        <f t="shared" si="246"/>
        <v>11.889818349705601</v>
      </c>
      <c r="AF82" s="133">
        <f t="shared" si="246"/>
        <v>12.822353122231533</v>
      </c>
      <c r="AG82" s="133">
        <f t="shared" si="246"/>
        <v>13.82802787691636</v>
      </c>
      <c r="AH82" s="115">
        <f t="shared" si="204"/>
        <v>-2.0992416490791421E-2</v>
      </c>
      <c r="AI82" s="21">
        <f t="shared" si="18"/>
        <v>0.02</v>
      </c>
      <c r="AJ82" s="123">
        <f t="shared" si="205"/>
        <v>70.522942172273446</v>
      </c>
    </row>
    <row r="83" spans="2:36">
      <c r="B83" s="10" t="s">
        <v>212</v>
      </c>
      <c r="C83" s="108"/>
      <c r="D83" s="108"/>
      <c r="E83" s="108"/>
      <c r="F83" s="121"/>
      <c r="G83" s="121">
        <f t="shared" ref="G83" si="247">G13/G57</f>
        <v>18.584070796460178</v>
      </c>
      <c r="H83" s="121">
        <f t="shared" ref="H83:I83" si="248">H13/H57</f>
        <v>21.238938053097346</v>
      </c>
      <c r="I83" s="121">
        <f t="shared" si="248"/>
        <v>28.318584070796462</v>
      </c>
      <c r="J83" s="121">
        <f t="shared" ref="J83:S83" si="249">J13/J57</f>
        <v>14.159292035398231</v>
      </c>
      <c r="K83" s="121">
        <f t="shared" si="249"/>
        <v>2.8119507908611596</v>
      </c>
      <c r="L83" s="121">
        <f t="shared" si="249"/>
        <v>5.5035128805620612</v>
      </c>
      <c r="M83" s="121">
        <f t="shared" si="249"/>
        <v>1.873536299765808</v>
      </c>
      <c r="N83" s="121">
        <f t="shared" si="249"/>
        <v>1.873536299765808</v>
      </c>
      <c r="O83" s="121">
        <f t="shared" si="249"/>
        <v>1.873536299765808</v>
      </c>
      <c r="P83" s="121">
        <f t="shared" si="249"/>
        <v>0.93676814988290402</v>
      </c>
      <c r="Q83" s="121">
        <f t="shared" si="249"/>
        <v>0.93676814988290402</v>
      </c>
      <c r="R83" s="121">
        <f t="shared" si="249"/>
        <v>0.93676814988290402</v>
      </c>
      <c r="S83" s="121">
        <f t="shared" si="249"/>
        <v>0.93676814988290402</v>
      </c>
      <c r="T83" s="121">
        <f t="shared" ref="T83:U83" si="250">T13/T57</f>
        <v>8.5480093676814999</v>
      </c>
      <c r="U83" s="121">
        <f t="shared" si="250"/>
        <v>2.0491803278688527</v>
      </c>
      <c r="V83" s="101">
        <f t="shared" si="197"/>
        <v>-0.14571494452522304</v>
      </c>
      <c r="W83" s="109"/>
      <c r="X83" s="133">
        <f t="shared" ref="X83:AG83" si="251">X13/X57</f>
        <v>2.2099003535840569</v>
      </c>
      <c r="Y83" s="133">
        <f t="shared" si="251"/>
        <v>2.3832258715122183</v>
      </c>
      <c r="Z83" s="133">
        <f t="shared" si="251"/>
        <v>2.5701455477092554</v>
      </c>
      <c r="AA83" s="133">
        <f t="shared" si="251"/>
        <v>2.7717255906668443</v>
      </c>
      <c r="AB83" s="133">
        <f t="shared" si="251"/>
        <v>2.9891158330720877</v>
      </c>
      <c r="AC83" s="133">
        <f t="shared" si="251"/>
        <v>3.223556290567938</v>
      </c>
      <c r="AD83" s="133">
        <f t="shared" si="251"/>
        <v>3.4763842349262073</v>
      </c>
      <c r="AE83" s="133">
        <f t="shared" si="251"/>
        <v>3.749041821979243</v>
      </c>
      <c r="AF83" s="133">
        <f t="shared" si="251"/>
        <v>4.0430843178207532</v>
      </c>
      <c r="AG83" s="133">
        <f t="shared" si="251"/>
        <v>4.3601889701988519</v>
      </c>
      <c r="AH83" s="115">
        <f t="shared" si="204"/>
        <v>-4.7892490548751221E-2</v>
      </c>
      <c r="AI83" s="21">
        <f t="shared" si="18"/>
        <v>0.02</v>
      </c>
      <c r="AJ83" s="123">
        <f t="shared" si="205"/>
        <v>22.236963748014144</v>
      </c>
    </row>
    <row r="84" spans="2:36">
      <c r="B84" s="10" t="s">
        <v>213</v>
      </c>
      <c r="C84" s="108"/>
      <c r="D84" s="108"/>
      <c r="E84" s="108"/>
      <c r="F84" s="121"/>
      <c r="G84" s="121">
        <f t="shared" ref="G84" si="252">(G82+G83)</f>
        <v>31.858407079646021</v>
      </c>
      <c r="H84" s="121">
        <f t="shared" ref="H84:I84" si="253">(H82+H83)</f>
        <v>36.283185840707965</v>
      </c>
      <c r="I84" s="121">
        <f t="shared" si="253"/>
        <v>46.902654867256643</v>
      </c>
      <c r="J84" s="121">
        <f t="shared" ref="J84:S84" si="254">(J82+J83)</f>
        <v>37.168141592920357</v>
      </c>
      <c r="K84" s="121">
        <f t="shared" si="254"/>
        <v>11.950790861159929</v>
      </c>
      <c r="L84" s="121">
        <f t="shared" si="254"/>
        <v>13.700234192037472</v>
      </c>
      <c r="M84" s="121">
        <f t="shared" si="254"/>
        <v>9.1334894613583142</v>
      </c>
      <c r="N84" s="121">
        <f t="shared" si="254"/>
        <v>6.5573770491803289</v>
      </c>
      <c r="O84" s="121">
        <f t="shared" si="254"/>
        <v>28.688524590163937</v>
      </c>
      <c r="P84" s="121">
        <f t="shared" si="254"/>
        <v>25.000000000000004</v>
      </c>
      <c r="Q84" s="121">
        <f t="shared" si="254"/>
        <v>18.208430913348948</v>
      </c>
      <c r="R84" s="121">
        <f t="shared" ref="R84" si="255">(R82+R83)</f>
        <v>13.934426229508198</v>
      </c>
      <c r="S84" s="121">
        <f t="shared" si="254"/>
        <v>9.7189695550351285</v>
      </c>
      <c r="T84" s="121">
        <f t="shared" ref="T84:U84" si="256">(T82+T83)</f>
        <v>18.501170960187356</v>
      </c>
      <c r="U84" s="121">
        <f t="shared" si="256"/>
        <v>8.5480093676814999</v>
      </c>
      <c r="V84" s="101">
        <f t="shared" si="197"/>
        <v>-8.9691416077052444E-2</v>
      </c>
      <c r="W84" s="109"/>
      <c r="X84" s="133">
        <f t="shared" ref="X84:AG84" si="257">(X82+X83)</f>
        <v>9.2184414749506374</v>
      </c>
      <c r="Y84" s="133">
        <f t="shared" si="257"/>
        <v>9.9414564925938258</v>
      </c>
      <c r="Z84" s="133">
        <f t="shared" si="257"/>
        <v>10.721178570444325</v>
      </c>
      <c r="AA84" s="133">
        <f t="shared" si="257"/>
        <v>11.562055321067408</v>
      </c>
      <c r="AB84" s="133">
        <f t="shared" si="257"/>
        <v>12.468883189386423</v>
      </c>
      <c r="AC84" s="133">
        <f t="shared" si="257"/>
        <v>13.446834812083397</v>
      </c>
      <c r="AD84" s="133">
        <f t="shared" si="257"/>
        <v>14.501488522835038</v>
      </c>
      <c r="AE84" s="133">
        <f t="shared" si="257"/>
        <v>15.638860171684843</v>
      </c>
      <c r="AF84" s="133">
        <f t="shared" si="257"/>
        <v>16.865437440052286</v>
      </c>
      <c r="AG84" s="133">
        <f t="shared" si="257"/>
        <v>18.188216847115214</v>
      </c>
      <c r="AH84" s="115">
        <f t="shared" si="204"/>
        <v>-2.9339247390015366E-2</v>
      </c>
      <c r="AI84" s="21">
        <f t="shared" si="18"/>
        <v>0.02</v>
      </c>
      <c r="AJ84" s="123">
        <f t="shared" si="205"/>
        <v>92.759905920287579</v>
      </c>
    </row>
    <row r="85" spans="2:36">
      <c r="B85" s="10" t="s">
        <v>206</v>
      </c>
      <c r="C85" s="108"/>
      <c r="D85" s="108"/>
      <c r="E85" s="108"/>
      <c r="F85" s="121"/>
      <c r="G85" s="121">
        <f t="shared" ref="G85" si="258">G15/G57</f>
        <v>69.911504424778769</v>
      </c>
      <c r="H85" s="121">
        <f t="shared" ref="H85:I85" si="259">H15/H57</f>
        <v>100.88495575221241</v>
      </c>
      <c r="I85" s="121">
        <f t="shared" si="259"/>
        <v>128.31858407079648</v>
      </c>
      <c r="J85" s="121">
        <f t="shared" ref="J85:S85" si="260">J15/J57</f>
        <v>215.04424778761063</v>
      </c>
      <c r="K85" s="121">
        <f t="shared" si="260"/>
        <v>79.086115992970122</v>
      </c>
      <c r="L85" s="121">
        <f t="shared" si="260"/>
        <v>47.189695550351296</v>
      </c>
      <c r="M85" s="121">
        <f t="shared" si="260"/>
        <v>59.250585480093683</v>
      </c>
      <c r="N85" s="121">
        <f t="shared" si="260"/>
        <v>70.140515222482449</v>
      </c>
      <c r="O85" s="121">
        <f t="shared" si="260"/>
        <v>74.941451990632331</v>
      </c>
      <c r="P85" s="121">
        <f t="shared" si="260"/>
        <v>63.46604215456675</v>
      </c>
      <c r="Q85" s="121">
        <f t="shared" si="260"/>
        <v>63.34894613583139</v>
      </c>
      <c r="R85" s="121">
        <f t="shared" si="260"/>
        <v>69.906323185011715</v>
      </c>
      <c r="S85" s="121">
        <f t="shared" si="260"/>
        <v>78.688524590163937</v>
      </c>
      <c r="T85" s="121">
        <f t="shared" ref="T85:U85" si="261">T15/T57</f>
        <v>91.217798594847778</v>
      </c>
      <c r="U85" s="121">
        <f t="shared" si="261"/>
        <v>113.75878220140517</v>
      </c>
      <c r="V85" s="101">
        <f t="shared" si="197"/>
        <v>3.5386723629787342E-2</v>
      </c>
      <c r="W85" s="109"/>
      <c r="X85" s="133">
        <f t="shared" ref="X85:AG85" si="262">X15/X57</f>
        <v>122.68103962896636</v>
      </c>
      <c r="Y85" s="133">
        <f t="shared" si="262"/>
        <v>132.30308195280688</v>
      </c>
      <c r="Z85" s="133">
        <f t="shared" si="262"/>
        <v>142.67979426283094</v>
      </c>
      <c r="AA85" s="133">
        <f t="shared" si="262"/>
        <v>153.87036636187653</v>
      </c>
      <c r="AB85" s="133">
        <f t="shared" si="262"/>
        <v>165.93863039025902</v>
      </c>
      <c r="AC85" s="133">
        <f t="shared" si="262"/>
        <v>178.9534249306715</v>
      </c>
      <c r="AD85" s="133">
        <f t="shared" si="262"/>
        <v>192.98898767033202</v>
      </c>
      <c r="AE85" s="133">
        <f t="shared" si="262"/>
        <v>208.12537886016202</v>
      </c>
      <c r="AF85" s="133">
        <f t="shared" si="262"/>
        <v>224.44893798644927</v>
      </c>
      <c r="AG85" s="133">
        <f t="shared" si="262"/>
        <v>242.05277625989626</v>
      </c>
      <c r="AH85" s="115">
        <f t="shared" si="204"/>
        <v>4.94183643787105E-3</v>
      </c>
      <c r="AI85" s="21">
        <f t="shared" si="18"/>
        <v>0.02</v>
      </c>
      <c r="AJ85" s="123">
        <f t="shared" si="205"/>
        <v>1234.469158925471</v>
      </c>
    </row>
    <row r="86" spans="2:36">
      <c r="B86" s="10" t="s">
        <v>207</v>
      </c>
      <c r="C86" s="108"/>
      <c r="D86" s="108"/>
      <c r="E86" s="108"/>
      <c r="F86" s="121"/>
      <c r="G86" s="121">
        <f t="shared" ref="G86" si="263">G16/G57</f>
        <v>60.176991150442483</v>
      </c>
      <c r="H86" s="121">
        <f t="shared" ref="H86:I86" si="264">H16/H57</f>
        <v>74.336283185840713</v>
      </c>
      <c r="I86" s="121">
        <f t="shared" si="264"/>
        <v>86.725663716814168</v>
      </c>
      <c r="J86" s="121">
        <f t="shared" ref="J86:S86" si="265">J16/J57</f>
        <v>181.41592920353983</v>
      </c>
      <c r="K86" s="121">
        <f t="shared" si="265"/>
        <v>66.432337434094904</v>
      </c>
      <c r="L86" s="121">
        <f t="shared" si="265"/>
        <v>37.822014051522252</v>
      </c>
      <c r="M86" s="121">
        <f t="shared" si="265"/>
        <v>33.957845433255272</v>
      </c>
      <c r="N86" s="121">
        <f t="shared" si="265"/>
        <v>43.091334894613588</v>
      </c>
      <c r="O86" s="121">
        <f t="shared" si="265"/>
        <v>59.016393442622956</v>
      </c>
      <c r="P86" s="121">
        <f t="shared" si="265"/>
        <v>39.168618266978925</v>
      </c>
      <c r="Q86" s="121">
        <f t="shared" si="265"/>
        <v>38.817330210772838</v>
      </c>
      <c r="R86" s="121">
        <f t="shared" si="265"/>
        <v>42.56440281030445</v>
      </c>
      <c r="S86" s="121">
        <f t="shared" si="265"/>
        <v>42.213114754098363</v>
      </c>
      <c r="T86" s="121">
        <f t="shared" ref="T86:U86" si="266">T16/T57</f>
        <v>45.843091334894616</v>
      </c>
      <c r="U86" s="121">
        <f t="shared" si="266"/>
        <v>60.362997658079628</v>
      </c>
      <c r="V86" s="101">
        <f t="shared" si="197"/>
        <v>2.2046881429749199E-4</v>
      </c>
      <c r="W86" s="109"/>
      <c r="X86" s="133">
        <f t="shared" ref="X86:AG86" si="267">X16/X57</f>
        <v>65.097350415576088</v>
      </c>
      <c r="Y86" s="133">
        <f t="shared" si="267"/>
        <v>70.203024957974208</v>
      </c>
      <c r="Z86" s="133">
        <f t="shared" si="267"/>
        <v>75.709144562521217</v>
      </c>
      <c r="AA86" s="133">
        <f t="shared" si="267"/>
        <v>81.647116685071921</v>
      </c>
      <c r="AB86" s="133">
        <f t="shared" si="267"/>
        <v>88.050812111352073</v>
      </c>
      <c r="AC86" s="133">
        <f t="shared" si="267"/>
        <v>94.956758159301245</v>
      </c>
      <c r="AD86" s="133">
        <f t="shared" si="267"/>
        <v>102.40434703454056</v>
      </c>
      <c r="AE86" s="133">
        <f t="shared" si="267"/>
        <v>110.43606052744572</v>
      </c>
      <c r="AF86" s="133">
        <f t="shared" si="267"/>
        <v>119.09771233351992</v>
      </c>
      <c r="AG86" s="133">
        <f t="shared" si="267"/>
        <v>128.43870937928619</v>
      </c>
      <c r="AH86" s="115">
        <f t="shared" si="204"/>
        <v>-1.4286158958815687E-2</v>
      </c>
      <c r="AI86" s="114"/>
      <c r="AJ86" s="123">
        <f t="shared" si="205"/>
        <v>583.81231536039184</v>
      </c>
    </row>
    <row r="87" spans="2:36">
      <c r="B87" s="10"/>
      <c r="C87" s="108"/>
      <c r="D87" s="108"/>
      <c r="E87" s="108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0"/>
      <c r="W87" s="1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16"/>
      <c r="AI87" s="21">
        <f t="shared" si="18"/>
        <v>0.02</v>
      </c>
      <c r="AJ87" s="123">
        <f t="shared" si="205"/>
        <v>0</v>
      </c>
    </row>
    <row r="88" spans="2:36">
      <c r="B88" s="10" t="s">
        <v>232</v>
      </c>
      <c r="C88" s="135"/>
      <c r="D88" s="135"/>
      <c r="E88" s="135"/>
      <c r="F88" s="135"/>
      <c r="G88" s="135">
        <f t="shared" ref="G88" si="268">G59</f>
        <v>1.5</v>
      </c>
      <c r="H88" s="135">
        <f t="shared" ref="H88:I88" si="269">H59</f>
        <v>2</v>
      </c>
      <c r="I88" s="135">
        <f t="shared" si="269"/>
        <v>2.5</v>
      </c>
      <c r="J88" s="135">
        <f t="shared" ref="J88:S88" si="270">J59</f>
        <v>3.5</v>
      </c>
      <c r="K88" s="135">
        <f t="shared" si="270"/>
        <v>0.7</v>
      </c>
      <c r="L88" s="135">
        <f t="shared" si="270"/>
        <v>0.8</v>
      </c>
      <c r="M88" s="135">
        <f t="shared" si="270"/>
        <v>2.9</v>
      </c>
      <c r="N88" s="135">
        <f t="shared" si="270"/>
        <v>4.5999999999999996</v>
      </c>
      <c r="O88" s="135">
        <f t="shared" si="270"/>
        <v>3.78</v>
      </c>
      <c r="P88" s="135">
        <f t="shared" si="270"/>
        <v>2.52</v>
      </c>
      <c r="Q88" s="135">
        <f t="shared" si="270"/>
        <v>3.23</v>
      </c>
      <c r="R88" s="135">
        <f t="shared" si="270"/>
        <v>3.61</v>
      </c>
      <c r="S88" s="135">
        <f t="shared" si="270"/>
        <v>4.25</v>
      </c>
      <c r="T88" s="135">
        <f t="shared" ref="T88:U88" si="271">T59</f>
        <v>4.25</v>
      </c>
      <c r="U88" s="135">
        <f t="shared" si="271"/>
        <v>4.1500000000000004</v>
      </c>
      <c r="V88" s="101">
        <f t="shared" si="197"/>
        <v>7.5395823663501949E-2</v>
      </c>
      <c r="W88" s="109"/>
      <c r="X88" s="135">
        <f t="shared" ref="X88:AG88" si="272">X59</f>
        <v>4.2330000000000005</v>
      </c>
      <c r="Y88" s="135">
        <f t="shared" si="272"/>
        <v>4.3176600000000009</v>
      </c>
      <c r="Z88" s="135">
        <f t="shared" si="272"/>
        <v>4.4040132000000014</v>
      </c>
      <c r="AA88" s="135">
        <f t="shared" si="272"/>
        <v>4.4920934640000016</v>
      </c>
      <c r="AB88" s="135">
        <f t="shared" si="272"/>
        <v>4.5819353332800015</v>
      </c>
      <c r="AC88" s="135">
        <f t="shared" si="272"/>
        <v>4.6735740399456018</v>
      </c>
      <c r="AD88" s="135">
        <f t="shared" si="272"/>
        <v>4.7670455207445137</v>
      </c>
      <c r="AE88" s="135">
        <f t="shared" si="272"/>
        <v>4.8623864311594041</v>
      </c>
      <c r="AF88" s="135">
        <f t="shared" si="272"/>
        <v>4.9596341597825919</v>
      </c>
      <c r="AG88" s="135">
        <f t="shared" si="272"/>
        <v>5.0588268429782435</v>
      </c>
      <c r="AH88" s="115">
        <f t="shared" ref="AH88" si="273">((AG88/J88)^(1/($AG$3-$K$1) ))-1</f>
        <v>1.5467216372172299E-2</v>
      </c>
      <c r="AI88" s="21">
        <f t="shared" si="18"/>
        <v>0.02</v>
      </c>
      <c r="AJ88" s="123">
        <f t="shared" si="205"/>
        <v>25.800016899189043</v>
      </c>
    </row>
    <row r="89" spans="2:36">
      <c r="B89" s="10"/>
      <c r="C89" s="108"/>
      <c r="D89" s="108"/>
      <c r="E89" s="108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0"/>
      <c r="W89" s="10"/>
      <c r="X89" s="130"/>
      <c r="Y89" s="130"/>
      <c r="Z89" s="130"/>
      <c r="AA89" s="130"/>
      <c r="AB89" s="130"/>
      <c r="AC89" s="130"/>
      <c r="AD89" s="130"/>
      <c r="AE89" s="130"/>
      <c r="AF89" s="130"/>
      <c r="AG89" s="130"/>
      <c r="AH89" s="116"/>
      <c r="AI89" s="114"/>
      <c r="AJ89" s="130"/>
    </row>
    <row r="90" spans="2:36">
      <c r="B90" s="10" t="s">
        <v>262</v>
      </c>
      <c r="C90" s="108"/>
      <c r="D90" s="108"/>
      <c r="E90" s="108"/>
      <c r="F90" s="121"/>
      <c r="G90" s="121">
        <f t="shared" ref="G90" si="274">G20+G21</f>
        <v>-4</v>
      </c>
      <c r="H90" s="121">
        <f t="shared" ref="H90:I90" si="275">H20+H21</f>
        <v>-4</v>
      </c>
      <c r="I90" s="121">
        <f t="shared" si="275"/>
        <v>-9</v>
      </c>
      <c r="J90" s="121">
        <f t="shared" ref="J90:S90" si="276">J20+J21</f>
        <v>-92</v>
      </c>
      <c r="K90" s="121">
        <f t="shared" si="276"/>
        <v>-145</v>
      </c>
      <c r="L90" s="121">
        <f t="shared" si="276"/>
        <v>91</v>
      </c>
      <c r="M90" s="121">
        <f t="shared" si="276"/>
        <v>196</v>
      </c>
      <c r="N90" s="121">
        <f t="shared" si="276"/>
        <v>24</v>
      </c>
      <c r="O90" s="121">
        <f t="shared" si="276"/>
        <v>226</v>
      </c>
      <c r="P90" s="121">
        <f t="shared" si="276"/>
        <v>215</v>
      </c>
      <c r="Q90" s="121">
        <f t="shared" si="276"/>
        <v>-65</v>
      </c>
      <c r="R90" s="121">
        <f t="shared" si="276"/>
        <v>7</v>
      </c>
      <c r="S90" s="121">
        <f t="shared" si="276"/>
        <v>162</v>
      </c>
      <c r="T90" s="121">
        <f t="shared" ref="T90:U90" si="277">T20+T21</f>
        <v>18</v>
      </c>
      <c r="U90" s="121">
        <f t="shared" si="277"/>
        <v>18</v>
      </c>
      <c r="V90" s="101" t="e">
        <f t="shared" si="197"/>
        <v>#NUM!</v>
      </c>
      <c r="W90" s="109"/>
      <c r="X90" s="121">
        <f t="shared" ref="X90:AG90" si="278">X20+X21</f>
        <v>19.799999999999955</v>
      </c>
      <c r="Y90" s="121">
        <f t="shared" si="278"/>
        <v>21.779999999999973</v>
      </c>
      <c r="Z90" s="121">
        <f t="shared" si="278"/>
        <v>23.95799999999997</v>
      </c>
      <c r="AA90" s="121">
        <f t="shared" si="278"/>
        <v>26.353799999999978</v>
      </c>
      <c r="AB90" s="121">
        <f t="shared" si="278"/>
        <v>28.989179999999919</v>
      </c>
      <c r="AC90" s="121">
        <f t="shared" si="278"/>
        <v>31.8880979999999</v>
      </c>
      <c r="AD90" s="121">
        <f t="shared" si="278"/>
        <v>35.076907799999844</v>
      </c>
      <c r="AE90" s="121">
        <f t="shared" si="278"/>
        <v>38.584598579999692</v>
      </c>
      <c r="AF90" s="121">
        <f t="shared" si="278"/>
        <v>42.443058437999525</v>
      </c>
      <c r="AG90" s="121">
        <f t="shared" si="278"/>
        <v>46.687364281799546</v>
      </c>
      <c r="AH90" s="115" t="e">
        <f t="shared" ref="AH90:AH95" si="279">((AG90/J90)^(1/($AG$3-$K$1) ))-1</f>
        <v>#NUM!</v>
      </c>
      <c r="AI90" s="21">
        <f t="shared" si="18"/>
        <v>0.02</v>
      </c>
      <c r="AJ90" s="123">
        <f t="shared" si="205"/>
        <v>238.10555783717768</v>
      </c>
    </row>
    <row r="91" spans="2:36">
      <c r="B91" s="10"/>
      <c r="C91" s="108"/>
      <c r="D91" s="108"/>
      <c r="E91" s="108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0"/>
      <c r="W91" s="10"/>
      <c r="X91" s="123"/>
      <c r="Y91" s="123"/>
      <c r="Z91" s="123"/>
      <c r="AA91" s="123"/>
      <c r="AB91" s="123"/>
      <c r="AC91" s="123"/>
      <c r="AD91" s="123"/>
      <c r="AE91" s="123"/>
      <c r="AF91" s="123"/>
      <c r="AG91" s="123"/>
      <c r="AH91" s="116"/>
      <c r="AI91" s="114"/>
      <c r="AJ91" s="123"/>
    </row>
    <row r="92" spans="2:36">
      <c r="B92" s="10" t="s">
        <v>263</v>
      </c>
      <c r="C92" s="108"/>
      <c r="D92" s="108"/>
      <c r="E92" s="108"/>
      <c r="F92" s="121"/>
      <c r="G92" s="121">
        <f t="shared" ref="G92" si="280">G90/G57</f>
        <v>-3.5398230088495577</v>
      </c>
      <c r="H92" s="121">
        <f t="shared" ref="H92:I92" si="281">H90/H57</f>
        <v>-3.5398230088495577</v>
      </c>
      <c r="I92" s="121">
        <f t="shared" si="281"/>
        <v>-7.9646017699115053</v>
      </c>
      <c r="J92" s="121">
        <f t="shared" ref="J92:S92" si="282">J90/J57</f>
        <v>-81.415929203539832</v>
      </c>
      <c r="K92" s="121">
        <f t="shared" si="282"/>
        <v>-25.48330404217926</v>
      </c>
      <c r="L92" s="121">
        <f t="shared" si="282"/>
        <v>10.655737704918034</v>
      </c>
      <c r="M92" s="121">
        <f t="shared" si="282"/>
        <v>22.95081967213115</v>
      </c>
      <c r="N92" s="121">
        <f t="shared" si="282"/>
        <v>2.8103044496487124</v>
      </c>
      <c r="O92" s="121">
        <f t="shared" si="282"/>
        <v>26.463700234192039</v>
      </c>
      <c r="P92" s="121">
        <f t="shared" si="282"/>
        <v>12.587822014051524</v>
      </c>
      <c r="Q92" s="121">
        <f t="shared" si="282"/>
        <v>-3.8056206088992979</v>
      </c>
      <c r="R92" s="121">
        <f t="shared" si="282"/>
        <v>0.40983606557377056</v>
      </c>
      <c r="S92" s="121">
        <f t="shared" si="282"/>
        <v>9.4847775175644031</v>
      </c>
      <c r="T92" s="121">
        <f t="shared" ref="T92:U92" si="283">T90/T57</f>
        <v>1.053864168618267</v>
      </c>
      <c r="U92" s="121">
        <f t="shared" si="283"/>
        <v>1.053864168618267</v>
      </c>
      <c r="V92" s="101" t="e">
        <f t="shared" si="197"/>
        <v>#NUM!</v>
      </c>
      <c r="W92" s="109"/>
      <c r="X92" s="123">
        <f t="shared" ref="X92:AG92" si="284">X90/X57</f>
        <v>1.1365201818432267</v>
      </c>
      <c r="Y92" s="123">
        <f t="shared" si="284"/>
        <v>1.2256590196348536</v>
      </c>
      <c r="Z92" s="123">
        <f t="shared" si="284"/>
        <v>1.321789138821901</v>
      </c>
      <c r="AA92" s="123">
        <f t="shared" si="284"/>
        <v>1.4254588752000901</v>
      </c>
      <c r="AB92" s="123">
        <f t="shared" si="284"/>
        <v>1.5372595712942116</v>
      </c>
      <c r="AC92" s="123">
        <f t="shared" si="284"/>
        <v>1.6578289494349334</v>
      </c>
      <c r="AD92" s="123">
        <f t="shared" si="284"/>
        <v>1.7878547493906121</v>
      </c>
      <c r="AE92" s="123">
        <f t="shared" si="284"/>
        <v>1.9280786513035943</v>
      </c>
      <c r="AF92" s="123">
        <f t="shared" si="284"/>
        <v>2.0793005063077912</v>
      </c>
      <c r="AG92" s="123">
        <f t="shared" si="284"/>
        <v>2.2423828989593857</v>
      </c>
      <c r="AH92" s="115" t="e">
        <f t="shared" si="279"/>
        <v>#NUM!</v>
      </c>
      <c r="AI92" s="21">
        <f t="shared" si="18"/>
        <v>0.02</v>
      </c>
      <c r="AJ92" s="123">
        <f t="shared" si="205"/>
        <v>11.436152784692867</v>
      </c>
    </row>
    <row r="93" spans="2:36">
      <c r="B93" s="10" t="s">
        <v>236</v>
      </c>
      <c r="C93" s="108"/>
      <c r="D93" s="108"/>
      <c r="E93" s="108"/>
      <c r="F93" s="121"/>
      <c r="G93" s="121">
        <f t="shared" ref="G93" si="285">G20/G57</f>
        <v>5.3097345132743365</v>
      </c>
      <c r="H93" s="121">
        <f t="shared" ref="H93:I93" si="286">H20/H57</f>
        <v>6.1946902654867264</v>
      </c>
      <c r="I93" s="121">
        <f t="shared" si="286"/>
        <v>23.008849557522126</v>
      </c>
      <c r="J93" s="121">
        <f t="shared" ref="J93:S93" si="287">J20/J57</f>
        <v>-33.628318584070797</v>
      </c>
      <c r="K93" s="121">
        <f t="shared" si="287"/>
        <v>-5.2724077328646741</v>
      </c>
      <c r="L93" s="121">
        <f t="shared" si="287"/>
        <v>26.112412177985952</v>
      </c>
      <c r="M93" s="121">
        <f t="shared" si="287"/>
        <v>25.058548009367684</v>
      </c>
      <c r="N93" s="121">
        <f t="shared" si="287"/>
        <v>9.9531615925058556</v>
      </c>
      <c r="O93" s="121">
        <f t="shared" si="287"/>
        <v>34.660421545667454</v>
      </c>
      <c r="P93" s="121">
        <f t="shared" si="287"/>
        <v>19.613583138173304</v>
      </c>
      <c r="Q93" s="121">
        <f t="shared" si="287"/>
        <v>16.334894613583138</v>
      </c>
      <c r="R93" s="121">
        <f t="shared" si="287"/>
        <v>22.716627634660423</v>
      </c>
      <c r="S93" s="121">
        <f t="shared" si="287"/>
        <v>32.435597189695557</v>
      </c>
      <c r="T93" s="121">
        <f t="shared" ref="T93:U93" si="288">T20/T57</f>
        <v>32.318501170960189</v>
      </c>
      <c r="U93" s="121">
        <f t="shared" si="288"/>
        <v>32.318501170960189</v>
      </c>
      <c r="V93" s="101">
        <f t="shared" si="197"/>
        <v>0.13769808976457254</v>
      </c>
      <c r="W93" s="109"/>
      <c r="X93" s="123">
        <f t="shared" ref="X93:AG93" si="289">X20/X57</f>
        <v>34.8532855765257</v>
      </c>
      <c r="Y93" s="123">
        <f t="shared" si="289"/>
        <v>37.586876602135561</v>
      </c>
      <c r="Z93" s="123">
        <f t="shared" si="289"/>
        <v>40.534866923871689</v>
      </c>
      <c r="AA93" s="123">
        <f t="shared" si="289"/>
        <v>43.714072172802801</v>
      </c>
      <c r="AB93" s="123">
        <f t="shared" si="289"/>
        <v>47.142626853022634</v>
      </c>
      <c r="AC93" s="123">
        <f t="shared" si="289"/>
        <v>50.840087782671468</v>
      </c>
      <c r="AD93" s="123">
        <f t="shared" si="289"/>
        <v>54.827545647979036</v>
      </c>
      <c r="AE93" s="123">
        <f t="shared" si="289"/>
        <v>59.127745306644059</v>
      </c>
      <c r="AF93" s="123">
        <f t="shared" si="289"/>
        <v>63.765215526773012</v>
      </c>
      <c r="AG93" s="123">
        <f t="shared" si="289"/>
        <v>68.766408901421883</v>
      </c>
      <c r="AH93" s="115" t="e">
        <f t="shared" si="279"/>
        <v>#NUM!</v>
      </c>
      <c r="AI93" s="21">
        <f t="shared" si="18"/>
        <v>0.02</v>
      </c>
      <c r="AJ93" s="123">
        <f t="shared" si="205"/>
        <v>350.7086853972516</v>
      </c>
    </row>
    <row r="94" spans="2:36">
      <c r="B94" s="10" t="s">
        <v>237</v>
      </c>
      <c r="C94" s="108"/>
      <c r="D94" s="108"/>
      <c r="E94" s="108"/>
      <c r="F94" s="121"/>
      <c r="G94" s="121">
        <f t="shared" ref="G94" si="290">G21/G57</f>
        <v>-8.8495575221238951</v>
      </c>
      <c r="H94" s="121">
        <f t="shared" ref="H94:I94" si="291">H21/H57</f>
        <v>-9.7345132743362832</v>
      </c>
      <c r="I94" s="121">
        <f t="shared" si="291"/>
        <v>-30.973451327433633</v>
      </c>
      <c r="J94" s="121">
        <f t="shared" ref="J94:S94" si="292">J21/J57</f>
        <v>-47.787610619469028</v>
      </c>
      <c r="K94" s="121">
        <f t="shared" si="292"/>
        <v>-20.210896309314585</v>
      </c>
      <c r="L94" s="121">
        <f t="shared" si="292"/>
        <v>-15.456674473067917</v>
      </c>
      <c r="M94" s="121">
        <f t="shared" si="292"/>
        <v>-2.1077283372365341</v>
      </c>
      <c r="N94" s="121">
        <f t="shared" si="292"/>
        <v>-7.1428571428571432</v>
      </c>
      <c r="O94" s="121">
        <f t="shared" si="292"/>
        <v>-8.1967213114754109</v>
      </c>
      <c r="P94" s="121">
        <f t="shared" si="292"/>
        <v>-7.0257611241217806</v>
      </c>
      <c r="Q94" s="121">
        <f t="shared" si="292"/>
        <v>-20.140515222482438</v>
      </c>
      <c r="R94" s="121">
        <f t="shared" si="292"/>
        <v>-22.306791569086652</v>
      </c>
      <c r="S94" s="121">
        <f t="shared" si="292"/>
        <v>-22.95081967213115</v>
      </c>
      <c r="T94" s="121">
        <f t="shared" ref="T94:U94" si="293">T21/T57</f>
        <v>-31.264637002341924</v>
      </c>
      <c r="U94" s="121">
        <f t="shared" si="293"/>
        <v>-31.264637002341924</v>
      </c>
      <c r="V94" s="101">
        <f t="shared" si="197"/>
        <v>9.434000037711221E-2</v>
      </c>
      <c r="W94" s="109"/>
      <c r="X94" s="123">
        <f t="shared" ref="X94:AG94" si="294">X21/X57</f>
        <v>-33.716765394682476</v>
      </c>
      <c r="Y94" s="123">
        <f t="shared" si="294"/>
        <v>-36.361217582500707</v>
      </c>
      <c r="Z94" s="123">
        <f t="shared" si="294"/>
        <v>-39.213077785049784</v>
      </c>
      <c r="AA94" s="123">
        <f t="shared" si="294"/>
        <v>-42.288613297602716</v>
      </c>
      <c r="AB94" s="123">
        <f t="shared" si="294"/>
        <v>-45.605367281728427</v>
      </c>
      <c r="AC94" s="123">
        <f t="shared" si="294"/>
        <v>-49.182258833236531</v>
      </c>
      <c r="AD94" s="123">
        <f t="shared" si="294"/>
        <v>-53.039690898588425</v>
      </c>
      <c r="AE94" s="123">
        <f t="shared" si="294"/>
        <v>-57.199666655340465</v>
      </c>
      <c r="AF94" s="123">
        <f t="shared" si="294"/>
        <v>-61.685915020465217</v>
      </c>
      <c r="AG94" s="123">
        <f t="shared" si="294"/>
        <v>-66.524026002462492</v>
      </c>
      <c r="AH94" s="115">
        <f t="shared" si="279"/>
        <v>1.3878624611305401E-2</v>
      </c>
      <c r="AI94" s="21">
        <f t="shared" si="18"/>
        <v>0.02</v>
      </c>
      <c r="AJ94" s="123">
        <f t="shared" si="205"/>
        <v>-339.27253261255868</v>
      </c>
    </row>
    <row r="95" spans="2:36">
      <c r="B95" s="10" t="s">
        <v>238</v>
      </c>
      <c r="C95" s="108"/>
      <c r="D95" s="108"/>
      <c r="E95" s="108"/>
      <c r="F95" s="121"/>
      <c r="G95" s="121">
        <f t="shared" ref="G95" si="295">G22/G57</f>
        <v>2.6548672566371683</v>
      </c>
      <c r="H95" s="121">
        <f t="shared" ref="H95:I95" si="296">H22/H57</f>
        <v>6.1946902654867264</v>
      </c>
      <c r="I95" s="121">
        <f t="shared" si="296"/>
        <v>10.619469026548673</v>
      </c>
      <c r="J95" s="121">
        <f t="shared" ref="J95:S95" si="297">J22/J57</f>
        <v>85.840707964601776</v>
      </c>
      <c r="K95" s="121">
        <f t="shared" si="297"/>
        <v>30.052724077328644</v>
      </c>
      <c r="L95" s="121">
        <f t="shared" si="297"/>
        <v>-8.5480093676814999</v>
      </c>
      <c r="M95" s="121">
        <f t="shared" si="297"/>
        <v>-23.887587822014055</v>
      </c>
      <c r="N95" s="121">
        <f t="shared" si="297"/>
        <v>-5.3864168618266985</v>
      </c>
      <c r="O95" s="121">
        <f t="shared" si="297"/>
        <v>-4.918032786885246</v>
      </c>
      <c r="P95" s="121">
        <f t="shared" si="297"/>
        <v>-2.0491803278688527</v>
      </c>
      <c r="Q95" s="121">
        <f t="shared" si="297"/>
        <v>-3.1030444964871196</v>
      </c>
      <c r="R95" s="121">
        <f t="shared" si="297"/>
        <v>-4.3325526932084317</v>
      </c>
      <c r="S95" s="121">
        <f t="shared" si="297"/>
        <v>-9.5433255269320849</v>
      </c>
      <c r="T95" s="121">
        <f t="shared" ref="T95:U95" si="298">T22/T57</f>
        <v>-0.117096018735363</v>
      </c>
      <c r="U95" s="121">
        <f t="shared" si="298"/>
        <v>-0.117096018735363</v>
      </c>
      <c r="V95" s="101" t="e">
        <f t="shared" si="197"/>
        <v>#NUM!</v>
      </c>
      <c r="W95" s="109"/>
      <c r="X95" s="123">
        <f t="shared" ref="X95:AG95" si="299">X22/X57</f>
        <v>-0.12628002020480325</v>
      </c>
      <c r="Y95" s="123">
        <f t="shared" si="299"/>
        <v>-0.13618433551498393</v>
      </c>
      <c r="Z95" s="123">
        <f t="shared" si="299"/>
        <v>-0.14686545986910035</v>
      </c>
      <c r="AA95" s="123">
        <f t="shared" si="299"/>
        <v>-0.15838431946667686</v>
      </c>
      <c r="AB95" s="123">
        <f t="shared" si="299"/>
        <v>-0.17080661903269073</v>
      </c>
      <c r="AC95" s="123">
        <f t="shared" si="299"/>
        <v>-0.1842032166038822</v>
      </c>
      <c r="AD95" s="123">
        <f t="shared" si="299"/>
        <v>-0.19865052771006905</v>
      </c>
      <c r="AE95" s="123">
        <f t="shared" si="299"/>
        <v>-0.21423096125595678</v>
      </c>
      <c r="AF95" s="123">
        <f t="shared" si="299"/>
        <v>-0.23103338958975736</v>
      </c>
      <c r="AG95" s="123">
        <f t="shared" si="299"/>
        <v>-0.2491536554399344</v>
      </c>
      <c r="AH95" s="115" t="e">
        <f t="shared" si="279"/>
        <v>#NUM!</v>
      </c>
      <c r="AI95" s="21">
        <f t="shared" si="18"/>
        <v>0.02</v>
      </c>
      <c r="AJ95" s="123">
        <f t="shared" si="205"/>
        <v>-1.2706836427436654</v>
      </c>
    </row>
    <row r="96" spans="2:36">
      <c r="B96" s="10" t="s">
        <v>245</v>
      </c>
      <c r="C96" s="108"/>
      <c r="D96" s="108"/>
      <c r="E96" s="108"/>
      <c r="F96" s="121"/>
      <c r="G96" s="121">
        <f t="shared" ref="G96" si="300">G23/G57</f>
        <v>13.274336283185843</v>
      </c>
      <c r="H96" s="121">
        <f t="shared" ref="H96:I96" si="301">H23/H57</f>
        <v>15.044247787610621</v>
      </c>
      <c r="I96" s="121">
        <f t="shared" si="301"/>
        <v>18.584070796460178</v>
      </c>
      <c r="J96" s="121">
        <f t="shared" ref="J96:S96" si="302">J23/J57</f>
        <v>23.008849557522126</v>
      </c>
      <c r="K96" s="121">
        <f t="shared" si="302"/>
        <v>8.9630931458699461</v>
      </c>
      <c r="L96" s="121">
        <f t="shared" si="302"/>
        <v>8.1967213114754109</v>
      </c>
      <c r="M96" s="121">
        <f t="shared" si="302"/>
        <v>7.2599531615925068</v>
      </c>
      <c r="N96" s="121">
        <f t="shared" si="302"/>
        <v>4.6838407494145207</v>
      </c>
      <c r="O96" s="121">
        <f t="shared" si="302"/>
        <v>26.81498829039813</v>
      </c>
      <c r="P96" s="121">
        <f t="shared" si="302"/>
        <v>23.946135831381735</v>
      </c>
      <c r="Q96" s="121">
        <f t="shared" si="302"/>
        <v>17.15456674473068</v>
      </c>
      <c r="R96" s="121">
        <f t="shared" si="302"/>
        <v>12.880562060889931</v>
      </c>
      <c r="S96" s="121">
        <f t="shared" si="302"/>
        <v>4.5667447306791571</v>
      </c>
      <c r="T96" s="121">
        <f t="shared" ref="T96:U96" si="303">T23/T57</f>
        <v>1.2880562060889931</v>
      </c>
      <c r="U96" s="121">
        <f t="shared" si="303"/>
        <v>1.2880562060889931</v>
      </c>
      <c r="V96" s="101">
        <f t="shared" si="197"/>
        <v>-0.15347987843498423</v>
      </c>
      <c r="W96" s="109"/>
      <c r="X96" s="123">
        <f t="shared" ref="X96:AG96" si="304">X23/X57</f>
        <v>1.3890802222528358</v>
      </c>
      <c r="Y96" s="123">
        <f t="shared" si="304"/>
        <v>1.4980276906648231</v>
      </c>
      <c r="Z96" s="123">
        <f t="shared" si="304"/>
        <v>1.6155200585601037</v>
      </c>
      <c r="AA96" s="123">
        <f t="shared" si="304"/>
        <v>1.7422275141334451</v>
      </c>
      <c r="AB96" s="123">
        <f t="shared" si="304"/>
        <v>1.8788728093595979</v>
      </c>
      <c r="AC96" s="123">
        <f t="shared" si="304"/>
        <v>2.0262353826427035</v>
      </c>
      <c r="AD96" s="123">
        <f t="shared" si="304"/>
        <v>2.1851558048107589</v>
      </c>
      <c r="AE96" s="123">
        <f t="shared" si="304"/>
        <v>2.3565405738155243</v>
      </c>
      <c r="AF96" s="123">
        <f t="shared" si="304"/>
        <v>2.5413672854873304</v>
      </c>
      <c r="AG96" s="123">
        <f t="shared" si="304"/>
        <v>2.7406902098392782</v>
      </c>
      <c r="AH96" s="115">
        <f t="shared" ref="AH96" si="305">((AG96/J96)^(1/($AG$3-$K$1) ))-1</f>
        <v>-8.4836809925399437E-2</v>
      </c>
      <c r="AI96" s="21">
        <f t="shared" si="18"/>
        <v>0.02</v>
      </c>
      <c r="AJ96" s="123">
        <f t="shared" si="205"/>
        <v>13.97752007018032</v>
      </c>
    </row>
    <row r="97" spans="2:36">
      <c r="B97" s="10"/>
      <c r="C97" s="108"/>
      <c r="D97" s="108"/>
      <c r="E97" s="108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0"/>
      <c r="W97" s="10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16"/>
      <c r="AI97" s="114"/>
      <c r="AJ97" s="130"/>
    </row>
    <row r="98" spans="2:36">
      <c r="B98" s="10" t="s">
        <v>430</v>
      </c>
      <c r="C98" s="121"/>
      <c r="D98" s="121"/>
      <c r="E98" s="121"/>
      <c r="F98" s="121"/>
      <c r="G98" s="121">
        <f t="shared" ref="G98" si="306">G51/G57</f>
        <v>19.469026548672566</v>
      </c>
      <c r="H98" s="121">
        <f t="shared" ref="H98:I98" si="307">H51/H57</f>
        <v>21.238938053097346</v>
      </c>
      <c r="I98" s="121">
        <f t="shared" si="307"/>
        <v>46.902654867256643</v>
      </c>
      <c r="J98" s="121">
        <f t="shared" ref="J98:S98" si="308">J51/J57</f>
        <v>82.300884955752224</v>
      </c>
      <c r="K98" s="121">
        <f t="shared" si="308"/>
        <v>31.985940246045693</v>
      </c>
      <c r="L98" s="121">
        <f t="shared" si="308"/>
        <v>24.355971896955506</v>
      </c>
      <c r="M98" s="121">
        <f t="shared" si="308"/>
        <v>34.30913348946136</v>
      </c>
      <c r="N98" s="121">
        <f t="shared" si="308"/>
        <v>30.210772833723656</v>
      </c>
      <c r="O98" s="121">
        <f t="shared" si="308"/>
        <v>41.686182669789233</v>
      </c>
      <c r="P98" s="121">
        <f t="shared" si="308"/>
        <v>26.463700234192039</v>
      </c>
      <c r="Q98" s="121">
        <f t="shared" si="308"/>
        <v>32.786885245901644</v>
      </c>
      <c r="R98" s="121">
        <f t="shared" si="308"/>
        <v>41.510538641686189</v>
      </c>
      <c r="S98" s="121">
        <f t="shared" si="308"/>
        <v>47.833723653395786</v>
      </c>
      <c r="T98" s="121">
        <f t="shared" ref="T98:U98" si="309">T51/T57</f>
        <v>49.707259953161596</v>
      </c>
      <c r="U98" s="121">
        <f t="shared" si="309"/>
        <v>51.697892271662766</v>
      </c>
      <c r="V98" s="101">
        <f t="shared" si="197"/>
        <v>7.2247148569483555E-2</v>
      </c>
      <c r="W98" s="109"/>
      <c r="X98" s="121">
        <f t="shared" ref="X98:AG98" si="310">X51/X57</f>
        <v>55.752628920420641</v>
      </c>
      <c r="Y98" s="121">
        <f t="shared" si="310"/>
        <v>60.125384129865395</v>
      </c>
      <c r="Z98" s="121">
        <f t="shared" si="310"/>
        <v>64.84110053220779</v>
      </c>
      <c r="AA98" s="121">
        <f t="shared" si="310"/>
        <v>69.926677044537826</v>
      </c>
      <c r="AB98" s="121">
        <f t="shared" si="310"/>
        <v>75.411122302932952</v>
      </c>
      <c r="AC98" s="121">
        <f t="shared" si="310"/>
        <v>81.325720130613959</v>
      </c>
      <c r="AD98" s="121">
        <f t="shared" si="310"/>
        <v>87.70420798399546</v>
      </c>
      <c r="AE98" s="121">
        <f t="shared" si="310"/>
        <v>94.5829693945049</v>
      </c>
      <c r="AF98" s="121">
        <f t="shared" si="310"/>
        <v>102.00124150387786</v>
      </c>
      <c r="AG98" s="121">
        <f t="shared" si="310"/>
        <v>110.00133887673103</v>
      </c>
      <c r="AH98" s="115">
        <f t="shared" ref="AH98:AH100" si="311">((AG98/J98)^(1/($AG$3-$K$1) ))-1</f>
        <v>1.2161299346576948E-2</v>
      </c>
      <c r="AI98" s="21">
        <f t="shared" si="18"/>
        <v>0.02</v>
      </c>
      <c r="AJ98" s="123">
        <f t="shared" si="205"/>
        <v>561.00682827132823</v>
      </c>
    </row>
    <row r="99" spans="2:36">
      <c r="B99" s="10" t="s">
        <v>431</v>
      </c>
      <c r="C99" s="121"/>
      <c r="D99" s="121"/>
      <c r="E99" s="121"/>
      <c r="F99" s="121"/>
      <c r="G99" s="121">
        <f t="shared" ref="G99" si="312">G55/G57</f>
        <v>0.88495575221238942</v>
      </c>
      <c r="H99" s="121">
        <f t="shared" ref="H99:I99" si="313">H55/H57</f>
        <v>7.9646017699115053</v>
      </c>
      <c r="I99" s="121">
        <f t="shared" si="313"/>
        <v>21.238938053097346</v>
      </c>
      <c r="J99" s="121">
        <f t="shared" ref="J99:S99" si="314">J55/J57</f>
        <v>41.592920353982308</v>
      </c>
      <c r="K99" s="121">
        <f t="shared" si="314"/>
        <v>16.520210896309312</v>
      </c>
      <c r="L99" s="121">
        <f t="shared" si="314"/>
        <v>9.4847775175644031</v>
      </c>
      <c r="M99" s="121">
        <f t="shared" si="314"/>
        <v>19.555035128805624</v>
      </c>
      <c r="N99" s="121">
        <f t="shared" si="314"/>
        <v>17.330210772833727</v>
      </c>
      <c r="O99" s="121">
        <f t="shared" si="314"/>
        <v>25.175644028103047</v>
      </c>
      <c r="P99" s="121">
        <f t="shared" si="314"/>
        <v>16.803278688524593</v>
      </c>
      <c r="Q99" s="121">
        <f t="shared" si="314"/>
        <v>21.487119437939111</v>
      </c>
      <c r="R99" s="121">
        <f t="shared" si="314"/>
        <v>24.004683840749419</v>
      </c>
      <c r="S99" s="121">
        <f t="shared" si="314"/>
        <v>28.629976580796257</v>
      </c>
      <c r="T99" s="121">
        <f t="shared" ref="T99:U99" si="315">T55/T57</f>
        <v>27.985948477751759</v>
      </c>
      <c r="U99" s="121">
        <f t="shared" si="315"/>
        <v>27.576112412177988</v>
      </c>
      <c r="V99" s="101">
        <f t="shared" si="197"/>
        <v>0.27845820449932157</v>
      </c>
      <c r="W99" s="109"/>
      <c r="X99" s="121">
        <f t="shared" ref="X99:AG99" si="316">X55/X57</f>
        <v>29.738944758231167</v>
      </c>
      <c r="Y99" s="121">
        <f t="shared" si="316"/>
        <v>32.071411013778715</v>
      </c>
      <c r="Z99" s="121">
        <f t="shared" si="316"/>
        <v>34.586815799173131</v>
      </c>
      <c r="AA99" s="121">
        <f t="shared" si="316"/>
        <v>37.299507234402398</v>
      </c>
      <c r="AB99" s="121">
        <f t="shared" si="316"/>
        <v>40.224958782198669</v>
      </c>
      <c r="AC99" s="121">
        <f t="shared" si="316"/>
        <v>43.379857510214251</v>
      </c>
      <c r="AD99" s="121">
        <f t="shared" si="316"/>
        <v>46.782199275721247</v>
      </c>
      <c r="AE99" s="121">
        <f t="shared" si="316"/>
        <v>50.451391375777817</v>
      </c>
      <c r="AF99" s="121">
        <f t="shared" si="316"/>
        <v>54.408363248387843</v>
      </c>
      <c r="AG99" s="121">
        <f t="shared" si="316"/>
        <v>58.675685856104543</v>
      </c>
      <c r="AH99" s="115">
        <f t="shared" si="311"/>
        <v>1.444058310663543E-2</v>
      </c>
      <c r="AI99" s="21">
        <f t="shared" si="18"/>
        <v>0.02</v>
      </c>
      <c r="AJ99" s="123">
        <f t="shared" si="205"/>
        <v>299.24599786613317</v>
      </c>
    </row>
    <row r="100" spans="2:36">
      <c r="B100" s="10" t="s">
        <v>259</v>
      </c>
      <c r="C100" s="121"/>
      <c r="D100" s="121"/>
      <c r="E100" s="121"/>
      <c r="F100" s="121"/>
      <c r="G100" s="121">
        <f t="shared" ref="G100" si="317">G6/G57</f>
        <v>144.24778761061947</v>
      </c>
      <c r="H100" s="121">
        <f t="shared" ref="H100:I100" si="318">H6/H57</f>
        <v>149.55752212389382</v>
      </c>
      <c r="I100" s="121">
        <f t="shared" si="318"/>
        <v>168.14159292035399</v>
      </c>
      <c r="J100" s="121">
        <f t="shared" ref="J100:S100" si="319">J6/J57</f>
        <v>205.30973451327435</v>
      </c>
      <c r="K100" s="121">
        <f t="shared" si="319"/>
        <v>56.590509666080841</v>
      </c>
      <c r="L100" s="121">
        <f t="shared" si="319"/>
        <v>45.433255269320846</v>
      </c>
      <c r="M100" s="121">
        <f t="shared" si="319"/>
        <v>61.709601873536307</v>
      </c>
      <c r="N100" s="121">
        <f t="shared" si="319"/>
        <v>73.536299765807968</v>
      </c>
      <c r="O100" s="121">
        <f t="shared" si="319"/>
        <v>94.379391100702591</v>
      </c>
      <c r="P100" s="121">
        <f t="shared" si="319"/>
        <v>61.007025761124126</v>
      </c>
      <c r="Q100" s="121">
        <f t="shared" si="319"/>
        <v>78.74707259953162</v>
      </c>
      <c r="R100" s="121">
        <f t="shared" si="319"/>
        <v>98.50644028103045</v>
      </c>
      <c r="S100" s="121">
        <f t="shared" si="319"/>
        <v>122.01405152224825</v>
      </c>
      <c r="T100" s="121">
        <f t="shared" ref="T100:U100" si="320">T6/T57</f>
        <v>150.76112412177989</v>
      </c>
      <c r="U100" s="121">
        <f t="shared" si="320"/>
        <v>170.96018735363</v>
      </c>
      <c r="V100" s="101">
        <f t="shared" si="197"/>
        <v>1.2209516290001554E-2</v>
      </c>
      <c r="W100" s="109"/>
      <c r="X100" s="121">
        <f t="shared" ref="X100:AG100" si="321">X6/X57</f>
        <v>184.36882949901278</v>
      </c>
      <c r="Y100" s="121">
        <f t="shared" si="321"/>
        <v>198.82912985187653</v>
      </c>
      <c r="Z100" s="121">
        <f t="shared" si="321"/>
        <v>214.42357140888649</v>
      </c>
      <c r="AA100" s="121">
        <f t="shared" si="321"/>
        <v>231.24110642134821</v>
      </c>
      <c r="AB100" s="121">
        <f t="shared" si="321"/>
        <v>249.37766378772847</v>
      </c>
      <c r="AC100" s="121">
        <f t="shared" si="321"/>
        <v>268.93669624166796</v>
      </c>
      <c r="AD100" s="121">
        <f t="shared" si="321"/>
        <v>290.0297704567007</v>
      </c>
      <c r="AE100" s="121">
        <f t="shared" si="321"/>
        <v>312.77720343369685</v>
      </c>
      <c r="AF100" s="121">
        <f t="shared" si="321"/>
        <v>337.30874880104562</v>
      </c>
      <c r="AG100" s="121">
        <f t="shared" si="321"/>
        <v>363.76433694230411</v>
      </c>
      <c r="AH100" s="115">
        <f t="shared" si="311"/>
        <v>2.4119040699041916E-2</v>
      </c>
      <c r="AI100" s="21">
        <f t="shared" ref="AI100" si="322">$O$1</f>
        <v>0.02</v>
      </c>
      <c r="AJ100" s="123">
        <f t="shared" si="205"/>
        <v>1855.1981184057508</v>
      </c>
    </row>
    <row r="101" spans="2:36">
      <c r="B101" s="10"/>
      <c r="C101" s="108"/>
      <c r="D101" s="108"/>
      <c r="E101" s="108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0"/>
      <c r="W101" s="10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16"/>
      <c r="AI101" s="10"/>
      <c r="AJ101" s="130"/>
    </row>
    <row r="102" spans="2:36">
      <c r="B102" s="10" t="s">
        <v>407</v>
      </c>
      <c r="C102" s="108"/>
      <c r="D102" s="108"/>
      <c r="E102" s="108"/>
      <c r="F102" s="121"/>
      <c r="G102" s="121">
        <f t="shared" ref="G102:T102" si="323">G55/$U$57</f>
        <v>5.8548009367681501E-2</v>
      </c>
      <c r="H102" s="121">
        <f t="shared" si="323"/>
        <v>0.52693208430913352</v>
      </c>
      <c r="I102" s="121">
        <f t="shared" si="323"/>
        <v>1.4051522248243562</v>
      </c>
      <c r="J102" s="121">
        <f t="shared" si="323"/>
        <v>2.7517564402810306</v>
      </c>
      <c r="K102" s="121">
        <f t="shared" si="323"/>
        <v>5.5035128805620612</v>
      </c>
      <c r="L102" s="121">
        <f t="shared" si="323"/>
        <v>4.7423887587822016</v>
      </c>
      <c r="M102" s="121">
        <f t="shared" si="323"/>
        <v>9.7775175644028121</v>
      </c>
      <c r="N102" s="121">
        <f t="shared" si="323"/>
        <v>8.6651053864168635</v>
      </c>
      <c r="O102" s="121">
        <f t="shared" si="323"/>
        <v>12.587822014051524</v>
      </c>
      <c r="P102" s="121">
        <f t="shared" si="323"/>
        <v>16.803278688524593</v>
      </c>
      <c r="Q102" s="121">
        <f t="shared" si="323"/>
        <v>21.487119437939111</v>
      </c>
      <c r="R102" s="121">
        <f t="shared" si="323"/>
        <v>24.004683840749419</v>
      </c>
      <c r="S102" s="121">
        <f t="shared" si="323"/>
        <v>28.629976580796257</v>
      </c>
      <c r="T102" s="121">
        <f t="shared" si="323"/>
        <v>27.985948477751759</v>
      </c>
      <c r="U102" s="121">
        <f>U55/$U$57</f>
        <v>27.576112412177988</v>
      </c>
      <c r="V102" s="101">
        <f t="shared" si="197"/>
        <v>0.55213704647116657</v>
      </c>
      <c r="W102" s="109"/>
      <c r="X102" s="121">
        <f t="shared" ref="X102:AG102" si="324">X55/X57</f>
        <v>29.738944758231167</v>
      </c>
      <c r="Y102" s="121">
        <f t="shared" si="324"/>
        <v>32.071411013778715</v>
      </c>
      <c r="Z102" s="121">
        <f t="shared" si="324"/>
        <v>34.586815799173131</v>
      </c>
      <c r="AA102" s="121">
        <f t="shared" si="324"/>
        <v>37.299507234402398</v>
      </c>
      <c r="AB102" s="121">
        <f t="shared" si="324"/>
        <v>40.224958782198669</v>
      </c>
      <c r="AC102" s="121">
        <f t="shared" si="324"/>
        <v>43.379857510214251</v>
      </c>
      <c r="AD102" s="121">
        <f t="shared" si="324"/>
        <v>46.782199275721247</v>
      </c>
      <c r="AE102" s="121">
        <f t="shared" si="324"/>
        <v>50.451391375777817</v>
      </c>
      <c r="AF102" s="121">
        <f t="shared" si="324"/>
        <v>54.408363248387843</v>
      </c>
      <c r="AG102" s="121">
        <f t="shared" si="324"/>
        <v>58.675685856104543</v>
      </c>
      <c r="AH102" s="116"/>
      <c r="AI102" s="10"/>
      <c r="AJ102" s="130"/>
    </row>
    <row r="103" spans="2:36">
      <c r="B103" s="10"/>
      <c r="C103" s="108"/>
      <c r="D103" s="108"/>
      <c r="E103" s="108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0"/>
      <c r="W103" s="10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16"/>
      <c r="AI103" s="10"/>
      <c r="AJ103" s="130"/>
    </row>
    <row r="104" spans="2:36">
      <c r="B104" s="93" t="s">
        <v>258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21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spans="2:36">
      <c r="B105" s="10" t="s">
        <v>257</v>
      </c>
      <c r="C105" s="128"/>
      <c r="D105" s="128"/>
      <c r="E105" s="128"/>
      <c r="F105" s="128"/>
      <c r="G105" s="128">
        <f t="shared" ref="G105" si="325">G51/G25</f>
        <v>0.12222222222222222</v>
      </c>
      <c r="H105" s="128">
        <f t="shared" ref="H105:I105" si="326">H51/H25</f>
        <v>9.7560975609756101E-2</v>
      </c>
      <c r="I105" s="128">
        <f t="shared" si="326"/>
        <v>0.13184079601990051</v>
      </c>
      <c r="J105" s="128">
        <f t="shared" ref="J105:S105" si="327">J51/J25</f>
        <v>0.15</v>
      </c>
      <c r="K105" s="128">
        <f t="shared" si="327"/>
        <v>0.15662650602409639</v>
      </c>
      <c r="L105" s="128">
        <f t="shared" si="327"/>
        <v>0.16086620262954371</v>
      </c>
      <c r="M105" s="128">
        <f t="shared" si="327"/>
        <v>0.19238345370978333</v>
      </c>
      <c r="N105" s="128">
        <f t="shared" si="327"/>
        <v>0.14381270903010032</v>
      </c>
      <c r="O105" s="128">
        <f t="shared" si="327"/>
        <v>0.15065594583157005</v>
      </c>
      <c r="P105" s="128">
        <f t="shared" si="327"/>
        <v>0.14917491749174919</v>
      </c>
      <c r="Q105" s="128">
        <f t="shared" si="327"/>
        <v>0.15968063872255489</v>
      </c>
      <c r="R105" s="128">
        <f t="shared" si="327"/>
        <v>0.16511411271541687</v>
      </c>
      <c r="S105" s="128">
        <f t="shared" si="327"/>
        <v>0.16883653647447819</v>
      </c>
      <c r="T105" s="128">
        <f t="shared" ref="T105:U105" si="328">T51/T25</f>
        <v>0.15333212931190174</v>
      </c>
      <c r="U105" s="128">
        <f t="shared" si="328"/>
        <v>0.1435072322444336</v>
      </c>
      <c r="V105" s="101">
        <f t="shared" si="197"/>
        <v>1.1533471423744057E-2</v>
      </c>
      <c r="W105" s="128"/>
      <c r="X105" s="128">
        <f t="shared" ref="X105:AG105" si="329">X51/X25</f>
        <v>0.14350723224443362</v>
      </c>
      <c r="Y105" s="128">
        <f t="shared" si="329"/>
        <v>0.1435072322444336</v>
      </c>
      <c r="Z105" s="128">
        <f t="shared" si="329"/>
        <v>0.1435072322444336</v>
      </c>
      <c r="AA105" s="128">
        <f t="shared" si="329"/>
        <v>0.1435072322444336</v>
      </c>
      <c r="AB105" s="128">
        <f t="shared" si="329"/>
        <v>0.1435072322444336</v>
      </c>
      <c r="AC105" s="128">
        <f t="shared" si="329"/>
        <v>0.1435072322444336</v>
      </c>
      <c r="AD105" s="128">
        <f t="shared" si="329"/>
        <v>0.14350723224443362</v>
      </c>
      <c r="AE105" s="128">
        <f t="shared" si="329"/>
        <v>0.1435072322444336</v>
      </c>
      <c r="AF105" s="128">
        <f t="shared" si="329"/>
        <v>0.1435072322444336</v>
      </c>
      <c r="AG105" s="128">
        <f t="shared" si="329"/>
        <v>0.1435072322444336</v>
      </c>
      <c r="AH105" s="115">
        <f t="shared" ref="AH105:AH154" si="330">((AG105/J105)^(1/($AG$3-$K$1) ))-1</f>
        <v>-1.842045566525341E-3</v>
      </c>
      <c r="AI105" s="123"/>
      <c r="AJ105" s="123"/>
    </row>
    <row r="106" spans="2:36">
      <c r="B106" s="10" t="s">
        <v>219</v>
      </c>
      <c r="C106" s="128"/>
      <c r="D106" s="128"/>
      <c r="E106" s="128"/>
      <c r="F106" s="128"/>
      <c r="G106" s="128">
        <f t="shared" ref="G106" si="331">G55/G25</f>
        <v>5.5555555555555558E-3</v>
      </c>
      <c r="H106" s="128">
        <f t="shared" ref="H106:I106" si="332">H55/H25</f>
        <v>3.6585365853658534E-2</v>
      </c>
      <c r="I106" s="128">
        <f t="shared" si="332"/>
        <v>5.9701492537313432E-2</v>
      </c>
      <c r="J106" s="128">
        <f t="shared" ref="J106:S106" si="333">J55/J25</f>
        <v>7.5806451612903225E-2</v>
      </c>
      <c r="K106" s="128">
        <f t="shared" si="333"/>
        <v>8.0895008605851984E-2</v>
      </c>
      <c r="L106" s="128">
        <f t="shared" si="333"/>
        <v>6.2645011600928072E-2</v>
      </c>
      <c r="M106" s="128">
        <f t="shared" si="333"/>
        <v>0.10965200262639527</v>
      </c>
      <c r="N106" s="128">
        <f t="shared" si="333"/>
        <v>8.2497212931995537E-2</v>
      </c>
      <c r="O106" s="128">
        <f t="shared" si="333"/>
        <v>9.0986034701650439E-2</v>
      </c>
      <c r="P106" s="128">
        <f t="shared" si="333"/>
        <v>9.4719471947194725E-2</v>
      </c>
      <c r="Q106" s="128">
        <f t="shared" si="333"/>
        <v>0.10464784716281722</v>
      </c>
      <c r="R106" s="128">
        <f t="shared" si="333"/>
        <v>9.5482068001863069E-2</v>
      </c>
      <c r="S106" s="128">
        <f t="shared" si="333"/>
        <v>0.10105393676379418</v>
      </c>
      <c r="T106" s="128">
        <f t="shared" ref="T106:U106" si="334">T55/T25</f>
        <v>8.6328336644392267E-2</v>
      </c>
      <c r="U106" s="128">
        <f t="shared" si="334"/>
        <v>7.6548025353486107E-2</v>
      </c>
      <c r="V106" s="101">
        <f t="shared" si="197"/>
        <v>0.2060682720328666</v>
      </c>
      <c r="W106" s="128"/>
      <c r="X106" s="128">
        <f t="shared" ref="X106:AG106" si="335">X55/X25</f>
        <v>7.6548025353486107E-2</v>
      </c>
      <c r="Y106" s="128">
        <f t="shared" si="335"/>
        <v>7.6548025353486107E-2</v>
      </c>
      <c r="Z106" s="128">
        <f t="shared" si="335"/>
        <v>7.6548025353486107E-2</v>
      </c>
      <c r="AA106" s="128">
        <f t="shared" si="335"/>
        <v>7.6548025353486093E-2</v>
      </c>
      <c r="AB106" s="128">
        <f t="shared" si="335"/>
        <v>7.6548025353486107E-2</v>
      </c>
      <c r="AC106" s="128">
        <f t="shared" si="335"/>
        <v>7.6548025353486107E-2</v>
      </c>
      <c r="AD106" s="128">
        <f t="shared" si="335"/>
        <v>7.6548025353486107E-2</v>
      </c>
      <c r="AE106" s="128">
        <f t="shared" si="335"/>
        <v>7.6548025353486107E-2</v>
      </c>
      <c r="AF106" s="128">
        <f t="shared" si="335"/>
        <v>7.6548025353486093E-2</v>
      </c>
      <c r="AG106" s="128">
        <f t="shared" si="335"/>
        <v>7.6548025353486107E-2</v>
      </c>
      <c r="AH106" s="115">
        <f t="shared" si="330"/>
        <v>4.0570409252826956E-4</v>
      </c>
      <c r="AI106" s="123"/>
      <c r="AJ106" s="123"/>
    </row>
    <row r="107" spans="2:36">
      <c r="B107" s="10" t="s">
        <v>301</v>
      </c>
      <c r="C107" s="128"/>
      <c r="D107" s="128"/>
      <c r="E107" s="128"/>
      <c r="F107" s="128"/>
      <c r="G107" s="128">
        <f t="shared" ref="G107" si="336">G55/G7</f>
        <v>5.7142857142857143E-3</v>
      </c>
      <c r="H107" s="128">
        <f t="shared" ref="H107:I107" si="337">H55/H7</f>
        <v>4.9723756906077346E-2</v>
      </c>
      <c r="I107" s="128">
        <f t="shared" si="337"/>
        <v>0.11940298507462686</v>
      </c>
      <c r="J107" s="128">
        <f>J55/J7</f>
        <v>0.19341563786008231</v>
      </c>
      <c r="K107" s="128">
        <f t="shared" ref="K107:R107" si="338">K55/K7</f>
        <v>0.2822822822822823</v>
      </c>
      <c r="L107" s="128">
        <f t="shared" si="338"/>
        <v>0.19950738916256158</v>
      </c>
      <c r="M107" s="128">
        <f t="shared" si="338"/>
        <v>0.30755064456721914</v>
      </c>
      <c r="N107" s="128">
        <f t="shared" si="338"/>
        <v>0.22910216718266255</v>
      </c>
      <c r="O107" s="128">
        <f t="shared" si="338"/>
        <v>0.26123936816524906</v>
      </c>
      <c r="P107" s="128">
        <f t="shared" si="338"/>
        <v>0.27101038715769593</v>
      </c>
      <c r="Q107" s="128">
        <f t="shared" si="338"/>
        <v>0.26945668135095446</v>
      </c>
      <c r="R107" s="128">
        <f t="shared" si="338"/>
        <v>0.2413184226015303</v>
      </c>
      <c r="S107" s="128">
        <f t="shared" ref="S107:T107" si="339">S55/S7</f>
        <v>0.2327463112803427</v>
      </c>
      <c r="T107" s="128">
        <f t="shared" si="339"/>
        <v>0.18434246047049749</v>
      </c>
      <c r="U107" s="128">
        <f t="shared" ref="U107" si="340">U55/U7</f>
        <v>0.16036772216547499</v>
      </c>
      <c r="V107" s="101">
        <f t="shared" si="197"/>
        <v>0.26893578066125934</v>
      </c>
      <c r="W107" s="10"/>
      <c r="X107" s="128">
        <f t="shared" ref="X107" si="341">X55/X7</f>
        <v>0.16036772216547496</v>
      </c>
      <c r="Y107" s="128">
        <f t="shared" ref="Y107:AG107" si="342">Y55/Y7</f>
        <v>0.16036772216547499</v>
      </c>
      <c r="Z107" s="128">
        <f t="shared" si="342"/>
        <v>0.16036772216547499</v>
      </c>
      <c r="AA107" s="128">
        <f t="shared" si="342"/>
        <v>0.16036772216547499</v>
      </c>
      <c r="AB107" s="128">
        <f t="shared" si="342"/>
        <v>0.16036772216547499</v>
      </c>
      <c r="AC107" s="128">
        <f t="shared" si="342"/>
        <v>0.16036772216547499</v>
      </c>
      <c r="AD107" s="128">
        <f t="shared" si="342"/>
        <v>0.16036772216547499</v>
      </c>
      <c r="AE107" s="128">
        <f t="shared" si="342"/>
        <v>0.16036772216547499</v>
      </c>
      <c r="AF107" s="128">
        <f t="shared" si="342"/>
        <v>0.16036772216547499</v>
      </c>
      <c r="AG107" s="128">
        <f t="shared" si="342"/>
        <v>0.16036772216547499</v>
      </c>
      <c r="AH107" s="115">
        <f t="shared" si="330"/>
        <v>-7.7767697127368862E-3</v>
      </c>
      <c r="AI107" s="123"/>
      <c r="AJ107" s="123"/>
    </row>
    <row r="108" spans="2:36">
      <c r="B108" s="10" t="s">
        <v>302</v>
      </c>
      <c r="C108" s="128"/>
      <c r="D108" s="128"/>
      <c r="E108" s="128"/>
      <c r="F108" s="128"/>
      <c r="G108" s="128">
        <f t="shared" ref="G108" si="343">(G55)/(G7+G10)</f>
        <v>5.263157894736842E-3</v>
      </c>
      <c r="H108" s="128">
        <f t="shared" ref="H108:I108" si="344">(H55)/(H7+H10)</f>
        <v>4.4117647058823532E-2</v>
      </c>
      <c r="I108" s="128">
        <f t="shared" si="344"/>
        <v>0.100418410041841</v>
      </c>
      <c r="J108" s="128">
        <f>(J55)/(J7+J10)</f>
        <v>0.12239583333333333</v>
      </c>
      <c r="K108" s="128">
        <f t="shared" ref="K108:R108" si="345">(K55)/(K7+K10)</f>
        <v>0.14461538461538462</v>
      </c>
      <c r="L108" s="128">
        <f t="shared" si="345"/>
        <v>0.11705202312138728</v>
      </c>
      <c r="M108" s="128">
        <f t="shared" si="345"/>
        <v>0.26340694006309151</v>
      </c>
      <c r="N108" s="128">
        <f t="shared" si="345"/>
        <v>0.19973009446693657</v>
      </c>
      <c r="O108" s="128">
        <f t="shared" si="345"/>
        <v>0.23704520396912901</v>
      </c>
      <c r="P108" s="128">
        <f t="shared" si="345"/>
        <v>0.25043630017452007</v>
      </c>
      <c r="Q108" s="128">
        <f t="shared" si="345"/>
        <v>0.25380359612724757</v>
      </c>
      <c r="R108" s="128">
        <f t="shared" si="345"/>
        <v>0.23124647490129724</v>
      </c>
      <c r="S108" s="128">
        <f t="shared" ref="S108:T108" si="346">(S55)/(S7+S10)</f>
        <v>0.22503451449608836</v>
      </c>
      <c r="T108" s="128">
        <f t="shared" si="346"/>
        <v>0.17936210131332084</v>
      </c>
      <c r="U108" s="128">
        <f t="shared" ref="U108" si="347">(U55)/(U7+U10)</f>
        <v>0.15726210350584308</v>
      </c>
      <c r="V108" s="101">
        <f t="shared" si="197"/>
        <v>0.27462995354796416</v>
      </c>
      <c r="W108" s="10"/>
      <c r="X108" s="128">
        <f t="shared" ref="X108:AG108" si="348">(X55)/(X7+X10)</f>
        <v>0.15726210350584305</v>
      </c>
      <c r="Y108" s="128">
        <f t="shared" si="348"/>
        <v>0.15726210350584308</v>
      </c>
      <c r="Z108" s="128">
        <f t="shared" si="348"/>
        <v>0.15726210350584308</v>
      </c>
      <c r="AA108" s="128">
        <f t="shared" si="348"/>
        <v>0.15726210350584308</v>
      </c>
      <c r="AB108" s="128">
        <f t="shared" si="348"/>
        <v>0.15726210350584308</v>
      </c>
      <c r="AC108" s="128">
        <f t="shared" si="348"/>
        <v>0.15726210350584308</v>
      </c>
      <c r="AD108" s="128">
        <f t="shared" si="348"/>
        <v>0.15726210350584308</v>
      </c>
      <c r="AE108" s="128">
        <f t="shared" si="348"/>
        <v>0.1572621035058431</v>
      </c>
      <c r="AF108" s="128">
        <f t="shared" si="348"/>
        <v>0.15726210350584308</v>
      </c>
      <c r="AG108" s="128">
        <f t="shared" si="348"/>
        <v>0.15726210350584308</v>
      </c>
      <c r="AH108" s="115">
        <f t="shared" si="330"/>
        <v>1.0498625117481897E-2</v>
      </c>
      <c r="AI108" s="123"/>
      <c r="AJ108" s="123"/>
    </row>
    <row r="109" spans="2:36">
      <c r="B109" s="10" t="s">
        <v>318</v>
      </c>
      <c r="C109" s="128"/>
      <c r="D109" s="128"/>
      <c r="E109" s="128"/>
      <c r="F109" s="128"/>
      <c r="G109" s="128">
        <f t="shared" ref="G109" si="349">G20/G25</f>
        <v>3.3333333333333333E-2</v>
      </c>
      <c r="H109" s="128">
        <f t="shared" ref="H109:I109" si="350">H20/H25</f>
        <v>2.8455284552845527E-2</v>
      </c>
      <c r="I109" s="128">
        <f t="shared" si="350"/>
        <v>6.4676616915422883E-2</v>
      </c>
      <c r="J109" s="128">
        <f>J20/J25</f>
        <v>-6.1290322580645158E-2</v>
      </c>
      <c r="K109" s="128">
        <f t="shared" ref="K109:S109" si="351">K20/K25</f>
        <v>-2.5817555938037865E-2</v>
      </c>
      <c r="L109" s="128">
        <f t="shared" si="351"/>
        <v>0.17246713070378963</v>
      </c>
      <c r="M109" s="128">
        <f t="shared" si="351"/>
        <v>0.14051214707813525</v>
      </c>
      <c r="N109" s="128">
        <f t="shared" si="351"/>
        <v>4.7380156075808248E-2</v>
      </c>
      <c r="O109" s="128">
        <f t="shared" si="351"/>
        <v>0.12526449428692341</v>
      </c>
      <c r="P109" s="128">
        <f t="shared" si="351"/>
        <v>0.11056105610561057</v>
      </c>
      <c r="Q109" s="128">
        <f t="shared" si="351"/>
        <v>7.9555175363558592E-2</v>
      </c>
      <c r="R109" s="128">
        <f t="shared" si="351"/>
        <v>9.0358639962738699E-2</v>
      </c>
      <c r="S109" s="128">
        <f t="shared" si="351"/>
        <v>0.11448646414548461</v>
      </c>
      <c r="T109" s="128">
        <f t="shared" ref="T109:U109" si="352">T20/T25</f>
        <v>9.9692974534946716E-2</v>
      </c>
      <c r="U109" s="128">
        <f t="shared" si="352"/>
        <v>8.9712335446123836E-2</v>
      </c>
      <c r="V109" s="101">
        <f t="shared" si="197"/>
        <v>7.3278394544637138E-2</v>
      </c>
      <c r="W109" s="10"/>
      <c r="X109" s="128">
        <f t="shared" ref="X109:AG109" si="353">X20/X25</f>
        <v>8.971233544612385E-2</v>
      </c>
      <c r="Y109" s="128">
        <f t="shared" si="353"/>
        <v>8.9712335446123836E-2</v>
      </c>
      <c r="Z109" s="128">
        <f t="shared" si="353"/>
        <v>8.9712335446123836E-2</v>
      </c>
      <c r="AA109" s="128">
        <f t="shared" si="353"/>
        <v>8.9712335446123823E-2</v>
      </c>
      <c r="AB109" s="128">
        <f t="shared" si="353"/>
        <v>8.9712335446123836E-2</v>
      </c>
      <c r="AC109" s="128">
        <f t="shared" si="353"/>
        <v>8.9712335446123836E-2</v>
      </c>
      <c r="AD109" s="128">
        <f t="shared" si="353"/>
        <v>8.9712335446123836E-2</v>
      </c>
      <c r="AE109" s="128">
        <f t="shared" si="353"/>
        <v>8.9712335446123836E-2</v>
      </c>
      <c r="AF109" s="128">
        <f t="shared" si="353"/>
        <v>8.9712335446123823E-2</v>
      </c>
      <c r="AG109" s="128">
        <f t="shared" si="353"/>
        <v>8.9712335446123823E-2</v>
      </c>
      <c r="AH109" s="115" t="e">
        <f t="shared" si="330"/>
        <v>#NUM!</v>
      </c>
      <c r="AI109" s="123"/>
      <c r="AJ109" s="123"/>
    </row>
    <row r="110" spans="2:36">
      <c r="B110" s="10" t="s">
        <v>370</v>
      </c>
      <c r="C110" s="128"/>
      <c r="D110" s="128"/>
      <c r="E110" s="128"/>
      <c r="F110" s="128"/>
      <c r="G110" s="128">
        <f t="shared" ref="G110" si="354">G68/G25</f>
        <v>0</v>
      </c>
      <c r="H110" s="128">
        <f t="shared" ref="H110:I110" si="355">H68/H25</f>
        <v>1.2195121951219513E-2</v>
      </c>
      <c r="I110" s="128">
        <f t="shared" si="355"/>
        <v>3.2338308457711441E-2</v>
      </c>
      <c r="J110" s="128">
        <f>J68/J25</f>
        <v>4.0322580645161289E-2</v>
      </c>
      <c r="K110" s="128">
        <f t="shared" ref="K110:S110" si="356">K68/K25</f>
        <v>4.4750430292598967E-2</v>
      </c>
      <c r="L110" s="128">
        <f t="shared" si="356"/>
        <v>3.3255993812838364E-2</v>
      </c>
      <c r="M110" s="128">
        <f t="shared" si="356"/>
        <v>5.7780695994747208E-2</v>
      </c>
      <c r="N110" s="128">
        <f t="shared" si="356"/>
        <v>4.0133779264214048E-2</v>
      </c>
      <c r="O110" s="128">
        <f t="shared" si="356"/>
        <v>4.3588658484976728E-2</v>
      </c>
      <c r="P110" s="128">
        <f t="shared" si="356"/>
        <v>4.4554455445544552E-2</v>
      </c>
      <c r="Q110" s="128">
        <f t="shared" si="356"/>
        <v>4.8189335614485317E-2</v>
      </c>
      <c r="R110" s="128">
        <f t="shared" si="356"/>
        <v>4.6576618537494181E-2</v>
      </c>
      <c r="S110" s="128">
        <f t="shared" si="356"/>
        <v>4.8150444306674936E-2</v>
      </c>
      <c r="T110" s="128">
        <f t="shared" ref="T110:U110" si="357">T68/T25</f>
        <v>4.0455120101137804E-2</v>
      </c>
      <c r="U110" s="128">
        <f t="shared" si="357"/>
        <v>3.9655452624735903E-2</v>
      </c>
      <c r="V110" s="101" t="e">
        <f t="shared" si="197"/>
        <v>#DIV/0!</v>
      </c>
      <c r="W110" s="10"/>
      <c r="X110" s="128">
        <f t="shared" ref="X110:AG110" si="358">X68/X25</f>
        <v>3.9655452624735917E-2</v>
      </c>
      <c r="Y110" s="128">
        <f t="shared" si="358"/>
        <v>3.965545262473591E-2</v>
      </c>
      <c r="Z110" s="128">
        <f t="shared" si="358"/>
        <v>3.965545262473591E-2</v>
      </c>
      <c r="AA110" s="128">
        <f t="shared" si="358"/>
        <v>3.9655452624735917E-2</v>
      </c>
      <c r="AB110" s="128">
        <f t="shared" si="358"/>
        <v>3.965545262473591E-2</v>
      </c>
      <c r="AC110" s="128">
        <f t="shared" si="358"/>
        <v>3.965545262473591E-2</v>
      </c>
      <c r="AD110" s="128">
        <f t="shared" si="358"/>
        <v>3.9655452624735923E-2</v>
      </c>
      <c r="AE110" s="128">
        <f t="shared" si="358"/>
        <v>3.9655452624735923E-2</v>
      </c>
      <c r="AF110" s="128">
        <f t="shared" si="358"/>
        <v>3.9655452624735923E-2</v>
      </c>
      <c r="AG110" s="128">
        <f t="shared" si="358"/>
        <v>3.9655452624735917E-2</v>
      </c>
      <c r="AH110" s="115">
        <f t="shared" si="330"/>
        <v>-6.9489046323045756E-4</v>
      </c>
      <c r="AI110" s="123"/>
      <c r="AJ110" s="123"/>
    </row>
    <row r="111" spans="2:36">
      <c r="B111" s="10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1"/>
      <c r="V111" s="10"/>
      <c r="W111" s="10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3"/>
      <c r="AI111" s="123"/>
      <c r="AJ111" s="123"/>
    </row>
    <row r="112" spans="2:36">
      <c r="B112" s="10" t="s">
        <v>267</v>
      </c>
      <c r="C112" s="128"/>
      <c r="D112" s="128"/>
      <c r="E112" s="128"/>
      <c r="F112" s="128"/>
      <c r="G112" s="128">
        <f t="shared" ref="G112" si="359">G29/G25</f>
        <v>1E-3</v>
      </c>
      <c r="H112" s="128">
        <f t="shared" ref="H112:I112" si="360">H29/H25</f>
        <v>5.6910569105691068E-4</v>
      </c>
      <c r="I112" s="128">
        <f t="shared" si="360"/>
        <v>2.4875621890547263E-3</v>
      </c>
      <c r="J112" s="128">
        <f>J29/J25</f>
        <v>8.0645161290322578E-3</v>
      </c>
      <c r="K112" s="128">
        <f t="shared" ref="K112:S112" si="361">K29/K25</f>
        <v>1.2908777969018933E-2</v>
      </c>
      <c r="L112" s="128">
        <f t="shared" si="361"/>
        <v>1.6241299303944315E-2</v>
      </c>
      <c r="M112" s="128">
        <f t="shared" si="361"/>
        <v>5.2527905449770186E-3</v>
      </c>
      <c r="N112" s="128">
        <f t="shared" si="361"/>
        <v>1.6722408026755853E-3</v>
      </c>
      <c r="O112" s="128">
        <f t="shared" si="361"/>
        <v>8.4638171815488788E-4</v>
      </c>
      <c r="P112" s="128">
        <f t="shared" si="361"/>
        <v>3.3003300330033004E-4</v>
      </c>
      <c r="Q112" s="128">
        <f t="shared" si="361"/>
        <v>2.0530367835757058E-4</v>
      </c>
      <c r="R112" s="128">
        <f t="shared" si="361"/>
        <v>5.5891942244993012E-5</v>
      </c>
      <c r="S112" s="128">
        <f t="shared" si="361"/>
        <v>1.0126059103120479E-4</v>
      </c>
      <c r="T112" s="128">
        <f t="shared" ref="T112:U112" si="362">T29/T25</f>
        <v>9.0301607368611166E-4</v>
      </c>
      <c r="U112" s="128">
        <f t="shared" si="362"/>
        <v>8.1261173411344059E-4</v>
      </c>
      <c r="V112" s="101">
        <f t="shared" si="197"/>
        <v>-1.4712262416594624E-2</v>
      </c>
      <c r="W112" s="10"/>
      <c r="X112" s="128">
        <f t="shared" ref="X112:AG112" si="363">X29/X25</f>
        <v>8.1261173411344059E-4</v>
      </c>
      <c r="Y112" s="128">
        <f t="shared" si="363"/>
        <v>8.1261173411344059E-4</v>
      </c>
      <c r="Z112" s="128">
        <f t="shared" si="363"/>
        <v>8.1261173411344059E-4</v>
      </c>
      <c r="AA112" s="128">
        <f t="shared" si="363"/>
        <v>8.1261173411344048E-4</v>
      </c>
      <c r="AB112" s="128">
        <f t="shared" si="363"/>
        <v>8.1261173411344048E-4</v>
      </c>
      <c r="AC112" s="128">
        <f t="shared" si="363"/>
        <v>8.1261173411344048E-4</v>
      </c>
      <c r="AD112" s="128">
        <f t="shared" si="363"/>
        <v>8.1261173411344048E-4</v>
      </c>
      <c r="AE112" s="128">
        <f t="shared" si="363"/>
        <v>8.1261173411344048E-4</v>
      </c>
      <c r="AF112" s="128">
        <f t="shared" si="363"/>
        <v>8.1261173411344048E-4</v>
      </c>
      <c r="AG112" s="128">
        <f t="shared" si="363"/>
        <v>8.1261173411344059E-4</v>
      </c>
      <c r="AH112" s="115">
        <f t="shared" si="330"/>
        <v>-9.1194320903754233E-2</v>
      </c>
      <c r="AI112" s="123"/>
      <c r="AJ112" s="123"/>
    </row>
    <row r="113" spans="1:36">
      <c r="B113" s="10" t="s">
        <v>311</v>
      </c>
      <c r="C113" s="128"/>
      <c r="D113" s="128"/>
      <c r="E113" s="128"/>
      <c r="F113" s="128"/>
      <c r="G113" s="128">
        <f t="shared" ref="G113" si="364">G29/G51</f>
        <v>8.1818181818181807E-3</v>
      </c>
      <c r="H113" s="128">
        <f t="shared" ref="H113:I113" si="365">H29/H51</f>
        <v>5.8333333333333336E-3</v>
      </c>
      <c r="I113" s="128">
        <f t="shared" si="365"/>
        <v>1.8867924528301886E-2</v>
      </c>
      <c r="J113" s="128">
        <f>J29/J51</f>
        <v>5.3763440860215055E-2</v>
      </c>
      <c r="K113" s="128">
        <f t="shared" ref="K113:S113" si="366">K29/K51</f>
        <v>8.2417582417582416E-2</v>
      </c>
      <c r="L113" s="128">
        <f t="shared" si="366"/>
        <v>0.10096153846153846</v>
      </c>
      <c r="M113" s="128">
        <f t="shared" si="366"/>
        <v>2.7303754266211604E-2</v>
      </c>
      <c r="N113" s="128">
        <f t="shared" si="366"/>
        <v>1.1627906976744186E-2</v>
      </c>
      <c r="O113" s="128">
        <f t="shared" si="366"/>
        <v>5.6179775280898875E-3</v>
      </c>
      <c r="P113" s="128">
        <f t="shared" si="366"/>
        <v>2.2123893805309734E-3</v>
      </c>
      <c r="Q113" s="128">
        <f t="shared" si="366"/>
        <v>1.2857142857142856E-3</v>
      </c>
      <c r="R113" s="128">
        <f t="shared" si="366"/>
        <v>3.3850493653032437E-4</v>
      </c>
      <c r="S113" s="128">
        <f t="shared" si="366"/>
        <v>5.9975520195838436E-4</v>
      </c>
      <c r="T113" s="128">
        <f t="shared" ref="T113:U113" si="367">T29/T51</f>
        <v>5.8892815076560662E-3</v>
      </c>
      <c r="U113" s="128">
        <f t="shared" si="367"/>
        <v>5.6625141562853904E-3</v>
      </c>
      <c r="V113" s="101">
        <f t="shared" si="197"/>
        <v>-2.5946480844966535E-2</v>
      </c>
      <c r="W113" s="10"/>
      <c r="X113" s="128">
        <f t="shared" ref="X113:AG113" si="368">X29/X51</f>
        <v>5.6625141562853904E-3</v>
      </c>
      <c r="Y113" s="128">
        <f t="shared" si="368"/>
        <v>5.6625141562853913E-3</v>
      </c>
      <c r="Z113" s="128">
        <f t="shared" si="368"/>
        <v>5.6625141562853913E-3</v>
      </c>
      <c r="AA113" s="128">
        <f t="shared" si="368"/>
        <v>5.6625141562853904E-3</v>
      </c>
      <c r="AB113" s="128">
        <f t="shared" si="368"/>
        <v>5.6625141562853904E-3</v>
      </c>
      <c r="AC113" s="128">
        <f t="shared" si="368"/>
        <v>5.6625141562853904E-3</v>
      </c>
      <c r="AD113" s="128">
        <f t="shared" si="368"/>
        <v>5.6625141562853896E-3</v>
      </c>
      <c r="AE113" s="128">
        <f t="shared" si="368"/>
        <v>5.6625141562853904E-3</v>
      </c>
      <c r="AF113" s="128">
        <f t="shared" si="368"/>
        <v>5.6625141562853904E-3</v>
      </c>
      <c r="AG113" s="128">
        <f t="shared" si="368"/>
        <v>5.6625141562853904E-3</v>
      </c>
      <c r="AH113" s="115">
        <f t="shared" ref="AH113" si="369">((AG113/J113)^(1/($AG$3-$K$1) ))-1</f>
        <v>-8.951717004343529E-2</v>
      </c>
      <c r="AI113" s="123"/>
      <c r="AJ113" s="123"/>
    </row>
    <row r="114" spans="1:36" ht="12" customHeight="1">
      <c r="B114" s="10" t="s">
        <v>310</v>
      </c>
      <c r="C114" s="128"/>
      <c r="D114" s="128"/>
      <c r="E114" s="128"/>
      <c r="F114" s="146"/>
      <c r="G114" s="146">
        <f t="shared" ref="G114" si="370">G29/G55</f>
        <v>0.18</v>
      </c>
      <c r="H114" s="146">
        <f t="shared" ref="H114:I114" si="371">H29/H55</f>
        <v>1.5555555555555557E-2</v>
      </c>
      <c r="I114" s="146">
        <f t="shared" si="371"/>
        <v>4.1666666666666664E-2</v>
      </c>
      <c r="J114" s="146">
        <f t="shared" ref="J114:S114" si="372">J29/J55</f>
        <v>0.10638297872340426</v>
      </c>
      <c r="K114" s="146">
        <f t="shared" si="372"/>
        <v>0.15957446808510639</v>
      </c>
      <c r="L114" s="146">
        <f t="shared" si="372"/>
        <v>0.25925925925925924</v>
      </c>
      <c r="M114" s="146">
        <f t="shared" si="372"/>
        <v>4.790419161676647E-2</v>
      </c>
      <c r="N114" s="146">
        <f t="shared" si="372"/>
        <v>2.0270270270270271E-2</v>
      </c>
      <c r="O114" s="146">
        <f t="shared" si="372"/>
        <v>9.3023255813953487E-3</v>
      </c>
      <c r="P114" s="146">
        <f t="shared" si="372"/>
        <v>3.4843205574912892E-3</v>
      </c>
      <c r="Q114" s="146">
        <f t="shared" si="372"/>
        <v>1.9618528610354223E-3</v>
      </c>
      <c r="R114" s="146">
        <f t="shared" si="372"/>
        <v>5.8536585365853656E-4</v>
      </c>
      <c r="S114" s="146">
        <f t="shared" si="372"/>
        <v>1.0020449897750511E-3</v>
      </c>
      <c r="T114" s="146">
        <f t="shared" ref="T114:U114" si="373">T29/T55</f>
        <v>1.0460251046025104E-2</v>
      </c>
      <c r="U114" s="146">
        <f t="shared" si="373"/>
        <v>1.0615711252653927E-2</v>
      </c>
      <c r="V114" s="101">
        <f t="shared" si="197"/>
        <v>-0.18305807355111714</v>
      </c>
      <c r="W114" s="10"/>
      <c r="X114" s="146">
        <f t="shared" ref="X114:AG114" si="374">X29/X55</f>
        <v>1.0615711252653927E-2</v>
      </c>
      <c r="Y114" s="146">
        <f t="shared" si="374"/>
        <v>1.0615711252653927E-2</v>
      </c>
      <c r="Z114" s="146">
        <f t="shared" si="374"/>
        <v>1.0615711252653927E-2</v>
      </c>
      <c r="AA114" s="146">
        <f t="shared" si="374"/>
        <v>1.0615711252653927E-2</v>
      </c>
      <c r="AB114" s="146">
        <f t="shared" si="374"/>
        <v>1.0615711252653925E-2</v>
      </c>
      <c r="AC114" s="146">
        <f t="shared" si="374"/>
        <v>1.0615711252653925E-2</v>
      </c>
      <c r="AD114" s="146">
        <f t="shared" si="374"/>
        <v>1.0615711252653925E-2</v>
      </c>
      <c r="AE114" s="146">
        <f t="shared" si="374"/>
        <v>1.0615711252653927E-2</v>
      </c>
      <c r="AF114" s="146">
        <f t="shared" si="374"/>
        <v>1.0615711252653929E-2</v>
      </c>
      <c r="AG114" s="146">
        <f t="shared" si="374"/>
        <v>1.0615711252653927E-2</v>
      </c>
      <c r="AH114" s="115">
        <f t="shared" ref="AH114" si="375">((AG114/J114)^(1/($AG$3-$K$1) ))-1</f>
        <v>-9.1562877562131995E-2</v>
      </c>
      <c r="AI114" s="123"/>
      <c r="AJ114" s="123"/>
    </row>
    <row r="115" spans="1:36" ht="12" customHeight="1">
      <c r="B115" s="10" t="s">
        <v>269</v>
      </c>
      <c r="C115" s="128"/>
      <c r="D115" s="128"/>
      <c r="E115" s="128"/>
      <c r="F115" s="146"/>
      <c r="G115" s="146">
        <f t="shared" ref="G115" si="376">G29/G12</f>
        <v>1.2E-2</v>
      </c>
      <c r="H115" s="146">
        <f t="shared" ref="H115:I115" si="377">H29/H12</f>
        <v>8.2352941176470594E-3</v>
      </c>
      <c r="I115" s="146">
        <f t="shared" si="377"/>
        <v>4.7619047619047616E-2</v>
      </c>
      <c r="J115" s="146">
        <f t="shared" ref="J115:S115" si="378">J29/J12</f>
        <v>0.19230769230769232</v>
      </c>
      <c r="K115" s="146">
        <f t="shared" si="378"/>
        <v>0.28846153846153844</v>
      </c>
      <c r="L115" s="146">
        <f t="shared" si="378"/>
        <v>0.3</v>
      </c>
      <c r="M115" s="146">
        <f t="shared" si="378"/>
        <v>0.12903225806451613</v>
      </c>
      <c r="N115" s="146">
        <f t="shared" si="378"/>
        <v>7.4999999999999997E-2</v>
      </c>
      <c r="O115" s="146">
        <f t="shared" si="378"/>
        <v>8.7336244541484712E-3</v>
      </c>
      <c r="P115" s="146">
        <f t="shared" si="378"/>
        <v>2.4330900243309003E-3</v>
      </c>
      <c r="Q115" s="146">
        <f t="shared" si="378"/>
        <v>2.4406779661016948E-3</v>
      </c>
      <c r="R115" s="146">
        <f t="shared" si="378"/>
        <v>1.0810810810810811E-3</v>
      </c>
      <c r="S115" s="146">
        <f t="shared" si="378"/>
        <v>3.2666666666666664E-3</v>
      </c>
      <c r="T115" s="146">
        <f t="shared" ref="T115:U115" si="379">T29/T12</f>
        <v>2.9411764705882353E-2</v>
      </c>
      <c r="U115" s="146">
        <f t="shared" si="379"/>
        <v>4.5045045045045043E-2</v>
      </c>
      <c r="V115" s="101">
        <f t="shared" si="197"/>
        <v>9.9090034114348358E-2</v>
      </c>
      <c r="W115" s="10"/>
      <c r="X115" s="128">
        <f t="shared" ref="X115:AG115" si="380">X29/X12</f>
        <v>4.5045045045045043E-2</v>
      </c>
      <c r="Y115" s="128">
        <f t="shared" si="380"/>
        <v>4.5045045045045043E-2</v>
      </c>
      <c r="Z115" s="128">
        <f t="shared" si="380"/>
        <v>4.5045045045045043E-2</v>
      </c>
      <c r="AA115" s="128">
        <f t="shared" si="380"/>
        <v>4.5045045045045043E-2</v>
      </c>
      <c r="AB115" s="128">
        <f t="shared" si="380"/>
        <v>4.5045045045045036E-2</v>
      </c>
      <c r="AC115" s="128">
        <f t="shared" si="380"/>
        <v>4.5045045045045036E-2</v>
      </c>
      <c r="AD115" s="128">
        <f t="shared" si="380"/>
        <v>4.5045045045045036E-2</v>
      </c>
      <c r="AE115" s="128">
        <f t="shared" si="380"/>
        <v>4.5045045045045036E-2</v>
      </c>
      <c r="AF115" s="128">
        <f t="shared" si="380"/>
        <v>4.5045045045045036E-2</v>
      </c>
      <c r="AG115" s="128">
        <f t="shared" si="380"/>
        <v>4.5045045045045036E-2</v>
      </c>
      <c r="AH115" s="115">
        <f t="shared" si="330"/>
        <v>-5.8684018668874072E-2</v>
      </c>
      <c r="AI115" s="123"/>
      <c r="AJ115" s="123"/>
    </row>
    <row r="116" spans="1:36" ht="12" customHeight="1">
      <c r="B116" s="10" t="s">
        <v>312</v>
      </c>
      <c r="C116" s="128"/>
      <c r="D116" s="128"/>
      <c r="E116" s="128"/>
      <c r="F116" s="146"/>
      <c r="G116" s="146">
        <f t="shared" ref="G116" si="381">G29/G23</f>
        <v>1.2E-2</v>
      </c>
      <c r="H116" s="146">
        <f t="shared" ref="H116:I116" si="382">H29/H23</f>
        <v>8.2352941176470594E-3</v>
      </c>
      <c r="I116" s="146">
        <f t="shared" si="382"/>
        <v>4.7619047619047616E-2</v>
      </c>
      <c r="J116" s="146">
        <f>J29/J23</f>
        <v>0.19230769230769232</v>
      </c>
      <c r="K116" s="146">
        <f t="shared" ref="K116:S116" si="383">K29/K23</f>
        <v>0.29411764705882354</v>
      </c>
      <c r="L116" s="146">
        <f t="shared" si="383"/>
        <v>0.3</v>
      </c>
      <c r="M116" s="146">
        <f t="shared" si="383"/>
        <v>0.12903225806451613</v>
      </c>
      <c r="N116" s="146">
        <f t="shared" si="383"/>
        <v>7.4999999999999997E-2</v>
      </c>
      <c r="O116" s="146">
        <f t="shared" si="383"/>
        <v>8.7336244541484712E-3</v>
      </c>
      <c r="P116" s="146">
        <f t="shared" si="383"/>
        <v>2.4449877750611247E-3</v>
      </c>
      <c r="Q116" s="146">
        <f t="shared" si="383"/>
        <v>2.4573378839590444E-3</v>
      </c>
      <c r="R116" s="146">
        <f t="shared" si="383"/>
        <v>1.090909090909091E-3</v>
      </c>
      <c r="S116" s="146">
        <f t="shared" si="383"/>
        <v>6.2820512820512819E-3</v>
      </c>
      <c r="T116" s="146">
        <f t="shared" ref="T116:U116" si="384">T29/T23</f>
        <v>0.22727272727272727</v>
      </c>
      <c r="U116" s="146">
        <f t="shared" si="384"/>
        <v>0.22727272727272727</v>
      </c>
      <c r="V116" s="101">
        <f t="shared" si="197"/>
        <v>0.23378769371383457</v>
      </c>
      <c r="W116" s="10"/>
      <c r="X116" s="146">
        <f t="shared" ref="X116:AG116" si="385">X29/X23</f>
        <v>0.22727272727272724</v>
      </c>
      <c r="Y116" s="146">
        <f t="shared" si="385"/>
        <v>0.22727272727272727</v>
      </c>
      <c r="Z116" s="146">
        <f t="shared" si="385"/>
        <v>0.22727272727272727</v>
      </c>
      <c r="AA116" s="146">
        <f t="shared" si="385"/>
        <v>0.22727272727272727</v>
      </c>
      <c r="AB116" s="146">
        <f t="shared" si="385"/>
        <v>0.22727272727272727</v>
      </c>
      <c r="AC116" s="146">
        <f t="shared" si="385"/>
        <v>0.22727272727272727</v>
      </c>
      <c r="AD116" s="146">
        <f t="shared" si="385"/>
        <v>0.22727272727272724</v>
      </c>
      <c r="AE116" s="146">
        <f t="shared" si="385"/>
        <v>0.22727272727272724</v>
      </c>
      <c r="AF116" s="146">
        <f t="shared" si="385"/>
        <v>0.22727272727272727</v>
      </c>
      <c r="AG116" s="146">
        <f t="shared" si="385"/>
        <v>0.22727272727272727</v>
      </c>
      <c r="AH116" s="115">
        <f t="shared" ref="AH116" si="386">((AG116/J116)^(1/($AG$3-$K$1) ))-1</f>
        <v>6.9848680501050087E-3</v>
      </c>
      <c r="AI116" s="123"/>
      <c r="AJ116" s="123"/>
    </row>
    <row r="117" spans="1:36" ht="12" customHeight="1">
      <c r="B117" s="10"/>
      <c r="C117" s="128"/>
      <c r="D117" s="128"/>
      <c r="E117" s="128"/>
      <c r="F117" s="146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21"/>
      <c r="V117" s="10"/>
      <c r="W117" s="10"/>
      <c r="X117" s="128"/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I117" s="123"/>
      <c r="AJ117" s="123"/>
    </row>
    <row r="118" spans="1:36" ht="12" customHeight="1">
      <c r="B118" s="10" t="s">
        <v>344</v>
      </c>
      <c r="C118" s="128"/>
      <c r="D118" s="128"/>
      <c r="E118" s="128"/>
      <c r="F118" s="108"/>
      <c r="G118" s="108">
        <f t="shared" ref="G118" si="387">1/G112</f>
        <v>1000</v>
      </c>
      <c r="H118" s="108">
        <f t="shared" ref="H118:I118" si="388">1/H112</f>
        <v>1757.1428571428569</v>
      </c>
      <c r="I118" s="108">
        <f t="shared" si="388"/>
        <v>402</v>
      </c>
      <c r="J118" s="108">
        <f>1/J112</f>
        <v>124</v>
      </c>
      <c r="K118" s="108">
        <f t="shared" ref="K118:S118" si="389">1/K112</f>
        <v>77.466666666666669</v>
      </c>
      <c r="L118" s="108">
        <f t="shared" si="389"/>
        <v>61.571428571428577</v>
      </c>
      <c r="M118" s="108">
        <f t="shared" si="389"/>
        <v>190.37500000000003</v>
      </c>
      <c r="N118" s="108">
        <f t="shared" si="389"/>
        <v>598</v>
      </c>
      <c r="O118" s="108">
        <f t="shared" si="389"/>
        <v>1181.5</v>
      </c>
      <c r="P118" s="108">
        <f t="shared" si="389"/>
        <v>3030</v>
      </c>
      <c r="Q118" s="108">
        <f t="shared" si="389"/>
        <v>4870.833333333333</v>
      </c>
      <c r="R118" s="108">
        <f t="shared" si="389"/>
        <v>17891.666666666668</v>
      </c>
      <c r="S118" s="108">
        <f t="shared" si="389"/>
        <v>9875.5102040816328</v>
      </c>
      <c r="T118" s="108">
        <f t="shared" ref="T118:U118" si="390">1/T112</f>
        <v>1107.3999999999999</v>
      </c>
      <c r="U118" s="108">
        <f t="shared" si="390"/>
        <v>1230.5999999999999</v>
      </c>
      <c r="V118" s="101">
        <f t="shared" si="197"/>
        <v>1.4931945111464673E-2</v>
      </c>
      <c r="W118" s="10"/>
      <c r="X118" s="108">
        <f t="shared" ref="X118:AG118" si="391">1/X112</f>
        <v>1230.5999999999999</v>
      </c>
      <c r="Y118" s="108">
        <f t="shared" si="391"/>
        <v>1230.5999999999999</v>
      </c>
      <c r="Z118" s="108">
        <f t="shared" si="391"/>
        <v>1230.5999999999999</v>
      </c>
      <c r="AA118" s="108">
        <f t="shared" si="391"/>
        <v>1230.6000000000001</v>
      </c>
      <c r="AB118" s="108">
        <f t="shared" si="391"/>
        <v>1230.6000000000001</v>
      </c>
      <c r="AC118" s="108">
        <f t="shared" si="391"/>
        <v>1230.6000000000001</v>
      </c>
      <c r="AD118" s="108">
        <f t="shared" si="391"/>
        <v>1230.6000000000001</v>
      </c>
      <c r="AE118" s="108">
        <f t="shared" si="391"/>
        <v>1230.6000000000001</v>
      </c>
      <c r="AF118" s="108">
        <f t="shared" si="391"/>
        <v>1230.6000000000001</v>
      </c>
      <c r="AG118" s="108">
        <f t="shared" si="391"/>
        <v>1230.5999999999999</v>
      </c>
      <c r="AH118" s="115">
        <f t="shared" si="330"/>
        <v>0.10034523661256345</v>
      </c>
      <c r="AI118" s="123"/>
      <c r="AJ118" s="123"/>
    </row>
    <row r="119" spans="1:36" ht="12" customHeight="1">
      <c r="B119" s="10" t="s">
        <v>345</v>
      </c>
      <c r="C119" s="128"/>
      <c r="D119" s="128"/>
      <c r="E119" s="128"/>
      <c r="F119" s="108"/>
      <c r="G119" s="108">
        <f t="shared" ref="G119" si="392">1/G113</f>
        <v>122.22222222222224</v>
      </c>
      <c r="H119" s="108">
        <f t="shared" ref="H119:I119" si="393">1/H113</f>
        <v>171.42857142857142</v>
      </c>
      <c r="I119" s="108">
        <f t="shared" si="393"/>
        <v>53</v>
      </c>
      <c r="J119" s="108">
        <f t="shared" ref="J119:S122" si="394">1/J113</f>
        <v>18.600000000000001</v>
      </c>
      <c r="K119" s="108">
        <f t="shared" si="394"/>
        <v>12.133333333333333</v>
      </c>
      <c r="L119" s="108">
        <f t="shared" si="394"/>
        <v>9.9047619047619051</v>
      </c>
      <c r="M119" s="108">
        <f t="shared" si="394"/>
        <v>36.625</v>
      </c>
      <c r="N119" s="108">
        <f t="shared" si="394"/>
        <v>86</v>
      </c>
      <c r="O119" s="108">
        <f t="shared" si="394"/>
        <v>178</v>
      </c>
      <c r="P119" s="108">
        <f t="shared" si="394"/>
        <v>452</v>
      </c>
      <c r="Q119" s="108">
        <f t="shared" si="394"/>
        <v>777.77777777777783</v>
      </c>
      <c r="R119" s="108">
        <f t="shared" si="394"/>
        <v>2954.166666666667</v>
      </c>
      <c r="S119" s="108">
        <f t="shared" si="394"/>
        <v>1667.3469387755101</v>
      </c>
      <c r="T119" s="108">
        <f t="shared" ref="T119:U119" si="395">1/T113</f>
        <v>169.79999999999998</v>
      </c>
      <c r="U119" s="108">
        <f t="shared" si="395"/>
        <v>176.6</v>
      </c>
      <c r="V119" s="101">
        <f t="shared" si="197"/>
        <v>2.6637633697452756E-2</v>
      </c>
      <c r="W119" s="10"/>
      <c r="X119" s="108">
        <f t="shared" ref="X119:AG119" si="396">1/X113</f>
        <v>176.6</v>
      </c>
      <c r="Y119" s="108">
        <f t="shared" si="396"/>
        <v>176.6</v>
      </c>
      <c r="Z119" s="108">
        <f t="shared" si="396"/>
        <v>176.6</v>
      </c>
      <c r="AA119" s="108">
        <f t="shared" si="396"/>
        <v>176.6</v>
      </c>
      <c r="AB119" s="108">
        <f t="shared" si="396"/>
        <v>176.6</v>
      </c>
      <c r="AC119" s="108">
        <f t="shared" si="396"/>
        <v>176.6</v>
      </c>
      <c r="AD119" s="108">
        <f t="shared" si="396"/>
        <v>176.60000000000002</v>
      </c>
      <c r="AE119" s="108">
        <f t="shared" si="396"/>
        <v>176.6</v>
      </c>
      <c r="AF119" s="108">
        <f t="shared" si="396"/>
        <v>176.6</v>
      </c>
      <c r="AG119" s="108">
        <f t="shared" si="396"/>
        <v>176.6</v>
      </c>
      <c r="AH119" s="115">
        <f t="shared" si="330"/>
        <v>9.8318350547814015E-2</v>
      </c>
      <c r="AI119" s="123"/>
      <c r="AJ119" s="123"/>
    </row>
    <row r="120" spans="1:36" ht="12" customHeight="1">
      <c r="B120" s="10" t="s">
        <v>346</v>
      </c>
      <c r="C120" s="128"/>
      <c r="D120" s="128"/>
      <c r="E120" s="128"/>
      <c r="F120" s="108"/>
      <c r="G120" s="108">
        <f t="shared" ref="G120" si="397">1/G114</f>
        <v>5.5555555555555554</v>
      </c>
      <c r="H120" s="108">
        <f t="shared" ref="H120:I120" si="398">1/H114</f>
        <v>64.285714285714278</v>
      </c>
      <c r="I120" s="108">
        <f t="shared" si="398"/>
        <v>24</v>
      </c>
      <c r="J120" s="108">
        <f t="shared" si="394"/>
        <v>9.4</v>
      </c>
      <c r="K120" s="108">
        <f t="shared" si="394"/>
        <v>6.2666666666666666</v>
      </c>
      <c r="L120" s="108">
        <f t="shared" si="394"/>
        <v>3.8571428571428572</v>
      </c>
      <c r="M120" s="108">
        <f t="shared" si="394"/>
        <v>20.875</v>
      </c>
      <c r="N120" s="108">
        <f t="shared" si="394"/>
        <v>49.333333333333329</v>
      </c>
      <c r="O120" s="108">
        <f t="shared" si="394"/>
        <v>107.5</v>
      </c>
      <c r="P120" s="108">
        <f t="shared" si="394"/>
        <v>287</v>
      </c>
      <c r="Q120" s="108">
        <f t="shared" si="394"/>
        <v>509.72222222222223</v>
      </c>
      <c r="R120" s="108">
        <f t="shared" si="394"/>
        <v>1708.3333333333335</v>
      </c>
      <c r="S120" s="108">
        <f t="shared" si="394"/>
        <v>997.9591836734694</v>
      </c>
      <c r="T120" s="108">
        <f t="shared" ref="T120:U120" si="399">1/T114</f>
        <v>95.600000000000009</v>
      </c>
      <c r="U120" s="108">
        <f t="shared" si="399"/>
        <v>94.2</v>
      </c>
      <c r="V120" s="101">
        <f t="shared" si="197"/>
        <v>0.22407721727154062</v>
      </c>
      <c r="W120" s="10"/>
      <c r="X120" s="108">
        <f t="shared" ref="X120:AG120" si="400">1/X114</f>
        <v>94.2</v>
      </c>
      <c r="Y120" s="108">
        <f t="shared" si="400"/>
        <v>94.2</v>
      </c>
      <c r="Z120" s="108">
        <f t="shared" si="400"/>
        <v>94.2</v>
      </c>
      <c r="AA120" s="108">
        <f t="shared" si="400"/>
        <v>94.2</v>
      </c>
      <c r="AB120" s="108">
        <f t="shared" si="400"/>
        <v>94.200000000000017</v>
      </c>
      <c r="AC120" s="108">
        <f t="shared" si="400"/>
        <v>94.200000000000017</v>
      </c>
      <c r="AD120" s="108">
        <f t="shared" si="400"/>
        <v>94.200000000000017</v>
      </c>
      <c r="AE120" s="108">
        <f t="shared" si="400"/>
        <v>94.2</v>
      </c>
      <c r="AF120" s="108">
        <f t="shared" si="400"/>
        <v>94.199999999999989</v>
      </c>
      <c r="AG120" s="108">
        <f t="shared" si="400"/>
        <v>94.2</v>
      </c>
      <c r="AH120" s="115">
        <f t="shared" si="330"/>
        <v>0.1007916511782514</v>
      </c>
      <c r="AI120" s="123"/>
      <c r="AJ120" s="123"/>
    </row>
    <row r="121" spans="1:36" ht="12" customHeight="1">
      <c r="B121" s="10" t="s">
        <v>347</v>
      </c>
      <c r="C121" s="128"/>
      <c r="D121" s="128"/>
      <c r="E121" s="128"/>
      <c r="F121" s="108"/>
      <c r="G121" s="108">
        <f t="shared" ref="G121" si="401">1/G115</f>
        <v>83.333333333333329</v>
      </c>
      <c r="H121" s="108">
        <f t="shared" ref="H121:I121" si="402">1/H115</f>
        <v>121.42857142857142</v>
      </c>
      <c r="I121" s="108">
        <f t="shared" si="402"/>
        <v>21</v>
      </c>
      <c r="J121" s="108">
        <f t="shared" si="394"/>
        <v>5.1999999999999993</v>
      </c>
      <c r="K121" s="108">
        <f t="shared" si="394"/>
        <v>3.4666666666666668</v>
      </c>
      <c r="L121" s="108">
        <f t="shared" si="394"/>
        <v>3.3333333333333335</v>
      </c>
      <c r="M121" s="108">
        <f t="shared" si="394"/>
        <v>7.75</v>
      </c>
      <c r="N121" s="108">
        <f t="shared" si="394"/>
        <v>13.333333333333334</v>
      </c>
      <c r="O121" s="108">
        <f t="shared" si="394"/>
        <v>114.5</v>
      </c>
      <c r="P121" s="108">
        <f t="shared" si="394"/>
        <v>411</v>
      </c>
      <c r="Q121" s="108">
        <f t="shared" si="394"/>
        <v>409.72222222222223</v>
      </c>
      <c r="R121" s="108">
        <f t="shared" si="394"/>
        <v>925</v>
      </c>
      <c r="S121" s="108">
        <f t="shared" si="394"/>
        <v>306.12244897959187</v>
      </c>
      <c r="T121" s="108">
        <f t="shared" ref="T121:U121" si="403">1/T115</f>
        <v>34</v>
      </c>
      <c r="U121" s="108">
        <f t="shared" si="403"/>
        <v>22.2</v>
      </c>
      <c r="V121" s="101">
        <f t="shared" si="197"/>
        <v>-9.0156430354857542E-2</v>
      </c>
      <c r="W121" s="10"/>
      <c r="X121" s="108">
        <f t="shared" ref="X121:AG121" si="404">1/X115</f>
        <v>22.2</v>
      </c>
      <c r="Y121" s="108">
        <f t="shared" si="404"/>
        <v>22.2</v>
      </c>
      <c r="Z121" s="108">
        <f t="shared" si="404"/>
        <v>22.2</v>
      </c>
      <c r="AA121" s="108">
        <f t="shared" si="404"/>
        <v>22.2</v>
      </c>
      <c r="AB121" s="108">
        <f t="shared" si="404"/>
        <v>22.200000000000003</v>
      </c>
      <c r="AC121" s="108">
        <f t="shared" si="404"/>
        <v>22.200000000000003</v>
      </c>
      <c r="AD121" s="108">
        <f t="shared" si="404"/>
        <v>22.200000000000003</v>
      </c>
      <c r="AE121" s="108">
        <f t="shared" si="404"/>
        <v>22.200000000000003</v>
      </c>
      <c r="AF121" s="108">
        <f t="shared" si="404"/>
        <v>22.200000000000003</v>
      </c>
      <c r="AG121" s="108">
        <f t="shared" si="404"/>
        <v>22.200000000000003</v>
      </c>
      <c r="AH121" s="115">
        <f t="shared" si="330"/>
        <v>6.2342528792391549E-2</v>
      </c>
      <c r="AI121" s="123"/>
      <c r="AJ121" s="123"/>
    </row>
    <row r="122" spans="1:36" ht="12" customHeight="1">
      <c r="B122" s="10" t="s">
        <v>348</v>
      </c>
      <c r="C122" s="128"/>
      <c r="D122" s="128"/>
      <c r="E122" s="128"/>
      <c r="F122" s="108"/>
      <c r="G122" s="108">
        <f t="shared" ref="G122" si="405">1/G116</f>
        <v>83.333333333333329</v>
      </c>
      <c r="H122" s="108">
        <f t="shared" ref="H122:I122" si="406">1/H116</f>
        <v>121.42857142857142</v>
      </c>
      <c r="I122" s="108">
        <f t="shared" si="406"/>
        <v>21</v>
      </c>
      <c r="J122" s="108">
        <f t="shared" si="394"/>
        <v>5.1999999999999993</v>
      </c>
      <c r="K122" s="108">
        <f t="shared" si="394"/>
        <v>3.4</v>
      </c>
      <c r="L122" s="108">
        <f t="shared" si="394"/>
        <v>3.3333333333333335</v>
      </c>
      <c r="M122" s="108">
        <f t="shared" si="394"/>
        <v>7.75</v>
      </c>
      <c r="N122" s="108">
        <f t="shared" si="394"/>
        <v>13.333333333333334</v>
      </c>
      <c r="O122" s="108">
        <f t="shared" si="394"/>
        <v>114.5</v>
      </c>
      <c r="P122" s="108">
        <f t="shared" si="394"/>
        <v>409</v>
      </c>
      <c r="Q122" s="108">
        <f t="shared" si="394"/>
        <v>406.94444444444446</v>
      </c>
      <c r="R122" s="108">
        <f t="shared" si="394"/>
        <v>916.66666666666663</v>
      </c>
      <c r="S122" s="108">
        <f t="shared" si="394"/>
        <v>159.18367346938777</v>
      </c>
      <c r="T122" s="108">
        <f t="shared" ref="T122:U122" si="407">1/T116</f>
        <v>4.4000000000000004</v>
      </c>
      <c r="U122" s="108">
        <f t="shared" si="407"/>
        <v>4.4000000000000004</v>
      </c>
      <c r="V122" s="101">
        <f t="shared" si="197"/>
        <v>-0.18948778214030337</v>
      </c>
      <c r="W122" s="10"/>
      <c r="X122" s="108">
        <f t="shared" ref="X122:AG122" si="408">1/X116</f>
        <v>4.4000000000000004</v>
      </c>
      <c r="Y122" s="108">
        <f t="shared" si="408"/>
        <v>4.4000000000000004</v>
      </c>
      <c r="Z122" s="108">
        <f t="shared" si="408"/>
        <v>4.4000000000000004</v>
      </c>
      <c r="AA122" s="108">
        <f t="shared" si="408"/>
        <v>4.4000000000000004</v>
      </c>
      <c r="AB122" s="108">
        <f t="shared" si="408"/>
        <v>4.4000000000000004</v>
      </c>
      <c r="AC122" s="108">
        <f t="shared" si="408"/>
        <v>4.4000000000000004</v>
      </c>
      <c r="AD122" s="108">
        <f t="shared" si="408"/>
        <v>4.4000000000000004</v>
      </c>
      <c r="AE122" s="108">
        <f t="shared" si="408"/>
        <v>4.4000000000000004</v>
      </c>
      <c r="AF122" s="108">
        <f t="shared" si="408"/>
        <v>4.4000000000000004</v>
      </c>
      <c r="AG122" s="108">
        <f t="shared" si="408"/>
        <v>4.4000000000000004</v>
      </c>
      <c r="AH122" s="115">
        <f t="shared" si="330"/>
        <v>-6.9364180850406409E-3</v>
      </c>
      <c r="AI122" s="123"/>
      <c r="AJ122" s="123"/>
    </row>
    <row r="123" spans="1:36" ht="12" customHeight="1">
      <c r="B123" s="10"/>
      <c r="C123" s="128"/>
      <c r="D123" s="128"/>
      <c r="E123" s="128"/>
      <c r="F123" s="146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21"/>
      <c r="V123" s="10"/>
      <c r="W123" s="10"/>
      <c r="X123" s="128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3"/>
      <c r="AJ123" s="123"/>
    </row>
    <row r="124" spans="1:36" ht="12" customHeight="1">
      <c r="A124" s="301" t="s">
        <v>418</v>
      </c>
      <c r="B124" s="177" t="s">
        <v>425</v>
      </c>
      <c r="C124" s="128"/>
      <c r="D124" s="128"/>
      <c r="E124" s="128"/>
      <c r="F124" s="146"/>
      <c r="G124" s="146" t="e">
        <f t="shared" ref="G124" si="409">G25/(G36+G38)</f>
        <v>#DIV/0!</v>
      </c>
      <c r="H124" s="146" t="e">
        <f t="shared" ref="H124:I124" si="410">H25/(H36+H38)</f>
        <v>#DIV/0!</v>
      </c>
      <c r="I124" s="146" t="e">
        <f t="shared" si="410"/>
        <v>#DIV/0!</v>
      </c>
      <c r="J124" s="146" t="e">
        <f t="shared" ref="J124:T124" si="411">J25/(J36+J38)</f>
        <v>#DIV/0!</v>
      </c>
      <c r="K124" s="146" t="e">
        <f t="shared" si="411"/>
        <v>#DIV/0!</v>
      </c>
      <c r="L124" s="146" t="e">
        <f t="shared" si="411"/>
        <v>#DIV/0!</v>
      </c>
      <c r="M124" s="146" t="e">
        <f t="shared" si="411"/>
        <v>#DIV/0!</v>
      </c>
      <c r="N124" s="146" t="e">
        <f t="shared" si="411"/>
        <v>#DIV/0!</v>
      </c>
      <c r="O124" s="146" t="e">
        <f t="shared" si="411"/>
        <v>#DIV/0!</v>
      </c>
      <c r="P124" s="146" t="e">
        <f t="shared" si="411"/>
        <v>#DIV/0!</v>
      </c>
      <c r="Q124" s="146" t="e">
        <f t="shared" si="411"/>
        <v>#DIV/0!</v>
      </c>
      <c r="R124" s="146" t="e">
        <f t="shared" si="411"/>
        <v>#DIV/0!</v>
      </c>
      <c r="S124" s="146" t="e">
        <f t="shared" si="411"/>
        <v>#DIV/0!</v>
      </c>
      <c r="T124" s="146" t="e">
        <f t="shared" si="411"/>
        <v>#DIV/0!</v>
      </c>
      <c r="U124" s="146">
        <f t="shared" ref="U124" si="412">U25/(U36+U38)</f>
        <v>6153</v>
      </c>
      <c r="V124" s="101" t="e">
        <f t="shared" si="197"/>
        <v>#DIV/0!</v>
      </c>
      <c r="W124" s="10"/>
      <c r="X124" s="146">
        <f t="shared" ref="X124:AG124" si="413">X25/(X36+X38)</f>
        <v>6153</v>
      </c>
      <c r="Y124" s="146">
        <f t="shared" si="413"/>
        <v>6153</v>
      </c>
      <c r="Z124" s="146">
        <f t="shared" si="413"/>
        <v>6152.9999999999991</v>
      </c>
      <c r="AA124" s="146">
        <f t="shared" si="413"/>
        <v>6153</v>
      </c>
      <c r="AB124" s="146">
        <f t="shared" si="413"/>
        <v>6152.9999999999991</v>
      </c>
      <c r="AC124" s="146">
        <f t="shared" si="413"/>
        <v>6152.9999999999991</v>
      </c>
      <c r="AD124" s="146">
        <f t="shared" si="413"/>
        <v>6152.9999999999982</v>
      </c>
      <c r="AE124" s="146">
        <f t="shared" si="413"/>
        <v>6152.9999999999991</v>
      </c>
      <c r="AF124" s="146">
        <f t="shared" si="413"/>
        <v>6152.9999999999991</v>
      </c>
      <c r="AG124" s="146">
        <f t="shared" si="413"/>
        <v>6152.9999999999991</v>
      </c>
      <c r="AH124" s="115" t="e">
        <f t="shared" ref="AH124:AH132" si="414">((AG124/J124)^(1/($AG$3-$K$1) ))-1</f>
        <v>#DIV/0!</v>
      </c>
      <c r="AI124" s="123"/>
      <c r="AJ124" s="123"/>
    </row>
    <row r="125" spans="1:36" ht="12" customHeight="1">
      <c r="A125" s="301"/>
      <c r="B125" s="177" t="s">
        <v>420</v>
      </c>
      <c r="C125" s="128"/>
      <c r="D125" s="128"/>
      <c r="E125" s="128"/>
      <c r="F125" s="146"/>
      <c r="G125" s="146" t="e">
        <f t="shared" ref="G125" si="415">G25/G43</f>
        <v>#DIV/0!</v>
      </c>
      <c r="H125" s="146" t="e">
        <f t="shared" ref="H125:I125" si="416">H25/H43</f>
        <v>#DIV/0!</v>
      </c>
      <c r="I125" s="146" t="e">
        <f t="shared" si="416"/>
        <v>#DIV/0!</v>
      </c>
      <c r="J125" s="146" t="e">
        <f t="shared" ref="J125:T125" si="417">J25/J43</f>
        <v>#DIV/0!</v>
      </c>
      <c r="K125" s="146" t="e">
        <f t="shared" si="417"/>
        <v>#DIV/0!</v>
      </c>
      <c r="L125" s="146" t="e">
        <f t="shared" si="417"/>
        <v>#DIV/0!</v>
      </c>
      <c r="M125" s="146" t="e">
        <f t="shared" si="417"/>
        <v>#DIV/0!</v>
      </c>
      <c r="N125" s="146" t="e">
        <f t="shared" si="417"/>
        <v>#DIV/0!</v>
      </c>
      <c r="O125" s="146" t="e">
        <f t="shared" si="417"/>
        <v>#DIV/0!</v>
      </c>
      <c r="P125" s="146" t="e">
        <f t="shared" si="417"/>
        <v>#DIV/0!</v>
      </c>
      <c r="Q125" s="146" t="e">
        <f t="shared" si="417"/>
        <v>#DIV/0!</v>
      </c>
      <c r="R125" s="146" t="e">
        <f t="shared" si="417"/>
        <v>#DIV/0!</v>
      </c>
      <c r="S125" s="146" t="e">
        <f t="shared" si="417"/>
        <v>#DIV/0!</v>
      </c>
      <c r="T125" s="146" t="e">
        <f t="shared" si="417"/>
        <v>#DIV/0!</v>
      </c>
      <c r="U125" s="146" t="e">
        <f t="shared" ref="U125" si="418">U25/U43</f>
        <v>#DIV/0!</v>
      </c>
      <c r="V125" s="101" t="e">
        <f t="shared" si="197"/>
        <v>#DIV/0!</v>
      </c>
      <c r="W125" s="10"/>
      <c r="X125" s="146" t="e">
        <f t="shared" ref="X125:AG125" si="419">X25/X43</f>
        <v>#DIV/0!</v>
      </c>
      <c r="Y125" s="146" t="e">
        <f t="shared" si="419"/>
        <v>#DIV/0!</v>
      </c>
      <c r="Z125" s="146" t="e">
        <f t="shared" si="419"/>
        <v>#DIV/0!</v>
      </c>
      <c r="AA125" s="146" t="e">
        <f t="shared" si="419"/>
        <v>#DIV/0!</v>
      </c>
      <c r="AB125" s="146" t="e">
        <f t="shared" si="419"/>
        <v>#DIV/0!</v>
      </c>
      <c r="AC125" s="146" t="e">
        <f t="shared" si="419"/>
        <v>#DIV/0!</v>
      </c>
      <c r="AD125" s="146" t="e">
        <f t="shared" si="419"/>
        <v>#DIV/0!</v>
      </c>
      <c r="AE125" s="146" t="e">
        <f t="shared" si="419"/>
        <v>#DIV/0!</v>
      </c>
      <c r="AF125" s="146" t="e">
        <f t="shared" si="419"/>
        <v>#DIV/0!</v>
      </c>
      <c r="AG125" s="146" t="e">
        <f t="shared" si="419"/>
        <v>#DIV/0!</v>
      </c>
      <c r="AH125" s="115" t="e">
        <f t="shared" si="414"/>
        <v>#DIV/0!</v>
      </c>
      <c r="AI125" s="123"/>
      <c r="AJ125" s="123"/>
    </row>
    <row r="126" spans="1:36" ht="12" customHeight="1">
      <c r="A126" s="301"/>
      <c r="B126" s="177" t="s">
        <v>426</v>
      </c>
      <c r="C126" s="128"/>
      <c r="D126" s="128"/>
      <c r="E126" s="128"/>
      <c r="F126" s="146"/>
      <c r="G126" s="146" t="e">
        <f t="shared" ref="G126" si="420">G43/(G36)</f>
        <v>#DIV/0!</v>
      </c>
      <c r="H126" s="146" t="e">
        <f t="shared" ref="H126:I126" si="421">H43/(H36)</f>
        <v>#DIV/0!</v>
      </c>
      <c r="I126" s="146" t="e">
        <f t="shared" si="421"/>
        <v>#DIV/0!</v>
      </c>
      <c r="J126" s="146" t="e">
        <f t="shared" ref="J126:T126" si="422">J43/(J36)</f>
        <v>#DIV/0!</v>
      </c>
      <c r="K126" s="146" t="e">
        <f t="shared" si="422"/>
        <v>#DIV/0!</v>
      </c>
      <c r="L126" s="146" t="e">
        <f t="shared" si="422"/>
        <v>#DIV/0!</v>
      </c>
      <c r="M126" s="146" t="e">
        <f t="shared" si="422"/>
        <v>#DIV/0!</v>
      </c>
      <c r="N126" s="146" t="e">
        <f t="shared" si="422"/>
        <v>#DIV/0!</v>
      </c>
      <c r="O126" s="146" t="e">
        <f t="shared" si="422"/>
        <v>#DIV/0!</v>
      </c>
      <c r="P126" s="146" t="e">
        <f t="shared" si="422"/>
        <v>#DIV/0!</v>
      </c>
      <c r="Q126" s="146" t="e">
        <f t="shared" si="422"/>
        <v>#DIV/0!</v>
      </c>
      <c r="R126" s="146" t="e">
        <f t="shared" si="422"/>
        <v>#DIV/0!</v>
      </c>
      <c r="S126" s="146" t="e">
        <f t="shared" si="422"/>
        <v>#DIV/0!</v>
      </c>
      <c r="T126" s="146" t="e">
        <f t="shared" si="422"/>
        <v>#DIV/0!</v>
      </c>
      <c r="U126" s="146" t="e">
        <f t="shared" ref="U126" si="423">U43/(U36)</f>
        <v>#DIV/0!</v>
      </c>
      <c r="V126" s="101" t="e">
        <f t="shared" si="197"/>
        <v>#DIV/0!</v>
      </c>
      <c r="W126" s="10"/>
      <c r="X126" s="146">
        <f t="shared" ref="X126:AG126" si="424">X43/(X36+X38)</f>
        <v>0</v>
      </c>
      <c r="Y126" s="146">
        <f t="shared" si="424"/>
        <v>0</v>
      </c>
      <c r="Z126" s="146">
        <f t="shared" si="424"/>
        <v>0</v>
      </c>
      <c r="AA126" s="146">
        <f t="shared" si="424"/>
        <v>0</v>
      </c>
      <c r="AB126" s="146">
        <f t="shared" si="424"/>
        <v>0</v>
      </c>
      <c r="AC126" s="146">
        <f t="shared" si="424"/>
        <v>0</v>
      </c>
      <c r="AD126" s="146">
        <f t="shared" si="424"/>
        <v>0</v>
      </c>
      <c r="AE126" s="146">
        <f t="shared" si="424"/>
        <v>0</v>
      </c>
      <c r="AF126" s="146">
        <f t="shared" si="424"/>
        <v>0</v>
      </c>
      <c r="AG126" s="146">
        <f t="shared" si="424"/>
        <v>0</v>
      </c>
      <c r="AH126" s="115" t="e">
        <f t="shared" si="414"/>
        <v>#DIV/0!</v>
      </c>
      <c r="AI126" s="123"/>
      <c r="AJ126" s="123"/>
    </row>
    <row r="127" spans="1:36" ht="12" customHeight="1">
      <c r="A127" s="301"/>
      <c r="B127" s="177" t="s">
        <v>424</v>
      </c>
      <c r="C127" s="128"/>
      <c r="D127" s="128"/>
      <c r="E127" s="128"/>
      <c r="F127" s="146"/>
      <c r="G127" s="146" t="e">
        <f t="shared" ref="G127" si="425">G43/G38</f>
        <v>#DIV/0!</v>
      </c>
      <c r="H127" s="146" t="e">
        <f t="shared" ref="H127:I127" si="426">H43/H38</f>
        <v>#DIV/0!</v>
      </c>
      <c r="I127" s="146" t="e">
        <f t="shared" si="426"/>
        <v>#DIV/0!</v>
      </c>
      <c r="J127" s="146" t="e">
        <f t="shared" ref="J127:T127" si="427">J43/J38</f>
        <v>#DIV/0!</v>
      </c>
      <c r="K127" s="146" t="e">
        <f t="shared" si="427"/>
        <v>#DIV/0!</v>
      </c>
      <c r="L127" s="146" t="e">
        <f t="shared" si="427"/>
        <v>#DIV/0!</v>
      </c>
      <c r="M127" s="146" t="e">
        <f t="shared" si="427"/>
        <v>#DIV/0!</v>
      </c>
      <c r="N127" s="146" t="e">
        <f t="shared" si="427"/>
        <v>#DIV/0!</v>
      </c>
      <c r="O127" s="146" t="e">
        <f t="shared" si="427"/>
        <v>#DIV/0!</v>
      </c>
      <c r="P127" s="146" t="e">
        <f t="shared" si="427"/>
        <v>#DIV/0!</v>
      </c>
      <c r="Q127" s="146" t="e">
        <f t="shared" si="427"/>
        <v>#DIV/0!</v>
      </c>
      <c r="R127" s="146" t="e">
        <f t="shared" si="427"/>
        <v>#DIV/0!</v>
      </c>
      <c r="S127" s="146" t="e">
        <f t="shared" si="427"/>
        <v>#DIV/0!</v>
      </c>
      <c r="T127" s="146" t="e">
        <f t="shared" si="427"/>
        <v>#DIV/0!</v>
      </c>
      <c r="U127" s="146">
        <f t="shared" ref="U127" si="428">U43/U38</f>
        <v>0</v>
      </c>
      <c r="V127" s="101" t="e">
        <f t="shared" si="197"/>
        <v>#DIV/0!</v>
      </c>
      <c r="W127" s="10"/>
      <c r="X127" s="146">
        <f t="shared" ref="X127:AG127" si="429">X43/X38</f>
        <v>0</v>
      </c>
      <c r="Y127" s="146">
        <f t="shared" si="429"/>
        <v>0</v>
      </c>
      <c r="Z127" s="146">
        <f t="shared" si="429"/>
        <v>0</v>
      </c>
      <c r="AA127" s="146">
        <f t="shared" si="429"/>
        <v>0</v>
      </c>
      <c r="AB127" s="146">
        <f t="shared" si="429"/>
        <v>0</v>
      </c>
      <c r="AC127" s="146">
        <f t="shared" si="429"/>
        <v>0</v>
      </c>
      <c r="AD127" s="146">
        <f t="shared" si="429"/>
        <v>0</v>
      </c>
      <c r="AE127" s="146">
        <f t="shared" si="429"/>
        <v>0</v>
      </c>
      <c r="AF127" s="146">
        <f t="shared" si="429"/>
        <v>0</v>
      </c>
      <c r="AG127" s="146">
        <f t="shared" si="429"/>
        <v>0</v>
      </c>
      <c r="AH127" s="115" t="e">
        <f t="shared" si="414"/>
        <v>#DIV/0!</v>
      </c>
      <c r="AI127" s="123"/>
      <c r="AJ127" s="123"/>
    </row>
    <row r="128" spans="1:36" ht="12" customHeight="1">
      <c r="A128" s="301"/>
      <c r="B128" s="177" t="s">
        <v>423</v>
      </c>
      <c r="C128" s="128"/>
      <c r="D128" s="128"/>
      <c r="E128" s="128"/>
      <c r="F128" s="146"/>
      <c r="G128" s="146" t="e">
        <f t="shared" ref="G128" si="430">G43/(G36+G38)</f>
        <v>#DIV/0!</v>
      </c>
      <c r="H128" s="146" t="e">
        <f t="shared" ref="H128:I128" si="431">H43/(H36+H38)</f>
        <v>#DIV/0!</v>
      </c>
      <c r="I128" s="146" t="e">
        <f t="shared" si="431"/>
        <v>#DIV/0!</v>
      </c>
      <c r="J128" s="146" t="e">
        <f t="shared" ref="J128:T128" si="432">J43/(J36+J38)</f>
        <v>#DIV/0!</v>
      </c>
      <c r="K128" s="146" t="e">
        <f t="shared" si="432"/>
        <v>#DIV/0!</v>
      </c>
      <c r="L128" s="146" t="e">
        <f t="shared" si="432"/>
        <v>#DIV/0!</v>
      </c>
      <c r="M128" s="146" t="e">
        <f t="shared" si="432"/>
        <v>#DIV/0!</v>
      </c>
      <c r="N128" s="146" t="e">
        <f t="shared" si="432"/>
        <v>#DIV/0!</v>
      </c>
      <c r="O128" s="146" t="e">
        <f t="shared" si="432"/>
        <v>#DIV/0!</v>
      </c>
      <c r="P128" s="146" t="e">
        <f t="shared" si="432"/>
        <v>#DIV/0!</v>
      </c>
      <c r="Q128" s="146" t="e">
        <f t="shared" si="432"/>
        <v>#DIV/0!</v>
      </c>
      <c r="R128" s="146" t="e">
        <f t="shared" si="432"/>
        <v>#DIV/0!</v>
      </c>
      <c r="S128" s="146" t="e">
        <f t="shared" si="432"/>
        <v>#DIV/0!</v>
      </c>
      <c r="T128" s="146" t="e">
        <f t="shared" si="432"/>
        <v>#DIV/0!</v>
      </c>
      <c r="U128" s="146">
        <f t="shared" ref="U128" si="433">U43/(U36+U38)</f>
        <v>0</v>
      </c>
      <c r="V128" s="101" t="e">
        <f t="shared" si="197"/>
        <v>#DIV/0!</v>
      </c>
      <c r="W128" s="10"/>
      <c r="X128" s="146">
        <f t="shared" ref="X128:AG128" si="434">X43/(X36+X38)</f>
        <v>0</v>
      </c>
      <c r="Y128" s="146">
        <f t="shared" si="434"/>
        <v>0</v>
      </c>
      <c r="Z128" s="146">
        <f t="shared" si="434"/>
        <v>0</v>
      </c>
      <c r="AA128" s="146">
        <f t="shared" si="434"/>
        <v>0</v>
      </c>
      <c r="AB128" s="146">
        <f t="shared" si="434"/>
        <v>0</v>
      </c>
      <c r="AC128" s="146">
        <f t="shared" si="434"/>
        <v>0</v>
      </c>
      <c r="AD128" s="146">
        <f t="shared" si="434"/>
        <v>0</v>
      </c>
      <c r="AE128" s="146">
        <f t="shared" si="434"/>
        <v>0</v>
      </c>
      <c r="AF128" s="146">
        <f t="shared" si="434"/>
        <v>0</v>
      </c>
      <c r="AG128" s="146">
        <f t="shared" si="434"/>
        <v>0</v>
      </c>
      <c r="AH128" s="115" t="e">
        <f>((AG128/J128)^(1/($AG$3-$K$1) ))-1</f>
        <v>#DIV/0!</v>
      </c>
      <c r="AI128" s="123"/>
      <c r="AJ128" s="123"/>
    </row>
    <row r="129" spans="1:36" ht="12" customHeight="1">
      <c r="A129" s="301"/>
      <c r="B129" s="177" t="s">
        <v>429</v>
      </c>
      <c r="C129" s="128"/>
      <c r="D129" s="128"/>
      <c r="E129" s="128"/>
      <c r="F129" s="146"/>
      <c r="G129" s="146">
        <f t="shared" ref="G129" si="435">G47/G25</f>
        <v>0</v>
      </c>
      <c r="H129" s="146">
        <f t="shared" ref="H129:I129" si="436">H47/H25</f>
        <v>0</v>
      </c>
      <c r="I129" s="146">
        <f t="shared" si="436"/>
        <v>0</v>
      </c>
      <c r="J129" s="146">
        <f t="shared" ref="J129:T129" si="437">J47/J25</f>
        <v>0</v>
      </c>
      <c r="K129" s="146">
        <f t="shared" si="437"/>
        <v>0</v>
      </c>
      <c r="L129" s="146">
        <f t="shared" si="437"/>
        <v>0</v>
      </c>
      <c r="M129" s="146">
        <f t="shared" si="437"/>
        <v>0</v>
      </c>
      <c r="N129" s="146">
        <f t="shared" si="437"/>
        <v>0</v>
      </c>
      <c r="O129" s="146">
        <f t="shared" si="437"/>
        <v>0</v>
      </c>
      <c r="P129" s="146">
        <f t="shared" si="437"/>
        <v>0</v>
      </c>
      <c r="Q129" s="146">
        <f t="shared" si="437"/>
        <v>0</v>
      </c>
      <c r="R129" s="146">
        <f t="shared" si="437"/>
        <v>0</v>
      </c>
      <c r="S129" s="146">
        <f t="shared" si="437"/>
        <v>0</v>
      </c>
      <c r="T129" s="146">
        <f t="shared" si="437"/>
        <v>0</v>
      </c>
      <c r="U129" s="146">
        <f t="shared" ref="U129" si="438">U47/U25</f>
        <v>0</v>
      </c>
      <c r="V129" s="101" t="e">
        <f t="shared" si="197"/>
        <v>#DIV/0!</v>
      </c>
      <c r="W129" s="10"/>
      <c r="X129" s="146">
        <f t="shared" ref="X129:AG129" si="439">X47/X25</f>
        <v>0</v>
      </c>
      <c r="Y129" s="146">
        <f t="shared" si="439"/>
        <v>0</v>
      </c>
      <c r="Z129" s="146">
        <f t="shared" si="439"/>
        <v>0</v>
      </c>
      <c r="AA129" s="146">
        <f t="shared" si="439"/>
        <v>0</v>
      </c>
      <c r="AB129" s="146">
        <f t="shared" si="439"/>
        <v>0</v>
      </c>
      <c r="AC129" s="146">
        <f t="shared" si="439"/>
        <v>0</v>
      </c>
      <c r="AD129" s="146">
        <f t="shared" si="439"/>
        <v>0</v>
      </c>
      <c r="AE129" s="146">
        <f t="shared" si="439"/>
        <v>0</v>
      </c>
      <c r="AF129" s="146">
        <f t="shared" si="439"/>
        <v>0</v>
      </c>
      <c r="AG129" s="146">
        <f t="shared" si="439"/>
        <v>0</v>
      </c>
      <c r="AH129" s="115" t="e">
        <f>((AG129/J129)^(1/($AG$3-$K$1) ))-1</f>
        <v>#DIV/0!</v>
      </c>
      <c r="AI129" s="123"/>
      <c r="AJ129" s="123"/>
    </row>
    <row r="130" spans="1:36" ht="12" customHeight="1">
      <c r="A130" s="301"/>
      <c r="B130" s="177" t="s">
        <v>427</v>
      </c>
      <c r="C130" s="128"/>
      <c r="D130" s="128"/>
      <c r="E130" s="128"/>
      <c r="F130" s="181"/>
      <c r="G130" s="181" t="e">
        <f t="shared" ref="G130" si="440">G55/G49</f>
        <v>#DIV/0!</v>
      </c>
      <c r="H130" s="181" t="e">
        <f t="shared" ref="H130:I130" si="441">H55/H49</f>
        <v>#DIV/0!</v>
      </c>
      <c r="I130" s="181" t="e">
        <f t="shared" si="441"/>
        <v>#DIV/0!</v>
      </c>
      <c r="J130" s="181" t="e">
        <f t="shared" ref="J130:T130" si="442">J55/J49</f>
        <v>#DIV/0!</v>
      </c>
      <c r="K130" s="181" t="e">
        <f t="shared" si="442"/>
        <v>#DIV/0!</v>
      </c>
      <c r="L130" s="181" t="e">
        <f t="shared" si="442"/>
        <v>#DIV/0!</v>
      </c>
      <c r="M130" s="181" t="e">
        <f t="shared" si="442"/>
        <v>#DIV/0!</v>
      </c>
      <c r="N130" s="181" t="e">
        <f t="shared" si="442"/>
        <v>#DIV/0!</v>
      </c>
      <c r="O130" s="181" t="e">
        <f t="shared" si="442"/>
        <v>#DIV/0!</v>
      </c>
      <c r="P130" s="181" t="e">
        <f t="shared" si="442"/>
        <v>#DIV/0!</v>
      </c>
      <c r="Q130" s="181" t="e">
        <f t="shared" si="442"/>
        <v>#DIV/0!</v>
      </c>
      <c r="R130" s="181" t="e">
        <f t="shared" si="442"/>
        <v>#DIV/0!</v>
      </c>
      <c r="S130" s="181" t="e">
        <f t="shared" si="442"/>
        <v>#DIV/0!</v>
      </c>
      <c r="T130" s="181" t="e">
        <f t="shared" si="442"/>
        <v>#DIV/0!</v>
      </c>
      <c r="U130" s="181" t="e">
        <f t="shared" ref="U130" si="443">U55/U49</f>
        <v>#DIV/0!</v>
      </c>
      <c r="V130" s="101" t="e">
        <f t="shared" si="197"/>
        <v>#DIV/0!</v>
      </c>
      <c r="W130" s="10"/>
      <c r="X130" s="181" t="e">
        <f t="shared" ref="X130:AG130" si="444">X55/X49</f>
        <v>#DIV/0!</v>
      </c>
      <c r="Y130" s="181" t="e">
        <f t="shared" si="444"/>
        <v>#DIV/0!</v>
      </c>
      <c r="Z130" s="181" t="e">
        <f t="shared" si="444"/>
        <v>#DIV/0!</v>
      </c>
      <c r="AA130" s="181" t="e">
        <f t="shared" si="444"/>
        <v>#DIV/0!</v>
      </c>
      <c r="AB130" s="181" t="e">
        <f t="shared" si="444"/>
        <v>#DIV/0!</v>
      </c>
      <c r="AC130" s="181" t="e">
        <f t="shared" si="444"/>
        <v>#DIV/0!</v>
      </c>
      <c r="AD130" s="181" t="e">
        <f t="shared" si="444"/>
        <v>#DIV/0!</v>
      </c>
      <c r="AE130" s="181" t="e">
        <f t="shared" si="444"/>
        <v>#DIV/0!</v>
      </c>
      <c r="AF130" s="181" t="e">
        <f t="shared" si="444"/>
        <v>#DIV/0!</v>
      </c>
      <c r="AG130" s="181" t="e">
        <f t="shared" si="444"/>
        <v>#DIV/0!</v>
      </c>
      <c r="AH130" s="115" t="e">
        <f>((AG130/J130)^(1/($AG$3-$K$1) ))-1</f>
        <v>#DIV/0!</v>
      </c>
      <c r="AI130" s="123"/>
      <c r="AJ130" s="123"/>
    </row>
    <row r="131" spans="1:36" ht="12" customHeight="1">
      <c r="A131" s="301"/>
      <c r="B131" s="177" t="s">
        <v>421</v>
      </c>
      <c r="C131" s="128"/>
      <c r="D131" s="128"/>
      <c r="E131" s="128"/>
      <c r="F131" s="146"/>
      <c r="G131" s="146" t="e">
        <f t="shared" ref="G131" si="445">G55/G43</f>
        <v>#DIV/0!</v>
      </c>
      <c r="H131" s="146" t="e">
        <f t="shared" ref="H131:I131" si="446">H55/H43</f>
        <v>#DIV/0!</v>
      </c>
      <c r="I131" s="146" t="e">
        <f t="shared" si="446"/>
        <v>#DIV/0!</v>
      </c>
      <c r="J131" s="146" t="e">
        <f t="shared" ref="J131:T131" si="447">J55/J43</f>
        <v>#DIV/0!</v>
      </c>
      <c r="K131" s="146" t="e">
        <f t="shared" si="447"/>
        <v>#DIV/0!</v>
      </c>
      <c r="L131" s="146" t="e">
        <f t="shared" si="447"/>
        <v>#DIV/0!</v>
      </c>
      <c r="M131" s="146" t="e">
        <f t="shared" si="447"/>
        <v>#DIV/0!</v>
      </c>
      <c r="N131" s="146" t="e">
        <f t="shared" si="447"/>
        <v>#DIV/0!</v>
      </c>
      <c r="O131" s="146" t="e">
        <f t="shared" si="447"/>
        <v>#DIV/0!</v>
      </c>
      <c r="P131" s="146" t="e">
        <f t="shared" si="447"/>
        <v>#DIV/0!</v>
      </c>
      <c r="Q131" s="146" t="e">
        <f t="shared" si="447"/>
        <v>#DIV/0!</v>
      </c>
      <c r="R131" s="146" t="e">
        <f t="shared" si="447"/>
        <v>#DIV/0!</v>
      </c>
      <c r="S131" s="146" t="e">
        <f t="shared" si="447"/>
        <v>#DIV/0!</v>
      </c>
      <c r="T131" s="146" t="e">
        <f t="shared" si="447"/>
        <v>#DIV/0!</v>
      </c>
      <c r="U131" s="146" t="e">
        <f t="shared" ref="U131" si="448">U55/U43</f>
        <v>#DIV/0!</v>
      </c>
      <c r="V131" s="101" t="e">
        <f t="shared" si="197"/>
        <v>#DIV/0!</v>
      </c>
      <c r="W131" s="10"/>
      <c r="X131" s="146" t="e">
        <f t="shared" ref="X131:AG131" si="449">X55/X43</f>
        <v>#DIV/0!</v>
      </c>
      <c r="Y131" s="146" t="e">
        <f t="shared" si="449"/>
        <v>#DIV/0!</v>
      </c>
      <c r="Z131" s="146" t="e">
        <f t="shared" si="449"/>
        <v>#DIV/0!</v>
      </c>
      <c r="AA131" s="146" t="e">
        <f t="shared" si="449"/>
        <v>#DIV/0!</v>
      </c>
      <c r="AB131" s="146" t="e">
        <f t="shared" si="449"/>
        <v>#DIV/0!</v>
      </c>
      <c r="AC131" s="146" t="e">
        <f t="shared" si="449"/>
        <v>#DIV/0!</v>
      </c>
      <c r="AD131" s="146" t="e">
        <f t="shared" si="449"/>
        <v>#DIV/0!</v>
      </c>
      <c r="AE131" s="146" t="e">
        <f t="shared" si="449"/>
        <v>#DIV/0!</v>
      </c>
      <c r="AF131" s="146" t="e">
        <f t="shared" si="449"/>
        <v>#DIV/0!</v>
      </c>
      <c r="AG131" s="146" t="e">
        <f t="shared" si="449"/>
        <v>#DIV/0!</v>
      </c>
      <c r="AH131" s="115" t="e">
        <f t="shared" si="414"/>
        <v>#DIV/0!</v>
      </c>
      <c r="AI131" s="123"/>
      <c r="AJ131" s="123"/>
    </row>
    <row r="132" spans="1:36" ht="12" customHeight="1">
      <c r="A132" s="301"/>
      <c r="B132" s="177" t="s">
        <v>422</v>
      </c>
      <c r="C132" s="128"/>
      <c r="D132" s="128"/>
      <c r="E132" s="128"/>
      <c r="F132" s="146"/>
      <c r="G132" s="146" t="e">
        <f t="shared" ref="G132" si="450">G55/(G36+G38)</f>
        <v>#DIV/0!</v>
      </c>
      <c r="H132" s="146" t="e">
        <f t="shared" ref="H132:I132" si="451">H55/(H36+H38)</f>
        <v>#DIV/0!</v>
      </c>
      <c r="I132" s="146" t="e">
        <f t="shared" si="451"/>
        <v>#DIV/0!</v>
      </c>
      <c r="J132" s="146" t="e">
        <f t="shared" ref="J132:T132" si="452">J55/(J36+J38)</f>
        <v>#DIV/0!</v>
      </c>
      <c r="K132" s="146" t="e">
        <f t="shared" si="452"/>
        <v>#DIV/0!</v>
      </c>
      <c r="L132" s="146" t="e">
        <f t="shared" si="452"/>
        <v>#DIV/0!</v>
      </c>
      <c r="M132" s="146" t="e">
        <f t="shared" si="452"/>
        <v>#DIV/0!</v>
      </c>
      <c r="N132" s="146" t="e">
        <f t="shared" si="452"/>
        <v>#DIV/0!</v>
      </c>
      <c r="O132" s="146" t="e">
        <f t="shared" si="452"/>
        <v>#DIV/0!</v>
      </c>
      <c r="P132" s="146" t="e">
        <f t="shared" si="452"/>
        <v>#DIV/0!</v>
      </c>
      <c r="Q132" s="146" t="e">
        <f t="shared" si="452"/>
        <v>#DIV/0!</v>
      </c>
      <c r="R132" s="146" t="e">
        <f t="shared" si="452"/>
        <v>#DIV/0!</v>
      </c>
      <c r="S132" s="146" t="e">
        <f t="shared" si="452"/>
        <v>#DIV/0!</v>
      </c>
      <c r="T132" s="146" t="e">
        <f t="shared" si="452"/>
        <v>#DIV/0!</v>
      </c>
      <c r="U132" s="146">
        <f t="shared" ref="U132" si="453">U55/(U36+U38)</f>
        <v>471</v>
      </c>
      <c r="V132" s="101" t="e">
        <f t="shared" si="197"/>
        <v>#DIV/0!</v>
      </c>
      <c r="W132" s="10"/>
      <c r="X132" s="146">
        <f t="shared" ref="X132:AG132" si="454">X55/(X36+X38)</f>
        <v>471</v>
      </c>
      <c r="Y132" s="146">
        <f t="shared" si="454"/>
        <v>471</v>
      </c>
      <c r="Z132" s="146">
        <f t="shared" si="454"/>
        <v>471</v>
      </c>
      <c r="AA132" s="146">
        <f t="shared" si="454"/>
        <v>470.99999999999994</v>
      </c>
      <c r="AB132" s="146">
        <f t="shared" si="454"/>
        <v>471</v>
      </c>
      <c r="AC132" s="146">
        <f t="shared" si="454"/>
        <v>470.99999999999994</v>
      </c>
      <c r="AD132" s="146">
        <f t="shared" si="454"/>
        <v>470.99999999999989</v>
      </c>
      <c r="AE132" s="146">
        <f t="shared" si="454"/>
        <v>470.99999999999994</v>
      </c>
      <c r="AF132" s="146">
        <f t="shared" si="454"/>
        <v>470.99999999999989</v>
      </c>
      <c r="AG132" s="146">
        <f t="shared" si="454"/>
        <v>470.99999999999989</v>
      </c>
      <c r="AH132" s="115" t="e">
        <f t="shared" si="414"/>
        <v>#DIV/0!</v>
      </c>
      <c r="AI132" s="123"/>
      <c r="AJ132" s="123"/>
    </row>
    <row r="133" spans="1:36" ht="12" customHeight="1">
      <c r="B133" s="10"/>
      <c r="C133" s="128"/>
      <c r="D133" s="128"/>
      <c r="E133" s="128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21"/>
      <c r="V133" s="10"/>
      <c r="W133" s="10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79"/>
      <c r="AI133" s="123"/>
      <c r="AJ133" s="123"/>
    </row>
    <row r="134" spans="1:36">
      <c r="B134" s="10" t="s">
        <v>270</v>
      </c>
      <c r="C134" s="128"/>
      <c r="D134" s="128"/>
      <c r="E134" s="128"/>
      <c r="F134" s="138"/>
      <c r="G134" s="138">
        <f t="shared" ref="G134" si="455">G10-(G12+G13)</f>
        <v>-21</v>
      </c>
      <c r="H134" s="138">
        <f t="shared" ref="H134:I134" si="456">H10-(H12+H13)</f>
        <v>-18</v>
      </c>
      <c r="I134" s="138">
        <f t="shared" si="456"/>
        <v>-15</v>
      </c>
      <c r="J134" s="138">
        <f t="shared" ref="J134:T134" si="457">J10-(J12+J13)</f>
        <v>99</v>
      </c>
      <c r="K134" s="138">
        <f t="shared" si="457"/>
        <v>249</v>
      </c>
      <c r="L134" s="138">
        <f t="shared" si="457"/>
        <v>169</v>
      </c>
      <c r="M134" s="138">
        <f t="shared" si="457"/>
        <v>13</v>
      </c>
      <c r="N134" s="138">
        <f t="shared" si="457"/>
        <v>39</v>
      </c>
      <c r="O134" s="138">
        <f t="shared" si="457"/>
        <v>-161</v>
      </c>
      <c r="P134" s="138">
        <f t="shared" si="457"/>
        <v>-340</v>
      </c>
      <c r="Q134" s="138">
        <f t="shared" si="457"/>
        <v>-227</v>
      </c>
      <c r="R134" s="138">
        <f t="shared" si="457"/>
        <v>-164</v>
      </c>
      <c r="S134" s="138">
        <f t="shared" si="457"/>
        <v>-94</v>
      </c>
      <c r="T134" s="138">
        <f t="shared" si="457"/>
        <v>-244</v>
      </c>
      <c r="U134" s="138">
        <f t="shared" ref="U134" si="458">U10-(U12+U13)</f>
        <v>-88</v>
      </c>
      <c r="V134" s="101">
        <f t="shared" si="197"/>
        <v>0.10776434873043805</v>
      </c>
      <c r="W134" s="10"/>
      <c r="X134" s="138">
        <f t="shared" ref="X134:AG134" si="459">X10-(X12+X13)</f>
        <v>-96.800000000000011</v>
      </c>
      <c r="Y134" s="138">
        <f t="shared" si="459"/>
        <v>-106.48000000000002</v>
      </c>
      <c r="Z134" s="138">
        <f t="shared" si="459"/>
        <v>-117.12800000000004</v>
      </c>
      <c r="AA134" s="138">
        <f t="shared" si="459"/>
        <v>-128.84080000000006</v>
      </c>
      <c r="AB134" s="138">
        <f t="shared" si="459"/>
        <v>-141.7248800000001</v>
      </c>
      <c r="AC134" s="138">
        <f t="shared" si="459"/>
        <v>-155.89736800000006</v>
      </c>
      <c r="AD134" s="138">
        <f t="shared" si="459"/>
        <v>-171.48710480000011</v>
      </c>
      <c r="AE134" s="138">
        <f t="shared" si="459"/>
        <v>-188.63581528000012</v>
      </c>
      <c r="AF134" s="138">
        <f t="shared" si="459"/>
        <v>-207.4993968080002</v>
      </c>
      <c r="AG134" s="138">
        <f t="shared" si="459"/>
        <v>-228.24933648880025</v>
      </c>
      <c r="AH134" s="115" t="e">
        <f t="shared" si="330"/>
        <v>#NUM!</v>
      </c>
      <c r="AI134" s="123"/>
      <c r="AJ134" s="123"/>
    </row>
    <row r="135" spans="1:36" ht="12" customHeight="1">
      <c r="B135" s="10" t="s">
        <v>265</v>
      </c>
      <c r="C135" s="10"/>
      <c r="D135" s="10"/>
      <c r="E135" s="10"/>
      <c r="F135" s="128"/>
      <c r="G135" s="128">
        <f t="shared" ref="G135" si="460">G55/G18</f>
        <v>1.0101010101010102E-2</v>
      </c>
      <c r="H135" s="128">
        <f t="shared" ref="H135:I135" si="461">H55/H18</f>
        <v>9.4736842105263161E-2</v>
      </c>
      <c r="I135" s="128">
        <f t="shared" si="461"/>
        <v>0.23076923076923078</v>
      </c>
      <c r="J135" s="128">
        <f t="shared" ref="J135:T135" si="462">J55/J18</f>
        <v>0.29936305732484075</v>
      </c>
      <c r="K135" s="128">
        <f t="shared" si="462"/>
        <v>0.49735449735449733</v>
      </c>
      <c r="L135" s="128">
        <f t="shared" si="462"/>
        <v>0.28825622775800713</v>
      </c>
      <c r="M135" s="128">
        <f t="shared" si="462"/>
        <v>0.54575163398692805</v>
      </c>
      <c r="N135" s="128">
        <f t="shared" si="462"/>
        <v>0.46984126984126984</v>
      </c>
      <c r="O135" s="128">
        <f t="shared" si="462"/>
        <v>0.60563380281690138</v>
      </c>
      <c r="P135" s="128">
        <f t="shared" si="462"/>
        <v>0.8016759776536313</v>
      </c>
      <c r="Q135" s="128">
        <f t="shared" si="462"/>
        <v>0.58908507223113959</v>
      </c>
      <c r="R135" s="128">
        <f t="shared" si="462"/>
        <v>0.43432203389830509</v>
      </c>
      <c r="S135" s="128">
        <f t="shared" si="462"/>
        <v>0.37158054711246202</v>
      </c>
      <c r="T135" s="128">
        <f t="shared" si="462"/>
        <v>0.32037533512064342</v>
      </c>
      <c r="U135" s="128">
        <f t="shared" ref="U135" si="463">U55/U18</f>
        <v>0.276570757486788</v>
      </c>
      <c r="V135" s="101">
        <f t="shared" ref="V135:V167" si="464">((U135/G135)^(1/($K$2-$K$1) ))-1</f>
        <v>0.26670180544544664</v>
      </c>
      <c r="W135" s="10"/>
      <c r="X135" s="128">
        <f t="shared" ref="X135:AG135" si="465">X55/X18</f>
        <v>0.276570757486788</v>
      </c>
      <c r="Y135" s="128">
        <f t="shared" si="465"/>
        <v>0.276570757486788</v>
      </c>
      <c r="Z135" s="128">
        <f t="shared" si="465"/>
        <v>0.276570757486788</v>
      </c>
      <c r="AA135" s="128">
        <f t="shared" si="465"/>
        <v>0.276570757486788</v>
      </c>
      <c r="AB135" s="128">
        <f t="shared" si="465"/>
        <v>0.276570757486788</v>
      </c>
      <c r="AC135" s="128">
        <f t="shared" si="465"/>
        <v>0.276570757486788</v>
      </c>
      <c r="AD135" s="128">
        <f t="shared" si="465"/>
        <v>0.276570757486788</v>
      </c>
      <c r="AE135" s="128">
        <f t="shared" si="465"/>
        <v>0.276570757486788</v>
      </c>
      <c r="AF135" s="128">
        <f t="shared" si="465"/>
        <v>0.27657075748678794</v>
      </c>
      <c r="AG135" s="128">
        <f t="shared" si="465"/>
        <v>0.276570757486788</v>
      </c>
      <c r="AH135" s="115">
        <f t="shared" si="330"/>
        <v>-3.2941615966397553E-3</v>
      </c>
      <c r="AI135" s="10"/>
      <c r="AJ135" s="10"/>
    </row>
    <row r="136" spans="1:36">
      <c r="B136" s="10" t="s">
        <v>266</v>
      </c>
      <c r="C136" s="10"/>
      <c r="D136" s="10"/>
      <c r="E136" s="10"/>
      <c r="F136" s="128"/>
      <c r="G136" s="128">
        <f t="shared" ref="G136" si="466">G55/G25</f>
        <v>5.5555555555555558E-3</v>
      </c>
      <c r="H136" s="128">
        <f t="shared" ref="H136:I136" si="467">H55/H25</f>
        <v>3.6585365853658534E-2</v>
      </c>
      <c r="I136" s="128">
        <f t="shared" si="467"/>
        <v>5.9701492537313432E-2</v>
      </c>
      <c r="J136" s="128">
        <f t="shared" ref="J136:T136" si="468">J55/J25</f>
        <v>7.5806451612903225E-2</v>
      </c>
      <c r="K136" s="128">
        <f t="shared" si="468"/>
        <v>8.0895008605851984E-2</v>
      </c>
      <c r="L136" s="128">
        <f t="shared" si="468"/>
        <v>6.2645011600928072E-2</v>
      </c>
      <c r="M136" s="128">
        <f t="shared" si="468"/>
        <v>0.10965200262639527</v>
      </c>
      <c r="N136" s="128">
        <f t="shared" si="468"/>
        <v>8.2497212931995537E-2</v>
      </c>
      <c r="O136" s="128">
        <f t="shared" si="468"/>
        <v>9.0986034701650439E-2</v>
      </c>
      <c r="P136" s="128">
        <f t="shared" si="468"/>
        <v>9.4719471947194725E-2</v>
      </c>
      <c r="Q136" s="128">
        <f t="shared" si="468"/>
        <v>0.10464784716281722</v>
      </c>
      <c r="R136" s="128">
        <f t="shared" si="468"/>
        <v>9.5482068001863069E-2</v>
      </c>
      <c r="S136" s="128">
        <f t="shared" si="468"/>
        <v>0.10105393676379418</v>
      </c>
      <c r="T136" s="128">
        <f t="shared" si="468"/>
        <v>8.6328336644392267E-2</v>
      </c>
      <c r="U136" s="128">
        <f t="shared" ref="U136" si="469">U55/U25</f>
        <v>7.6548025353486107E-2</v>
      </c>
      <c r="V136" s="101">
        <f t="shared" si="464"/>
        <v>0.2060682720328666</v>
      </c>
      <c r="W136" s="10"/>
      <c r="X136" s="128">
        <f t="shared" ref="X136:AG136" si="470">X55/X25</f>
        <v>7.6548025353486107E-2</v>
      </c>
      <c r="Y136" s="128">
        <f t="shared" si="470"/>
        <v>7.6548025353486107E-2</v>
      </c>
      <c r="Z136" s="128">
        <f t="shared" si="470"/>
        <v>7.6548025353486107E-2</v>
      </c>
      <c r="AA136" s="128">
        <f t="shared" si="470"/>
        <v>7.6548025353486093E-2</v>
      </c>
      <c r="AB136" s="128">
        <f t="shared" si="470"/>
        <v>7.6548025353486107E-2</v>
      </c>
      <c r="AC136" s="128">
        <f t="shared" si="470"/>
        <v>7.6548025353486107E-2</v>
      </c>
      <c r="AD136" s="128">
        <f t="shared" si="470"/>
        <v>7.6548025353486107E-2</v>
      </c>
      <c r="AE136" s="128">
        <f t="shared" si="470"/>
        <v>7.6548025353486107E-2</v>
      </c>
      <c r="AF136" s="128">
        <f t="shared" si="470"/>
        <v>7.6548025353486093E-2</v>
      </c>
      <c r="AG136" s="128">
        <f t="shared" si="470"/>
        <v>7.6548025353486107E-2</v>
      </c>
      <c r="AH136" s="115">
        <f t="shared" si="330"/>
        <v>4.0570409252826956E-4</v>
      </c>
      <c r="AI136" s="10"/>
      <c r="AJ136" s="10"/>
    </row>
    <row r="137" spans="1:36">
      <c r="B137" s="10" t="s">
        <v>290</v>
      </c>
      <c r="C137" s="10"/>
      <c r="D137" s="10"/>
      <c r="E137" s="128"/>
      <c r="F137" s="128"/>
      <c r="G137" s="128">
        <f t="shared" ref="G137" si="471">G25/G18</f>
        <v>1.8181818181818181</v>
      </c>
      <c r="H137" s="128">
        <f t="shared" ref="H137:I137" si="472">H25/H18</f>
        <v>2.5894736842105264</v>
      </c>
      <c r="I137" s="128">
        <f t="shared" si="472"/>
        <v>3.8653846153846154</v>
      </c>
      <c r="J137" s="128">
        <f t="shared" ref="J137:T137" si="473">J25/J18</f>
        <v>3.9490445859872612</v>
      </c>
      <c r="K137" s="128">
        <f t="shared" si="473"/>
        <v>6.1481481481481479</v>
      </c>
      <c r="L137" s="128">
        <f t="shared" si="473"/>
        <v>4.6014234875444844</v>
      </c>
      <c r="M137" s="128">
        <f t="shared" si="473"/>
        <v>4.977124183006536</v>
      </c>
      <c r="N137" s="128">
        <f t="shared" si="473"/>
        <v>5.6952380952380954</v>
      </c>
      <c r="O137" s="128">
        <f t="shared" si="473"/>
        <v>6.6563380281690137</v>
      </c>
      <c r="P137" s="128">
        <f t="shared" si="473"/>
        <v>8.4636871508379894</v>
      </c>
      <c r="Q137" s="128">
        <f t="shared" si="473"/>
        <v>5.6292134831460672</v>
      </c>
      <c r="R137" s="128">
        <f t="shared" si="473"/>
        <v>4.5487288135593218</v>
      </c>
      <c r="S137" s="128">
        <f t="shared" si="473"/>
        <v>3.677051671732523</v>
      </c>
      <c r="T137" s="128">
        <f t="shared" si="473"/>
        <v>3.7111260053619302</v>
      </c>
      <c r="U137" s="128">
        <f t="shared" ref="U137" si="474">U25/U18</f>
        <v>3.6130358191426892</v>
      </c>
      <c r="V137" s="101">
        <f t="shared" si="464"/>
        <v>5.0273715691384835E-2</v>
      </c>
      <c r="W137" s="10"/>
      <c r="X137" s="128">
        <f t="shared" ref="X137:AG137" si="475">X25/X18</f>
        <v>3.6130358191426892</v>
      </c>
      <c r="Y137" s="128">
        <f t="shared" si="475"/>
        <v>3.6130358191426888</v>
      </c>
      <c r="Z137" s="128">
        <f t="shared" si="475"/>
        <v>3.6130358191426892</v>
      </c>
      <c r="AA137" s="128">
        <f t="shared" si="475"/>
        <v>3.6130358191426892</v>
      </c>
      <c r="AB137" s="128">
        <f t="shared" si="475"/>
        <v>3.6130358191426888</v>
      </c>
      <c r="AC137" s="128">
        <f t="shared" si="475"/>
        <v>3.6130358191426888</v>
      </c>
      <c r="AD137" s="128">
        <f t="shared" si="475"/>
        <v>3.6130358191426888</v>
      </c>
      <c r="AE137" s="128">
        <f t="shared" si="475"/>
        <v>3.6130358191426888</v>
      </c>
      <c r="AF137" s="128">
        <f t="shared" si="475"/>
        <v>3.6130358191426888</v>
      </c>
      <c r="AG137" s="128">
        <f t="shared" si="475"/>
        <v>3.6130358191426892</v>
      </c>
      <c r="AH137" s="115">
        <f t="shared" si="330"/>
        <v>-3.6983652472515338E-3</v>
      </c>
      <c r="AI137" s="10"/>
      <c r="AJ137" s="10"/>
    </row>
    <row r="138" spans="1:36">
      <c r="B138" s="10"/>
      <c r="C138" s="10"/>
      <c r="D138" s="10"/>
      <c r="E138" s="10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1"/>
      <c r="V138" s="10"/>
      <c r="W138" s="10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09"/>
      <c r="AI138" s="10"/>
      <c r="AJ138" s="10"/>
    </row>
    <row r="139" spans="1:36">
      <c r="B139" s="10" t="s">
        <v>278</v>
      </c>
      <c r="C139" s="10"/>
      <c r="D139" s="10"/>
      <c r="E139" s="140"/>
      <c r="F139" s="140"/>
      <c r="G139" s="140">
        <f t="shared" ref="G139" si="476">G88*G57</f>
        <v>1.6949999999999998</v>
      </c>
      <c r="H139" s="140">
        <f t="shared" ref="H139:I139" si="477">H88*H57</f>
        <v>2.2599999999999998</v>
      </c>
      <c r="I139" s="140">
        <f t="shared" si="477"/>
        <v>2.8249999999999997</v>
      </c>
      <c r="J139" s="140">
        <f t="shared" ref="J139:T139" si="478">J88*J57</f>
        <v>3.9549999999999996</v>
      </c>
      <c r="K139" s="140">
        <f t="shared" si="478"/>
        <v>3.9830000000000001</v>
      </c>
      <c r="L139" s="140">
        <f t="shared" si="478"/>
        <v>6.8319999999999999</v>
      </c>
      <c r="M139" s="140">
        <f t="shared" si="478"/>
        <v>24.765999999999998</v>
      </c>
      <c r="N139" s="140">
        <f t="shared" si="478"/>
        <v>39.283999999999992</v>
      </c>
      <c r="O139" s="140">
        <f t="shared" si="478"/>
        <v>32.281199999999998</v>
      </c>
      <c r="P139" s="140">
        <f t="shared" si="478"/>
        <v>43.041599999999995</v>
      </c>
      <c r="Q139" s="140">
        <f t="shared" si="478"/>
        <v>55.168399999999991</v>
      </c>
      <c r="R139" s="140">
        <f t="shared" si="478"/>
        <v>61.658799999999992</v>
      </c>
      <c r="S139" s="140">
        <f t="shared" si="478"/>
        <v>72.589999999999989</v>
      </c>
      <c r="T139" s="140">
        <f t="shared" si="478"/>
        <v>72.589999999999989</v>
      </c>
      <c r="U139" s="140">
        <f t="shared" ref="U139" si="479">U88*U57</f>
        <v>70.882000000000005</v>
      </c>
      <c r="V139" s="101">
        <f t="shared" si="464"/>
        <v>0.3056052138850982</v>
      </c>
      <c r="W139" s="10"/>
      <c r="X139" s="140">
        <f t="shared" ref="X139:AG139" si="480">X88*X57</f>
        <v>73.745632799999996</v>
      </c>
      <c r="Y139" s="140">
        <f t="shared" si="480"/>
        <v>76.724956365120008</v>
      </c>
      <c r="Z139" s="140">
        <f t="shared" si="480"/>
        <v>79.824644602270851</v>
      </c>
      <c r="AA139" s="140">
        <f t="shared" si="480"/>
        <v>83.049560244202596</v>
      </c>
      <c r="AB139" s="140">
        <f t="shared" si="480"/>
        <v>86.404762478068378</v>
      </c>
      <c r="AC139" s="140">
        <f t="shared" si="480"/>
        <v>89.895514882182354</v>
      </c>
      <c r="AD139" s="140">
        <f t="shared" si="480"/>
        <v>93.527293683422528</v>
      </c>
      <c r="AE139" s="140">
        <f t="shared" si="480"/>
        <v>97.305796348232803</v>
      </c>
      <c r="AF139" s="140">
        <f t="shared" si="480"/>
        <v>101.2369505207014</v>
      </c>
      <c r="AG139" s="140">
        <f t="shared" si="480"/>
        <v>105.32692332173774</v>
      </c>
      <c r="AH139" s="115">
        <f t="shared" si="330"/>
        <v>0.14654570363632047</v>
      </c>
      <c r="AI139" s="10"/>
      <c r="AJ139" s="10"/>
    </row>
    <row r="140" spans="1:36">
      <c r="B140" s="10" t="s">
        <v>279</v>
      </c>
      <c r="C140" s="10"/>
      <c r="D140" s="10"/>
      <c r="E140" s="140"/>
      <c r="F140" s="140"/>
      <c r="G140" s="140">
        <f t="shared" ref="G140" si="481">(G139*0.17)+G139</f>
        <v>1.9831499999999997</v>
      </c>
      <c r="H140" s="140">
        <f t="shared" ref="H140:I140" si="482">(H139*0.17)+H139</f>
        <v>2.6441999999999997</v>
      </c>
      <c r="I140" s="140">
        <f t="shared" si="482"/>
        <v>3.3052499999999996</v>
      </c>
      <c r="J140" s="140">
        <f t="shared" ref="J140:S140" si="483">(J139*0.17)+J139</f>
        <v>4.6273499999999999</v>
      </c>
      <c r="K140" s="140">
        <f t="shared" si="483"/>
        <v>4.6601100000000004</v>
      </c>
      <c r="L140" s="140">
        <f t="shared" si="483"/>
        <v>7.9934399999999997</v>
      </c>
      <c r="M140" s="140">
        <f t="shared" si="483"/>
        <v>28.976219999999998</v>
      </c>
      <c r="N140" s="140">
        <f t="shared" si="483"/>
        <v>45.962279999999993</v>
      </c>
      <c r="O140" s="140">
        <f t="shared" si="483"/>
        <v>37.769003999999995</v>
      </c>
      <c r="P140" s="140">
        <f t="shared" si="483"/>
        <v>50.358671999999999</v>
      </c>
      <c r="Q140" s="140">
        <f t="shared" si="483"/>
        <v>64.547027999999983</v>
      </c>
      <c r="R140" s="140">
        <f t="shared" si="483"/>
        <v>72.140795999999995</v>
      </c>
      <c r="S140" s="140">
        <f t="shared" si="483"/>
        <v>84.930299999999988</v>
      </c>
      <c r="T140" s="140">
        <f t="shared" ref="T140:U140" si="484">(T139*0.17)+T139</f>
        <v>84.930299999999988</v>
      </c>
      <c r="U140" s="140">
        <f t="shared" si="484"/>
        <v>82.931940000000012</v>
      </c>
      <c r="V140" s="101">
        <f t="shared" si="464"/>
        <v>0.3056052138850982</v>
      </c>
      <c r="W140" s="10"/>
      <c r="X140" s="140">
        <f t="shared" ref="X140:AG140" si="485">(X139*0.17)+X139</f>
        <v>86.282390375999995</v>
      </c>
      <c r="Y140" s="140">
        <f t="shared" si="485"/>
        <v>89.768198947190413</v>
      </c>
      <c r="Z140" s="140">
        <f t="shared" si="485"/>
        <v>93.394834184656901</v>
      </c>
      <c r="AA140" s="140">
        <f t="shared" si="485"/>
        <v>97.16798548571704</v>
      </c>
      <c r="AB140" s="140">
        <f t="shared" si="485"/>
        <v>101.09357209934001</v>
      </c>
      <c r="AC140" s="140">
        <f t="shared" si="485"/>
        <v>105.17775241215335</v>
      </c>
      <c r="AD140" s="140">
        <f t="shared" si="485"/>
        <v>109.42693360960436</v>
      </c>
      <c r="AE140" s="140">
        <f t="shared" si="485"/>
        <v>113.84778172743238</v>
      </c>
      <c r="AF140" s="140">
        <f t="shared" si="485"/>
        <v>118.44723210922064</v>
      </c>
      <c r="AG140" s="140">
        <f t="shared" si="485"/>
        <v>123.23250028643315</v>
      </c>
      <c r="AH140" s="115">
        <f t="shared" si="330"/>
        <v>0.14654570363632047</v>
      </c>
      <c r="AI140" s="10"/>
      <c r="AJ140" s="10"/>
    </row>
    <row r="141" spans="1:36">
      <c r="B141" s="10" t="s">
        <v>280</v>
      </c>
      <c r="C141" s="10"/>
      <c r="D141" s="10"/>
      <c r="E141" s="10"/>
      <c r="F141" s="128"/>
      <c r="G141" s="128">
        <f t="shared" ref="G141" si="486">G140/G55</f>
        <v>1.9831499999999997</v>
      </c>
      <c r="H141" s="128">
        <f t="shared" ref="H141:I141" si="487">H140/H55</f>
        <v>0.29379999999999995</v>
      </c>
      <c r="I141" s="128">
        <f t="shared" si="487"/>
        <v>0.13771874999999997</v>
      </c>
      <c r="J141" s="128">
        <f t="shared" ref="J141:T141" si="488">J140/J55</f>
        <v>9.8454255319148934E-2</v>
      </c>
      <c r="K141" s="128">
        <f t="shared" si="488"/>
        <v>4.9575638297872343E-2</v>
      </c>
      <c r="L141" s="128">
        <f t="shared" si="488"/>
        <v>9.8684444444444436E-2</v>
      </c>
      <c r="M141" s="128">
        <f t="shared" si="488"/>
        <v>0.17351029940119758</v>
      </c>
      <c r="N141" s="128">
        <f t="shared" si="488"/>
        <v>0.31055594594594588</v>
      </c>
      <c r="O141" s="128">
        <f t="shared" si="488"/>
        <v>0.17566978604651159</v>
      </c>
      <c r="P141" s="128">
        <f t="shared" si="488"/>
        <v>0.17546575609756096</v>
      </c>
      <c r="Q141" s="128">
        <f t="shared" si="488"/>
        <v>0.17587746049046318</v>
      </c>
      <c r="R141" s="128">
        <f t="shared" si="488"/>
        <v>0.17595316097560973</v>
      </c>
      <c r="S141" s="128">
        <f t="shared" si="488"/>
        <v>0.17368159509202452</v>
      </c>
      <c r="T141" s="128">
        <f t="shared" si="488"/>
        <v>0.17767845188284517</v>
      </c>
      <c r="U141" s="128">
        <f t="shared" ref="U141" si="489">U140/U55</f>
        <v>0.17607630573248409</v>
      </c>
      <c r="V141" s="101">
        <f t="shared" si="464"/>
        <v>-0.15883380475104725</v>
      </c>
      <c r="W141" s="10"/>
      <c r="X141" s="128">
        <f t="shared" ref="X141:AG141" si="490">X140/X55</f>
        <v>0.16653617134916038</v>
      </c>
      <c r="Y141" s="128">
        <f t="shared" si="490"/>
        <v>0.15751293879242406</v>
      </c>
      <c r="Z141" s="128">
        <f t="shared" si="490"/>
        <v>0.14897860138148905</v>
      </c>
      <c r="AA141" s="128">
        <f t="shared" si="490"/>
        <v>0.14090666988845565</v>
      </c>
      <c r="AB141" s="128">
        <f t="shared" si="490"/>
        <v>0.13327209031995385</v>
      </c>
      <c r="AC141" s="128">
        <f t="shared" si="490"/>
        <v>0.12605116615352727</v>
      </c>
      <c r="AD141" s="128">
        <f t="shared" si="490"/>
        <v>0.11922148478739071</v>
      </c>
      <c r="AE141" s="128">
        <f t="shared" si="490"/>
        <v>0.1127618479752739</v>
      </c>
      <c r="AF141" s="128">
        <f t="shared" si="490"/>
        <v>0.10665220603043178</v>
      </c>
      <c r="AG141" s="128">
        <f t="shared" si="490"/>
        <v>0.1008735955946011</v>
      </c>
      <c r="AH141" s="115">
        <f t="shared" si="330"/>
        <v>1.0120191193385697E-3</v>
      </c>
      <c r="AI141" s="10"/>
      <c r="AJ141" s="10"/>
    </row>
    <row r="142" spans="1:36">
      <c r="B142" s="10" t="s">
        <v>273</v>
      </c>
      <c r="C142" s="10"/>
      <c r="D142" s="10"/>
      <c r="E142" s="10"/>
      <c r="F142" s="128"/>
      <c r="G142" s="128">
        <f t="shared" ref="G142" si="491">1-G141</f>
        <v>-0.98314999999999975</v>
      </c>
      <c r="H142" s="128">
        <f t="shared" ref="H142:I142" si="492">1-H141</f>
        <v>0.70620000000000005</v>
      </c>
      <c r="I142" s="128">
        <f t="shared" si="492"/>
        <v>0.86228125</v>
      </c>
      <c r="J142" s="128">
        <f>1-J141</f>
        <v>0.90154574468085102</v>
      </c>
      <c r="K142" s="128">
        <f t="shared" ref="K142:S142" si="493">1-K141</f>
        <v>0.95042436170212763</v>
      </c>
      <c r="L142" s="128">
        <f t="shared" si="493"/>
        <v>0.90131555555555554</v>
      </c>
      <c r="M142" s="128">
        <f t="shared" si="493"/>
        <v>0.82648970059880245</v>
      </c>
      <c r="N142" s="128">
        <f t="shared" si="493"/>
        <v>0.68944405405405407</v>
      </c>
      <c r="O142" s="128">
        <f t="shared" si="493"/>
        <v>0.82433021395348838</v>
      </c>
      <c r="P142" s="128">
        <f t="shared" si="493"/>
        <v>0.82453424390243901</v>
      </c>
      <c r="Q142" s="128">
        <f t="shared" si="493"/>
        <v>0.82412253950953684</v>
      </c>
      <c r="R142" s="128">
        <f t="shared" si="493"/>
        <v>0.82404683902439024</v>
      </c>
      <c r="S142" s="128">
        <f t="shared" si="493"/>
        <v>0.82631840490797548</v>
      </c>
      <c r="T142" s="128">
        <f t="shared" ref="T142:U142" si="494">1-T141</f>
        <v>0.82232154811715485</v>
      </c>
      <c r="U142" s="128">
        <f t="shared" si="494"/>
        <v>0.82392369426751588</v>
      </c>
      <c r="V142" s="101" t="e">
        <f t="shared" si="464"/>
        <v>#NUM!</v>
      </c>
      <c r="W142" s="10"/>
      <c r="X142" s="128">
        <f t="shared" ref="X142:AG142" si="495">1-X141</f>
        <v>0.83346382865083957</v>
      </c>
      <c r="Y142" s="128">
        <f t="shared" si="495"/>
        <v>0.84248706120757588</v>
      </c>
      <c r="Z142" s="128">
        <f t="shared" si="495"/>
        <v>0.85102139861851089</v>
      </c>
      <c r="AA142" s="128">
        <f t="shared" si="495"/>
        <v>0.85909333011154432</v>
      </c>
      <c r="AB142" s="128">
        <f t="shared" si="495"/>
        <v>0.8667279096800462</v>
      </c>
      <c r="AC142" s="128">
        <f t="shared" si="495"/>
        <v>0.87394883384647271</v>
      </c>
      <c r="AD142" s="128">
        <f t="shared" si="495"/>
        <v>0.8807785152126093</v>
      </c>
      <c r="AE142" s="128">
        <f t="shared" si="495"/>
        <v>0.88723815202472611</v>
      </c>
      <c r="AF142" s="128">
        <f t="shared" si="495"/>
        <v>0.8933477939695682</v>
      </c>
      <c r="AG142" s="128">
        <f t="shared" si="495"/>
        <v>0.89912640440539893</v>
      </c>
      <c r="AH142" s="115">
        <f t="shared" si="330"/>
        <v>-1.1195848436529321E-4</v>
      </c>
      <c r="AI142" s="10"/>
      <c r="AJ142" s="10"/>
    </row>
    <row r="143" spans="1:36">
      <c r="B143" s="10" t="s">
        <v>392</v>
      </c>
      <c r="C143" s="10"/>
      <c r="D143" s="10"/>
      <c r="E143" s="10"/>
      <c r="F143" s="128"/>
      <c r="G143" s="128">
        <f t="shared" ref="G143" si="496">G140/G20</f>
        <v>0.33052499999999996</v>
      </c>
      <c r="H143" s="128">
        <f t="shared" ref="H143:I143" si="497">H140/H20</f>
        <v>0.3777428571428571</v>
      </c>
      <c r="I143" s="128">
        <f t="shared" si="497"/>
        <v>0.12712499999999999</v>
      </c>
      <c r="J143" s="128">
        <f t="shared" ref="J143:T143" si="498">J140/J20</f>
        <v>-0.12177236842105263</v>
      </c>
      <c r="K143" s="128">
        <f t="shared" si="498"/>
        <v>-0.155337</v>
      </c>
      <c r="L143" s="128">
        <f t="shared" si="498"/>
        <v>3.584502242152466E-2</v>
      </c>
      <c r="M143" s="128">
        <f t="shared" si="498"/>
        <v>0.13540289719626167</v>
      </c>
      <c r="N143" s="128">
        <f t="shared" si="498"/>
        <v>0.54073270588235289</v>
      </c>
      <c r="O143" s="128">
        <f t="shared" si="498"/>
        <v>0.12759798648648646</v>
      </c>
      <c r="P143" s="128">
        <f t="shared" si="498"/>
        <v>0.15032439402985073</v>
      </c>
      <c r="Q143" s="128">
        <f t="shared" si="498"/>
        <v>0.23135135483870961</v>
      </c>
      <c r="R143" s="128">
        <f t="shared" si="498"/>
        <v>0.18592988659793813</v>
      </c>
      <c r="S143" s="128">
        <f t="shared" si="498"/>
        <v>0.15330379061371838</v>
      </c>
      <c r="T143" s="128">
        <f t="shared" si="498"/>
        <v>0.15385923913043476</v>
      </c>
      <c r="U143" s="128">
        <f t="shared" ref="U143" si="499">U140/U20</f>
        <v>0.15023902173913045</v>
      </c>
      <c r="V143" s="101">
        <f t="shared" si="464"/>
        <v>-5.4761686480429117E-2</v>
      </c>
      <c r="W143" s="10"/>
      <c r="X143" s="128">
        <f t="shared" ref="X143:AG143" si="500">X140/X20</f>
        <v>0.14209879837944661</v>
      </c>
      <c r="Y143" s="128">
        <f t="shared" si="500"/>
        <v>0.13439962712179662</v>
      </c>
      <c r="Z143" s="128">
        <f t="shared" si="500"/>
        <v>0.12711761096137927</v>
      </c>
      <c r="AA143" s="128">
        <f t="shared" si="500"/>
        <v>0.12023014767656272</v>
      </c>
      <c r="AB143" s="128">
        <f t="shared" si="500"/>
        <v>0.11371585967517804</v>
      </c>
      <c r="AC143" s="128">
        <f t="shared" si="500"/>
        <v>0.10755452764186839</v>
      </c>
      <c r="AD143" s="128">
        <f t="shared" si="500"/>
        <v>0.10172702778054535</v>
      </c>
      <c r="AE143" s="128">
        <f t="shared" si="500"/>
        <v>9.6215272457163062E-2</v>
      </c>
      <c r="AF143" s="128">
        <f t="shared" si="500"/>
        <v>9.1002154058574938E-2</v>
      </c>
      <c r="AG143" s="128">
        <f t="shared" si="500"/>
        <v>8.6071491893219429E-2</v>
      </c>
      <c r="AH143" s="115" t="s">
        <v>393</v>
      </c>
      <c r="AI143" s="10"/>
      <c r="AJ143" s="10"/>
    </row>
    <row r="144" spans="1:36">
      <c r="B144" s="10"/>
      <c r="C144" s="10"/>
      <c r="D144" s="10"/>
      <c r="E144" s="10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1"/>
      <c r="V144" s="10"/>
      <c r="W144" s="10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09"/>
      <c r="AI144" s="10"/>
      <c r="AJ144" s="10"/>
    </row>
    <row r="145" spans="2:36">
      <c r="B145" s="10" t="s">
        <v>277</v>
      </c>
      <c r="C145" s="128"/>
      <c r="D145" s="128"/>
      <c r="E145" s="128"/>
      <c r="F145" s="128"/>
      <c r="G145" s="128">
        <f t="shared" ref="G145" si="501">G31/G25</f>
        <v>0</v>
      </c>
      <c r="H145" s="128">
        <f t="shared" ref="H145:I145" si="502">H31/H25</f>
        <v>0</v>
      </c>
      <c r="I145" s="128">
        <f t="shared" si="502"/>
        <v>0</v>
      </c>
      <c r="J145" s="128">
        <f t="shared" ref="J145:T145" si="503">J31/J25</f>
        <v>0</v>
      </c>
      <c r="K145" s="128">
        <f t="shared" si="503"/>
        <v>0</v>
      </c>
      <c r="L145" s="128">
        <f t="shared" si="503"/>
        <v>0</v>
      </c>
      <c r="M145" s="128">
        <f t="shared" si="503"/>
        <v>0</v>
      </c>
      <c r="N145" s="128">
        <f t="shared" si="503"/>
        <v>0</v>
      </c>
      <c r="O145" s="128">
        <f t="shared" si="503"/>
        <v>0</v>
      </c>
      <c r="P145" s="128">
        <f t="shared" si="503"/>
        <v>0</v>
      </c>
      <c r="Q145" s="128">
        <f t="shared" si="503"/>
        <v>0</v>
      </c>
      <c r="R145" s="128">
        <f t="shared" si="503"/>
        <v>0</v>
      </c>
      <c r="S145" s="128">
        <f t="shared" si="503"/>
        <v>0</v>
      </c>
      <c r="T145" s="128">
        <f t="shared" si="503"/>
        <v>0</v>
      </c>
      <c r="U145" s="128">
        <f t="shared" ref="U145" si="504">U31/U25</f>
        <v>0</v>
      </c>
      <c r="V145" s="101" t="e">
        <f t="shared" si="464"/>
        <v>#DIV/0!</v>
      </c>
      <c r="W145" s="10"/>
      <c r="X145" s="128">
        <f t="shared" ref="X145:AG145" si="505">X31/X25</f>
        <v>0</v>
      </c>
      <c r="Y145" s="128">
        <f t="shared" si="505"/>
        <v>0</v>
      </c>
      <c r="Z145" s="128">
        <f t="shared" si="505"/>
        <v>0</v>
      </c>
      <c r="AA145" s="128">
        <f t="shared" si="505"/>
        <v>0</v>
      </c>
      <c r="AB145" s="128">
        <f t="shared" si="505"/>
        <v>0</v>
      </c>
      <c r="AC145" s="128">
        <f t="shared" si="505"/>
        <v>0</v>
      </c>
      <c r="AD145" s="128">
        <f t="shared" si="505"/>
        <v>0</v>
      </c>
      <c r="AE145" s="128">
        <f t="shared" si="505"/>
        <v>0</v>
      </c>
      <c r="AF145" s="128">
        <f t="shared" si="505"/>
        <v>0</v>
      </c>
      <c r="AG145" s="128">
        <f t="shared" si="505"/>
        <v>0</v>
      </c>
      <c r="AH145" s="115" t="e">
        <f t="shared" si="330"/>
        <v>#DIV/0!</v>
      </c>
      <c r="AI145" s="10"/>
      <c r="AJ145" s="10"/>
    </row>
    <row r="146" spans="2:36">
      <c r="B146" s="10" t="s">
        <v>274</v>
      </c>
      <c r="C146" s="128"/>
      <c r="D146" s="128"/>
      <c r="E146" s="128"/>
      <c r="F146" s="128"/>
      <c r="G146" s="128">
        <f t="shared" ref="G146" si="506">G32/G25</f>
        <v>0</v>
      </c>
      <c r="H146" s="128">
        <f t="shared" ref="H146:I146" si="507">H32/H25</f>
        <v>0</v>
      </c>
      <c r="I146" s="128">
        <f t="shared" si="507"/>
        <v>0</v>
      </c>
      <c r="J146" s="128">
        <f t="shared" ref="J146:T146" si="508">J32/J25</f>
        <v>0</v>
      </c>
      <c r="K146" s="128">
        <f t="shared" si="508"/>
        <v>0</v>
      </c>
      <c r="L146" s="128">
        <f t="shared" si="508"/>
        <v>0</v>
      </c>
      <c r="M146" s="128">
        <f t="shared" si="508"/>
        <v>0</v>
      </c>
      <c r="N146" s="128">
        <f t="shared" si="508"/>
        <v>0</v>
      </c>
      <c r="O146" s="128">
        <f t="shared" si="508"/>
        <v>0</v>
      </c>
      <c r="P146" s="128">
        <f t="shared" si="508"/>
        <v>0</v>
      </c>
      <c r="Q146" s="128">
        <f t="shared" si="508"/>
        <v>0</v>
      </c>
      <c r="R146" s="128">
        <f t="shared" si="508"/>
        <v>0</v>
      </c>
      <c r="S146" s="128">
        <f t="shared" si="508"/>
        <v>0</v>
      </c>
      <c r="T146" s="128">
        <f t="shared" si="508"/>
        <v>0</v>
      </c>
      <c r="U146" s="128">
        <f t="shared" ref="U146" si="509">U32/U25</f>
        <v>0</v>
      </c>
      <c r="V146" s="101" t="e">
        <f t="shared" si="464"/>
        <v>#DIV/0!</v>
      </c>
      <c r="W146" s="10"/>
      <c r="X146" s="128">
        <f t="shared" ref="X146:AG146" si="510">X32/X25</f>
        <v>0</v>
      </c>
      <c r="Y146" s="128">
        <f t="shared" si="510"/>
        <v>0</v>
      </c>
      <c r="Z146" s="128">
        <f t="shared" si="510"/>
        <v>0</v>
      </c>
      <c r="AA146" s="128">
        <f t="shared" si="510"/>
        <v>0</v>
      </c>
      <c r="AB146" s="128">
        <f t="shared" si="510"/>
        <v>0</v>
      </c>
      <c r="AC146" s="128">
        <f t="shared" si="510"/>
        <v>0</v>
      </c>
      <c r="AD146" s="128">
        <f t="shared" si="510"/>
        <v>0</v>
      </c>
      <c r="AE146" s="128">
        <f t="shared" si="510"/>
        <v>0</v>
      </c>
      <c r="AF146" s="128">
        <f t="shared" si="510"/>
        <v>0</v>
      </c>
      <c r="AG146" s="128">
        <f t="shared" si="510"/>
        <v>0</v>
      </c>
      <c r="AH146" s="115" t="e">
        <f t="shared" si="330"/>
        <v>#DIV/0!</v>
      </c>
      <c r="AI146" s="10"/>
      <c r="AJ146" s="10"/>
    </row>
    <row r="147" spans="2:36">
      <c r="B147" s="10" t="s">
        <v>400</v>
      </c>
      <c r="C147" s="128"/>
      <c r="D147" s="128"/>
      <c r="E147" s="128"/>
      <c r="F147" s="128"/>
      <c r="G147" s="128">
        <f t="shared" ref="G147" si="511">(G31+G32)/G25</f>
        <v>0</v>
      </c>
      <c r="H147" s="128">
        <f t="shared" ref="H147:I147" si="512">(H31+H32)/H25</f>
        <v>0</v>
      </c>
      <c r="I147" s="128">
        <f t="shared" si="512"/>
        <v>0</v>
      </c>
      <c r="J147" s="128">
        <f t="shared" ref="J147:T147" si="513">(J31+J32)/J25</f>
        <v>0</v>
      </c>
      <c r="K147" s="128">
        <f t="shared" si="513"/>
        <v>0</v>
      </c>
      <c r="L147" s="128">
        <f t="shared" si="513"/>
        <v>0</v>
      </c>
      <c r="M147" s="128">
        <f t="shared" si="513"/>
        <v>0</v>
      </c>
      <c r="N147" s="128">
        <f t="shared" si="513"/>
        <v>0</v>
      </c>
      <c r="O147" s="128">
        <f t="shared" si="513"/>
        <v>0</v>
      </c>
      <c r="P147" s="128">
        <f t="shared" si="513"/>
        <v>0</v>
      </c>
      <c r="Q147" s="128">
        <f t="shared" si="513"/>
        <v>0</v>
      </c>
      <c r="R147" s="128">
        <f t="shared" si="513"/>
        <v>0</v>
      </c>
      <c r="S147" s="128">
        <f t="shared" si="513"/>
        <v>0</v>
      </c>
      <c r="T147" s="128">
        <f t="shared" si="513"/>
        <v>0</v>
      </c>
      <c r="U147" s="128">
        <f t="shared" ref="U147" si="514">(U31+U32)/U25</f>
        <v>0</v>
      </c>
      <c r="V147" s="101" t="e">
        <f t="shared" si="464"/>
        <v>#DIV/0!</v>
      </c>
      <c r="W147" s="10"/>
      <c r="X147" s="128">
        <f t="shared" ref="X147:AG147" si="515">(X31+X32)/X25</f>
        <v>0</v>
      </c>
      <c r="Y147" s="128">
        <f t="shared" si="515"/>
        <v>0</v>
      </c>
      <c r="Z147" s="128">
        <f t="shared" si="515"/>
        <v>0</v>
      </c>
      <c r="AA147" s="128">
        <f t="shared" si="515"/>
        <v>0</v>
      </c>
      <c r="AB147" s="128">
        <f t="shared" si="515"/>
        <v>0</v>
      </c>
      <c r="AC147" s="128">
        <f t="shared" si="515"/>
        <v>0</v>
      </c>
      <c r="AD147" s="128">
        <f t="shared" si="515"/>
        <v>0</v>
      </c>
      <c r="AE147" s="128">
        <f t="shared" si="515"/>
        <v>0</v>
      </c>
      <c r="AF147" s="128">
        <f t="shared" si="515"/>
        <v>0</v>
      </c>
      <c r="AG147" s="128">
        <f t="shared" si="515"/>
        <v>0</v>
      </c>
      <c r="AH147" s="115" t="e">
        <f t="shared" si="330"/>
        <v>#DIV/0!</v>
      </c>
      <c r="AI147" s="10"/>
      <c r="AJ147" s="10"/>
    </row>
    <row r="148" spans="2:36">
      <c r="B148" s="10"/>
      <c r="C148" s="10"/>
      <c r="D148" s="10"/>
      <c r="E148" s="10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1"/>
      <c r="V148" s="10"/>
      <c r="W148" s="10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09"/>
      <c r="AI148" s="10"/>
      <c r="AJ148" s="10"/>
    </row>
    <row r="149" spans="2:36">
      <c r="B149" s="10" t="s">
        <v>296</v>
      </c>
      <c r="C149" s="10"/>
      <c r="D149" s="10"/>
      <c r="E149" s="10"/>
      <c r="F149" s="128"/>
      <c r="G149" s="128">
        <f t="shared" ref="G149" si="516">G27/G25</f>
        <v>0.8666666666666667</v>
      </c>
      <c r="H149" s="128">
        <f t="shared" ref="H149:I149" si="517">H27/H25</f>
        <v>0.89430894308943087</v>
      </c>
      <c r="I149" s="128">
        <f t="shared" si="517"/>
        <v>0.86567164179104472</v>
      </c>
      <c r="J149" s="128">
        <f t="shared" ref="J149:T149" si="518">J27/J25</f>
        <v>0.85</v>
      </c>
      <c r="K149" s="128">
        <f t="shared" si="518"/>
        <v>0.84079173838209986</v>
      </c>
      <c r="L149" s="128">
        <f t="shared" si="518"/>
        <v>0.86156225831399846</v>
      </c>
      <c r="M149" s="128">
        <f t="shared" si="518"/>
        <v>0.79842416283650686</v>
      </c>
      <c r="N149" s="128">
        <f t="shared" si="518"/>
        <v>0.85284280936454848</v>
      </c>
      <c r="O149" s="128">
        <f t="shared" si="518"/>
        <v>0.84468895471857808</v>
      </c>
      <c r="P149" s="128">
        <f t="shared" si="518"/>
        <v>0.83861386138613858</v>
      </c>
      <c r="Q149" s="128">
        <f t="shared" si="518"/>
        <v>0.82834331337325351</v>
      </c>
      <c r="R149" s="128">
        <f t="shared" si="518"/>
        <v>0.82673497904052162</v>
      </c>
      <c r="S149" s="128">
        <f t="shared" si="518"/>
        <v>0.8204174416201695</v>
      </c>
      <c r="T149" s="128">
        <f t="shared" si="518"/>
        <v>0.8376377099512371</v>
      </c>
      <c r="U149" s="128">
        <f t="shared" ref="U149" si="519">U27/U25</f>
        <v>0.84560377051844626</v>
      </c>
      <c r="V149" s="101">
        <f t="shared" si="464"/>
        <v>-1.7558525276659687E-3</v>
      </c>
      <c r="W149" s="10"/>
      <c r="X149" s="128">
        <f t="shared" ref="X149:AG149" si="520">X27/X25</f>
        <v>0.84560377051844626</v>
      </c>
      <c r="Y149" s="128">
        <f t="shared" si="520"/>
        <v>0.84560377051844626</v>
      </c>
      <c r="Z149" s="128">
        <f t="shared" si="520"/>
        <v>0.84560377051844637</v>
      </c>
      <c r="AA149" s="128">
        <f t="shared" si="520"/>
        <v>0.84560377051844626</v>
      </c>
      <c r="AB149" s="128">
        <f t="shared" si="520"/>
        <v>0.84560377051844626</v>
      </c>
      <c r="AC149" s="128">
        <f t="shared" si="520"/>
        <v>0.84560377051844637</v>
      </c>
      <c r="AD149" s="128">
        <f t="shared" si="520"/>
        <v>0.84560377051844637</v>
      </c>
      <c r="AE149" s="128">
        <f t="shared" si="520"/>
        <v>0.84560377051844626</v>
      </c>
      <c r="AF149" s="128">
        <f t="shared" si="520"/>
        <v>0.84560377051844637</v>
      </c>
      <c r="AG149" s="128">
        <f t="shared" si="520"/>
        <v>0.84560377051844637</v>
      </c>
      <c r="AH149" s="115">
        <f t="shared" si="330"/>
        <v>-2.1603732525932173E-4</v>
      </c>
      <c r="AI149" s="10"/>
      <c r="AJ149" s="10"/>
    </row>
    <row r="150" spans="2:36">
      <c r="B150" s="10" t="str">
        <f>B33</f>
        <v>Top Expenses ( Raw material )</v>
      </c>
      <c r="C150" s="10"/>
      <c r="D150" s="10"/>
      <c r="E150" s="10"/>
      <c r="F150" s="128"/>
      <c r="G150" s="128">
        <f t="shared" ref="G150" si="521">G33/G25</f>
        <v>0.47222222222222221</v>
      </c>
      <c r="H150" s="128">
        <f t="shared" ref="H150:I150" si="522">H33/H25</f>
        <v>0.56910569105691056</v>
      </c>
      <c r="I150" s="128">
        <f t="shared" si="522"/>
        <v>0.56965174129353235</v>
      </c>
      <c r="J150" s="128">
        <f t="shared" ref="J150:T150" si="523">J33/J25</f>
        <v>0.64677419354838706</v>
      </c>
      <c r="K150" s="128">
        <f t="shared" si="523"/>
        <v>0.67900172117039592</v>
      </c>
      <c r="L150" s="128">
        <f t="shared" si="523"/>
        <v>0.68368136117556066</v>
      </c>
      <c r="M150" s="128">
        <f t="shared" si="523"/>
        <v>0.61588969139855543</v>
      </c>
      <c r="N150" s="128">
        <f t="shared" si="523"/>
        <v>0.67892976588628762</v>
      </c>
      <c r="O150" s="128">
        <f t="shared" si="523"/>
        <v>0.68303004655099453</v>
      </c>
      <c r="P150" s="128">
        <f t="shared" si="523"/>
        <v>0.68151815181518149</v>
      </c>
      <c r="Q150" s="128">
        <f t="shared" si="523"/>
        <v>0.67208440262332481</v>
      </c>
      <c r="R150" s="128">
        <f t="shared" si="523"/>
        <v>0.67116907312529106</v>
      </c>
      <c r="S150" s="128">
        <f t="shared" si="523"/>
        <v>0.6484810911345319</v>
      </c>
      <c r="T150" s="128">
        <f t="shared" si="523"/>
        <v>0.67419180061405093</v>
      </c>
      <c r="U150" s="128">
        <f t="shared" ref="U150" si="524">U33/U25</f>
        <v>0.68535673655127582</v>
      </c>
      <c r="V150" s="101">
        <f t="shared" si="464"/>
        <v>2.6963525140326183E-2</v>
      </c>
      <c r="W150" s="10"/>
      <c r="X150" s="128">
        <f t="shared" ref="X150:AG150" si="525">X33/X25</f>
        <v>0.68535673655127594</v>
      </c>
      <c r="Y150" s="128">
        <f t="shared" si="525"/>
        <v>0.68535673655127594</v>
      </c>
      <c r="Z150" s="128">
        <f t="shared" si="525"/>
        <v>0.68535673655127594</v>
      </c>
      <c r="AA150" s="128">
        <f t="shared" si="525"/>
        <v>0.68535673655127582</v>
      </c>
      <c r="AB150" s="128">
        <f t="shared" si="525"/>
        <v>0.68535673655127594</v>
      </c>
      <c r="AC150" s="128">
        <f t="shared" si="525"/>
        <v>0.68535673655127594</v>
      </c>
      <c r="AD150" s="128">
        <f t="shared" si="525"/>
        <v>0.68535673655127582</v>
      </c>
      <c r="AE150" s="128">
        <f t="shared" si="525"/>
        <v>0.68535673655127594</v>
      </c>
      <c r="AF150" s="128">
        <f t="shared" si="525"/>
        <v>0.68535673655127582</v>
      </c>
      <c r="AG150" s="128">
        <f t="shared" si="525"/>
        <v>0.68535673655127582</v>
      </c>
      <c r="AH150" s="115">
        <f t="shared" si="330"/>
        <v>2.4171774132997204E-3</v>
      </c>
      <c r="AI150" s="10"/>
      <c r="AJ150" s="10"/>
    </row>
    <row r="151" spans="2:36">
      <c r="B151" s="10" t="str">
        <f>B34</f>
        <v>2nd highest Expenses Comp. ( Power and Fuel )</v>
      </c>
      <c r="C151" s="10"/>
      <c r="D151" s="10"/>
      <c r="E151" s="10"/>
      <c r="F151" s="128"/>
      <c r="G151" s="128">
        <f t="shared" ref="G151" si="526">G34/G25</f>
        <v>8.8888888888888892E-2</v>
      </c>
      <c r="H151" s="128">
        <f t="shared" ref="H151:I151" si="527">H34/H25</f>
        <v>7.3170731707317069E-2</v>
      </c>
      <c r="I151" s="128">
        <f t="shared" si="527"/>
        <v>5.9701492537313432E-2</v>
      </c>
      <c r="J151" s="128">
        <f t="shared" ref="J151:T151" si="528">J34/J25</f>
        <v>5.32258064516129E-2</v>
      </c>
      <c r="K151" s="128">
        <f t="shared" si="528"/>
        <v>4.5611015490533563E-2</v>
      </c>
      <c r="L151" s="128">
        <f t="shared" si="528"/>
        <v>4.7950502706883218E-2</v>
      </c>
      <c r="M151" s="128">
        <f t="shared" si="528"/>
        <v>5.5154300722258701E-2</v>
      </c>
      <c r="N151" s="128">
        <f t="shared" si="528"/>
        <v>5.4069119286510592E-2</v>
      </c>
      <c r="O151" s="128">
        <f t="shared" si="528"/>
        <v>4.6974185357596274E-2</v>
      </c>
      <c r="P151" s="128">
        <f t="shared" si="528"/>
        <v>4.1914191419141912E-2</v>
      </c>
      <c r="Q151" s="128">
        <f t="shared" si="528"/>
        <v>4.505275163957799E-2</v>
      </c>
      <c r="R151" s="128">
        <f t="shared" si="528"/>
        <v>4.5412203074056821E-2</v>
      </c>
      <c r="S151" s="128">
        <f t="shared" si="528"/>
        <v>5.0216986980781156E-2</v>
      </c>
      <c r="T151" s="128">
        <f t="shared" si="528"/>
        <v>5.002709048221058E-2</v>
      </c>
      <c r="U151" s="128">
        <f t="shared" ref="U151" si="529">U34/U25</f>
        <v>5.0056882821387941E-2</v>
      </c>
      <c r="V151" s="101">
        <f t="shared" si="464"/>
        <v>-4.0186442133111844E-2</v>
      </c>
      <c r="W151" s="10"/>
      <c r="X151" s="128">
        <f t="shared" ref="X151:AG151" si="530">X34/X25</f>
        <v>5.0056882821387941E-2</v>
      </c>
      <c r="Y151" s="128">
        <f t="shared" si="530"/>
        <v>5.0056882821387941E-2</v>
      </c>
      <c r="Z151" s="128">
        <f t="shared" si="530"/>
        <v>5.0056882821387941E-2</v>
      </c>
      <c r="AA151" s="128">
        <f t="shared" si="530"/>
        <v>5.0056882821387941E-2</v>
      </c>
      <c r="AB151" s="128">
        <f t="shared" si="530"/>
        <v>5.0056882821387948E-2</v>
      </c>
      <c r="AC151" s="128">
        <f t="shared" si="530"/>
        <v>5.0056882821387948E-2</v>
      </c>
      <c r="AD151" s="128">
        <f t="shared" si="530"/>
        <v>5.0056882821387948E-2</v>
      </c>
      <c r="AE151" s="128">
        <f t="shared" si="530"/>
        <v>5.0056882821387941E-2</v>
      </c>
      <c r="AF151" s="128">
        <f t="shared" si="530"/>
        <v>5.0056882821387941E-2</v>
      </c>
      <c r="AG151" s="128">
        <f t="shared" si="530"/>
        <v>5.0056882821387941E-2</v>
      </c>
      <c r="AH151" s="115">
        <f t="shared" si="330"/>
        <v>-2.5543714933000672E-3</v>
      </c>
      <c r="AI151" s="10"/>
      <c r="AJ151" s="10"/>
    </row>
    <row r="152" spans="2:36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21"/>
      <c r="V152" s="10"/>
      <c r="W152" s="10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16"/>
      <c r="AI152" s="10"/>
      <c r="AJ152" s="10"/>
    </row>
    <row r="153" spans="2:36">
      <c r="B153" s="93" t="s">
        <v>304</v>
      </c>
      <c r="C153" s="10"/>
      <c r="D153" s="10"/>
      <c r="E153" s="10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21"/>
      <c r="V153" s="10"/>
      <c r="W153" s="10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15"/>
      <c r="AI153" s="10"/>
      <c r="AJ153" s="10"/>
    </row>
    <row r="154" spans="2:36">
      <c r="B154" s="10" t="s">
        <v>307</v>
      </c>
      <c r="C154" s="10"/>
      <c r="D154" s="10"/>
      <c r="E154" s="10"/>
      <c r="F154" s="15"/>
      <c r="G154" s="15">
        <f t="shared" ref="G154" si="531">G15/G9</f>
        <v>2.5483870967741935</v>
      </c>
      <c r="H154" s="15">
        <f t="shared" ref="H154:I154" si="532">H15/H9</f>
        <v>2.375</v>
      </c>
      <c r="I154" s="15">
        <f t="shared" si="532"/>
        <v>1.7682926829268293</v>
      </c>
      <c r="J154" s="15">
        <f t="shared" ref="J154:T154" si="533">J15/J9</f>
        <v>2.7931034482758621</v>
      </c>
      <c r="K154" s="15">
        <f t="shared" si="533"/>
        <v>3.75</v>
      </c>
      <c r="L154" s="15">
        <f t="shared" si="533"/>
        <v>3.0530303030303032</v>
      </c>
      <c r="M154" s="15">
        <f t="shared" si="533"/>
        <v>2.7058823529411766</v>
      </c>
      <c r="N154" s="15">
        <f t="shared" si="533"/>
        <v>2.8254716981132075</v>
      </c>
      <c r="O154" s="15">
        <f t="shared" si="533"/>
        <v>2.8699551569506725</v>
      </c>
      <c r="P154" s="15">
        <f t="shared" si="533"/>
        <v>3.2261904761904763</v>
      </c>
      <c r="Q154" s="15">
        <f t="shared" si="533"/>
        <v>2.9008042895442361</v>
      </c>
      <c r="R154" s="15">
        <f t="shared" si="533"/>
        <v>2.6533333333333333</v>
      </c>
      <c r="S154" s="15">
        <f t="shared" si="533"/>
        <v>2.1132075471698113</v>
      </c>
      <c r="T154" s="15">
        <f t="shared" si="533"/>
        <v>1.8816425120772946</v>
      </c>
      <c r="U154" s="15">
        <f t="shared" ref="U154" si="534">U15/U9</f>
        <v>1.8141923436041083</v>
      </c>
      <c r="V154" s="101">
        <f t="shared" si="464"/>
        <v>-2.3980659189191789E-2</v>
      </c>
      <c r="W154" s="10"/>
      <c r="X154" s="10">
        <f t="shared" ref="X154:AG154" si="535">X15/X9</f>
        <v>1.8141923436041083</v>
      </c>
      <c r="Y154" s="10">
        <f t="shared" si="535"/>
        <v>1.8141923436041081</v>
      </c>
      <c r="Z154" s="10">
        <f t="shared" si="535"/>
        <v>1.8141923436041079</v>
      </c>
      <c r="AA154" s="10">
        <f t="shared" si="535"/>
        <v>1.8141923436041081</v>
      </c>
      <c r="AB154" s="10">
        <f t="shared" si="535"/>
        <v>1.8141923436041079</v>
      </c>
      <c r="AC154" s="10">
        <f t="shared" si="535"/>
        <v>1.8141923436041081</v>
      </c>
      <c r="AD154" s="10">
        <f t="shared" si="535"/>
        <v>1.8141923436041079</v>
      </c>
      <c r="AE154" s="10">
        <f t="shared" si="535"/>
        <v>1.8141923436041081</v>
      </c>
      <c r="AF154" s="10">
        <f t="shared" si="535"/>
        <v>1.8141923436041081</v>
      </c>
      <c r="AG154" s="10">
        <f t="shared" si="535"/>
        <v>1.8141923436041083</v>
      </c>
      <c r="AH154" s="115">
        <f t="shared" si="330"/>
        <v>-1.7819035535331595E-2</v>
      </c>
      <c r="AI154" s="10"/>
      <c r="AJ154" s="10"/>
    </row>
    <row r="155" spans="2:36">
      <c r="B155" s="10" t="s">
        <v>297</v>
      </c>
      <c r="C155" s="10"/>
      <c r="D155" s="10"/>
      <c r="E155" s="10"/>
      <c r="F155" s="15"/>
      <c r="G155" s="15">
        <f t="shared" ref="G155" si="536">G12/G9</f>
        <v>0.4838709677419355</v>
      </c>
      <c r="H155" s="15">
        <f t="shared" ref="H155:I155" si="537">H12/H9</f>
        <v>0.35416666666666669</v>
      </c>
      <c r="I155" s="15">
        <f t="shared" si="537"/>
        <v>0.25609756097560976</v>
      </c>
      <c r="J155" s="15">
        <f t="shared" ref="J155:T155" si="538">J12/J9</f>
        <v>0.2988505747126437</v>
      </c>
      <c r="K155" s="15">
        <f t="shared" si="538"/>
        <v>0.43333333333333335</v>
      </c>
      <c r="L155" s="15">
        <f t="shared" si="538"/>
        <v>0.53030303030303028</v>
      </c>
      <c r="M155" s="15">
        <f t="shared" si="538"/>
        <v>0.33155080213903743</v>
      </c>
      <c r="N155" s="15">
        <f t="shared" si="538"/>
        <v>0.18867924528301888</v>
      </c>
      <c r="O155" s="15">
        <f t="shared" si="538"/>
        <v>1.0269058295964126</v>
      </c>
      <c r="P155" s="15">
        <f t="shared" si="538"/>
        <v>1.2232142857142858</v>
      </c>
      <c r="Q155" s="15">
        <f t="shared" si="538"/>
        <v>0.79088471849865949</v>
      </c>
      <c r="R155" s="15">
        <f t="shared" si="538"/>
        <v>0.49333333333333335</v>
      </c>
      <c r="S155" s="15">
        <f t="shared" si="538"/>
        <v>0.23584905660377359</v>
      </c>
      <c r="T155" s="15">
        <f t="shared" si="538"/>
        <v>0.20531400966183574</v>
      </c>
      <c r="U155" s="15">
        <f t="shared" ref="U155" si="539">U12/U9</f>
        <v>0.10364145658263306</v>
      </c>
      <c r="V155" s="101">
        <f t="shared" si="464"/>
        <v>-0.10422222790241586</v>
      </c>
      <c r="W155" s="109"/>
      <c r="X155" s="10">
        <f t="shared" ref="X155:AG155" si="540">X12/X9</f>
        <v>0.10364145658263305</v>
      </c>
      <c r="Y155" s="10">
        <f t="shared" si="540"/>
        <v>0.10364145658263305</v>
      </c>
      <c r="Z155" s="10">
        <f t="shared" si="540"/>
        <v>0.10364145658263305</v>
      </c>
      <c r="AA155" s="10">
        <f t="shared" si="540"/>
        <v>0.10364145658263305</v>
      </c>
      <c r="AB155" s="10">
        <f t="shared" si="540"/>
        <v>0.10364145658263305</v>
      </c>
      <c r="AC155" s="10">
        <f t="shared" si="540"/>
        <v>0.10364145658263303</v>
      </c>
      <c r="AD155" s="10">
        <f t="shared" si="540"/>
        <v>0.10364145658263305</v>
      </c>
      <c r="AE155" s="10">
        <f t="shared" si="540"/>
        <v>0.10364145658263305</v>
      </c>
      <c r="AF155" s="10">
        <f t="shared" si="540"/>
        <v>0.10364145658263305</v>
      </c>
      <c r="AG155" s="10">
        <f t="shared" si="540"/>
        <v>0.10364145658263306</v>
      </c>
      <c r="AH155" s="101">
        <f t="shared" ref="AH155" si="541">((AG155/X155)^(1/($K$2-$K$1) ))-1</f>
        <v>0</v>
      </c>
      <c r="AI155" s="10"/>
      <c r="AJ155" s="10"/>
    </row>
    <row r="156" spans="2:36">
      <c r="B156" s="10" t="s">
        <v>299</v>
      </c>
      <c r="C156" s="10"/>
      <c r="D156" s="10"/>
      <c r="E156" s="10"/>
      <c r="F156" s="15"/>
      <c r="G156" s="15">
        <f t="shared" ref="G156" si="542">G25/360</f>
        <v>0.5</v>
      </c>
      <c r="H156" s="15">
        <f t="shared" ref="H156:I156" si="543">H25/360</f>
        <v>0.68333333333333335</v>
      </c>
      <c r="I156" s="15">
        <f t="shared" si="543"/>
        <v>1.1166666666666667</v>
      </c>
      <c r="J156" s="15">
        <f t="shared" ref="J156:T156" si="544">J25/360</f>
        <v>1.7222222222222223</v>
      </c>
      <c r="K156" s="15">
        <f t="shared" si="544"/>
        <v>3.2277777777777779</v>
      </c>
      <c r="L156" s="15">
        <f t="shared" si="544"/>
        <v>3.5916666666666668</v>
      </c>
      <c r="M156" s="15">
        <f t="shared" si="544"/>
        <v>4.2305555555555552</v>
      </c>
      <c r="N156" s="15">
        <f t="shared" si="544"/>
        <v>4.9833333333333334</v>
      </c>
      <c r="O156" s="15">
        <f t="shared" si="544"/>
        <v>6.5638888888888891</v>
      </c>
      <c r="P156" s="15">
        <f t="shared" si="544"/>
        <v>8.4166666666666661</v>
      </c>
      <c r="Q156" s="15">
        <f t="shared" si="544"/>
        <v>9.7416666666666671</v>
      </c>
      <c r="R156" s="15">
        <f t="shared" si="544"/>
        <v>11.927777777777777</v>
      </c>
      <c r="S156" s="15">
        <f t="shared" si="544"/>
        <v>13.441666666666666</v>
      </c>
      <c r="T156" s="15">
        <f t="shared" si="544"/>
        <v>15.380555555555556</v>
      </c>
      <c r="U156" s="15">
        <f t="shared" ref="U156" si="545">U25/360</f>
        <v>17.091666666666665</v>
      </c>
      <c r="V156" s="101">
        <f t="shared" si="464"/>
        <v>0.28693962229434145</v>
      </c>
      <c r="W156" s="109"/>
      <c r="X156" s="15">
        <f t="shared" ref="X156:AG156" si="546">X25/360</f>
        <v>18.800833333333333</v>
      </c>
      <c r="Y156" s="15">
        <f t="shared" si="546"/>
        <v>20.680916666666668</v>
      </c>
      <c r="Z156" s="15">
        <f t="shared" si="546"/>
        <v>22.749008333333339</v>
      </c>
      <c r="AA156" s="15">
        <f t="shared" si="546"/>
        <v>25.023909166666677</v>
      </c>
      <c r="AB156" s="15">
        <f t="shared" si="546"/>
        <v>27.526300083333343</v>
      </c>
      <c r="AC156" s="15">
        <f t="shared" si="546"/>
        <v>30.27893009166668</v>
      </c>
      <c r="AD156" s="15">
        <f t="shared" si="546"/>
        <v>33.306823100833348</v>
      </c>
      <c r="AE156" s="15">
        <f t="shared" si="546"/>
        <v>36.637505410916688</v>
      </c>
      <c r="AF156" s="15">
        <f t="shared" si="546"/>
        <v>40.301255952008361</v>
      </c>
      <c r="AG156" s="15">
        <f t="shared" si="546"/>
        <v>44.331381547209197</v>
      </c>
      <c r="AH156" s="101">
        <f t="shared" ref="AH156:AH167" si="547">((AG156/X156)^(1/($K$2-$K$1) ))-1</f>
        <v>6.318681795113168E-2</v>
      </c>
      <c r="AI156" s="10"/>
      <c r="AJ156" s="10"/>
    </row>
    <row r="157" spans="2:36">
      <c r="B157" s="10" t="s">
        <v>298</v>
      </c>
      <c r="C157" s="10"/>
      <c r="D157" s="10"/>
      <c r="E157" s="10"/>
      <c r="F157" s="15"/>
      <c r="G157" s="15">
        <f t="shared" ref="G157" si="548">G27/360</f>
        <v>0.43333333333333335</v>
      </c>
      <c r="H157" s="15">
        <f t="shared" ref="H157:I157" si="549">H27/360</f>
        <v>0.61111111111111116</v>
      </c>
      <c r="I157" s="15">
        <f t="shared" si="549"/>
        <v>0.96666666666666667</v>
      </c>
      <c r="J157" s="15">
        <f t="shared" ref="J157:T157" si="550">J27/360</f>
        <v>1.4638888888888888</v>
      </c>
      <c r="K157" s="15">
        <f t="shared" si="550"/>
        <v>2.713888888888889</v>
      </c>
      <c r="L157" s="15">
        <f t="shared" si="550"/>
        <v>3.0944444444444446</v>
      </c>
      <c r="M157" s="15">
        <f t="shared" si="550"/>
        <v>3.3777777777777778</v>
      </c>
      <c r="N157" s="15">
        <f t="shared" si="550"/>
        <v>4.25</v>
      </c>
      <c r="O157" s="15">
        <f t="shared" si="550"/>
        <v>5.5444444444444443</v>
      </c>
      <c r="P157" s="15">
        <f t="shared" si="550"/>
        <v>7.0583333333333336</v>
      </c>
      <c r="Q157" s="15">
        <f t="shared" si="550"/>
        <v>8.0694444444444446</v>
      </c>
      <c r="R157" s="15">
        <f t="shared" si="550"/>
        <v>9.8611111111111107</v>
      </c>
      <c r="S157" s="15">
        <f t="shared" si="550"/>
        <v>11.027777777777779</v>
      </c>
      <c r="T157" s="15">
        <f t="shared" si="550"/>
        <v>12.883333333333333</v>
      </c>
      <c r="U157" s="15">
        <f t="shared" ref="U157" si="551">U27/360</f>
        <v>14.452777777777778</v>
      </c>
      <c r="V157" s="101">
        <f t="shared" si="464"/>
        <v>0.28467994610558267</v>
      </c>
      <c r="W157" s="109"/>
      <c r="X157" s="15">
        <f t="shared" ref="X157:AG157" si="552">X27/360</f>
        <v>15.898055555555556</v>
      </c>
      <c r="Y157" s="15">
        <f t="shared" si="552"/>
        <v>17.487861111111116</v>
      </c>
      <c r="Z157" s="15">
        <f t="shared" si="552"/>
        <v>19.236647222222228</v>
      </c>
      <c r="AA157" s="15">
        <f t="shared" si="552"/>
        <v>21.160311944444452</v>
      </c>
      <c r="AB157" s="15">
        <f t="shared" si="552"/>
        <v>23.276343138888897</v>
      </c>
      <c r="AC157" s="15">
        <f t="shared" si="552"/>
        <v>25.603977452777791</v>
      </c>
      <c r="AD157" s="15">
        <f t="shared" si="552"/>
        <v>28.16437519805557</v>
      </c>
      <c r="AE157" s="15">
        <f t="shared" si="552"/>
        <v>30.980812717861131</v>
      </c>
      <c r="AF157" s="15">
        <f t="shared" si="552"/>
        <v>34.078893989647248</v>
      </c>
      <c r="AG157" s="15">
        <f t="shared" si="552"/>
        <v>37.486783388611975</v>
      </c>
      <c r="AH157" s="101">
        <f t="shared" si="547"/>
        <v>6.318681795113168E-2</v>
      </c>
      <c r="AI157" s="10"/>
      <c r="AJ157" s="10"/>
    </row>
    <row r="158" spans="2:36">
      <c r="B158" s="10"/>
      <c r="C158" s="10"/>
      <c r="D158" s="10"/>
      <c r="E158" s="10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21"/>
      <c r="V158" s="10"/>
      <c r="W158" s="10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09"/>
      <c r="AI158" s="10"/>
      <c r="AJ158" s="10"/>
    </row>
    <row r="159" spans="2:36">
      <c r="B159" s="10" t="s">
        <v>308</v>
      </c>
      <c r="C159" s="10"/>
      <c r="D159" s="10"/>
      <c r="E159" s="10"/>
      <c r="F159" s="15"/>
      <c r="G159" s="15">
        <f t="shared" ref="G159" si="553">G10/G7</f>
        <v>8.5714285714285715E-2</v>
      </c>
      <c r="H159" s="15">
        <f t="shared" ref="H159:I159" si="554">H10/H7</f>
        <v>0.1270718232044199</v>
      </c>
      <c r="I159" s="15">
        <f t="shared" si="554"/>
        <v>0.1890547263681592</v>
      </c>
      <c r="J159" s="15">
        <f t="shared" ref="J159:T159" si="555">J10/J7</f>
        <v>0.58024691358024694</v>
      </c>
      <c r="K159" s="15">
        <f t="shared" si="555"/>
        <v>0.95195195195195192</v>
      </c>
      <c r="L159" s="15">
        <f t="shared" si="555"/>
        <v>0.70443349753694584</v>
      </c>
      <c r="M159" s="15">
        <f t="shared" si="555"/>
        <v>0.16758747697974216</v>
      </c>
      <c r="N159" s="15">
        <f t="shared" si="555"/>
        <v>0.14705882352941177</v>
      </c>
      <c r="O159" s="15">
        <f t="shared" si="555"/>
        <v>0.10206561360874848</v>
      </c>
      <c r="P159" s="15">
        <f t="shared" si="555"/>
        <v>8.2152974504249299E-2</v>
      </c>
      <c r="Q159" s="15">
        <f t="shared" si="555"/>
        <v>6.1674008810572688E-2</v>
      </c>
      <c r="R159" s="15">
        <f t="shared" si="555"/>
        <v>4.3555032371983521E-2</v>
      </c>
      <c r="S159" s="15">
        <f t="shared" si="555"/>
        <v>3.4269395525940029E-2</v>
      </c>
      <c r="T159" s="15">
        <f t="shared" si="555"/>
        <v>2.7767065175472425E-2</v>
      </c>
      <c r="U159" s="15">
        <f t="shared" ref="U159" si="556">U10/U7</f>
        <v>1.9748042219952331E-2</v>
      </c>
      <c r="V159" s="101">
        <f t="shared" si="464"/>
        <v>-9.9544608809906676E-2</v>
      </c>
      <c r="W159" s="109"/>
      <c r="X159" s="15">
        <f t="shared" ref="X159:AG159" si="557">X10/X7</f>
        <v>1.9748042219952331E-2</v>
      </c>
      <c r="Y159" s="15">
        <f t="shared" si="557"/>
        <v>1.9748042219952331E-2</v>
      </c>
      <c r="Z159" s="15">
        <f t="shared" si="557"/>
        <v>1.9748042219952331E-2</v>
      </c>
      <c r="AA159" s="15">
        <f t="shared" si="557"/>
        <v>1.9748042219952331E-2</v>
      </c>
      <c r="AB159" s="15">
        <f t="shared" si="557"/>
        <v>1.9748042219952331E-2</v>
      </c>
      <c r="AC159" s="15">
        <f t="shared" si="557"/>
        <v>1.9748042219952331E-2</v>
      </c>
      <c r="AD159" s="15">
        <f t="shared" si="557"/>
        <v>1.9748042219952331E-2</v>
      </c>
      <c r="AE159" s="15">
        <f t="shared" si="557"/>
        <v>1.9748042219952331E-2</v>
      </c>
      <c r="AF159" s="15">
        <f t="shared" si="557"/>
        <v>1.9748042219952331E-2</v>
      </c>
      <c r="AG159" s="15">
        <f t="shared" si="557"/>
        <v>1.9748042219952334E-2</v>
      </c>
      <c r="AH159" s="101">
        <f t="shared" si="547"/>
        <v>0</v>
      </c>
      <c r="AI159" s="10"/>
      <c r="AJ159" s="10"/>
    </row>
    <row r="160" spans="2:36">
      <c r="B160" s="10" t="s">
        <v>300</v>
      </c>
      <c r="C160" s="10"/>
      <c r="D160" s="10"/>
      <c r="E160" s="10"/>
      <c r="F160" s="15"/>
      <c r="G160" s="15">
        <f t="shared" ref="G160" si="558">G10/(G10+G7)</f>
        <v>7.8947368421052627E-2</v>
      </c>
      <c r="H160" s="15">
        <f t="shared" ref="H160:I160" si="559">H10/(H10+H7)</f>
        <v>0.11274509803921569</v>
      </c>
      <c r="I160" s="15">
        <f t="shared" si="559"/>
        <v>0.15899581589958159</v>
      </c>
      <c r="J160" s="15">
        <f t="shared" ref="J160:T160" si="560">J10/(J10+J7)</f>
        <v>0.3671875</v>
      </c>
      <c r="K160" s="15">
        <f t="shared" si="560"/>
        <v>0.4876923076923077</v>
      </c>
      <c r="L160" s="15">
        <f t="shared" si="560"/>
        <v>0.41329479768786126</v>
      </c>
      <c r="M160" s="15">
        <f t="shared" si="560"/>
        <v>0.14353312302839116</v>
      </c>
      <c r="N160" s="15">
        <f t="shared" si="560"/>
        <v>0.12820512820512819</v>
      </c>
      <c r="O160" s="15">
        <f t="shared" si="560"/>
        <v>9.2613009922822495E-2</v>
      </c>
      <c r="P160" s="15">
        <f t="shared" si="560"/>
        <v>7.5916230366492143E-2</v>
      </c>
      <c r="Q160" s="15">
        <f t="shared" si="560"/>
        <v>5.8091286307053944E-2</v>
      </c>
      <c r="R160" s="15">
        <f t="shared" si="560"/>
        <v>4.1737168640721939E-2</v>
      </c>
      <c r="S160" s="15">
        <f t="shared" si="560"/>
        <v>3.3133916244822828E-2</v>
      </c>
      <c r="T160" s="15">
        <f t="shared" si="560"/>
        <v>2.7016885553470919E-2</v>
      </c>
      <c r="U160" s="15">
        <f t="shared" ref="U160" si="561">U10/(U10+U7)</f>
        <v>1.9365609348914858E-2</v>
      </c>
      <c r="V160" s="101">
        <f t="shared" si="464"/>
        <v>-9.5503940438549151E-2</v>
      </c>
      <c r="W160" s="109"/>
      <c r="X160" s="15">
        <f t="shared" ref="X160:AG160" si="562">X10/(X10+X7)</f>
        <v>1.9365609348914858E-2</v>
      </c>
      <c r="Y160" s="15">
        <f t="shared" si="562"/>
        <v>1.9365609348914858E-2</v>
      </c>
      <c r="Z160" s="15">
        <f t="shared" si="562"/>
        <v>1.9365609348914858E-2</v>
      </c>
      <c r="AA160" s="15">
        <f t="shared" si="562"/>
        <v>1.9365609348914854E-2</v>
      </c>
      <c r="AB160" s="15">
        <f t="shared" si="562"/>
        <v>1.9365609348914854E-2</v>
      </c>
      <c r="AC160" s="15">
        <f t="shared" si="562"/>
        <v>1.9365609348914858E-2</v>
      </c>
      <c r="AD160" s="15">
        <f t="shared" si="562"/>
        <v>1.9365609348914858E-2</v>
      </c>
      <c r="AE160" s="15">
        <f t="shared" si="562"/>
        <v>1.9365609348914858E-2</v>
      </c>
      <c r="AF160" s="15">
        <f t="shared" si="562"/>
        <v>1.9365609348914858E-2</v>
      </c>
      <c r="AG160" s="15">
        <f t="shared" si="562"/>
        <v>1.9365609348914858E-2</v>
      </c>
      <c r="AH160" s="101">
        <f t="shared" si="547"/>
        <v>0</v>
      </c>
      <c r="AI160" s="10"/>
      <c r="AJ160" s="10"/>
    </row>
    <row r="161" spans="2:36">
      <c r="B161" s="10"/>
      <c r="C161" s="10"/>
      <c r="D161" s="10"/>
      <c r="E161" s="10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21"/>
      <c r="V161" s="10"/>
      <c r="W161" s="10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14"/>
      <c r="AI161" s="10"/>
      <c r="AJ161" s="10"/>
    </row>
    <row r="162" spans="2:36">
      <c r="B162" s="10" t="s">
        <v>305</v>
      </c>
      <c r="C162" s="10"/>
      <c r="D162" s="10"/>
      <c r="E162" s="10"/>
      <c r="F162" s="15"/>
      <c r="G162" s="15">
        <f t="shared" ref="G162" si="563">G16</f>
        <v>68</v>
      </c>
      <c r="H162" s="15">
        <f t="shared" ref="H162:I162" si="564">H16</f>
        <v>84</v>
      </c>
      <c r="I162" s="15">
        <f t="shared" si="564"/>
        <v>98</v>
      </c>
      <c r="J162" s="15">
        <f t="shared" ref="J162:T162" si="565">J16</f>
        <v>205</v>
      </c>
      <c r="K162" s="15">
        <f t="shared" si="565"/>
        <v>378</v>
      </c>
      <c r="L162" s="15">
        <f t="shared" si="565"/>
        <v>323</v>
      </c>
      <c r="M162" s="15">
        <f t="shared" si="565"/>
        <v>290</v>
      </c>
      <c r="N162" s="15">
        <f t="shared" si="565"/>
        <v>368</v>
      </c>
      <c r="O162" s="15">
        <f t="shared" si="565"/>
        <v>504</v>
      </c>
      <c r="P162" s="15">
        <f t="shared" si="565"/>
        <v>669</v>
      </c>
      <c r="Q162" s="15">
        <f t="shared" si="565"/>
        <v>663</v>
      </c>
      <c r="R162" s="15">
        <f t="shared" si="565"/>
        <v>727</v>
      </c>
      <c r="S162" s="15">
        <f t="shared" si="565"/>
        <v>721</v>
      </c>
      <c r="T162" s="15">
        <f t="shared" si="565"/>
        <v>783</v>
      </c>
      <c r="U162" s="15">
        <f t="shared" ref="U162" si="566">U16</f>
        <v>1031</v>
      </c>
      <c r="V162" s="101">
        <f t="shared" si="464"/>
        <v>0.21433711232931674</v>
      </c>
      <c r="W162" s="109"/>
      <c r="X162" s="15">
        <f t="shared" ref="X162:AG162" si="567">X16</f>
        <v>1134.1000000000001</v>
      </c>
      <c r="Y162" s="15">
        <f t="shared" si="567"/>
        <v>1247.5100000000002</v>
      </c>
      <c r="Z162" s="15">
        <f t="shared" si="567"/>
        <v>1372.2610000000004</v>
      </c>
      <c r="AA162" s="15">
        <f t="shared" si="567"/>
        <v>1509.4871000000005</v>
      </c>
      <c r="AB162" s="15">
        <f t="shared" si="567"/>
        <v>1660.4358100000006</v>
      </c>
      <c r="AC162" s="15">
        <f t="shared" si="567"/>
        <v>1826.4793910000008</v>
      </c>
      <c r="AD162" s="15">
        <f t="shared" si="567"/>
        <v>2009.127330100001</v>
      </c>
      <c r="AE162" s="15">
        <f t="shared" si="567"/>
        <v>2210.0400631100015</v>
      </c>
      <c r="AF162" s="15">
        <f t="shared" si="567"/>
        <v>2431.044069421002</v>
      </c>
      <c r="AG162" s="15">
        <f t="shared" si="567"/>
        <v>2674.1484763631024</v>
      </c>
      <c r="AH162" s="101">
        <f t="shared" si="547"/>
        <v>6.318681795113168E-2</v>
      </c>
      <c r="AI162" s="10"/>
      <c r="AJ162" s="10"/>
    </row>
    <row r="163" spans="2:36">
      <c r="B163" s="10" t="s">
        <v>306</v>
      </c>
      <c r="C163" s="10"/>
      <c r="D163" s="10"/>
      <c r="E163" s="10"/>
      <c r="F163" s="102"/>
      <c r="G163" s="102">
        <f t="shared" ref="G163" si="568">G162*365/G25</f>
        <v>137.88888888888889</v>
      </c>
      <c r="H163" s="102">
        <f t="shared" ref="H163:I163" si="569">H162*365/H25</f>
        <v>124.63414634146342</v>
      </c>
      <c r="I163" s="102">
        <f t="shared" si="569"/>
        <v>88.980099502487562</v>
      </c>
      <c r="J163" s="102">
        <f t="shared" ref="J163:T163" si="570">J162*365/J25</f>
        <v>120.68548387096774</v>
      </c>
      <c r="K163" s="102">
        <f t="shared" si="570"/>
        <v>118.73493975903614</v>
      </c>
      <c r="L163" s="102">
        <f t="shared" si="570"/>
        <v>91.17942768754834</v>
      </c>
      <c r="M163" s="102">
        <f t="shared" si="570"/>
        <v>69.500984898227188</v>
      </c>
      <c r="N163" s="102">
        <f t="shared" si="570"/>
        <v>74.871794871794876</v>
      </c>
      <c r="O163" s="102">
        <f t="shared" si="570"/>
        <v>77.850190435886589</v>
      </c>
      <c r="P163" s="102">
        <f t="shared" si="570"/>
        <v>80.589108910891085</v>
      </c>
      <c r="Q163" s="102">
        <f t="shared" si="570"/>
        <v>69.003421727972622</v>
      </c>
      <c r="R163" s="102">
        <f t="shared" si="570"/>
        <v>61.79669306008384</v>
      </c>
      <c r="S163" s="102">
        <f t="shared" si="570"/>
        <v>54.384170283116347</v>
      </c>
      <c r="T163" s="102">
        <f t="shared" si="570"/>
        <v>51.615495755824455</v>
      </c>
      <c r="U163" s="102">
        <f t="shared" ref="U163" si="571">U162*365/U25</f>
        <v>61.159596944579881</v>
      </c>
      <c r="V163" s="101">
        <f t="shared" si="464"/>
        <v>-5.6414853274615817E-2</v>
      </c>
      <c r="W163" s="109"/>
      <c r="X163" s="102">
        <f t="shared" ref="X163:AG163" si="572">X162*365/X25</f>
        <v>61.159596944579889</v>
      </c>
      <c r="Y163" s="102">
        <f t="shared" si="572"/>
        <v>61.159596944579881</v>
      </c>
      <c r="Z163" s="102">
        <f t="shared" si="572"/>
        <v>61.159596944579881</v>
      </c>
      <c r="AA163" s="102">
        <f t="shared" si="572"/>
        <v>61.159596944579874</v>
      </c>
      <c r="AB163" s="102">
        <f t="shared" si="572"/>
        <v>61.159596944579881</v>
      </c>
      <c r="AC163" s="102">
        <f t="shared" si="572"/>
        <v>61.159596944579881</v>
      </c>
      <c r="AD163" s="102">
        <f t="shared" si="572"/>
        <v>61.159596944579889</v>
      </c>
      <c r="AE163" s="102">
        <f t="shared" si="572"/>
        <v>61.159596944579889</v>
      </c>
      <c r="AF163" s="102">
        <f t="shared" si="572"/>
        <v>61.159596944579889</v>
      </c>
      <c r="AG163" s="102">
        <f t="shared" si="572"/>
        <v>61.159596944579889</v>
      </c>
      <c r="AH163" s="101">
        <f t="shared" si="547"/>
        <v>0</v>
      </c>
      <c r="AI163" s="10"/>
      <c r="AJ163" s="10"/>
    </row>
    <row r="164" spans="2:36">
      <c r="B164" s="10" t="s">
        <v>309</v>
      </c>
      <c r="C164" s="10"/>
      <c r="D164" s="10"/>
      <c r="E164" s="10"/>
      <c r="F164" s="111"/>
      <c r="G164" s="111">
        <f t="shared" ref="G164" si="573">G98/G29</f>
        <v>108.16125860373648</v>
      </c>
      <c r="H164" s="111">
        <f t="shared" ref="H164:I164" si="574">H98/H29</f>
        <v>151.70670037926675</v>
      </c>
      <c r="I164" s="111">
        <f t="shared" si="574"/>
        <v>46.902654867256643</v>
      </c>
      <c r="J164" s="111">
        <f t="shared" ref="J164:T164" si="575">J98/J29</f>
        <v>16.460176991150444</v>
      </c>
      <c r="K164" s="111">
        <f t="shared" si="575"/>
        <v>2.1323960164030464</v>
      </c>
      <c r="L164" s="111">
        <f t="shared" si="575"/>
        <v>1.1598081855693099</v>
      </c>
      <c r="M164" s="111">
        <f t="shared" si="575"/>
        <v>4.2886416861826699</v>
      </c>
      <c r="N164" s="111">
        <f t="shared" si="575"/>
        <v>10.070257611241219</v>
      </c>
      <c r="O164" s="111">
        <f t="shared" si="575"/>
        <v>20.843091334894616</v>
      </c>
      <c r="P164" s="111">
        <f t="shared" si="575"/>
        <v>26.463700234192039</v>
      </c>
      <c r="Q164" s="111">
        <f t="shared" si="575"/>
        <v>45.537340619307841</v>
      </c>
      <c r="R164" s="111">
        <f t="shared" si="575"/>
        <v>172.96057767369246</v>
      </c>
      <c r="S164" s="111">
        <f t="shared" si="575"/>
        <v>97.619844190603644</v>
      </c>
      <c r="T164" s="111">
        <f t="shared" si="575"/>
        <v>9.94145199063232</v>
      </c>
      <c r="U164" s="111">
        <f t="shared" ref="U164" si="576">U98/U29</f>
        <v>10.339578454332553</v>
      </c>
      <c r="V164" s="101">
        <f t="shared" si="464"/>
        <v>-0.15438310757911577</v>
      </c>
      <c r="W164" s="109"/>
      <c r="X164" s="111">
        <f t="shared" ref="X164:AG164" si="577">X98/X29</f>
        <v>10.136841621894662</v>
      </c>
      <c r="Y164" s="111">
        <f t="shared" si="577"/>
        <v>9.9380800214653533</v>
      </c>
      <c r="Z164" s="111">
        <f t="shared" si="577"/>
        <v>9.7432157073189742</v>
      </c>
      <c r="AA164" s="111">
        <f t="shared" si="577"/>
        <v>9.552172262077427</v>
      </c>
      <c r="AB164" s="111">
        <f t="shared" si="577"/>
        <v>9.3648747667425773</v>
      </c>
      <c r="AC164" s="111">
        <f t="shared" si="577"/>
        <v>9.1812497713162493</v>
      </c>
      <c r="AD164" s="111">
        <f t="shared" si="577"/>
        <v>9.0012252659963234</v>
      </c>
      <c r="AE164" s="111">
        <f t="shared" si="577"/>
        <v>8.8247306529375713</v>
      </c>
      <c r="AF164" s="111">
        <f t="shared" si="577"/>
        <v>8.6516967185662477</v>
      </c>
      <c r="AG164" s="111">
        <f t="shared" si="577"/>
        <v>8.4820556064374966</v>
      </c>
      <c r="AH164" s="101">
        <f t="shared" si="547"/>
        <v>-1.2649573391514068E-2</v>
      </c>
      <c r="AI164" s="10"/>
      <c r="AJ164" s="10"/>
    </row>
    <row r="165" spans="2:36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21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14"/>
      <c r="AI165" s="10"/>
      <c r="AJ165" s="10"/>
    </row>
    <row r="166" spans="2:36">
      <c r="B166" s="10" t="s">
        <v>316</v>
      </c>
      <c r="C166" s="10"/>
      <c r="D166" s="10"/>
      <c r="E166" s="10"/>
      <c r="F166" s="155"/>
      <c r="G166" s="155">
        <f t="shared" ref="G166" si="578">G25/G14</f>
        <v>5.806451612903226</v>
      </c>
      <c r="H166" s="155">
        <f t="shared" ref="H166:I166" si="579">H25/H14</f>
        <v>5.5909090909090908</v>
      </c>
      <c r="I166" s="155">
        <f t="shared" si="579"/>
        <v>7.0526315789473681</v>
      </c>
      <c r="J166" s="155">
        <f t="shared" ref="J166:T166" si="580">J25/J14</f>
        <v>6.7391304347826084</v>
      </c>
      <c r="K166" s="155">
        <f t="shared" si="580"/>
        <v>5.9896907216494846</v>
      </c>
      <c r="L166" s="155">
        <f t="shared" si="580"/>
        <v>8.0310559006211175</v>
      </c>
      <c r="M166" s="155">
        <f t="shared" si="580"/>
        <v>6.9862385321100922</v>
      </c>
      <c r="N166" s="155">
        <f t="shared" si="580"/>
        <v>6.2947368421052632</v>
      </c>
      <c r="O166" s="155">
        <f t="shared" si="580"/>
        <v>8.8834586466165408</v>
      </c>
      <c r="P166" s="155">
        <f t="shared" si="580"/>
        <v>10.341296928327646</v>
      </c>
      <c r="Q166" s="155">
        <f t="shared" si="580"/>
        <v>10.468656716417911</v>
      </c>
      <c r="R166" s="155">
        <f t="shared" si="580"/>
        <v>10.272727272727273</v>
      </c>
      <c r="S166" s="155">
        <f t="shared" si="580"/>
        <v>8.0515806988352754</v>
      </c>
      <c r="T166" s="155">
        <f t="shared" si="580"/>
        <v>9.2129783693843592</v>
      </c>
      <c r="U166" s="155">
        <f t="shared" ref="U166" si="581">U25/U14</f>
        <v>5.8655862726406101</v>
      </c>
      <c r="V166" s="101">
        <f t="shared" si="464"/>
        <v>7.2403283812061403E-4</v>
      </c>
      <c r="W166" s="109"/>
      <c r="X166" s="10">
        <f t="shared" ref="X166:AG166" si="582">X25/X14</f>
        <v>5.8655862726406101</v>
      </c>
      <c r="Y166" s="10">
        <f t="shared" si="582"/>
        <v>5.8655862726406101</v>
      </c>
      <c r="Z166" s="10">
        <f t="shared" si="582"/>
        <v>5.8655862726406101</v>
      </c>
      <c r="AA166" s="10">
        <f t="shared" si="582"/>
        <v>5.8655862726406109</v>
      </c>
      <c r="AB166" s="10">
        <f t="shared" si="582"/>
        <v>5.8655862726406109</v>
      </c>
      <c r="AC166" s="10">
        <f t="shared" si="582"/>
        <v>5.8655862726406101</v>
      </c>
      <c r="AD166" s="10">
        <f t="shared" si="582"/>
        <v>5.8655862726406101</v>
      </c>
      <c r="AE166" s="10">
        <f t="shared" si="582"/>
        <v>5.8655862726406109</v>
      </c>
      <c r="AF166" s="10">
        <f t="shared" si="582"/>
        <v>5.8655862726406101</v>
      </c>
      <c r="AG166" s="10">
        <f t="shared" si="582"/>
        <v>5.8655862726406101</v>
      </c>
      <c r="AH166" s="101">
        <f t="shared" si="547"/>
        <v>0</v>
      </c>
      <c r="AI166" s="10"/>
      <c r="AJ166" s="10"/>
    </row>
    <row r="167" spans="2:36">
      <c r="B167" s="10" t="s">
        <v>317</v>
      </c>
      <c r="C167" s="10"/>
      <c r="D167" s="10"/>
      <c r="E167" s="10"/>
      <c r="F167" s="155"/>
      <c r="G167" s="155">
        <f t="shared" ref="G167" si="583">G27/G14</f>
        <v>5.032258064516129</v>
      </c>
      <c r="H167" s="155">
        <f t="shared" ref="H167:I167" si="584">H27/H14</f>
        <v>5</v>
      </c>
      <c r="I167" s="155">
        <f t="shared" si="584"/>
        <v>6.1052631578947372</v>
      </c>
      <c r="J167" s="155">
        <f t="shared" ref="J167:T167" si="585">J27/J14</f>
        <v>5.7282608695652177</v>
      </c>
      <c r="K167" s="155">
        <f t="shared" si="585"/>
        <v>5.036082474226804</v>
      </c>
      <c r="L167" s="155">
        <f t="shared" si="585"/>
        <v>6.9192546583850936</v>
      </c>
      <c r="M167" s="155">
        <f t="shared" si="585"/>
        <v>5.5779816513761471</v>
      </c>
      <c r="N167" s="155">
        <f t="shared" si="585"/>
        <v>5.3684210526315788</v>
      </c>
      <c r="O167" s="155">
        <f t="shared" si="585"/>
        <v>7.503759398496241</v>
      </c>
      <c r="P167" s="155">
        <f t="shared" si="585"/>
        <v>8.6723549488054612</v>
      </c>
      <c r="Q167" s="155">
        <f t="shared" si="585"/>
        <v>8.6716417910447756</v>
      </c>
      <c r="R167" s="155">
        <f t="shared" si="585"/>
        <v>8.4928229665071768</v>
      </c>
      <c r="S167" s="155">
        <f t="shared" si="585"/>
        <v>6.6056572379367724</v>
      </c>
      <c r="T167" s="155">
        <f t="shared" si="585"/>
        <v>7.7171381031613979</v>
      </c>
      <c r="U167" s="155">
        <f t="shared" ref="U167" si="586">U27/U14</f>
        <v>4.9599618684461388</v>
      </c>
      <c r="V167" s="101">
        <f t="shared" si="464"/>
        <v>-1.0330909844342706E-3</v>
      </c>
      <c r="W167" s="109"/>
      <c r="X167" s="10">
        <f t="shared" ref="X167:AG167" si="587">X27/X14</f>
        <v>4.9599618684461388</v>
      </c>
      <c r="Y167" s="10">
        <f t="shared" si="587"/>
        <v>4.9599618684461388</v>
      </c>
      <c r="Z167" s="10">
        <f t="shared" si="587"/>
        <v>4.9599618684461397</v>
      </c>
      <c r="AA167" s="10">
        <f t="shared" si="587"/>
        <v>4.9599618684461397</v>
      </c>
      <c r="AB167" s="10">
        <f t="shared" si="587"/>
        <v>4.9599618684461397</v>
      </c>
      <c r="AC167" s="10">
        <f t="shared" si="587"/>
        <v>4.9599618684461397</v>
      </c>
      <c r="AD167" s="10">
        <f t="shared" si="587"/>
        <v>4.9599618684461397</v>
      </c>
      <c r="AE167" s="10">
        <f t="shared" si="587"/>
        <v>4.9599618684461397</v>
      </c>
      <c r="AF167" s="10">
        <f t="shared" si="587"/>
        <v>4.9599618684461397</v>
      </c>
      <c r="AG167" s="10">
        <f t="shared" si="587"/>
        <v>4.9599618684461397</v>
      </c>
      <c r="AH167" s="101">
        <f t="shared" si="547"/>
        <v>0</v>
      </c>
      <c r="AI167" s="10"/>
      <c r="AJ167" s="10"/>
    </row>
    <row r="168" spans="2:36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9"/>
      <c r="W168" s="109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14"/>
      <c r="AI168" s="10"/>
      <c r="AJ168" s="10"/>
    </row>
    <row r="169" spans="2:36">
      <c r="B169" s="93" t="s">
        <v>201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3" t="s">
        <v>501</v>
      </c>
      <c r="T169" s="13" t="s">
        <v>410</v>
      </c>
      <c r="U169" s="13" t="s">
        <v>410</v>
      </c>
      <c r="V169" s="13" t="s">
        <v>502</v>
      </c>
      <c r="W169" s="10"/>
      <c r="X169" s="105" t="s">
        <v>54</v>
      </c>
      <c r="Y169" s="10"/>
      <c r="Z169" s="10"/>
      <c r="AA169" s="10"/>
      <c r="AB169" s="10"/>
      <c r="AC169" s="10"/>
      <c r="AD169" s="10"/>
      <c r="AE169" s="10"/>
      <c r="AF169" s="10"/>
      <c r="AG169" s="10"/>
      <c r="AH169" s="114"/>
      <c r="AI169" s="10"/>
      <c r="AJ169" s="10"/>
    </row>
    <row r="170" spans="2:36">
      <c r="B170" s="13" t="s">
        <v>230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11">
        <f>AVERAGE(G102:T102)</f>
        <v>11.780695884911342</v>
      </c>
      <c r="T170" s="111">
        <f>AVERAGE(Q102:U102)</f>
        <v>25.936768149882909</v>
      </c>
      <c r="U170" s="111">
        <f>AVERAGE(Q72:U72)</f>
        <v>25.936768149882909</v>
      </c>
      <c r="V170" s="111">
        <f>AVERAGE(L72:U72)</f>
        <v>21.803278688524593</v>
      </c>
      <c r="W170" s="10"/>
      <c r="X170" s="169" t="s">
        <v>371</v>
      </c>
      <c r="Y170" s="170" t="s">
        <v>372</v>
      </c>
      <c r="Z170" s="10"/>
      <c r="AA170" s="10"/>
      <c r="AB170" s="10"/>
      <c r="AC170" s="10"/>
      <c r="AD170" s="10"/>
      <c r="AE170" s="10"/>
      <c r="AF170" s="10"/>
      <c r="AG170" s="10"/>
      <c r="AH170" s="114"/>
      <c r="AI170" s="10"/>
      <c r="AJ170" s="10"/>
    </row>
    <row r="171" spans="2:36">
      <c r="B171" s="10" t="s">
        <v>13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7">
        <f>X171+Y171</f>
        <v>59.779122218112576</v>
      </c>
      <c r="X171" s="111">
        <f>PV($C$1, ($AG$3-$X$3), 0, -AG72)</f>
        <v>9.7998561013299312</v>
      </c>
      <c r="Y171" s="111">
        <f>PV($C$1, ($AG$3-$X$3), 0, -AJ72)</f>
        <v>49.979266116782647</v>
      </c>
      <c r="Z171" s="10"/>
      <c r="AA171" s="10"/>
      <c r="AB171" s="10"/>
      <c r="AC171" s="10"/>
      <c r="AD171" s="10"/>
      <c r="AE171" s="10"/>
      <c r="AF171" s="10"/>
      <c r="AG171" s="10"/>
      <c r="AH171" s="114"/>
      <c r="AI171" s="10"/>
      <c r="AJ171" s="10"/>
    </row>
    <row r="172" spans="2:36">
      <c r="B172" s="10" t="s">
        <v>223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7">
        <f t="shared" ref="W172:W190" si="588">X172+Y172</f>
        <v>372.76280669765737</v>
      </c>
      <c r="X172" s="111">
        <f>PV($C$1, ($AG$3-$X$3), 0, -AG74)</f>
        <v>61.108656835681543</v>
      </c>
      <c r="Y172" s="111">
        <f>PV($C$1, ($AG$3-$X$3), 0, -AJ74)</f>
        <v>311.65414986197584</v>
      </c>
      <c r="Z172" s="10"/>
      <c r="AA172" s="10"/>
      <c r="AB172" s="10"/>
      <c r="AC172" s="10"/>
      <c r="AD172" s="10"/>
      <c r="AE172" s="10"/>
      <c r="AF172" s="10"/>
      <c r="AG172" s="10"/>
      <c r="AH172" s="114"/>
      <c r="AI172" s="10"/>
      <c r="AJ172" s="10"/>
    </row>
    <row r="173" spans="2:36">
      <c r="B173" s="10" t="s">
        <v>224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7">
        <f t="shared" si="588"/>
        <v>370.60517383628172</v>
      </c>
      <c r="X173" s="111">
        <f>PV($C$1, ($AG$3-$X$3), 0, -AG75)</f>
        <v>60.754946530537985</v>
      </c>
      <c r="Y173" s="111">
        <f>PV($C$1, ($AG$3-$X$3), 0, -AJ75)</f>
        <v>309.85022730574372</v>
      </c>
      <c r="Z173" s="10"/>
      <c r="AA173" s="10"/>
      <c r="AB173" s="10"/>
      <c r="AC173" s="10"/>
      <c r="AD173" s="10"/>
      <c r="AE173" s="10"/>
      <c r="AF173" s="10"/>
      <c r="AG173" s="10"/>
      <c r="AH173" s="114"/>
      <c r="AI173" s="10"/>
      <c r="AJ173" s="10"/>
    </row>
    <row r="174" spans="2:36">
      <c r="B174" s="10" t="s">
        <v>225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7">
        <f t="shared" si="588"/>
        <v>7.3613356446932681</v>
      </c>
      <c r="X174" s="111">
        <f>PV($C$1, ($AG$3-$X$3), 0, -AG76)</f>
        <v>1.2067763351956176</v>
      </c>
      <c r="Y174" s="111">
        <f>PV($C$1, ($AG$3-$X$3), 0, -AJ76)</f>
        <v>6.1545593094976505</v>
      </c>
      <c r="Z174" s="10"/>
      <c r="AA174" s="10"/>
      <c r="AB174" s="10"/>
      <c r="AC174" s="10"/>
      <c r="AD174" s="10"/>
      <c r="AE174" s="10"/>
      <c r="AF174" s="10"/>
      <c r="AG174" s="10"/>
      <c r="AH174" s="114"/>
      <c r="AI174" s="10"/>
      <c r="AJ174" s="10"/>
    </row>
    <row r="175" spans="2:36">
      <c r="B175" s="10" t="s">
        <v>226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7">
        <f t="shared" si="588"/>
        <v>14.08807338898195</v>
      </c>
      <c r="X175" s="111">
        <f>PV($C$1, ($AG$3-$X$3), 0, -AG82)</f>
        <v>2.3095202277019586</v>
      </c>
      <c r="Y175" s="111">
        <f>PV($C$1, ($AG$3-$X$3), 0, -AJ82)</f>
        <v>11.778553161279991</v>
      </c>
      <c r="Z175" s="10"/>
      <c r="AA175" s="10"/>
      <c r="AB175" s="10"/>
      <c r="AC175" s="10"/>
      <c r="AD175" s="10"/>
      <c r="AE175" s="10"/>
      <c r="AF175" s="10"/>
      <c r="AG175" s="10"/>
      <c r="AH175" s="114"/>
      <c r="AI175" s="10"/>
      <c r="AJ175" s="10"/>
    </row>
    <row r="176" spans="2:36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7"/>
      <c r="X176" s="111"/>
      <c r="Y176" s="10"/>
      <c r="Z176" s="10"/>
      <c r="AA176" s="10"/>
      <c r="AB176" s="10"/>
      <c r="AC176" s="10"/>
      <c r="AD176" s="10"/>
      <c r="AE176" s="10"/>
      <c r="AF176" s="10"/>
      <c r="AG176" s="10"/>
      <c r="AH176" s="114"/>
      <c r="AI176" s="10"/>
      <c r="AJ176" s="10"/>
    </row>
    <row r="177" spans="2:36">
      <c r="B177" s="10" t="s">
        <v>221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7">
        <f t="shared" si="588"/>
        <v>365.4014710529641</v>
      </c>
      <c r="X177" s="111">
        <f>PV($C$1, ($AG$3-$X$3), 0, -AG78)</f>
        <v>59.901880500485923</v>
      </c>
      <c r="Y177" s="111">
        <f>PV($C$1, ($AG$3-$X$3), 0, -$AJ$78)</f>
        <v>305.4995905524782</v>
      </c>
      <c r="Z177" s="10"/>
      <c r="AA177" s="10"/>
      <c r="AB177" s="10"/>
      <c r="AC177" s="10"/>
      <c r="AD177" s="10"/>
      <c r="AE177" s="10"/>
      <c r="AF177" s="10"/>
      <c r="AG177" s="10"/>
      <c r="AH177" s="114"/>
      <c r="AI177" s="10"/>
      <c r="AJ177" s="10"/>
    </row>
    <row r="178" spans="2:36">
      <c r="B178" s="10" t="s">
        <v>222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7">
        <f t="shared" si="588"/>
        <v>229.47060078630048</v>
      </c>
      <c r="X178" s="111">
        <f>PV($C$1, ($AG$3-$X$3), 0, -AG79)</f>
        <v>37.618131276442703</v>
      </c>
      <c r="Y178" s="111">
        <f>PV($C$1, ($AG$3-$X$3), 0, -$AJ$79)</f>
        <v>191.85246950985777</v>
      </c>
      <c r="Z178" s="10"/>
      <c r="AA178" s="10"/>
      <c r="AB178" s="10"/>
      <c r="AC178" s="10"/>
      <c r="AD178" s="10"/>
      <c r="AE178" s="10"/>
      <c r="AF178" s="10"/>
      <c r="AG178" s="10"/>
      <c r="AH178" s="114"/>
      <c r="AI178" s="10"/>
      <c r="AJ178" s="10"/>
    </row>
    <row r="179" spans="2:36">
      <c r="B179" s="10" t="s">
        <v>227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7">
        <f t="shared" si="588"/>
        <v>476.07534488352496</v>
      </c>
      <c r="X179" s="111">
        <f>PV($C$1, ($AG$3-$X$3), 0, -AG80)</f>
        <v>78.045138505495899</v>
      </c>
      <c r="Y179" s="111">
        <f>PV($C$1, ($AG$3-$X$3), 0, -$AJ$80)</f>
        <v>398.03020637802905</v>
      </c>
      <c r="Z179" s="10"/>
      <c r="AA179" s="10"/>
      <c r="AB179" s="10"/>
      <c r="AC179" s="10"/>
      <c r="AD179" s="10"/>
      <c r="AE179" s="10"/>
      <c r="AF179" s="10"/>
      <c r="AG179" s="10"/>
      <c r="AH179" s="114"/>
      <c r="AI179" s="10"/>
      <c r="AJ179" s="10"/>
    </row>
    <row r="180" spans="2:36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7"/>
      <c r="X180" s="111"/>
      <c r="Y180" s="10"/>
      <c r="Z180" s="10"/>
      <c r="AA180" s="10"/>
      <c r="AB180" s="10"/>
      <c r="AC180" s="10"/>
      <c r="AD180" s="10"/>
      <c r="AE180" s="10"/>
      <c r="AF180" s="10"/>
      <c r="AG180" s="10"/>
      <c r="AH180" s="114"/>
      <c r="AI180" s="10"/>
      <c r="AJ180" s="10"/>
    </row>
    <row r="181" spans="2:36">
      <c r="B181" s="10" t="s">
        <v>206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7">
        <f t="shared" si="588"/>
        <v>246.60474409722454</v>
      </c>
      <c r="X181" s="111">
        <f>PV($C$1, ($AG$3-$X$3), 0, -AG85)</f>
        <v>40.427007229053203</v>
      </c>
      <c r="Y181" s="111">
        <f>PV($C$1, ($AG$3-$X$3), 0, -AJ85)</f>
        <v>206.17773686817134</v>
      </c>
      <c r="Z181" s="10"/>
      <c r="AA181" s="10"/>
      <c r="AB181" s="10"/>
      <c r="AC181" s="10"/>
      <c r="AD181" s="10"/>
      <c r="AE181" s="10"/>
      <c r="AF181" s="10"/>
      <c r="AG181" s="10"/>
      <c r="AH181" s="114"/>
      <c r="AI181" s="10"/>
      <c r="AJ181" s="10"/>
    </row>
    <row r="182" spans="2:36">
      <c r="B182" s="10" t="s">
        <v>207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7">
        <f t="shared" si="588"/>
        <v>118.95826096675175</v>
      </c>
      <c r="X182" s="111">
        <f>PV($C$1, ($AG$3-$X$3), 0, -AG86)</f>
        <v>21.451489682529004</v>
      </c>
      <c r="Y182" s="111">
        <f>PV($C$1, ($AG$3-$X$3), 0, -AJ86)</f>
        <v>97.506771284222751</v>
      </c>
      <c r="Z182" s="10"/>
      <c r="AA182" s="10"/>
      <c r="AB182" s="10"/>
      <c r="AC182" s="10"/>
      <c r="AD182" s="10"/>
      <c r="AE182" s="10"/>
      <c r="AF182" s="10"/>
      <c r="AG182" s="10"/>
      <c r="AH182" s="114"/>
      <c r="AI182" s="10"/>
      <c r="AJ182" s="10"/>
    </row>
    <row r="183" spans="2:36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7"/>
      <c r="X183" s="111"/>
      <c r="Y183" s="111"/>
      <c r="Z183" s="10"/>
      <c r="AA183" s="10"/>
      <c r="AB183" s="10"/>
      <c r="AC183" s="10"/>
      <c r="AD183" s="10"/>
      <c r="AE183" s="10"/>
      <c r="AF183" s="10"/>
      <c r="AG183" s="10"/>
      <c r="AH183" s="114"/>
      <c r="AI183" s="10"/>
      <c r="AJ183" s="10"/>
    </row>
    <row r="184" spans="2:36">
      <c r="B184" s="10" t="s">
        <v>242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7">
        <f t="shared" ref="W184" si="589">X184+Y184</f>
        <v>293.3196710719472</v>
      </c>
      <c r="X184" s="111">
        <f>PV($C$1, ($AG$3-$X$3), 0, -AG12)</f>
        <v>48.085191979007739</v>
      </c>
      <c r="Y184" s="111">
        <f>PV($C$1, ($AG$3-$X$3), 0, -AJ12)</f>
        <v>245.23447909293944</v>
      </c>
      <c r="Z184" s="10"/>
      <c r="AA184" s="10"/>
      <c r="AB184" s="10"/>
      <c r="AC184" s="10"/>
      <c r="AD184" s="10"/>
      <c r="AE184" s="10"/>
      <c r="AF184" s="10"/>
      <c r="AG184" s="10"/>
      <c r="AH184" s="114"/>
      <c r="AI184" s="10"/>
      <c r="AJ184" s="10"/>
    </row>
    <row r="185" spans="2:36">
      <c r="B185" s="10" t="s">
        <v>243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7">
        <f>X185+Y185</f>
        <v>17.173282849645624</v>
      </c>
      <c r="X185" s="117">
        <f>X184/S57</f>
        <v>2.8152922704337087</v>
      </c>
      <c r="Y185" s="117">
        <f>Y184/S57</f>
        <v>14.357990579211913</v>
      </c>
      <c r="Z185" s="10"/>
      <c r="AA185" s="10"/>
      <c r="AB185" s="10"/>
      <c r="AC185" s="10"/>
      <c r="AD185" s="10"/>
      <c r="AE185" s="10"/>
      <c r="AF185" s="10"/>
      <c r="AG185" s="10"/>
      <c r="AH185" s="114"/>
      <c r="AI185" s="10"/>
      <c r="AJ185" s="10"/>
    </row>
    <row r="186" spans="2:36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7"/>
      <c r="X186" s="117"/>
      <c r="Y186" s="117"/>
      <c r="Z186" s="10"/>
      <c r="AA186" s="10"/>
      <c r="AB186" s="10"/>
      <c r="AC186" s="10"/>
      <c r="AD186" s="10"/>
      <c r="AE186" s="10"/>
      <c r="AF186" s="10"/>
      <c r="AG186" s="10"/>
      <c r="AH186" s="114"/>
      <c r="AI186" s="10"/>
      <c r="AJ186" s="10"/>
    </row>
    <row r="187" spans="2:36">
      <c r="B187" s="93" t="s">
        <v>246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7"/>
      <c r="X187" s="111"/>
      <c r="Y187" s="111"/>
      <c r="Z187" s="10"/>
      <c r="AA187" s="10"/>
      <c r="AB187" s="10"/>
      <c r="AC187" s="10"/>
      <c r="AD187" s="10"/>
      <c r="AE187" s="10"/>
      <c r="AF187" s="10"/>
      <c r="AG187" s="10"/>
      <c r="AH187" s="114"/>
      <c r="AI187" s="10"/>
      <c r="AJ187" s="10"/>
    </row>
    <row r="188" spans="2:36">
      <c r="B188" s="10" t="s">
        <v>232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7">
        <f t="shared" ref="W188" si="590">X188+Y188</f>
        <v>28.522036269074391</v>
      </c>
      <c r="X188" s="111">
        <f>PV($C$1, ($AG$3-$X$3), 0, -AG88)+PV($C$1, ($AF$3-$X$3), 0, -AG88)+PV($C$1, ($AE$3-$X$3), 0, -AG88)+PV($C$1, ($AD$3-$X$3), 0, -AG88)+PV($C$1, ($AC$3-$X$3), 0, -AG88)+PV($C$1, ($AB$3-$X$3), 0, -AG88)+PV($C$1, ($AA$3-$X$3), 0, -AG88)+PV($C$1, ($Z$3-$X$3), 0, -AG88)+PV($C$1, ($Y$3-$X$3), 0, -AG88)+PV($C$1, ($X$3-$X$3), 0, -AG88)</f>
        <v>24.212986458493809</v>
      </c>
      <c r="Y188" s="111">
        <f>PV($C$1, ($AG$3-$X$3), 0, -AJ88)</f>
        <v>4.309049810580583</v>
      </c>
      <c r="Z188" s="10"/>
      <c r="AA188" s="10"/>
      <c r="AB188" s="10"/>
      <c r="AC188" s="10"/>
      <c r="AD188" s="10"/>
      <c r="AE188" s="10"/>
      <c r="AF188" s="10"/>
      <c r="AG188" s="10"/>
      <c r="AH188" s="114"/>
      <c r="AI188" s="10"/>
      <c r="AJ188" s="10"/>
    </row>
    <row r="189" spans="2:36">
      <c r="B189" s="13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7"/>
      <c r="X189" s="111"/>
      <c r="Y189" s="111"/>
      <c r="Z189" s="10"/>
      <c r="AA189" s="10"/>
      <c r="AB189" s="10"/>
      <c r="AC189" s="10"/>
      <c r="AD189" s="10"/>
      <c r="AE189" s="10"/>
      <c r="AF189" s="10"/>
      <c r="AG189" s="10"/>
      <c r="AH189" s="114"/>
      <c r="AI189" s="10"/>
      <c r="AJ189" s="10"/>
    </row>
    <row r="190" spans="2:36">
      <c r="B190" s="10" t="s">
        <v>239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7">
        <f t="shared" si="588"/>
        <v>263.22677938686303</v>
      </c>
      <c r="X190" s="111">
        <f>PV($C$1, ($AG$3-$X$3), 0, -AG90)+PV($C$1, ($AF$3-$X$3), 0, -AG90)+PV($C$1, ($AE$3-$X$3), 0, -AG90)+PV($C$1, ($AD$3-$X$3), 0, -AG90)+PV($C$1, ($AC$3-$X$3), 0, -AG90)+PV($C$1, ($AB$3-$X$3), 0, -AG90)+PV($C$1, ($AA$3-$X$3), 0, -AG90)+PV($C$1, ($Z$3-$X$3), 0, -AG90)+PV($C$1, ($Y$3-$X$3), 0, -AG90)+PV($C$1, ($X$3-$X$3), 0, -AG90)</f>
        <v>223.45902602044083</v>
      </c>
      <c r="Y190" s="111">
        <f>PV($C$1, ($AG$3-$X$3), 0, -AJ90)</f>
        <v>39.767753366422191</v>
      </c>
      <c r="Z190" s="10"/>
      <c r="AA190" s="10"/>
      <c r="AB190" s="10"/>
      <c r="AC190" s="10"/>
      <c r="AD190" s="10"/>
      <c r="AE190" s="10"/>
      <c r="AF190" s="10"/>
      <c r="AG190" s="10"/>
      <c r="AH190" s="114"/>
      <c r="AI190" s="10"/>
      <c r="AJ190" s="10"/>
    </row>
    <row r="191" spans="2:36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7"/>
      <c r="X191" s="111"/>
      <c r="Y191" s="111"/>
      <c r="Z191" s="10"/>
      <c r="AA191" s="10"/>
      <c r="AB191" s="10"/>
      <c r="AC191" s="10"/>
      <c r="AD191" s="10"/>
      <c r="AE191" s="10"/>
      <c r="AF191" s="10"/>
      <c r="AG191" s="10"/>
      <c r="AH191" s="114"/>
      <c r="AI191" s="10"/>
      <c r="AJ191" s="10"/>
    </row>
    <row r="192" spans="2:36">
      <c r="B192" s="10" t="s">
        <v>401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7">
        <f t="shared" ref="W192:W195" si="591">X192+Y192</f>
        <v>12.642719025270823</v>
      </c>
      <c r="X192" s="111">
        <f>PV($C$1, ($AG$3-$X$3), 0, -AG92)+PV($C$1, ($AF$3-$X$3), 0, -AG92)+PV($C$1, ($AE$3-$X$3), 0, -AG92)+PV($C$1, ($AD$3-$X$3), 0, -AG92)+PV($C$1, ($AC$3-$X$3), 0, -AG92)+PV($C$1, ($AB$3-$X$3), 0, -AG92)+PV($C$1, ($AA$3-$X$3), 0, -AG92)+PV($C$1, ($Z$3-$X$3), 0, -AG92)+PV($C$1, ($Y$3-$X$3), 0, -AG92)+PV($C$1, ($X$3-$X$3), 0, -AG92)</f>
        <v>10.732683377495711</v>
      </c>
      <c r="Y192" s="111">
        <f>PV($C$1, ($AG$3-$X$3), 0, -AJ92)</f>
        <v>1.9100356477751128</v>
      </c>
      <c r="Z192" s="10"/>
      <c r="AA192" s="10"/>
      <c r="AB192" s="10"/>
      <c r="AC192" s="10"/>
      <c r="AD192" s="10"/>
      <c r="AE192" s="10"/>
      <c r="AF192" s="10"/>
      <c r="AG192" s="10"/>
      <c r="AH192" s="114"/>
      <c r="AI192" s="10"/>
      <c r="AJ192" s="10"/>
    </row>
    <row r="193" spans="2:36">
      <c r="B193" s="10" t="s">
        <v>236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7">
        <f t="shared" si="591"/>
        <v>387.71005010830925</v>
      </c>
      <c r="X193" s="111">
        <f>PV($C$1, ($AG$3-$X$3), 0, -AG93)+PV($C$1, ($AF$3-$X$3), 0, -AG93)+PV($C$1, ($AE$3-$X$3), 0, -AG93)+PV($C$1, ($AD$3-$X$3), 0, -AG93)+PV($C$1, ($AC$3-$X$3), 0, -AG93)+PV($C$1, ($AB$3-$X$3), 0, -AG93)+PV($C$1, ($AA$3-$X$3), 0, -AG93)+PV($C$1, ($Z$3-$X$3), 0, -AG93)+PV($C$1, ($Y$3-$X$3), 0, -AG93)+PV($C$1, ($X$3-$X$3), 0, -AG93)</f>
        <v>329.13562357653853</v>
      </c>
      <c r="Y193" s="111">
        <f>PV($C$1, ($AG$3-$X$3), 0, -AJ93)</f>
        <v>58.57442653177074</v>
      </c>
      <c r="Z193" s="10"/>
      <c r="AA193" s="10"/>
      <c r="AB193" s="10"/>
      <c r="AC193" s="10"/>
      <c r="AD193" s="10"/>
      <c r="AE193" s="10"/>
      <c r="AF193" s="10"/>
      <c r="AG193" s="10"/>
      <c r="AH193" s="114"/>
      <c r="AI193" s="10"/>
      <c r="AJ193" s="10"/>
    </row>
    <row r="194" spans="2:36">
      <c r="B194" s="10" t="s">
        <v>237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7">
        <f t="shared" si="591"/>
        <v>-375.06733108303843</v>
      </c>
      <c r="X194" s="111">
        <f>PV($C$1, ($AG$3-$X$3), 0, -AG94)+PV($C$1, ($AF$3-$X$3), 0, -AG94)+PV($C$1, ($AE$3-$X$3), 0, -AG94)+PV($C$1, ($AD$3-$X$3), 0, -AG94)+PV($C$1, ($AC$3-$X$3), 0, -AG94)+PV($C$1, ($AB$3-$X$3), 0, -AG94)+PV($C$1, ($AA$3-$X$3), 0, -AG94)+PV($C$1, ($Z$3-$X$3), 0, -AG94)+PV($C$1, ($Y$3-$X$3), 0, -AG94)+PV($C$1, ($X$3-$X$3), 0, -AG94)</f>
        <v>-318.4029401990428</v>
      </c>
      <c r="Y194" s="111">
        <f>PV($C$1, ($AG$3-$X$3), 0, -AJ94)</f>
        <v>-56.664390883995623</v>
      </c>
      <c r="Z194" s="10"/>
      <c r="AA194" s="10"/>
      <c r="AB194" s="10"/>
      <c r="AC194" s="10"/>
      <c r="AD194" s="10"/>
      <c r="AE194" s="10"/>
      <c r="AF194" s="10"/>
      <c r="AG194" s="10"/>
      <c r="AH194" s="114"/>
      <c r="AI194" s="10"/>
      <c r="AJ194" s="10"/>
    </row>
    <row r="195" spans="2:36">
      <c r="B195" s="10" t="s">
        <v>238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7">
        <f t="shared" si="591"/>
        <v>-1.40474655836344</v>
      </c>
      <c r="X195" s="111">
        <f>PV($C$1, ($AG$3-$X$3), 0, -AG95)+PV($C$1, ($AF$3-$X$3), 0, -AG95)+PV($C$1, ($AE$3-$X$3), 0, -AG95)+PV($C$1, ($AD$3-$X$3), 0, -AG95)+PV($C$1, ($AC$3-$X$3), 0, -AG95)+PV($C$1, ($AB$3-$X$3), 0, -AG95)+PV($C$1, ($AA$3-$X$3), 0, -AG95)+PV($C$1, ($Z$3-$X$3), 0, -AG95)+PV($C$1, ($Y$3-$X$3), 0, -AG95)+PV($C$1, ($X$3-$X$3), 0, -AG95)</f>
        <v>-1.1925203752773141</v>
      </c>
      <c r="Y195" s="111">
        <f>PV($C$1, ($AG$3-$X$3), 0, -AJ95)</f>
        <v>-0.2122261830861259</v>
      </c>
      <c r="Z195" s="10"/>
      <c r="AA195" s="10"/>
      <c r="AB195" s="10"/>
      <c r="AC195" s="10"/>
      <c r="AD195" s="10"/>
      <c r="AE195" s="10"/>
      <c r="AF195" s="10"/>
      <c r="AG195" s="10"/>
      <c r="AH195" s="114"/>
      <c r="AI195" s="10"/>
      <c r="AJ195" s="10"/>
    </row>
    <row r="196" spans="2:36">
      <c r="B196" s="10" t="s">
        <v>399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95">
        <f>W193+W194+W195</f>
        <v>11.237972466907381</v>
      </c>
      <c r="X196" s="95">
        <f t="shared" ref="X196:Y196" si="592">X193+X194+X195</f>
        <v>9.5401630022184172</v>
      </c>
      <c r="Y196" s="95">
        <f t="shared" si="592"/>
        <v>1.6978094646889919</v>
      </c>
      <c r="Z196" s="10"/>
      <c r="AA196" s="10"/>
      <c r="AB196" s="10"/>
      <c r="AC196" s="10"/>
      <c r="AD196" s="10"/>
      <c r="AE196" s="10"/>
      <c r="AF196" s="10"/>
      <c r="AG196" s="10"/>
      <c r="AH196" s="114"/>
      <c r="AI196" s="10"/>
      <c r="AJ196" s="10"/>
    </row>
    <row r="197" spans="2:36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7"/>
      <c r="X197" s="111"/>
      <c r="Y197" s="111"/>
      <c r="Z197" s="10"/>
      <c r="AA197" s="10"/>
      <c r="AB197" s="10"/>
      <c r="AC197" s="10"/>
      <c r="AD197" s="10"/>
      <c r="AE197" s="10"/>
      <c r="AF197" s="10"/>
      <c r="AG197" s="10"/>
      <c r="AH197" s="114"/>
      <c r="AI197" s="10"/>
      <c r="AJ197" s="10"/>
    </row>
    <row r="198" spans="2:36">
      <c r="B198" s="10" t="s">
        <v>247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7">
        <f>X198+Y198</f>
        <v>15.452212141997837</v>
      </c>
      <c r="X198" s="111">
        <f>PV($C$1, ($AG$3-$X$3), 0, -AG96)+PV($C$1, ($AF$3-$X$3), 0, -AG96)+PV($C$1, ($AE$3-$X$3), 0, -AG96)+PV($C$1, ($AD$3-$X$3), 0, -AG96)+PV($C$1, ($AC$3-$X$3), 0, -AG96)+PV($C$1, ($AB$3-$X$3), 0, -AG96)+PV($C$1, ($AA$3-$X$3), 0, -AG96)+PV($C$1, ($Z$3-$X$3), 0, -AG96)+PV($C$1, ($Y$3-$X$3), 0, -AG96)+PV($C$1, ($X$3-$X$3), 0, -AG96)</f>
        <v>13.117724128050451</v>
      </c>
      <c r="Y198" s="111">
        <f>PV($C$1, ($AG$3-$X$3), 0, -AJ96)</f>
        <v>2.3344880139473854</v>
      </c>
      <c r="Z198" s="10"/>
      <c r="AA198" s="10"/>
      <c r="AB198" s="10"/>
      <c r="AC198" s="10"/>
      <c r="AD198" s="10"/>
      <c r="AE198" s="10"/>
      <c r="AF198" s="10"/>
      <c r="AG198" s="10"/>
      <c r="AH198" s="114"/>
      <c r="AI198" s="10"/>
      <c r="AJ198" s="10"/>
    </row>
    <row r="199" spans="2:36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58">
        <v>41729</v>
      </c>
      <c r="U199" s="10">
        <v>795</v>
      </c>
      <c r="V199" s="10"/>
      <c r="W199" s="10"/>
      <c r="X199" s="104"/>
      <c r="Y199" s="10"/>
      <c r="Z199" s="10"/>
      <c r="AA199" s="10"/>
      <c r="AB199" s="10"/>
      <c r="AC199" s="10"/>
      <c r="AD199" s="10"/>
      <c r="AE199" s="10"/>
      <c r="AF199" s="10"/>
      <c r="AG199" s="10"/>
      <c r="AH199" s="114"/>
      <c r="AI199" s="10"/>
      <c r="AJ199" s="10"/>
    </row>
    <row r="200" spans="2:36">
      <c r="B200" s="93" t="s">
        <v>208</v>
      </c>
      <c r="C200" s="10"/>
      <c r="D200" s="10"/>
      <c r="E200" s="10"/>
      <c r="F200" s="176"/>
      <c r="G200" s="171">
        <v>56</v>
      </c>
      <c r="H200" s="171">
        <v>0</v>
      </c>
      <c r="I200" s="171">
        <v>0</v>
      </c>
      <c r="J200" s="171">
        <v>0</v>
      </c>
      <c r="K200" s="171">
        <v>0</v>
      </c>
      <c r="L200" s="171">
        <v>0</v>
      </c>
      <c r="M200" s="171">
        <v>0</v>
      </c>
      <c r="N200" s="171">
        <v>0</v>
      </c>
      <c r="O200" s="171">
        <v>0</v>
      </c>
      <c r="P200" s="171">
        <v>0</v>
      </c>
      <c r="Q200" s="171">
        <v>0</v>
      </c>
      <c r="R200" s="171">
        <v>0</v>
      </c>
      <c r="S200" s="171">
        <v>0</v>
      </c>
      <c r="T200" s="13" t="s">
        <v>332</v>
      </c>
      <c r="U200" s="10">
        <v>804</v>
      </c>
      <c r="V200" s="10">
        <v>250</v>
      </c>
      <c r="W200" s="13" t="s">
        <v>333</v>
      </c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14"/>
      <c r="AI200" s="10"/>
      <c r="AJ200" s="10"/>
    </row>
    <row r="201" spans="2:36">
      <c r="B201" s="10" t="s">
        <v>183</v>
      </c>
      <c r="C201" s="12">
        <v>0</v>
      </c>
      <c r="D201" s="12">
        <v>0</v>
      </c>
      <c r="E201" s="12">
        <v>0</v>
      </c>
      <c r="F201" s="12">
        <v>48</v>
      </c>
      <c r="G201" s="12">
        <v>56</v>
      </c>
      <c r="H201" s="12">
        <v>91</v>
      </c>
      <c r="I201" s="12">
        <v>234</v>
      </c>
      <c r="J201" s="12">
        <v>340</v>
      </c>
      <c r="K201" s="12">
        <v>195</v>
      </c>
      <c r="L201" s="12">
        <v>36</v>
      </c>
      <c r="M201" s="12">
        <v>164</v>
      </c>
      <c r="N201" s="12">
        <v>189</v>
      </c>
      <c r="O201" s="12">
        <v>272</v>
      </c>
      <c r="P201" s="12">
        <v>293</v>
      </c>
      <c r="Q201" s="12">
        <v>394</v>
      </c>
      <c r="R201" s="12">
        <v>833</v>
      </c>
      <c r="S201" s="12">
        <v>877</v>
      </c>
      <c r="T201" s="12">
        <v>890</v>
      </c>
      <c r="U201" s="12">
        <v>250</v>
      </c>
      <c r="V201" s="101">
        <f t="shared" ref="V201:V232" si="593">((U201/G201)^(1/($K$2-$K$1) ))-1</f>
        <v>0.11278395706465716</v>
      </c>
      <c r="W201" s="21">
        <v>0</v>
      </c>
      <c r="X201" s="172">
        <v>50</v>
      </c>
      <c r="Y201" s="102">
        <f t="shared" ref="Y201:AG201" si="594">X201*(1+$W201)</f>
        <v>50</v>
      </c>
      <c r="Z201" s="102">
        <f t="shared" si="594"/>
        <v>50</v>
      </c>
      <c r="AA201" s="102">
        <f t="shared" si="594"/>
        <v>50</v>
      </c>
      <c r="AB201" s="102">
        <f t="shared" si="594"/>
        <v>50</v>
      </c>
      <c r="AC201" s="102">
        <f t="shared" si="594"/>
        <v>50</v>
      </c>
      <c r="AD201" s="102">
        <f t="shared" si="594"/>
        <v>50</v>
      </c>
      <c r="AE201" s="102">
        <f t="shared" si="594"/>
        <v>50</v>
      </c>
      <c r="AF201" s="102">
        <f t="shared" si="594"/>
        <v>50</v>
      </c>
      <c r="AG201" s="102">
        <f t="shared" si="594"/>
        <v>50</v>
      </c>
      <c r="AH201" s="115">
        <f t="shared" ref="AH201:AH208" si="595">((AG201/J201)^(1/($AG$3-$K$1) ))-1</f>
        <v>-7.67652798993671E-2</v>
      </c>
      <c r="AI201" s="21">
        <f t="shared" ref="AI201:AI208" si="596">$O$1</f>
        <v>0.02</v>
      </c>
      <c r="AJ201" s="108">
        <f t="shared" ref="AJ201:AJ212" si="597">(AG201*(1+AH201))/($C$1-AI201)</f>
        <v>230.8086800251582</v>
      </c>
    </row>
    <row r="202" spans="2:36">
      <c r="B202" s="10" t="s">
        <v>303</v>
      </c>
      <c r="C202" s="15"/>
      <c r="D202" s="15"/>
      <c r="E202" s="15"/>
      <c r="F202" s="15"/>
      <c r="G202" s="15">
        <f t="shared" ref="G202" si="598">G201/G66</f>
        <v>0.35155555555555551</v>
      </c>
      <c r="H202" s="15">
        <f t="shared" ref="H202:I202" si="599">H201/H66</f>
        <v>0.41800813008130078</v>
      </c>
      <c r="I202" s="15">
        <f t="shared" si="599"/>
        <v>0.65776119402985067</v>
      </c>
      <c r="J202" s="15">
        <f t="shared" ref="J202:T202" si="600">J201/J66</f>
        <v>0.61967741935483867</v>
      </c>
      <c r="K202" s="15">
        <f t="shared" si="600"/>
        <v>0.95486230636833058</v>
      </c>
      <c r="L202" s="15">
        <f t="shared" si="600"/>
        <v>0.23777262180974473</v>
      </c>
      <c r="M202" s="15">
        <f t="shared" si="600"/>
        <v>0.91960604070912666</v>
      </c>
      <c r="N202" s="15">
        <f t="shared" si="600"/>
        <v>0.89969899665551833</v>
      </c>
      <c r="O202" s="15">
        <f t="shared" si="600"/>
        <v>0.98302158273381279</v>
      </c>
      <c r="P202" s="15">
        <f t="shared" si="600"/>
        <v>1.6516303630363034</v>
      </c>
      <c r="Q202" s="15">
        <f t="shared" si="600"/>
        <v>1.9188822355289419</v>
      </c>
      <c r="R202" s="15">
        <f t="shared" si="600"/>
        <v>3.3133768048439682</v>
      </c>
      <c r="S202" s="15">
        <f t="shared" si="600"/>
        <v>3.0955073362264929</v>
      </c>
      <c r="T202" s="15">
        <f t="shared" si="600"/>
        <v>2.7453855878634639</v>
      </c>
      <c r="U202" s="15">
        <f t="shared" ref="U202" si="601">U201/U66</f>
        <v>0.6939704209328782</v>
      </c>
      <c r="V202" s="101">
        <f t="shared" si="593"/>
        <v>4.9774970757425985E-2</v>
      </c>
      <c r="W202" s="109"/>
      <c r="X202" s="15">
        <f t="shared" ref="X202:AG202" si="602">X201/X66</f>
        <v>0.12869996897300651</v>
      </c>
      <c r="Y202" s="15">
        <f t="shared" si="602"/>
        <v>0.11933997122951509</v>
      </c>
      <c r="Z202" s="15">
        <f t="shared" si="602"/>
        <v>0.11066070059464125</v>
      </c>
      <c r="AA202" s="15">
        <f t="shared" si="602"/>
        <v>0.10261264964230368</v>
      </c>
      <c r="AB202" s="15">
        <f t="shared" si="602"/>
        <v>9.5149911486499789E-2</v>
      </c>
      <c r="AC202" s="15">
        <f t="shared" si="602"/>
        <v>8.8229917923845255E-2</v>
      </c>
      <c r="AD202" s="15">
        <f t="shared" si="602"/>
        <v>8.1813196620292863E-2</v>
      </c>
      <c r="AE202" s="15">
        <f t="shared" si="602"/>
        <v>7.5863145956998848E-2</v>
      </c>
      <c r="AF202" s="15">
        <f t="shared" si="602"/>
        <v>7.0345826251035276E-2</v>
      </c>
      <c r="AG202" s="15">
        <f t="shared" si="602"/>
        <v>6.5229766160050898E-2</v>
      </c>
      <c r="AH202" s="115">
        <f t="shared" ref="AH202" si="603">((AG202/J202)^(1/($AG$3-$K$1) ))-1</f>
        <v>-8.9538317388220712E-2</v>
      </c>
      <c r="AI202" s="21">
        <f t="shared" si="596"/>
        <v>0.02</v>
      </c>
      <c r="AJ202" s="108">
        <f t="shared" ref="AJ202" si="604">(AG202*(1+AH202))/($C$1-AI202)</f>
        <v>0.29694601327226416</v>
      </c>
    </row>
    <row r="203" spans="2:36">
      <c r="B203" s="10" t="s">
        <v>331</v>
      </c>
      <c r="C203" s="15"/>
      <c r="D203" s="15"/>
      <c r="E203" s="15"/>
      <c r="F203" s="15"/>
      <c r="G203" s="15">
        <f t="shared" ref="G203" si="605">G201/G72</f>
        <v>63.279999999999994</v>
      </c>
      <c r="H203" s="15">
        <f t="shared" ref="H203:I203" si="606">H201/H72</f>
        <v>11.425555555555555</v>
      </c>
      <c r="I203" s="15">
        <f t="shared" si="606"/>
        <v>11.0175</v>
      </c>
      <c r="J203" s="15">
        <f t="shared" ref="J203:T203" si="607">J201/J72</f>
        <v>8.1744680851063816</v>
      </c>
      <c r="K203" s="15">
        <f t="shared" si="607"/>
        <v>11.803723404255321</v>
      </c>
      <c r="L203" s="15">
        <f t="shared" si="607"/>
        <v>3.7955555555555556</v>
      </c>
      <c r="M203" s="15">
        <f t="shared" si="607"/>
        <v>8.3865868263473047</v>
      </c>
      <c r="N203" s="15">
        <f t="shared" si="607"/>
        <v>10.905810810810809</v>
      </c>
      <c r="O203" s="15">
        <f t="shared" si="607"/>
        <v>10.804093023255813</v>
      </c>
      <c r="P203" s="15">
        <f t="shared" si="607"/>
        <v>17.437073170731704</v>
      </c>
      <c r="Q203" s="15">
        <f t="shared" si="607"/>
        <v>18.336566757493188</v>
      </c>
      <c r="R203" s="15">
        <f t="shared" si="607"/>
        <v>34.701560975609752</v>
      </c>
      <c r="S203" s="15">
        <f t="shared" si="607"/>
        <v>30.632229038854803</v>
      </c>
      <c r="T203" s="15">
        <f t="shared" si="607"/>
        <v>31.801673640167362</v>
      </c>
      <c r="U203" s="15">
        <f t="shared" ref="U203" si="608">U201/U72</f>
        <v>9.0658174097664546</v>
      </c>
      <c r="V203" s="101">
        <f t="shared" si="593"/>
        <v>-0.12958909947278796</v>
      </c>
      <c r="W203" s="109"/>
      <c r="X203" s="102">
        <f t="shared" ref="X203:AG203" si="609">X201/X72</f>
        <v>1.6812970469021422</v>
      </c>
      <c r="Y203" s="102">
        <f t="shared" si="609"/>
        <v>1.5590208980365314</v>
      </c>
      <c r="Z203" s="102">
        <f t="shared" si="609"/>
        <v>1.4456375599975109</v>
      </c>
      <c r="AA203" s="102">
        <f t="shared" si="609"/>
        <v>1.3405002829067827</v>
      </c>
      <c r="AB203" s="102">
        <f t="shared" si="609"/>
        <v>1.2430093532408346</v>
      </c>
      <c r="AC203" s="102">
        <f t="shared" si="609"/>
        <v>1.1526086730051377</v>
      </c>
      <c r="AD203" s="102">
        <f t="shared" si="609"/>
        <v>1.0687825876956731</v>
      </c>
      <c r="AE203" s="102">
        <f t="shared" si="609"/>
        <v>0.99105294495416962</v>
      </c>
      <c r="AF203" s="102">
        <f t="shared" si="609"/>
        <v>0.91897636713932085</v>
      </c>
      <c r="AG203" s="102">
        <f t="shared" si="609"/>
        <v>0.85214172225646112</v>
      </c>
      <c r="AH203" s="115">
        <f t="shared" si="595"/>
        <v>-8.9907545621541129E-2</v>
      </c>
      <c r="AI203" s="21">
        <f t="shared" si="596"/>
        <v>0.02</v>
      </c>
      <c r="AJ203" s="108">
        <f t="shared" si="597"/>
        <v>3.8776387574333486</v>
      </c>
    </row>
    <row r="204" spans="2:36">
      <c r="B204" s="10" t="s">
        <v>404</v>
      </c>
      <c r="C204" s="15"/>
      <c r="D204" s="15"/>
      <c r="E204" s="15"/>
      <c r="F204" s="15"/>
      <c r="G204" s="15">
        <f t="shared" ref="G204" si="610">G201/G70</f>
        <v>2.8763636363636365</v>
      </c>
      <c r="H204" s="15">
        <f t="shared" ref="H204:I204" si="611">H201/H70</f>
        <v>4.284583333333333</v>
      </c>
      <c r="I204" s="15">
        <f t="shared" si="611"/>
        <v>4.9890566037735846</v>
      </c>
      <c r="J204" s="15">
        <f t="shared" ref="J204:T204" si="612">J201/J70</f>
        <v>4.1311827956989244</v>
      </c>
      <c r="K204" s="15">
        <f t="shared" si="612"/>
        <v>6.0964285714285715</v>
      </c>
      <c r="L204" s="15">
        <f t="shared" si="612"/>
        <v>1.4780769230769228</v>
      </c>
      <c r="M204" s="15">
        <f t="shared" si="612"/>
        <v>4.7800682593856649</v>
      </c>
      <c r="N204" s="15">
        <f t="shared" si="612"/>
        <v>6.2560465116279067</v>
      </c>
      <c r="O204" s="15">
        <f t="shared" si="612"/>
        <v>6.5249438202247179</v>
      </c>
      <c r="P204" s="15">
        <f t="shared" si="612"/>
        <v>11.071769911504424</v>
      </c>
      <c r="Q204" s="15">
        <f t="shared" si="612"/>
        <v>12.016999999999998</v>
      </c>
      <c r="R204" s="15">
        <f t="shared" si="612"/>
        <v>20.067193229901267</v>
      </c>
      <c r="S204" s="15">
        <f t="shared" si="612"/>
        <v>18.334345165238677</v>
      </c>
      <c r="T204" s="15">
        <f t="shared" si="612"/>
        <v>17.904829210836276</v>
      </c>
      <c r="U204" s="15">
        <f t="shared" ref="U204" si="613">U201/U70</f>
        <v>4.8357870894677237</v>
      </c>
      <c r="V204" s="101">
        <f t="shared" si="593"/>
        <v>3.780547101408005E-2</v>
      </c>
      <c r="W204" s="109"/>
      <c r="X204" s="15">
        <f t="shared" ref="X204:AG204" si="614">X201/X70</f>
        <v>0.89681869659219582</v>
      </c>
      <c r="Y204" s="15">
        <f t="shared" si="614"/>
        <v>0.8315955186582179</v>
      </c>
      <c r="Z204" s="15">
        <f t="shared" si="614"/>
        <v>0.77111584457398374</v>
      </c>
      <c r="AA204" s="15">
        <f t="shared" si="614"/>
        <v>0.71503469224133032</v>
      </c>
      <c r="AB204" s="15">
        <f t="shared" si="614"/>
        <v>0.66303216916923347</v>
      </c>
      <c r="AC204" s="15">
        <f t="shared" si="614"/>
        <v>0.61481164777510755</v>
      </c>
      <c r="AD204" s="15">
        <f t="shared" si="614"/>
        <v>0.57009807339146323</v>
      </c>
      <c r="AE204" s="15">
        <f t="shared" si="614"/>
        <v>0.52863639532662954</v>
      </c>
      <c r="AF204" s="15">
        <f t="shared" si="614"/>
        <v>0.49019011203014728</v>
      </c>
      <c r="AG204" s="15">
        <f t="shared" si="614"/>
        <v>0.45453992206431842</v>
      </c>
      <c r="AH204" s="115">
        <f t="shared" ref="AH204:AH205" si="615">((AG204/J204)^(1/($AG$3-$K$1) ))-1</f>
        <v>-8.7858110464559824E-2</v>
      </c>
      <c r="AI204" s="21">
        <f t="shared" si="596"/>
        <v>0.02</v>
      </c>
      <c r="AJ204" s="108">
        <f t="shared" ref="AJ204:AJ205" si="616">(AG204*(1+AH204))/($C$1-AI204)</f>
        <v>2.0730245169051953</v>
      </c>
    </row>
    <row r="205" spans="2:36">
      <c r="B205" s="10" t="s">
        <v>405</v>
      </c>
      <c r="C205" s="15"/>
      <c r="D205" s="15"/>
      <c r="E205" s="15"/>
      <c r="F205" s="15"/>
      <c r="G205" s="15">
        <f t="shared" ref="G205" si="617">G201/G71</f>
        <v>63.279999999999994</v>
      </c>
      <c r="H205" s="15">
        <f t="shared" ref="H205:I205" si="618">H201/H71</f>
        <v>8.5691666666666659</v>
      </c>
      <c r="I205" s="15">
        <f t="shared" si="618"/>
        <v>7.1464864864864852</v>
      </c>
      <c r="J205" s="15">
        <f t="shared" ref="J205:T205" si="619">J201/J71</f>
        <v>5.3361111111111104</v>
      </c>
      <c r="K205" s="15">
        <f t="shared" si="619"/>
        <v>7.5996575342465764</v>
      </c>
      <c r="L205" s="15">
        <f t="shared" si="619"/>
        <v>2.4793548387096771</v>
      </c>
      <c r="M205" s="15">
        <f t="shared" si="619"/>
        <v>5.4923921568627447</v>
      </c>
      <c r="N205" s="15">
        <f t="shared" si="619"/>
        <v>7.3366363636363632</v>
      </c>
      <c r="O205" s="15">
        <f t="shared" si="619"/>
        <v>7.3046540880503139</v>
      </c>
      <c r="P205" s="15">
        <f t="shared" si="619"/>
        <v>11.858862559241704</v>
      </c>
      <c r="Q205" s="15">
        <f t="shared" si="619"/>
        <v>12.55507462686567</v>
      </c>
      <c r="R205" s="15">
        <f t="shared" si="619"/>
        <v>23.323999999999998</v>
      </c>
      <c r="S205" s="15">
        <f t="shared" si="619"/>
        <v>20.74675900277008</v>
      </c>
      <c r="T205" s="15">
        <f t="shared" si="619"/>
        <v>21.654131054131049</v>
      </c>
      <c r="U205" s="15">
        <f t="shared" ref="U205" si="620">U201/U71</f>
        <v>5.9720279720279716</v>
      </c>
      <c r="V205" s="101">
        <f t="shared" si="593"/>
        <v>-0.15515821971530996</v>
      </c>
      <c r="W205" s="109"/>
      <c r="X205" s="15">
        <f t="shared" ref="X205:AG205" si="621">X201/X71</f>
        <v>1.1075397329942782</v>
      </c>
      <c r="Y205" s="15">
        <f t="shared" si="621"/>
        <v>1.0269913887765123</v>
      </c>
      <c r="Z205" s="15">
        <f t="shared" si="621"/>
        <v>0.95230110595640216</v>
      </c>
      <c r="AA205" s="15">
        <f t="shared" si="621"/>
        <v>0.88304284370502728</v>
      </c>
      <c r="AB205" s="15">
        <f t="shared" si="621"/>
        <v>0.8188215459810253</v>
      </c>
      <c r="AC205" s="15">
        <f t="shared" si="621"/>
        <v>0.75927088809149612</v>
      </c>
      <c r="AD205" s="15">
        <f t="shared" si="621"/>
        <v>0.7040511871393873</v>
      </c>
      <c r="AE205" s="15">
        <f t="shared" si="621"/>
        <v>0.65284746443834096</v>
      </c>
      <c r="AF205" s="15">
        <f t="shared" si="621"/>
        <v>0.60536764884282523</v>
      </c>
      <c r="AG205" s="15">
        <f t="shared" si="621"/>
        <v>0.56134091074516523</v>
      </c>
      <c r="AH205" s="115">
        <f t="shared" si="615"/>
        <v>-8.9562628476151041E-2</v>
      </c>
      <c r="AI205" s="21">
        <f t="shared" si="596"/>
        <v>0.02</v>
      </c>
      <c r="AJ205" s="108">
        <f t="shared" si="616"/>
        <v>2.5553287165381589</v>
      </c>
    </row>
    <row r="206" spans="2:36">
      <c r="B206" s="10" t="s">
        <v>215</v>
      </c>
      <c r="C206" s="15"/>
      <c r="D206" s="15"/>
      <c r="E206" s="15"/>
      <c r="F206" s="15"/>
      <c r="G206" s="15">
        <f t="shared" ref="G206" si="622">G201/G75</f>
        <v>0.38822085889570551</v>
      </c>
      <c r="H206" s="15">
        <f t="shared" ref="H206:I206" si="623">H201/H75</f>
        <v>0.60846153846153839</v>
      </c>
      <c r="I206" s="15">
        <f t="shared" si="623"/>
        <v>1.3916842105263159</v>
      </c>
      <c r="J206" s="15">
        <f t="shared" ref="J206:T206" si="624">J201/J75</f>
        <v>1.6560344827586206</v>
      </c>
      <c r="K206" s="15">
        <f t="shared" si="624"/>
        <v>3.4458074534161494</v>
      </c>
      <c r="L206" s="15">
        <f t="shared" si="624"/>
        <v>0.79237113402061854</v>
      </c>
      <c r="M206" s="15">
        <f t="shared" si="624"/>
        <v>2.6576091081593924</v>
      </c>
      <c r="N206" s="15">
        <f t="shared" si="624"/>
        <v>2.5701592356687897</v>
      </c>
      <c r="O206" s="15">
        <f t="shared" si="624"/>
        <v>2.8819851116625306</v>
      </c>
      <c r="P206" s="15">
        <f t="shared" si="624"/>
        <v>4.8027255278310941</v>
      </c>
      <c r="Q206" s="15">
        <f t="shared" si="624"/>
        <v>5.0033605947955389</v>
      </c>
      <c r="R206" s="15">
        <f t="shared" si="624"/>
        <v>8.4562998888552077</v>
      </c>
      <c r="S206" s="15">
        <f t="shared" si="624"/>
        <v>7.1876967370441456</v>
      </c>
      <c r="T206" s="15">
        <f t="shared" si="624"/>
        <v>5.9033786407766984</v>
      </c>
      <c r="U206" s="15">
        <f t="shared" ref="U206" si="625">U201/U75</f>
        <v>1.4623287671232874</v>
      </c>
      <c r="V206" s="101">
        <f t="shared" si="593"/>
        <v>9.9361287516131824E-2</v>
      </c>
      <c r="W206" s="109"/>
      <c r="X206" s="169">
        <f t="shared" ref="X206:AG206" si="626">X201/X75</f>
        <v>0.27119551681195508</v>
      </c>
      <c r="Y206" s="102">
        <f t="shared" si="626"/>
        <v>0.25147220649835833</v>
      </c>
      <c r="Z206" s="102">
        <f t="shared" si="626"/>
        <v>0.23318331875302314</v>
      </c>
      <c r="AA206" s="102">
        <f t="shared" si="626"/>
        <v>0.21622453193462143</v>
      </c>
      <c r="AB206" s="102">
        <f t="shared" si="626"/>
        <v>0.20049911143028532</v>
      </c>
      <c r="AC206" s="102">
        <f t="shared" si="626"/>
        <v>0.18591735787171912</v>
      </c>
      <c r="AD206" s="102">
        <f t="shared" si="626"/>
        <v>0.17239609548104867</v>
      </c>
      <c r="AE206" s="102">
        <f t="shared" si="626"/>
        <v>0.15985819762788148</v>
      </c>
      <c r="AF206" s="102">
        <f t="shared" si="626"/>
        <v>0.14823214689130829</v>
      </c>
      <c r="AG206" s="102">
        <f t="shared" si="626"/>
        <v>0.13745162711739495</v>
      </c>
      <c r="AH206" s="115">
        <f t="shared" si="595"/>
        <v>-9.8508392666488809E-2</v>
      </c>
      <c r="AI206" s="21">
        <f t="shared" si="596"/>
        <v>0.02</v>
      </c>
      <c r="AJ206" s="108">
        <f t="shared" si="597"/>
        <v>0.61955744130333401</v>
      </c>
    </row>
    <row r="207" spans="2:36">
      <c r="B207" s="10" t="s">
        <v>216</v>
      </c>
      <c r="C207" s="15"/>
      <c r="D207" s="15"/>
      <c r="E207" s="15"/>
      <c r="F207" s="15"/>
      <c r="G207" s="15">
        <f t="shared" ref="G207" si="627">G201/G84</f>
        <v>1.7577777777777777</v>
      </c>
      <c r="H207" s="15">
        <f t="shared" ref="H207:I207" si="628">H201/H84</f>
        <v>2.5080487804878047</v>
      </c>
      <c r="I207" s="15">
        <f t="shared" si="628"/>
        <v>4.9890566037735846</v>
      </c>
      <c r="J207" s="15">
        <f t="shared" ref="J207:T207" si="629">J201/J84</f>
        <v>9.1476190476190471</v>
      </c>
      <c r="K207" s="15">
        <f t="shared" si="629"/>
        <v>16.316911764705885</v>
      </c>
      <c r="L207" s="15">
        <f t="shared" si="629"/>
        <v>2.6276923076923073</v>
      </c>
      <c r="M207" s="15">
        <f t="shared" si="629"/>
        <v>17.955897435897434</v>
      </c>
      <c r="N207" s="15">
        <f t="shared" si="629"/>
        <v>28.822499999999994</v>
      </c>
      <c r="O207" s="15">
        <f t="shared" si="629"/>
        <v>9.4811428571428564</v>
      </c>
      <c r="P207" s="15">
        <f t="shared" si="629"/>
        <v>11.719999999999999</v>
      </c>
      <c r="Q207" s="15">
        <f t="shared" si="629"/>
        <v>21.638327974276525</v>
      </c>
      <c r="R207" s="15">
        <f t="shared" si="629"/>
        <v>59.779999999999994</v>
      </c>
      <c r="S207" s="15">
        <f t="shared" si="629"/>
        <v>90.23590361445784</v>
      </c>
      <c r="T207" s="15">
        <f t="shared" si="629"/>
        <v>48.105063291139238</v>
      </c>
      <c r="U207" s="15">
        <f t="shared" ref="U207" si="630">U201/U84</f>
        <v>29.24657534246575</v>
      </c>
      <c r="V207" s="101">
        <f t="shared" si="593"/>
        <v>0.222424985018979</v>
      </c>
      <c r="W207" s="109"/>
      <c r="X207" s="102">
        <f t="shared" ref="X207:AG207" si="631">X201/X84</f>
        <v>5.4239103362391026</v>
      </c>
      <c r="Y207" s="102">
        <f t="shared" si="631"/>
        <v>5.0294441299671675</v>
      </c>
      <c r="Z207" s="102">
        <f t="shared" si="631"/>
        <v>4.6636663750604628</v>
      </c>
      <c r="AA207" s="102">
        <f t="shared" si="631"/>
        <v>4.3244906386924296</v>
      </c>
      <c r="AB207" s="102">
        <f t="shared" si="631"/>
        <v>4.0099822286057067</v>
      </c>
      <c r="AC207" s="102">
        <f t="shared" si="631"/>
        <v>3.7183471574343825</v>
      </c>
      <c r="AD207" s="102">
        <f t="shared" si="631"/>
        <v>3.4479219096209728</v>
      </c>
      <c r="AE207" s="102">
        <f t="shared" si="631"/>
        <v>3.1971639525576294</v>
      </c>
      <c r="AF207" s="102">
        <f t="shared" si="631"/>
        <v>2.9646429378261647</v>
      </c>
      <c r="AG207" s="102">
        <f t="shared" si="631"/>
        <v>2.7490325423478978</v>
      </c>
      <c r="AH207" s="115">
        <f t="shared" si="595"/>
        <v>-4.8859534478785771E-2</v>
      </c>
      <c r="AI207" s="21">
        <f t="shared" si="596"/>
        <v>0.02</v>
      </c>
      <c r="AJ207" s="108">
        <f t="shared" si="597"/>
        <v>13.073580460308733</v>
      </c>
    </row>
    <row r="208" spans="2:36">
      <c r="B208" s="10" t="s">
        <v>217</v>
      </c>
      <c r="C208" s="15"/>
      <c r="D208" s="15"/>
      <c r="E208" s="15"/>
      <c r="F208" s="15"/>
      <c r="G208" s="15">
        <f t="shared" ref="G208" si="632">G201/G86</f>
        <v>0.93058823529411761</v>
      </c>
      <c r="H208" s="15">
        <f t="shared" ref="H208:I208" si="633">H201/H86</f>
        <v>1.2241666666666666</v>
      </c>
      <c r="I208" s="15">
        <f t="shared" si="633"/>
        <v>2.698163265306122</v>
      </c>
      <c r="J208" s="15">
        <f t="shared" ref="J208:T208" si="634">J201/J86</f>
        <v>1.8741463414634145</v>
      </c>
      <c r="K208" s="15">
        <f t="shared" si="634"/>
        <v>2.9353174603174601</v>
      </c>
      <c r="L208" s="15">
        <f t="shared" si="634"/>
        <v>0.95182662538699681</v>
      </c>
      <c r="M208" s="15">
        <f t="shared" si="634"/>
        <v>4.8295172413793095</v>
      </c>
      <c r="N208" s="15">
        <f t="shared" si="634"/>
        <v>4.3860326086956514</v>
      </c>
      <c r="O208" s="15">
        <f t="shared" si="634"/>
        <v>4.6088888888888881</v>
      </c>
      <c r="P208" s="15">
        <f t="shared" si="634"/>
        <v>7.4804783258594911</v>
      </c>
      <c r="Q208" s="15">
        <f t="shared" si="634"/>
        <v>10.150105580693815</v>
      </c>
      <c r="R208" s="15">
        <f t="shared" si="634"/>
        <v>19.570343878954606</v>
      </c>
      <c r="S208" s="15">
        <f t="shared" si="634"/>
        <v>20.775533980582523</v>
      </c>
      <c r="T208" s="15">
        <f t="shared" si="634"/>
        <v>19.414048531289911</v>
      </c>
      <c r="U208" s="15">
        <f t="shared" ref="U208" si="635">U201/U86</f>
        <v>4.1416100872938895</v>
      </c>
      <c r="V208" s="101">
        <f t="shared" si="593"/>
        <v>0.11253867698168296</v>
      </c>
      <c r="W208" s="109"/>
      <c r="X208" s="102">
        <f t="shared" ref="X208:AG208" si="636">X201/X86</f>
        <v>0.76808041618904832</v>
      </c>
      <c r="Y208" s="102">
        <f t="shared" si="636"/>
        <v>0.7122200222843903</v>
      </c>
      <c r="Z208" s="102">
        <f t="shared" si="636"/>
        <v>0.6604222024818891</v>
      </c>
      <c r="AA208" s="102">
        <f t="shared" si="636"/>
        <v>0.61239149684684246</v>
      </c>
      <c r="AB208" s="102">
        <f t="shared" si="636"/>
        <v>0.5678539334397994</v>
      </c>
      <c r="AC208" s="102">
        <f t="shared" si="636"/>
        <v>0.5265554655532686</v>
      </c>
      <c r="AD208" s="102">
        <f t="shared" si="636"/>
        <v>0.48826052260393993</v>
      </c>
      <c r="AE208" s="102">
        <f t="shared" si="636"/>
        <v>0.45275066641456241</v>
      </c>
      <c r="AF208" s="102">
        <f t="shared" si="636"/>
        <v>0.41982334522077597</v>
      </c>
      <c r="AG208" s="102">
        <f t="shared" si="636"/>
        <v>0.3892907382956286</v>
      </c>
      <c r="AH208" s="115">
        <f t="shared" si="595"/>
        <v>-6.3384644040867189E-2</v>
      </c>
      <c r="AI208" s="21">
        <f t="shared" si="596"/>
        <v>0.02</v>
      </c>
      <c r="AJ208" s="108">
        <f t="shared" si="597"/>
        <v>1.8230784171017689</v>
      </c>
    </row>
    <row r="209" spans="2:36">
      <c r="B209" s="10" t="s">
        <v>231</v>
      </c>
      <c r="C209" s="15"/>
      <c r="D209" s="15"/>
      <c r="E209" s="15"/>
      <c r="F209" s="15"/>
      <c r="G209" s="157">
        <f t="shared" ref="G209" si="637">G201/G80</f>
        <v>0.30423076923076919</v>
      </c>
      <c r="H209" s="157">
        <f t="shared" ref="H209:I209" si="638">H201/H80</f>
        <v>0.45906249999999993</v>
      </c>
      <c r="I209" s="157">
        <f t="shared" si="638"/>
        <v>1.17</v>
      </c>
      <c r="J209" s="157">
        <f t="shared" ref="J209:T209" si="639">J201/J80</f>
        <v>1.4891472868217053</v>
      </c>
      <c r="K209" s="157">
        <f t="shared" si="639"/>
        <v>3.2067919075144511</v>
      </c>
      <c r="L209" s="157">
        <f t="shared" si="639"/>
        <v>0.78629156010230161</v>
      </c>
      <c r="M209" s="157">
        <f t="shared" si="639"/>
        <v>1.8165499351491567</v>
      </c>
      <c r="N209" s="157">
        <f t="shared" si="639"/>
        <v>1.7207462686567163</v>
      </c>
      <c r="O209" s="157">
        <f t="shared" si="639"/>
        <v>2.0094117647058818</v>
      </c>
      <c r="P209" s="157">
        <f t="shared" si="639"/>
        <v>2.9095581395348833</v>
      </c>
      <c r="Q209" s="157">
        <f t="shared" si="639"/>
        <v>3.3867740312028181</v>
      </c>
      <c r="R209" s="157">
        <f t="shared" si="639"/>
        <v>6.0057577036724359</v>
      </c>
      <c r="S209" s="157">
        <f t="shared" si="639"/>
        <v>5.4728388746803063</v>
      </c>
      <c r="T209" s="157">
        <f t="shared" si="639"/>
        <v>4.6758535835127644</v>
      </c>
      <c r="U209" s="157">
        <f t="shared" ref="U209" si="640">U201/U80</f>
        <v>1.1383631031724872</v>
      </c>
      <c r="V209" s="101">
        <f t="shared" si="593"/>
        <v>9.8839138307720509E-2</v>
      </c>
      <c r="W209" s="109"/>
      <c r="X209" s="112">
        <f t="shared" ref="X209:AG209" si="641">X201/X80</f>
        <v>0.21111461186107947</v>
      </c>
      <c r="Y209" s="112">
        <f t="shared" si="641"/>
        <v>0.19576082190754635</v>
      </c>
      <c r="Z209" s="112">
        <f t="shared" si="641"/>
        <v>0.18152367122336119</v>
      </c>
      <c r="AA209" s="112">
        <f t="shared" si="641"/>
        <v>0.16832194967984399</v>
      </c>
      <c r="AB209" s="112">
        <f t="shared" si="641"/>
        <v>0.15608035333949166</v>
      </c>
      <c r="AC209" s="112">
        <f t="shared" si="641"/>
        <v>0.14472905491480137</v>
      </c>
      <c r="AD209" s="112">
        <f t="shared" si="641"/>
        <v>0.13420330546645218</v>
      </c>
      <c r="AE209" s="112">
        <f t="shared" si="641"/>
        <v>0.12444306506889201</v>
      </c>
      <c r="AF209" s="112">
        <f t="shared" si="641"/>
        <v>0.11539266033660894</v>
      </c>
      <c r="AG209" s="112">
        <f t="shared" si="641"/>
        <v>0.10700046685758284</v>
      </c>
      <c r="AH209" s="115">
        <f t="shared" ref="AH209" si="642">((AG209/J209)^(1/($AG$3-$K$1) ))-1</f>
        <v>-0.10390923667416962</v>
      </c>
      <c r="AI209" s="21">
        <f t="shared" ref="AI209:AI212" si="643">$O$1</f>
        <v>0.02</v>
      </c>
      <c r="AJ209" s="108">
        <f t="shared" si="597"/>
        <v>0.47941065011315814</v>
      </c>
    </row>
    <row r="210" spans="2:36">
      <c r="B210" s="10"/>
      <c r="C210" s="15"/>
      <c r="D210" s="15"/>
      <c r="E210" s="15"/>
      <c r="F210" s="15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09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  <c r="AH210" s="115"/>
      <c r="AI210" s="21">
        <f t="shared" si="643"/>
        <v>0.02</v>
      </c>
      <c r="AJ210" s="108"/>
    </row>
    <row r="211" spans="2:36">
      <c r="B211" s="10" t="s">
        <v>264</v>
      </c>
      <c r="C211" s="128"/>
      <c r="D211" s="128"/>
      <c r="E211" s="128"/>
      <c r="F211" s="128"/>
      <c r="G211" s="128">
        <f t="shared" ref="G211" si="644">G59/G201</f>
        <v>2.6785714285714284E-2</v>
      </c>
      <c r="H211" s="128">
        <f t="shared" ref="H211:I211" si="645">H59/H201</f>
        <v>2.197802197802198E-2</v>
      </c>
      <c r="I211" s="128">
        <f t="shared" si="645"/>
        <v>1.0683760683760684E-2</v>
      </c>
      <c r="J211" s="128">
        <f t="shared" ref="J211:T211" si="646">J59/J201</f>
        <v>1.0294117647058823E-2</v>
      </c>
      <c r="K211" s="128">
        <f t="shared" si="646"/>
        <v>3.5897435897435893E-3</v>
      </c>
      <c r="L211" s="128">
        <f t="shared" si="646"/>
        <v>2.2222222222222223E-2</v>
      </c>
      <c r="M211" s="128">
        <f t="shared" si="646"/>
        <v>1.7682926829268291E-2</v>
      </c>
      <c r="N211" s="128">
        <f t="shared" si="646"/>
        <v>2.4338624338624337E-2</v>
      </c>
      <c r="O211" s="128">
        <f t="shared" si="646"/>
        <v>1.3897058823529412E-2</v>
      </c>
      <c r="P211" s="128">
        <f t="shared" si="646"/>
        <v>8.6006825938566549E-3</v>
      </c>
      <c r="Q211" s="128">
        <f t="shared" si="646"/>
        <v>8.1979695431472089E-3</v>
      </c>
      <c r="R211" s="128">
        <f t="shared" si="646"/>
        <v>4.3337334933973588E-3</v>
      </c>
      <c r="S211" s="128">
        <f t="shared" si="646"/>
        <v>4.8460661345496011E-3</v>
      </c>
      <c r="T211" s="128">
        <f t="shared" si="646"/>
        <v>4.7752808988764045E-3</v>
      </c>
      <c r="U211" s="128">
        <f t="shared" ref="U211" si="647">U59/U201</f>
        <v>1.66E-2</v>
      </c>
      <c r="V211" s="101">
        <f t="shared" si="593"/>
        <v>-3.3598735103783306E-2</v>
      </c>
      <c r="W211" s="109"/>
      <c r="X211" s="128">
        <f t="shared" ref="X211:AG211" si="648">X59/X201</f>
        <v>8.4660000000000013E-2</v>
      </c>
      <c r="Y211" s="128">
        <f t="shared" si="648"/>
        <v>8.6353200000000019E-2</v>
      </c>
      <c r="Z211" s="128">
        <f t="shared" si="648"/>
        <v>8.8080264000000033E-2</v>
      </c>
      <c r="AA211" s="128">
        <f t="shared" si="648"/>
        <v>8.9841869280000028E-2</v>
      </c>
      <c r="AB211" s="128">
        <f t="shared" si="648"/>
        <v>9.1638706665600034E-2</v>
      </c>
      <c r="AC211" s="128">
        <f t="shared" si="648"/>
        <v>9.3471480798912043E-2</v>
      </c>
      <c r="AD211" s="128">
        <f t="shared" si="648"/>
        <v>9.5340910414890276E-2</v>
      </c>
      <c r="AE211" s="128">
        <f t="shared" si="648"/>
        <v>9.7247728623188076E-2</v>
      </c>
      <c r="AF211" s="128">
        <f t="shared" si="648"/>
        <v>9.9192683195651832E-2</v>
      </c>
      <c r="AG211" s="128">
        <f t="shared" si="648"/>
        <v>0.10117653685956488</v>
      </c>
      <c r="AH211" s="115">
        <f t="shared" ref="AH211:AH216" si="649">((AG211/J211)^(1/($AG$3-$K$1) ))-1</f>
        <v>9.9901459795062708E-2</v>
      </c>
      <c r="AI211" s="21">
        <f t="shared" si="643"/>
        <v>0.02</v>
      </c>
      <c r="AJ211" s="108">
        <f t="shared" si="597"/>
        <v>0.55642110294422187</v>
      </c>
    </row>
    <row r="212" spans="2:36">
      <c r="B212" s="10" t="s">
        <v>132</v>
      </c>
      <c r="C212" s="128"/>
      <c r="D212" s="128"/>
      <c r="E212" s="128"/>
      <c r="F212" s="128"/>
      <c r="G212" s="140">
        <f t="shared" ref="G212" si="650">G201*G57</f>
        <v>63.279999999999994</v>
      </c>
      <c r="H212" s="140">
        <f t="shared" ref="H212:I212" si="651">H201*H57</f>
        <v>102.82999999999998</v>
      </c>
      <c r="I212" s="140">
        <f t="shared" si="651"/>
        <v>264.41999999999996</v>
      </c>
      <c r="J212" s="140">
        <f t="shared" ref="J212:T212" si="652">J201*J57</f>
        <v>384.2</v>
      </c>
      <c r="K212" s="140">
        <f t="shared" si="652"/>
        <v>1109.5500000000002</v>
      </c>
      <c r="L212" s="140">
        <f t="shared" si="652"/>
        <v>307.43999999999994</v>
      </c>
      <c r="M212" s="140">
        <f t="shared" si="652"/>
        <v>1400.56</v>
      </c>
      <c r="N212" s="140">
        <f t="shared" si="652"/>
        <v>1614.06</v>
      </c>
      <c r="O212" s="140">
        <f t="shared" si="652"/>
        <v>2322.8799999999997</v>
      </c>
      <c r="P212" s="140">
        <f t="shared" si="652"/>
        <v>5004.4399999999996</v>
      </c>
      <c r="Q212" s="140">
        <f t="shared" si="652"/>
        <v>6729.5199999999995</v>
      </c>
      <c r="R212" s="140">
        <f t="shared" si="652"/>
        <v>14227.64</v>
      </c>
      <c r="S212" s="140">
        <f t="shared" si="652"/>
        <v>14979.159999999998</v>
      </c>
      <c r="T212" s="140">
        <f t="shared" si="652"/>
        <v>15201.199999999999</v>
      </c>
      <c r="U212" s="140">
        <f t="shared" ref="U212" si="653">U201*U57</f>
        <v>4270</v>
      </c>
      <c r="V212" s="101">
        <f t="shared" si="593"/>
        <v>0.35099700436061543</v>
      </c>
      <c r="W212" s="109"/>
      <c r="X212" s="140">
        <f t="shared" ref="X212:AG212" si="654">X201*X57</f>
        <v>871.07999999999993</v>
      </c>
      <c r="Y212" s="140">
        <f t="shared" si="654"/>
        <v>888.50159999999983</v>
      </c>
      <c r="Z212" s="140">
        <f t="shared" si="654"/>
        <v>906.27163199999984</v>
      </c>
      <c r="AA212" s="140">
        <f t="shared" si="654"/>
        <v>924.39706463999971</v>
      </c>
      <c r="AB212" s="140">
        <f t="shared" si="654"/>
        <v>942.88500593279969</v>
      </c>
      <c r="AC212" s="140">
        <f t="shared" si="654"/>
        <v>961.7427060514558</v>
      </c>
      <c r="AD212" s="140">
        <f t="shared" si="654"/>
        <v>980.97756017248491</v>
      </c>
      <c r="AE212" s="140">
        <f t="shared" si="654"/>
        <v>1000.5971113759348</v>
      </c>
      <c r="AF212" s="140">
        <f t="shared" si="654"/>
        <v>1020.6090536034534</v>
      </c>
      <c r="AG212" s="140">
        <f t="shared" si="654"/>
        <v>1041.0212346755225</v>
      </c>
      <c r="AH212" s="115">
        <f t="shared" si="649"/>
        <v>4.2407657000426813E-2</v>
      </c>
      <c r="AI212" s="21">
        <f t="shared" si="643"/>
        <v>0.02</v>
      </c>
      <c r="AJ212" s="108">
        <f t="shared" si="597"/>
        <v>5425.8425306290137</v>
      </c>
    </row>
    <row r="213" spans="2:36">
      <c r="B213" s="10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57"/>
      <c r="V213" s="157"/>
      <c r="W213" s="109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</row>
    <row r="214" spans="2:36">
      <c r="B214" s="10" t="s">
        <v>313</v>
      </c>
      <c r="C214" s="136"/>
      <c r="D214" s="136"/>
      <c r="E214" s="136"/>
      <c r="F214" s="136"/>
      <c r="G214" s="136">
        <f t="shared" ref="G214" si="655">G72/G201</f>
        <v>1.5802781289506955E-2</v>
      </c>
      <c r="H214" s="136">
        <f t="shared" ref="H214:I214" si="656">H72/H201</f>
        <v>8.7523096372653902E-2</v>
      </c>
      <c r="I214" s="136">
        <f t="shared" si="656"/>
        <v>9.076469253460405E-2</v>
      </c>
      <c r="J214" s="136">
        <f t="shared" ref="J214:T214" si="657">J72/J201</f>
        <v>0.12233211868818326</v>
      </c>
      <c r="K214" s="136">
        <f t="shared" si="657"/>
        <v>8.4719030237483645E-2</v>
      </c>
      <c r="L214" s="136">
        <f t="shared" si="657"/>
        <v>0.26346604215456676</v>
      </c>
      <c r="M214" s="136">
        <f t="shared" si="657"/>
        <v>0.11923801907808307</v>
      </c>
      <c r="N214" s="136">
        <f t="shared" si="657"/>
        <v>9.1694236893300141E-2</v>
      </c>
      <c r="O214" s="136">
        <f t="shared" si="657"/>
        <v>9.2557514809202379E-2</v>
      </c>
      <c r="P214" s="136">
        <f t="shared" si="657"/>
        <v>5.7349074022268236E-2</v>
      </c>
      <c r="Q214" s="136">
        <f t="shared" si="657"/>
        <v>5.4535836136901293E-2</v>
      </c>
      <c r="R214" s="136">
        <f t="shared" si="657"/>
        <v>2.8817147467886457E-2</v>
      </c>
      <c r="S214" s="136">
        <f t="shared" si="657"/>
        <v>3.2645355280269392E-2</v>
      </c>
      <c r="T214" s="136">
        <f t="shared" si="657"/>
        <v>3.1444885930058154E-2</v>
      </c>
      <c r="U214" s="136">
        <f t="shared" ref="U214" si="658">U72/U201</f>
        <v>0.11030444964871196</v>
      </c>
      <c r="V214" s="101">
        <f t="shared" si="593"/>
        <v>0.14888267069529482</v>
      </c>
      <c r="W214" s="109"/>
      <c r="X214" s="136">
        <f t="shared" ref="X214:AG214" si="659">X72/X201</f>
        <v>0.59477889516462334</v>
      </c>
      <c r="Y214" s="136">
        <f t="shared" si="659"/>
        <v>0.64142822027557433</v>
      </c>
      <c r="Z214" s="136">
        <f t="shared" si="659"/>
        <v>0.69173631598346264</v>
      </c>
      <c r="AA214" s="136">
        <f t="shared" si="659"/>
        <v>0.74599014468804792</v>
      </c>
      <c r="AB214" s="136">
        <f t="shared" si="659"/>
        <v>0.80449917564397344</v>
      </c>
      <c r="AC214" s="136">
        <f t="shared" si="659"/>
        <v>0.86759715020428496</v>
      </c>
      <c r="AD214" s="136">
        <f t="shared" si="659"/>
        <v>0.93564398551442496</v>
      </c>
      <c r="AE214" s="136">
        <f t="shared" si="659"/>
        <v>1.0090278275155564</v>
      </c>
      <c r="AF214" s="136">
        <f t="shared" si="659"/>
        <v>1.088167264967757</v>
      </c>
      <c r="AG214" s="136">
        <f t="shared" si="659"/>
        <v>1.1735137171220908</v>
      </c>
      <c r="AH214" s="115">
        <f t="shared" ref="AH214" si="660">((AG214/J214)^(1/($AG$3-$K$1) ))-1</f>
        <v>9.8789463849519477E-2</v>
      </c>
      <c r="AI214" s="21">
        <f t="shared" ref="AI214" si="661">$O$1</f>
        <v>0.02</v>
      </c>
      <c r="AJ214" s="108">
        <f t="shared" ref="AJ214" si="662">(AG214*(1+AH214))/($C$1-AI214)</f>
        <v>6.4472225402831933</v>
      </c>
    </row>
    <row r="215" spans="2:36">
      <c r="B215" s="10" t="str">
        <f>B203</f>
        <v>P/E (how many years it will take to recover invested amount)</v>
      </c>
      <c r="C215" s="128"/>
      <c r="D215" s="128"/>
      <c r="E215" s="128"/>
      <c r="F215" s="128"/>
      <c r="G215" s="156">
        <f t="shared" ref="G215" si="663">G203</f>
        <v>63.279999999999994</v>
      </c>
      <c r="H215" s="156">
        <f t="shared" ref="H215:I215" si="664">H203</f>
        <v>11.425555555555555</v>
      </c>
      <c r="I215" s="156">
        <f t="shared" si="664"/>
        <v>11.0175</v>
      </c>
      <c r="J215" s="156">
        <f t="shared" ref="J215:T215" si="665">J203</f>
        <v>8.1744680851063816</v>
      </c>
      <c r="K215" s="156">
        <f t="shared" si="665"/>
        <v>11.803723404255321</v>
      </c>
      <c r="L215" s="156">
        <f t="shared" si="665"/>
        <v>3.7955555555555556</v>
      </c>
      <c r="M215" s="156">
        <f t="shared" si="665"/>
        <v>8.3865868263473047</v>
      </c>
      <c r="N215" s="156">
        <f t="shared" si="665"/>
        <v>10.905810810810809</v>
      </c>
      <c r="O215" s="156">
        <f t="shared" si="665"/>
        <v>10.804093023255813</v>
      </c>
      <c r="P215" s="156">
        <f t="shared" si="665"/>
        <v>17.437073170731704</v>
      </c>
      <c r="Q215" s="156">
        <f t="shared" si="665"/>
        <v>18.336566757493188</v>
      </c>
      <c r="R215" s="156">
        <f t="shared" si="665"/>
        <v>34.701560975609752</v>
      </c>
      <c r="S215" s="156">
        <f t="shared" si="665"/>
        <v>30.632229038854803</v>
      </c>
      <c r="T215" s="156">
        <f t="shared" si="665"/>
        <v>31.801673640167362</v>
      </c>
      <c r="U215" s="156">
        <f t="shared" ref="U215" si="666">U203</f>
        <v>9.0658174097664546</v>
      </c>
      <c r="V215" s="101">
        <f t="shared" si="593"/>
        <v>-0.12958909947278796</v>
      </c>
      <c r="W215" s="109"/>
      <c r="X215" s="128">
        <f t="shared" ref="X215:AG215" si="667">X203</f>
        <v>1.6812970469021422</v>
      </c>
      <c r="Y215" s="128">
        <f t="shared" si="667"/>
        <v>1.5590208980365314</v>
      </c>
      <c r="Z215" s="128">
        <f t="shared" si="667"/>
        <v>1.4456375599975109</v>
      </c>
      <c r="AA215" s="128">
        <f t="shared" si="667"/>
        <v>1.3405002829067827</v>
      </c>
      <c r="AB215" s="128">
        <f t="shared" si="667"/>
        <v>1.2430093532408346</v>
      </c>
      <c r="AC215" s="128">
        <f t="shared" si="667"/>
        <v>1.1526086730051377</v>
      </c>
      <c r="AD215" s="128">
        <f t="shared" si="667"/>
        <v>1.0687825876956731</v>
      </c>
      <c r="AE215" s="128">
        <f t="shared" si="667"/>
        <v>0.99105294495416962</v>
      </c>
      <c r="AF215" s="128">
        <f t="shared" si="667"/>
        <v>0.91897636713932085</v>
      </c>
      <c r="AG215" s="128">
        <f t="shared" si="667"/>
        <v>0.85214172225646112</v>
      </c>
      <c r="AH215" s="115">
        <f t="shared" ref="AH215" si="668">((AG215/J215)^(1/($AG$3-$K$1) ))-1</f>
        <v>-8.9907545621541129E-2</v>
      </c>
      <c r="AI215" s="21">
        <f t="shared" ref="AI215:AI217" si="669">$O$1</f>
        <v>0.02</v>
      </c>
      <c r="AJ215" s="156">
        <f>(AJ202)/($O$2*100)</f>
        <v>2.9694601327226417E-2</v>
      </c>
    </row>
    <row r="216" spans="2:36">
      <c r="B216" s="10" t="s">
        <v>432</v>
      </c>
      <c r="C216" s="156"/>
      <c r="D216" s="156"/>
      <c r="E216" s="156"/>
      <c r="F216" s="156"/>
      <c r="G216" s="156">
        <f t="shared" ref="G216" si="670">(G203)/($O$2*100)</f>
        <v>6.3279999999999994</v>
      </c>
      <c r="H216" s="156">
        <f t="shared" ref="H216:I216" si="671">(H203)/($O$2*100)</f>
        <v>1.1425555555555555</v>
      </c>
      <c r="I216" s="156">
        <f t="shared" si="671"/>
        <v>1.10175</v>
      </c>
      <c r="J216" s="156">
        <f t="shared" ref="J216:T216" si="672">(J203)/($O$2*100)</f>
        <v>0.81744680851063811</v>
      </c>
      <c r="K216" s="156">
        <f t="shared" si="672"/>
        <v>1.180372340425532</v>
      </c>
      <c r="L216" s="156">
        <f t="shared" si="672"/>
        <v>0.37955555555555553</v>
      </c>
      <c r="M216" s="156">
        <f t="shared" si="672"/>
        <v>0.83865868263473042</v>
      </c>
      <c r="N216" s="156">
        <f t="shared" si="672"/>
        <v>1.090581081081081</v>
      </c>
      <c r="O216" s="156">
        <f t="shared" si="672"/>
        <v>1.0804093023255814</v>
      </c>
      <c r="P216" s="156">
        <f t="shared" si="672"/>
        <v>1.7437073170731705</v>
      </c>
      <c r="Q216" s="156">
        <f t="shared" si="672"/>
        <v>1.8336566757493187</v>
      </c>
      <c r="R216" s="156">
        <f t="shared" si="672"/>
        <v>3.4701560975609751</v>
      </c>
      <c r="S216" s="156">
        <f t="shared" si="672"/>
        <v>3.0632229038854804</v>
      </c>
      <c r="T216" s="156">
        <f t="shared" si="672"/>
        <v>3.1801673640167363</v>
      </c>
      <c r="U216" s="156">
        <f t="shared" ref="U216" si="673">(U203)/($O$2*100)</f>
        <v>0.90658174097664546</v>
      </c>
      <c r="V216" s="101">
        <f t="shared" si="593"/>
        <v>-0.12958909947278796</v>
      </c>
      <c r="W216" s="109"/>
      <c r="X216" s="156">
        <f t="shared" ref="X216:AG216" si="674">(X203)/($O$2*100)</f>
        <v>0.16812970469021421</v>
      </c>
      <c r="Y216" s="156">
        <f t="shared" si="674"/>
        <v>0.15590208980365314</v>
      </c>
      <c r="Z216" s="156">
        <f t="shared" si="674"/>
        <v>0.14456375599975108</v>
      </c>
      <c r="AA216" s="156">
        <f t="shared" si="674"/>
        <v>0.13405002829067827</v>
      </c>
      <c r="AB216" s="156">
        <f t="shared" si="674"/>
        <v>0.12430093532408346</v>
      </c>
      <c r="AC216" s="156">
        <f t="shared" si="674"/>
        <v>0.11526086730051377</v>
      </c>
      <c r="AD216" s="156">
        <f t="shared" si="674"/>
        <v>0.10687825876956732</v>
      </c>
      <c r="AE216" s="156">
        <f t="shared" si="674"/>
        <v>9.9105294495416968E-2</v>
      </c>
      <c r="AF216" s="156">
        <f t="shared" si="674"/>
        <v>9.1897636713932085E-2</v>
      </c>
      <c r="AG216" s="156">
        <f t="shared" si="674"/>
        <v>8.5214172225646118E-2</v>
      </c>
      <c r="AH216" s="115">
        <f t="shared" si="649"/>
        <v>-8.9907545621541129E-2</v>
      </c>
      <c r="AI216" s="21">
        <f t="shared" si="669"/>
        <v>0.02</v>
      </c>
      <c r="AJ216" s="156">
        <f>(AJ203)/($O$2*100)</f>
        <v>0.38776387574333487</v>
      </c>
    </row>
    <row r="217" spans="2:36">
      <c r="B217" s="10" t="s">
        <v>433</v>
      </c>
      <c r="C217" s="128"/>
      <c r="D217" s="128"/>
      <c r="E217" s="128"/>
      <c r="F217" s="128"/>
      <c r="G217" s="128">
        <f t="shared" ref="G217" si="675">G216-1</f>
        <v>5.3279999999999994</v>
      </c>
      <c r="H217" s="128">
        <f t="shared" ref="H217:I217" si="676">H216-1</f>
        <v>0.14255555555555555</v>
      </c>
      <c r="I217" s="128">
        <f t="shared" si="676"/>
        <v>0.10175000000000001</v>
      </c>
      <c r="J217" s="128">
        <f t="shared" ref="J217:S217" si="677">J216-1</f>
        <v>-0.18255319148936189</v>
      </c>
      <c r="K217" s="128">
        <f t="shared" si="677"/>
        <v>0.18037234042553196</v>
      </c>
      <c r="L217" s="128">
        <f t="shared" si="677"/>
        <v>-0.62044444444444447</v>
      </c>
      <c r="M217" s="128">
        <f t="shared" si="677"/>
        <v>-0.16134131736526958</v>
      </c>
      <c r="N217" s="128">
        <f t="shared" si="677"/>
        <v>9.0581081081080983E-2</v>
      </c>
      <c r="O217" s="128">
        <f t="shared" si="677"/>
        <v>8.0409302325581411E-2</v>
      </c>
      <c r="P217" s="128">
        <f t="shared" si="677"/>
        <v>0.7437073170731705</v>
      </c>
      <c r="Q217" s="128">
        <f t="shared" si="677"/>
        <v>0.83365667574931868</v>
      </c>
      <c r="R217" s="128">
        <f t="shared" si="677"/>
        <v>2.4701560975609751</v>
      </c>
      <c r="S217" s="128">
        <f t="shared" si="677"/>
        <v>2.0632229038854804</v>
      </c>
      <c r="T217" s="128">
        <f>T216-1</f>
        <v>2.1801673640167363</v>
      </c>
      <c r="U217" s="128">
        <f>U216-1</f>
        <v>-9.3418259023354544E-2</v>
      </c>
      <c r="V217" s="101" t="e">
        <f t="shared" si="593"/>
        <v>#NUM!</v>
      </c>
      <c r="W217" s="109"/>
      <c r="X217" s="128">
        <f t="shared" ref="X217:AG217" si="678">X216-1</f>
        <v>-0.83187029530978585</v>
      </c>
      <c r="Y217" s="128">
        <f t="shared" si="678"/>
        <v>-0.84409791019634683</v>
      </c>
      <c r="Z217" s="128">
        <f t="shared" si="678"/>
        <v>-0.85543624400024898</v>
      </c>
      <c r="AA217" s="128">
        <f t="shared" si="678"/>
        <v>-0.86594997170932175</v>
      </c>
      <c r="AB217" s="128">
        <f t="shared" si="678"/>
        <v>-0.87569906467591652</v>
      </c>
      <c r="AC217" s="128">
        <f t="shared" si="678"/>
        <v>-0.88473913269948623</v>
      </c>
      <c r="AD217" s="128">
        <f t="shared" si="678"/>
        <v>-0.89312174123043264</v>
      </c>
      <c r="AE217" s="128">
        <f t="shared" si="678"/>
        <v>-0.90089470550458306</v>
      </c>
      <c r="AF217" s="128">
        <f t="shared" si="678"/>
        <v>-0.90810236328606786</v>
      </c>
      <c r="AG217" s="128">
        <f t="shared" si="678"/>
        <v>-0.91478582777435391</v>
      </c>
      <c r="AH217" s="115">
        <f t="shared" ref="AH217" si="679">((AG217/J217)^(1/($AG$3-$K$1) ))-1</f>
        <v>6.9458040333355564E-2</v>
      </c>
      <c r="AI217" s="21">
        <f t="shared" si="669"/>
        <v>0.02</v>
      </c>
      <c r="AJ217" s="156">
        <f>(AJ204)/($O$2*100)</f>
        <v>0.20730245169051953</v>
      </c>
    </row>
    <row r="218" spans="2:36">
      <c r="B218" s="10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57"/>
      <c r="V218" s="157"/>
      <c r="W218" s="109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12"/>
      <c r="AH218" s="114"/>
      <c r="AI218" s="10"/>
      <c r="AJ218" s="108"/>
    </row>
    <row r="219" spans="2:36">
      <c r="B219" s="10" t="s">
        <v>504</v>
      </c>
      <c r="C219" s="128"/>
      <c r="D219" s="128"/>
      <c r="E219" s="128"/>
      <c r="F219" s="128"/>
      <c r="G219" s="128">
        <f t="shared" ref="G219:S219" si="680">1/G220</f>
        <v>0.21036956937341683</v>
      </c>
      <c r="H219" s="128">
        <f t="shared" si="680"/>
        <v>0.12945819653748727</v>
      </c>
      <c r="I219" s="128">
        <f t="shared" si="680"/>
        <v>5.0344854209022828E-2</v>
      </c>
      <c r="J219" s="128">
        <f t="shared" si="680"/>
        <v>3.464910554385689E-2</v>
      </c>
      <c r="K219" s="128">
        <f t="shared" si="680"/>
        <v>6.0413825050827388E-2</v>
      </c>
      <c r="L219" s="128">
        <f t="shared" si="680"/>
        <v>0.32724155235864844</v>
      </c>
      <c r="M219" s="128">
        <f t="shared" si="680"/>
        <v>7.183351149336184E-2</v>
      </c>
      <c r="N219" s="128">
        <f t="shared" si="680"/>
        <v>6.2331724258790168E-2</v>
      </c>
      <c r="O219" s="128">
        <f t="shared" si="680"/>
        <v>4.3311381929821112E-2</v>
      </c>
      <c r="P219" s="128">
        <f t="shared" si="680"/>
        <v>4.0207153190823693E-2</v>
      </c>
      <c r="Q219" s="128">
        <f t="shared" si="680"/>
        <v>2.9900243362719143E-2</v>
      </c>
      <c r="R219" s="128">
        <f t="shared" si="680"/>
        <v>1.4142492058717098E-2</v>
      </c>
      <c r="S219" s="128">
        <f t="shared" si="680"/>
        <v>1.3432948557481575E-2</v>
      </c>
      <c r="T219" s="128">
        <f>1/T220</f>
        <v>1.3236736949338586E-2</v>
      </c>
      <c r="U219" s="128">
        <f>1/U220</f>
        <v>4.7122783539645365E-2</v>
      </c>
      <c r="V219" s="101">
        <f t="shared" si="593"/>
        <v>-0.10135296824566276</v>
      </c>
      <c r="W219" s="109"/>
      <c r="X219" s="128">
        <f t="shared" ref="X219:AG219" si="681">1/X220</f>
        <v>0.23561391769822687</v>
      </c>
      <c r="Y219" s="128">
        <f t="shared" si="681"/>
        <v>0.23561391769822687</v>
      </c>
      <c r="Z219" s="128">
        <f t="shared" si="681"/>
        <v>0.23561391769822687</v>
      </c>
      <c r="AA219" s="128">
        <f t="shared" si="681"/>
        <v>0.23561391769822687</v>
      </c>
      <c r="AB219" s="128">
        <f t="shared" si="681"/>
        <v>0.23561391769822687</v>
      </c>
      <c r="AC219" s="128">
        <f t="shared" si="681"/>
        <v>0.23561391769822687</v>
      </c>
      <c r="AD219" s="128">
        <f t="shared" si="681"/>
        <v>0.23561391769822687</v>
      </c>
      <c r="AE219" s="128">
        <f t="shared" si="681"/>
        <v>0.23561391769822687</v>
      </c>
      <c r="AF219" s="128">
        <f t="shared" si="681"/>
        <v>0.23561391769822687</v>
      </c>
      <c r="AG219" s="128">
        <f t="shared" si="681"/>
        <v>0.23561391769822687</v>
      </c>
      <c r="AH219" s="115">
        <f t="shared" ref="AH219" si="682">((AG219/J219)^(1/($AG$3-$K$1) ))-1</f>
        <v>8.3148172645629792E-2</v>
      </c>
      <c r="AI219" s="21">
        <f t="shared" ref="AI219:AI222" si="683">$O$1</f>
        <v>0.02</v>
      </c>
      <c r="AJ219" s="156">
        <f>(AJ206)/($O$2*100)</f>
        <v>6.1955744130333404E-2</v>
      </c>
    </row>
    <row r="220" spans="2:36">
      <c r="B220" s="10" t="s">
        <v>503</v>
      </c>
      <c r="C220" s="110"/>
      <c r="D220" s="110"/>
      <c r="E220" s="110"/>
      <c r="F220" s="110"/>
      <c r="G220" s="112">
        <f t="shared" ref="G220:U220" si="684">G201/$S$170</f>
        <v>4.753539226127085</v>
      </c>
      <c r="H220" s="112">
        <f t="shared" si="684"/>
        <v>7.7245012424565136</v>
      </c>
      <c r="I220" s="112">
        <f t="shared" si="684"/>
        <v>19.863003194888179</v>
      </c>
      <c r="J220" s="112">
        <f t="shared" si="684"/>
        <v>28.860773872914447</v>
      </c>
      <c r="K220" s="112">
        <f t="shared" si="684"/>
        <v>16.552502662406816</v>
      </c>
      <c r="L220" s="112">
        <f t="shared" si="684"/>
        <v>3.0558466453674118</v>
      </c>
      <c r="M220" s="112">
        <f t="shared" si="684"/>
        <v>13.921079162229322</v>
      </c>
      <c r="N220" s="112">
        <f t="shared" si="684"/>
        <v>16.043194888178913</v>
      </c>
      <c r="O220" s="112">
        <f t="shared" si="684"/>
        <v>23.088619098331556</v>
      </c>
      <c r="P220" s="112">
        <f t="shared" si="684"/>
        <v>24.871196308129214</v>
      </c>
      <c r="Q220" s="112">
        <f t="shared" si="684"/>
        <v>33.444543840965565</v>
      </c>
      <c r="R220" s="112">
        <f t="shared" si="684"/>
        <v>70.708895988640393</v>
      </c>
      <c r="S220" s="112">
        <f t="shared" si="684"/>
        <v>74.443819666311683</v>
      </c>
      <c r="T220" s="112">
        <f t="shared" si="684"/>
        <v>75.547319843805468</v>
      </c>
      <c r="U220" s="112">
        <f t="shared" si="684"/>
        <v>21.221157259495918</v>
      </c>
      <c r="V220" s="101">
        <f t="shared" si="593"/>
        <v>0.11278395706465716</v>
      </c>
      <c r="W220" s="109"/>
      <c r="X220" s="112">
        <f t="shared" ref="X220:AG220" si="685">X201/$S$170</f>
        <v>4.244231451899183</v>
      </c>
      <c r="Y220" s="112">
        <f t="shared" si="685"/>
        <v>4.244231451899183</v>
      </c>
      <c r="Z220" s="112">
        <f t="shared" si="685"/>
        <v>4.244231451899183</v>
      </c>
      <c r="AA220" s="112">
        <f t="shared" si="685"/>
        <v>4.244231451899183</v>
      </c>
      <c r="AB220" s="112">
        <f t="shared" si="685"/>
        <v>4.244231451899183</v>
      </c>
      <c r="AC220" s="112">
        <f t="shared" si="685"/>
        <v>4.244231451899183</v>
      </c>
      <c r="AD220" s="112">
        <f t="shared" si="685"/>
        <v>4.244231451899183</v>
      </c>
      <c r="AE220" s="112">
        <f t="shared" si="685"/>
        <v>4.244231451899183</v>
      </c>
      <c r="AF220" s="112">
        <f t="shared" si="685"/>
        <v>4.244231451899183</v>
      </c>
      <c r="AG220" s="112">
        <f t="shared" si="685"/>
        <v>4.244231451899183</v>
      </c>
      <c r="AH220" s="115">
        <f t="shared" ref="AH220:AH222" si="686">((AG220/J220)^(1/($AG$3-$K$1) ))-1</f>
        <v>-7.67652798993671E-2</v>
      </c>
      <c r="AI220" s="21">
        <f t="shared" si="683"/>
        <v>0.02</v>
      </c>
      <c r="AJ220" s="156">
        <f>(AJ206)/($O$2*100)</f>
        <v>6.1955744130333404E-2</v>
      </c>
    </row>
    <row r="221" spans="2:36">
      <c r="B221" s="10" t="s">
        <v>432</v>
      </c>
      <c r="C221" s="110"/>
      <c r="D221" s="110"/>
      <c r="E221" s="110"/>
      <c r="F221" s="110"/>
      <c r="G221" s="156">
        <f t="shared" ref="G221" si="687">(G220)/($O$2*100)</f>
        <v>0.47535392261270848</v>
      </c>
      <c r="H221" s="156">
        <f t="shared" ref="H221:I221" si="688">(H220)/($O$2*100)</f>
        <v>0.7724501242456514</v>
      </c>
      <c r="I221" s="156">
        <f t="shared" si="688"/>
        <v>1.986300319488818</v>
      </c>
      <c r="J221" s="156">
        <f t="shared" ref="J221:T221" si="689">(J220)/($O$2*100)</f>
        <v>2.8860773872914445</v>
      </c>
      <c r="K221" s="156">
        <f t="shared" si="689"/>
        <v>1.6552502662406816</v>
      </c>
      <c r="L221" s="156">
        <f t="shared" si="689"/>
        <v>0.30558466453674116</v>
      </c>
      <c r="M221" s="156">
        <f t="shared" si="689"/>
        <v>1.3921079162229322</v>
      </c>
      <c r="N221" s="156">
        <f t="shared" si="689"/>
        <v>1.6043194888178913</v>
      </c>
      <c r="O221" s="156">
        <f t="shared" si="689"/>
        <v>2.3088619098331558</v>
      </c>
      <c r="P221" s="156">
        <f t="shared" si="689"/>
        <v>2.4871196308129213</v>
      </c>
      <c r="Q221" s="156">
        <f t="shared" si="689"/>
        <v>3.3444543840965566</v>
      </c>
      <c r="R221" s="156">
        <f t="shared" si="689"/>
        <v>7.0708895988640394</v>
      </c>
      <c r="S221" s="156">
        <f t="shared" si="689"/>
        <v>7.4443819666311679</v>
      </c>
      <c r="T221" s="156">
        <f t="shared" si="689"/>
        <v>7.5547319843805472</v>
      </c>
      <c r="U221" s="156">
        <f t="shared" ref="U221" si="690">(U220)/($O$2*100)</f>
        <v>2.122115725949592</v>
      </c>
      <c r="V221" s="101">
        <f t="shared" si="593"/>
        <v>0.11278395706465716</v>
      </c>
      <c r="W221" s="109"/>
      <c r="X221" s="156">
        <f t="shared" ref="X221:AG221" si="691">(X220)/($O$2*100)</f>
        <v>0.4244231451899183</v>
      </c>
      <c r="Y221" s="156">
        <f t="shared" si="691"/>
        <v>0.4244231451899183</v>
      </c>
      <c r="Z221" s="156">
        <f t="shared" si="691"/>
        <v>0.4244231451899183</v>
      </c>
      <c r="AA221" s="156">
        <f t="shared" si="691"/>
        <v>0.4244231451899183</v>
      </c>
      <c r="AB221" s="156">
        <f t="shared" si="691"/>
        <v>0.4244231451899183</v>
      </c>
      <c r="AC221" s="156">
        <f t="shared" si="691"/>
        <v>0.4244231451899183</v>
      </c>
      <c r="AD221" s="156">
        <f t="shared" si="691"/>
        <v>0.4244231451899183</v>
      </c>
      <c r="AE221" s="156">
        <f t="shared" si="691"/>
        <v>0.4244231451899183</v>
      </c>
      <c r="AF221" s="156">
        <f t="shared" si="691"/>
        <v>0.4244231451899183</v>
      </c>
      <c r="AG221" s="156">
        <f t="shared" si="691"/>
        <v>0.4244231451899183</v>
      </c>
      <c r="AH221" s="115">
        <f t="shared" si="686"/>
        <v>-7.67652798993671E-2</v>
      </c>
      <c r="AI221" s="21">
        <f t="shared" si="683"/>
        <v>0.02</v>
      </c>
      <c r="AJ221" s="156">
        <f>(AJ207)/($O$2*100)</f>
        <v>1.3073580460308734</v>
      </c>
    </row>
    <row r="222" spans="2:36">
      <c r="B222" s="10" t="s">
        <v>434</v>
      </c>
      <c r="C222" s="110"/>
      <c r="D222" s="110"/>
      <c r="E222" s="110"/>
      <c r="F222" s="110"/>
      <c r="G222" s="128">
        <f t="shared" ref="G222" si="692">G221-1</f>
        <v>-0.52464607738729152</v>
      </c>
      <c r="H222" s="128">
        <f t="shared" ref="H222:I222" si="693">H221-1</f>
        <v>-0.2275498757543486</v>
      </c>
      <c r="I222" s="128">
        <f t="shared" si="693"/>
        <v>0.98630031948881802</v>
      </c>
      <c r="J222" s="128">
        <f t="shared" ref="J222:T222" si="694">J221-1</f>
        <v>1.8860773872914445</v>
      </c>
      <c r="K222" s="128">
        <f t="shared" si="694"/>
        <v>0.65525026624068161</v>
      </c>
      <c r="L222" s="128">
        <f t="shared" si="694"/>
        <v>-0.69441533546325884</v>
      </c>
      <c r="M222" s="128">
        <f t="shared" si="694"/>
        <v>0.39210791622293217</v>
      </c>
      <c r="N222" s="128">
        <f t="shared" si="694"/>
        <v>0.60431948881789133</v>
      </c>
      <c r="O222" s="128">
        <f t="shared" si="694"/>
        <v>1.3088619098331558</v>
      </c>
      <c r="P222" s="128">
        <f t="shared" si="694"/>
        <v>1.4871196308129213</v>
      </c>
      <c r="Q222" s="128">
        <f t="shared" si="694"/>
        <v>2.3444543840965566</v>
      </c>
      <c r="R222" s="128">
        <f t="shared" si="694"/>
        <v>6.0708895988640394</v>
      </c>
      <c r="S222" s="128">
        <f t="shared" si="694"/>
        <v>6.4443819666311679</v>
      </c>
      <c r="T222" s="128">
        <f t="shared" si="694"/>
        <v>6.5547319843805472</v>
      </c>
      <c r="U222" s="128">
        <f t="shared" ref="U222" si="695">U221-1</f>
        <v>1.122115725949592</v>
      </c>
      <c r="V222" s="101" t="e">
        <f t="shared" si="593"/>
        <v>#NUM!</v>
      </c>
      <c r="W222" s="109"/>
      <c r="X222" s="128">
        <f t="shared" ref="X222:AG222" si="696">X221-1</f>
        <v>-0.5755768548100817</v>
      </c>
      <c r="Y222" s="128">
        <f t="shared" si="696"/>
        <v>-0.5755768548100817</v>
      </c>
      <c r="Z222" s="128">
        <f t="shared" si="696"/>
        <v>-0.5755768548100817</v>
      </c>
      <c r="AA222" s="128">
        <f t="shared" si="696"/>
        <v>-0.5755768548100817</v>
      </c>
      <c r="AB222" s="128">
        <f t="shared" si="696"/>
        <v>-0.5755768548100817</v>
      </c>
      <c r="AC222" s="128">
        <f t="shared" si="696"/>
        <v>-0.5755768548100817</v>
      </c>
      <c r="AD222" s="128">
        <f t="shared" si="696"/>
        <v>-0.5755768548100817</v>
      </c>
      <c r="AE222" s="128">
        <f t="shared" si="696"/>
        <v>-0.5755768548100817</v>
      </c>
      <c r="AF222" s="128">
        <f t="shared" si="696"/>
        <v>-0.5755768548100817</v>
      </c>
      <c r="AG222" s="128">
        <f t="shared" si="696"/>
        <v>-0.5755768548100817</v>
      </c>
      <c r="AH222" s="115" t="e">
        <f t="shared" si="686"/>
        <v>#NUM!</v>
      </c>
      <c r="AI222" s="21">
        <f t="shared" si="683"/>
        <v>0.02</v>
      </c>
      <c r="AJ222" s="156">
        <f>(AJ208)/($O$2*100)</f>
        <v>0.18230784171017689</v>
      </c>
    </row>
    <row r="223" spans="2:36">
      <c r="B223" s="10"/>
      <c r="C223" s="110"/>
      <c r="D223" s="110"/>
      <c r="E223" s="110"/>
      <c r="F223" s="110"/>
      <c r="G223" s="112"/>
      <c r="H223" s="112"/>
      <c r="I223" s="112"/>
      <c r="J223" s="112"/>
      <c r="K223" s="112"/>
      <c r="L223" s="112"/>
      <c r="M223" s="112"/>
      <c r="N223" s="174"/>
      <c r="O223" s="175"/>
      <c r="P223" s="112"/>
      <c r="Q223" s="112"/>
      <c r="R223" s="112"/>
      <c r="S223" s="112"/>
      <c r="T223" s="112"/>
      <c r="U223" s="157"/>
      <c r="V223" s="157"/>
      <c r="W223" s="109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12"/>
      <c r="AH223" s="114"/>
      <c r="AI223" s="10"/>
      <c r="AJ223" s="10"/>
    </row>
    <row r="224" spans="2:36">
      <c r="B224" s="10" t="s">
        <v>504</v>
      </c>
      <c r="C224" s="110"/>
      <c r="D224" s="110"/>
      <c r="E224" s="110"/>
      <c r="F224" s="110"/>
      <c r="G224" s="128">
        <f t="shared" ref="G224:U224" si="697">1/G225</f>
        <v>0.46315657410505195</v>
      </c>
      <c r="H224" s="128">
        <f t="shared" si="697"/>
        <v>0.28501943021849346</v>
      </c>
      <c r="I224" s="128">
        <f t="shared" si="697"/>
        <v>0.11084088952941415</v>
      </c>
      <c r="J224" s="128">
        <f t="shared" si="697"/>
        <v>7.6284612205537963E-2</v>
      </c>
      <c r="K224" s="128">
        <f t="shared" si="697"/>
        <v>0.13300906743529697</v>
      </c>
      <c r="L224" s="128">
        <f t="shared" si="697"/>
        <v>0.72046578194119182</v>
      </c>
      <c r="M224" s="128">
        <f t="shared" si="697"/>
        <v>0.15815102530416408</v>
      </c>
      <c r="N224" s="128">
        <f t="shared" si="697"/>
        <v>0.13723157751260798</v>
      </c>
      <c r="O224" s="128">
        <f t="shared" si="697"/>
        <v>9.5355765256922451E-2</v>
      </c>
      <c r="P224" s="128">
        <f t="shared" si="697"/>
        <v>8.8521393003013329E-2</v>
      </c>
      <c r="Q224" s="128">
        <f t="shared" si="697"/>
        <v>6.5829360786504851E-2</v>
      </c>
      <c r="R224" s="128">
        <f t="shared" si="697"/>
        <v>3.1136576410423656E-2</v>
      </c>
      <c r="S224" s="128">
        <f t="shared" si="697"/>
        <v>2.9574422063720535E-2</v>
      </c>
      <c r="T224" s="128">
        <f t="shared" si="697"/>
        <v>2.9142436123463941E-2</v>
      </c>
      <c r="U224" s="128">
        <f t="shared" si="697"/>
        <v>0.10374707259953163</v>
      </c>
      <c r="V224" s="101">
        <f t="shared" si="593"/>
        <v>-0.10135296824566276</v>
      </c>
      <c r="W224" s="109"/>
      <c r="X224" s="128">
        <f t="shared" ref="X224:AG224" si="698">1/X225</f>
        <v>0.5187353629976581</v>
      </c>
      <c r="Y224" s="128">
        <f t="shared" si="698"/>
        <v>0.5187353629976581</v>
      </c>
      <c r="Z224" s="128">
        <f t="shared" si="698"/>
        <v>0.5187353629976581</v>
      </c>
      <c r="AA224" s="128">
        <f t="shared" si="698"/>
        <v>0.5187353629976581</v>
      </c>
      <c r="AB224" s="128">
        <f t="shared" si="698"/>
        <v>0.5187353629976581</v>
      </c>
      <c r="AC224" s="128">
        <f t="shared" si="698"/>
        <v>0.5187353629976581</v>
      </c>
      <c r="AD224" s="128">
        <f t="shared" si="698"/>
        <v>0.5187353629976581</v>
      </c>
      <c r="AE224" s="128">
        <f t="shared" si="698"/>
        <v>0.5187353629976581</v>
      </c>
      <c r="AF224" s="128">
        <f t="shared" si="698"/>
        <v>0.5187353629976581</v>
      </c>
      <c r="AG224" s="128">
        <f t="shared" si="698"/>
        <v>0.5187353629976581</v>
      </c>
      <c r="AH224" s="115">
        <f t="shared" ref="AH224" si="699">((AG224/J224)^(1/($AG$3-$K$1) ))-1</f>
        <v>8.3148172645629792E-2</v>
      </c>
      <c r="AI224" s="21">
        <f t="shared" ref="AI224" si="700">$O$1</f>
        <v>0.02</v>
      </c>
      <c r="AJ224" s="156">
        <f>(AJ210)/($O$2*100)</f>
        <v>0</v>
      </c>
    </row>
    <row r="225" spans="2:36">
      <c r="B225" s="10" t="s">
        <v>411</v>
      </c>
      <c r="C225" s="110"/>
      <c r="D225" s="110"/>
      <c r="E225" s="110"/>
      <c r="F225" s="110"/>
      <c r="G225" s="112">
        <f t="shared" ref="G225" si="701">G201/$T$170</f>
        <v>2.1590970654627535</v>
      </c>
      <c r="H225" s="112">
        <f t="shared" ref="H225:I225" si="702">H201/$T$170</f>
        <v>3.5085327313769747</v>
      </c>
      <c r="I225" s="112">
        <f t="shared" si="702"/>
        <v>9.0219413092550766</v>
      </c>
      <c r="J225" s="112">
        <f t="shared" ref="J225:S225" si="703">J201/$T$170</f>
        <v>13.108803611738146</v>
      </c>
      <c r="K225" s="112">
        <f t="shared" si="703"/>
        <v>7.5182844243792308</v>
      </c>
      <c r="L225" s="112">
        <f t="shared" si="703"/>
        <v>1.3879909706546274</v>
      </c>
      <c r="M225" s="112">
        <f t="shared" si="703"/>
        <v>6.323069977426635</v>
      </c>
      <c r="N225" s="112">
        <f t="shared" si="703"/>
        <v>7.2869525959367936</v>
      </c>
      <c r="O225" s="112">
        <f t="shared" si="703"/>
        <v>10.487042889390517</v>
      </c>
      <c r="P225" s="112">
        <f t="shared" si="703"/>
        <v>11.296704288939051</v>
      </c>
      <c r="Q225" s="112">
        <f t="shared" si="703"/>
        <v>15.190790067720087</v>
      </c>
      <c r="R225" s="112">
        <f t="shared" si="703"/>
        <v>32.116568848758462</v>
      </c>
      <c r="S225" s="112">
        <f t="shared" si="703"/>
        <v>33.813002257336336</v>
      </c>
      <c r="T225" s="112">
        <f>T201/$T$170</f>
        <v>34.31422121896162</v>
      </c>
      <c r="U225" s="112">
        <f>U201/$T$170</f>
        <v>9.6388261851015784</v>
      </c>
      <c r="V225" s="101">
        <f t="shared" si="593"/>
        <v>0.11278395706465716</v>
      </c>
      <c r="W225" s="109"/>
      <c r="X225" s="112">
        <f t="shared" ref="X225:AG225" si="704">X201/$T$170</f>
        <v>1.9277652370203158</v>
      </c>
      <c r="Y225" s="112">
        <f t="shared" si="704"/>
        <v>1.9277652370203158</v>
      </c>
      <c r="Z225" s="112">
        <f t="shared" si="704"/>
        <v>1.9277652370203158</v>
      </c>
      <c r="AA225" s="112">
        <f t="shared" si="704"/>
        <v>1.9277652370203158</v>
      </c>
      <c r="AB225" s="112">
        <f t="shared" si="704"/>
        <v>1.9277652370203158</v>
      </c>
      <c r="AC225" s="112">
        <f t="shared" si="704"/>
        <v>1.9277652370203158</v>
      </c>
      <c r="AD225" s="112">
        <f t="shared" si="704"/>
        <v>1.9277652370203158</v>
      </c>
      <c r="AE225" s="112">
        <f t="shared" si="704"/>
        <v>1.9277652370203158</v>
      </c>
      <c r="AF225" s="112">
        <f t="shared" si="704"/>
        <v>1.9277652370203158</v>
      </c>
      <c r="AG225" s="112">
        <f t="shared" si="704"/>
        <v>1.9277652370203158</v>
      </c>
      <c r="AH225" s="115">
        <f t="shared" ref="AH225:AH227" si="705">((AG225/J225)^(1/($AG$3-$K$1) ))-1</f>
        <v>-7.67652798993671E-2</v>
      </c>
      <c r="AI225" s="21">
        <f t="shared" ref="AI225:AI227" si="706">$O$1</f>
        <v>0.02</v>
      </c>
      <c r="AJ225" s="156">
        <f>(AJ210)/($O$2*100)</f>
        <v>0</v>
      </c>
    </row>
    <row r="226" spans="2:36">
      <c r="B226" s="10" t="s">
        <v>432</v>
      </c>
      <c r="C226" s="110"/>
      <c r="D226" s="110"/>
      <c r="E226" s="110"/>
      <c r="F226" s="110"/>
      <c r="G226" s="156">
        <f t="shared" ref="G226" si="707">(G225)/($O$2*100)</f>
        <v>0.21590970654627534</v>
      </c>
      <c r="H226" s="156">
        <f t="shared" ref="H226:I226" si="708">(H225)/($O$2*100)</f>
        <v>0.35085327313769749</v>
      </c>
      <c r="I226" s="156">
        <f t="shared" si="708"/>
        <v>0.90219413092550771</v>
      </c>
      <c r="J226" s="156">
        <f t="shared" ref="J226:T226" si="709">(J225)/($O$2*100)</f>
        <v>1.3108803611738147</v>
      </c>
      <c r="K226" s="156">
        <f t="shared" si="709"/>
        <v>0.75182844243792313</v>
      </c>
      <c r="L226" s="156">
        <f t="shared" si="709"/>
        <v>0.13879909706546273</v>
      </c>
      <c r="M226" s="156">
        <f t="shared" si="709"/>
        <v>0.63230699774266352</v>
      </c>
      <c r="N226" s="156">
        <f t="shared" si="709"/>
        <v>0.72869525959367931</v>
      </c>
      <c r="O226" s="156">
        <f t="shared" si="709"/>
        <v>1.0487042889390517</v>
      </c>
      <c r="P226" s="156">
        <f t="shared" si="709"/>
        <v>1.129670428893905</v>
      </c>
      <c r="Q226" s="156">
        <f t="shared" si="709"/>
        <v>1.5190790067720088</v>
      </c>
      <c r="R226" s="156">
        <f t="shared" si="709"/>
        <v>3.211656884875846</v>
      </c>
      <c r="S226" s="156">
        <f t="shared" si="709"/>
        <v>3.3813002257336335</v>
      </c>
      <c r="T226" s="156">
        <f t="shared" si="709"/>
        <v>3.431422121896162</v>
      </c>
      <c r="U226" s="156">
        <f t="shared" ref="U226" si="710">(U225)/($O$2*100)</f>
        <v>0.96388261851015788</v>
      </c>
      <c r="V226" s="101">
        <f t="shared" si="593"/>
        <v>0.11278395706465716</v>
      </c>
      <c r="W226" s="109"/>
      <c r="X226" s="156">
        <f t="shared" ref="X226:AG226" si="711">(X225)/($O$2*100)</f>
        <v>0.19277652370203158</v>
      </c>
      <c r="Y226" s="156">
        <f t="shared" si="711"/>
        <v>0.19277652370203158</v>
      </c>
      <c r="Z226" s="156">
        <f t="shared" si="711"/>
        <v>0.19277652370203158</v>
      </c>
      <c r="AA226" s="156">
        <f t="shared" si="711"/>
        <v>0.19277652370203158</v>
      </c>
      <c r="AB226" s="156">
        <f t="shared" si="711"/>
        <v>0.19277652370203158</v>
      </c>
      <c r="AC226" s="156">
        <f t="shared" si="711"/>
        <v>0.19277652370203158</v>
      </c>
      <c r="AD226" s="156">
        <f t="shared" si="711"/>
        <v>0.19277652370203158</v>
      </c>
      <c r="AE226" s="156">
        <f t="shared" si="711"/>
        <v>0.19277652370203158</v>
      </c>
      <c r="AF226" s="156">
        <f t="shared" si="711"/>
        <v>0.19277652370203158</v>
      </c>
      <c r="AG226" s="156">
        <f t="shared" si="711"/>
        <v>0.19277652370203158</v>
      </c>
      <c r="AH226" s="115">
        <f t="shared" si="705"/>
        <v>-7.67652798993671E-2</v>
      </c>
      <c r="AI226" s="21">
        <f t="shared" si="706"/>
        <v>0.02</v>
      </c>
      <c r="AJ226" s="156" t="e">
        <f>(#REF!)/($O$2*100)</f>
        <v>#REF!</v>
      </c>
    </row>
    <row r="227" spans="2:36">
      <c r="B227" s="10" t="s">
        <v>434</v>
      </c>
      <c r="C227" s="110"/>
      <c r="D227" s="110"/>
      <c r="E227" s="110"/>
      <c r="F227" s="110"/>
      <c r="G227" s="128">
        <f t="shared" ref="G227" si="712">G226-1</f>
        <v>-0.78409029345372461</v>
      </c>
      <c r="H227" s="128">
        <f t="shared" ref="H227:I227" si="713">H226-1</f>
        <v>-0.64914672686230257</v>
      </c>
      <c r="I227" s="128">
        <f t="shared" si="713"/>
        <v>-9.7805869074492291E-2</v>
      </c>
      <c r="J227" s="128">
        <f t="shared" ref="J227:T227" si="714">J226-1</f>
        <v>0.31088036117381468</v>
      </c>
      <c r="K227" s="128">
        <f t="shared" si="714"/>
        <v>-0.24817155756207687</v>
      </c>
      <c r="L227" s="128">
        <f t="shared" si="714"/>
        <v>-0.86120090293453733</v>
      </c>
      <c r="M227" s="128">
        <f t="shared" si="714"/>
        <v>-0.36769300225733648</v>
      </c>
      <c r="N227" s="128">
        <f t="shared" si="714"/>
        <v>-0.27130474040632069</v>
      </c>
      <c r="O227" s="128">
        <f t="shared" si="714"/>
        <v>4.8704288939051654E-2</v>
      </c>
      <c r="P227" s="128">
        <f t="shared" si="714"/>
        <v>0.12967042889390501</v>
      </c>
      <c r="Q227" s="128">
        <f t="shared" si="714"/>
        <v>0.5190790067720088</v>
      </c>
      <c r="R227" s="128">
        <f t="shared" si="714"/>
        <v>2.211656884875846</v>
      </c>
      <c r="S227" s="128">
        <f t="shared" si="714"/>
        <v>2.3813002257336335</v>
      </c>
      <c r="T227" s="128">
        <f t="shared" si="714"/>
        <v>2.431422121896162</v>
      </c>
      <c r="U227" s="128">
        <f t="shared" ref="U227" si="715">U226-1</f>
        <v>-3.6117381489842115E-2</v>
      </c>
      <c r="V227" s="101">
        <f t="shared" si="593"/>
        <v>-0.19735221272926273</v>
      </c>
      <c r="W227" s="109"/>
      <c r="X227" s="128">
        <f t="shared" ref="X227:AG227" si="716">X226-1</f>
        <v>-0.80722347629796842</v>
      </c>
      <c r="Y227" s="128">
        <f t="shared" si="716"/>
        <v>-0.80722347629796842</v>
      </c>
      <c r="Z227" s="128">
        <f t="shared" si="716"/>
        <v>-0.80722347629796842</v>
      </c>
      <c r="AA227" s="128">
        <f t="shared" si="716"/>
        <v>-0.80722347629796842</v>
      </c>
      <c r="AB227" s="128">
        <f t="shared" si="716"/>
        <v>-0.80722347629796842</v>
      </c>
      <c r="AC227" s="128">
        <f t="shared" si="716"/>
        <v>-0.80722347629796842</v>
      </c>
      <c r="AD227" s="128">
        <f t="shared" si="716"/>
        <v>-0.80722347629796842</v>
      </c>
      <c r="AE227" s="128">
        <f t="shared" si="716"/>
        <v>-0.80722347629796842</v>
      </c>
      <c r="AF227" s="128">
        <f t="shared" si="716"/>
        <v>-0.80722347629796842</v>
      </c>
      <c r="AG227" s="128">
        <f t="shared" si="716"/>
        <v>-0.80722347629796842</v>
      </c>
      <c r="AH227" s="115" t="e">
        <f t="shared" si="705"/>
        <v>#NUM!</v>
      </c>
      <c r="AI227" s="21">
        <f t="shared" si="706"/>
        <v>0.02</v>
      </c>
      <c r="AJ227" s="156">
        <f>(AJ211)/($O$2*100)</f>
        <v>5.564211029442219E-2</v>
      </c>
    </row>
    <row r="228" spans="2:36">
      <c r="B228" s="10"/>
      <c r="C228" s="110"/>
      <c r="D228" s="110"/>
      <c r="E228" s="110"/>
      <c r="F228" s="110"/>
      <c r="G228" s="110"/>
      <c r="H228" s="110"/>
      <c r="I228" s="110"/>
      <c r="J228" s="112"/>
      <c r="K228" s="112"/>
      <c r="L228" s="112"/>
      <c r="M228" s="112"/>
      <c r="N228" s="174"/>
      <c r="O228" s="175"/>
      <c r="P228" s="112"/>
      <c r="Q228" s="112"/>
      <c r="R228" s="112"/>
      <c r="S228" s="112"/>
      <c r="T228" s="112"/>
      <c r="U228" s="157"/>
      <c r="V228" s="157"/>
      <c r="W228" s="109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2"/>
      <c r="AH228" s="114"/>
      <c r="AI228" s="10"/>
      <c r="AJ228" s="10"/>
    </row>
    <row r="229" spans="2:36">
      <c r="B229" s="10" t="s">
        <v>505</v>
      </c>
      <c r="C229" s="110"/>
      <c r="D229" s="110"/>
      <c r="E229" s="110"/>
      <c r="F229" s="110"/>
      <c r="G229" s="128">
        <f t="shared" ref="G229:S229" si="717">1/G230</f>
        <v>0.17499743038089163</v>
      </c>
      <c r="H229" s="128">
        <f t="shared" si="717"/>
        <v>0.10769072638824101</v>
      </c>
      <c r="I229" s="128">
        <f t="shared" si="717"/>
        <v>4.1879726928760387E-2</v>
      </c>
      <c r="J229" s="128">
        <f t="shared" si="717"/>
        <v>2.8823106180382148E-2</v>
      </c>
      <c r="K229" s="128">
        <f t="shared" si="717"/>
        <v>5.0255672314512466E-2</v>
      </c>
      <c r="L229" s="128">
        <f t="shared" si="717"/>
        <v>0.27221822503694254</v>
      </c>
      <c r="M229" s="128">
        <f t="shared" si="717"/>
        <v>5.975522013006055E-2</v>
      </c>
      <c r="N229" s="128">
        <f t="shared" si="717"/>
        <v>5.1851090483227148E-2</v>
      </c>
      <c r="O229" s="128">
        <f t="shared" si="717"/>
        <v>3.602888272547769E-2</v>
      </c>
      <c r="P229" s="128">
        <f t="shared" si="717"/>
        <v>3.3446607854368364E-2</v>
      </c>
      <c r="Q229" s="128">
        <f t="shared" si="717"/>
        <v>2.4872731221649569E-2</v>
      </c>
      <c r="R229" s="128">
        <f t="shared" si="717"/>
        <v>1.1764533134849856E-2</v>
      </c>
      <c r="S229" s="128">
        <f t="shared" si="717"/>
        <v>1.1174294300262179E-2</v>
      </c>
      <c r="T229" s="128">
        <f>1/T230</f>
        <v>1.1011074271157226E-2</v>
      </c>
      <c r="U229" s="128">
        <f>1/U230</f>
        <v>3.9199424405319726E-2</v>
      </c>
      <c r="V229" s="101">
        <f t="shared" si="593"/>
        <v>-0.10135296824566276</v>
      </c>
      <c r="W229" s="109"/>
      <c r="X229" s="128">
        <f t="shared" ref="X229:AG229" si="718">1/X230</f>
        <v>95.638631695623729</v>
      </c>
      <c r="Y229" s="128">
        <f t="shared" si="718"/>
        <v>103.13970084822169</v>
      </c>
      <c r="Z229" s="128">
        <f t="shared" si="718"/>
        <v>111.22908915004301</v>
      </c>
      <c r="AA229" s="128">
        <f t="shared" si="718"/>
        <v>119.95293927945816</v>
      </c>
      <c r="AB229" s="128">
        <f t="shared" si="718"/>
        <v>129.3610129484353</v>
      </c>
      <c r="AC229" s="128">
        <f t="shared" si="718"/>
        <v>139.50697474831256</v>
      </c>
      <c r="AD229" s="128">
        <f t="shared" si="718"/>
        <v>150.44869825798412</v>
      </c>
      <c r="AE229" s="128">
        <f t="shared" si="718"/>
        <v>162.24859616057111</v>
      </c>
      <c r="AF229" s="128">
        <f t="shared" si="718"/>
        <v>174.9739762515963</v>
      </c>
      <c r="AG229" s="128">
        <f t="shared" si="718"/>
        <v>188.69742536936857</v>
      </c>
      <c r="AH229" s="115">
        <f t="shared" ref="AH229:AH232" si="719">((AG229/J229)^(1/($AG$3-$K$1) ))-1</f>
        <v>0.44211883717920331</v>
      </c>
      <c r="AI229" s="21">
        <f t="shared" ref="AI229:AI232" si="720">$O$1</f>
        <v>0.02</v>
      </c>
      <c r="AJ229" s="156">
        <f>(AJ215)/($O$2*100)</f>
        <v>2.9694601327226416E-3</v>
      </c>
    </row>
    <row r="230" spans="2:36">
      <c r="B230" s="10" t="s">
        <v>500</v>
      </c>
      <c r="C230" s="110"/>
      <c r="D230" s="110"/>
      <c r="E230" s="110"/>
      <c r="F230" s="110"/>
      <c r="G230" s="112">
        <f t="shared" ref="G230" si="721">G201/$X$171</f>
        <v>5.7143696214478377</v>
      </c>
      <c r="H230" s="112">
        <f t="shared" ref="H230:S230" si="722">H201/$X$171</f>
        <v>9.2858506348527357</v>
      </c>
      <c r="I230" s="112">
        <f t="shared" si="722"/>
        <v>23.877901632478466</v>
      </c>
      <c r="J230" s="112">
        <f t="shared" si="722"/>
        <v>34.694386987361874</v>
      </c>
      <c r="K230" s="112">
        <f t="shared" si="722"/>
        <v>19.898251360398721</v>
      </c>
      <c r="L230" s="112">
        <f t="shared" si="722"/>
        <v>3.6735233280736099</v>
      </c>
      <c r="M230" s="112">
        <f t="shared" si="722"/>
        <v>16.734939605668668</v>
      </c>
      <c r="N230" s="112">
        <f t="shared" si="722"/>
        <v>19.285997472386452</v>
      </c>
      <c r="O230" s="112">
        <f t="shared" si="722"/>
        <v>27.755509589889495</v>
      </c>
      <c r="P230" s="112">
        <f t="shared" si="722"/>
        <v>29.898398197932437</v>
      </c>
      <c r="Q230" s="112">
        <f t="shared" si="722"/>
        <v>40.204671979472288</v>
      </c>
      <c r="R230" s="112">
        <f t="shared" si="722"/>
        <v>85.001248119036589</v>
      </c>
      <c r="S230" s="112">
        <f t="shared" si="722"/>
        <v>89.491109964459881</v>
      </c>
      <c r="T230" s="112">
        <f>T201/$X$171</f>
        <v>90.817660055153127</v>
      </c>
      <c r="U230" s="112">
        <f>U201/$X$171</f>
        <v>25.510578667177846</v>
      </c>
      <c r="V230" s="101">
        <f t="shared" si="593"/>
        <v>0.11278395706465716</v>
      </c>
      <c r="W230" s="109"/>
      <c r="X230" s="112">
        <f t="shared" ref="X230:AG230" si="723">X206/$T$170</f>
        <v>1.0456025794916913E-2</v>
      </c>
      <c r="Y230" s="112">
        <f t="shared" si="723"/>
        <v>9.6955875552865896E-3</v>
      </c>
      <c r="Z230" s="112">
        <f t="shared" si="723"/>
        <v>8.9904539149021096E-3</v>
      </c>
      <c r="AA230" s="112">
        <f t="shared" si="723"/>
        <v>8.3366027210910465E-3</v>
      </c>
      <c r="AB230" s="112">
        <f t="shared" si="723"/>
        <v>7.7303043413753329E-3</v>
      </c>
      <c r="AC230" s="112">
        <f t="shared" si="723"/>
        <v>7.1681003892753092E-3</v>
      </c>
      <c r="AD230" s="112">
        <f t="shared" si="723"/>
        <v>6.6467839973280152E-3</v>
      </c>
      <c r="AE230" s="112">
        <f t="shared" si="723"/>
        <v>6.1633815247950684E-3</v>
      </c>
      <c r="AF230" s="112">
        <f t="shared" si="723"/>
        <v>5.7151355957190631E-3</v>
      </c>
      <c r="AG230" s="112">
        <f t="shared" si="723"/>
        <v>5.2994893705758583E-3</v>
      </c>
      <c r="AH230" s="115">
        <f t="shared" si="719"/>
        <v>-0.306575870019139</v>
      </c>
      <c r="AI230" s="21">
        <f t="shared" si="720"/>
        <v>0.02</v>
      </c>
      <c r="AJ230" s="156">
        <f>(AJ215)/($O$2*100)</f>
        <v>2.9694601327226416E-3</v>
      </c>
    </row>
    <row r="231" spans="2:36">
      <c r="B231" s="10" t="s">
        <v>432</v>
      </c>
      <c r="C231" s="110"/>
      <c r="D231" s="110"/>
      <c r="E231" s="110"/>
      <c r="F231" s="110"/>
      <c r="G231" s="156">
        <f t="shared" ref="G231" si="724">(G230)/($O$2*100)</f>
        <v>0.57143696214478379</v>
      </c>
      <c r="H231" s="156">
        <f t="shared" ref="H231:T231" si="725">(H230)/($O$2*100)</f>
        <v>0.92858506348527359</v>
      </c>
      <c r="I231" s="156">
        <f t="shared" si="725"/>
        <v>2.3877901632478467</v>
      </c>
      <c r="J231" s="156">
        <f t="shared" si="725"/>
        <v>3.4694386987361874</v>
      </c>
      <c r="K231" s="156">
        <f t="shared" si="725"/>
        <v>1.989825136039872</v>
      </c>
      <c r="L231" s="156">
        <f t="shared" si="725"/>
        <v>0.36735233280736102</v>
      </c>
      <c r="M231" s="156">
        <f t="shared" si="725"/>
        <v>1.6734939605668668</v>
      </c>
      <c r="N231" s="156">
        <f t="shared" si="725"/>
        <v>1.9285997472386451</v>
      </c>
      <c r="O231" s="156">
        <f t="shared" si="725"/>
        <v>2.7755509589889495</v>
      </c>
      <c r="P231" s="156">
        <f t="shared" si="725"/>
        <v>2.9898398197932439</v>
      </c>
      <c r="Q231" s="156">
        <f t="shared" si="725"/>
        <v>4.0204671979472284</v>
      </c>
      <c r="R231" s="156">
        <f t="shared" si="725"/>
        <v>8.5001248119036585</v>
      </c>
      <c r="S231" s="156">
        <f t="shared" si="725"/>
        <v>8.9491109964459881</v>
      </c>
      <c r="T231" s="156">
        <f t="shared" si="725"/>
        <v>9.0817660055153127</v>
      </c>
      <c r="U231" s="156">
        <f t="shared" ref="U231" si="726">(U230)/($O$2*100)</f>
        <v>2.5510578667177848</v>
      </c>
      <c r="V231" s="101">
        <f t="shared" si="593"/>
        <v>0.11278395706465716</v>
      </c>
      <c r="W231" s="109"/>
      <c r="X231" s="156">
        <f t="shared" ref="X231:AG231" si="727">(X230)/($O$2*100)</f>
        <v>1.0456025794916913E-3</v>
      </c>
      <c r="Y231" s="156">
        <f t="shared" si="727"/>
        <v>9.6955875552865898E-4</v>
      </c>
      <c r="Z231" s="156">
        <f t="shared" si="727"/>
        <v>8.9904539149021092E-4</v>
      </c>
      <c r="AA231" s="156">
        <f t="shared" si="727"/>
        <v>8.3366027210910463E-4</v>
      </c>
      <c r="AB231" s="156">
        <f t="shared" si="727"/>
        <v>7.7303043413753329E-4</v>
      </c>
      <c r="AC231" s="156">
        <f t="shared" si="727"/>
        <v>7.1681003892753092E-4</v>
      </c>
      <c r="AD231" s="156">
        <f t="shared" si="727"/>
        <v>6.6467839973280147E-4</v>
      </c>
      <c r="AE231" s="156">
        <f t="shared" si="727"/>
        <v>6.163381524795068E-4</v>
      </c>
      <c r="AF231" s="156">
        <f t="shared" si="727"/>
        <v>5.7151355957190634E-4</v>
      </c>
      <c r="AG231" s="156">
        <f t="shared" si="727"/>
        <v>5.2994893705758585E-4</v>
      </c>
      <c r="AH231" s="115">
        <f t="shared" si="719"/>
        <v>-0.306575870019139</v>
      </c>
      <c r="AI231" s="21">
        <f t="shared" si="720"/>
        <v>0.02</v>
      </c>
      <c r="AJ231" s="156" t="e">
        <f>(#REF!)/($O$2*100)</f>
        <v>#REF!</v>
      </c>
    </row>
    <row r="232" spans="2:36">
      <c r="B232" s="10" t="s">
        <v>434</v>
      </c>
      <c r="C232" s="110"/>
      <c r="D232" s="110"/>
      <c r="E232" s="110"/>
      <c r="F232" s="110"/>
      <c r="G232" s="128">
        <f t="shared" ref="G232" si="728">G231-1</f>
        <v>-0.42856303785521621</v>
      </c>
      <c r="H232" s="128">
        <f t="shared" ref="H232:T232" si="729">H231-1</f>
        <v>-7.1414936514726413E-2</v>
      </c>
      <c r="I232" s="128">
        <f t="shared" si="729"/>
        <v>1.3877901632478467</v>
      </c>
      <c r="J232" s="128">
        <f t="shared" si="729"/>
        <v>2.4694386987361874</v>
      </c>
      <c r="K232" s="128">
        <f t="shared" si="729"/>
        <v>0.98982513603987199</v>
      </c>
      <c r="L232" s="128">
        <f t="shared" si="729"/>
        <v>-0.63264766719263898</v>
      </c>
      <c r="M232" s="128">
        <f t="shared" si="729"/>
        <v>0.67349396056686683</v>
      </c>
      <c r="N232" s="128">
        <f t="shared" si="729"/>
        <v>0.92859974723864513</v>
      </c>
      <c r="O232" s="128">
        <f t="shared" si="729"/>
        <v>1.7755509589889495</v>
      </c>
      <c r="P232" s="128">
        <f t="shared" si="729"/>
        <v>1.9898398197932439</v>
      </c>
      <c r="Q232" s="128">
        <f t="shared" si="729"/>
        <v>3.0204671979472284</v>
      </c>
      <c r="R232" s="128">
        <f t="shared" si="729"/>
        <v>7.5001248119036585</v>
      </c>
      <c r="S232" s="128">
        <f t="shared" si="729"/>
        <v>7.9491109964459881</v>
      </c>
      <c r="T232" s="128">
        <f t="shared" si="729"/>
        <v>8.0817660055153127</v>
      </c>
      <c r="U232" s="128">
        <f t="shared" ref="U232" si="730">U231-1</f>
        <v>1.5510578667177848</v>
      </c>
      <c r="V232" s="101" t="e">
        <f t="shared" si="593"/>
        <v>#NUM!</v>
      </c>
      <c r="W232" s="109"/>
      <c r="X232" s="128">
        <f t="shared" ref="X232:AG232" si="731">X231-1</f>
        <v>-0.99895439742050829</v>
      </c>
      <c r="Y232" s="128">
        <f t="shared" si="731"/>
        <v>-0.99903044124447138</v>
      </c>
      <c r="Z232" s="128">
        <f t="shared" si="731"/>
        <v>-0.99910095460850978</v>
      </c>
      <c r="AA232" s="128">
        <f t="shared" si="731"/>
        <v>-0.99916633972789093</v>
      </c>
      <c r="AB232" s="128">
        <f t="shared" si="731"/>
        <v>-0.99922696956586243</v>
      </c>
      <c r="AC232" s="128">
        <f t="shared" si="731"/>
        <v>-0.99928318996107246</v>
      </c>
      <c r="AD232" s="128">
        <f t="shared" si="731"/>
        <v>-0.99933532160026717</v>
      </c>
      <c r="AE232" s="128">
        <f t="shared" si="731"/>
        <v>-0.99938366184752048</v>
      </c>
      <c r="AF232" s="128">
        <f t="shared" si="731"/>
        <v>-0.99942848644042814</v>
      </c>
      <c r="AG232" s="128">
        <f t="shared" si="731"/>
        <v>-0.9994700510629424</v>
      </c>
      <c r="AH232" s="115" t="e">
        <f t="shared" si="719"/>
        <v>#NUM!</v>
      </c>
      <c r="AI232" s="21">
        <f t="shared" si="720"/>
        <v>0.02</v>
      </c>
      <c r="AJ232" s="156">
        <f>(AJ216)/($O$2*100)</f>
        <v>3.8776387574333486E-2</v>
      </c>
    </row>
    <row r="233" spans="2:36">
      <c r="B233" s="10"/>
      <c r="C233" s="110"/>
      <c r="D233" s="110"/>
      <c r="E233" s="110"/>
      <c r="F233" s="110"/>
      <c r="G233" s="110"/>
      <c r="H233" s="110"/>
      <c r="I233" s="110"/>
      <c r="J233" s="112"/>
      <c r="K233" s="112"/>
      <c r="L233" s="112"/>
      <c r="M233" s="112"/>
      <c r="N233" s="174"/>
      <c r="O233" s="175"/>
      <c r="P233" s="112"/>
      <c r="Q233" s="112"/>
      <c r="R233" s="112"/>
      <c r="S233" s="112"/>
      <c r="T233" s="112"/>
      <c r="U233" s="157"/>
      <c r="V233" s="157"/>
      <c r="W233" s="109"/>
      <c r="X233" s="112"/>
      <c r="Y233" s="112"/>
      <c r="Z233" s="112"/>
      <c r="AA233" s="112"/>
      <c r="AB233" s="112"/>
      <c r="AC233" s="112"/>
      <c r="AD233" s="112"/>
      <c r="AE233" s="112"/>
      <c r="AF233" s="112"/>
      <c r="AG233" s="112"/>
      <c r="AH233" s="114"/>
      <c r="AI233" s="10"/>
      <c r="AJ233" s="10"/>
    </row>
    <row r="234" spans="2:36">
      <c r="B234" s="10"/>
      <c r="C234" s="110"/>
      <c r="D234" s="110"/>
      <c r="E234" s="110"/>
      <c r="F234" s="110"/>
      <c r="G234" s="110"/>
      <c r="H234" s="110"/>
      <c r="I234" s="110"/>
      <c r="J234" s="112"/>
      <c r="K234" s="112"/>
      <c r="L234" s="112"/>
      <c r="M234" s="112"/>
      <c r="N234" s="174"/>
      <c r="O234" s="175"/>
      <c r="P234" s="112"/>
      <c r="Q234" s="112"/>
      <c r="R234" s="112"/>
      <c r="S234" s="112"/>
      <c r="T234" s="112"/>
      <c r="U234" s="112"/>
      <c r="V234" s="109"/>
      <c r="W234" s="109"/>
      <c r="X234" s="112"/>
      <c r="Y234" s="112"/>
      <c r="Z234" s="112"/>
      <c r="AA234" s="112"/>
      <c r="AB234" s="112"/>
      <c r="AC234" s="112"/>
      <c r="AD234" s="112"/>
      <c r="AE234" s="112"/>
      <c r="AF234" s="112"/>
      <c r="AG234" s="112"/>
      <c r="AH234" s="114"/>
      <c r="AI234" s="10"/>
      <c r="AJ234" s="10"/>
    </row>
    <row r="235" spans="2:36">
      <c r="B235" s="10"/>
      <c r="C235" s="110"/>
      <c r="D235" s="110"/>
      <c r="E235" s="110"/>
      <c r="F235" s="110"/>
      <c r="G235" s="110"/>
      <c r="H235" s="110"/>
      <c r="I235" s="110"/>
      <c r="J235" s="112"/>
      <c r="K235" s="112"/>
      <c r="L235" s="112"/>
      <c r="M235" s="112"/>
      <c r="N235" s="174"/>
      <c r="O235" s="175"/>
      <c r="P235" s="112"/>
      <c r="Q235" s="112"/>
      <c r="R235" s="112"/>
      <c r="S235" s="112"/>
      <c r="T235" s="112"/>
      <c r="U235" s="112"/>
      <c r="V235" s="109"/>
      <c r="W235" s="109"/>
      <c r="X235" s="112"/>
      <c r="Y235" s="112"/>
      <c r="Z235" s="112"/>
      <c r="AA235" s="112"/>
      <c r="AB235" s="112"/>
      <c r="AC235" s="112"/>
      <c r="AD235" s="112"/>
      <c r="AE235" s="112"/>
      <c r="AF235" s="112"/>
      <c r="AG235" s="112"/>
      <c r="AH235" s="114"/>
      <c r="AI235" s="10"/>
      <c r="AJ235" s="10"/>
    </row>
    <row r="236" spans="2:36">
      <c r="B236" s="93" t="s">
        <v>250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309" t="s">
        <v>293</v>
      </c>
      <c r="O236" s="310"/>
      <c r="P236" s="10"/>
      <c r="Q236" s="10"/>
      <c r="R236" s="10"/>
      <c r="S236" s="93" t="s">
        <v>372</v>
      </c>
      <c r="T236" s="169" t="s">
        <v>371</v>
      </c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14"/>
      <c r="AI236" s="10"/>
      <c r="AJ236" s="10"/>
    </row>
    <row r="237" spans="2:36">
      <c r="B237" s="10" t="s">
        <v>248</v>
      </c>
      <c r="C237" s="10" t="s">
        <v>260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 t="s">
        <v>294</v>
      </c>
      <c r="O237" s="12">
        <v>1</v>
      </c>
      <c r="P237" s="10"/>
      <c r="Q237" s="10"/>
      <c r="R237" s="10"/>
      <c r="S237" s="109">
        <f>(U201-Y188)/U201</f>
        <v>0.98276380075767766</v>
      </c>
      <c r="T237" s="109">
        <f>(U201-X188)/U201</f>
        <v>0.90314805416602473</v>
      </c>
      <c r="U237" s="109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14"/>
      <c r="AI237" s="10"/>
      <c r="AJ237" s="10"/>
    </row>
    <row r="238" spans="2:36">
      <c r="B238" s="10" t="s">
        <v>291</v>
      </c>
      <c r="C238" s="10" t="s">
        <v>260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47">
        <f>$O$237</f>
        <v>1</v>
      </c>
      <c r="O238" s="10"/>
      <c r="P238" s="109">
        <f>(S201-(N238*W179))/S201</f>
        <v>0.45715468086257133</v>
      </c>
      <c r="Q238" s="10"/>
      <c r="R238" s="10"/>
      <c r="S238" s="109">
        <f>(U201-Y179)/U201</f>
        <v>-0.5921208255121162</v>
      </c>
      <c r="T238" s="109">
        <f>(U201-X179)/U201</f>
        <v>0.68781944597801636</v>
      </c>
      <c r="U238" s="109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14"/>
      <c r="AI238" s="10"/>
      <c r="AJ238" s="10"/>
    </row>
    <row r="239" spans="2:36">
      <c r="B239" s="10" t="s">
        <v>292</v>
      </c>
      <c r="C239" s="10" t="s">
        <v>260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47">
        <f>$O$237</f>
        <v>1</v>
      </c>
      <c r="O239" s="10"/>
      <c r="P239" s="109">
        <f>(S201-(N239*W172))/S201</f>
        <v>0.57495689088066437</v>
      </c>
      <c r="Q239" s="10"/>
      <c r="R239" s="10"/>
      <c r="S239" s="109">
        <f>(U201-Y172)/U201</f>
        <v>-0.24661659944790335</v>
      </c>
      <c r="T239" s="109">
        <f>(U201-X172)/U201</f>
        <v>0.75556537265727386</v>
      </c>
      <c r="U239" s="109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14"/>
      <c r="AI239" s="10"/>
      <c r="AJ239" s="10"/>
    </row>
    <row r="240" spans="2:36">
      <c r="B240" s="10" t="s">
        <v>295</v>
      </c>
      <c r="C240" s="10" t="s">
        <v>260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47">
        <f>$O$237</f>
        <v>1</v>
      </c>
      <c r="O240" s="10"/>
      <c r="P240" s="109">
        <f>(S201-(N240*W185))/S201</f>
        <v>0.98041814954430373</v>
      </c>
      <c r="Q240" s="10"/>
      <c r="R240" s="10"/>
      <c r="S240" s="109">
        <f>(U201-Y185)/U201</f>
        <v>0.94256803768315245</v>
      </c>
      <c r="T240" s="109">
        <f>(U201-X185)/U201</f>
        <v>0.9887388309182652</v>
      </c>
      <c r="U240" s="109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14"/>
      <c r="AI240" s="10"/>
      <c r="AJ240" s="10"/>
    </row>
    <row r="241" spans="2:50">
      <c r="B241" s="10" t="s">
        <v>341</v>
      </c>
      <c r="C241" s="10" t="s">
        <v>260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47">
        <f>$O$237</f>
        <v>1</v>
      </c>
      <c r="O241" s="10"/>
      <c r="P241" s="109">
        <f>(S201-(N241*W198))/S201</f>
        <v>0.98238060189053833</v>
      </c>
      <c r="Q241" s="10"/>
      <c r="R241" s="10"/>
      <c r="S241" s="109">
        <f>(U201-Y198)/U201</f>
        <v>0.99066204794421053</v>
      </c>
      <c r="T241" s="109">
        <f>(U201-X198)/U201</f>
        <v>0.94752910348779829</v>
      </c>
      <c r="U241" s="109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14"/>
      <c r="AI241" s="10"/>
      <c r="AJ241" s="10"/>
    </row>
    <row r="242" spans="2:50">
      <c r="B242" s="10" t="s">
        <v>249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5">
        <f>U201/Y171</f>
        <v>5.0020742484662444</v>
      </c>
      <c r="T242" s="15">
        <f>U201/X171</f>
        <v>25.510578667177846</v>
      </c>
      <c r="U242" s="15"/>
      <c r="V242" s="10"/>
      <c r="W242" s="10"/>
      <c r="X242" s="98" t="s">
        <v>5</v>
      </c>
      <c r="Y242" s="98" t="s">
        <v>6</v>
      </c>
      <c r="Z242" s="98" t="s">
        <v>7</v>
      </c>
      <c r="AA242" s="98" t="s">
        <v>8</v>
      </c>
      <c r="AB242" s="98" t="s">
        <v>9</v>
      </c>
      <c r="AC242" s="98" t="s">
        <v>192</v>
      </c>
      <c r="AD242" s="98" t="s">
        <v>193</v>
      </c>
      <c r="AE242" s="98" t="s">
        <v>194</v>
      </c>
      <c r="AF242" s="98" t="s">
        <v>195</v>
      </c>
      <c r="AG242" s="98" t="s">
        <v>196</v>
      </c>
      <c r="AH242" s="98" t="s">
        <v>349</v>
      </c>
      <c r="AI242" s="98" t="s">
        <v>350</v>
      </c>
      <c r="AJ242" s="98" t="s">
        <v>351</v>
      </c>
      <c r="AK242" s="98" t="s">
        <v>352</v>
      </c>
      <c r="AL242" s="98" t="s">
        <v>353</v>
      </c>
      <c r="AM242" s="98" t="s">
        <v>354</v>
      </c>
      <c r="AN242" s="98" t="s">
        <v>355</v>
      </c>
      <c r="AO242" s="98" t="s">
        <v>356</v>
      </c>
      <c r="AP242" s="98" t="s">
        <v>357</v>
      </c>
      <c r="AQ242" s="98" t="s">
        <v>358</v>
      </c>
      <c r="AR242" s="98" t="s">
        <v>359</v>
      </c>
      <c r="AS242" s="98" t="s">
        <v>360</v>
      </c>
      <c r="AT242" s="98" t="s">
        <v>361</v>
      </c>
      <c r="AU242" s="98" t="s">
        <v>362</v>
      </c>
      <c r="AV242" s="98" t="s">
        <v>363</v>
      </c>
      <c r="AW242" s="98" t="s">
        <v>364</v>
      </c>
      <c r="AX242" s="98" t="s">
        <v>365</v>
      </c>
    </row>
    <row r="243" spans="2:50">
      <c r="B243" s="10" t="s">
        <v>313</v>
      </c>
      <c r="C243" s="10"/>
      <c r="D243" s="10"/>
      <c r="E243" s="10"/>
      <c r="F243" s="10"/>
      <c r="G243" s="10"/>
      <c r="H243" s="10"/>
      <c r="I243" s="10"/>
      <c r="J243" s="164" t="s">
        <v>388</v>
      </c>
      <c r="K243" s="165"/>
      <c r="L243" s="164" t="s">
        <v>389</v>
      </c>
      <c r="M243" s="165"/>
      <c r="N243" s="10"/>
      <c r="O243" s="164" t="s">
        <v>390</v>
      </c>
      <c r="P243" s="165"/>
      <c r="Q243" s="164" t="s">
        <v>391</v>
      </c>
      <c r="R243" s="165"/>
      <c r="S243" s="128">
        <f>1/S242</f>
        <v>0.19991706446713059</v>
      </c>
      <c r="T243" s="128">
        <f>1/T242</f>
        <v>3.9199424405319726E-2</v>
      </c>
      <c r="U243" s="128"/>
      <c r="V243" s="10"/>
      <c r="W243" s="10"/>
      <c r="X243" s="110">
        <f>U201-X244</f>
        <v>224.92622950819671</v>
      </c>
      <c r="Y243" s="160">
        <f>X243-Y244</f>
        <v>196.09139344262294</v>
      </c>
      <c r="Z243" s="160">
        <f t="shared" ref="Z243:AB243" si="732">Y243-Z244</f>
        <v>162.93133196721311</v>
      </c>
      <c r="AA243" s="160">
        <f t="shared" si="732"/>
        <v>124.79726127049182</v>
      </c>
      <c r="AB243" s="160">
        <f t="shared" si="732"/>
        <v>80.943079969262328</v>
      </c>
      <c r="AC243" s="160">
        <f>AB243-AC244</f>
        <v>30.510771472848411</v>
      </c>
      <c r="AD243" s="160">
        <f t="shared" ref="AD243:AG243" si="733">AC243-AD244</f>
        <v>-27.48638329802759</v>
      </c>
      <c r="AE243" s="160">
        <f t="shared" si="733"/>
        <v>-94.183111284534988</v>
      </c>
      <c r="AF243" s="160">
        <f t="shared" si="733"/>
        <v>-170.88434846901851</v>
      </c>
      <c r="AG243" s="160">
        <f t="shared" si="733"/>
        <v>-259.09077123117453</v>
      </c>
      <c r="AH243" s="160">
        <f t="shared" ref="AH243" si="734">AG243-AH244</f>
        <v>-360.52815740765396</v>
      </c>
      <c r="AI243" s="160">
        <f t="shared" ref="AI243" si="735">AH243-AI244</f>
        <v>-477.18115151060528</v>
      </c>
      <c r="AJ243" s="160">
        <f t="shared" ref="AJ243" si="736">AI243-AJ244</f>
        <v>-611.33209472899932</v>
      </c>
      <c r="AK243" s="160">
        <f t="shared" ref="AK243" si="737">AJ243-AK244</f>
        <v>-765.60567943015246</v>
      </c>
      <c r="AL243" s="160">
        <f t="shared" ref="AL243" si="738">AK243-AL244</f>
        <v>-943.02030183647855</v>
      </c>
      <c r="AM243" s="160">
        <f t="shared" ref="AM243" si="739">AL243-AM244</f>
        <v>-1147.0471176037536</v>
      </c>
      <c r="AN243" s="160">
        <f t="shared" ref="AN243" si="740">AM243-AN244</f>
        <v>-1381.6779557361197</v>
      </c>
      <c r="AO243" s="160">
        <f t="shared" ref="AO243" si="741">AN243-AO244</f>
        <v>-1651.5034195883406</v>
      </c>
      <c r="AP243" s="160">
        <f t="shared" ref="AP243" si="742">AO243-AP244</f>
        <v>-1961.8027030183948</v>
      </c>
      <c r="AQ243" s="160">
        <f t="shared" ref="AQ243" si="743">AP243-AQ244</f>
        <v>-2318.6468789629571</v>
      </c>
      <c r="AR243" s="160">
        <f t="shared" ref="AR243" si="744">AQ243-AR244</f>
        <v>-2729.0176812992036</v>
      </c>
      <c r="AS243" s="160">
        <f t="shared" ref="AS243" si="745">AR243-AS244</f>
        <v>-3200.9441039858871</v>
      </c>
      <c r="AT243" s="160">
        <f t="shared" ref="AT243" si="746">AS243-AT244</f>
        <v>-3743.6594900755731</v>
      </c>
      <c r="AU243" s="160">
        <f t="shared" ref="AU243" si="747">AT243-AU244</f>
        <v>-4367.7821840787119</v>
      </c>
      <c r="AV243" s="160">
        <f t="shared" ref="AV243" si="748">AU243-AV244</f>
        <v>-5085.523282182322</v>
      </c>
      <c r="AW243" s="160">
        <f t="shared" ref="AW243" si="749">AV243-AW244</f>
        <v>-5910.9255450014734</v>
      </c>
      <c r="AX243" s="160">
        <f t="shared" ref="AX243" si="750">AW243-AX244</f>
        <v>-6860.1381472434969</v>
      </c>
    </row>
    <row r="244" spans="2:50">
      <c r="B244" s="10" t="s">
        <v>338</v>
      </c>
      <c r="C244" s="10"/>
      <c r="D244" s="10"/>
      <c r="E244" s="10"/>
      <c r="F244" s="10"/>
      <c r="G244" s="10"/>
      <c r="H244" s="10"/>
      <c r="I244" s="10"/>
      <c r="J244" s="166">
        <v>0</v>
      </c>
      <c r="K244" s="165"/>
      <c r="L244" s="166">
        <v>0.05</v>
      </c>
      <c r="M244" s="165"/>
      <c r="N244" s="159">
        <v>0.15</v>
      </c>
      <c r="O244" s="166">
        <v>0.12</v>
      </c>
      <c r="P244" s="165"/>
      <c r="Q244" s="166">
        <v>0.2</v>
      </c>
      <c r="R244" s="173" t="s">
        <v>230</v>
      </c>
      <c r="S244" s="156">
        <f>U201/S170</f>
        <v>21.221157259495918</v>
      </c>
      <c r="T244" s="156" t="s">
        <v>409</v>
      </c>
      <c r="U244" s="156"/>
      <c r="V244" s="10"/>
      <c r="W244" s="10"/>
      <c r="X244" s="161">
        <f>V170*(1+$N$244)</f>
        <v>25.07377049180328</v>
      </c>
      <c r="Y244" s="161">
        <f>X244*(1+$N$244)</f>
        <v>28.834836065573771</v>
      </c>
      <c r="Z244" s="161">
        <f t="shared" ref="Z244:AG244" si="751">Y244*(1+$N$244)</f>
        <v>33.160061475409833</v>
      </c>
      <c r="AA244" s="161">
        <f t="shared" si="751"/>
        <v>38.134070696721302</v>
      </c>
      <c r="AB244" s="161">
        <f t="shared" si="751"/>
        <v>43.854181301229495</v>
      </c>
      <c r="AC244" s="161">
        <f t="shared" si="751"/>
        <v>50.432308496413917</v>
      </c>
      <c r="AD244" s="161">
        <f t="shared" si="751"/>
        <v>57.997154770876001</v>
      </c>
      <c r="AE244" s="161">
        <f t="shared" si="751"/>
        <v>66.696727986507398</v>
      </c>
      <c r="AF244" s="161">
        <f t="shared" si="751"/>
        <v>76.701237184483503</v>
      </c>
      <c r="AG244" s="161">
        <f t="shared" si="751"/>
        <v>88.206422762156024</v>
      </c>
      <c r="AH244" s="161">
        <f t="shared" ref="AH244" si="752">AG244*(1+$N$244)</f>
        <v>101.43738617647942</v>
      </c>
      <c r="AI244" s="161">
        <f t="shared" ref="AI244" si="753">AH244*(1+$N$244)</f>
        <v>116.65299410295133</v>
      </c>
      <c r="AJ244" s="161">
        <f t="shared" ref="AJ244" si="754">AI244*(1+$N$244)</f>
        <v>134.15094321839402</v>
      </c>
      <c r="AK244" s="161">
        <f t="shared" ref="AK244" si="755">AJ244*(1+$N$244)</f>
        <v>154.27358470115311</v>
      </c>
      <c r="AL244" s="161">
        <f t="shared" ref="AL244" si="756">AK244*(1+$N$244)</f>
        <v>177.41462240632606</v>
      </c>
      <c r="AM244" s="161">
        <f t="shared" ref="AM244" si="757">AL244*(1+$N$244)</f>
        <v>204.02681576727494</v>
      </c>
      <c r="AN244" s="161">
        <f t="shared" ref="AN244" si="758">AM244*(1+$N$244)</f>
        <v>234.63083813236616</v>
      </c>
      <c r="AO244" s="161">
        <f t="shared" ref="AO244" si="759">AN244*(1+$N$244)</f>
        <v>269.82546385222105</v>
      </c>
      <c r="AP244" s="161">
        <f t="shared" ref="AP244" si="760">AO244*(1+$N$244)</f>
        <v>310.29928343005417</v>
      </c>
      <c r="AQ244" s="161">
        <f t="shared" ref="AQ244" si="761">AP244*(1+$N$244)</f>
        <v>356.84417594456227</v>
      </c>
      <c r="AR244" s="161">
        <f t="shared" ref="AR244" si="762">AQ244*(1+$N$244)</f>
        <v>410.37080233624658</v>
      </c>
      <c r="AS244" s="161">
        <f t="shared" ref="AS244" si="763">AR244*(1+$N$244)</f>
        <v>471.92642268668351</v>
      </c>
      <c r="AT244" s="161">
        <f t="shared" ref="AT244" si="764">AS244*(1+$N$244)</f>
        <v>542.71538608968604</v>
      </c>
      <c r="AU244" s="161">
        <f t="shared" ref="AU244" si="765">AT244*(1+$N$244)</f>
        <v>624.12269400313892</v>
      </c>
      <c r="AV244" s="161">
        <f t="shared" ref="AV244" si="766">AU244*(1+$N$244)</f>
        <v>717.74109810360972</v>
      </c>
      <c r="AW244" s="161">
        <f t="shared" ref="AW244" si="767">AV244*(1+$N$244)</f>
        <v>825.40226281915113</v>
      </c>
      <c r="AX244" s="161">
        <f t="shared" ref="AX244" si="768">AW244*(1+$N$244)</f>
        <v>949.21260224202376</v>
      </c>
    </row>
    <row r="245" spans="2:50">
      <c r="B245" s="10" t="s">
        <v>337</v>
      </c>
      <c r="C245" s="10"/>
      <c r="D245" s="10"/>
      <c r="E245" s="13" t="s">
        <v>333</v>
      </c>
      <c r="F245" s="13"/>
      <c r="G245" s="13"/>
      <c r="H245" s="13"/>
      <c r="I245" s="12"/>
      <c r="J245" s="166">
        <v>0</v>
      </c>
      <c r="K245" s="167">
        <f>T203</f>
        <v>31.801673640167362</v>
      </c>
      <c r="L245" s="166">
        <v>0.05</v>
      </c>
      <c r="M245" s="165"/>
      <c r="N245" s="159">
        <v>0.15</v>
      </c>
      <c r="O245" s="166">
        <v>0.12</v>
      </c>
      <c r="P245" s="165"/>
      <c r="Q245" s="166">
        <v>0.2</v>
      </c>
      <c r="R245" s="173" t="s">
        <v>408</v>
      </c>
      <c r="S245" s="156">
        <f>U201/U72</f>
        <v>9.0658174097664546</v>
      </c>
      <c r="T245" s="156" t="s">
        <v>409</v>
      </c>
      <c r="U245" s="156"/>
      <c r="V245" s="10"/>
      <c r="W245" s="10"/>
      <c r="X245" s="161">
        <f>T72*(1+$N$245)</f>
        <v>32.183840749414522</v>
      </c>
      <c r="Y245" s="161">
        <f>X245*(1+$N$245)</f>
        <v>37.011416861826696</v>
      </c>
      <c r="Z245" s="161">
        <f t="shared" ref="Z245:AG245" si="769">Y245*(1+$N$245)</f>
        <v>42.563129391100695</v>
      </c>
      <c r="AA245" s="161">
        <f t="shared" si="769"/>
        <v>48.947598799765792</v>
      </c>
      <c r="AB245" s="161">
        <f t="shared" si="769"/>
        <v>56.289738619730656</v>
      </c>
      <c r="AC245" s="161">
        <f t="shared" si="769"/>
        <v>64.733199412690254</v>
      </c>
      <c r="AD245" s="161">
        <f t="shared" si="769"/>
        <v>74.443179324593785</v>
      </c>
      <c r="AE245" s="161">
        <f t="shared" si="769"/>
        <v>85.60965622328284</v>
      </c>
      <c r="AF245" s="161">
        <f t="shared" si="769"/>
        <v>98.451104656775257</v>
      </c>
      <c r="AG245" s="161">
        <f t="shared" si="769"/>
        <v>113.21877035529154</v>
      </c>
      <c r="AH245" s="161">
        <f t="shared" ref="AH245" si="770">AG245*(1+$N$245)</f>
        <v>130.20158590858526</v>
      </c>
      <c r="AI245" s="161">
        <f t="shared" ref="AI245" si="771">AH245*(1+$N$245)</f>
        <v>149.73182379487304</v>
      </c>
      <c r="AJ245" s="161">
        <f t="shared" ref="AJ245" si="772">AI245*(1+$N$245)</f>
        <v>172.19159736410398</v>
      </c>
      <c r="AK245" s="161">
        <f t="shared" ref="AK245" si="773">AJ245*(1+$N$245)</f>
        <v>198.02033696871956</v>
      </c>
      <c r="AL245" s="161">
        <f t="shared" ref="AL245" si="774">AK245*(1+$N$245)</f>
        <v>227.72338751402748</v>
      </c>
      <c r="AM245" s="161">
        <f t="shared" ref="AM245" si="775">AL245*(1+$N$245)</f>
        <v>261.88189564113156</v>
      </c>
      <c r="AN245" s="161">
        <f t="shared" ref="AN245" si="776">AM245*(1+$N$245)</f>
        <v>301.16417998730128</v>
      </c>
      <c r="AO245" s="161">
        <f t="shared" ref="AO245" si="777">AN245*(1+$N$245)</f>
        <v>346.33880698539645</v>
      </c>
      <c r="AP245" s="161">
        <f t="shared" ref="AP245" si="778">AO245*(1+$N$245)</f>
        <v>398.28962803320587</v>
      </c>
      <c r="AQ245" s="161">
        <f t="shared" ref="AQ245" si="779">AP245*(1+$N$245)</f>
        <v>458.03307223818672</v>
      </c>
      <c r="AR245" s="161">
        <f t="shared" ref="AR245" si="780">AQ245*(1+$N$245)</f>
        <v>526.73803307391472</v>
      </c>
      <c r="AS245" s="161">
        <f t="shared" ref="AS245" si="781">AR245*(1+$N$245)</f>
        <v>605.74873803500191</v>
      </c>
      <c r="AT245" s="161">
        <f t="shared" ref="AT245" si="782">AS245*(1+$N$245)</f>
        <v>696.61104874025216</v>
      </c>
      <c r="AU245" s="161">
        <f t="shared" ref="AU245" si="783">AT245*(1+$N$245)</f>
        <v>801.10270605128994</v>
      </c>
      <c r="AV245" s="161">
        <f t="shared" ref="AV245" si="784">AU245*(1+$N$245)</f>
        <v>921.26811195898335</v>
      </c>
      <c r="AW245" s="161">
        <f t="shared" ref="AW245" si="785">AV245*(1+$N$245)</f>
        <v>1059.4583287528308</v>
      </c>
      <c r="AX245" s="161">
        <f t="shared" ref="AX245" si="786">AW245*(1+$N$245)</f>
        <v>1218.3770780657553</v>
      </c>
    </row>
    <row r="246" spans="2:50">
      <c r="B246" s="10"/>
      <c r="C246" s="10"/>
      <c r="D246" s="10"/>
      <c r="E246" s="13" t="s">
        <v>394</v>
      </c>
      <c r="F246" s="13"/>
      <c r="G246" s="13"/>
      <c r="H246" s="13"/>
      <c r="I246" s="12"/>
      <c r="J246" s="166">
        <v>0</v>
      </c>
      <c r="K246" s="167"/>
      <c r="L246" s="166">
        <v>0.05</v>
      </c>
      <c r="M246" s="165"/>
      <c r="N246" s="165"/>
      <c r="O246" s="166">
        <v>0.12</v>
      </c>
      <c r="P246" s="165"/>
      <c r="Q246" s="166">
        <v>0.2</v>
      </c>
      <c r="R246" s="10"/>
      <c r="S246" s="10"/>
      <c r="T246" s="10"/>
      <c r="U246" s="10"/>
      <c r="V246" s="10"/>
      <c r="W246" s="10"/>
      <c r="X246" s="110">
        <f>U201-X245</f>
        <v>217.81615925058549</v>
      </c>
      <c r="Y246" s="160">
        <f>X246-Y245</f>
        <v>180.8047423887588</v>
      </c>
      <c r="Z246" s="160">
        <f t="shared" ref="Z246:AE246" si="787">Y246-Z245</f>
        <v>138.24161299765811</v>
      </c>
      <c r="AA246" s="160">
        <f t="shared" si="787"/>
        <v>89.294014197892324</v>
      </c>
      <c r="AB246" s="160">
        <f t="shared" si="787"/>
        <v>33.004275578161668</v>
      </c>
      <c r="AC246" s="160">
        <f t="shared" si="787"/>
        <v>-31.728923834528587</v>
      </c>
      <c r="AD246" s="160">
        <f t="shared" si="787"/>
        <v>-106.17210315912237</v>
      </c>
      <c r="AE246" s="160">
        <f t="shared" si="787"/>
        <v>-191.7817593824052</v>
      </c>
      <c r="AF246" s="160">
        <f>AE246-AF245</f>
        <v>-290.23286403918047</v>
      </c>
      <c r="AG246" s="160">
        <f t="shared" ref="AG246" si="788">AF246-AG245</f>
        <v>-403.45163439447202</v>
      </c>
      <c r="AH246" s="160">
        <f t="shared" ref="AH246" si="789">AG246-AH245</f>
        <v>-533.65322030305731</v>
      </c>
      <c r="AI246" s="160">
        <f t="shared" ref="AI246" si="790">AH246-AI245</f>
        <v>-683.3850440979304</v>
      </c>
      <c r="AJ246" s="160">
        <f t="shared" ref="AJ246" si="791">AI246-AJ245</f>
        <v>-855.57664146203433</v>
      </c>
      <c r="AK246" s="160">
        <f t="shared" ref="AK246" si="792">AJ246-AK245</f>
        <v>-1053.596978430754</v>
      </c>
      <c r="AL246" s="160">
        <f t="shared" ref="AL246" si="793">AK246-AL245</f>
        <v>-1281.3203659447815</v>
      </c>
      <c r="AM246" s="160">
        <f t="shared" ref="AM246" si="794">AL246-AM245</f>
        <v>-1543.2022615859132</v>
      </c>
      <c r="AN246" s="160">
        <f t="shared" ref="AN246" si="795">AM246-AN245</f>
        <v>-1844.3664415732146</v>
      </c>
      <c r="AO246" s="160">
        <f t="shared" ref="AO246" si="796">AN246-AO245</f>
        <v>-2190.7052485586109</v>
      </c>
      <c r="AP246" s="160">
        <f t="shared" ref="AP246" si="797">AO246-AP245</f>
        <v>-2588.994876591817</v>
      </c>
      <c r="AQ246" s="160">
        <f t="shared" ref="AQ246" si="798">AP246-AQ245</f>
        <v>-3047.0279488300039</v>
      </c>
      <c r="AR246" s="160">
        <f t="shared" ref="AR246" si="799">AQ246-AR245</f>
        <v>-3573.7659819039186</v>
      </c>
      <c r="AS246" s="160">
        <f t="shared" ref="AS246" si="800">AR246-AS245</f>
        <v>-4179.5147199389203</v>
      </c>
      <c r="AT246" s="160">
        <f t="shared" ref="AT246" si="801">AS246-AT245</f>
        <v>-4876.1257686791723</v>
      </c>
      <c r="AU246" s="160">
        <f t="shared" ref="AU246" si="802">AT246-AU245</f>
        <v>-5677.228474730462</v>
      </c>
      <c r="AV246" s="160">
        <f t="shared" ref="AV246" si="803">AU246-AV245</f>
        <v>-6598.4965866894454</v>
      </c>
      <c r="AW246" s="160">
        <f t="shared" ref="AW246" si="804">AV246-AW245</f>
        <v>-7657.9549154422766</v>
      </c>
      <c r="AX246" s="160">
        <f t="shared" ref="AX246" si="805">AW246-AX245</f>
        <v>-8876.3319935080326</v>
      </c>
    </row>
    <row r="247" spans="2:50">
      <c r="B247" s="93" t="s">
        <v>251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spans="2:50">
      <c r="B248" s="10" t="s">
        <v>254</v>
      </c>
      <c r="C248" s="15"/>
      <c r="D248" s="15"/>
      <c r="E248" s="15"/>
      <c r="F248" s="15"/>
      <c r="G248" s="15"/>
      <c r="H248" s="15">
        <f t="shared" ref="H248:I248" si="806">H10/H7</f>
        <v>0.1270718232044199</v>
      </c>
      <c r="I248" s="15">
        <f t="shared" si="806"/>
        <v>0.1890547263681592</v>
      </c>
      <c r="J248" s="15">
        <f t="shared" ref="J248:T248" si="807">J10/J7</f>
        <v>0.58024691358024694</v>
      </c>
      <c r="K248" s="15">
        <f t="shared" si="807"/>
        <v>0.95195195195195192</v>
      </c>
      <c r="L248" s="15">
        <f t="shared" si="807"/>
        <v>0.70443349753694584</v>
      </c>
      <c r="M248" s="15">
        <f t="shared" si="807"/>
        <v>0.16758747697974216</v>
      </c>
      <c r="N248" s="15">
        <f t="shared" si="807"/>
        <v>0.14705882352941177</v>
      </c>
      <c r="O248" s="15">
        <f t="shared" si="807"/>
        <v>0.10206561360874848</v>
      </c>
      <c r="P248" s="15">
        <f t="shared" si="807"/>
        <v>8.2152974504249299E-2</v>
      </c>
      <c r="Q248" s="15">
        <f t="shared" si="807"/>
        <v>6.1674008810572688E-2</v>
      </c>
      <c r="R248" s="15">
        <f t="shared" si="807"/>
        <v>4.3555032371983521E-2</v>
      </c>
      <c r="S248" s="15">
        <f t="shared" si="807"/>
        <v>3.4269395525940029E-2</v>
      </c>
      <c r="T248" s="15">
        <f t="shared" si="807"/>
        <v>2.7767065175472425E-2</v>
      </c>
      <c r="U248" s="15">
        <f t="shared" ref="U248" si="808">U10/U7</f>
        <v>1.9748042219952331E-2</v>
      </c>
      <c r="V248" s="101" t="e">
        <f t="shared" ref="V248:V250" si="809">((U248/G248)^(1/($K$2-$K$1) ))-1</f>
        <v>#DIV/0!</v>
      </c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spans="2:50">
      <c r="B249" s="10" t="s">
        <v>255</v>
      </c>
      <c r="C249" s="96"/>
      <c r="D249" s="96"/>
      <c r="E249" s="96"/>
      <c r="F249" s="96"/>
      <c r="G249" s="96"/>
      <c r="H249" s="96">
        <f t="shared" ref="H249:I249" si="810">H10/H12</f>
        <v>1.3529411764705883</v>
      </c>
      <c r="I249" s="96">
        <f t="shared" si="810"/>
        <v>1.8095238095238095</v>
      </c>
      <c r="J249" s="96">
        <f t="shared" ref="J249:T249" si="811">J10/J12</f>
        <v>5.4230769230769234</v>
      </c>
      <c r="K249" s="96">
        <f t="shared" si="811"/>
        <v>6.0961538461538458</v>
      </c>
      <c r="L249" s="96">
        <f t="shared" si="811"/>
        <v>4.0857142857142854</v>
      </c>
      <c r="M249" s="96">
        <f t="shared" si="811"/>
        <v>1.467741935483871</v>
      </c>
      <c r="N249" s="96">
        <f t="shared" si="811"/>
        <v>2.375</v>
      </c>
      <c r="O249" s="96">
        <f t="shared" si="811"/>
        <v>0.36681222707423583</v>
      </c>
      <c r="P249" s="96">
        <f t="shared" si="811"/>
        <v>0.21167883211678831</v>
      </c>
      <c r="Q249" s="96">
        <f t="shared" si="811"/>
        <v>0.28474576271186441</v>
      </c>
      <c r="R249" s="96">
        <f t="shared" si="811"/>
        <v>0.33333333333333331</v>
      </c>
      <c r="S249" s="96">
        <f t="shared" si="811"/>
        <v>0.48</v>
      </c>
      <c r="T249" s="96">
        <f t="shared" si="811"/>
        <v>0.42352941176470588</v>
      </c>
      <c r="U249" s="96">
        <f t="shared" ref="U249" si="812">U10/U12</f>
        <v>0.52252252252252251</v>
      </c>
      <c r="V249" s="101" t="e">
        <f t="shared" si="809"/>
        <v>#DIV/0!</v>
      </c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spans="2:50">
      <c r="B250" s="10" t="s">
        <v>256</v>
      </c>
      <c r="C250" s="15"/>
      <c r="D250" s="15"/>
      <c r="E250" s="15"/>
      <c r="F250" s="15"/>
      <c r="G250" s="15"/>
      <c r="H250" s="15">
        <f t="shared" ref="H250:I250" si="813">H10/(H12+H13)</f>
        <v>0.56097560975609762</v>
      </c>
      <c r="I250" s="15">
        <f t="shared" si="813"/>
        <v>0.71698113207547165</v>
      </c>
      <c r="J250" s="15">
        <f t="shared" ref="J250:T250" si="814">J10/(J12+J13)</f>
        <v>3.3571428571428572</v>
      </c>
      <c r="K250" s="15">
        <f t="shared" si="814"/>
        <v>4.6617647058823533</v>
      </c>
      <c r="L250" s="15">
        <f t="shared" si="814"/>
        <v>2.4444444444444446</v>
      </c>
      <c r="M250" s="15">
        <f t="shared" si="814"/>
        <v>1.1666666666666667</v>
      </c>
      <c r="N250" s="15">
        <f t="shared" si="814"/>
        <v>1.6964285714285714</v>
      </c>
      <c r="O250" s="15">
        <f t="shared" si="814"/>
        <v>0.34285714285714286</v>
      </c>
      <c r="P250" s="15">
        <f t="shared" si="814"/>
        <v>0.20374707259953162</v>
      </c>
      <c r="Q250" s="15">
        <f t="shared" si="814"/>
        <v>0.27009646302250806</v>
      </c>
      <c r="R250" s="15">
        <f t="shared" si="814"/>
        <v>0.31092436974789917</v>
      </c>
      <c r="S250" s="15">
        <f t="shared" si="814"/>
        <v>0.43373493975903615</v>
      </c>
      <c r="T250" s="15">
        <f t="shared" si="814"/>
        <v>0.22784810126582278</v>
      </c>
      <c r="U250" s="15">
        <f t="shared" ref="U250" si="815">U10/(U12+U13)</f>
        <v>0.39726027397260272</v>
      </c>
      <c r="V250" s="101" t="e">
        <f t="shared" si="809"/>
        <v>#DIV/0!</v>
      </c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spans="2:50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2:50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2:50" ht="15" customHeight="1">
      <c r="B253" s="10"/>
      <c r="C253" s="149" t="s">
        <v>319</v>
      </c>
      <c r="D253" s="150"/>
      <c r="E253" s="150"/>
      <c r="F253" s="150"/>
      <c r="G253" s="150"/>
      <c r="H253" s="150"/>
      <c r="I253" s="150"/>
      <c r="J253" s="150"/>
      <c r="K253" s="150"/>
      <c r="L253" s="150"/>
      <c r="M253" s="311" t="s">
        <v>281</v>
      </c>
      <c r="N253" s="311"/>
      <c r="O253" s="311"/>
      <c r="P253" s="312"/>
      <c r="Q253" s="10"/>
      <c r="R253" s="13"/>
      <c r="S253" s="142"/>
      <c r="T253" s="142"/>
      <c r="U253" s="142"/>
      <c r="V253" s="143"/>
      <c r="W253" s="143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2:50">
      <c r="B254" s="10"/>
      <c r="C254" s="141" t="s">
        <v>282</v>
      </c>
      <c r="D254" s="141" t="s">
        <v>0</v>
      </c>
      <c r="E254" s="141" t="s">
        <v>320</v>
      </c>
      <c r="F254" s="141"/>
      <c r="G254" s="141" t="s">
        <v>321</v>
      </c>
      <c r="H254" s="141" t="s">
        <v>322</v>
      </c>
      <c r="I254" s="141" t="s">
        <v>323</v>
      </c>
      <c r="J254" s="141" t="s">
        <v>324</v>
      </c>
      <c r="K254" s="141" t="s">
        <v>325</v>
      </c>
      <c r="L254" s="10"/>
      <c r="M254" s="141" t="s">
        <v>282</v>
      </c>
      <c r="N254" s="141"/>
      <c r="O254" s="141" t="s">
        <v>0</v>
      </c>
      <c r="P254" s="141" t="s">
        <v>314</v>
      </c>
      <c r="Q254" s="10"/>
      <c r="R254" s="10"/>
      <c r="S254" s="144"/>
      <c r="T254" s="144"/>
      <c r="U254" s="144"/>
      <c r="V254" s="145"/>
      <c r="W254" s="145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</row>
    <row r="255" spans="2:50">
      <c r="B255" s="10"/>
      <c r="C255" s="142" t="s">
        <v>283</v>
      </c>
      <c r="D255" s="11">
        <v>91</v>
      </c>
      <c r="E255" s="151" t="s">
        <v>326</v>
      </c>
      <c r="F255" s="151"/>
      <c r="G255" s="12">
        <v>1</v>
      </c>
      <c r="H255" s="12">
        <v>2</v>
      </c>
      <c r="I255" s="142">
        <f>G255/H255</f>
        <v>0.5</v>
      </c>
      <c r="J255" s="142">
        <f>I255*D256</f>
        <v>1</v>
      </c>
      <c r="K255" s="152">
        <f>J255+D256</f>
        <v>3</v>
      </c>
      <c r="L255" s="10"/>
      <c r="M255" s="142" t="s">
        <v>283</v>
      </c>
      <c r="N255" s="142"/>
      <c r="O255" s="11">
        <v>4</v>
      </c>
      <c r="P255" s="148">
        <f>O255</f>
        <v>4</v>
      </c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</row>
    <row r="256" spans="2:50">
      <c r="B256" s="10"/>
      <c r="C256" s="142" t="s">
        <v>284</v>
      </c>
      <c r="D256" s="11">
        <v>2</v>
      </c>
      <c r="E256" s="151" t="s">
        <v>327</v>
      </c>
      <c r="F256" s="151"/>
      <c r="G256" s="12">
        <v>0</v>
      </c>
      <c r="H256" s="12">
        <v>1</v>
      </c>
      <c r="I256" s="142">
        <f>G256/H256</f>
        <v>0</v>
      </c>
      <c r="J256" s="142">
        <f>I256*K255</f>
        <v>0</v>
      </c>
      <c r="K256" s="142">
        <f>J256+K255</f>
        <v>3</v>
      </c>
      <c r="L256" s="10"/>
      <c r="M256" s="142" t="s">
        <v>284</v>
      </c>
      <c r="N256" s="142"/>
      <c r="O256" s="11">
        <v>1</v>
      </c>
      <c r="P256" s="148">
        <f>O256</f>
        <v>1</v>
      </c>
      <c r="Q256" s="10"/>
      <c r="R256" s="10"/>
      <c r="S256" s="142"/>
      <c r="T256" s="142"/>
      <c r="U256" s="142"/>
      <c r="V256" s="143"/>
      <c r="W256" s="143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</row>
    <row r="257" spans="2:34">
      <c r="B257" s="10"/>
      <c r="C257" s="142" t="s">
        <v>286</v>
      </c>
      <c r="D257" s="143">
        <f>D255*D256</f>
        <v>182</v>
      </c>
      <c r="E257" s="151" t="s">
        <v>339</v>
      </c>
      <c r="F257" s="151"/>
      <c r="G257" s="12">
        <v>0</v>
      </c>
      <c r="H257" s="12">
        <v>1</v>
      </c>
      <c r="I257" s="142">
        <f>G257/H257</f>
        <v>0</v>
      </c>
      <c r="J257" s="142">
        <f>I257*K256</f>
        <v>0</v>
      </c>
      <c r="K257" s="142">
        <f>J257+K256</f>
        <v>3</v>
      </c>
      <c r="L257" s="10"/>
      <c r="M257" s="142" t="s">
        <v>285</v>
      </c>
      <c r="N257" s="142"/>
      <c r="O257" s="143">
        <f>O255*O256</f>
        <v>4</v>
      </c>
      <c r="P257" s="148">
        <f>O257</f>
        <v>4</v>
      </c>
      <c r="Q257" s="10"/>
      <c r="R257" s="10"/>
      <c r="S257" s="144"/>
      <c r="T257" s="144"/>
      <c r="U257" s="144"/>
      <c r="V257" s="145"/>
      <c r="W257" s="145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</row>
    <row r="258" spans="2:34">
      <c r="B258" s="10"/>
      <c r="C258" s="142"/>
      <c r="D258" s="143"/>
      <c r="E258" s="151" t="s">
        <v>395</v>
      </c>
      <c r="F258" s="151"/>
      <c r="G258" s="12">
        <v>0</v>
      </c>
      <c r="H258" s="12">
        <v>1</v>
      </c>
      <c r="I258" s="142">
        <f t="shared" ref="I258:I261" si="816">G258/H258</f>
        <v>0</v>
      </c>
      <c r="J258" s="142">
        <f t="shared" ref="J258:J260" si="817">I258*K257</f>
        <v>0</v>
      </c>
      <c r="K258" s="142">
        <f t="shared" ref="K258:K260" si="818">J258+K257</f>
        <v>3</v>
      </c>
      <c r="L258" s="10"/>
      <c r="M258" s="142" t="s">
        <v>287</v>
      </c>
      <c r="N258" s="142"/>
      <c r="O258" s="11">
        <v>500</v>
      </c>
      <c r="P258" s="11">
        <v>540</v>
      </c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4">
      <c r="B259" s="10"/>
      <c r="C259" s="142"/>
      <c r="D259" s="143"/>
      <c r="E259" s="151" t="s">
        <v>396</v>
      </c>
      <c r="F259" s="151"/>
      <c r="G259" s="12">
        <v>0</v>
      </c>
      <c r="H259" s="12">
        <v>1</v>
      </c>
      <c r="I259" s="142">
        <f t="shared" si="816"/>
        <v>0</v>
      </c>
      <c r="J259" s="142">
        <f t="shared" si="817"/>
        <v>0</v>
      </c>
      <c r="K259" s="142">
        <f t="shared" si="818"/>
        <v>3</v>
      </c>
      <c r="L259" s="10"/>
      <c r="M259" s="142" t="s">
        <v>288</v>
      </c>
      <c r="N259" s="142"/>
      <c r="O259" s="143">
        <f>O258*O256</f>
        <v>500</v>
      </c>
      <c r="P259" s="143">
        <f>P258*P256</f>
        <v>540</v>
      </c>
      <c r="Q259" s="10"/>
      <c r="R259" s="10"/>
      <c r="S259" s="142"/>
      <c r="T259" s="142"/>
      <c r="U259" s="142"/>
      <c r="V259" s="143"/>
      <c r="W259" s="143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4">
      <c r="B260" s="10"/>
      <c r="C260" s="142"/>
      <c r="D260" s="143"/>
      <c r="E260" s="151" t="s">
        <v>397</v>
      </c>
      <c r="F260" s="151"/>
      <c r="G260" s="12">
        <v>0</v>
      </c>
      <c r="H260" s="12">
        <v>1</v>
      </c>
      <c r="I260" s="142">
        <f t="shared" si="816"/>
        <v>0</v>
      </c>
      <c r="J260" s="142">
        <f t="shared" si="817"/>
        <v>0</v>
      </c>
      <c r="K260" s="142">
        <f t="shared" si="818"/>
        <v>3</v>
      </c>
      <c r="L260" s="10"/>
      <c r="M260" s="142"/>
      <c r="N260" s="142"/>
      <c r="O260" s="143"/>
      <c r="P260" s="143"/>
      <c r="Q260" s="10"/>
      <c r="R260" s="10"/>
      <c r="S260" s="144"/>
      <c r="T260" s="144"/>
      <c r="U260" s="144"/>
      <c r="V260" s="145"/>
      <c r="W260" s="145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4">
      <c r="B261" s="10"/>
      <c r="C261" s="142"/>
      <c r="D261" s="143"/>
      <c r="E261" s="151" t="s">
        <v>328</v>
      </c>
      <c r="F261" s="151"/>
      <c r="G261" s="12">
        <v>10</v>
      </c>
      <c r="H261" s="12">
        <v>2</v>
      </c>
      <c r="I261" s="142">
        <f t="shared" si="816"/>
        <v>5</v>
      </c>
      <c r="J261" s="142">
        <f>I261*K260</f>
        <v>15</v>
      </c>
      <c r="K261" s="142">
        <f>J261</f>
        <v>15</v>
      </c>
      <c r="L261" s="10"/>
      <c r="M261" s="142"/>
      <c r="N261" s="142"/>
      <c r="O261" s="143"/>
      <c r="P261" s="143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4">
      <c r="B262" s="10"/>
      <c r="C262" s="142"/>
      <c r="D262" s="143"/>
      <c r="E262" s="151" t="s">
        <v>398</v>
      </c>
      <c r="F262" s="151"/>
      <c r="G262" s="12">
        <v>2</v>
      </c>
      <c r="H262" s="12">
        <v>1</v>
      </c>
      <c r="I262" s="142">
        <f>G262/H262</f>
        <v>2</v>
      </c>
      <c r="J262" s="142">
        <f>I262*K261</f>
        <v>30</v>
      </c>
      <c r="K262" s="142">
        <f>J262</f>
        <v>30</v>
      </c>
      <c r="L262" s="10"/>
      <c r="M262" s="144" t="s">
        <v>289</v>
      </c>
      <c r="N262" s="144"/>
      <c r="O262" s="145">
        <f>O259/O257</f>
        <v>125</v>
      </c>
      <c r="P262" s="145">
        <f>P259/P257</f>
        <v>135</v>
      </c>
      <c r="Q262" s="10"/>
      <c r="R262" s="10"/>
      <c r="S262" s="144"/>
      <c r="T262" s="144"/>
      <c r="U262" s="144"/>
      <c r="V262" s="145"/>
      <c r="W262" s="145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4">
      <c r="B263" s="10"/>
      <c r="C263" s="142" t="s">
        <v>287</v>
      </c>
      <c r="D263" s="11">
        <v>400</v>
      </c>
      <c r="E263" s="151"/>
      <c r="F263" s="151"/>
      <c r="G263" s="142"/>
      <c r="H263" s="142"/>
      <c r="I263" s="144" t="s">
        <v>329</v>
      </c>
      <c r="J263" s="142"/>
      <c r="K263" s="142">
        <f>K262</f>
        <v>30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4">
      <c r="B264" s="10"/>
      <c r="C264" s="142" t="s">
        <v>284</v>
      </c>
      <c r="D264" s="11">
        <v>30</v>
      </c>
      <c r="E264" s="151" t="s">
        <v>328</v>
      </c>
      <c r="F264" s="151"/>
      <c r="G264" s="12">
        <v>10</v>
      </c>
      <c r="H264" s="12">
        <v>2</v>
      </c>
      <c r="I264" s="142">
        <f>G264/H264</f>
        <v>5</v>
      </c>
      <c r="J264" s="152">
        <f>I264*D256</f>
        <v>10</v>
      </c>
      <c r="K264" s="152">
        <f>J264</f>
        <v>10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4">
      <c r="B265" s="10"/>
      <c r="C265" s="142" t="s">
        <v>286</v>
      </c>
      <c r="D265" s="143">
        <f>D264*D263</f>
        <v>12000</v>
      </c>
      <c r="E265" s="142"/>
      <c r="F265" s="142"/>
      <c r="G265" s="142"/>
      <c r="H265" s="142"/>
      <c r="I265" s="144" t="s">
        <v>329</v>
      </c>
      <c r="J265" s="142"/>
      <c r="K265" s="142">
        <f>K264</f>
        <v>10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4">
      <c r="B266" s="10"/>
      <c r="C266" s="142"/>
      <c r="D266" s="143"/>
      <c r="E266" s="151" t="s">
        <v>328</v>
      </c>
      <c r="F266" s="151"/>
      <c r="G266" s="12">
        <v>10</v>
      </c>
      <c r="H266" s="12">
        <v>2</v>
      </c>
      <c r="I266" s="142">
        <f>G266/H266</f>
        <v>5</v>
      </c>
      <c r="J266" s="142">
        <f>I266*K265</f>
        <v>50</v>
      </c>
      <c r="K266" s="142">
        <f>J266</f>
        <v>50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4">
      <c r="B267" s="10"/>
      <c r="C267" s="144" t="s">
        <v>289</v>
      </c>
      <c r="D267" s="145">
        <f>D265/D257</f>
        <v>65.934065934065927</v>
      </c>
      <c r="E267" s="151"/>
      <c r="F267" s="151"/>
      <c r="G267" s="142"/>
      <c r="H267" s="142"/>
      <c r="I267" s="144" t="s">
        <v>329</v>
      </c>
      <c r="J267" s="142"/>
      <c r="K267" s="142">
        <f>K266</f>
        <v>50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4"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4">
      <c r="B269" s="10"/>
      <c r="C269" s="10"/>
      <c r="D269" s="114"/>
      <c r="E269" s="153"/>
      <c r="F269" s="153"/>
      <c r="G269" s="153"/>
      <c r="H269" s="153"/>
      <c r="I269" s="153"/>
      <c r="J269" s="154"/>
      <c r="K269" s="10"/>
      <c r="L269" s="114"/>
      <c r="M269" s="153"/>
      <c r="N269" s="154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4" ht="14.25">
      <c r="B270" s="10"/>
      <c r="C270" s="10"/>
      <c r="D270" s="302" t="s">
        <v>15</v>
      </c>
      <c r="E270" s="303"/>
      <c r="F270" s="303"/>
      <c r="G270" s="303"/>
      <c r="H270" s="303"/>
      <c r="I270" s="303"/>
      <c r="J270" s="304"/>
      <c r="K270" s="10"/>
      <c r="L270" s="302" t="s">
        <v>334</v>
      </c>
      <c r="M270" s="303"/>
      <c r="N270" s="304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4">
      <c r="B271" s="10"/>
      <c r="C271" s="10"/>
      <c r="D271" s="10" t="s">
        <v>16</v>
      </c>
      <c r="E271" s="108"/>
      <c r="F271" s="108"/>
      <c r="G271" s="108">
        <f>D257</f>
        <v>182</v>
      </c>
      <c r="H271" s="11">
        <f>D257</f>
        <v>182</v>
      </c>
      <c r="I271" s="10"/>
      <c r="J271" s="10"/>
      <c r="K271" s="10"/>
      <c r="L271" s="10" t="s">
        <v>16</v>
      </c>
      <c r="M271" s="108"/>
      <c r="N271" s="11">
        <f>H271</f>
        <v>182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4">
      <c r="B272" s="10"/>
      <c r="C272" s="10"/>
      <c r="D272" s="10" t="s">
        <v>17</v>
      </c>
      <c r="E272" s="108"/>
      <c r="F272" s="108"/>
      <c r="G272" s="108">
        <f>D265</f>
        <v>12000</v>
      </c>
      <c r="H272" s="11">
        <f>D265</f>
        <v>12000</v>
      </c>
      <c r="I272" s="10"/>
      <c r="J272" s="10"/>
      <c r="K272" s="10"/>
      <c r="L272" s="10" t="s">
        <v>17</v>
      </c>
      <c r="M272" s="10"/>
      <c r="N272" s="11">
        <f>H272</f>
        <v>12000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>
      <c r="B273" s="10"/>
      <c r="C273" s="10"/>
      <c r="D273" s="10" t="s">
        <v>18</v>
      </c>
      <c r="E273" s="10"/>
      <c r="F273" s="10"/>
      <c r="G273" s="12">
        <v>13</v>
      </c>
      <c r="H273" s="12">
        <v>13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>
      <c r="B274" s="10"/>
      <c r="C274" s="10"/>
      <c r="D274" s="13" t="s">
        <v>19</v>
      </c>
      <c r="E274" s="3"/>
      <c r="F274" s="3"/>
      <c r="G274" s="3">
        <f>((G272/G271)^(1/G273))-1</f>
        <v>0.38016664532586497</v>
      </c>
      <c r="H274" s="3">
        <f>((H272/H271)^(1/H273))-1</f>
        <v>0.38016664532586497</v>
      </c>
      <c r="I274" s="10"/>
      <c r="J274" s="10"/>
      <c r="K274" s="10"/>
      <c r="L274" s="13" t="s">
        <v>335</v>
      </c>
      <c r="M274" s="13"/>
      <c r="N274" s="168">
        <f>(N272-N271)/N271</f>
        <v>64.934065934065927</v>
      </c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>
      <c r="B275" s="10"/>
      <c r="C275" s="10"/>
      <c r="D275" s="13" t="s">
        <v>20</v>
      </c>
      <c r="E275" s="140"/>
      <c r="F275" s="140"/>
      <c r="G275" s="140">
        <f>G273*12</f>
        <v>156</v>
      </c>
      <c r="H275" s="14">
        <f>H273*12</f>
        <v>156</v>
      </c>
      <c r="I275" s="10"/>
      <c r="J275" s="10"/>
      <c r="K275" s="10"/>
      <c r="L275" s="13" t="s">
        <v>336</v>
      </c>
      <c r="M275" s="13"/>
      <c r="N275" s="269">
        <f>N272/N271</f>
        <v>65.934065934065927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2:34">
      <c r="B276" s="10"/>
      <c r="C276" s="10"/>
      <c r="D276" s="10" t="s">
        <v>18</v>
      </c>
      <c r="E276" s="15"/>
      <c r="F276" s="15"/>
      <c r="G276" s="15">
        <f>G275/12</f>
        <v>13</v>
      </c>
      <c r="H276" s="15">
        <f>H275/12</f>
        <v>13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2:34">
      <c r="B277" s="10"/>
      <c r="C277" s="10"/>
      <c r="D277" s="13" t="s">
        <v>21</v>
      </c>
      <c r="E277" s="3"/>
      <c r="F277" s="3"/>
      <c r="G277" s="3">
        <f>((G272/G271)^(1/G276))-1</f>
        <v>0.38016664532586497</v>
      </c>
      <c r="H277" s="3">
        <f>((H272/H271)^(1/H276))-1</f>
        <v>0.38016664532586497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2:34"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2:34"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</sheetData>
  <mergeCells count="8">
    <mergeCell ref="A36:A45"/>
    <mergeCell ref="A124:A132"/>
    <mergeCell ref="D270:J270"/>
    <mergeCell ref="L270:N270"/>
    <mergeCell ref="AI2:AJ2"/>
    <mergeCell ref="AI3:AJ3"/>
    <mergeCell ref="N236:O236"/>
    <mergeCell ref="M253:P253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88" t="s">
        <v>15</v>
      </c>
      <c r="K5" s="288"/>
      <c r="M5" s="288" t="s">
        <v>53</v>
      </c>
      <c r="N5" s="288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88" t="s">
        <v>24</v>
      </c>
      <c r="K14" s="288"/>
      <c r="L14" s="288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88" t="s">
        <v>15</v>
      </c>
      <c r="S5" s="288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88" t="s">
        <v>24</v>
      </c>
      <c r="S14" s="288"/>
      <c r="T14" s="288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88" t="s">
        <v>15</v>
      </c>
      <c r="C2" s="288"/>
      <c r="E2" s="288" t="s">
        <v>53</v>
      </c>
      <c r="F2" s="288"/>
      <c r="H2" s="316" t="s">
        <v>24</v>
      </c>
      <c r="I2" s="317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13" t="s">
        <v>56</v>
      </c>
      <c r="E10" s="314"/>
      <c r="F10" s="314"/>
      <c r="G10" s="314"/>
      <c r="H10" s="315"/>
      <c r="I10" s="313" t="s">
        <v>60</v>
      </c>
      <c r="J10" s="314"/>
      <c r="K10" s="314"/>
      <c r="L10" s="315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62"/>
    <col min="2" max="2" width="16.5703125" style="162" customWidth="1"/>
    <col min="3" max="3" width="39.7109375" style="162" customWidth="1"/>
    <col min="4" max="5" width="9.140625" style="162"/>
    <col min="6" max="6" width="19" style="162" bestFit="1" customWidth="1"/>
    <col min="7" max="7" width="49" style="162" customWidth="1"/>
    <col min="8" max="16384" width="9.140625" style="162"/>
  </cols>
  <sheetData>
    <row r="3" spans="2:7">
      <c r="B3" s="318" t="s">
        <v>373</v>
      </c>
      <c r="C3" s="319"/>
      <c r="F3" s="318" t="s">
        <v>374</v>
      </c>
      <c r="G3" s="319"/>
    </row>
    <row r="4" spans="2:7">
      <c r="B4" s="163" t="s">
        <v>375</v>
      </c>
      <c r="C4" s="163"/>
      <c r="F4" s="163" t="s">
        <v>376</v>
      </c>
      <c r="G4" s="163"/>
    </row>
    <row r="5" spans="2:7">
      <c r="B5" s="163" t="s">
        <v>377</v>
      </c>
      <c r="C5" s="163"/>
      <c r="F5" s="163" t="s">
        <v>241</v>
      </c>
      <c r="G5" s="163"/>
    </row>
    <row r="6" spans="2:7">
      <c r="B6" s="163" t="s">
        <v>378</v>
      </c>
      <c r="C6" s="163"/>
      <c r="F6" s="163" t="s">
        <v>379</v>
      </c>
      <c r="G6" s="163"/>
    </row>
    <row r="7" spans="2:7">
      <c r="B7" s="163" t="s">
        <v>380</v>
      </c>
      <c r="C7" s="163"/>
      <c r="F7" s="163" t="s">
        <v>381</v>
      </c>
      <c r="G7" s="163"/>
    </row>
    <row r="8" spans="2:7">
      <c r="B8" s="163" t="s">
        <v>382</v>
      </c>
      <c r="C8" s="163"/>
      <c r="F8" s="163" t="s">
        <v>383</v>
      </c>
      <c r="G8" s="163"/>
    </row>
    <row r="9" spans="2:7">
      <c r="B9" s="163" t="s">
        <v>384</v>
      </c>
      <c r="C9" s="163"/>
      <c r="F9" s="163" t="s">
        <v>385</v>
      </c>
      <c r="G9" s="163"/>
    </row>
    <row r="10" spans="2:7">
      <c r="B10" s="163" t="s">
        <v>383</v>
      </c>
      <c r="C10" s="163"/>
      <c r="F10" s="163"/>
      <c r="G10" s="163"/>
    </row>
    <row r="11" spans="2:7">
      <c r="B11" s="163" t="s">
        <v>386</v>
      </c>
      <c r="C11" s="163"/>
      <c r="F11" s="163"/>
      <c r="G11" s="163"/>
    </row>
    <row r="12" spans="2:7">
      <c r="B12" s="163" t="s">
        <v>387</v>
      </c>
      <c r="C12" s="163"/>
      <c r="F12" s="163"/>
      <c r="G12" s="163"/>
    </row>
    <row r="13" spans="2:7">
      <c r="B13" s="163"/>
      <c r="C13" s="163"/>
      <c r="F13" s="163"/>
      <c r="G13" s="163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2018-07-27T14:35:26Z</dcterms:modified>
</cp:coreProperties>
</file>
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filterPrivacy="1" defaultThemeVersion="124226"/>
  <xr:revisionPtr revIDLastSave="99" documentId="11_3CDEE6527BD2FA612E60AD97F9190986F4FECA82" xr6:coauthVersionLast="47" xr6:coauthVersionMax="47" xr10:uidLastSave="{5A38034D-E819-2142-8D77-ED54776C14B7}"/>
  <bookViews>
    <workbookView xWindow="13720" yWindow="-21100" windowWidth="38400" windowHeight="21100" tabRatio="430" activeTab="2" xr2:uid="{00000000-000D-0000-FFFF-FFFF00000000}"/>
  </bookViews>
  <sheets>
    <sheet name="1 - Eval Steps" sheetId="16" r:id="rId1"/>
    <sheet name="2. Time value" sheetId="20" r:id="rId2"/>
    <sheet name="3 - Forecast" sheetId="18" r:id="rId3"/>
    <sheet name="Sheet1" sheetId="11" state="hidden" r:id="rId4"/>
    <sheet name="IOB" sheetId="9" state="hidden" r:id="rId5"/>
    <sheet name="Template" sheetId="12" state="hidden" r:id="rId6"/>
    <sheet name="4. Analysis" sheetId="1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64" i="18" l="1"/>
  <c r="X64" i="18"/>
  <c r="W64" i="18"/>
  <c r="V64" i="18"/>
  <c r="U64" i="18"/>
  <c r="T64" i="18"/>
  <c r="S64" i="18"/>
  <c r="R64" i="18"/>
  <c r="Z62" i="18"/>
  <c r="Y62" i="18"/>
  <c r="X62" i="18"/>
  <c r="W62" i="18"/>
  <c r="V62" i="18"/>
  <c r="U62" i="18"/>
  <c r="T62" i="18"/>
  <c r="S62" i="18"/>
  <c r="Z60" i="18"/>
  <c r="Y60" i="18"/>
  <c r="X60" i="18"/>
  <c r="W60" i="18"/>
  <c r="V60" i="18"/>
  <c r="U60" i="18"/>
  <c r="T60" i="18"/>
  <c r="S60" i="18"/>
  <c r="Z58" i="18"/>
  <c r="Y58" i="18"/>
  <c r="X58" i="18"/>
  <c r="W58" i="18"/>
  <c r="V58" i="18"/>
  <c r="U58" i="18"/>
  <c r="T58" i="18"/>
  <c r="S58" i="18"/>
  <c r="Z56" i="18"/>
  <c r="Y56" i="18"/>
  <c r="X56" i="18"/>
  <c r="W56" i="18"/>
  <c r="V56" i="18"/>
  <c r="U56" i="18"/>
  <c r="T56" i="18"/>
  <c r="S56" i="18"/>
  <c r="Z54" i="18"/>
  <c r="Y54" i="18"/>
  <c r="X54" i="18"/>
  <c r="W54" i="18"/>
  <c r="V54" i="18"/>
  <c r="U54" i="18"/>
  <c r="T54" i="18"/>
  <c r="S54" i="18"/>
  <c r="Z50" i="18"/>
  <c r="Y50" i="18"/>
  <c r="X50" i="18"/>
  <c r="W50" i="18"/>
  <c r="V50" i="18"/>
  <c r="U50" i="18"/>
  <c r="T50" i="18"/>
  <c r="Z48" i="18"/>
  <c r="Y48" i="18"/>
  <c r="X48" i="18"/>
  <c r="W48" i="18"/>
  <c r="V48" i="18"/>
  <c r="U48" i="18"/>
  <c r="T48" i="18"/>
  <c r="Z46" i="18"/>
  <c r="Y46" i="18"/>
  <c r="X46" i="18"/>
  <c r="W46" i="18"/>
  <c r="V46" i="18"/>
  <c r="U46" i="18"/>
  <c r="T46" i="18"/>
  <c r="Z44" i="18"/>
  <c r="Y44" i="18"/>
  <c r="X44" i="18"/>
  <c r="W44" i="18"/>
  <c r="V44" i="18"/>
  <c r="U44" i="18"/>
  <c r="T44" i="18"/>
  <c r="Z39" i="18"/>
  <c r="Y39" i="18"/>
  <c r="X39" i="18"/>
  <c r="W39" i="18"/>
  <c r="V39" i="18"/>
  <c r="U39" i="18"/>
  <c r="T39" i="18"/>
  <c r="Z37" i="18"/>
  <c r="Y37" i="18"/>
  <c r="X37" i="18"/>
  <c r="W37" i="18"/>
  <c r="V37" i="18"/>
  <c r="U37" i="18"/>
  <c r="T37" i="18"/>
  <c r="Z30" i="18"/>
  <c r="Y30" i="18"/>
  <c r="X30" i="18"/>
  <c r="W30" i="18"/>
  <c r="V30" i="18"/>
  <c r="U30" i="18"/>
  <c r="T30" i="18"/>
  <c r="Z28" i="18"/>
  <c r="Y28" i="18"/>
  <c r="X28" i="18"/>
  <c r="W28" i="18"/>
  <c r="V28" i="18"/>
  <c r="U28" i="18"/>
  <c r="T28" i="18"/>
  <c r="Z26" i="18"/>
  <c r="Y26" i="18"/>
  <c r="X26" i="18"/>
  <c r="W26" i="18"/>
  <c r="V26" i="18"/>
  <c r="U26" i="18"/>
  <c r="T26" i="18"/>
  <c r="Z11" i="18"/>
  <c r="Y11" i="18"/>
  <c r="X11" i="18"/>
  <c r="W11" i="18"/>
  <c r="V11" i="18"/>
  <c r="U11" i="18"/>
  <c r="T11" i="18"/>
  <c r="U8" i="18"/>
  <c r="V8" i="18"/>
  <c r="W8" i="18"/>
  <c r="X8" i="18"/>
  <c r="Y8" i="18"/>
  <c r="Z8" i="18"/>
  <c r="Z63" i="18"/>
  <c r="Q64" i="18"/>
  <c r="P64" i="18"/>
  <c r="O64" i="18"/>
  <c r="N64" i="18"/>
  <c r="M64" i="18"/>
  <c r="L64" i="18"/>
  <c r="K64" i="18"/>
  <c r="J64" i="18"/>
  <c r="I64" i="18"/>
  <c r="H64" i="18"/>
  <c r="G64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R58" i="18"/>
  <c r="Q58" i="18"/>
  <c r="P58" i="18"/>
  <c r="O58" i="18"/>
  <c r="N58" i="18"/>
  <c r="M58" i="18"/>
  <c r="L58" i="18"/>
  <c r="K58" i="18"/>
  <c r="J58" i="18"/>
  <c r="I58" i="18"/>
  <c r="H58" i="18"/>
  <c r="G58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J51" i="18"/>
  <c r="I51" i="18" s="1"/>
  <c r="H51" i="18" s="1"/>
  <c r="G51" i="18" s="1"/>
  <c r="S50" i="18"/>
  <c r="R50" i="18"/>
  <c r="Q50" i="18"/>
  <c r="P50" i="18"/>
  <c r="O50" i="18"/>
  <c r="N50" i="18"/>
  <c r="M50" i="18"/>
  <c r="L50" i="18"/>
  <c r="K50" i="18"/>
  <c r="J50" i="18"/>
  <c r="J49" i="18"/>
  <c r="I49" i="18"/>
  <c r="H49" i="18" s="1"/>
  <c r="S48" i="18"/>
  <c r="R48" i="18"/>
  <c r="Q48" i="18"/>
  <c r="P48" i="18"/>
  <c r="O48" i="18"/>
  <c r="N48" i="18"/>
  <c r="M48" i="18"/>
  <c r="L48" i="18"/>
  <c r="K48" i="18"/>
  <c r="J48" i="18"/>
  <c r="I48" i="18"/>
  <c r="H48" i="18"/>
  <c r="G48" i="18"/>
  <c r="S46" i="18"/>
  <c r="R46" i="18"/>
  <c r="Q46" i="18"/>
  <c r="P46" i="18"/>
  <c r="O46" i="18"/>
  <c r="N46" i="18"/>
  <c r="M46" i="18"/>
  <c r="L46" i="18"/>
  <c r="K46" i="18"/>
  <c r="J45" i="18"/>
  <c r="J46" i="18" s="1"/>
  <c r="I45" i="18"/>
  <c r="I46" i="18" s="1"/>
  <c r="H45" i="18"/>
  <c r="H46" i="18" s="1"/>
  <c r="G45" i="18"/>
  <c r="G46" i="18" s="1"/>
  <c r="S44" i="18"/>
  <c r="R44" i="18"/>
  <c r="Q44" i="18"/>
  <c r="P44" i="18"/>
  <c r="O44" i="18"/>
  <c r="N44" i="18"/>
  <c r="M44" i="18"/>
  <c r="L44" i="18"/>
  <c r="K44" i="18"/>
  <c r="J43" i="18"/>
  <c r="I43" i="18" s="1"/>
  <c r="J42" i="18"/>
  <c r="I42" i="18" s="1"/>
  <c r="H42" i="18" s="1"/>
  <c r="G42" i="18" s="1"/>
  <c r="J41" i="18"/>
  <c r="I41" i="18"/>
  <c r="H41" i="18"/>
  <c r="G41" i="18"/>
  <c r="J40" i="18"/>
  <c r="I40" i="18" s="1"/>
  <c r="H40" i="18" s="1"/>
  <c r="G40" i="18" s="1"/>
  <c r="S39" i="18"/>
  <c r="R39" i="18"/>
  <c r="Q39" i="18"/>
  <c r="P39" i="18"/>
  <c r="O39" i="18"/>
  <c r="N39" i="18"/>
  <c r="M39" i="18"/>
  <c r="L39" i="18"/>
  <c r="J38" i="18"/>
  <c r="K39" i="18" s="1"/>
  <c r="I38" i="18"/>
  <c r="S37" i="18"/>
  <c r="R37" i="18"/>
  <c r="Q37" i="18"/>
  <c r="P37" i="18"/>
  <c r="O37" i="18"/>
  <c r="N37" i="18"/>
  <c r="M37" i="18"/>
  <c r="L37" i="18"/>
  <c r="K37" i="18"/>
  <c r="I36" i="18"/>
  <c r="J37" i="18" s="1"/>
  <c r="H36" i="18"/>
  <c r="H37" i="18" s="1"/>
  <c r="G36" i="18"/>
  <c r="G37" i="18" s="1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S26" i="18"/>
  <c r="R26" i="18"/>
  <c r="Q26" i="18"/>
  <c r="P26" i="18"/>
  <c r="O26" i="18"/>
  <c r="N26" i="18"/>
  <c r="M26" i="18"/>
  <c r="L26" i="18"/>
  <c r="K26" i="18"/>
  <c r="J26" i="18"/>
  <c r="I26" i="18"/>
  <c r="H26" i="18"/>
  <c r="G26" i="18"/>
  <c r="O12" i="18"/>
  <c r="L12" i="18"/>
  <c r="S11" i="18"/>
  <c r="R11" i="18"/>
  <c r="Q11" i="18"/>
  <c r="P11" i="18"/>
  <c r="O11" i="18"/>
  <c r="N11" i="18"/>
  <c r="M11" i="18"/>
  <c r="L11" i="18"/>
  <c r="K11" i="18"/>
  <c r="J11" i="18"/>
  <c r="I11" i="18"/>
  <c r="H11" i="18"/>
  <c r="G11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X7" i="18"/>
  <c r="W7" i="18"/>
  <c r="V7" i="18"/>
  <c r="G49" i="18" l="1"/>
  <c r="G50" i="18" s="1"/>
  <c r="H50" i="18"/>
  <c r="I50" i="18"/>
  <c r="H43" i="18"/>
  <c r="I44" i="18"/>
  <c r="J44" i="18"/>
  <c r="I39" i="18"/>
  <c r="H38" i="18"/>
  <c r="I37" i="18"/>
  <c r="J39" i="18"/>
  <c r="G38" i="18" l="1"/>
  <c r="G39" i="18" s="1"/>
  <c r="H39" i="18"/>
  <c r="H44" i="18"/>
  <c r="G43" i="18"/>
  <c r="G44" i="18" s="1"/>
  <c r="Y216" i="18" l="1"/>
  <c r="Y215" i="18"/>
  <c r="Y171" i="18"/>
  <c r="Y170" i="18"/>
  <c r="Y166" i="18"/>
  <c r="Y167" i="18" s="1"/>
  <c r="Y164" i="18"/>
  <c r="Y163" i="18"/>
  <c r="Y161" i="18"/>
  <c r="Y160" i="18"/>
  <c r="Y159" i="18"/>
  <c r="Y158" i="18"/>
  <c r="Y155" i="18"/>
  <c r="Y154" i="18"/>
  <c r="Y153" i="18"/>
  <c r="Y151" i="18"/>
  <c r="Y150" i="18"/>
  <c r="Y149" i="18"/>
  <c r="Y141" i="18"/>
  <c r="Y140" i="18"/>
  <c r="Y139" i="18"/>
  <c r="Y138" i="18"/>
  <c r="Y136" i="18"/>
  <c r="Y135" i="18"/>
  <c r="Y134" i="18"/>
  <c r="Y133" i="18"/>
  <c r="Y132" i="18"/>
  <c r="Y131" i="18"/>
  <c r="Y130" i="18"/>
  <c r="Y129" i="18"/>
  <c r="Y128" i="18"/>
  <c r="Y120" i="18"/>
  <c r="Y126" i="18" s="1"/>
  <c r="Y119" i="18"/>
  <c r="Y125" i="18" s="1"/>
  <c r="Y118" i="18"/>
  <c r="Y124" i="18" s="1"/>
  <c r="Y117" i="18"/>
  <c r="Y123" i="18" s="1"/>
  <c r="Y116" i="18"/>
  <c r="Y122" i="18" s="1"/>
  <c r="Y113" i="18"/>
  <c r="Y112" i="18"/>
  <c r="Y111" i="18"/>
  <c r="Y110" i="18"/>
  <c r="Y109" i="18"/>
  <c r="Y106" i="18"/>
  <c r="Y104" i="18"/>
  <c r="Y103" i="18"/>
  <c r="Y102" i="18"/>
  <c r="Y168" i="18" s="1"/>
  <c r="Y100" i="18"/>
  <c r="Y99" i="18"/>
  <c r="Y98" i="18"/>
  <c r="Y97" i="18"/>
  <c r="Y94" i="18"/>
  <c r="Y96" i="18" s="1"/>
  <c r="Y92" i="18"/>
  <c r="Y143" i="18" s="1"/>
  <c r="Y144" i="18" s="1"/>
  <c r="Y90" i="18"/>
  <c r="Y212" i="18" s="1"/>
  <c r="Y89" i="18"/>
  <c r="Y87" i="18"/>
  <c r="Y86" i="18"/>
  <c r="Y88" i="18" s="1"/>
  <c r="Y211" i="18" s="1"/>
  <c r="Y84" i="18"/>
  <c r="Y213" i="18" s="1"/>
  <c r="Y83" i="18"/>
  <c r="Y82" i="18"/>
  <c r="Y80" i="18"/>
  <c r="Y79" i="18"/>
  <c r="Y210" i="18" s="1"/>
  <c r="Y78" i="18"/>
  <c r="Y77" i="18"/>
  <c r="Y76" i="18"/>
  <c r="Y218" i="18" s="1"/>
  <c r="Y75" i="18"/>
  <c r="Y209" i="18" s="1"/>
  <c r="Y74" i="18"/>
  <c r="Y208" i="18" s="1"/>
  <c r="Y72" i="18"/>
  <c r="Y114" i="18" s="1"/>
  <c r="Y71" i="18"/>
  <c r="Y70" i="18"/>
  <c r="Y206" i="18" s="1"/>
  <c r="R253" i="18"/>
  <c r="R254" i="18"/>
  <c r="R255" i="18"/>
  <c r="W253" i="18"/>
  <c r="X253" i="18"/>
  <c r="W254" i="18"/>
  <c r="X254" i="18"/>
  <c r="W255" i="18"/>
  <c r="X255" i="18"/>
  <c r="W206" i="18"/>
  <c r="W215" i="18"/>
  <c r="W216" i="18"/>
  <c r="W218" i="18"/>
  <c r="W70" i="18"/>
  <c r="W71" i="18"/>
  <c r="W72" i="18"/>
  <c r="W114" i="18" s="1"/>
  <c r="W74" i="18"/>
  <c r="W208" i="18" s="1"/>
  <c r="W75" i="18"/>
  <c r="W209" i="18" s="1"/>
  <c r="W76" i="18"/>
  <c r="W207" i="18" s="1"/>
  <c r="W220" i="18" s="1"/>
  <c r="W221" i="18" s="1"/>
  <c r="W77" i="18"/>
  <c r="W78" i="18"/>
  <c r="W79" i="18"/>
  <c r="W210" i="18" s="1"/>
  <c r="W80" i="18"/>
  <c r="W82" i="18"/>
  <c r="W83" i="18"/>
  <c r="W84" i="18"/>
  <c r="W213" i="18" s="1"/>
  <c r="W86" i="18"/>
  <c r="W87" i="18"/>
  <c r="W89" i="18"/>
  <c r="W90" i="18"/>
  <c r="W212" i="18" s="1"/>
  <c r="W92" i="18"/>
  <c r="W143" i="18" s="1"/>
  <c r="W144" i="18" s="1"/>
  <c r="W94" i="18"/>
  <c r="W96" i="18"/>
  <c r="W97" i="18"/>
  <c r="W98" i="18"/>
  <c r="W99" i="18"/>
  <c r="W100" i="18"/>
  <c r="W102" i="18"/>
  <c r="W168" i="18" s="1"/>
  <c r="W103" i="18"/>
  <c r="W104" i="18"/>
  <c r="W106" i="18"/>
  <c r="W109" i="18"/>
  <c r="W110" i="18"/>
  <c r="W111" i="18"/>
  <c r="W112" i="18"/>
  <c r="W113" i="18"/>
  <c r="W116" i="18"/>
  <c r="W122" i="18" s="1"/>
  <c r="W117" i="18"/>
  <c r="W123" i="18" s="1"/>
  <c r="W118" i="18"/>
  <c r="W124" i="18" s="1"/>
  <c r="W119" i="18"/>
  <c r="W125" i="18" s="1"/>
  <c r="W120" i="18"/>
  <c r="W126" i="18" s="1"/>
  <c r="W128" i="18"/>
  <c r="W129" i="18"/>
  <c r="W130" i="18"/>
  <c r="W131" i="18"/>
  <c r="W132" i="18"/>
  <c r="W133" i="18"/>
  <c r="W134" i="18"/>
  <c r="W135" i="18"/>
  <c r="W136" i="18"/>
  <c r="W138" i="18"/>
  <c r="W139" i="18"/>
  <c r="W140" i="18"/>
  <c r="W141" i="18"/>
  <c r="W149" i="18"/>
  <c r="W150" i="18"/>
  <c r="W151" i="18"/>
  <c r="W153" i="18"/>
  <c r="W154" i="18"/>
  <c r="W155" i="18"/>
  <c r="W158" i="18"/>
  <c r="W159" i="18"/>
  <c r="W160" i="18"/>
  <c r="W161" i="18"/>
  <c r="W163" i="18"/>
  <c r="W164" i="18"/>
  <c r="W166" i="18"/>
  <c r="W167" i="18" s="1"/>
  <c r="W170" i="18"/>
  <c r="W171" i="18"/>
  <c r="X215" i="18"/>
  <c r="Z215" i="18"/>
  <c r="X216" i="18"/>
  <c r="Z216" i="18"/>
  <c r="X218" i="18"/>
  <c r="AA6" i="18"/>
  <c r="Z64" i="18"/>
  <c r="X70" i="18"/>
  <c r="X206" i="18" s="1"/>
  <c r="Z70" i="18"/>
  <c r="Z206" i="18" s="1"/>
  <c r="X71" i="18"/>
  <c r="Z71" i="18"/>
  <c r="X72" i="18"/>
  <c r="X114" i="18" s="1"/>
  <c r="Z72" i="18"/>
  <c r="Z114" i="18" s="1"/>
  <c r="X74" i="18"/>
  <c r="X208" i="18" s="1"/>
  <c r="Z74" i="18"/>
  <c r="Z208" i="18" s="1"/>
  <c r="X75" i="18"/>
  <c r="X209" i="18" s="1"/>
  <c r="Z75" i="18"/>
  <c r="Z209" i="18" s="1"/>
  <c r="X76" i="18"/>
  <c r="X207" i="18" s="1"/>
  <c r="X220" i="18" s="1"/>
  <c r="X221" i="18" s="1"/>
  <c r="Z76" i="18"/>
  <c r="Z207" i="18" s="1"/>
  <c r="Z220" i="18" s="1"/>
  <c r="Z221" i="18" s="1"/>
  <c r="X77" i="18"/>
  <c r="Z77" i="18"/>
  <c r="X78" i="18"/>
  <c r="Z78" i="18"/>
  <c r="X79" i="18"/>
  <c r="X210" i="18" s="1"/>
  <c r="Z79" i="18"/>
  <c r="Z210" i="18" s="1"/>
  <c r="X80" i="18"/>
  <c r="Z80" i="18"/>
  <c r="X82" i="18"/>
  <c r="Z82" i="18"/>
  <c r="X83" i="18"/>
  <c r="Z83" i="18"/>
  <c r="X84" i="18"/>
  <c r="X213" i="18" s="1"/>
  <c r="Z84" i="18"/>
  <c r="Z213" i="18" s="1"/>
  <c r="X86" i="18"/>
  <c r="Z86" i="18"/>
  <c r="X87" i="18"/>
  <c r="Z87" i="18"/>
  <c r="X89" i="18"/>
  <c r="Z89" i="18"/>
  <c r="X90" i="18"/>
  <c r="X212" i="18" s="1"/>
  <c r="Z90" i="18"/>
  <c r="Z212" i="18" s="1"/>
  <c r="X92" i="18"/>
  <c r="Z92" i="18"/>
  <c r="Z143" i="18" s="1"/>
  <c r="Z144" i="18" s="1"/>
  <c r="X94" i="18"/>
  <c r="Z94" i="18"/>
  <c r="X96" i="18"/>
  <c r="Z96" i="18"/>
  <c r="X97" i="18"/>
  <c r="Z97" i="18"/>
  <c r="X98" i="18"/>
  <c r="Z98" i="18"/>
  <c r="X99" i="18"/>
  <c r="Z99" i="18"/>
  <c r="X100" i="18"/>
  <c r="Z100" i="18"/>
  <c r="X102" i="18"/>
  <c r="X168" i="18" s="1"/>
  <c r="Z102" i="18"/>
  <c r="Z168" i="18" s="1"/>
  <c r="X103" i="18"/>
  <c r="Z103" i="18"/>
  <c r="X104" i="18"/>
  <c r="Z104" i="18"/>
  <c r="X106" i="18"/>
  <c r="Z106" i="18"/>
  <c r="X109" i="18"/>
  <c r="Z109" i="18"/>
  <c r="X110" i="18"/>
  <c r="Z110" i="18"/>
  <c r="X111" i="18"/>
  <c r="Z111" i="18"/>
  <c r="X112" i="18"/>
  <c r="Z112" i="18"/>
  <c r="X113" i="18"/>
  <c r="Z113" i="18"/>
  <c r="X116" i="18"/>
  <c r="X122" i="18" s="1"/>
  <c r="Z116" i="18"/>
  <c r="X117" i="18"/>
  <c r="X123" i="18" s="1"/>
  <c r="Z117" i="18"/>
  <c r="Z123" i="18" s="1"/>
  <c r="X118" i="18"/>
  <c r="X124" i="18" s="1"/>
  <c r="Z118" i="18"/>
  <c r="Z124" i="18" s="1"/>
  <c r="X119" i="18"/>
  <c r="X125" i="18" s="1"/>
  <c r="Z119" i="18"/>
  <c r="Z125" i="18" s="1"/>
  <c r="X120" i="18"/>
  <c r="X126" i="18" s="1"/>
  <c r="Z120" i="18"/>
  <c r="Z126" i="18" s="1"/>
  <c r="Z122" i="18"/>
  <c r="X128" i="18"/>
  <c r="Z128" i="18"/>
  <c r="X129" i="18"/>
  <c r="Z129" i="18"/>
  <c r="X130" i="18"/>
  <c r="Z130" i="18"/>
  <c r="X131" i="18"/>
  <c r="Z131" i="18"/>
  <c r="X132" i="18"/>
  <c r="Z132" i="18"/>
  <c r="X133" i="18"/>
  <c r="Z133" i="18"/>
  <c r="X134" i="18"/>
  <c r="Z134" i="18"/>
  <c r="X135" i="18"/>
  <c r="Z135" i="18"/>
  <c r="X136" i="18"/>
  <c r="Z136" i="18"/>
  <c r="X138" i="18"/>
  <c r="Z138" i="18"/>
  <c r="X139" i="18"/>
  <c r="Z139" i="18"/>
  <c r="X140" i="18"/>
  <c r="Z140" i="18"/>
  <c r="X141" i="18"/>
  <c r="Z141" i="18"/>
  <c r="X143" i="18"/>
  <c r="X144" i="18" s="1"/>
  <c r="X149" i="18"/>
  <c r="Z149" i="18"/>
  <c r="X150" i="18"/>
  <c r="Z150" i="18"/>
  <c r="X151" i="18"/>
  <c r="Z151" i="18"/>
  <c r="X153" i="18"/>
  <c r="Z153" i="18"/>
  <c r="X154" i="18"/>
  <c r="Z154" i="18"/>
  <c r="X155" i="18"/>
  <c r="Z155" i="18"/>
  <c r="X158" i="18"/>
  <c r="Z158" i="18"/>
  <c r="X159" i="18"/>
  <c r="Z159" i="18"/>
  <c r="X160" i="18"/>
  <c r="Z160" i="18"/>
  <c r="X161" i="18"/>
  <c r="Z161" i="18"/>
  <c r="X163" i="18"/>
  <c r="Z163" i="18"/>
  <c r="X164" i="18"/>
  <c r="Z164" i="18"/>
  <c r="X166" i="18"/>
  <c r="X167" i="18" s="1"/>
  <c r="Z166" i="18"/>
  <c r="Z167" i="18" s="1"/>
  <c r="X170" i="18"/>
  <c r="Z170" i="18"/>
  <c r="X171" i="18"/>
  <c r="Z171" i="18"/>
  <c r="Z218" i="18" l="1"/>
  <c r="Z88" i="18"/>
  <c r="Z211" i="18" s="1"/>
  <c r="Z219" i="18"/>
  <c r="X88" i="18"/>
  <c r="X211" i="18" s="1"/>
  <c r="Y207" i="18"/>
  <c r="Y219" i="18" s="1"/>
  <c r="W88" i="18"/>
  <c r="W211" i="18" s="1"/>
  <c r="Y145" i="18"/>
  <c r="Y146" i="18" s="1"/>
  <c r="Y147" i="18"/>
  <c r="X219" i="18"/>
  <c r="W219" i="18"/>
  <c r="W147" i="18"/>
  <c r="W145" i="18"/>
  <c r="W146" i="18" s="1"/>
  <c r="Z145" i="18"/>
  <c r="Z146" i="18" s="1"/>
  <c r="Z147" i="18"/>
  <c r="X147" i="18"/>
  <c r="X145" i="18"/>
  <c r="X146" i="18" s="1"/>
  <c r="U206" i="18"/>
  <c r="S207" i="18"/>
  <c r="S220" i="18" s="1"/>
  <c r="S221" i="18" s="1"/>
  <c r="R215" i="18"/>
  <c r="S215" i="18"/>
  <c r="T215" i="18"/>
  <c r="U215" i="18"/>
  <c r="V215" i="18"/>
  <c r="R216" i="18"/>
  <c r="S216" i="18"/>
  <c r="T216" i="18"/>
  <c r="U216" i="18"/>
  <c r="V216" i="18"/>
  <c r="R70" i="18"/>
  <c r="R206" i="18" s="1"/>
  <c r="S70" i="18"/>
  <c r="S206" i="18" s="1"/>
  <c r="T70" i="18"/>
  <c r="T206" i="18" s="1"/>
  <c r="U70" i="18"/>
  <c r="V70" i="18"/>
  <c r="V206" i="18" s="1"/>
  <c r="R71" i="18"/>
  <c r="S71" i="18"/>
  <c r="T71" i="18"/>
  <c r="U71" i="18"/>
  <c r="V71" i="18"/>
  <c r="R72" i="18"/>
  <c r="S72" i="18"/>
  <c r="S114" i="18" s="1"/>
  <c r="T72" i="18"/>
  <c r="U72" i="18"/>
  <c r="V72" i="18"/>
  <c r="R74" i="18"/>
  <c r="R208" i="18" s="1"/>
  <c r="S74" i="18"/>
  <c r="S208" i="18" s="1"/>
  <c r="T74" i="18"/>
  <c r="T208" i="18" s="1"/>
  <c r="U74" i="18"/>
  <c r="U208" i="18" s="1"/>
  <c r="V74" i="18"/>
  <c r="V208" i="18" s="1"/>
  <c r="R75" i="18"/>
  <c r="R209" i="18" s="1"/>
  <c r="S75" i="18"/>
  <c r="S209" i="18" s="1"/>
  <c r="T75" i="18"/>
  <c r="T209" i="18" s="1"/>
  <c r="U75" i="18"/>
  <c r="U209" i="18" s="1"/>
  <c r="V75" i="18"/>
  <c r="V209" i="18" s="1"/>
  <c r="R76" i="18"/>
  <c r="R218" i="18" s="1"/>
  <c r="S76" i="18"/>
  <c r="S218" i="18" s="1"/>
  <c r="T76" i="18"/>
  <c r="T207" i="18" s="1"/>
  <c r="U76" i="18"/>
  <c r="U207" i="18" s="1"/>
  <c r="V76" i="18"/>
  <c r="V218" i="18" s="1"/>
  <c r="R77" i="18"/>
  <c r="S77" i="18"/>
  <c r="T77" i="18"/>
  <c r="U77" i="18"/>
  <c r="V77" i="18"/>
  <c r="R78" i="18"/>
  <c r="S78" i="18"/>
  <c r="T78" i="18"/>
  <c r="U78" i="18"/>
  <c r="V78" i="18"/>
  <c r="R79" i="18"/>
  <c r="R210" i="18" s="1"/>
  <c r="S79" i="18"/>
  <c r="S210" i="18" s="1"/>
  <c r="T79" i="18"/>
  <c r="T210" i="18" s="1"/>
  <c r="U79" i="18"/>
  <c r="U210" i="18" s="1"/>
  <c r="V79" i="18"/>
  <c r="V210" i="18" s="1"/>
  <c r="R80" i="18"/>
  <c r="S80" i="18"/>
  <c r="T80" i="18"/>
  <c r="U80" i="18"/>
  <c r="V80" i="18"/>
  <c r="R82" i="18"/>
  <c r="S82" i="18"/>
  <c r="T82" i="18"/>
  <c r="U82" i="18"/>
  <c r="V82" i="18"/>
  <c r="R83" i="18"/>
  <c r="S83" i="18"/>
  <c r="T83" i="18"/>
  <c r="U83" i="18"/>
  <c r="V83" i="18"/>
  <c r="R84" i="18"/>
  <c r="R213" i="18" s="1"/>
  <c r="S84" i="18"/>
  <c r="S213" i="18" s="1"/>
  <c r="T84" i="18"/>
  <c r="T213" i="18" s="1"/>
  <c r="U84" i="18"/>
  <c r="U213" i="18" s="1"/>
  <c r="V84" i="18"/>
  <c r="V213" i="18" s="1"/>
  <c r="R86" i="18"/>
  <c r="S86" i="18"/>
  <c r="T86" i="18"/>
  <c r="U86" i="18"/>
  <c r="V86" i="18"/>
  <c r="V88" i="18" s="1"/>
  <c r="V211" i="18" s="1"/>
  <c r="R87" i="18"/>
  <c r="S87" i="18"/>
  <c r="S88" i="18" s="1"/>
  <c r="S211" i="18" s="1"/>
  <c r="T87" i="18"/>
  <c r="T88" i="18" s="1"/>
  <c r="T211" i="18" s="1"/>
  <c r="U87" i="18"/>
  <c r="V87" i="18"/>
  <c r="R89" i="18"/>
  <c r="S89" i="18"/>
  <c r="T89" i="18"/>
  <c r="U89" i="18"/>
  <c r="V89" i="18"/>
  <c r="R90" i="18"/>
  <c r="R212" i="18" s="1"/>
  <c r="S90" i="18"/>
  <c r="S212" i="18" s="1"/>
  <c r="T90" i="18"/>
  <c r="T212" i="18" s="1"/>
  <c r="U90" i="18"/>
  <c r="U212" i="18" s="1"/>
  <c r="V90" i="18"/>
  <c r="V212" i="18" s="1"/>
  <c r="R92" i="18"/>
  <c r="R143" i="18" s="1"/>
  <c r="R144" i="18" s="1"/>
  <c r="S92" i="18"/>
  <c r="S143" i="18" s="1"/>
  <c r="S144" i="18" s="1"/>
  <c r="S145" i="18" s="1"/>
  <c r="S146" i="18" s="1"/>
  <c r="T92" i="18"/>
  <c r="T143" i="18" s="1"/>
  <c r="T144" i="18" s="1"/>
  <c r="U92" i="18"/>
  <c r="U143" i="18" s="1"/>
  <c r="U144" i="18" s="1"/>
  <c r="V92" i="18"/>
  <c r="V143" i="18" s="1"/>
  <c r="V144" i="18" s="1"/>
  <c r="R94" i="18"/>
  <c r="R96" i="18" s="1"/>
  <c r="S94" i="18"/>
  <c r="S96" i="18" s="1"/>
  <c r="T94" i="18"/>
  <c r="T96" i="18" s="1"/>
  <c r="U94" i="18"/>
  <c r="U96" i="18" s="1"/>
  <c r="V94" i="18"/>
  <c r="V96" i="18" s="1"/>
  <c r="R97" i="18"/>
  <c r="S97" i="18"/>
  <c r="T97" i="18"/>
  <c r="U97" i="18"/>
  <c r="V97" i="18"/>
  <c r="R98" i="18"/>
  <c r="S98" i="18"/>
  <c r="T98" i="18"/>
  <c r="U98" i="18"/>
  <c r="V98" i="18"/>
  <c r="R99" i="18"/>
  <c r="S99" i="18"/>
  <c r="T99" i="18"/>
  <c r="U99" i="18"/>
  <c r="V99" i="18"/>
  <c r="R100" i="18"/>
  <c r="S100" i="18"/>
  <c r="T100" i="18"/>
  <c r="U100" i="18"/>
  <c r="V100" i="18"/>
  <c r="R102" i="18"/>
  <c r="S102" i="18"/>
  <c r="S168" i="18" s="1"/>
  <c r="T102" i="18"/>
  <c r="T168" i="18" s="1"/>
  <c r="U102" i="18"/>
  <c r="V102" i="18"/>
  <c r="V168" i="18" s="1"/>
  <c r="R103" i="18"/>
  <c r="S103" i="18"/>
  <c r="T103" i="18"/>
  <c r="U103" i="18"/>
  <c r="V103" i="18"/>
  <c r="R104" i="18"/>
  <c r="S104" i="18"/>
  <c r="T104" i="18"/>
  <c r="U104" i="18"/>
  <c r="V104" i="18"/>
  <c r="R106" i="18"/>
  <c r="S106" i="18"/>
  <c r="T106" i="18"/>
  <c r="U106" i="18"/>
  <c r="V106" i="18"/>
  <c r="R109" i="18"/>
  <c r="S109" i="18"/>
  <c r="T109" i="18"/>
  <c r="U109" i="18"/>
  <c r="V109" i="18"/>
  <c r="R110" i="18"/>
  <c r="S110" i="18"/>
  <c r="T110" i="18"/>
  <c r="U110" i="18"/>
  <c r="V110" i="18"/>
  <c r="R111" i="18"/>
  <c r="S111" i="18"/>
  <c r="T111" i="18"/>
  <c r="U111" i="18"/>
  <c r="V111" i="18"/>
  <c r="R112" i="18"/>
  <c r="S112" i="18"/>
  <c r="T112" i="18"/>
  <c r="U112" i="18"/>
  <c r="V112" i="18"/>
  <c r="R113" i="18"/>
  <c r="S113" i="18"/>
  <c r="T113" i="18"/>
  <c r="U113" i="18"/>
  <c r="V113" i="18"/>
  <c r="R114" i="18"/>
  <c r="T114" i="18"/>
  <c r="U114" i="18"/>
  <c r="V114" i="18"/>
  <c r="R116" i="18"/>
  <c r="R122" i="18" s="1"/>
  <c r="S116" i="18"/>
  <c r="S122" i="18" s="1"/>
  <c r="T116" i="18"/>
  <c r="T122" i="18" s="1"/>
  <c r="U116" i="18"/>
  <c r="U122" i="18" s="1"/>
  <c r="V116" i="18"/>
  <c r="V122" i="18" s="1"/>
  <c r="R117" i="18"/>
  <c r="R123" i="18" s="1"/>
  <c r="S117" i="18"/>
  <c r="S123" i="18" s="1"/>
  <c r="T117" i="18"/>
  <c r="T123" i="18" s="1"/>
  <c r="U117" i="18"/>
  <c r="U123" i="18" s="1"/>
  <c r="V117" i="18"/>
  <c r="V123" i="18" s="1"/>
  <c r="R118" i="18"/>
  <c r="S118" i="18"/>
  <c r="S124" i="18" s="1"/>
  <c r="T118" i="18"/>
  <c r="T124" i="18" s="1"/>
  <c r="U118" i="18"/>
  <c r="V118" i="18"/>
  <c r="V124" i="18" s="1"/>
  <c r="R119" i="18"/>
  <c r="R125" i="18" s="1"/>
  <c r="S119" i="18"/>
  <c r="S125" i="18" s="1"/>
  <c r="T119" i="18"/>
  <c r="T125" i="18" s="1"/>
  <c r="U119" i="18"/>
  <c r="U125" i="18" s="1"/>
  <c r="V119" i="18"/>
  <c r="R120" i="18"/>
  <c r="R126" i="18" s="1"/>
  <c r="S120" i="18"/>
  <c r="S126" i="18" s="1"/>
  <c r="T120" i="18"/>
  <c r="T126" i="18" s="1"/>
  <c r="U120" i="18"/>
  <c r="U126" i="18" s="1"/>
  <c r="V120" i="18"/>
  <c r="V126" i="18" s="1"/>
  <c r="R124" i="18"/>
  <c r="U124" i="18"/>
  <c r="V125" i="18"/>
  <c r="R128" i="18"/>
  <c r="S128" i="18"/>
  <c r="T128" i="18"/>
  <c r="U128" i="18"/>
  <c r="V128" i="18"/>
  <c r="R129" i="18"/>
  <c r="S129" i="18"/>
  <c r="T129" i="18"/>
  <c r="U129" i="18"/>
  <c r="V129" i="18"/>
  <c r="R130" i="18"/>
  <c r="S130" i="18"/>
  <c r="T130" i="18"/>
  <c r="U130" i="18"/>
  <c r="V130" i="18"/>
  <c r="R131" i="18"/>
  <c r="S131" i="18"/>
  <c r="T131" i="18"/>
  <c r="U131" i="18"/>
  <c r="V131" i="18"/>
  <c r="R132" i="18"/>
  <c r="S132" i="18"/>
  <c r="T132" i="18"/>
  <c r="U132" i="18"/>
  <c r="V132" i="18"/>
  <c r="R133" i="18"/>
  <c r="S133" i="18"/>
  <c r="T133" i="18"/>
  <c r="U133" i="18"/>
  <c r="V133" i="18"/>
  <c r="R134" i="18"/>
  <c r="S134" i="18"/>
  <c r="T134" i="18"/>
  <c r="U134" i="18"/>
  <c r="V134" i="18"/>
  <c r="R135" i="18"/>
  <c r="S135" i="18"/>
  <c r="T135" i="18"/>
  <c r="U135" i="18"/>
  <c r="V135" i="18"/>
  <c r="R136" i="18"/>
  <c r="S136" i="18"/>
  <c r="T136" i="18"/>
  <c r="U136" i="18"/>
  <c r="V136" i="18"/>
  <c r="R138" i="18"/>
  <c r="S138" i="18"/>
  <c r="T138" i="18"/>
  <c r="U138" i="18"/>
  <c r="V138" i="18"/>
  <c r="R139" i="18"/>
  <c r="S139" i="18"/>
  <c r="T139" i="18"/>
  <c r="U139" i="18"/>
  <c r="V139" i="18"/>
  <c r="R140" i="18"/>
  <c r="S140" i="18"/>
  <c r="T140" i="18"/>
  <c r="U140" i="18"/>
  <c r="V140" i="18"/>
  <c r="R141" i="18"/>
  <c r="S141" i="18"/>
  <c r="T141" i="18"/>
  <c r="U141" i="18"/>
  <c r="V141" i="18"/>
  <c r="R149" i="18"/>
  <c r="S149" i="18"/>
  <c r="T149" i="18"/>
  <c r="U149" i="18"/>
  <c r="V149" i="18"/>
  <c r="R150" i="18"/>
  <c r="S150" i="18"/>
  <c r="T150" i="18"/>
  <c r="U150" i="18"/>
  <c r="V150" i="18"/>
  <c r="R151" i="18"/>
  <c r="S151" i="18"/>
  <c r="T151" i="18"/>
  <c r="U151" i="18"/>
  <c r="V151" i="18"/>
  <c r="R153" i="18"/>
  <c r="S153" i="18"/>
  <c r="T153" i="18"/>
  <c r="U153" i="18"/>
  <c r="V153" i="18"/>
  <c r="R154" i="18"/>
  <c r="S154" i="18"/>
  <c r="T154" i="18"/>
  <c r="U154" i="18"/>
  <c r="V154" i="18"/>
  <c r="R155" i="18"/>
  <c r="S155" i="18"/>
  <c r="T155" i="18"/>
  <c r="U155" i="18"/>
  <c r="V155" i="18"/>
  <c r="R158" i="18"/>
  <c r="S158" i="18"/>
  <c r="T158" i="18"/>
  <c r="U158" i="18"/>
  <c r="V158" i="18"/>
  <c r="R159" i="18"/>
  <c r="S159" i="18"/>
  <c r="T159" i="18"/>
  <c r="U159" i="18"/>
  <c r="V159" i="18"/>
  <c r="R160" i="18"/>
  <c r="S160" i="18"/>
  <c r="T160" i="18"/>
  <c r="U160" i="18"/>
  <c r="V160" i="18"/>
  <c r="R161" i="18"/>
  <c r="S161" i="18"/>
  <c r="T161" i="18"/>
  <c r="U161" i="18"/>
  <c r="V161" i="18"/>
  <c r="R163" i="18"/>
  <c r="S163" i="18"/>
  <c r="T163" i="18"/>
  <c r="U163" i="18"/>
  <c r="V163" i="18"/>
  <c r="R164" i="18"/>
  <c r="S164" i="18"/>
  <c r="T164" i="18"/>
  <c r="U164" i="18"/>
  <c r="V164" i="18"/>
  <c r="R166" i="18"/>
  <c r="R167" i="18" s="1"/>
  <c r="S166" i="18"/>
  <c r="S167" i="18" s="1"/>
  <c r="T166" i="18"/>
  <c r="T167" i="18" s="1"/>
  <c r="U166" i="18"/>
  <c r="V166" i="18"/>
  <c r="V167" i="18" s="1"/>
  <c r="U167" i="18"/>
  <c r="R168" i="18"/>
  <c r="U168" i="18"/>
  <c r="R170" i="18"/>
  <c r="S170" i="18"/>
  <c r="T170" i="18"/>
  <c r="U170" i="18"/>
  <c r="V170" i="18"/>
  <c r="R171" i="18"/>
  <c r="S171" i="18"/>
  <c r="T171" i="18"/>
  <c r="U171" i="18"/>
  <c r="V171" i="18"/>
  <c r="S219" i="18" l="1"/>
  <c r="R88" i="18"/>
  <c r="R211" i="18" s="1"/>
  <c r="Y220" i="18"/>
  <c r="Y221" i="18" s="1"/>
  <c r="V207" i="18"/>
  <c r="R207" i="18"/>
  <c r="R147" i="18"/>
  <c r="R145" i="18"/>
  <c r="R146" i="18" s="1"/>
  <c r="U220" i="18"/>
  <c r="U221" i="18" s="1"/>
  <c r="U219" i="18"/>
  <c r="T219" i="18"/>
  <c r="T220" i="18"/>
  <c r="T221" i="18" s="1"/>
  <c r="V145" i="18"/>
  <c r="V146" i="18" s="1"/>
  <c r="V147" i="18"/>
  <c r="T145" i="18"/>
  <c r="T146" i="18" s="1"/>
  <c r="T147" i="18"/>
  <c r="U218" i="18"/>
  <c r="T218" i="18"/>
  <c r="U88" i="18"/>
  <c r="U211" i="18" s="1"/>
  <c r="U145" i="18"/>
  <c r="U146" i="18" s="1"/>
  <c r="U147" i="18"/>
  <c r="S147" i="18"/>
  <c r="AC52" i="18"/>
  <c r="AC61" i="18"/>
  <c r="AC63" i="18"/>
  <c r="R220" i="18" l="1"/>
  <c r="R221" i="18" s="1"/>
  <c r="R219" i="18"/>
  <c r="V219" i="18"/>
  <c r="V220" i="18"/>
  <c r="V221" i="18" s="1"/>
  <c r="Z255" i="18"/>
  <c r="Z254" i="18"/>
  <c r="Z253" i="18"/>
  <c r="G106" i="18"/>
  <c r="AA106" i="18" s="1"/>
  <c r="H106" i="18"/>
  <c r="I106" i="18"/>
  <c r="J106" i="18"/>
  <c r="K106" i="18"/>
  <c r="L106" i="18"/>
  <c r="M106" i="18"/>
  <c r="N106" i="18"/>
  <c r="O106" i="18"/>
  <c r="P106" i="18"/>
  <c r="Q106" i="18"/>
  <c r="U174" i="18"/>
  <c r="AN110" i="18"/>
  <c r="AN111" i="18"/>
  <c r="AN112" i="18"/>
  <c r="AN113" i="18"/>
  <c r="AN114" i="18"/>
  <c r="AN116" i="18"/>
  <c r="AN117" i="18"/>
  <c r="AN118" i="18"/>
  <c r="AN119" i="18"/>
  <c r="AN120" i="18"/>
  <c r="AN122" i="18"/>
  <c r="AN123" i="18"/>
  <c r="AN124" i="18"/>
  <c r="AN125" i="18"/>
  <c r="AN126" i="18"/>
  <c r="AN128" i="18"/>
  <c r="AN129" i="18"/>
  <c r="AN130" i="18"/>
  <c r="AN131" i="18"/>
  <c r="AN132" i="18"/>
  <c r="AN133" i="18"/>
  <c r="AN134" i="18"/>
  <c r="AN135" i="18"/>
  <c r="AN136" i="18"/>
  <c r="AN138" i="18"/>
  <c r="AN139" i="18"/>
  <c r="AN140" i="18"/>
  <c r="AN141" i="18"/>
  <c r="AN143" i="18"/>
  <c r="AN144" i="18"/>
  <c r="AN145" i="18"/>
  <c r="AN146" i="18"/>
  <c r="AN147" i="18"/>
  <c r="AN149" i="18"/>
  <c r="AN150" i="18"/>
  <c r="AN151" i="18"/>
  <c r="AN153" i="18"/>
  <c r="AN154" i="18"/>
  <c r="AN155" i="18"/>
  <c r="AN158" i="18"/>
  <c r="AN159" i="18"/>
  <c r="AN160" i="18"/>
  <c r="AN161" i="18"/>
  <c r="AN163" i="18"/>
  <c r="AN164" i="18"/>
  <c r="AN166" i="18"/>
  <c r="AN167" i="18"/>
  <c r="AN168" i="18"/>
  <c r="AN170" i="18"/>
  <c r="AN171" i="18"/>
  <c r="AN109" i="18"/>
  <c r="AN106" i="18"/>
  <c r="AN90" i="18"/>
  <c r="AA73" i="18"/>
  <c r="AA81" i="18"/>
  <c r="AA85" i="18"/>
  <c r="AA91" i="18"/>
  <c r="AA93" i="18"/>
  <c r="AA95" i="18"/>
  <c r="AA101" i="18"/>
  <c r="AA105" i="18"/>
  <c r="AA107" i="18"/>
  <c r="AA108" i="18"/>
  <c r="AA115" i="18"/>
  <c r="AA121" i="18"/>
  <c r="AA127" i="18"/>
  <c r="AA137" i="18"/>
  <c r="AA142" i="18"/>
  <c r="AA148" i="18"/>
  <c r="AA152" i="18"/>
  <c r="AA156" i="18"/>
  <c r="AA157" i="18"/>
  <c r="AA162" i="18"/>
  <c r="AA165" i="18"/>
  <c r="AA169" i="18"/>
  <c r="AA13" i="18"/>
  <c r="AA14" i="18"/>
  <c r="AA15" i="18"/>
  <c r="AA16" i="18"/>
  <c r="AA18" i="18"/>
  <c r="AA20" i="18"/>
  <c r="AA21" i="18"/>
  <c r="AA22" i="18"/>
  <c r="AA23" i="18"/>
  <c r="AA25" i="18"/>
  <c r="AA27" i="18"/>
  <c r="AA29" i="18"/>
  <c r="AA31" i="18"/>
  <c r="AA32" i="18"/>
  <c r="AA33" i="18"/>
  <c r="AA34" i="18"/>
  <c r="AA47" i="18"/>
  <c r="AA52" i="18"/>
  <c r="AA53" i="18"/>
  <c r="AA55" i="18"/>
  <c r="AA57" i="18"/>
  <c r="AA59" i="18"/>
  <c r="R238" i="18" s="1"/>
  <c r="AA61" i="18"/>
  <c r="AA63" i="18"/>
  <c r="AA65" i="18"/>
  <c r="AA66" i="18"/>
  <c r="AA67" i="18"/>
  <c r="AA12" i="18"/>
  <c r="AA10" i="18"/>
  <c r="AA9" i="18"/>
  <c r="AA7" i="18"/>
  <c r="C1" i="18"/>
  <c r="T174" i="18" l="1"/>
  <c r="R224" i="18" s="1"/>
  <c r="W229" i="18"/>
  <c r="W228" i="18" s="1"/>
  <c r="Y229" i="18"/>
  <c r="W230" i="18"/>
  <c r="W231" i="18" s="1"/>
  <c r="X229" i="18"/>
  <c r="Z229" i="18"/>
  <c r="T229" i="18"/>
  <c r="R229" i="18"/>
  <c r="U229" i="18"/>
  <c r="V229" i="18"/>
  <c r="S229" i="18"/>
  <c r="AN47" i="18"/>
  <c r="AB47" i="18"/>
  <c r="AN57" i="18"/>
  <c r="AB57" i="18"/>
  <c r="V255" i="18"/>
  <c r="V254" i="18"/>
  <c r="AA254" i="18" s="1"/>
  <c r="V253" i="18"/>
  <c r="AA255" i="18"/>
  <c r="AA253" i="18"/>
  <c r="AA205" i="18"/>
  <c r="T249" i="18" l="1"/>
  <c r="Y224" i="18"/>
  <c r="S224" i="18"/>
  <c r="S223" i="18" s="1"/>
  <c r="T224" i="18"/>
  <c r="T223" i="18" s="1"/>
  <c r="X224" i="18"/>
  <c r="W224" i="18"/>
  <c r="V224" i="18"/>
  <c r="V223" i="18" s="1"/>
  <c r="Z224" i="18"/>
  <c r="Z223" i="18" s="1"/>
  <c r="U224" i="18"/>
  <c r="AC47" i="18"/>
  <c r="AD47" i="18" s="1"/>
  <c r="AE47" i="18" s="1"/>
  <c r="AF47" i="18" s="1"/>
  <c r="AG47" i="18" s="1"/>
  <c r="AH47" i="18" s="1"/>
  <c r="AI47" i="18" s="1"/>
  <c r="AJ47" i="18" s="1"/>
  <c r="AK47" i="18" s="1"/>
  <c r="AL47" i="18" s="1"/>
  <c r="AC57" i="18"/>
  <c r="AD57" i="18" s="1"/>
  <c r="AE57" i="18" s="1"/>
  <c r="AF57" i="18" s="1"/>
  <c r="AG57" i="18" s="1"/>
  <c r="AH57" i="18" s="1"/>
  <c r="AI57" i="18" s="1"/>
  <c r="AJ57" i="18" s="1"/>
  <c r="AK57" i="18" s="1"/>
  <c r="AL57" i="18" s="1"/>
  <c r="Y228" i="18"/>
  <c r="Y230" i="18"/>
  <c r="Y231" i="18" s="1"/>
  <c r="Y223" i="18"/>
  <c r="Y225" i="18"/>
  <c r="Y226" i="18" s="1"/>
  <c r="X230" i="18"/>
  <c r="X231" i="18" s="1"/>
  <c r="X228" i="18"/>
  <c r="Z228" i="18"/>
  <c r="Z230" i="18"/>
  <c r="Z231" i="18" s="1"/>
  <c r="X223" i="18"/>
  <c r="X225" i="18"/>
  <c r="X226" i="18" s="1"/>
  <c r="U228" i="18"/>
  <c r="U230" i="18"/>
  <c r="U231" i="18" s="1"/>
  <c r="R223" i="18"/>
  <c r="R225" i="18"/>
  <c r="R226" i="18" s="1"/>
  <c r="U223" i="18"/>
  <c r="U225" i="18"/>
  <c r="U226" i="18" s="1"/>
  <c r="S228" i="18"/>
  <c r="S230" i="18"/>
  <c r="S231" i="18" s="1"/>
  <c r="R228" i="18"/>
  <c r="R230" i="18"/>
  <c r="R231" i="18" s="1"/>
  <c r="T225" i="18"/>
  <c r="T226" i="18" s="1"/>
  <c r="V228" i="18"/>
  <c r="V230" i="18"/>
  <c r="V231" i="18" s="1"/>
  <c r="T228" i="18"/>
  <c r="T230" i="18"/>
  <c r="T231" i="18" s="1"/>
  <c r="T250" i="18"/>
  <c r="G215" i="18"/>
  <c r="AA215" i="18" s="1"/>
  <c r="G216" i="18"/>
  <c r="G70" i="18"/>
  <c r="G71" i="18"/>
  <c r="AA71" i="18" s="1"/>
  <c r="G72" i="18"/>
  <c r="G74" i="18"/>
  <c r="G75" i="18"/>
  <c r="G76" i="18"/>
  <c r="AA76" i="18" s="1"/>
  <c r="G77" i="18"/>
  <c r="AA77" i="18" s="1"/>
  <c r="G78" i="18"/>
  <c r="AA78" i="18" s="1"/>
  <c r="G79" i="18"/>
  <c r="G80" i="18"/>
  <c r="AA80" i="18" s="1"/>
  <c r="G82" i="18"/>
  <c r="AA82" i="18" s="1"/>
  <c r="G83" i="18"/>
  <c r="AA83" i="18" s="1"/>
  <c r="G84" i="18"/>
  <c r="G86" i="18"/>
  <c r="AA86" i="18" s="1"/>
  <c r="G87" i="18"/>
  <c r="AA87" i="18" s="1"/>
  <c r="G89" i="18"/>
  <c r="AA89" i="18" s="1"/>
  <c r="G90" i="18"/>
  <c r="G92" i="18"/>
  <c r="G94" i="18"/>
  <c r="G97" i="18"/>
  <c r="AA97" i="18" s="1"/>
  <c r="G98" i="18"/>
  <c r="AA98" i="18" s="1"/>
  <c r="G99" i="18"/>
  <c r="AA99" i="18" s="1"/>
  <c r="G100" i="18"/>
  <c r="AA100" i="18" s="1"/>
  <c r="G102" i="18"/>
  <c r="G103" i="18"/>
  <c r="AA103" i="18" s="1"/>
  <c r="G104" i="18"/>
  <c r="AA104" i="18" s="1"/>
  <c r="G109" i="18"/>
  <c r="AA109" i="18" s="1"/>
  <c r="G110" i="18"/>
  <c r="AA110" i="18" s="1"/>
  <c r="G111" i="18"/>
  <c r="AA111" i="18" s="1"/>
  <c r="G112" i="18"/>
  <c r="AA112" i="18" s="1"/>
  <c r="G113" i="18"/>
  <c r="AA113" i="18" s="1"/>
  <c r="G116" i="18"/>
  <c r="G117" i="18"/>
  <c r="G118" i="18"/>
  <c r="G119" i="18"/>
  <c r="G120" i="18"/>
  <c r="G138" i="18"/>
  <c r="AA138" i="18" s="1"/>
  <c r="G139" i="18"/>
  <c r="AA139" i="18" s="1"/>
  <c r="G140" i="18"/>
  <c r="AA140" i="18" s="1"/>
  <c r="G141" i="18"/>
  <c r="AA141" i="18" s="1"/>
  <c r="G149" i="18"/>
  <c r="AA149" i="18" s="1"/>
  <c r="G150" i="18"/>
  <c r="AA150" i="18" s="1"/>
  <c r="G151" i="18"/>
  <c r="AA151" i="18" s="1"/>
  <c r="G153" i="18"/>
  <c r="AA153" i="18" s="1"/>
  <c r="G154" i="18"/>
  <c r="AA154" i="18" s="1"/>
  <c r="G155" i="18"/>
  <c r="AA155" i="18" s="1"/>
  <c r="G158" i="18"/>
  <c r="AA158" i="18" s="1"/>
  <c r="G159" i="18"/>
  <c r="AA159" i="18" s="1"/>
  <c r="G160" i="18"/>
  <c r="AA160" i="18" s="1"/>
  <c r="G161" i="18"/>
  <c r="AA161" i="18" s="1"/>
  <c r="G163" i="18"/>
  <c r="AA163" i="18" s="1"/>
  <c r="G164" i="18"/>
  <c r="AA164" i="18" s="1"/>
  <c r="G166" i="18"/>
  <c r="G170" i="18"/>
  <c r="AA170" i="18" s="1"/>
  <c r="G171" i="18"/>
  <c r="AA171" i="18" s="1"/>
  <c r="AN236" i="18"/>
  <c r="AN235" i="18"/>
  <c r="AN234" i="18"/>
  <c r="AN233" i="18"/>
  <c r="AM47" i="18" l="1"/>
  <c r="AO47" i="18"/>
  <c r="S225" i="18"/>
  <c r="S226" i="18" s="1"/>
  <c r="Z225" i="18"/>
  <c r="Z226" i="18" s="1"/>
  <c r="W223" i="18"/>
  <c r="W225" i="18"/>
  <c r="W226" i="18" s="1"/>
  <c r="V225" i="18"/>
  <c r="V226" i="18" s="1"/>
  <c r="AM57" i="18"/>
  <c r="AO57" i="18"/>
  <c r="AA216" i="18"/>
  <c r="G238" i="18"/>
  <c r="G126" i="18"/>
  <c r="AA126" i="18" s="1"/>
  <c r="AA120" i="18"/>
  <c r="G124" i="18"/>
  <c r="AA124" i="18" s="1"/>
  <c r="AA118" i="18"/>
  <c r="G122" i="18"/>
  <c r="AA122" i="18" s="1"/>
  <c r="AA116" i="18"/>
  <c r="G168" i="18"/>
  <c r="AA168" i="18" s="1"/>
  <c r="AA102" i="18"/>
  <c r="G143" i="18"/>
  <c r="AA92" i="18"/>
  <c r="G208" i="18"/>
  <c r="AA208" i="18" s="1"/>
  <c r="AA74" i="18"/>
  <c r="G167" i="18"/>
  <c r="AA167" i="18" s="1"/>
  <c r="AA166" i="18"/>
  <c r="G125" i="18"/>
  <c r="AA125" i="18" s="1"/>
  <c r="AA119" i="18"/>
  <c r="G123" i="18"/>
  <c r="AA123" i="18" s="1"/>
  <c r="AA117" i="18"/>
  <c r="G96" i="18"/>
  <c r="AA96" i="18" s="1"/>
  <c r="AA94" i="18"/>
  <c r="G212" i="18"/>
  <c r="AA212" i="18" s="1"/>
  <c r="AA90" i="18"/>
  <c r="G213" i="18"/>
  <c r="AA213" i="18" s="1"/>
  <c r="AA84" i="18"/>
  <c r="G210" i="18"/>
  <c r="AA210" i="18" s="1"/>
  <c r="AA79" i="18"/>
  <c r="G209" i="18"/>
  <c r="AA209" i="18" s="1"/>
  <c r="AA75" i="18"/>
  <c r="G114" i="18"/>
  <c r="AA114" i="18" s="1"/>
  <c r="AA72" i="18"/>
  <c r="G206" i="18"/>
  <c r="AA206" i="18" s="1"/>
  <c r="AA70" i="18"/>
  <c r="G207" i="18"/>
  <c r="G219" i="18" s="1"/>
  <c r="AA219" i="18" s="1"/>
  <c r="G88" i="18"/>
  <c r="AA88" i="18" s="1"/>
  <c r="G218" i="18"/>
  <c r="AA218" i="18" s="1"/>
  <c r="K124" i="20"/>
  <c r="D124" i="20"/>
  <c r="I92" i="20"/>
  <c r="I93" i="20" s="1"/>
  <c r="B92" i="20"/>
  <c r="B93" i="20" s="1"/>
  <c r="M91" i="20"/>
  <c r="N91" i="20" s="1"/>
  <c r="J92" i="20" s="1"/>
  <c r="F91" i="20"/>
  <c r="G91" i="20" s="1"/>
  <c r="C92" i="20" s="1"/>
  <c r="K81" i="20"/>
  <c r="K82" i="20" s="1"/>
  <c r="D81" i="20"/>
  <c r="D82" i="20" s="1"/>
  <c r="G80" i="20"/>
  <c r="E69" i="20"/>
  <c r="E70" i="20" s="1"/>
  <c r="H68" i="20"/>
  <c r="L55" i="20"/>
  <c r="L56" i="20" s="1"/>
  <c r="L57" i="20" s="1"/>
  <c r="L58" i="20" s="1"/>
  <c r="L59" i="20" s="1"/>
  <c r="L60" i="20" s="1"/>
  <c r="L61" i="20" s="1"/>
  <c r="L62" i="20" s="1"/>
  <c r="L63" i="20" s="1"/>
  <c r="L64" i="20" s="1"/>
  <c r="L65" i="20" s="1"/>
  <c r="L66" i="20" s="1"/>
  <c r="L67" i="20" s="1"/>
  <c r="O50" i="20"/>
  <c r="O51" i="20" s="1"/>
  <c r="O52" i="20" s="1"/>
  <c r="O53" i="20" s="1"/>
  <c r="O54" i="20" s="1"/>
  <c r="O55" i="20" s="1"/>
  <c r="O56" i="20" s="1"/>
  <c r="O57" i="20" s="1"/>
  <c r="O58" i="20" s="1"/>
  <c r="O59" i="20" s="1"/>
  <c r="O60" i="20" s="1"/>
  <c r="O61" i="20" s="1"/>
  <c r="O62" i="20" s="1"/>
  <c r="O63" i="20" s="1"/>
  <c r="O64" i="20" s="1"/>
  <c r="I50" i="20"/>
  <c r="I51" i="20" s="1"/>
  <c r="I52" i="20" s="1"/>
  <c r="I53" i="20" s="1"/>
  <c r="I54" i="20" s="1"/>
  <c r="I55" i="20" s="1"/>
  <c r="I56" i="20" s="1"/>
  <c r="I57" i="20" s="1"/>
  <c r="I58" i="20" s="1"/>
  <c r="I59" i="20" s="1"/>
  <c r="I60" i="20" s="1"/>
  <c r="I61" i="20" s="1"/>
  <c r="I62" i="20" s="1"/>
  <c r="I63" i="20" s="1"/>
  <c r="I64" i="20" s="1"/>
  <c r="I65" i="20" s="1"/>
  <c r="I66" i="20" s="1"/>
  <c r="I67" i="20" s="1"/>
  <c r="I68" i="20" s="1"/>
  <c r="I69" i="20" s="1"/>
  <c r="I70" i="20" s="1"/>
  <c r="I71" i="20" s="1"/>
  <c r="I72" i="20" s="1"/>
  <c r="I73" i="20" s="1"/>
  <c r="I74" i="20" s="1"/>
  <c r="I75" i="20" s="1"/>
  <c r="I76" i="20" s="1"/>
  <c r="I77" i="20" s="1"/>
  <c r="I78" i="20" s="1"/>
  <c r="I79" i="20" s="1"/>
  <c r="E50" i="20"/>
  <c r="E51" i="20" s="1"/>
  <c r="E52" i="20" s="1"/>
  <c r="E53" i="20" s="1"/>
  <c r="E54" i="20" s="1"/>
  <c r="E55" i="20" s="1"/>
  <c r="E56" i="20" s="1"/>
  <c r="E57" i="20" s="1"/>
  <c r="E58" i="20" s="1"/>
  <c r="E59" i="20" s="1"/>
  <c r="E60" i="20" s="1"/>
  <c r="E61" i="20" s="1"/>
  <c r="E62" i="20" s="1"/>
  <c r="E63" i="20" s="1"/>
  <c r="E64" i="20" s="1"/>
  <c r="E65" i="20" s="1"/>
  <c r="E66" i="20" s="1"/>
  <c r="B50" i="20"/>
  <c r="B51" i="20" s="1"/>
  <c r="B52" i="20" s="1"/>
  <c r="B53" i="20" s="1"/>
  <c r="B54" i="20" s="1"/>
  <c r="B55" i="20" s="1"/>
  <c r="B56" i="20" s="1"/>
  <c r="B57" i="20" s="1"/>
  <c r="B58" i="20" s="1"/>
  <c r="B59" i="20" s="1"/>
  <c r="B60" i="20" s="1"/>
  <c r="B61" i="20" s="1"/>
  <c r="B62" i="20" s="1"/>
  <c r="B63" i="20" s="1"/>
  <c r="B64" i="20" s="1"/>
  <c r="B65" i="20" s="1"/>
  <c r="B66" i="20" s="1"/>
  <c r="B67" i="20" s="1"/>
  <c r="B68" i="20" s="1"/>
  <c r="B69" i="20" s="1"/>
  <c r="B70" i="20" s="1"/>
  <c r="B71" i="20" s="1"/>
  <c r="B72" i="20" s="1"/>
  <c r="B73" i="20" s="1"/>
  <c r="B74" i="20" s="1"/>
  <c r="B75" i="20" s="1"/>
  <c r="B76" i="20" s="1"/>
  <c r="B77" i="20" s="1"/>
  <c r="B78" i="20" s="1"/>
  <c r="B79" i="20" s="1"/>
  <c r="A50" i="20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M49" i="20"/>
  <c r="N49" i="20" s="1"/>
  <c r="F49" i="20"/>
  <c r="G49" i="20" s="1"/>
  <c r="C50" i="20" s="1"/>
  <c r="H41" i="20"/>
  <c r="D41" i="20"/>
  <c r="D42" i="20" s="1"/>
  <c r="L38" i="20"/>
  <c r="L37" i="20"/>
  <c r="L31" i="20"/>
  <c r="L32" i="20" s="1"/>
  <c r="L33" i="20" s="1"/>
  <c r="H31" i="20"/>
  <c r="H32" i="20" s="1"/>
  <c r="C31" i="20"/>
  <c r="C32" i="20" s="1"/>
  <c r="L30" i="20"/>
  <c r="P21" i="20"/>
  <c r="L20" i="20"/>
  <c r="P19" i="20"/>
  <c r="Q19" i="20" s="1"/>
  <c r="R19" i="20" s="1"/>
  <c r="R20" i="20" s="1"/>
  <c r="H19" i="20"/>
  <c r="H20" i="20" s="1"/>
  <c r="C19" i="20"/>
  <c r="C20" i="20" s="1"/>
  <c r="P17" i="20"/>
  <c r="L17" i="20"/>
  <c r="P16" i="20"/>
  <c r="P15" i="20"/>
  <c r="Q15" i="20" s="1"/>
  <c r="R15" i="20" s="1"/>
  <c r="N12" i="20"/>
  <c r="N11" i="20"/>
  <c r="Q10" i="20"/>
  <c r="N10" i="20"/>
  <c r="N9" i="20"/>
  <c r="H9" i="20"/>
  <c r="H10" i="20" s="1"/>
  <c r="C9" i="20"/>
  <c r="C10" i="20" s="1"/>
  <c r="N8" i="20"/>
  <c r="N7" i="20"/>
  <c r="N6" i="20"/>
  <c r="Q5" i="20"/>
  <c r="N5" i="20"/>
  <c r="L41" i="20" l="1"/>
  <c r="M28" i="20" s="1"/>
  <c r="L22" i="20"/>
  <c r="Q21" i="20"/>
  <c r="R21" i="20" s="1"/>
  <c r="R22" i="20" s="1"/>
  <c r="G144" i="18"/>
  <c r="AA143" i="18"/>
  <c r="G211" i="18"/>
  <c r="AA211" i="18" s="1"/>
  <c r="G220" i="18"/>
  <c r="AA207" i="18"/>
  <c r="H69" i="20"/>
  <c r="F50" i="20"/>
  <c r="G50" i="20" s="1"/>
  <c r="C51" i="20" s="1"/>
  <c r="J50" i="20"/>
  <c r="P49" i="20"/>
  <c r="Q16" i="20"/>
  <c r="R16" i="20" s="1"/>
  <c r="Q17" i="20" s="1"/>
  <c r="R17" i="20" s="1"/>
  <c r="R18" i="20" s="1"/>
  <c r="I94" i="20"/>
  <c r="M93" i="20"/>
  <c r="L40" i="20"/>
  <c r="B94" i="20"/>
  <c r="F93" i="20"/>
  <c r="F92" i="20"/>
  <c r="G92" i="20" s="1"/>
  <c r="C93" i="20" s="1"/>
  <c r="M92" i="20"/>
  <c r="N92" i="20" s="1"/>
  <c r="J93" i="20" s="1"/>
  <c r="G145" i="18" l="1"/>
  <c r="AA144" i="18"/>
  <c r="G147" i="18"/>
  <c r="AA147" i="18" s="1"/>
  <c r="G221" i="18"/>
  <c r="AA221" i="18" s="1"/>
  <c r="AA220" i="18"/>
  <c r="B95" i="20"/>
  <c r="F94" i="20"/>
  <c r="I95" i="20"/>
  <c r="M94" i="20"/>
  <c r="M50" i="20"/>
  <c r="N50" i="20" s="1"/>
  <c r="H70" i="20"/>
  <c r="F51" i="20"/>
  <c r="G51" i="20" s="1"/>
  <c r="C52" i="20" s="1"/>
  <c r="G93" i="20"/>
  <c r="C94" i="20" s="1"/>
  <c r="N93" i="20"/>
  <c r="J94" i="20" s="1"/>
  <c r="N94" i="20" l="1"/>
  <c r="J95" i="20" s="1"/>
  <c r="G146" i="18"/>
  <c r="AA146" i="18" s="1"/>
  <c r="AA145" i="18"/>
  <c r="J51" i="20"/>
  <c r="P50" i="20"/>
  <c r="I96" i="20"/>
  <c r="M95" i="20"/>
  <c r="N95" i="20" s="1"/>
  <c r="J96" i="20" s="1"/>
  <c r="B96" i="20"/>
  <c r="F95" i="20"/>
  <c r="H71" i="20"/>
  <c r="F52" i="20"/>
  <c r="G52" i="20" s="1"/>
  <c r="C53" i="20" s="1"/>
  <c r="G94" i="20"/>
  <c r="C95" i="20" s="1"/>
  <c r="H72" i="20" l="1"/>
  <c r="F53" i="20"/>
  <c r="G53" i="20" s="1"/>
  <c r="C54" i="20" s="1"/>
  <c r="B97" i="20"/>
  <c r="F96" i="20"/>
  <c r="I97" i="20"/>
  <c r="M96" i="20"/>
  <c r="N96" i="20" s="1"/>
  <c r="J97" i="20" s="1"/>
  <c r="M51" i="20"/>
  <c r="N51" i="20" s="1"/>
  <c r="G95" i="20"/>
  <c r="C96" i="20" s="1"/>
  <c r="J52" i="20" l="1"/>
  <c r="P51" i="20"/>
  <c r="I98" i="20"/>
  <c r="M97" i="20"/>
  <c r="N97" i="20" s="1"/>
  <c r="J98" i="20" s="1"/>
  <c r="B98" i="20"/>
  <c r="F97" i="20"/>
  <c r="H73" i="20"/>
  <c r="F54" i="20"/>
  <c r="G54" i="20" s="1"/>
  <c r="C55" i="20" s="1"/>
  <c r="G96" i="20"/>
  <c r="C97" i="20" s="1"/>
  <c r="H74" i="20" l="1"/>
  <c r="F55" i="20"/>
  <c r="G55" i="20" s="1"/>
  <c r="C56" i="20" s="1"/>
  <c r="B99" i="20"/>
  <c r="F98" i="20"/>
  <c r="I99" i="20"/>
  <c r="M98" i="20"/>
  <c r="N98" i="20" s="1"/>
  <c r="J99" i="20" s="1"/>
  <c r="M52" i="20"/>
  <c r="N52" i="20" s="1"/>
  <c r="G97" i="20"/>
  <c r="C98" i="20" s="1"/>
  <c r="G278" i="18"/>
  <c r="G280" i="18" s="1"/>
  <c r="G281" i="18" s="1"/>
  <c r="H253" i="18"/>
  <c r="I253" i="18"/>
  <c r="H254" i="18"/>
  <c r="I254" i="18"/>
  <c r="H255" i="18"/>
  <c r="I255" i="18"/>
  <c r="H215" i="18"/>
  <c r="I215" i="18"/>
  <c r="H216" i="18"/>
  <c r="H238" i="18" s="1"/>
  <c r="I216" i="18"/>
  <c r="I238" i="18" s="1"/>
  <c r="H70" i="18"/>
  <c r="I70" i="18"/>
  <c r="I206" i="18" s="1"/>
  <c r="H71" i="18"/>
  <c r="I71" i="18"/>
  <c r="H72" i="18"/>
  <c r="H114" i="18" s="1"/>
  <c r="I72" i="18"/>
  <c r="I114" i="18" s="1"/>
  <c r="H74" i="18"/>
  <c r="H208" i="18" s="1"/>
  <c r="I74" i="18"/>
  <c r="I208" i="18" s="1"/>
  <c r="H75" i="18"/>
  <c r="H209" i="18" s="1"/>
  <c r="I75" i="18"/>
  <c r="I209" i="18" s="1"/>
  <c r="H76" i="18"/>
  <c r="I76" i="18"/>
  <c r="I207" i="18" s="1"/>
  <c r="H77" i="18"/>
  <c r="I77" i="18"/>
  <c r="H78" i="18"/>
  <c r="I78" i="18"/>
  <c r="I79" i="18"/>
  <c r="I210" i="18" s="1"/>
  <c r="H80" i="18"/>
  <c r="I80" i="18"/>
  <c r="H82" i="18"/>
  <c r="I82" i="18"/>
  <c r="H83" i="18"/>
  <c r="I83" i="18"/>
  <c r="H84" i="18"/>
  <c r="I84" i="18"/>
  <c r="I213" i="18" s="1"/>
  <c r="H86" i="18"/>
  <c r="I86" i="18"/>
  <c r="H87" i="18"/>
  <c r="I87" i="18"/>
  <c r="H89" i="18"/>
  <c r="I89" i="18"/>
  <c r="H90" i="18"/>
  <c r="H212" i="18" s="1"/>
  <c r="I90" i="18"/>
  <c r="I212" i="18" s="1"/>
  <c r="H92" i="18"/>
  <c r="H143" i="18" s="1"/>
  <c r="H144" i="18" s="1"/>
  <c r="I92" i="18"/>
  <c r="I143" i="18" s="1"/>
  <c r="I144" i="18" s="1"/>
  <c r="I145" i="18" s="1"/>
  <c r="I146" i="18" s="1"/>
  <c r="H94" i="18"/>
  <c r="H96" i="18" s="1"/>
  <c r="I94" i="18"/>
  <c r="I96" i="18" s="1"/>
  <c r="H97" i="18"/>
  <c r="I97" i="18"/>
  <c r="H98" i="18"/>
  <c r="I98" i="18"/>
  <c r="H99" i="18"/>
  <c r="I99" i="18"/>
  <c r="H100" i="18"/>
  <c r="I100" i="18"/>
  <c r="H102" i="18"/>
  <c r="H168" i="18" s="1"/>
  <c r="I102" i="18"/>
  <c r="I168" i="18" s="1"/>
  <c r="H103" i="18"/>
  <c r="I103" i="18"/>
  <c r="I104" i="18"/>
  <c r="H109" i="18"/>
  <c r="I109" i="18"/>
  <c r="H110" i="18"/>
  <c r="I110" i="18"/>
  <c r="H111" i="18"/>
  <c r="I111" i="18"/>
  <c r="H112" i="18"/>
  <c r="I112" i="18"/>
  <c r="H113" i="18"/>
  <c r="I113" i="18"/>
  <c r="H116" i="18"/>
  <c r="H122" i="18" s="1"/>
  <c r="I116" i="18"/>
  <c r="I122" i="18" s="1"/>
  <c r="H117" i="18"/>
  <c r="H123" i="18" s="1"/>
  <c r="I117" i="18"/>
  <c r="I123" i="18" s="1"/>
  <c r="H118" i="18"/>
  <c r="H124" i="18" s="1"/>
  <c r="I118" i="18"/>
  <c r="I124" i="18" s="1"/>
  <c r="H119" i="18"/>
  <c r="H125" i="18" s="1"/>
  <c r="I119" i="18"/>
  <c r="I125" i="18" s="1"/>
  <c r="H120" i="18"/>
  <c r="H126" i="18" s="1"/>
  <c r="I120" i="18"/>
  <c r="I126" i="18" s="1"/>
  <c r="H138" i="18"/>
  <c r="I138" i="18"/>
  <c r="H139" i="18"/>
  <c r="I139" i="18"/>
  <c r="H140" i="18"/>
  <c r="I140" i="18"/>
  <c r="H141" i="18"/>
  <c r="I141" i="18"/>
  <c r="H149" i="18"/>
  <c r="I149" i="18"/>
  <c r="H150" i="18"/>
  <c r="I150" i="18"/>
  <c r="H151" i="18"/>
  <c r="I151" i="18"/>
  <c r="H153" i="18"/>
  <c r="I153" i="18"/>
  <c r="H154" i="18"/>
  <c r="I154" i="18"/>
  <c r="H155" i="18"/>
  <c r="I155" i="18"/>
  <c r="H158" i="18"/>
  <c r="I158" i="18"/>
  <c r="H159" i="18"/>
  <c r="I159" i="18"/>
  <c r="H160" i="18"/>
  <c r="I160" i="18"/>
  <c r="H161" i="18"/>
  <c r="I161" i="18"/>
  <c r="H163" i="18"/>
  <c r="I163" i="18"/>
  <c r="H164" i="18"/>
  <c r="I164" i="18"/>
  <c r="H166" i="18"/>
  <c r="H167" i="18" s="1"/>
  <c r="I166" i="18"/>
  <c r="I167" i="18" s="1"/>
  <c r="H170" i="18"/>
  <c r="I170" i="18"/>
  <c r="H171" i="18"/>
  <c r="I171" i="18"/>
  <c r="AA45" i="18"/>
  <c r="AA38" i="18"/>
  <c r="I88" i="18" l="1"/>
  <c r="I211" i="18" s="1"/>
  <c r="H88" i="18"/>
  <c r="H211" i="18" s="1"/>
  <c r="I147" i="18"/>
  <c r="H145" i="18"/>
  <c r="H146" i="18" s="1"/>
  <c r="H147" i="18"/>
  <c r="AA40" i="18"/>
  <c r="AA42" i="18"/>
  <c r="AA41" i="18"/>
  <c r="AA43" i="18"/>
  <c r="I129" i="18"/>
  <c r="I130" i="18"/>
  <c r="I131" i="18"/>
  <c r="I132" i="18"/>
  <c r="I135" i="18"/>
  <c r="AA49" i="18"/>
  <c r="I133" i="18"/>
  <c r="AA36" i="18"/>
  <c r="I128" i="18"/>
  <c r="I136" i="18"/>
  <c r="I219" i="18"/>
  <c r="I220" i="18"/>
  <c r="I221" i="18" s="1"/>
  <c r="I218" i="18"/>
  <c r="H218" i="18"/>
  <c r="H207" i="18"/>
  <c r="H213" i="18"/>
  <c r="H206" i="18"/>
  <c r="G98" i="20"/>
  <c r="C99" i="20" s="1"/>
  <c r="J53" i="20"/>
  <c r="P52" i="20"/>
  <c r="I100" i="20"/>
  <c r="M99" i="20"/>
  <c r="N99" i="20" s="1"/>
  <c r="J100" i="20" s="1"/>
  <c r="B100" i="20"/>
  <c r="F99" i="20"/>
  <c r="F56" i="20"/>
  <c r="G56" i="20" s="1"/>
  <c r="H104" i="18"/>
  <c r="H79" i="18"/>
  <c r="Q133" i="18"/>
  <c r="P133" i="18"/>
  <c r="O133" i="18"/>
  <c r="N133" i="18"/>
  <c r="M133" i="18"/>
  <c r="L133" i="18"/>
  <c r="K133" i="18"/>
  <c r="J133" i="18"/>
  <c r="AN49" i="18"/>
  <c r="AB49" i="18"/>
  <c r="AC49" i="18" s="1"/>
  <c r="Q134" i="18"/>
  <c r="P134" i="18"/>
  <c r="O134" i="18"/>
  <c r="N134" i="18"/>
  <c r="M134" i="18"/>
  <c r="L134" i="18"/>
  <c r="K134" i="18"/>
  <c r="G99" i="20" l="1"/>
  <c r="C100" i="20" s="1"/>
  <c r="AD49" i="18"/>
  <c r="AE49" i="18" s="1"/>
  <c r="AF49" i="18" s="1"/>
  <c r="AG49" i="18" s="1"/>
  <c r="AH49" i="18" s="1"/>
  <c r="AI49" i="18" s="1"/>
  <c r="AJ49" i="18" s="1"/>
  <c r="AK49" i="18" s="1"/>
  <c r="AL49" i="18" s="1"/>
  <c r="G133" i="18"/>
  <c r="AA133" i="18" s="1"/>
  <c r="G129" i="18"/>
  <c r="AA129" i="18" s="1"/>
  <c r="G131" i="18"/>
  <c r="AA131" i="18" s="1"/>
  <c r="G135" i="18"/>
  <c r="AA135" i="18" s="1"/>
  <c r="G130" i="18"/>
  <c r="AA130" i="18" s="1"/>
  <c r="G132" i="18"/>
  <c r="AA132" i="18" s="1"/>
  <c r="G128" i="18"/>
  <c r="AA128" i="18" s="1"/>
  <c r="G136" i="18"/>
  <c r="AA136" i="18" s="1"/>
  <c r="H133" i="18"/>
  <c r="H129" i="18"/>
  <c r="H130" i="18"/>
  <c r="H131" i="18"/>
  <c r="H132" i="18"/>
  <c r="H135" i="18"/>
  <c r="H128" i="18"/>
  <c r="H136" i="18"/>
  <c r="H219" i="18"/>
  <c r="H220" i="18"/>
  <c r="H210" i="18"/>
  <c r="H56" i="20"/>
  <c r="H75" i="20" s="1"/>
  <c r="C57" i="20"/>
  <c r="B101" i="20"/>
  <c r="F100" i="20"/>
  <c r="G100" i="20" s="1"/>
  <c r="C101" i="20" s="1"/>
  <c r="I101" i="20"/>
  <c r="M100" i="20"/>
  <c r="N100" i="20" s="1"/>
  <c r="J101" i="20" s="1"/>
  <c r="M53" i="20"/>
  <c r="N53" i="20" s="1"/>
  <c r="Q130" i="18"/>
  <c r="P130" i="18"/>
  <c r="O130" i="18"/>
  <c r="N130" i="18"/>
  <c r="M130" i="18"/>
  <c r="L130" i="18"/>
  <c r="K130" i="18"/>
  <c r="AB51" i="18"/>
  <c r="AC51" i="18" s="1"/>
  <c r="J130" i="18"/>
  <c r="AO49" i="18" l="1"/>
  <c r="AM49" i="18"/>
  <c r="J134" i="18"/>
  <c r="H221" i="18"/>
  <c r="J54" i="20"/>
  <c r="P53" i="20"/>
  <c r="H76" i="20"/>
  <c r="F57" i="20"/>
  <c r="G57" i="20" s="1"/>
  <c r="C58" i="20" s="1"/>
  <c r="I102" i="20"/>
  <c r="M101" i="20"/>
  <c r="N101" i="20" s="1"/>
  <c r="J102" i="20" s="1"/>
  <c r="B102" i="20"/>
  <c r="F101" i="20"/>
  <c r="G101" i="20" s="1"/>
  <c r="C102" i="20" s="1"/>
  <c r="Q136" i="18"/>
  <c r="Q135" i="18"/>
  <c r="Q132" i="18"/>
  <c r="Q131" i="18"/>
  <c r="P136" i="18"/>
  <c r="P135" i="18"/>
  <c r="P132" i="18"/>
  <c r="P131" i="18"/>
  <c r="O136" i="18"/>
  <c r="O135" i="18"/>
  <c r="O132" i="18"/>
  <c r="O131" i="18"/>
  <c r="N136" i="18"/>
  <c r="N135" i="18"/>
  <c r="N132" i="18"/>
  <c r="N131" i="18"/>
  <c r="M136" i="18"/>
  <c r="M135" i="18"/>
  <c r="M132" i="18"/>
  <c r="M131" i="18"/>
  <c r="L136" i="18"/>
  <c r="L135" i="18"/>
  <c r="L132" i="18"/>
  <c r="L131" i="18"/>
  <c r="K136" i="18"/>
  <c r="K135" i="18"/>
  <c r="K132" i="18"/>
  <c r="K131" i="18"/>
  <c r="J136" i="18"/>
  <c r="J132" i="18"/>
  <c r="J135" i="18"/>
  <c r="J131" i="18"/>
  <c r="Q129" i="18"/>
  <c r="P129" i="18"/>
  <c r="O129" i="18"/>
  <c r="N129" i="18"/>
  <c r="M129" i="18"/>
  <c r="L129" i="18"/>
  <c r="K129" i="18"/>
  <c r="J129" i="18"/>
  <c r="Q128" i="18"/>
  <c r="P128" i="18"/>
  <c r="O128" i="18"/>
  <c r="N128" i="18"/>
  <c r="M128" i="18"/>
  <c r="L128" i="18"/>
  <c r="K128" i="18"/>
  <c r="J128" i="18"/>
  <c r="AN51" i="18"/>
  <c r="AN45" i="18"/>
  <c r="AN43" i="18"/>
  <c r="AN42" i="18"/>
  <c r="AN41" i="18"/>
  <c r="AN40" i="18"/>
  <c r="AN38" i="18"/>
  <c r="AN36" i="18"/>
  <c r="AB40" i="18"/>
  <c r="AC40" i="18" s="1"/>
  <c r="AD51" i="18"/>
  <c r="AE51" i="18" s="1"/>
  <c r="AF51" i="18" s="1"/>
  <c r="AG51" i="18" s="1"/>
  <c r="AH51" i="18" s="1"/>
  <c r="AI51" i="18" s="1"/>
  <c r="AJ51" i="18" s="1"/>
  <c r="AK51" i="18" s="1"/>
  <c r="AL51" i="18" s="1"/>
  <c r="AB45" i="18"/>
  <c r="AC45" i="18" s="1"/>
  <c r="AO51" i="18" l="1"/>
  <c r="AD45" i="18"/>
  <c r="AE45" i="18" s="1"/>
  <c r="AF45" i="18" s="1"/>
  <c r="AG45" i="18" s="1"/>
  <c r="AH45" i="18" s="1"/>
  <c r="AI45" i="18" s="1"/>
  <c r="AJ45" i="18" s="1"/>
  <c r="AK45" i="18" s="1"/>
  <c r="AL45" i="18" s="1"/>
  <c r="AD40" i="18"/>
  <c r="AE40" i="18" s="1"/>
  <c r="AF40" i="18" s="1"/>
  <c r="AG40" i="18" s="1"/>
  <c r="AH40" i="18" s="1"/>
  <c r="AI40" i="18" s="1"/>
  <c r="AJ40" i="18" s="1"/>
  <c r="AK40" i="18" s="1"/>
  <c r="AL40" i="18" s="1"/>
  <c r="AA51" i="18"/>
  <c r="I134" i="18"/>
  <c r="B103" i="20"/>
  <c r="F102" i="20"/>
  <c r="G102" i="20" s="1"/>
  <c r="C103" i="20" s="1"/>
  <c r="I103" i="20"/>
  <c r="M102" i="20"/>
  <c r="N102" i="20" s="1"/>
  <c r="J103" i="20" s="1"/>
  <c r="H77" i="20"/>
  <c r="F58" i="20"/>
  <c r="G58" i="20" s="1"/>
  <c r="C59" i="20" s="1"/>
  <c r="M54" i="20"/>
  <c r="N54" i="20" s="1"/>
  <c r="AB43" i="18"/>
  <c r="AC43" i="18" s="1"/>
  <c r="AB42" i="18"/>
  <c r="AC42" i="18" s="1"/>
  <c r="AB41" i="18"/>
  <c r="AC41" i="18" s="1"/>
  <c r="AB38" i="18"/>
  <c r="AC38" i="18" s="1"/>
  <c r="AB36" i="18"/>
  <c r="AC36" i="18" s="1"/>
  <c r="AM51" i="18" l="1"/>
  <c r="AO40" i="18"/>
  <c r="AM40" i="18"/>
  <c r="AO45" i="18"/>
  <c r="AM45" i="18"/>
  <c r="AD42" i="18"/>
  <c r="AE42" i="18" s="1"/>
  <c r="AF42" i="18" s="1"/>
  <c r="AG42" i="18" s="1"/>
  <c r="AH42" i="18" s="1"/>
  <c r="AI42" i="18" s="1"/>
  <c r="AJ42" i="18" s="1"/>
  <c r="AK42" i="18" s="1"/>
  <c r="AL42" i="18" s="1"/>
  <c r="G134" i="18"/>
  <c r="AA134" i="18" s="1"/>
  <c r="AD41" i="18"/>
  <c r="AE41" i="18" s="1"/>
  <c r="AF41" i="18" s="1"/>
  <c r="AG41" i="18" s="1"/>
  <c r="AH41" i="18" s="1"/>
  <c r="AI41" i="18" s="1"/>
  <c r="AJ41" i="18" s="1"/>
  <c r="AK41" i="18" s="1"/>
  <c r="AL41" i="18" s="1"/>
  <c r="AC130" i="18"/>
  <c r="H134" i="18"/>
  <c r="H78" i="20"/>
  <c r="F59" i="20"/>
  <c r="G59" i="20" s="1"/>
  <c r="C60" i="20" s="1"/>
  <c r="J55" i="20"/>
  <c r="P54" i="20"/>
  <c r="I104" i="20"/>
  <c r="M103" i="20"/>
  <c r="N103" i="20" s="1"/>
  <c r="J104" i="20" s="1"/>
  <c r="B104" i="20"/>
  <c r="F103" i="20"/>
  <c r="G103" i="20" s="1"/>
  <c r="C104" i="20" s="1"/>
  <c r="AD38" i="18"/>
  <c r="AC131" i="18"/>
  <c r="AD36" i="18"/>
  <c r="B219" i="18"/>
  <c r="AN231" i="18"/>
  <c r="AN228" i="18"/>
  <c r="AN230" i="18"/>
  <c r="AN229" i="18"/>
  <c r="AN226" i="18"/>
  <c r="AN225" i="18"/>
  <c r="AN224" i="18"/>
  <c r="AN223" i="18"/>
  <c r="AN218" i="18"/>
  <c r="AN221" i="18"/>
  <c r="AN220" i="18"/>
  <c r="AN219" i="18"/>
  <c r="AN216" i="18"/>
  <c r="AN215" i="18"/>
  <c r="AN212" i="18"/>
  <c r="AN211" i="18"/>
  <c r="AN213" i="18"/>
  <c r="AN210" i="18"/>
  <c r="AN209" i="18"/>
  <c r="AN208" i="18"/>
  <c r="AN207" i="18"/>
  <c r="AN206" i="18"/>
  <c r="AN205" i="18"/>
  <c r="AO228" i="18"/>
  <c r="AC132" i="18" l="1"/>
  <c r="AD43" i="18"/>
  <c r="AE43" i="18" s="1"/>
  <c r="AF43" i="18" s="1"/>
  <c r="AG43" i="18" s="1"/>
  <c r="AH43" i="18" s="1"/>
  <c r="AI43" i="18" s="1"/>
  <c r="AJ43" i="18" s="1"/>
  <c r="AK43" i="18" s="1"/>
  <c r="AL43" i="18" s="1"/>
  <c r="AO43" i="18" s="1"/>
  <c r="AO42" i="18"/>
  <c r="AM42" i="18"/>
  <c r="AO41" i="18"/>
  <c r="AM41" i="18"/>
  <c r="B105" i="20"/>
  <c r="F104" i="20"/>
  <c r="G104" i="20" s="1"/>
  <c r="C105" i="20" s="1"/>
  <c r="I105" i="20"/>
  <c r="M104" i="20"/>
  <c r="N104" i="20" s="1"/>
  <c r="J105" i="20" s="1"/>
  <c r="M55" i="20"/>
  <c r="N55" i="20"/>
  <c r="H79" i="20"/>
  <c r="F60" i="20"/>
  <c r="G60" i="20" s="1"/>
  <c r="C61" i="20" s="1"/>
  <c r="AE38" i="18"/>
  <c r="AD131" i="18"/>
  <c r="AE36" i="18"/>
  <c r="AD130" i="18"/>
  <c r="AO229" i="18"/>
  <c r="Q216" i="18"/>
  <c r="Q238" i="18" s="1"/>
  <c r="P216" i="18"/>
  <c r="P238" i="18" s="1"/>
  <c r="O216" i="18"/>
  <c r="O238" i="18" s="1"/>
  <c r="N216" i="18"/>
  <c r="N238" i="18" s="1"/>
  <c r="M216" i="18"/>
  <c r="M238" i="18" s="1"/>
  <c r="L216" i="18"/>
  <c r="L238" i="18" s="1"/>
  <c r="K216" i="18"/>
  <c r="K238" i="18" s="1"/>
  <c r="J216" i="18"/>
  <c r="J238" i="18" s="1"/>
  <c r="AM43" i="18" l="1"/>
  <c r="AD132" i="18"/>
  <c r="H80" i="20"/>
  <c r="F61" i="20"/>
  <c r="G61" i="20" s="1"/>
  <c r="C62" i="20" s="1"/>
  <c r="J56" i="20"/>
  <c r="P55" i="20"/>
  <c r="I106" i="20"/>
  <c r="M105" i="20"/>
  <c r="N105" i="20" s="1"/>
  <c r="J106" i="20" s="1"/>
  <c r="B106" i="20"/>
  <c r="F105" i="20"/>
  <c r="G105" i="20" s="1"/>
  <c r="C106" i="20" s="1"/>
  <c r="AF38" i="18"/>
  <c r="AE131" i="18"/>
  <c r="AF36" i="18"/>
  <c r="AE132" i="18"/>
  <c r="AE130" i="18"/>
  <c r="B107" i="20" l="1"/>
  <c r="F106" i="20"/>
  <c r="G106" i="20" s="1"/>
  <c r="C107" i="20" s="1"/>
  <c r="I107" i="20"/>
  <c r="M106" i="20"/>
  <c r="N106" i="20" s="1"/>
  <c r="J107" i="20" s="1"/>
  <c r="M56" i="20"/>
  <c r="N56" i="20"/>
  <c r="H81" i="20"/>
  <c r="F62" i="20"/>
  <c r="G62" i="20" s="1"/>
  <c r="C63" i="20" s="1"/>
  <c r="AG38" i="18"/>
  <c r="AF131" i="18"/>
  <c r="AG36" i="18"/>
  <c r="AF132" i="18"/>
  <c r="AF130" i="18"/>
  <c r="H82" i="20" l="1"/>
  <c r="F63" i="20"/>
  <c r="G63" i="20" s="1"/>
  <c r="C64" i="20" s="1"/>
  <c r="J57" i="20"/>
  <c r="P56" i="20"/>
  <c r="I108" i="20"/>
  <c r="M107" i="20"/>
  <c r="N107" i="20" s="1"/>
  <c r="J108" i="20" s="1"/>
  <c r="B108" i="20"/>
  <c r="F107" i="20"/>
  <c r="G107" i="20" s="1"/>
  <c r="C108" i="20" s="1"/>
  <c r="AH38" i="18"/>
  <c r="AG131" i="18"/>
  <c r="AH36" i="18"/>
  <c r="AG130" i="18"/>
  <c r="AG132" i="18"/>
  <c r="G224" i="18"/>
  <c r="AA224" i="18" s="1"/>
  <c r="G229" i="18" l="1"/>
  <c r="AA229" i="18" s="1"/>
  <c r="G223" i="18"/>
  <c r="AA223" i="18" s="1"/>
  <c r="G225" i="18"/>
  <c r="AC229" i="18"/>
  <c r="AC230" i="18" s="1"/>
  <c r="AC231" i="18" s="1"/>
  <c r="H229" i="18"/>
  <c r="I229" i="18"/>
  <c r="AC224" i="18"/>
  <c r="AC225" i="18" s="1"/>
  <c r="AC226" i="18" s="1"/>
  <c r="H224" i="18"/>
  <c r="I224" i="18"/>
  <c r="B109" i="20"/>
  <c r="F108" i="20"/>
  <c r="G108" i="20" s="1"/>
  <c r="C109" i="20" s="1"/>
  <c r="I109" i="20"/>
  <c r="M108" i="20"/>
  <c r="N108" i="20" s="1"/>
  <c r="J109" i="20" s="1"/>
  <c r="M57" i="20"/>
  <c r="N57" i="20"/>
  <c r="H83" i="20"/>
  <c r="F64" i="20"/>
  <c r="G64" i="20" s="1"/>
  <c r="C65" i="20" s="1"/>
  <c r="AI38" i="18"/>
  <c r="AH131" i="18"/>
  <c r="AI36" i="18"/>
  <c r="AH130" i="18"/>
  <c r="AH132" i="18"/>
  <c r="N229" i="18"/>
  <c r="N230" i="18" s="1"/>
  <c r="N231" i="18" s="1"/>
  <c r="M229" i="18"/>
  <c r="L229" i="18"/>
  <c r="Q229" i="18"/>
  <c r="K229" i="18"/>
  <c r="P229" i="18"/>
  <c r="J229" i="18"/>
  <c r="O229" i="18"/>
  <c r="P224" i="18"/>
  <c r="O224" i="18"/>
  <c r="K224" i="18"/>
  <c r="N224" i="18"/>
  <c r="J224" i="18"/>
  <c r="Q224" i="18"/>
  <c r="M224" i="18"/>
  <c r="L224" i="18"/>
  <c r="AN75" i="18"/>
  <c r="AN74" i="18"/>
  <c r="AN72" i="18"/>
  <c r="J75" i="18"/>
  <c r="J209" i="18" s="1"/>
  <c r="K75" i="18"/>
  <c r="K209" i="18" s="1"/>
  <c r="L75" i="18"/>
  <c r="L209" i="18" s="1"/>
  <c r="M75" i="18"/>
  <c r="M209" i="18" s="1"/>
  <c r="N75" i="18"/>
  <c r="N209" i="18" s="1"/>
  <c r="O75" i="18"/>
  <c r="O209" i="18" s="1"/>
  <c r="P75" i="18"/>
  <c r="P209" i="18" s="1"/>
  <c r="Q75" i="18"/>
  <c r="Q209" i="18" s="1"/>
  <c r="J74" i="18"/>
  <c r="J208" i="18" s="1"/>
  <c r="K74" i="18"/>
  <c r="K208" i="18" s="1"/>
  <c r="L74" i="18"/>
  <c r="L208" i="18" s="1"/>
  <c r="M74" i="18"/>
  <c r="M208" i="18" s="1"/>
  <c r="N74" i="18"/>
  <c r="N208" i="18" s="1"/>
  <c r="O74" i="18"/>
  <c r="O208" i="18" s="1"/>
  <c r="P74" i="18"/>
  <c r="P208" i="18" s="1"/>
  <c r="Q74" i="18"/>
  <c r="Q208" i="18" s="1"/>
  <c r="G226" i="18" l="1"/>
  <c r="AA226" i="18" s="1"/>
  <c r="AA225" i="18"/>
  <c r="AC228" i="18"/>
  <c r="G228" i="18"/>
  <c r="AA228" i="18" s="1"/>
  <c r="G230" i="18"/>
  <c r="AC223" i="18"/>
  <c r="H223" i="18"/>
  <c r="H225" i="18"/>
  <c r="I228" i="18"/>
  <c r="I230" i="18"/>
  <c r="I231" i="18" s="1"/>
  <c r="I223" i="18"/>
  <c r="I225" i="18"/>
  <c r="I226" i="18" s="1"/>
  <c r="H228" i="18"/>
  <c r="H230" i="18"/>
  <c r="H84" i="20"/>
  <c r="F65" i="20"/>
  <c r="G65" i="20" s="1"/>
  <c r="C66" i="20" s="1"/>
  <c r="I110" i="20"/>
  <c r="M109" i="20"/>
  <c r="N109" i="20" s="1"/>
  <c r="J110" i="20" s="1"/>
  <c r="B110" i="20"/>
  <c r="F109" i="20"/>
  <c r="G109" i="20" s="1"/>
  <c r="C110" i="20" s="1"/>
  <c r="J58" i="20"/>
  <c r="P57" i="20"/>
  <c r="AJ38" i="18"/>
  <c r="AI131" i="18"/>
  <c r="AJ36" i="18"/>
  <c r="AI132" i="18"/>
  <c r="AI130" i="18"/>
  <c r="N228" i="18"/>
  <c r="M225" i="18"/>
  <c r="M226" i="18" s="1"/>
  <c r="M223" i="18"/>
  <c r="P225" i="18"/>
  <c r="P226" i="18" s="1"/>
  <c r="P223" i="18"/>
  <c r="O230" i="18"/>
  <c r="O231" i="18" s="1"/>
  <c r="O228" i="18"/>
  <c r="Q230" i="18"/>
  <c r="Q231" i="18" s="1"/>
  <c r="Q228" i="18"/>
  <c r="Q225" i="18"/>
  <c r="Q226" i="18" s="1"/>
  <c r="Q223" i="18"/>
  <c r="K225" i="18"/>
  <c r="K226" i="18" s="1"/>
  <c r="K223" i="18"/>
  <c r="J230" i="18"/>
  <c r="J231" i="18" s="1"/>
  <c r="J228" i="18"/>
  <c r="L230" i="18"/>
  <c r="L231" i="18" s="1"/>
  <c r="L228" i="18"/>
  <c r="L225" i="18"/>
  <c r="L226" i="18" s="1"/>
  <c r="L223" i="18"/>
  <c r="J225" i="18"/>
  <c r="J226" i="18" s="1"/>
  <c r="J223" i="18"/>
  <c r="O225" i="18"/>
  <c r="O226" i="18" s="1"/>
  <c r="O223" i="18"/>
  <c r="P230" i="18"/>
  <c r="P231" i="18" s="1"/>
  <c r="P228" i="18"/>
  <c r="M230" i="18"/>
  <c r="M231" i="18" s="1"/>
  <c r="M228" i="18"/>
  <c r="N225" i="18"/>
  <c r="N226" i="18" s="1"/>
  <c r="N223" i="18"/>
  <c r="K230" i="18"/>
  <c r="K231" i="18" s="1"/>
  <c r="K228" i="18"/>
  <c r="G231" i="18" l="1"/>
  <c r="AA231" i="18" s="1"/>
  <c r="AA230" i="18"/>
  <c r="H226" i="18"/>
  <c r="H231" i="18"/>
  <c r="M58" i="20"/>
  <c r="N58" i="20" s="1"/>
  <c r="B111" i="20"/>
  <c r="F110" i="20"/>
  <c r="G110" i="20" s="1"/>
  <c r="C111" i="20" s="1"/>
  <c r="I111" i="20"/>
  <c r="M110" i="20"/>
  <c r="N110" i="20" s="1"/>
  <c r="J111" i="20" s="1"/>
  <c r="F66" i="20"/>
  <c r="G66" i="20"/>
  <c r="AK38" i="18"/>
  <c r="AJ131" i="18"/>
  <c r="AK36" i="18"/>
  <c r="AJ132" i="18"/>
  <c r="AJ130" i="18"/>
  <c r="J151" i="18"/>
  <c r="K151" i="18"/>
  <c r="L151" i="18"/>
  <c r="M151" i="18"/>
  <c r="N151" i="18"/>
  <c r="O151" i="18"/>
  <c r="P151" i="18"/>
  <c r="Q151" i="18"/>
  <c r="J59" i="20" l="1"/>
  <c r="P58" i="20"/>
  <c r="C67" i="20"/>
  <c r="H66" i="20"/>
  <c r="H85" i="20" s="1"/>
  <c r="I112" i="20"/>
  <c r="M111" i="20"/>
  <c r="N111" i="20" s="1"/>
  <c r="J112" i="20" s="1"/>
  <c r="B112" i="20"/>
  <c r="F111" i="20"/>
  <c r="G111" i="20" s="1"/>
  <c r="C112" i="20" s="1"/>
  <c r="AL38" i="18"/>
  <c r="AK131" i="18"/>
  <c r="AL36" i="18"/>
  <c r="AK130" i="18"/>
  <c r="AK132" i="18"/>
  <c r="I266" i="18"/>
  <c r="I263" i="18"/>
  <c r="I264" i="18"/>
  <c r="I265" i="18"/>
  <c r="AO36" i="18" l="1"/>
  <c r="AM36" i="18"/>
  <c r="AO38" i="18"/>
  <c r="AM38" i="18"/>
  <c r="B113" i="20"/>
  <c r="F112" i="20"/>
  <c r="G112" i="20" s="1"/>
  <c r="C113" i="20" s="1"/>
  <c r="I113" i="20"/>
  <c r="M112" i="20"/>
  <c r="N112" i="20" s="1"/>
  <c r="J113" i="20" s="1"/>
  <c r="H86" i="20"/>
  <c r="F67" i="20"/>
  <c r="G67" i="20" s="1"/>
  <c r="C68" i="20" s="1"/>
  <c r="M59" i="20"/>
  <c r="N59" i="20" s="1"/>
  <c r="AL131" i="18"/>
  <c r="AL130" i="18"/>
  <c r="AL132" i="18"/>
  <c r="U255" i="18"/>
  <c r="U254" i="18"/>
  <c r="U253" i="18"/>
  <c r="AM132" i="18" l="1"/>
  <c r="AO132" i="18"/>
  <c r="AM131" i="18"/>
  <c r="AO131" i="18"/>
  <c r="AM130" i="18"/>
  <c r="AO130" i="18"/>
  <c r="J60" i="20"/>
  <c r="P59" i="20"/>
  <c r="H87" i="20"/>
  <c r="F68" i="20"/>
  <c r="G68" i="20" s="1"/>
  <c r="C69" i="20" s="1"/>
  <c r="I114" i="20"/>
  <c r="M113" i="20"/>
  <c r="N113" i="20" s="1"/>
  <c r="J114" i="20" s="1"/>
  <c r="B114" i="20"/>
  <c r="F113" i="20"/>
  <c r="G113" i="20" s="1"/>
  <c r="C114" i="20" s="1"/>
  <c r="K72" i="18"/>
  <c r="K114" i="18" s="1"/>
  <c r="L72" i="18"/>
  <c r="L114" i="18" s="1"/>
  <c r="M72" i="18"/>
  <c r="M114" i="18" s="1"/>
  <c r="N72" i="18"/>
  <c r="N114" i="18" s="1"/>
  <c r="O72" i="18"/>
  <c r="O114" i="18" s="1"/>
  <c r="P72" i="18"/>
  <c r="P114" i="18" s="1"/>
  <c r="Q72" i="18"/>
  <c r="Q114" i="18" s="1"/>
  <c r="J72" i="18"/>
  <c r="J114" i="18" s="1"/>
  <c r="F69" i="20" l="1"/>
  <c r="G69" i="20" s="1"/>
  <c r="C70" i="20" s="1"/>
  <c r="H88" i="20"/>
  <c r="B115" i="20"/>
  <c r="F114" i="20"/>
  <c r="G114" i="20" s="1"/>
  <c r="C115" i="20" s="1"/>
  <c r="I115" i="20"/>
  <c r="M114" i="20"/>
  <c r="N114" i="20" s="1"/>
  <c r="J115" i="20" s="1"/>
  <c r="M60" i="20"/>
  <c r="N60" i="20" s="1"/>
  <c r="K250" i="18"/>
  <c r="F70" i="20" l="1"/>
  <c r="G70" i="20" s="1"/>
  <c r="C71" i="20" s="1"/>
  <c r="J61" i="20"/>
  <c r="P60" i="20"/>
  <c r="I116" i="20"/>
  <c r="M115" i="20"/>
  <c r="N115" i="20" s="1"/>
  <c r="J116" i="20" s="1"/>
  <c r="B116" i="20"/>
  <c r="F115" i="20"/>
  <c r="G115" i="20" s="1"/>
  <c r="C116" i="20" s="1"/>
  <c r="N246" i="18"/>
  <c r="N245" i="18"/>
  <c r="N244" i="18"/>
  <c r="N243" i="18"/>
  <c r="F71" i="20" l="1"/>
  <c r="G71" i="20" s="1"/>
  <c r="C72" i="20" s="1"/>
  <c r="B117" i="20"/>
  <c r="F116" i="20"/>
  <c r="G116" i="20" s="1"/>
  <c r="C117" i="20" s="1"/>
  <c r="I117" i="20"/>
  <c r="M116" i="20"/>
  <c r="N116" i="20" s="1"/>
  <c r="J117" i="20" s="1"/>
  <c r="M61" i="20"/>
  <c r="N61" i="20"/>
  <c r="AN55" i="18"/>
  <c r="AB55" i="18"/>
  <c r="AC55" i="18" s="1"/>
  <c r="J62" i="20" l="1"/>
  <c r="P61" i="20"/>
  <c r="F72" i="20"/>
  <c r="G72" i="20" s="1"/>
  <c r="C73" i="20" s="1"/>
  <c r="I118" i="20"/>
  <c r="M117" i="20"/>
  <c r="N117" i="20" s="1"/>
  <c r="J118" i="20" s="1"/>
  <c r="B118" i="20"/>
  <c r="F117" i="20"/>
  <c r="G117" i="20" s="1"/>
  <c r="C118" i="20" s="1"/>
  <c r="F73" i="20" l="1"/>
  <c r="G73" i="20"/>
  <c r="C74" i="20" s="1"/>
  <c r="B119" i="20"/>
  <c r="F118" i="20"/>
  <c r="G118" i="20" s="1"/>
  <c r="C119" i="20" s="1"/>
  <c r="I119" i="20"/>
  <c r="M118" i="20"/>
  <c r="N118" i="20" s="1"/>
  <c r="J119" i="20" s="1"/>
  <c r="M62" i="20"/>
  <c r="N62" i="20" s="1"/>
  <c r="AD55" i="18"/>
  <c r="Z250" i="18"/>
  <c r="Z251" i="18" s="1"/>
  <c r="J63" i="20" l="1"/>
  <c r="P62" i="20"/>
  <c r="F74" i="20"/>
  <c r="G74" i="20" s="1"/>
  <c r="C75" i="20" s="1"/>
  <c r="I120" i="20"/>
  <c r="M119" i="20"/>
  <c r="N119" i="20" s="1"/>
  <c r="J120" i="20" s="1"/>
  <c r="B120" i="20"/>
  <c r="F119" i="20"/>
  <c r="G119" i="20" s="1"/>
  <c r="C120" i="20" s="1"/>
  <c r="AE55" i="18"/>
  <c r="D262" i="18"/>
  <c r="I262" i="18"/>
  <c r="O138" i="18"/>
  <c r="M138" i="18"/>
  <c r="K138" i="18"/>
  <c r="J138" i="18"/>
  <c r="L138" i="18"/>
  <c r="N138" i="18"/>
  <c r="P138" i="18"/>
  <c r="Q138" i="18"/>
  <c r="K171" i="18"/>
  <c r="L171" i="18"/>
  <c r="M171" i="18"/>
  <c r="N171" i="18"/>
  <c r="O171" i="18"/>
  <c r="P171" i="18"/>
  <c r="Q171" i="18"/>
  <c r="K170" i="18"/>
  <c r="L170" i="18"/>
  <c r="M170" i="18"/>
  <c r="N170" i="18"/>
  <c r="O170" i="18"/>
  <c r="P170" i="18"/>
  <c r="Q170" i="18"/>
  <c r="H280" i="18"/>
  <c r="H281" i="18" s="1"/>
  <c r="AN77" i="18"/>
  <c r="K77" i="18"/>
  <c r="L77" i="18"/>
  <c r="M77" i="18"/>
  <c r="N77" i="18"/>
  <c r="O77" i="18"/>
  <c r="P77" i="18"/>
  <c r="Q77" i="18"/>
  <c r="J77" i="18"/>
  <c r="I271" i="18"/>
  <c r="D270" i="18"/>
  <c r="I269" i="18"/>
  <c r="J269" i="18" s="1"/>
  <c r="K269" i="18" s="1"/>
  <c r="K270" i="18" s="1"/>
  <c r="I267" i="18"/>
  <c r="I261" i="18"/>
  <c r="I260" i="18"/>
  <c r="J260" i="18" s="1"/>
  <c r="K260" i="18" s="1"/>
  <c r="H277" i="18" l="1"/>
  <c r="N277" i="18" s="1"/>
  <c r="G277" i="18"/>
  <c r="H276" i="18"/>
  <c r="N276" i="18" s="1"/>
  <c r="N279" i="18" s="1"/>
  <c r="G276" i="18"/>
  <c r="F75" i="20"/>
  <c r="G75" i="20"/>
  <c r="C76" i="20" s="1"/>
  <c r="B121" i="20"/>
  <c r="F121" i="20" s="1"/>
  <c r="F120" i="20"/>
  <c r="G120" i="20" s="1"/>
  <c r="C121" i="20" s="1"/>
  <c r="I121" i="20"/>
  <c r="M121" i="20" s="1"/>
  <c r="M120" i="20"/>
  <c r="N120" i="20" s="1"/>
  <c r="J121" i="20" s="1"/>
  <c r="M63" i="20"/>
  <c r="N63" i="20"/>
  <c r="AF55" i="18"/>
  <c r="D272" i="18"/>
  <c r="J261" i="18"/>
  <c r="K261" i="18" s="1"/>
  <c r="J271" i="18"/>
  <c r="K271" i="18" s="1"/>
  <c r="K272" i="18" s="1"/>
  <c r="K113" i="18"/>
  <c r="L113" i="18"/>
  <c r="M113" i="18"/>
  <c r="N113" i="18"/>
  <c r="O113" i="18"/>
  <c r="P113" i="18"/>
  <c r="Q113" i="18"/>
  <c r="J113" i="18"/>
  <c r="J171" i="18"/>
  <c r="J170" i="18"/>
  <c r="AN14" i="18"/>
  <c r="AB14" i="18"/>
  <c r="AC14" i="18" s="1"/>
  <c r="P261" i="18"/>
  <c r="P264" i="18" s="1"/>
  <c r="P260" i="18"/>
  <c r="K120" i="18"/>
  <c r="K126" i="18" s="1"/>
  <c r="L120" i="18"/>
  <c r="L126" i="18" s="1"/>
  <c r="M120" i="18"/>
  <c r="M126" i="18" s="1"/>
  <c r="N120" i="18"/>
  <c r="N126" i="18" s="1"/>
  <c r="O120" i="18"/>
  <c r="O126" i="18" s="1"/>
  <c r="P120" i="18"/>
  <c r="P126" i="18" s="1"/>
  <c r="Q120" i="18"/>
  <c r="Q126" i="18" s="1"/>
  <c r="J120" i="18"/>
  <c r="J126" i="18" s="1"/>
  <c r="K117" i="18"/>
  <c r="K123" i="18" s="1"/>
  <c r="L117" i="18"/>
  <c r="L123" i="18" s="1"/>
  <c r="M117" i="18"/>
  <c r="M123" i="18" s="1"/>
  <c r="N117" i="18"/>
  <c r="N123" i="18" s="1"/>
  <c r="O117" i="18"/>
  <c r="O123" i="18" s="1"/>
  <c r="P117" i="18"/>
  <c r="P123" i="18" s="1"/>
  <c r="Q117" i="18"/>
  <c r="Q123" i="18" s="1"/>
  <c r="J117" i="18"/>
  <c r="J123" i="18" s="1"/>
  <c r="K118" i="18"/>
  <c r="K124" i="18" s="1"/>
  <c r="L118" i="18"/>
  <c r="L124" i="18" s="1"/>
  <c r="M118" i="18"/>
  <c r="M124" i="18" s="1"/>
  <c r="N118" i="18"/>
  <c r="N124" i="18" s="1"/>
  <c r="O118" i="18"/>
  <c r="O124" i="18" s="1"/>
  <c r="P118" i="18"/>
  <c r="P124" i="18" s="1"/>
  <c r="Q118" i="18"/>
  <c r="Q124" i="18" s="1"/>
  <c r="J118" i="18"/>
  <c r="J124" i="18" s="1"/>
  <c r="K166" i="18"/>
  <c r="K167" i="18" s="1"/>
  <c r="L166" i="18"/>
  <c r="L167" i="18" s="1"/>
  <c r="M166" i="18"/>
  <c r="M167" i="18" s="1"/>
  <c r="N166" i="18"/>
  <c r="N167" i="18" s="1"/>
  <c r="O166" i="18"/>
  <c r="O167" i="18" s="1"/>
  <c r="P166" i="18"/>
  <c r="P167" i="18" s="1"/>
  <c r="Q166" i="18"/>
  <c r="Q167" i="18" s="1"/>
  <c r="J166" i="18"/>
  <c r="J167" i="18" s="1"/>
  <c r="N280" i="18" l="1"/>
  <c r="H279" i="18"/>
  <c r="H282" i="18"/>
  <c r="G282" i="18"/>
  <c r="G279" i="18"/>
  <c r="J64" i="20"/>
  <c r="P63" i="20"/>
  <c r="F76" i="20"/>
  <c r="G76" i="20" s="1"/>
  <c r="C77" i="20" s="1"/>
  <c r="N121" i="20"/>
  <c r="N124" i="20" s="1"/>
  <c r="N89" i="20" s="1"/>
  <c r="G121" i="20"/>
  <c r="G124" i="20" s="1"/>
  <c r="G89" i="20" s="1"/>
  <c r="AG55" i="18"/>
  <c r="AD14" i="18"/>
  <c r="AE14" i="18" s="1"/>
  <c r="AF14" i="18" s="1"/>
  <c r="AG14" i="18" s="1"/>
  <c r="AH14" i="18" s="1"/>
  <c r="AI14" i="18" s="1"/>
  <c r="AJ14" i="18" s="1"/>
  <c r="AK14" i="18" s="1"/>
  <c r="AL14" i="18" s="1"/>
  <c r="J262" i="18"/>
  <c r="K262" i="18" s="1"/>
  <c r="K112" i="18"/>
  <c r="L112" i="18"/>
  <c r="M112" i="18"/>
  <c r="N112" i="18"/>
  <c r="O112" i="18"/>
  <c r="P112" i="18"/>
  <c r="Q112" i="18"/>
  <c r="J112" i="18"/>
  <c r="J111" i="18"/>
  <c r="K164" i="18"/>
  <c r="L164" i="18"/>
  <c r="M164" i="18"/>
  <c r="N164" i="18"/>
  <c r="O164" i="18"/>
  <c r="P164" i="18"/>
  <c r="Q164" i="18"/>
  <c r="J164" i="18"/>
  <c r="K163" i="18"/>
  <c r="L163" i="18"/>
  <c r="M163" i="18"/>
  <c r="N163" i="18"/>
  <c r="O163" i="18"/>
  <c r="P163" i="18"/>
  <c r="Q163" i="18"/>
  <c r="J163" i="18"/>
  <c r="K160" i="18"/>
  <c r="L160" i="18"/>
  <c r="M160" i="18"/>
  <c r="N160" i="18"/>
  <c r="O160" i="18"/>
  <c r="P160" i="18"/>
  <c r="Q160" i="18"/>
  <c r="J160" i="18"/>
  <c r="K161" i="18"/>
  <c r="L161" i="18"/>
  <c r="M161" i="18"/>
  <c r="N161" i="18"/>
  <c r="O161" i="18"/>
  <c r="P161" i="18"/>
  <c r="Q161" i="18"/>
  <c r="J161" i="18"/>
  <c r="K159" i="18"/>
  <c r="L159" i="18"/>
  <c r="M159" i="18"/>
  <c r="N159" i="18"/>
  <c r="O159" i="18"/>
  <c r="P159" i="18"/>
  <c r="Q159" i="18"/>
  <c r="J159" i="18"/>
  <c r="K158" i="18"/>
  <c r="L158" i="18"/>
  <c r="M158" i="18"/>
  <c r="N158" i="18"/>
  <c r="O158" i="18"/>
  <c r="P158" i="18"/>
  <c r="Q158" i="18"/>
  <c r="J158" i="18"/>
  <c r="K155" i="18"/>
  <c r="L155" i="18"/>
  <c r="M155" i="18"/>
  <c r="N155" i="18"/>
  <c r="O155" i="18"/>
  <c r="P155" i="18"/>
  <c r="Q155" i="18"/>
  <c r="J155" i="18"/>
  <c r="K154" i="18"/>
  <c r="L154" i="18"/>
  <c r="M154" i="18"/>
  <c r="N154" i="18"/>
  <c r="O154" i="18"/>
  <c r="P154" i="18"/>
  <c r="Q154" i="18"/>
  <c r="J154" i="18"/>
  <c r="K153" i="18"/>
  <c r="L153" i="18"/>
  <c r="M153" i="18"/>
  <c r="N153" i="18"/>
  <c r="O153" i="18"/>
  <c r="P153" i="18"/>
  <c r="Q153" i="18"/>
  <c r="J153" i="18"/>
  <c r="B155" i="18"/>
  <c r="B154" i="18"/>
  <c r="AN32" i="18"/>
  <c r="AB32" i="18"/>
  <c r="AC32" i="18" s="1"/>
  <c r="J141" i="18"/>
  <c r="K141" i="18"/>
  <c r="L141" i="18"/>
  <c r="M141" i="18"/>
  <c r="N141" i="18"/>
  <c r="O141" i="18"/>
  <c r="P141" i="18"/>
  <c r="Q141" i="18"/>
  <c r="O264" i="18"/>
  <c r="O262" i="18"/>
  <c r="P262" i="18" s="1"/>
  <c r="P267" i="18" s="1"/>
  <c r="K150" i="18"/>
  <c r="L150" i="18"/>
  <c r="M150" i="18"/>
  <c r="N150" i="18"/>
  <c r="O150" i="18"/>
  <c r="P150" i="18"/>
  <c r="Q150" i="18"/>
  <c r="J150" i="18"/>
  <c r="K149" i="18"/>
  <c r="L149" i="18"/>
  <c r="M149" i="18"/>
  <c r="N149" i="18"/>
  <c r="O149" i="18"/>
  <c r="P149" i="18"/>
  <c r="Q149" i="18"/>
  <c r="J149" i="18"/>
  <c r="AO14" i="18" l="1"/>
  <c r="AM14" i="18"/>
  <c r="F77" i="20"/>
  <c r="G77" i="20"/>
  <c r="C78" i="20" s="1"/>
  <c r="M64" i="20"/>
  <c r="N64" i="20" s="1"/>
  <c r="J263" i="18"/>
  <c r="K263" i="18" s="1"/>
  <c r="J264" i="18" s="1"/>
  <c r="K264" i="18" s="1"/>
  <c r="J265" i="18" s="1"/>
  <c r="K265" i="18" s="1"/>
  <c r="J266" i="18" s="1"/>
  <c r="K266" i="18" s="1"/>
  <c r="J267" i="18" s="1"/>
  <c r="K267" i="18" s="1"/>
  <c r="K268" i="18" s="1"/>
  <c r="AH55" i="18"/>
  <c r="AD32" i="18"/>
  <c r="AE32" i="18" s="1"/>
  <c r="AF32" i="18" s="1"/>
  <c r="AG32" i="18" s="1"/>
  <c r="AH32" i="18" s="1"/>
  <c r="AI32" i="18" s="1"/>
  <c r="AJ32" i="18" s="1"/>
  <c r="AK32" i="18" s="1"/>
  <c r="AL32" i="18" s="1"/>
  <c r="O267" i="18"/>
  <c r="AB9" i="18"/>
  <c r="AC9" i="18" s="1"/>
  <c r="AB10" i="18"/>
  <c r="AC10" i="18" s="1"/>
  <c r="AB12" i="18"/>
  <c r="AC12" i="18" s="1"/>
  <c r="AB13" i="18"/>
  <c r="AC13" i="18" s="1"/>
  <c r="AB15" i="18"/>
  <c r="AC15" i="18" s="1"/>
  <c r="AB16" i="18"/>
  <c r="AC16" i="18" s="1"/>
  <c r="AB18" i="18"/>
  <c r="AC18" i="18" s="1"/>
  <c r="AB20" i="18"/>
  <c r="AC20" i="18" s="1"/>
  <c r="AB21" i="18"/>
  <c r="AC21" i="18" s="1"/>
  <c r="AB22" i="18"/>
  <c r="AC22" i="18" s="1"/>
  <c r="AB23" i="18"/>
  <c r="AC23" i="18" s="1"/>
  <c r="AB25" i="18"/>
  <c r="AC25" i="18" s="1"/>
  <c r="AB27" i="18"/>
  <c r="AC27" i="18" s="1"/>
  <c r="AB29" i="18"/>
  <c r="AC29" i="18" s="1"/>
  <c r="AB31" i="18"/>
  <c r="AC31" i="18" s="1"/>
  <c r="AB33" i="18"/>
  <c r="AC33" i="18" s="1"/>
  <c r="AB34" i="18"/>
  <c r="AC34" i="18" s="1"/>
  <c r="AB53" i="18"/>
  <c r="AC53" i="18" s="1"/>
  <c r="AB59" i="18"/>
  <c r="AB7" i="18"/>
  <c r="AC7" i="18" s="1"/>
  <c r="AB6" i="18"/>
  <c r="AC6" i="18" s="1"/>
  <c r="AN9" i="18"/>
  <c r="AN10" i="18"/>
  <c r="AN12" i="18"/>
  <c r="AN13" i="18"/>
  <c r="AN15" i="18"/>
  <c r="AN16" i="18"/>
  <c r="AN18" i="18"/>
  <c r="AN20" i="18"/>
  <c r="AN21" i="18"/>
  <c r="AN22" i="18"/>
  <c r="AN23" i="18"/>
  <c r="AN25" i="18"/>
  <c r="AN27" i="18"/>
  <c r="AN29" i="18"/>
  <c r="AN31" i="18"/>
  <c r="AN33" i="18"/>
  <c r="AN34" i="18"/>
  <c r="AN53" i="18"/>
  <c r="AN59" i="18"/>
  <c r="AN61" i="18"/>
  <c r="AN63" i="18"/>
  <c r="AN70" i="18"/>
  <c r="AN71" i="18"/>
  <c r="AN76" i="18"/>
  <c r="AN78" i="18"/>
  <c r="AN79" i="18"/>
  <c r="AN80" i="18"/>
  <c r="AN82" i="18"/>
  <c r="AN83" i="18"/>
  <c r="AN84" i="18"/>
  <c r="AN86" i="18"/>
  <c r="AN87" i="18"/>
  <c r="AN88" i="18"/>
  <c r="AN89" i="18"/>
  <c r="AN92" i="18"/>
  <c r="AN94" i="18"/>
  <c r="AN96" i="18"/>
  <c r="AN97" i="18"/>
  <c r="AN98" i="18"/>
  <c r="AN99" i="18"/>
  <c r="AN100" i="18"/>
  <c r="AN102" i="18"/>
  <c r="AN103" i="18"/>
  <c r="AN104" i="18"/>
  <c r="AN7" i="18"/>
  <c r="AN6" i="18"/>
  <c r="S238" i="18" l="1"/>
  <c r="AC59" i="18"/>
  <c r="T238" i="18" s="1"/>
  <c r="AO32" i="18"/>
  <c r="AM32" i="18"/>
  <c r="AC133" i="18"/>
  <c r="J65" i="20"/>
  <c r="P64" i="20"/>
  <c r="F78" i="20"/>
  <c r="G78" i="20" s="1"/>
  <c r="AC128" i="18"/>
  <c r="AI55" i="18"/>
  <c r="K116" i="18"/>
  <c r="K122" i="18" s="1"/>
  <c r="L116" i="18"/>
  <c r="L122" i="18" s="1"/>
  <c r="M116" i="18"/>
  <c r="M122" i="18" s="1"/>
  <c r="N116" i="18"/>
  <c r="N122" i="18" s="1"/>
  <c r="O116" i="18"/>
  <c r="O122" i="18" s="1"/>
  <c r="P116" i="18"/>
  <c r="P122" i="18" s="1"/>
  <c r="Q116" i="18"/>
  <c r="Q122" i="18" s="1"/>
  <c r="K119" i="18"/>
  <c r="K125" i="18" s="1"/>
  <c r="L119" i="18"/>
  <c r="L125" i="18" s="1"/>
  <c r="M119" i="18"/>
  <c r="M125" i="18" s="1"/>
  <c r="N119" i="18"/>
  <c r="N125" i="18" s="1"/>
  <c r="O119" i="18"/>
  <c r="O125" i="18" s="1"/>
  <c r="P119" i="18"/>
  <c r="P125" i="18" s="1"/>
  <c r="Q119" i="18"/>
  <c r="Q125" i="18" s="1"/>
  <c r="J119" i="18"/>
  <c r="J125" i="18" s="1"/>
  <c r="J116" i="18"/>
  <c r="J122" i="18" s="1"/>
  <c r="AC134" i="18" l="1"/>
  <c r="AC72" i="18"/>
  <c r="AC114" i="18" s="1"/>
  <c r="AC129" i="18"/>
  <c r="AC135" i="18"/>
  <c r="AC136" i="18"/>
  <c r="G81" i="20"/>
  <c r="G82" i="20" s="1"/>
  <c r="C79" i="20"/>
  <c r="M65" i="20"/>
  <c r="N65" i="20" s="1"/>
  <c r="J66" i="20" s="1"/>
  <c r="AJ55" i="18"/>
  <c r="AD31" i="18"/>
  <c r="AC151" i="18"/>
  <c r="AD29" i="18"/>
  <c r="K140" i="18"/>
  <c r="L140" i="18"/>
  <c r="M140" i="18"/>
  <c r="N140" i="18"/>
  <c r="O140" i="18"/>
  <c r="P140" i="18"/>
  <c r="Q140" i="18"/>
  <c r="J140" i="18"/>
  <c r="K139" i="18"/>
  <c r="L139" i="18"/>
  <c r="M139" i="18"/>
  <c r="N139" i="18"/>
  <c r="O139" i="18"/>
  <c r="P139" i="18"/>
  <c r="Q139" i="18"/>
  <c r="J139" i="18"/>
  <c r="M66" i="20" l="1"/>
  <c r="N66" i="20"/>
  <c r="J67" i="20" s="1"/>
  <c r="F79" i="20"/>
  <c r="G79" i="20"/>
  <c r="AK55" i="18"/>
  <c r="AE31" i="18"/>
  <c r="AE29" i="18"/>
  <c r="M67" i="20" l="1"/>
  <c r="N67" i="20"/>
  <c r="J68" i="20" s="1"/>
  <c r="AL55" i="18"/>
  <c r="AF31" i="18"/>
  <c r="AF29" i="18"/>
  <c r="J215" i="18"/>
  <c r="K215" i="18"/>
  <c r="L215" i="18"/>
  <c r="M215" i="18"/>
  <c r="N215" i="18"/>
  <c r="O215" i="18"/>
  <c r="P215" i="18"/>
  <c r="Q215" i="18"/>
  <c r="J92" i="18"/>
  <c r="J143" i="18" s="1"/>
  <c r="J144" i="18" s="1"/>
  <c r="J147" i="18" s="1"/>
  <c r="K92" i="18"/>
  <c r="K143" i="18" s="1"/>
  <c r="K144" i="18" s="1"/>
  <c r="K147" i="18" s="1"/>
  <c r="L92" i="18"/>
  <c r="L143" i="18" s="1"/>
  <c r="L144" i="18" s="1"/>
  <c r="L147" i="18" s="1"/>
  <c r="M92" i="18"/>
  <c r="M143" i="18" s="1"/>
  <c r="M144" i="18" s="1"/>
  <c r="M147" i="18" s="1"/>
  <c r="N92" i="18"/>
  <c r="N143" i="18" s="1"/>
  <c r="N144" i="18" s="1"/>
  <c r="N147" i="18" s="1"/>
  <c r="O92" i="18"/>
  <c r="O143" i="18" s="1"/>
  <c r="O144" i="18" s="1"/>
  <c r="O147" i="18" s="1"/>
  <c r="P92" i="18"/>
  <c r="P143" i="18" s="1"/>
  <c r="P144" i="18" s="1"/>
  <c r="P147" i="18" s="1"/>
  <c r="Q92" i="18"/>
  <c r="Q143" i="18" s="1"/>
  <c r="Q144" i="18" s="1"/>
  <c r="Q147" i="18" s="1"/>
  <c r="AO55" i="18" l="1"/>
  <c r="AM55" i="18"/>
  <c r="M68" i="20"/>
  <c r="N68" i="20" s="1"/>
  <c r="J69" i="20" s="1"/>
  <c r="AG31" i="18"/>
  <c r="AC92" i="18"/>
  <c r="AG29" i="18"/>
  <c r="Q145" i="18"/>
  <c r="Q146" i="18" s="1"/>
  <c r="M145" i="18"/>
  <c r="M146" i="18" s="1"/>
  <c r="O145" i="18"/>
  <c r="O146" i="18" s="1"/>
  <c r="K145" i="18"/>
  <c r="K146" i="18" s="1"/>
  <c r="P145" i="18"/>
  <c r="P146" i="18" s="1"/>
  <c r="L145" i="18"/>
  <c r="L146" i="18" s="1"/>
  <c r="N145" i="18"/>
  <c r="N146" i="18" s="1"/>
  <c r="J145" i="18"/>
  <c r="J146" i="18" s="1"/>
  <c r="AD63" i="18"/>
  <c r="M69" i="20" l="1"/>
  <c r="N69" i="20"/>
  <c r="J70" i="20" s="1"/>
  <c r="AH31" i="18"/>
  <c r="AE63" i="18"/>
  <c r="AH29" i="18"/>
  <c r="AD92" i="18"/>
  <c r="J102" i="18"/>
  <c r="J168" i="18" s="1"/>
  <c r="K102" i="18"/>
  <c r="K168" i="18" s="1"/>
  <c r="L102" i="18"/>
  <c r="L168" i="18" s="1"/>
  <c r="M102" i="18"/>
  <c r="M168" i="18" s="1"/>
  <c r="N102" i="18"/>
  <c r="N168" i="18" s="1"/>
  <c r="O102" i="18"/>
  <c r="O168" i="18" s="1"/>
  <c r="P102" i="18"/>
  <c r="P168" i="18" s="1"/>
  <c r="Q102" i="18"/>
  <c r="Q168" i="18" s="1"/>
  <c r="J103" i="18"/>
  <c r="K103" i="18"/>
  <c r="L103" i="18"/>
  <c r="M103" i="18"/>
  <c r="N103" i="18"/>
  <c r="O103" i="18"/>
  <c r="P103" i="18"/>
  <c r="Q103" i="18"/>
  <c r="J104" i="18"/>
  <c r="K104" i="18"/>
  <c r="L104" i="18"/>
  <c r="M104" i="18"/>
  <c r="N104" i="18"/>
  <c r="O104" i="18"/>
  <c r="P104" i="18"/>
  <c r="Q104" i="18"/>
  <c r="K111" i="18"/>
  <c r="L111" i="18"/>
  <c r="M111" i="18"/>
  <c r="N111" i="18"/>
  <c r="O111" i="18"/>
  <c r="P111" i="18"/>
  <c r="Q111" i="18"/>
  <c r="J110" i="18"/>
  <c r="K110" i="18"/>
  <c r="L110" i="18"/>
  <c r="M110" i="18"/>
  <c r="N110" i="18"/>
  <c r="O110" i="18"/>
  <c r="P110" i="18"/>
  <c r="Q110" i="18"/>
  <c r="J109" i="18"/>
  <c r="K109" i="18"/>
  <c r="L109" i="18"/>
  <c r="M109" i="18"/>
  <c r="N109" i="18"/>
  <c r="O109" i="18"/>
  <c r="P109" i="18"/>
  <c r="Q109" i="18"/>
  <c r="M70" i="20" l="1"/>
  <c r="N70" i="20" s="1"/>
  <c r="J71" i="20" s="1"/>
  <c r="AI31" i="18"/>
  <c r="AF63" i="18"/>
  <c r="AE92" i="18"/>
  <c r="AI29" i="18"/>
  <c r="K255" i="18"/>
  <c r="L255" i="18"/>
  <c r="M255" i="18"/>
  <c r="N255" i="18"/>
  <c r="O255" i="18"/>
  <c r="P255" i="18"/>
  <c r="Q255" i="18"/>
  <c r="S255" i="18"/>
  <c r="T255" i="18"/>
  <c r="J255" i="18"/>
  <c r="K254" i="18"/>
  <c r="L254" i="18"/>
  <c r="M254" i="18"/>
  <c r="N254" i="18"/>
  <c r="O254" i="18"/>
  <c r="P254" i="18"/>
  <c r="Q254" i="18"/>
  <c r="S254" i="18"/>
  <c r="T254" i="18"/>
  <c r="J254" i="18"/>
  <c r="K253" i="18"/>
  <c r="L253" i="18"/>
  <c r="M253" i="18"/>
  <c r="N253" i="18"/>
  <c r="O253" i="18"/>
  <c r="P253" i="18"/>
  <c r="Q253" i="18"/>
  <c r="S253" i="18"/>
  <c r="T253" i="18"/>
  <c r="J253" i="18"/>
  <c r="K71" i="18"/>
  <c r="L71" i="18"/>
  <c r="M71" i="18"/>
  <c r="N71" i="18"/>
  <c r="O71" i="18"/>
  <c r="P71" i="18"/>
  <c r="Q71" i="18"/>
  <c r="J71" i="18"/>
  <c r="J76" i="18"/>
  <c r="K70" i="18"/>
  <c r="K206" i="18" s="1"/>
  <c r="L70" i="18"/>
  <c r="L206" i="18" s="1"/>
  <c r="M70" i="18"/>
  <c r="M206" i="18" s="1"/>
  <c r="N70" i="18"/>
  <c r="N206" i="18" s="1"/>
  <c r="O70" i="18"/>
  <c r="O206" i="18" s="1"/>
  <c r="P70" i="18"/>
  <c r="P206" i="18" s="1"/>
  <c r="Q70" i="18"/>
  <c r="Q206" i="18" s="1"/>
  <c r="J70" i="18"/>
  <c r="J206" i="18" s="1"/>
  <c r="AC117" i="18"/>
  <c r="AC123" i="18" s="1"/>
  <c r="J218" i="18" l="1"/>
  <c r="M71" i="20"/>
  <c r="N71" i="20" s="1"/>
  <c r="J72" i="20" s="1"/>
  <c r="AJ31" i="18"/>
  <c r="AG63" i="18"/>
  <c r="AF92" i="18"/>
  <c r="AJ29" i="18"/>
  <c r="AD53" i="18"/>
  <c r="M72" i="20" l="1"/>
  <c r="N72" i="20" s="1"/>
  <c r="J73" i="20" s="1"/>
  <c r="AD117" i="18"/>
  <c r="AD123" i="18" s="1"/>
  <c r="AK31" i="18"/>
  <c r="AH63" i="18"/>
  <c r="AG92" i="18"/>
  <c r="AK29" i="18"/>
  <c r="AE53" i="18"/>
  <c r="L99" i="18"/>
  <c r="M99" i="18"/>
  <c r="N99" i="18"/>
  <c r="O99" i="18"/>
  <c r="P99" i="18"/>
  <c r="Q99" i="18"/>
  <c r="L100" i="18"/>
  <c r="M100" i="18"/>
  <c r="N100" i="18"/>
  <c r="O100" i="18"/>
  <c r="P100" i="18"/>
  <c r="Q100" i="18"/>
  <c r="L94" i="18"/>
  <c r="L96" i="18" s="1"/>
  <c r="M94" i="18"/>
  <c r="M96" i="18" s="1"/>
  <c r="N94" i="18"/>
  <c r="N96" i="18" s="1"/>
  <c r="O94" i="18"/>
  <c r="O96" i="18" s="1"/>
  <c r="P94" i="18"/>
  <c r="P96" i="18" s="1"/>
  <c r="Q94" i="18"/>
  <c r="Q96" i="18" s="1"/>
  <c r="L97" i="18"/>
  <c r="M97" i="18"/>
  <c r="N97" i="18"/>
  <c r="O97" i="18"/>
  <c r="P97" i="18"/>
  <c r="Q97" i="18"/>
  <c r="L98" i="18"/>
  <c r="M98" i="18"/>
  <c r="N98" i="18"/>
  <c r="O98" i="18"/>
  <c r="P98" i="18"/>
  <c r="Q98" i="18"/>
  <c r="J97" i="18"/>
  <c r="J98" i="18"/>
  <c r="J99" i="18"/>
  <c r="J100" i="18"/>
  <c r="K100" i="18"/>
  <c r="K99" i="18"/>
  <c r="AD22" i="18"/>
  <c r="AE22" i="18" s="1"/>
  <c r="AF22" i="18" s="1"/>
  <c r="AG22" i="18" s="1"/>
  <c r="AH22" i="18" s="1"/>
  <c r="AI22" i="18" s="1"/>
  <c r="AJ22" i="18" s="1"/>
  <c r="AK22" i="18" s="1"/>
  <c r="AL22" i="18" s="1"/>
  <c r="J94" i="18"/>
  <c r="J96" i="18" s="1"/>
  <c r="K94" i="18"/>
  <c r="K96" i="18" s="1"/>
  <c r="K98" i="18"/>
  <c r="K97" i="18"/>
  <c r="AO22" i="18" l="1"/>
  <c r="AM22" i="18"/>
  <c r="M73" i="20"/>
  <c r="N73" i="20" s="1"/>
  <c r="J74" i="20" s="1"/>
  <c r="AE117" i="18"/>
  <c r="AE123" i="18" s="1"/>
  <c r="AL31" i="18"/>
  <c r="AI63" i="18"/>
  <c r="AH92" i="18"/>
  <c r="AD23" i="18"/>
  <c r="AC120" i="18"/>
  <c r="AC126" i="18" s="1"/>
  <c r="AL29" i="18"/>
  <c r="AF53" i="18"/>
  <c r="AD21" i="18"/>
  <c r="AO31" i="18" l="1"/>
  <c r="AM31" i="18"/>
  <c r="AO29" i="18"/>
  <c r="AM29" i="18"/>
  <c r="M74" i="20"/>
  <c r="N74" i="20" s="1"/>
  <c r="J75" i="20" s="1"/>
  <c r="AF117" i="18"/>
  <c r="AF123" i="18" s="1"/>
  <c r="AI92" i="18"/>
  <c r="AJ63" i="18"/>
  <c r="AE23" i="18"/>
  <c r="AD120" i="18"/>
  <c r="AD126" i="18" s="1"/>
  <c r="AD20" i="18"/>
  <c r="AC94" i="18"/>
  <c r="AE21" i="18"/>
  <c r="AD9" i="18"/>
  <c r="AE9" i="18" s="1"/>
  <c r="AF9" i="18" s="1"/>
  <c r="AG9" i="18" s="1"/>
  <c r="AH9" i="18" s="1"/>
  <c r="AI9" i="18" s="1"/>
  <c r="AJ9" i="18" s="1"/>
  <c r="AK9" i="18" s="1"/>
  <c r="AL9" i="18" s="1"/>
  <c r="AC113" i="18"/>
  <c r="AD33" i="18"/>
  <c r="AE33" i="18" s="1"/>
  <c r="AF33" i="18" s="1"/>
  <c r="AG33" i="18" s="1"/>
  <c r="AH33" i="18" s="1"/>
  <c r="AI33" i="18" s="1"/>
  <c r="AJ33" i="18" s="1"/>
  <c r="AK33" i="18" s="1"/>
  <c r="AL33" i="18" s="1"/>
  <c r="AD34" i="18"/>
  <c r="AE34" i="18" s="1"/>
  <c r="AF34" i="18" s="1"/>
  <c r="AG34" i="18" s="1"/>
  <c r="AH34" i="18" s="1"/>
  <c r="AI34" i="18" s="1"/>
  <c r="AJ34" i="18" s="1"/>
  <c r="AK34" i="18" s="1"/>
  <c r="AL34" i="18" s="1"/>
  <c r="AG53" i="18"/>
  <c r="AO9" i="18" l="1"/>
  <c r="AM9" i="18"/>
  <c r="V174" i="18"/>
  <c r="AO34" i="18"/>
  <c r="AM34" i="18"/>
  <c r="AO33" i="18"/>
  <c r="AM33" i="18"/>
  <c r="M75" i="20"/>
  <c r="N75" i="20" s="1"/>
  <c r="J76" i="20" s="1"/>
  <c r="AG117" i="18"/>
  <c r="AG123" i="18" s="1"/>
  <c r="AJ92" i="18"/>
  <c r="AK63" i="18"/>
  <c r="AD94" i="18"/>
  <c r="AC160" i="18"/>
  <c r="AC170" i="18"/>
  <c r="AC161" i="18"/>
  <c r="AC171" i="18"/>
  <c r="AF23" i="18"/>
  <c r="AE120" i="18"/>
  <c r="AE126" i="18" s="1"/>
  <c r="AC154" i="18"/>
  <c r="AC155" i="18"/>
  <c r="AC153" i="18"/>
  <c r="AC141" i="18"/>
  <c r="AC116" i="18"/>
  <c r="AC122" i="18" s="1"/>
  <c r="AC150" i="18"/>
  <c r="AC149" i="18"/>
  <c r="AD18" i="18"/>
  <c r="AE20" i="18"/>
  <c r="AD27" i="18"/>
  <c r="AH53" i="18"/>
  <c r="AD25" i="18"/>
  <c r="AD133" i="18" s="1"/>
  <c r="AC109" i="18"/>
  <c r="AF21" i="18"/>
  <c r="J84" i="18"/>
  <c r="J213" i="18" s="1"/>
  <c r="K84" i="18"/>
  <c r="K213" i="18" s="1"/>
  <c r="L84" i="18"/>
  <c r="L213" i="18" s="1"/>
  <c r="M84" i="18"/>
  <c r="M213" i="18" s="1"/>
  <c r="N84" i="18"/>
  <c r="N213" i="18" s="1"/>
  <c r="O84" i="18"/>
  <c r="O213" i="18" s="1"/>
  <c r="P84" i="18"/>
  <c r="P213" i="18" s="1"/>
  <c r="Q84" i="18"/>
  <c r="Q213" i="18" s="1"/>
  <c r="M76" i="20" l="1"/>
  <c r="N76" i="20" s="1"/>
  <c r="J77" i="20" s="1"/>
  <c r="AD128" i="18"/>
  <c r="AD129" i="18"/>
  <c r="AH117" i="18"/>
  <c r="AH123" i="18" s="1"/>
  <c r="AD113" i="18"/>
  <c r="AD151" i="18"/>
  <c r="AL63" i="18"/>
  <c r="AK92" i="18"/>
  <c r="AD161" i="18"/>
  <c r="AD171" i="18"/>
  <c r="AD160" i="18"/>
  <c r="AD170" i="18"/>
  <c r="AG23" i="18"/>
  <c r="AF120" i="18"/>
  <c r="AF126" i="18" s="1"/>
  <c r="AD153" i="18"/>
  <c r="AD155" i="18"/>
  <c r="AD154" i="18"/>
  <c r="AD141" i="18"/>
  <c r="AD116" i="18"/>
  <c r="AD122" i="18" s="1"/>
  <c r="AD150" i="18"/>
  <c r="AD149" i="18"/>
  <c r="AE18" i="18"/>
  <c r="AF20" i="18"/>
  <c r="AE94" i="18"/>
  <c r="AE27" i="18"/>
  <c r="AE25" i="18"/>
  <c r="AD109" i="18"/>
  <c r="AI53" i="18"/>
  <c r="AG21" i="18"/>
  <c r="J83" i="18"/>
  <c r="K83" i="18"/>
  <c r="L83" i="18"/>
  <c r="M83" i="18"/>
  <c r="N83" i="18"/>
  <c r="O83" i="18"/>
  <c r="P83" i="18"/>
  <c r="Q83" i="18"/>
  <c r="J82" i="18"/>
  <c r="K82" i="18"/>
  <c r="L82" i="18"/>
  <c r="M82" i="18"/>
  <c r="N82" i="18"/>
  <c r="O82" i="18"/>
  <c r="P82" i="18"/>
  <c r="Q82" i="18"/>
  <c r="AO63" i="18" l="1"/>
  <c r="AM63" i="18"/>
  <c r="M77" i="20"/>
  <c r="N77" i="20" s="1"/>
  <c r="J78" i="20" s="1"/>
  <c r="AE129" i="18"/>
  <c r="AE133" i="18"/>
  <c r="AE151" i="18"/>
  <c r="AE128" i="18"/>
  <c r="AI117" i="18"/>
  <c r="AI123" i="18" s="1"/>
  <c r="AL92" i="18"/>
  <c r="AO92" i="18" s="1"/>
  <c r="AE160" i="18"/>
  <c r="AE170" i="18"/>
  <c r="AE161" i="18"/>
  <c r="AE171" i="18"/>
  <c r="AE113" i="18"/>
  <c r="AH23" i="18"/>
  <c r="AG120" i="18"/>
  <c r="AG126" i="18" s="1"/>
  <c r="AE155" i="18"/>
  <c r="AE154" i="18"/>
  <c r="AE153" i="18"/>
  <c r="AE141" i="18"/>
  <c r="AE116" i="18"/>
  <c r="AE122" i="18" s="1"/>
  <c r="AE150" i="18"/>
  <c r="AE149" i="18"/>
  <c r="AF18" i="18"/>
  <c r="AG20" i="18"/>
  <c r="AF94" i="18"/>
  <c r="AF27" i="18"/>
  <c r="AF25" i="18"/>
  <c r="AF133" i="18" s="1"/>
  <c r="AE109" i="18"/>
  <c r="AJ53" i="18"/>
  <c r="AH21" i="18"/>
  <c r="M78" i="20" l="1"/>
  <c r="N78" i="20" s="1"/>
  <c r="AF128" i="18"/>
  <c r="AF129" i="18"/>
  <c r="AJ117" i="18"/>
  <c r="AJ123" i="18" s="1"/>
  <c r="AF113" i="18"/>
  <c r="AF151" i="18"/>
  <c r="AC192" i="18"/>
  <c r="U242" i="18" s="1"/>
  <c r="AD192" i="18"/>
  <c r="T242" i="18" s="1"/>
  <c r="AM92" i="18"/>
  <c r="AF161" i="18"/>
  <c r="AF171" i="18"/>
  <c r="AF160" i="18"/>
  <c r="AF170" i="18"/>
  <c r="AI23" i="18"/>
  <c r="AH120" i="18"/>
  <c r="AH126" i="18" s="1"/>
  <c r="AF141" i="18"/>
  <c r="AF155" i="18"/>
  <c r="AF154" i="18"/>
  <c r="AF153" i="18"/>
  <c r="AF116" i="18"/>
  <c r="AF122" i="18" s="1"/>
  <c r="AF150" i="18"/>
  <c r="AF149" i="18"/>
  <c r="AG18" i="18"/>
  <c r="AH20" i="18"/>
  <c r="AG94" i="18"/>
  <c r="AG27" i="18"/>
  <c r="AG25" i="18"/>
  <c r="AF109" i="18"/>
  <c r="AK53" i="18"/>
  <c r="AI21" i="18"/>
  <c r="K76" i="18"/>
  <c r="L76" i="18"/>
  <c r="M76" i="18"/>
  <c r="N76" i="18"/>
  <c r="N218" i="18" s="1"/>
  <c r="O76" i="18"/>
  <c r="O218" i="18" s="1"/>
  <c r="P76" i="18"/>
  <c r="P218" i="18" s="1"/>
  <c r="Q76" i="18"/>
  <c r="J90" i="18"/>
  <c r="K90" i="18"/>
  <c r="K212" i="18" s="1"/>
  <c r="L90" i="18"/>
  <c r="L212" i="18" s="1"/>
  <c r="M90" i="18"/>
  <c r="M212" i="18" s="1"/>
  <c r="N90" i="18"/>
  <c r="N212" i="18" s="1"/>
  <c r="O90" i="18"/>
  <c r="O212" i="18" s="1"/>
  <c r="P90" i="18"/>
  <c r="P212" i="18" s="1"/>
  <c r="Q90" i="18"/>
  <c r="J89" i="18"/>
  <c r="K89" i="18"/>
  <c r="L89" i="18"/>
  <c r="M89" i="18"/>
  <c r="N89" i="18"/>
  <c r="O89" i="18"/>
  <c r="P89" i="18"/>
  <c r="Q89" i="18"/>
  <c r="J87" i="18"/>
  <c r="K87" i="18"/>
  <c r="L87" i="18"/>
  <c r="M87" i="18"/>
  <c r="N87" i="18"/>
  <c r="O87" i="18"/>
  <c r="P87" i="18"/>
  <c r="Q87" i="18"/>
  <c r="J86" i="18"/>
  <c r="K86" i="18"/>
  <c r="L86" i="18"/>
  <c r="M86" i="18"/>
  <c r="N86" i="18"/>
  <c r="O86" i="18"/>
  <c r="P86" i="18"/>
  <c r="Q86" i="18"/>
  <c r="J80" i="18"/>
  <c r="K80" i="18"/>
  <c r="L80" i="18"/>
  <c r="M80" i="18"/>
  <c r="N80" i="18"/>
  <c r="O80" i="18"/>
  <c r="P80" i="18"/>
  <c r="Q80" i="18"/>
  <c r="J79" i="18"/>
  <c r="K79" i="18"/>
  <c r="K210" i="18" s="1"/>
  <c r="L79" i="18"/>
  <c r="L210" i="18" s="1"/>
  <c r="M79" i="18"/>
  <c r="M210" i="18" s="1"/>
  <c r="N79" i="18"/>
  <c r="N210" i="18" s="1"/>
  <c r="O79" i="18"/>
  <c r="O210" i="18" s="1"/>
  <c r="P79" i="18"/>
  <c r="P210" i="18" s="1"/>
  <c r="Q79" i="18"/>
  <c r="J78" i="18"/>
  <c r="K78" i="18"/>
  <c r="L78" i="18"/>
  <c r="M78" i="18"/>
  <c r="N78" i="18"/>
  <c r="O78" i="18"/>
  <c r="P78" i="18"/>
  <c r="Q78" i="18"/>
  <c r="AC158" i="18"/>
  <c r="AC166" i="18"/>
  <c r="AC167" i="18" s="1"/>
  <c r="AC118" i="18"/>
  <c r="AC124" i="18" s="1"/>
  <c r="M218" i="18" l="1"/>
  <c r="AA174" i="18"/>
  <c r="Z249" i="18" s="1"/>
  <c r="Z248" i="18" s="1"/>
  <c r="Q218" i="18"/>
  <c r="L218" i="18"/>
  <c r="K218" i="18"/>
  <c r="N81" i="20"/>
  <c r="N82" i="20" s="1"/>
  <c r="J79" i="20"/>
  <c r="AG129" i="18"/>
  <c r="AG133" i="18"/>
  <c r="AG151" i="18"/>
  <c r="AG128" i="18"/>
  <c r="AC215" i="18"/>
  <c r="AK117" i="18"/>
  <c r="AK123" i="18" s="1"/>
  <c r="AC138" i="18"/>
  <c r="AB192" i="18"/>
  <c r="AG160" i="18"/>
  <c r="AG170" i="18"/>
  <c r="AG113" i="18"/>
  <c r="AG161" i="18"/>
  <c r="AG171" i="18"/>
  <c r="AJ23" i="18"/>
  <c r="AI120" i="18"/>
  <c r="AI126" i="18" s="1"/>
  <c r="AC111" i="18"/>
  <c r="AC112" i="18"/>
  <c r="AC164" i="18"/>
  <c r="AC163" i="18"/>
  <c r="AC119" i="18"/>
  <c r="AC125" i="18" s="1"/>
  <c r="AC159" i="18"/>
  <c r="K207" i="18"/>
  <c r="AG141" i="18"/>
  <c r="AG154" i="18"/>
  <c r="AG153" i="18"/>
  <c r="AG155" i="18"/>
  <c r="AC140" i="18"/>
  <c r="AG116" i="18"/>
  <c r="AG122" i="18" s="1"/>
  <c r="AG150" i="18"/>
  <c r="AG149" i="18"/>
  <c r="AC139" i="18"/>
  <c r="AH18" i="18"/>
  <c r="N207" i="18"/>
  <c r="M207" i="18"/>
  <c r="P207" i="18"/>
  <c r="L207" i="18"/>
  <c r="AI20" i="18"/>
  <c r="AH94" i="18"/>
  <c r="K88" i="18"/>
  <c r="K211" i="18" s="1"/>
  <c r="AH27" i="18"/>
  <c r="AD12" i="18"/>
  <c r="AD15" i="18"/>
  <c r="AD158" i="18" s="1"/>
  <c r="AD13" i="18"/>
  <c r="AD10" i="18"/>
  <c r="AD16" i="18"/>
  <c r="AD166" i="18" s="1"/>
  <c r="AD167" i="18" s="1"/>
  <c r="AD6" i="18"/>
  <c r="AD7" i="18"/>
  <c r="AH25" i="18"/>
  <c r="AH133" i="18" s="1"/>
  <c r="AG109" i="18"/>
  <c r="AD59" i="18"/>
  <c r="U238" i="18" s="1"/>
  <c r="AC110" i="18"/>
  <c r="AL53" i="18"/>
  <c r="O88" i="18"/>
  <c r="O211" i="18" s="1"/>
  <c r="N88" i="18"/>
  <c r="N211" i="18" s="1"/>
  <c r="M88" i="18"/>
  <c r="M211" i="18" s="1"/>
  <c r="AJ21" i="18"/>
  <c r="AD205" i="18"/>
  <c r="L88" i="18"/>
  <c r="L211" i="18" s="1"/>
  <c r="J210" i="18"/>
  <c r="J207" i="18"/>
  <c r="J212" i="18"/>
  <c r="J88" i="18"/>
  <c r="Q210" i="18"/>
  <c r="Q207" i="18"/>
  <c r="Q212" i="18"/>
  <c r="O207" i="18"/>
  <c r="Q88" i="18"/>
  <c r="P88" i="18"/>
  <c r="P211" i="18" s="1"/>
  <c r="C6" i="12"/>
  <c r="AD134" i="18" l="1"/>
  <c r="AO53" i="18"/>
  <c r="AM53" i="18"/>
  <c r="M79" i="20"/>
  <c r="N79" i="20" s="1"/>
  <c r="J80" i="20" s="1"/>
  <c r="AD136" i="18"/>
  <c r="AD135" i="18"/>
  <c r="AH128" i="18"/>
  <c r="AH129" i="18"/>
  <c r="AD215" i="18"/>
  <c r="AD224" i="18"/>
  <c r="AD229" i="18"/>
  <c r="J220" i="18"/>
  <c r="J221" i="18" s="1"/>
  <c r="J219" i="18"/>
  <c r="P220" i="18"/>
  <c r="P221" i="18" s="1"/>
  <c r="P219" i="18"/>
  <c r="N220" i="18"/>
  <c r="N221" i="18" s="1"/>
  <c r="N219" i="18"/>
  <c r="Q220" i="18"/>
  <c r="Q221" i="18" s="1"/>
  <c r="Q219" i="18"/>
  <c r="K220" i="18"/>
  <c r="K221" i="18" s="1"/>
  <c r="K219" i="18"/>
  <c r="L220" i="18"/>
  <c r="L221" i="18" s="1"/>
  <c r="L219" i="18"/>
  <c r="M220" i="18"/>
  <c r="M221" i="18" s="1"/>
  <c r="M219" i="18"/>
  <c r="O220" i="18"/>
  <c r="O221" i="18" s="1"/>
  <c r="O219" i="18"/>
  <c r="AH113" i="18"/>
  <c r="AH151" i="18"/>
  <c r="AD118" i="18"/>
  <c r="AD124" i="18" s="1"/>
  <c r="AD72" i="18"/>
  <c r="AD114" i="18" s="1"/>
  <c r="AA250" i="18"/>
  <c r="AB250" i="18" s="1"/>
  <c r="AC250" i="18" s="1"/>
  <c r="AD250" i="18" s="1"/>
  <c r="AE250" i="18" s="1"/>
  <c r="AF250" i="18" s="1"/>
  <c r="AG250" i="18" s="1"/>
  <c r="AH250" i="18" s="1"/>
  <c r="AI250" i="18" s="1"/>
  <c r="AJ250" i="18" s="1"/>
  <c r="AK250" i="18" s="1"/>
  <c r="AL250" i="18" s="1"/>
  <c r="AM250" i="18" s="1"/>
  <c r="AN250" i="18" s="1"/>
  <c r="AO250" i="18" s="1"/>
  <c r="AP250" i="18" s="1"/>
  <c r="AQ250" i="18" s="1"/>
  <c r="AR250" i="18" s="1"/>
  <c r="AS250" i="18" s="1"/>
  <c r="AT250" i="18" s="1"/>
  <c r="AU250" i="18" s="1"/>
  <c r="AV250" i="18" s="1"/>
  <c r="AW250" i="18" s="1"/>
  <c r="AX250" i="18" s="1"/>
  <c r="AY250" i="18" s="1"/>
  <c r="AZ250" i="18" s="1"/>
  <c r="AD138" i="18"/>
  <c r="AH160" i="18"/>
  <c r="AH170" i="18"/>
  <c r="AH161" i="18"/>
  <c r="AH171" i="18"/>
  <c r="AL117" i="18"/>
  <c r="AO117" i="18" s="1"/>
  <c r="AK23" i="18"/>
  <c r="AJ120" i="18"/>
  <c r="AJ126" i="18" s="1"/>
  <c r="AD164" i="18"/>
  <c r="AD163" i="18"/>
  <c r="AD119" i="18"/>
  <c r="AD125" i="18" s="1"/>
  <c r="AD159" i="18"/>
  <c r="AD112" i="18"/>
  <c r="AH153" i="18"/>
  <c r="AH154" i="18"/>
  <c r="AH155" i="18"/>
  <c r="AH141" i="18"/>
  <c r="AH116" i="18"/>
  <c r="AH122" i="18" s="1"/>
  <c r="AH150" i="18"/>
  <c r="AH149" i="18"/>
  <c r="AD139" i="18"/>
  <c r="AD140" i="18"/>
  <c r="AI18" i="18"/>
  <c r="AJ20" i="18"/>
  <c r="AI94" i="18"/>
  <c r="AI27" i="18"/>
  <c r="AE15" i="18"/>
  <c r="AE158" i="18" s="1"/>
  <c r="AE13" i="18"/>
  <c r="AE12" i="18"/>
  <c r="AE16" i="18"/>
  <c r="AE166" i="18" s="1"/>
  <c r="AE167" i="18" s="1"/>
  <c r="AE10" i="18"/>
  <c r="AE7" i="18"/>
  <c r="AE6" i="18"/>
  <c r="AI25" i="18"/>
  <c r="AI133" i="18" s="1"/>
  <c r="AH109" i="18"/>
  <c r="AE59" i="18"/>
  <c r="V238" i="18" s="1"/>
  <c r="AD111" i="18"/>
  <c r="AD110" i="18"/>
  <c r="AK21" i="18"/>
  <c r="AE205" i="18"/>
  <c r="J211" i="18"/>
  <c r="Q211" i="18"/>
  <c r="AE134" i="18" l="1"/>
  <c r="M80" i="20"/>
  <c r="N80" i="20" s="1"/>
  <c r="AE135" i="18"/>
  <c r="AE136" i="18"/>
  <c r="AI128" i="18"/>
  <c r="AI129" i="18"/>
  <c r="AD230" i="18"/>
  <c r="AD231" i="18" s="1"/>
  <c r="AD228" i="18"/>
  <c r="AD225" i="18"/>
  <c r="AD226" i="18" s="1"/>
  <c r="AD223" i="18"/>
  <c r="AE215" i="18"/>
  <c r="AE229" i="18"/>
  <c r="AE224" i="18"/>
  <c r="AI113" i="18"/>
  <c r="AI151" i="18"/>
  <c r="AE118" i="18"/>
  <c r="AE124" i="18" s="1"/>
  <c r="AE72" i="18"/>
  <c r="AE114" i="18" s="1"/>
  <c r="AA251" i="18"/>
  <c r="AB251" i="18" s="1"/>
  <c r="AC251" i="18" s="1"/>
  <c r="AD251" i="18" s="1"/>
  <c r="AE251" i="18" s="1"/>
  <c r="AF251" i="18" s="1"/>
  <c r="AG251" i="18" s="1"/>
  <c r="AH251" i="18" s="1"/>
  <c r="AI251" i="18" s="1"/>
  <c r="AJ251" i="18" s="1"/>
  <c r="AK251" i="18" s="1"/>
  <c r="AL251" i="18" s="1"/>
  <c r="AM251" i="18" s="1"/>
  <c r="AN251" i="18" s="1"/>
  <c r="AO251" i="18" s="1"/>
  <c r="AP251" i="18" s="1"/>
  <c r="AQ251" i="18" s="1"/>
  <c r="AR251" i="18" s="1"/>
  <c r="AS251" i="18" s="1"/>
  <c r="AT251" i="18" s="1"/>
  <c r="AU251" i="18" s="1"/>
  <c r="AV251" i="18" s="1"/>
  <c r="AW251" i="18" s="1"/>
  <c r="AX251" i="18" s="1"/>
  <c r="AY251" i="18" s="1"/>
  <c r="AZ251" i="18" s="1"/>
  <c r="AM117" i="18"/>
  <c r="AL123" i="18"/>
  <c r="AA249" i="18"/>
  <c r="AB249" i="18" s="1"/>
  <c r="AC249" i="18" s="1"/>
  <c r="AD249" i="18" s="1"/>
  <c r="AE249" i="18" s="1"/>
  <c r="AF249" i="18" s="1"/>
  <c r="AG249" i="18" s="1"/>
  <c r="AH249" i="18" s="1"/>
  <c r="AI249" i="18" s="1"/>
  <c r="AJ249" i="18" s="1"/>
  <c r="AE138" i="18"/>
  <c r="AI160" i="18"/>
  <c r="AI170" i="18"/>
  <c r="AI161" i="18"/>
  <c r="AI171" i="18"/>
  <c r="AL23" i="18"/>
  <c r="AK120" i="18"/>
  <c r="AK126" i="18" s="1"/>
  <c r="AE119" i="18"/>
  <c r="AE125" i="18" s="1"/>
  <c r="AE159" i="18"/>
  <c r="AE164" i="18"/>
  <c r="AE163" i="18"/>
  <c r="AE112" i="18"/>
  <c r="AI155" i="18"/>
  <c r="AI154" i="18"/>
  <c r="AI153" i="18"/>
  <c r="AI141" i="18"/>
  <c r="AI116" i="18"/>
  <c r="AI122" i="18" s="1"/>
  <c r="AI150" i="18"/>
  <c r="AI149" i="18"/>
  <c r="AE139" i="18"/>
  <c r="AE140" i="18"/>
  <c r="AJ18" i="18"/>
  <c r="AK20" i="18"/>
  <c r="AJ94" i="18"/>
  <c r="AJ27" i="18"/>
  <c r="AF13" i="18"/>
  <c r="AF12" i="18"/>
  <c r="AF15" i="18"/>
  <c r="AF158" i="18" s="1"/>
  <c r="AF10" i="18"/>
  <c r="AF16" i="18"/>
  <c r="AF166" i="18" s="1"/>
  <c r="AF167" i="18" s="1"/>
  <c r="AF6" i="18"/>
  <c r="AF7" i="18"/>
  <c r="AF59" i="18"/>
  <c r="AE111" i="18"/>
  <c r="AE110" i="18"/>
  <c r="AJ25" i="18"/>
  <c r="AJ133" i="18" s="1"/>
  <c r="AI109" i="18"/>
  <c r="AL21" i="18"/>
  <c r="AF205" i="18"/>
  <c r="X238" i="18" l="1"/>
  <c r="W238" i="18"/>
  <c r="Y238" i="18"/>
  <c r="AF134" i="18"/>
  <c r="AO23" i="18"/>
  <c r="AM23" i="18"/>
  <c r="AM123" i="18"/>
  <c r="AO123" i="18"/>
  <c r="AO21" i="18"/>
  <c r="AM21" i="18"/>
  <c r="AF136" i="18"/>
  <c r="AF135" i="18"/>
  <c r="AJ128" i="18"/>
  <c r="AJ129" i="18"/>
  <c r="AE225" i="18"/>
  <c r="AE226" i="18" s="1"/>
  <c r="AE223" i="18"/>
  <c r="AE230" i="18"/>
  <c r="AE231" i="18" s="1"/>
  <c r="AE228" i="18"/>
  <c r="AF215" i="18"/>
  <c r="AF224" i="18"/>
  <c r="AF229" i="18"/>
  <c r="AJ113" i="18"/>
  <c r="AJ151" i="18"/>
  <c r="AF118" i="18"/>
  <c r="AF124" i="18" s="1"/>
  <c r="AF72" i="18"/>
  <c r="AF114" i="18" s="1"/>
  <c r="AA248" i="18"/>
  <c r="AB248" i="18" s="1"/>
  <c r="AC248" i="18" s="1"/>
  <c r="AD248" i="18" s="1"/>
  <c r="AE248" i="18" s="1"/>
  <c r="AF248" i="18" s="1"/>
  <c r="AG248" i="18" s="1"/>
  <c r="AH248" i="18" s="1"/>
  <c r="AI248" i="18" s="1"/>
  <c r="AJ248" i="18" s="1"/>
  <c r="AK249" i="18"/>
  <c r="AL249" i="18" s="1"/>
  <c r="AM249" i="18" s="1"/>
  <c r="AN249" i="18" s="1"/>
  <c r="AO249" i="18" s="1"/>
  <c r="AP249" i="18" s="1"/>
  <c r="AQ249" i="18" s="1"/>
  <c r="AR249" i="18" s="1"/>
  <c r="AS249" i="18" s="1"/>
  <c r="AT249" i="18" s="1"/>
  <c r="AU249" i="18" s="1"/>
  <c r="AV249" i="18" s="1"/>
  <c r="AW249" i="18" s="1"/>
  <c r="AX249" i="18" s="1"/>
  <c r="AY249" i="18" s="1"/>
  <c r="AZ249" i="18" s="1"/>
  <c r="AF138" i="18"/>
  <c r="AJ160" i="18"/>
  <c r="AJ170" i="18"/>
  <c r="AJ161" i="18"/>
  <c r="AJ171" i="18"/>
  <c r="AL120" i="18"/>
  <c r="AO120" i="18" s="1"/>
  <c r="AF112" i="18"/>
  <c r="AF163" i="18"/>
  <c r="AF164" i="18"/>
  <c r="AF119" i="18"/>
  <c r="AF125" i="18" s="1"/>
  <c r="AF159" i="18"/>
  <c r="AJ155" i="18"/>
  <c r="AJ154" i="18"/>
  <c r="AJ153" i="18"/>
  <c r="AJ141" i="18"/>
  <c r="AJ116" i="18"/>
  <c r="AJ122" i="18" s="1"/>
  <c r="AJ150" i="18"/>
  <c r="AJ149" i="18"/>
  <c r="AF140" i="18"/>
  <c r="AF139" i="18"/>
  <c r="AK18" i="18"/>
  <c r="AL20" i="18"/>
  <c r="AK94" i="18"/>
  <c r="AK27" i="18"/>
  <c r="AG12" i="18"/>
  <c r="AG15" i="18"/>
  <c r="AG158" i="18" s="1"/>
  <c r="AG13" i="18"/>
  <c r="AG16" i="18"/>
  <c r="AG166" i="18" s="1"/>
  <c r="AG167" i="18" s="1"/>
  <c r="AG10" i="18"/>
  <c r="AG7" i="18"/>
  <c r="AG6" i="18"/>
  <c r="AK25" i="18"/>
  <c r="AJ109" i="18"/>
  <c r="AG59" i="18"/>
  <c r="Z238" i="18" s="1"/>
  <c r="AF110" i="18"/>
  <c r="AF111" i="18"/>
  <c r="AG205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AG134" i="18" l="1"/>
  <c r="AO20" i="18"/>
  <c r="AM20" i="18"/>
  <c r="AK129" i="18"/>
  <c r="AK133" i="18"/>
  <c r="AG136" i="18"/>
  <c r="AG135" i="18"/>
  <c r="AK151" i="18"/>
  <c r="AK128" i="18"/>
  <c r="AF230" i="18"/>
  <c r="AF231" i="18" s="1"/>
  <c r="AF228" i="18"/>
  <c r="AF225" i="18"/>
  <c r="AF226" i="18" s="1"/>
  <c r="AF223" i="18"/>
  <c r="AG215" i="18"/>
  <c r="AG229" i="18"/>
  <c r="AG224" i="18"/>
  <c r="AG118" i="18"/>
  <c r="AG124" i="18" s="1"/>
  <c r="AG72" i="18"/>
  <c r="AG114" i="18" s="1"/>
  <c r="AK248" i="18"/>
  <c r="AL248" i="18" s="1"/>
  <c r="AM248" i="18" s="1"/>
  <c r="AN248" i="18" s="1"/>
  <c r="AO248" i="18" s="1"/>
  <c r="AP248" i="18" s="1"/>
  <c r="AQ248" i="18" s="1"/>
  <c r="AR248" i="18" s="1"/>
  <c r="AS248" i="18" s="1"/>
  <c r="AT248" i="18" s="1"/>
  <c r="AU248" i="18" s="1"/>
  <c r="AV248" i="18" s="1"/>
  <c r="AW248" i="18" s="1"/>
  <c r="AX248" i="18" s="1"/>
  <c r="AY248" i="18" s="1"/>
  <c r="AZ248" i="18" s="1"/>
  <c r="AM120" i="18"/>
  <c r="AL126" i="18"/>
  <c r="AG138" i="18"/>
  <c r="AK160" i="18"/>
  <c r="AK170" i="18"/>
  <c r="AK161" i="18"/>
  <c r="AK171" i="18"/>
  <c r="AK113" i="18"/>
  <c r="AG164" i="18"/>
  <c r="AG163" i="18"/>
  <c r="AG119" i="18"/>
  <c r="AG125" i="18" s="1"/>
  <c r="AG159" i="18"/>
  <c r="AG112" i="18"/>
  <c r="AK154" i="18"/>
  <c r="AK153" i="18"/>
  <c r="AK155" i="18"/>
  <c r="AK141" i="18"/>
  <c r="AK116" i="18"/>
  <c r="AK122" i="18" s="1"/>
  <c r="AK150" i="18"/>
  <c r="AK149" i="18"/>
  <c r="AG140" i="18"/>
  <c r="AG139" i="18"/>
  <c r="AL18" i="18"/>
  <c r="AL94" i="18"/>
  <c r="AO94" i="18" s="1"/>
  <c r="AL27" i="18"/>
  <c r="AH15" i="18"/>
  <c r="AH158" i="18" s="1"/>
  <c r="AH13" i="18"/>
  <c r="AH12" i="18"/>
  <c r="AH10" i="18"/>
  <c r="AH16" i="18"/>
  <c r="AH166" i="18" s="1"/>
  <c r="AH167" i="18" s="1"/>
  <c r="AH6" i="18"/>
  <c r="AH7" i="18"/>
  <c r="AH59" i="18"/>
  <c r="AH134" i="18" s="1"/>
  <c r="AG111" i="18"/>
  <c r="AG110" i="18"/>
  <c r="AL25" i="18"/>
  <c r="AK109" i="18"/>
  <c r="AH205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AL133" i="18" l="1"/>
  <c r="AO25" i="18"/>
  <c r="AM25" i="18"/>
  <c r="AM126" i="18"/>
  <c r="AO126" i="18"/>
  <c r="AL171" i="18"/>
  <c r="AO27" i="18"/>
  <c r="AM27" i="18"/>
  <c r="AO18" i="18"/>
  <c r="AM18" i="18"/>
  <c r="AH136" i="18"/>
  <c r="AH135" i="18"/>
  <c r="AL128" i="18"/>
  <c r="AL129" i="18"/>
  <c r="AG225" i="18"/>
  <c r="AG226" i="18" s="1"/>
  <c r="AG223" i="18"/>
  <c r="AG230" i="18"/>
  <c r="AG231" i="18" s="1"/>
  <c r="AG228" i="18"/>
  <c r="AH215" i="18"/>
  <c r="AH229" i="18"/>
  <c r="AH224" i="18"/>
  <c r="AL113" i="18"/>
  <c r="AL151" i="18"/>
  <c r="AH118" i="18"/>
  <c r="AH124" i="18" s="1"/>
  <c r="AH72" i="18"/>
  <c r="AH114" i="18" s="1"/>
  <c r="AH138" i="18"/>
  <c r="AL160" i="18"/>
  <c r="AL170" i="18"/>
  <c r="AH119" i="18"/>
  <c r="AH125" i="18" s="1"/>
  <c r="AH159" i="18"/>
  <c r="AH164" i="18"/>
  <c r="AH163" i="18"/>
  <c r="AL161" i="18"/>
  <c r="AH112" i="18"/>
  <c r="AL153" i="18"/>
  <c r="AL155" i="18"/>
  <c r="AL154" i="18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L141" i="18"/>
  <c r="AL116" i="18"/>
  <c r="AO116" i="18" s="1"/>
  <c r="AL150" i="18"/>
  <c r="AL149" i="18"/>
  <c r="AH140" i="18"/>
  <c r="AH139" i="18"/>
  <c r="AC194" i="18"/>
  <c r="AM94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AI12" i="18"/>
  <c r="AI15" i="18"/>
  <c r="AI158" i="18" s="1"/>
  <c r="AI13" i="18"/>
  <c r="AI10" i="18"/>
  <c r="AI16" i="18"/>
  <c r="AI166" i="18" s="1"/>
  <c r="AI167" i="18" s="1"/>
  <c r="AI7" i="18"/>
  <c r="AI6" i="18"/>
  <c r="AL109" i="18"/>
  <c r="AI59" i="18"/>
  <c r="AI134" i="18" s="1"/>
  <c r="AH111" i="18"/>
  <c r="AH110" i="18"/>
  <c r="O31" i="9"/>
  <c r="O32" i="9" s="1"/>
  <c r="AI205" i="18"/>
  <c r="P31" i="11"/>
  <c r="N32" i="11"/>
  <c r="T19" i="9"/>
  <c r="D22" i="9"/>
  <c r="AM150" i="18" l="1"/>
  <c r="AO150" i="18"/>
  <c r="AM109" i="18"/>
  <c r="AO109" i="18"/>
  <c r="AM149" i="18"/>
  <c r="AO149" i="18"/>
  <c r="AM154" i="18"/>
  <c r="AO154" i="18"/>
  <c r="AM153" i="18"/>
  <c r="AO153" i="18"/>
  <c r="AM161" i="18"/>
  <c r="AO161" i="18"/>
  <c r="AM160" i="18"/>
  <c r="AO160" i="18"/>
  <c r="AM151" i="18"/>
  <c r="AO151" i="18"/>
  <c r="AM128" i="18"/>
  <c r="AO128" i="18"/>
  <c r="AM133" i="18"/>
  <c r="AO133" i="18"/>
  <c r="AM141" i="18"/>
  <c r="AO141" i="18"/>
  <c r="AM155" i="18"/>
  <c r="AO155" i="18"/>
  <c r="AM170" i="18"/>
  <c r="AO170" i="18"/>
  <c r="AM113" i="18"/>
  <c r="AO113" i="18"/>
  <c r="AM129" i="18"/>
  <c r="AO129" i="18"/>
  <c r="AM171" i="18"/>
  <c r="AO171" i="18"/>
  <c r="AI135" i="18"/>
  <c r="AI136" i="18"/>
  <c r="AH225" i="18"/>
  <c r="AH226" i="18" s="1"/>
  <c r="AH223" i="18"/>
  <c r="AH230" i="18"/>
  <c r="AH231" i="18" s="1"/>
  <c r="AH228" i="18"/>
  <c r="AI215" i="18"/>
  <c r="AI224" i="18"/>
  <c r="AI229" i="18"/>
  <c r="AI118" i="18"/>
  <c r="AI124" i="18" s="1"/>
  <c r="AI72" i="18"/>
  <c r="AI114" i="18" s="1"/>
  <c r="AM116" i="18"/>
  <c r="AL122" i="18"/>
  <c r="AI138" i="18"/>
  <c r="AI164" i="18"/>
  <c r="AI163" i="18"/>
  <c r="AI119" i="18"/>
  <c r="AI125" i="18" s="1"/>
  <c r="AI159" i="18"/>
  <c r="AI112" i="18"/>
  <c r="AI139" i="18"/>
  <c r="AI140" i="18"/>
  <c r="AD194" i="18"/>
  <c r="AB194" i="18" s="1"/>
  <c r="AJ13" i="18"/>
  <c r="AJ12" i="18"/>
  <c r="AJ15" i="18"/>
  <c r="AJ158" i="18" s="1"/>
  <c r="AJ10" i="18"/>
  <c r="AJ16" i="18"/>
  <c r="AJ166" i="18" s="1"/>
  <c r="AJ167" i="18" s="1"/>
  <c r="AJ6" i="18"/>
  <c r="AJ7" i="18"/>
  <c r="AJ59" i="18"/>
  <c r="AJ134" i="18" s="1"/>
  <c r="AI111" i="18"/>
  <c r="AI110" i="18"/>
  <c r="AJ205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AM122" i="18" l="1"/>
  <c r="AO122" i="18"/>
  <c r="AJ136" i="18"/>
  <c r="AJ135" i="18"/>
  <c r="AI230" i="18"/>
  <c r="AI231" i="18" s="1"/>
  <c r="AI228" i="18"/>
  <c r="AI225" i="18"/>
  <c r="AI226" i="18" s="1"/>
  <c r="AI223" i="18"/>
  <c r="AJ215" i="18"/>
  <c r="AJ229" i="18"/>
  <c r="AJ224" i="18"/>
  <c r="AJ118" i="18"/>
  <c r="AJ124" i="18" s="1"/>
  <c r="AJ72" i="18"/>
  <c r="AJ114" i="18" s="1"/>
  <c r="AJ138" i="18"/>
  <c r="AJ119" i="18"/>
  <c r="AJ125" i="18" s="1"/>
  <c r="AJ159" i="18"/>
  <c r="AJ163" i="18"/>
  <c r="AJ164" i="18"/>
  <c r="AJ112" i="18"/>
  <c r="AJ139" i="18"/>
  <c r="AJ140" i="18"/>
  <c r="AK12" i="18"/>
  <c r="AK15" i="18"/>
  <c r="AK158" i="18" s="1"/>
  <c r="AK13" i="18"/>
  <c r="AK10" i="18"/>
  <c r="AK16" i="18"/>
  <c r="AK166" i="18" s="1"/>
  <c r="AK167" i="18" s="1"/>
  <c r="AK7" i="18"/>
  <c r="AK6" i="18"/>
  <c r="AK59" i="18"/>
  <c r="AK134" i="18" s="1"/>
  <c r="AJ110" i="18"/>
  <c r="AJ111" i="18"/>
  <c r="AK205" i="18"/>
  <c r="N34" i="11"/>
  <c r="O33" i="11"/>
  <c r="AK136" i="18" l="1"/>
  <c r="AK135" i="18"/>
  <c r="AJ225" i="18"/>
  <c r="AJ226" i="18" s="1"/>
  <c r="AJ223" i="18"/>
  <c r="AJ230" i="18"/>
  <c r="AJ231" i="18" s="1"/>
  <c r="AJ228" i="18"/>
  <c r="AK215" i="18"/>
  <c r="AK229" i="18"/>
  <c r="AK224" i="18"/>
  <c r="AK118" i="18"/>
  <c r="AK124" i="18" s="1"/>
  <c r="AK72" i="18"/>
  <c r="AK114" i="18" s="1"/>
  <c r="AK138" i="18"/>
  <c r="AK112" i="18"/>
  <c r="AK163" i="18"/>
  <c r="AK164" i="18"/>
  <c r="AK119" i="18"/>
  <c r="AK125" i="18" s="1"/>
  <c r="AK159" i="18"/>
  <c r="AK139" i="18"/>
  <c r="AK140" i="18"/>
  <c r="AL15" i="18"/>
  <c r="AL13" i="18"/>
  <c r="AL12" i="18"/>
  <c r="AL10" i="18"/>
  <c r="AL16" i="18"/>
  <c r="AL6" i="18"/>
  <c r="AO6" i="18" s="1"/>
  <c r="AL7" i="18"/>
  <c r="AL59" i="18"/>
  <c r="AK111" i="18"/>
  <c r="AK110" i="18"/>
  <c r="AL205" i="18"/>
  <c r="N35" i="11"/>
  <c r="O34" i="11"/>
  <c r="AO7" i="18" l="1"/>
  <c r="AM7" i="18"/>
  <c r="AO16" i="18"/>
  <c r="AM16" i="18"/>
  <c r="AL159" i="18"/>
  <c r="AO12" i="18"/>
  <c r="AM12" i="18"/>
  <c r="AO15" i="18"/>
  <c r="AM15" i="18"/>
  <c r="AL134" i="18"/>
  <c r="AO59" i="18"/>
  <c r="AM59" i="18"/>
  <c r="AM6" i="18"/>
  <c r="AO10" i="18"/>
  <c r="AM10" i="18"/>
  <c r="AO13" i="18"/>
  <c r="AM13" i="18"/>
  <c r="AL136" i="18"/>
  <c r="AL135" i="18"/>
  <c r="AK225" i="18"/>
  <c r="AK226" i="18" s="1"/>
  <c r="AK223" i="18"/>
  <c r="AK230" i="18"/>
  <c r="AK231" i="18" s="1"/>
  <c r="AK228" i="18"/>
  <c r="AL215" i="18"/>
  <c r="AM215" i="18" s="1"/>
  <c r="AO215" i="18" s="1"/>
  <c r="AO230" i="18" s="1"/>
  <c r="AL229" i="18"/>
  <c r="AL228" i="18" s="1"/>
  <c r="AM228" i="18" s="1"/>
  <c r="AL224" i="18"/>
  <c r="AL223" i="18" s="1"/>
  <c r="AM223" i="18" s="1"/>
  <c r="AL118" i="18"/>
  <c r="AL72" i="18"/>
  <c r="AO72" i="18" s="1"/>
  <c r="AL138" i="18"/>
  <c r="AL166" i="18"/>
  <c r="AO166" i="18" s="1"/>
  <c r="AL164" i="18"/>
  <c r="AL163" i="18"/>
  <c r="AL158" i="18"/>
  <c r="AL112" i="18"/>
  <c r="AL119" i="18"/>
  <c r="AO119" i="18" s="1"/>
  <c r="AL139" i="18"/>
  <c r="AL140" i="18"/>
  <c r="AC188" i="18"/>
  <c r="AL111" i="18"/>
  <c r="AL110" i="18"/>
  <c r="AM205" i="18"/>
  <c r="AO205" i="18" s="1"/>
  <c r="N36" i="11"/>
  <c r="O35" i="11"/>
  <c r="AM164" i="18" l="1"/>
  <c r="AO164" i="18"/>
  <c r="AM134" i="18"/>
  <c r="AO134" i="18"/>
  <c r="AM110" i="18"/>
  <c r="AO110" i="18"/>
  <c r="AM139" i="18"/>
  <c r="AO139" i="18"/>
  <c r="AM112" i="18"/>
  <c r="AO112" i="18"/>
  <c r="AM163" i="18"/>
  <c r="AO163" i="18"/>
  <c r="AM136" i="18"/>
  <c r="AO136" i="18"/>
  <c r="AM159" i="18"/>
  <c r="AO159" i="18"/>
  <c r="AM111" i="18"/>
  <c r="AO111" i="18"/>
  <c r="AM140" i="18"/>
  <c r="AO140" i="18"/>
  <c r="AM158" i="18"/>
  <c r="AO158" i="18"/>
  <c r="AM138" i="18"/>
  <c r="AO138" i="18"/>
  <c r="AL124" i="18"/>
  <c r="AO118" i="18"/>
  <c r="AM135" i="18"/>
  <c r="AO135" i="18"/>
  <c r="AL225" i="18"/>
  <c r="AM224" i="18"/>
  <c r="AM229" i="18"/>
  <c r="AL230" i="18"/>
  <c r="AM72" i="18"/>
  <c r="AM118" i="18"/>
  <c r="AL114" i="18"/>
  <c r="AM119" i="18"/>
  <c r="AL125" i="18"/>
  <c r="AM166" i="18"/>
  <c r="AL167" i="18"/>
  <c r="AD188" i="18"/>
  <c r="AD189" i="18" s="1"/>
  <c r="T245" i="18" s="1"/>
  <c r="AC189" i="18"/>
  <c r="U245" i="18" s="1"/>
  <c r="N37" i="11"/>
  <c r="O36" i="11"/>
  <c r="AM167" i="18" l="1"/>
  <c r="AO167" i="18"/>
  <c r="AM125" i="18"/>
  <c r="AO125" i="18"/>
  <c r="AM114" i="18"/>
  <c r="AO114" i="18"/>
  <c r="AM124" i="18"/>
  <c r="AO124" i="18"/>
  <c r="AM225" i="18"/>
  <c r="AL226" i="18"/>
  <c r="AM226" i="18" s="1"/>
  <c r="AL231" i="18"/>
  <c r="AM231" i="18" s="1"/>
  <c r="AM230" i="18"/>
  <c r="AB188" i="18"/>
  <c r="AB189" i="18"/>
  <c r="N38" i="11"/>
  <c r="O37" i="11"/>
  <c r="P245" i="18" l="1"/>
  <c r="N39" i="11"/>
  <c r="O38" i="11"/>
  <c r="N40" i="11" l="1"/>
  <c r="O39" i="11"/>
  <c r="N41" i="11" l="1"/>
  <c r="O40" i="11"/>
  <c r="N42" i="11" l="1"/>
  <c r="O41" i="11"/>
  <c r="AC216" i="18"/>
  <c r="AC238" i="18" s="1"/>
  <c r="AC97" i="18"/>
  <c r="AC78" i="18"/>
  <c r="AC83" i="18"/>
  <c r="AC104" i="18"/>
  <c r="AC106" i="18"/>
  <c r="AC99" i="18"/>
  <c r="AC96" i="18"/>
  <c r="AC82" i="18"/>
  <c r="AC77" i="18"/>
  <c r="AC71" i="18"/>
  <c r="AC89" i="18"/>
  <c r="AC103" i="18"/>
  <c r="AC87" i="18"/>
  <c r="AC80" i="18"/>
  <c r="AC98" i="18"/>
  <c r="AC100" i="18"/>
  <c r="AC84" i="18"/>
  <c r="AC213" i="18" s="1"/>
  <c r="AC70" i="18"/>
  <c r="AC206" i="18" s="1"/>
  <c r="AC75" i="18"/>
  <c r="AC209" i="18" s="1"/>
  <c r="AC90" i="18"/>
  <c r="AC212" i="18" s="1"/>
  <c r="AC102" i="18"/>
  <c r="AC168" i="18" s="1"/>
  <c r="AC74" i="18"/>
  <c r="AC208" i="18" s="1"/>
  <c r="AC86" i="18"/>
  <c r="AC143" i="18"/>
  <c r="AC144" i="18" s="1"/>
  <c r="AC76" i="18"/>
  <c r="AC218" i="18" s="1"/>
  <c r="AC79" i="18"/>
  <c r="AD61" i="18"/>
  <c r="AC210" i="18" l="1"/>
  <c r="AC234" i="18" s="1"/>
  <c r="AC88" i="18"/>
  <c r="AC211" i="18" s="1"/>
  <c r="AD80" i="18"/>
  <c r="AD103" i="18"/>
  <c r="AD87" i="18"/>
  <c r="AD99" i="18"/>
  <c r="AD83" i="18"/>
  <c r="AD82" i="18"/>
  <c r="AD216" i="18"/>
  <c r="AD238" i="18" s="1"/>
  <c r="AD98" i="18"/>
  <c r="AD78" i="18"/>
  <c r="AD102" i="18"/>
  <c r="AD168" i="18" s="1"/>
  <c r="AD90" i="18"/>
  <c r="AD212" i="18" s="1"/>
  <c r="AD74" i="18"/>
  <c r="AD208" i="18" s="1"/>
  <c r="AD143" i="18"/>
  <c r="AD144" i="18" s="1"/>
  <c r="AD96" i="18"/>
  <c r="AD77" i="18"/>
  <c r="AD106" i="18"/>
  <c r="AD89" i="18"/>
  <c r="AD104" i="18"/>
  <c r="AD97" i="18"/>
  <c r="AD100" i="18"/>
  <c r="AD71" i="18"/>
  <c r="AD79" i="18"/>
  <c r="AD210" i="18" s="1"/>
  <c r="AD234" i="18" s="1"/>
  <c r="AD70" i="18"/>
  <c r="AD206" i="18" s="1"/>
  <c r="AD84" i="18"/>
  <c r="AD213" i="18" s="1"/>
  <c r="AD75" i="18"/>
  <c r="AD209" i="18" s="1"/>
  <c r="AD76" i="18"/>
  <c r="AD218" i="18" s="1"/>
  <c r="AE61" i="18"/>
  <c r="AD86" i="18"/>
  <c r="AC145" i="18"/>
  <c r="AC146" i="18" s="1"/>
  <c r="AC147" i="18"/>
  <c r="AC207" i="18"/>
  <c r="AC233" i="18" l="1"/>
  <c r="AC235" i="18"/>
  <c r="AC236" i="18" s="1"/>
  <c r="AD235" i="18"/>
  <c r="AD236" i="18" s="1"/>
  <c r="AD233" i="18"/>
  <c r="AD88" i="18"/>
  <c r="AD211" i="18" s="1"/>
  <c r="AC220" i="18"/>
  <c r="AC221" i="18" s="1"/>
  <c r="AC219" i="18"/>
  <c r="AE97" i="18"/>
  <c r="AE74" i="18"/>
  <c r="AE208" i="18" s="1"/>
  <c r="AE98" i="18"/>
  <c r="AE99" i="18"/>
  <c r="AE103" i="18"/>
  <c r="AE83" i="18"/>
  <c r="AE80" i="18"/>
  <c r="AE106" i="18"/>
  <c r="AE89" i="18"/>
  <c r="AE87" i="18"/>
  <c r="AE70" i="18"/>
  <c r="AE206" i="18" s="1"/>
  <c r="AE79" i="18"/>
  <c r="AE210" i="18" s="1"/>
  <c r="AE234" i="18" s="1"/>
  <c r="AE75" i="18"/>
  <c r="AE209" i="18" s="1"/>
  <c r="AE78" i="18"/>
  <c r="AE77" i="18"/>
  <c r="AE96" i="18"/>
  <c r="AE100" i="18"/>
  <c r="AE71" i="18"/>
  <c r="AE84" i="18"/>
  <c r="AE213" i="18" s="1"/>
  <c r="AE104" i="18"/>
  <c r="AE82" i="18"/>
  <c r="AE216" i="18"/>
  <c r="AE238" i="18" s="1"/>
  <c r="AE102" i="18"/>
  <c r="AE168" i="18" s="1"/>
  <c r="AE90" i="18"/>
  <c r="AE212" i="18" s="1"/>
  <c r="AE86" i="18"/>
  <c r="AE143" i="18"/>
  <c r="AE144" i="18" s="1"/>
  <c r="AE76" i="18"/>
  <c r="AE218" i="18" s="1"/>
  <c r="AF61" i="18"/>
  <c r="AD207" i="18"/>
  <c r="AD147" i="18"/>
  <c r="AD145" i="18"/>
  <c r="AD146" i="18" s="1"/>
  <c r="AE235" i="18" l="1"/>
  <c r="AE236" i="18" s="1"/>
  <c r="AE233" i="18"/>
  <c r="AD220" i="18"/>
  <c r="AD221" i="18" s="1"/>
  <c r="AD219" i="18"/>
  <c r="AF97" i="18"/>
  <c r="AF216" i="18"/>
  <c r="AF238" i="18" s="1"/>
  <c r="AF71" i="18"/>
  <c r="AF98" i="18"/>
  <c r="AF83" i="18"/>
  <c r="AF78" i="18"/>
  <c r="AF82" i="18"/>
  <c r="AF96" i="18"/>
  <c r="AF102" i="18"/>
  <c r="AF168" i="18" s="1"/>
  <c r="AF74" i="18"/>
  <c r="AF208" i="18" s="1"/>
  <c r="AF75" i="18"/>
  <c r="AF209" i="18" s="1"/>
  <c r="AF90" i="18"/>
  <c r="AF212" i="18" s="1"/>
  <c r="AF106" i="18"/>
  <c r="AF77" i="18"/>
  <c r="AF100" i="18"/>
  <c r="AF104" i="18"/>
  <c r="AF103" i="18"/>
  <c r="AF80" i="18"/>
  <c r="AF99" i="18"/>
  <c r="AF89" i="18"/>
  <c r="AF87" i="18"/>
  <c r="AF84" i="18"/>
  <c r="AF213" i="18" s="1"/>
  <c r="AF70" i="18"/>
  <c r="AF206" i="18" s="1"/>
  <c r="AF143" i="18"/>
  <c r="AF144" i="18" s="1"/>
  <c r="AF76" i="18"/>
  <c r="AF218" i="18" s="1"/>
  <c r="AF79" i="18"/>
  <c r="AF210" i="18" s="1"/>
  <c r="AF234" i="18" s="1"/>
  <c r="AG61" i="18"/>
  <c r="AF86" i="18"/>
  <c r="AE207" i="18"/>
  <c r="AE145" i="18"/>
  <c r="AE146" i="18" s="1"/>
  <c r="AE147" i="18"/>
  <c r="AE88" i="18"/>
  <c r="AE211" i="18" s="1"/>
  <c r="AF235" i="18" l="1"/>
  <c r="AF236" i="18" s="1"/>
  <c r="AF233" i="18"/>
  <c r="AE220" i="18"/>
  <c r="AE221" i="18" s="1"/>
  <c r="AE219" i="18"/>
  <c r="AF207" i="18"/>
  <c r="AF88" i="18"/>
  <c r="AF211" i="18" s="1"/>
  <c r="AF147" i="18"/>
  <c r="AF145" i="18"/>
  <c r="AF146" i="18" s="1"/>
  <c r="AG77" i="18"/>
  <c r="AG98" i="18"/>
  <c r="AG87" i="18"/>
  <c r="AG97" i="18"/>
  <c r="AG96" i="18"/>
  <c r="AG82" i="18"/>
  <c r="AG71" i="18"/>
  <c r="AG80" i="18"/>
  <c r="AG79" i="18"/>
  <c r="AG210" i="18" s="1"/>
  <c r="AG234" i="18" s="1"/>
  <c r="AG70" i="18"/>
  <c r="AG206" i="18" s="1"/>
  <c r="AG102" i="18"/>
  <c r="AG168" i="18" s="1"/>
  <c r="AG216" i="18"/>
  <c r="AG238" i="18" s="1"/>
  <c r="AG100" i="18"/>
  <c r="AG78" i="18"/>
  <c r="AG106" i="18"/>
  <c r="AG99" i="18"/>
  <c r="AG83" i="18"/>
  <c r="AG89" i="18"/>
  <c r="AG103" i="18"/>
  <c r="AG104" i="18"/>
  <c r="AG74" i="18"/>
  <c r="AG208" i="18" s="1"/>
  <c r="AG75" i="18"/>
  <c r="AG209" i="18" s="1"/>
  <c r="AG90" i="18"/>
  <c r="AG212" i="18" s="1"/>
  <c r="AG84" i="18"/>
  <c r="AG213" i="18" s="1"/>
  <c r="AG86" i="18"/>
  <c r="AG76" i="18"/>
  <c r="AG218" i="18" s="1"/>
  <c r="AG143" i="18"/>
  <c r="AG144" i="18" s="1"/>
  <c r="AH61" i="18"/>
  <c r="AG235" i="18" l="1"/>
  <c r="AG236" i="18" s="1"/>
  <c r="AG233" i="18"/>
  <c r="AG88" i="18"/>
  <c r="AG211" i="18" s="1"/>
  <c r="AF220" i="18"/>
  <c r="AF221" i="18" s="1"/>
  <c r="AF219" i="18"/>
  <c r="AH77" i="18"/>
  <c r="AH80" i="18"/>
  <c r="AH82" i="18"/>
  <c r="AH71" i="18"/>
  <c r="AH84" i="18"/>
  <c r="AH213" i="18" s="1"/>
  <c r="AH96" i="18"/>
  <c r="AH89" i="18"/>
  <c r="AH97" i="18"/>
  <c r="AH87" i="18"/>
  <c r="AH75" i="18"/>
  <c r="AH209" i="18" s="1"/>
  <c r="AH70" i="18"/>
  <c r="AH206" i="18" s="1"/>
  <c r="AH79" i="18"/>
  <c r="AH210" i="18" s="1"/>
  <c r="AH234" i="18" s="1"/>
  <c r="AH99" i="18"/>
  <c r="AH98" i="18"/>
  <c r="AH78" i="18"/>
  <c r="AH104" i="18"/>
  <c r="AH90" i="18"/>
  <c r="AH212" i="18" s="1"/>
  <c r="AH106" i="18"/>
  <c r="AH216" i="18"/>
  <c r="AH103" i="18"/>
  <c r="AH100" i="18"/>
  <c r="AH83" i="18"/>
  <c r="AH102" i="18"/>
  <c r="AH168" i="18" s="1"/>
  <c r="AH74" i="18"/>
  <c r="AH208" i="18" s="1"/>
  <c r="AI61" i="18"/>
  <c r="AH143" i="18"/>
  <c r="AH144" i="18" s="1"/>
  <c r="AH86" i="18"/>
  <c r="AH76" i="18"/>
  <c r="AH218" i="18" s="1"/>
  <c r="AG145" i="18"/>
  <c r="AG146" i="18" s="1"/>
  <c r="AG147" i="18"/>
  <c r="AG207" i="18"/>
  <c r="AH235" i="18" l="1"/>
  <c r="AH236" i="18" s="1"/>
  <c r="AH233" i="18"/>
  <c r="AG220" i="18"/>
  <c r="AG221" i="18" s="1"/>
  <c r="AG219" i="18"/>
  <c r="AH88" i="18"/>
  <c r="AH211" i="18" s="1"/>
  <c r="AI96" i="18"/>
  <c r="AI83" i="18"/>
  <c r="AI216" i="18"/>
  <c r="AI82" i="18"/>
  <c r="AI84" i="18"/>
  <c r="AI213" i="18" s="1"/>
  <c r="AI99" i="18"/>
  <c r="AI71" i="18"/>
  <c r="AI87" i="18"/>
  <c r="AI104" i="18"/>
  <c r="AI102" i="18"/>
  <c r="AI168" i="18" s="1"/>
  <c r="AI70" i="18"/>
  <c r="AI206" i="18" s="1"/>
  <c r="AI103" i="18"/>
  <c r="AI78" i="18"/>
  <c r="AI80" i="18"/>
  <c r="AI100" i="18"/>
  <c r="AI90" i="18"/>
  <c r="AI212" i="18" s="1"/>
  <c r="AI77" i="18"/>
  <c r="AI106" i="18"/>
  <c r="AI98" i="18"/>
  <c r="AI97" i="18"/>
  <c r="AI89" i="18"/>
  <c r="AI74" i="18"/>
  <c r="AI208" i="18" s="1"/>
  <c r="AI75" i="18"/>
  <c r="AI209" i="18" s="1"/>
  <c r="AI79" i="18"/>
  <c r="AI210" i="18" s="1"/>
  <c r="AI234" i="18" s="1"/>
  <c r="AI143" i="18"/>
  <c r="AI144" i="18" s="1"/>
  <c r="AI76" i="18"/>
  <c r="AI218" i="18" s="1"/>
  <c r="AI86" i="18"/>
  <c r="AJ61" i="18"/>
  <c r="AH207" i="18"/>
  <c r="AH145" i="18"/>
  <c r="AH146" i="18" s="1"/>
  <c r="AH147" i="18"/>
  <c r="AI235" i="18" l="1"/>
  <c r="AI236" i="18" s="1"/>
  <c r="AI233" i="18"/>
  <c r="AH220" i="18"/>
  <c r="AH221" i="18" s="1"/>
  <c r="AH219" i="18"/>
  <c r="AI88" i="18"/>
  <c r="AI211" i="18" s="1"/>
  <c r="AI147" i="18"/>
  <c r="AI145" i="18"/>
  <c r="AI146" i="18" s="1"/>
  <c r="AJ96" i="18"/>
  <c r="AJ98" i="18"/>
  <c r="AJ80" i="18"/>
  <c r="AJ100" i="18"/>
  <c r="AJ70" i="18"/>
  <c r="AJ206" i="18" s="1"/>
  <c r="AJ78" i="18"/>
  <c r="AJ87" i="18"/>
  <c r="AJ104" i="18"/>
  <c r="AJ99" i="18"/>
  <c r="AJ74" i="18"/>
  <c r="AJ208" i="18" s="1"/>
  <c r="AJ84" i="18"/>
  <c r="AJ213" i="18" s="1"/>
  <c r="AJ89" i="18"/>
  <c r="AJ83" i="18"/>
  <c r="AJ216" i="18"/>
  <c r="AJ103" i="18"/>
  <c r="AJ106" i="18"/>
  <c r="AJ97" i="18"/>
  <c r="AJ71" i="18"/>
  <c r="AJ77" i="18"/>
  <c r="AJ82" i="18"/>
  <c r="AJ75" i="18"/>
  <c r="AJ209" i="18" s="1"/>
  <c r="AJ90" i="18"/>
  <c r="AJ212" i="18" s="1"/>
  <c r="AJ102" i="18"/>
  <c r="AJ168" i="18" s="1"/>
  <c r="AJ79" i="18"/>
  <c r="AJ210" i="18" s="1"/>
  <c r="AJ234" i="18" s="1"/>
  <c r="AJ143" i="18"/>
  <c r="AJ144" i="18" s="1"/>
  <c r="AJ86" i="18"/>
  <c r="AJ76" i="18"/>
  <c r="AJ218" i="18" s="1"/>
  <c r="AK61" i="18"/>
  <c r="AI207" i="18"/>
  <c r="AJ235" i="18" l="1"/>
  <c r="AJ236" i="18" s="1"/>
  <c r="AJ233" i="18"/>
  <c r="AI220" i="18"/>
  <c r="AI221" i="18" s="1"/>
  <c r="AI219" i="18"/>
  <c r="AJ207" i="18"/>
  <c r="AJ88" i="18"/>
  <c r="AJ211" i="18" s="1"/>
  <c r="AJ145" i="18"/>
  <c r="AJ146" i="18" s="1"/>
  <c r="AJ147" i="18"/>
  <c r="AK83" i="18"/>
  <c r="AK96" i="18"/>
  <c r="AK87" i="18"/>
  <c r="AK77" i="18"/>
  <c r="AK102" i="18"/>
  <c r="AK168" i="18" s="1"/>
  <c r="AK104" i="18"/>
  <c r="AK97" i="18"/>
  <c r="AK103" i="18"/>
  <c r="AK80" i="18"/>
  <c r="AK70" i="18"/>
  <c r="AK206" i="18" s="1"/>
  <c r="AK90" i="18"/>
  <c r="AK212" i="18" s="1"/>
  <c r="AK100" i="18"/>
  <c r="AK75" i="18"/>
  <c r="AK209" i="18" s="1"/>
  <c r="AK106" i="18"/>
  <c r="AK98" i="18"/>
  <c r="AK99" i="18"/>
  <c r="AK89" i="18"/>
  <c r="AK82" i="18"/>
  <c r="AK71" i="18"/>
  <c r="AK216" i="18"/>
  <c r="AK78" i="18"/>
  <c r="AK74" i="18"/>
  <c r="AK208" i="18" s="1"/>
  <c r="AK84" i="18"/>
  <c r="AK213" i="18" s="1"/>
  <c r="AK79" i="18"/>
  <c r="AK210" i="18" s="1"/>
  <c r="AK234" i="18" s="1"/>
  <c r="AK143" i="18"/>
  <c r="AK144" i="18" s="1"/>
  <c r="AK76" i="18"/>
  <c r="AK218" i="18" s="1"/>
  <c r="AL61" i="18"/>
  <c r="AK86" i="18"/>
  <c r="AO61" i="18" l="1"/>
  <c r="AM61" i="18"/>
  <c r="AK235" i="18"/>
  <c r="AK236" i="18" s="1"/>
  <c r="AK233" i="18"/>
  <c r="AJ220" i="18"/>
  <c r="AJ221" i="18" s="1"/>
  <c r="AJ219" i="18"/>
  <c r="AK88" i="18"/>
  <c r="AK211" i="18" s="1"/>
  <c r="AK207" i="18"/>
  <c r="AL216" i="18"/>
  <c r="AL103" i="18"/>
  <c r="AO103" i="18" s="1"/>
  <c r="AL104" i="18"/>
  <c r="AO104" i="18" s="1"/>
  <c r="AL71" i="18"/>
  <c r="AO71" i="18" s="1"/>
  <c r="AL77" i="18"/>
  <c r="AO77" i="18" s="1"/>
  <c r="AL106" i="18"/>
  <c r="AL102" i="18"/>
  <c r="AO102" i="18" s="1"/>
  <c r="AL74" i="18"/>
  <c r="AO74" i="18" s="1"/>
  <c r="AL70" i="18"/>
  <c r="AO70" i="18" s="1"/>
  <c r="AL75" i="18"/>
  <c r="AO75" i="18" s="1"/>
  <c r="AL79" i="18"/>
  <c r="AO79" i="18" s="1"/>
  <c r="AL89" i="18"/>
  <c r="AO89" i="18" s="1"/>
  <c r="AL76" i="18"/>
  <c r="AL90" i="18"/>
  <c r="AO90" i="18" s="1"/>
  <c r="AL97" i="18"/>
  <c r="AO97" i="18" s="1"/>
  <c r="AL99" i="18"/>
  <c r="AO99" i="18" s="1"/>
  <c r="AL84" i="18"/>
  <c r="AO84" i="18" s="1"/>
  <c r="AL86" i="18"/>
  <c r="AO86" i="18" s="1"/>
  <c r="AL82" i="18"/>
  <c r="AO82" i="18" s="1"/>
  <c r="AL87" i="18"/>
  <c r="AO87" i="18" s="1"/>
  <c r="AL98" i="18"/>
  <c r="AO98" i="18" s="1"/>
  <c r="AL96" i="18"/>
  <c r="AO96" i="18" s="1"/>
  <c r="AL80" i="18"/>
  <c r="AO80" i="18" s="1"/>
  <c r="AL100" i="18"/>
  <c r="AO100" i="18" s="1"/>
  <c r="AL143" i="18"/>
  <c r="AO143" i="18" s="1"/>
  <c r="AL78" i="18"/>
  <c r="AO78" i="18" s="1"/>
  <c r="AL83" i="18"/>
  <c r="AO83" i="18" s="1"/>
  <c r="AK147" i="18"/>
  <c r="AK145" i="18"/>
  <c r="AK146" i="18" s="1"/>
  <c r="AO106" i="18" l="1"/>
  <c r="AM106" i="18"/>
  <c r="AL218" i="18"/>
  <c r="AO76" i="18"/>
  <c r="AD175" i="18" s="1"/>
  <c r="T247" i="18" s="1"/>
  <c r="AK220" i="18"/>
  <c r="AK221" i="18" s="1"/>
  <c r="AK219" i="18"/>
  <c r="AL144" i="18"/>
  <c r="AO144" i="18" s="1"/>
  <c r="AM143" i="18"/>
  <c r="AM98" i="18"/>
  <c r="AC198" i="18"/>
  <c r="AD198" i="18"/>
  <c r="AD183" i="18"/>
  <c r="T243" i="18" s="1"/>
  <c r="AL213" i="18"/>
  <c r="AM84" i="18"/>
  <c r="AC183" i="18"/>
  <c r="U243" i="18" s="1"/>
  <c r="AM76" i="18"/>
  <c r="AC175" i="18"/>
  <c r="AL207" i="18"/>
  <c r="AL219" i="18" s="1"/>
  <c r="AM219" i="18" s="1"/>
  <c r="AM70" i="18"/>
  <c r="AL206" i="18"/>
  <c r="AM104" i="18"/>
  <c r="AC202" i="18"/>
  <c r="U246" i="18" s="1"/>
  <c r="AD202" i="18"/>
  <c r="T246" i="18" s="1"/>
  <c r="AM100" i="18"/>
  <c r="AM87" i="18"/>
  <c r="AD199" i="18"/>
  <c r="AM99" i="18"/>
  <c r="AC199" i="18"/>
  <c r="AM89" i="18"/>
  <c r="AC185" i="18"/>
  <c r="AD185" i="18"/>
  <c r="AM74" i="18"/>
  <c r="AL208" i="18"/>
  <c r="AM77" i="18"/>
  <c r="AM103" i="18"/>
  <c r="AM83" i="18"/>
  <c r="AD182" i="18"/>
  <c r="AC182" i="18"/>
  <c r="AM80" i="18"/>
  <c r="AC178" i="18"/>
  <c r="AD178" i="18"/>
  <c r="AC181" i="18"/>
  <c r="AM82" i="18"/>
  <c r="AD181" i="18"/>
  <c r="AM97" i="18"/>
  <c r="AC197" i="18"/>
  <c r="AD197" i="18"/>
  <c r="AM79" i="18"/>
  <c r="AD177" i="18"/>
  <c r="AL210" i="18"/>
  <c r="AL234" i="18" s="1"/>
  <c r="AC177" i="18"/>
  <c r="AM102" i="18"/>
  <c r="AL168" i="18"/>
  <c r="AM216" i="18"/>
  <c r="AO216" i="18" s="1"/>
  <c r="AO231" i="18" s="1"/>
  <c r="AC176" i="18"/>
  <c r="U244" i="18" s="1"/>
  <c r="AD176" i="18"/>
  <c r="T244" i="18" s="1"/>
  <c r="AM78" i="18"/>
  <c r="AM96" i="18"/>
  <c r="AC196" i="18"/>
  <c r="AD196" i="18"/>
  <c r="AM86" i="18"/>
  <c r="AD179" i="18"/>
  <c r="AC179" i="18"/>
  <c r="AL88" i="18"/>
  <c r="AO88" i="18" s="1"/>
  <c r="AM90" i="18"/>
  <c r="AL212" i="18"/>
  <c r="AC186" i="18"/>
  <c r="AD186" i="18"/>
  <c r="AM75" i="18"/>
  <c r="AL209" i="18"/>
  <c r="AM71" i="18"/>
  <c r="W234" i="18" l="1"/>
  <c r="Y234" i="18"/>
  <c r="W235" i="18"/>
  <c r="W236" i="18" s="1"/>
  <c r="W233" i="18"/>
  <c r="Z234" i="18"/>
  <c r="X234" i="18"/>
  <c r="R234" i="18"/>
  <c r="V234" i="18"/>
  <c r="S234" i="18"/>
  <c r="T234" i="18"/>
  <c r="U234" i="18"/>
  <c r="AM168" i="18"/>
  <c r="AO168" i="18"/>
  <c r="U247" i="18"/>
  <c r="U248" i="18" s="1"/>
  <c r="G234" i="18"/>
  <c r="G235" i="18" s="1"/>
  <c r="G236" i="18" s="1"/>
  <c r="AL235" i="18"/>
  <c r="AL236" i="18" s="1"/>
  <c r="AL233" i="18"/>
  <c r="I234" i="18"/>
  <c r="K234" i="18"/>
  <c r="M234" i="18"/>
  <c r="O234" i="18"/>
  <c r="Q234" i="18"/>
  <c r="H234" i="18"/>
  <c r="J234" i="18"/>
  <c r="L234" i="18"/>
  <c r="N234" i="18"/>
  <c r="P234" i="18"/>
  <c r="AB179" i="18"/>
  <c r="AD200" i="18"/>
  <c r="AM218" i="18"/>
  <c r="AO218" i="18" s="1"/>
  <c r="AO233" i="18" s="1"/>
  <c r="AB196" i="18"/>
  <c r="AB181" i="18"/>
  <c r="AB177" i="18"/>
  <c r="AB185" i="18"/>
  <c r="AL211" i="18"/>
  <c r="AM88" i="18"/>
  <c r="AM210" i="18"/>
  <c r="AO210" i="18" s="1"/>
  <c r="AC200" i="18"/>
  <c r="AB197" i="18"/>
  <c r="AB182" i="18"/>
  <c r="AB202" i="18"/>
  <c r="AB198" i="18"/>
  <c r="AM209" i="18"/>
  <c r="AO209" i="18" s="1"/>
  <c r="AB186" i="18"/>
  <c r="AB176" i="18"/>
  <c r="AB199" i="18"/>
  <c r="AM213" i="18"/>
  <c r="AO213" i="18" s="1"/>
  <c r="AM212" i="18"/>
  <c r="AO212" i="18" s="1"/>
  <c r="AO226" i="18" s="1"/>
  <c r="AB178" i="18"/>
  <c r="AL220" i="18"/>
  <c r="AM207" i="18"/>
  <c r="AO207" i="18" s="1"/>
  <c r="AO220" i="18" s="1"/>
  <c r="AO235" i="18" s="1"/>
  <c r="AM208" i="18"/>
  <c r="AO208" i="18" s="1"/>
  <c r="AO221" i="18" s="1"/>
  <c r="AO236" i="18" s="1"/>
  <c r="AM206" i="18"/>
  <c r="AO206" i="18" s="1"/>
  <c r="AO219" i="18" s="1"/>
  <c r="AO234" i="18" s="1"/>
  <c r="AB175" i="18"/>
  <c r="T248" i="18" s="1"/>
  <c r="AB183" i="18"/>
  <c r="AL147" i="18"/>
  <c r="AM144" i="18"/>
  <c r="AL145" i="18"/>
  <c r="AO145" i="18" s="1"/>
  <c r="Y233" i="18" l="1"/>
  <c r="Y235" i="18"/>
  <c r="Y236" i="18" s="1"/>
  <c r="X235" i="18"/>
  <c r="X236" i="18" s="1"/>
  <c r="X233" i="18"/>
  <c r="Z233" i="18"/>
  <c r="Z235" i="18"/>
  <c r="Z236" i="18" s="1"/>
  <c r="S233" i="18"/>
  <c r="S235" i="18"/>
  <c r="S236" i="18" s="1"/>
  <c r="U233" i="18"/>
  <c r="U235" i="18"/>
  <c r="U236" i="18" s="1"/>
  <c r="V233" i="18"/>
  <c r="V235" i="18"/>
  <c r="V236" i="18" s="1"/>
  <c r="T233" i="18"/>
  <c r="T235" i="18"/>
  <c r="T236" i="18" s="1"/>
  <c r="R233" i="18"/>
  <c r="R235" i="18"/>
  <c r="R236" i="18" s="1"/>
  <c r="G233" i="18"/>
  <c r="AM147" i="18"/>
  <c r="AO147" i="18"/>
  <c r="AA234" i="18"/>
  <c r="P235" i="18"/>
  <c r="P236" i="18" s="1"/>
  <c r="P233" i="18"/>
  <c r="L235" i="18"/>
  <c r="L236" i="18" s="1"/>
  <c r="L233" i="18"/>
  <c r="H235" i="18"/>
  <c r="H236" i="18" s="1"/>
  <c r="H233" i="18"/>
  <c r="Q235" i="18"/>
  <c r="Q236" i="18" s="1"/>
  <c r="Q233" i="18"/>
  <c r="M235" i="18"/>
  <c r="M236" i="18" s="1"/>
  <c r="M233" i="18"/>
  <c r="I235" i="18"/>
  <c r="I236" i="18" s="1"/>
  <c r="I233" i="18"/>
  <c r="N233" i="18"/>
  <c r="N235" i="18"/>
  <c r="N236" i="18" s="1"/>
  <c r="J233" i="18"/>
  <c r="AM233" i="18" s="1"/>
  <c r="J235" i="18"/>
  <c r="AM234" i="18"/>
  <c r="O235" i="18"/>
  <c r="O236" i="18" s="1"/>
  <c r="O233" i="18"/>
  <c r="K235" i="18"/>
  <c r="K236" i="18" s="1"/>
  <c r="K233" i="18"/>
  <c r="AO224" i="18"/>
  <c r="AO223" i="18"/>
  <c r="AM220" i="18"/>
  <c r="AL221" i="18"/>
  <c r="AM221" i="18" s="1"/>
  <c r="AB200" i="18"/>
  <c r="AM145" i="18"/>
  <c r="AL146" i="18"/>
  <c r="P243" i="18"/>
  <c r="P244" i="18"/>
  <c r="P246" i="18"/>
  <c r="AM211" i="18"/>
  <c r="AO211" i="18" s="1"/>
  <c r="AO225" i="18" s="1"/>
  <c r="AA233" i="18" l="1"/>
  <c r="AM146" i="18"/>
  <c r="AO146" i="18"/>
  <c r="AA236" i="18"/>
  <c r="AA235" i="18"/>
  <c r="J236" i="18"/>
  <c r="AM236" i="18" s="1"/>
  <c r="AM235" i="18"/>
</calcChain>
</file>

<file path=xl/sharedStrings.xml><?xml version="1.0" encoding="utf-8"?>
<sst xmlns="http://schemas.openxmlformats.org/spreadsheetml/2006/main" count="767" uniqueCount="513">
  <si>
    <t>#</t>
  </si>
  <si>
    <t>CAGR</t>
  </si>
  <si>
    <t>Cash and equivalents</t>
  </si>
  <si>
    <t>Total Liabilities</t>
  </si>
  <si>
    <t>in INR Cr</t>
  </si>
  <si>
    <t>Y1</t>
  </si>
  <si>
    <t>Y2</t>
  </si>
  <si>
    <t>Y3</t>
  </si>
  <si>
    <t>Y4</t>
  </si>
  <si>
    <t>Y5</t>
  </si>
  <si>
    <t>Networth (reserves only)</t>
  </si>
  <si>
    <t>Total Current Assets</t>
  </si>
  <si>
    <t>Net Current Assets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</si>
  <si>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</si>
  <si>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</si>
  <si>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</si>
  <si>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</si>
  <si>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</si>
  <si>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</si>
  <si>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</si>
  <si>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</si>
  <si>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</si>
  <si>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</si>
  <si>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</si>
  <si>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</si>
  <si>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</si>
  <si>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</si>
  <si>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</si>
  <si>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</si>
  <si>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</si>
  <si>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</si>
  <si>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</si>
  <si>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</si>
  <si>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</si>
  <si>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</si>
  <si>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</si>
  <si>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</si>
  <si>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</si>
  <si>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</si>
  <si>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</si>
  <si>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</si>
  <si>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</si>
  <si>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</si>
  <si>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</si>
  <si>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</si>
  <si>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</si>
  <si>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</si>
  <si>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</si>
  <si>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</si>
  <si>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</si>
  <si>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</si>
  <si>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</si>
  <si>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</si>
  <si>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</si>
  <si>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</si>
  <si>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</si>
  <si>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</si>
  <si>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</si>
  <si>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</si>
  <si>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</si>
  <si>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</si>
  <si>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</si>
  <si>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</si>
  <si>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</si>
  <si>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</si>
  <si>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</si>
  <si>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</si>
  <si>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</si>
  <si>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</si>
  <si>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</si>
  <si>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</si>
  <si>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</si>
  <si>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</si>
  <si>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</si>
  <si>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</si>
  <si>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</si>
  <si>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</si>
  <si>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</si>
  <si>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</si>
  <si>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</si>
  <si>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</si>
  <si>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</si>
  <si>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</si>
  <si>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</si>
  <si>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</si>
  <si>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</si>
  <si>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</si>
  <si>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</si>
  <si>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</si>
  <si>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</si>
  <si>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</si>
  <si>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</si>
  <si>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</si>
  <si>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</si>
  <si>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</si>
  <si>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</si>
  <si>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</si>
  <si>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</si>
  <si>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</si>
  <si>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</si>
  <si>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</si>
  <si>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</si>
  <si>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</si>
  <si>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</si>
  <si>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</si>
  <si>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</si>
  <si>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</si>
  <si>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</si>
  <si>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</si>
  <si>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</si>
  <si>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</si>
  <si>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</si>
  <si>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</si>
  <si>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</si>
  <si>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</si>
  <si>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</si>
  <si>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</si>
  <si>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</si>
  <si>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</si>
  <si>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</si>
  <si>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</si>
  <si>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</si>
  <si>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</si>
  <si>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</si>
  <si>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</si>
  <si>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</si>
  <si>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</si>
  <si>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</si>
  <si>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</si>
  <si>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</si>
  <si>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</si>
  <si>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</si>
  <si>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</si>
  <si>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</si>
  <si>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</si>
  <si>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</si>
  <si>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</si>
  <si>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</si>
  <si>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</si>
  <si>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</si>
  <si>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</si>
  <si>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</si>
  <si>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</si>
  <si>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</si>
  <si>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</si>
  <si>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</si>
  <si>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</si>
  <si>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</si>
  <si>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</si>
  <si>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</si>
  <si>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</si>
  <si>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</si>
  <si>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</si>
  <si>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</si>
  <si>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</si>
  <si>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</si>
  <si>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</si>
  <si>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</si>
  <si>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</si>
  <si>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</si>
  <si>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</si>
  <si>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</si>
  <si>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</si>
  <si>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</si>
  <si>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</si>
  <si>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</si>
  <si>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</si>
  <si>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</si>
  <si>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</si>
  <si>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</si>
  <si>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</si>
  <si>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</si>
  <si>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</si>
  <si>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</si>
  <si>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</si>
  <si>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</si>
  <si>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</si>
  <si>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</si>
  <si>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</si>
  <si>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</si>
  <si>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</si>
  <si>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</si>
  <si>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</si>
  <si>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</si>
  <si>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</si>
  <si>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</si>
  <si>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</si>
  <si>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</si>
  <si>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</si>
  <si>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</si>
  <si>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</si>
  <si>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Investments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</si>
  <si>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</si>
  <si>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</si>
  <si>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</si>
  <si>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</si>
  <si>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</si>
  <si>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</si>
  <si>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</si>
  <si>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</si>
  <si>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</si>
  <si>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</si>
  <si>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</si>
  <si>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</si>
  <si>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</si>
  <si>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</si>
  <si>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</si>
  <si>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</si>
  <si>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</si>
  <si>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</si>
  <si>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</si>
  <si>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</si>
  <si>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</si>
  <si>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</si>
  <si>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</si>
  <si>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</si>
  <si>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</si>
  <si>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</si>
  <si>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</si>
  <si>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Net Profit Margin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</si>
  <si>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</si>
  <si>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</si>
  <si>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</si>
  <si>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</si>
  <si>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</si>
  <si>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</si>
  <si>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</si>
  <si>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</si>
  <si>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</si>
  <si>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</si>
  <si>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</si>
  <si>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</si>
  <si>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</si>
  <si>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</si>
  <si>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</si>
  <si>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</si>
  <si>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</si>
  <si>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</si>
  <si>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</si>
  <si>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</si>
  <si>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</si>
  <si>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</si>
  <si>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</si>
  <si>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</si>
  <si>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</si>
  <si>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</si>
  <si>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</si>
  <si>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</si>
  <si>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</si>
  <si>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</si>
  <si>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</si>
  <si>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</si>
  <si>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</si>
  <si>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</si>
  <si>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</si>
  <si>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</si>
  <si>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</si>
  <si>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</si>
  <si>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</si>
  <si>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</si>
  <si>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</si>
  <si>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</si>
  <si>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</si>
  <si>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</si>
  <si>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</si>
  <si>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</si>
  <si>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</si>
  <si>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</si>
  <si>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</si>
  <si>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</si>
  <si>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</si>
  <si>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</si>
  <si>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</si>
  <si>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</si>
  <si>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</si>
  <si>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</si>
  <si>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</si>
  <si>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</si>
  <si>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</si>
  <si>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</si>
  <si>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</si>
  <si>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</si>
  <si>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Desc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</si>
  <si>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</si>
  <si>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</si>
  <si>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</si>
  <si>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</si>
  <si>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</si>
  <si>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</si>
  <si>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</si>
  <si>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</si>
  <si>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</si>
  <si>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</si>
  <si>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</si>
  <si>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</si>
  <si>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</si>
  <si>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</si>
  <si>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</si>
  <si>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</si>
  <si>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</si>
  <si>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</si>
  <si>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</si>
  <si>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</si>
  <si>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</si>
  <si>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</si>
  <si>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</si>
  <si>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</si>
  <si>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</si>
  <si>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</si>
  <si>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</si>
  <si>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</si>
  <si>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</si>
  <si>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</si>
  <si>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</si>
  <si>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</si>
  <si>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</si>
  <si>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</si>
  <si>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</si>
  <si>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</si>
  <si>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</si>
  <si>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</si>
  <si>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</si>
  <si>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</si>
  <si>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</si>
  <si>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</si>
  <si>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</si>
  <si>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</si>
  <si>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</si>
  <si>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</si>
  <si>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</si>
  <si>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</si>
  <si>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</si>
  <si>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</si>
  <si>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</si>
  <si>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</si>
  <si>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</si>
  <si>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</si>
  <si>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</si>
  <si>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</si>
  <si>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</si>
  <si>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</si>
  <si>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</si>
  <si>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</si>
  <si>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</si>
  <si>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</si>
  <si>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</si>
  <si>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</si>
  <si>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</si>
  <si>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</si>
  <si>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</si>
  <si>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</si>
  <si>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</si>
  <si>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</si>
  <si>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</si>
  <si>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</si>
  <si>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</si>
  <si>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</si>
  <si>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</si>
  <si>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</si>
  <si>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</si>
  <si>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</si>
  <si>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</si>
  <si>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</si>
  <si>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</si>
  <si>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</si>
  <si>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</si>
  <si>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</si>
  <si>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</si>
  <si>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</si>
  <si>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</si>
  <si>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</si>
  <si>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</si>
  <si>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</si>
  <si>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</si>
  <si>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</si>
  <si>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</si>
  <si>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</si>
  <si>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</si>
  <si>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</si>
  <si>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</si>
  <si>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</si>
  <si>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</si>
  <si>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</si>
  <si>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</si>
  <si>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</si>
  <si>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</si>
  <si>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</si>
  <si>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</si>
  <si>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Worst</t>
  </si>
  <si>
    <t>Pessimistic</t>
  </si>
  <si>
    <t>Expected</t>
  </si>
  <si>
    <t>Optimistic</t>
  </si>
  <si>
    <t>Dividend Paid from Operations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</si>
  <si>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</si>
  <si>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</si>
  <si>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</si>
  <si>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</si>
  <si>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</si>
  <si>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</si>
  <si>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</si>
  <si>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</si>
  <si>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</si>
  <si>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</si>
  <si>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</si>
  <si>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</si>
  <si>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</si>
  <si>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</si>
  <si>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</si>
  <si>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</si>
  <si>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Avg 5 yrs</t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</si>
  <si>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</si>
  <si>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</si>
  <si>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</si>
  <si>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</si>
  <si>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</si>
  <si>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</si>
  <si>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</si>
  <si>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</si>
  <si>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</si>
  <si>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</si>
  <si>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</si>
  <si>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</si>
  <si>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</si>
  <si>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</si>
  <si>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</si>
  <si>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</si>
  <si>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</si>
  <si>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</si>
  <si>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</si>
  <si>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Operating profit per share</t>
  </si>
  <si>
    <t>Net Profit per share</t>
  </si>
  <si>
    <t>PEG (Preferred less than 1; Greater than 1 means costly)</t>
  </si>
  <si>
    <t>Discount/Prem to PEG (-ve means Discount, Positive means Premium)</t>
  </si>
  <si>
    <t>Discount/Prem to PEG (avg) - (-ve means Discount, Positive means Premium)</t>
  </si>
  <si>
    <t>Present Value with single cash flow</t>
  </si>
  <si>
    <t>Future Value with Single cash flow</t>
  </si>
  <si>
    <t>Vix</t>
  </si>
  <si>
    <t>Dad</t>
  </si>
  <si>
    <t>Future value</t>
  </si>
  <si>
    <t>Present Value</t>
  </si>
  <si>
    <t>Script</t>
  </si>
  <si>
    <t>Change</t>
  </si>
  <si>
    <t>Rank</t>
  </si>
  <si>
    <t>TO</t>
  </si>
  <si>
    <t>Status</t>
  </si>
  <si>
    <t>Interest rate</t>
  </si>
  <si>
    <t>Canara Bank</t>
  </si>
  <si>
    <t>No. of yrs</t>
  </si>
  <si>
    <t>PNB</t>
  </si>
  <si>
    <t>ok</t>
  </si>
  <si>
    <t>Praj</t>
  </si>
  <si>
    <t>CIL</t>
  </si>
  <si>
    <t>Future Value</t>
  </si>
  <si>
    <t>ITC</t>
  </si>
  <si>
    <t>Diff in value</t>
  </si>
  <si>
    <t>BHEL</t>
  </si>
  <si>
    <t>L&amp;T</t>
  </si>
  <si>
    <t>BoB</t>
  </si>
  <si>
    <t>Present Value of an Annuity</t>
  </si>
  <si>
    <t>Future Value of an Annuity - Ordinary</t>
  </si>
  <si>
    <t>PMT</t>
  </si>
  <si>
    <t>PVIFAn</t>
  </si>
  <si>
    <t>FVIFAn</t>
  </si>
  <si>
    <t>PVAn</t>
  </si>
  <si>
    <t>FVAn</t>
  </si>
  <si>
    <t>Present Value of an Annuity - Due</t>
  </si>
  <si>
    <t>Future Value of an Annuity - Due</t>
  </si>
  <si>
    <t>Growth rate</t>
  </si>
  <si>
    <t>Double in years</t>
  </si>
  <si>
    <t>PVAn (due)</t>
  </si>
  <si>
    <t>FVAn (due)</t>
  </si>
  <si>
    <t>In INR Cr</t>
  </si>
  <si>
    <t>FV in Cr</t>
  </si>
  <si>
    <t>Ordinary Annuities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</si>
  <si>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end</t>
    </r>
    <r>
      <rPr>
        <sz val="11"/>
        <color theme="1"/>
        <rFont val="Calibri"/>
        <family val="2"/>
        <scheme val="minor"/>
      </rPr>
      <t xml:space="preserve"> of each period</t>
    </r>
  </si>
  <si>
    <t>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</si>
  <si>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</si>
  <si>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Future Value for Different Cash flow and Interest Rate for 30yrs</t>
  </si>
  <si>
    <t>Initial Balance (at start of yr)</t>
  </si>
  <si>
    <t>Amt. invested (end of current yr)</t>
  </si>
  <si>
    <t>Interest %</t>
  </si>
  <si>
    <t>Interest</t>
  </si>
  <si>
    <t>Closing balance (End of current yr)</t>
  </si>
  <si>
    <t>Amt. invested (start of current yr)</t>
  </si>
  <si>
    <t>Yr</t>
  </si>
  <si>
    <t>Future value of Total Annuity</t>
  </si>
  <si>
    <t>in Cr</t>
  </si>
  <si>
    <t>Present value</t>
  </si>
  <si>
    <t xml:space="preserve"> 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</si>
  <si>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</si>
  <si>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Present Value for Different Cash flow and Discount Rate for 30yrs</t>
  </si>
  <si>
    <t>Amt. Received (end of current yr)</t>
  </si>
  <si>
    <t>Present Value of that yr</t>
  </si>
  <si>
    <t>Total Present Value</t>
  </si>
  <si>
    <t>Initial Balance 
(at start of yr)</t>
  </si>
  <si>
    <t>Amt. Received (startof current yr)</t>
  </si>
  <si>
    <t>Present value of Total Annuity</t>
  </si>
  <si>
    <t>Top Expenses ( Raw material )</t>
  </si>
  <si>
    <t>2nd highest Expenses Comp. ( Power and Fuel )</t>
  </si>
  <si>
    <r>
      <t xml:space="preserve">P/EPSavg (current FY and </t>
    </r>
    <r>
      <rPr>
        <b/>
        <sz val="10"/>
        <color rgb="FFFF0000"/>
        <rFont val="Cambria"/>
        <family val="1"/>
        <scheme val="major"/>
      </rPr>
      <t>forward 10 years</t>
    </r>
    <r>
      <rPr>
        <sz val="10"/>
        <color theme="1"/>
        <rFont val="Cambria"/>
        <family val="1"/>
        <scheme val="major"/>
      </rPr>
      <t>)</t>
    </r>
  </si>
  <si>
    <t>Avg10 yrs</t>
  </si>
  <si>
    <t>Earnings Yield (rationalized EPS)</t>
  </si>
  <si>
    <t>Earnings Yield (After 10 years)</t>
  </si>
  <si>
    <t>Depreciation</t>
  </si>
  <si>
    <t>Provisions</t>
  </si>
  <si>
    <t>Required Rate of Return</t>
  </si>
  <si>
    <t>Avg 15 yrs</t>
  </si>
  <si>
    <t>Rationalized EPS average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</si>
  <si>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15 years</t>
    </r>
    <r>
      <rPr>
        <sz val="10"/>
        <color theme="1"/>
        <rFont val="Cambria"/>
        <family val="1"/>
        <scheme val="major"/>
      </rPr>
      <t>)</t>
    </r>
  </si>
  <si>
    <t>Payback ratio (market cap / 5 year forward PAT)</t>
  </si>
  <si>
    <t>2x1</t>
  </si>
  <si>
    <t>10x2</t>
  </si>
  <si>
    <t>1x2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</si>
</sst>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#,##0.00_ ;[Red]\-#,##0.00\ "/>
    <numFmt numFmtId="174" formatCode="#,##0_ ;[Red]\-#,##0\ "/>
    <numFmt numFmtId="175" formatCode="0_);[Red]\(0\)"/>
    <numFmt numFmtId="176" formatCode="0.00_);[Red]\(0.00\)"/>
    <numFmt numFmtId="177" formatCode="#,##0.0_ ;[Red]\-#,##0.0\ "/>
    <numFmt numFmtId="178" formatCode="#,##0.0;[Red]\-#,##0.0"/>
    <numFmt numFmtId="179" formatCode="#,##0.000"/>
    <numFmt numFmtId="180" formatCode="_ * #,##0.00_ ;_ * \-#,##0.00_ ;_ * &quot;-&quot;??_ ;_ @_ "/>
    <numFmt numFmtId="181" formatCode="[$₹-861]#,##0.00;[Red][$₹-861]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10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172" fontId="4" fillId="5" borderId="1" xfId="0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3" fontId="4" fillId="5" borderId="1" xfId="0" applyNumberFormat="1" applyFont="1" applyFill="1" applyBorder="1"/>
    <xf numFmtId="0" fontId="7" fillId="5" borderId="1" xfId="0" applyFont="1" applyFill="1" applyBorder="1"/>
    <xf numFmtId="1" fontId="7" fillId="5" borderId="1" xfId="0" applyNumberFormat="1" applyFont="1" applyFill="1" applyBorder="1"/>
    <xf numFmtId="1" fontId="7" fillId="5" borderId="1" xfId="2" applyNumberFormat="1" applyFont="1" applyFill="1" applyBorder="1"/>
    <xf numFmtId="40" fontId="4" fillId="5" borderId="1" xfId="2" applyNumberFormat="1" applyFont="1" applyFill="1" applyBorder="1"/>
    <xf numFmtId="43" fontId="7" fillId="5" borderId="1" xfId="2" applyFont="1" applyFill="1" applyBorder="1"/>
    <xf numFmtId="174" fontId="4" fillId="5" borderId="1" xfId="2" applyNumberFormat="1" applyFont="1" applyFill="1" applyBorder="1"/>
    <xf numFmtId="174" fontId="7" fillId="5" borderId="1" xfId="2" applyNumberFormat="1" applyFont="1" applyFill="1" applyBorder="1"/>
    <xf numFmtId="0" fontId="9" fillId="5" borderId="1" xfId="0" applyFont="1" applyFill="1" applyBorder="1"/>
    <xf numFmtId="174" fontId="9" fillId="5" borderId="1" xfId="2" applyNumberFormat="1" applyFont="1" applyFill="1" applyBorder="1"/>
    <xf numFmtId="9" fontId="8" fillId="5" borderId="1" xfId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4" fontId="4" fillId="5" borderId="1" xfId="0" applyNumberFormat="1" applyFont="1" applyFill="1" applyBorder="1"/>
    <xf numFmtId="174" fontId="5" fillId="5" borderId="1" xfId="0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0" fillId="5" borderId="1" xfId="2" applyFont="1" applyFill="1" applyBorder="1"/>
    <xf numFmtId="168" fontId="4" fillId="5" borderId="1" xfId="1" applyNumberFormat="1" applyFont="1" applyFill="1" applyBorder="1"/>
    <xf numFmtId="175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Font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6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7" fontId="4" fillId="5" borderId="1" xfId="0" applyNumberFormat="1" applyFont="1" applyFill="1" applyBorder="1"/>
    <xf numFmtId="178" fontId="4" fillId="5" borderId="1" xfId="0" applyNumberFormat="1" applyFont="1" applyFill="1" applyBorder="1"/>
    <xf numFmtId="0" fontId="12" fillId="5" borderId="0" xfId="0" applyFont="1" applyFill="1"/>
    <xf numFmtId="0" fontId="12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3" fillId="5" borderId="1" xfId="0" applyFont="1" applyFill="1" applyBorder="1" applyAlignment="1">
      <alignment horizontal="right"/>
    </xf>
    <xf numFmtId="0" fontId="16" fillId="5" borderId="1" xfId="0" applyFont="1" applyFill="1" applyBorder="1"/>
    <xf numFmtId="0" fontId="4" fillId="13" borderId="0" xfId="0" applyFont="1" applyFill="1" applyAlignment="1">
      <alignment horizontal="center" vertical="center" wrapText="1"/>
    </xf>
    <xf numFmtId="9" fontId="4" fillId="5" borderId="4" xfId="1" applyFont="1" applyFill="1" applyBorder="1"/>
    <xf numFmtId="164" fontId="7" fillId="5" borderId="1" xfId="2" applyNumberFormat="1" applyFont="1" applyFill="1" applyBorder="1"/>
    <xf numFmtId="0" fontId="4" fillId="5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0" fontId="6" fillId="0" borderId="0" xfId="0" applyFont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0" fontId="0" fillId="0" borderId="1" xfId="1" applyNumberFormat="1" applyFont="1" applyBorder="1"/>
    <xf numFmtId="0" fontId="0" fillId="0" borderId="4" xfId="0" applyBorder="1"/>
    <xf numFmtId="0" fontId="0" fillId="0" borderId="24" xfId="0" applyBorder="1"/>
    <xf numFmtId="172" fontId="0" fillId="0" borderId="25" xfId="0" applyNumberFormat="1" applyBorder="1"/>
    <xf numFmtId="172" fontId="0" fillId="0" borderId="26" xfId="0" applyNumberFormat="1" applyBorder="1"/>
    <xf numFmtId="0" fontId="0" fillId="0" borderId="27" xfId="0" applyBorder="1"/>
    <xf numFmtId="0" fontId="0" fillId="0" borderId="25" xfId="0" applyBorder="1"/>
    <xf numFmtId="0" fontId="0" fillId="0" borderId="26" xfId="0" applyBorder="1"/>
    <xf numFmtId="0" fontId="0" fillId="0" borderId="23" xfId="0" applyBorder="1"/>
    <xf numFmtId="0" fontId="0" fillId="0" borderId="22" xfId="0" applyBorder="1"/>
    <xf numFmtId="172" fontId="0" fillId="0" borderId="0" xfId="0" applyNumberFormat="1"/>
    <xf numFmtId="0" fontId="6" fillId="0" borderId="1" xfId="0" applyFont="1" applyBorder="1"/>
    <xf numFmtId="1" fontId="0" fillId="0" borderId="0" xfId="0" applyNumberFormat="1"/>
    <xf numFmtId="164" fontId="0" fillId="0" borderId="24" xfId="2" applyNumberFormat="1" applyFont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6" fillId="0" borderId="0" xfId="0" applyFont="1"/>
    <xf numFmtId="164" fontId="0" fillId="6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6" borderId="1" xfId="0" applyFill="1" applyBorder="1"/>
    <xf numFmtId="164" fontId="0" fillId="0" borderId="1" xfId="0" applyNumberFormat="1" applyBorder="1"/>
    <xf numFmtId="164" fontId="0" fillId="0" borderId="1" xfId="2" applyNumberFormat="1" applyFont="1" applyBorder="1"/>
    <xf numFmtId="43" fontId="6" fillId="0" borderId="1" xfId="2" applyFont="1" applyBorder="1"/>
    <xf numFmtId="164" fontId="0" fillId="0" borderId="0" xfId="2" applyNumberFormat="1" applyFont="1"/>
    <xf numFmtId="0" fontId="6" fillId="14" borderId="7" xfId="0" applyFont="1" applyFill="1" applyBorder="1"/>
    <xf numFmtId="0" fontId="6" fillId="14" borderId="9" xfId="0" applyFont="1" applyFill="1" applyBorder="1"/>
    <xf numFmtId="9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66" fontId="4" fillId="5" borderId="0" xfId="0" applyNumberFormat="1" applyFont="1" applyFill="1"/>
    <xf numFmtId="167" fontId="4" fillId="6" borderId="1" xfId="0" applyNumberFormat="1" applyFont="1" applyFill="1" applyBorder="1" applyAlignment="1">
      <alignment horizontal="right" vertical="center"/>
    </xf>
    <xf numFmtId="1" fontId="4" fillId="6" borderId="1" xfId="0" applyNumberFormat="1" applyFont="1" applyFill="1" applyBorder="1"/>
    <xf numFmtId="9" fontId="0" fillId="0" borderId="31" xfId="0" applyNumberFormat="1" applyBorder="1" applyAlignment="1">
      <alignment horizontal="center"/>
    </xf>
    <xf numFmtId="0" fontId="0" fillId="0" borderId="32" xfId="0" applyBorder="1" applyAlignment="1">
      <alignment horizontal="center"/>
    </xf>
    <xf numFmtId="172" fontId="0" fillId="0" borderId="1" xfId="0" applyNumberFormat="1" applyBorder="1"/>
    <xf numFmtId="166" fontId="4" fillId="5" borderId="25" xfId="0" applyNumberFormat="1" applyFont="1" applyFill="1" applyBorder="1"/>
    <xf numFmtId="181" fontId="0" fillId="0" borderId="0" xfId="0" applyNumberFormat="1"/>
    <xf numFmtId="9" fontId="0" fillId="0" borderId="12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64" fontId="0" fillId="6" borderId="0" xfId="2" applyNumberFormat="1" applyFont="1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0" borderId="1" xfId="0" applyNumberFormat="1" applyBorder="1"/>
    <xf numFmtId="3" fontId="0" fillId="6" borderId="1" xfId="0" applyNumberFormat="1" applyFill="1" applyBorder="1"/>
    <xf numFmtId="9" fontId="0" fillId="6" borderId="1" xfId="1" applyFont="1" applyFill="1" applyBorder="1" applyAlignment="1">
      <alignment horizontal="center"/>
    </xf>
    <xf numFmtId="38" fontId="0" fillId="0" borderId="1" xfId="0" applyNumberFormat="1" applyBorder="1"/>
    <xf numFmtId="38" fontId="0" fillId="0" borderId="11" xfId="0" applyNumberFormat="1" applyBorder="1"/>
    <xf numFmtId="3" fontId="0" fillId="0" borderId="11" xfId="0" applyNumberFormat="1" applyBorder="1"/>
    <xf numFmtId="2" fontId="0" fillId="0" borderId="0" xfId="0" applyNumberFormat="1"/>
    <xf numFmtId="9" fontId="17" fillId="6" borderId="1" xfId="1" applyFont="1" applyFill="1" applyBorder="1" applyAlignment="1">
      <alignment horizontal="center"/>
    </xf>
    <xf numFmtId="0" fontId="0" fillId="10" borderId="0" xfId="0" applyFill="1"/>
    <xf numFmtId="38" fontId="0" fillId="10" borderId="11" xfId="0" applyNumberFormat="1" applyFill="1" applyBorder="1"/>
    <xf numFmtId="9" fontId="0" fillId="0" borderId="0" xfId="1" applyFont="1"/>
    <xf numFmtId="4" fontId="0" fillId="0" borderId="1" xfId="0" applyNumberFormat="1" applyBorder="1"/>
    <xf numFmtId="3" fontId="6" fillId="2" borderId="37" xfId="0" applyNumberFormat="1" applyFont="1" applyFill="1" applyBorder="1"/>
    <xf numFmtId="0" fontId="6" fillId="2" borderId="37" xfId="0" applyFont="1" applyFill="1" applyBorder="1"/>
    <xf numFmtId="38" fontId="6" fillId="2" borderId="38" xfId="0" applyNumberFormat="1" applyFont="1" applyFill="1" applyBorder="1"/>
    <xf numFmtId="4" fontId="6" fillId="2" borderId="37" xfId="0" applyNumberFormat="1" applyFont="1" applyFill="1" applyBorder="1"/>
    <xf numFmtId="3" fontId="6" fillId="2" borderId="38" xfId="0" applyNumberFormat="1" applyFont="1" applyFill="1" applyBorder="1"/>
    <xf numFmtId="3" fontId="0" fillId="0" borderId="12" xfId="0" applyNumberFormat="1" applyBorder="1" applyAlignment="1">
      <alignment horizontal="center"/>
    </xf>
    <xf numFmtId="0" fontId="0" fillId="0" borderId="13" xfId="0" applyBorder="1"/>
    <xf numFmtId="2" fontId="0" fillId="0" borderId="13" xfId="0" applyNumberFormat="1" applyBorder="1"/>
    <xf numFmtId="165" fontId="0" fillId="0" borderId="13" xfId="2" applyNumberFormat="1" applyFont="1" applyBorder="1"/>
    <xf numFmtId="40" fontId="0" fillId="0" borderId="0" xfId="0" applyNumberFormat="1"/>
    <xf numFmtId="40" fontId="6" fillId="0" borderId="23" xfId="0" applyNumberFormat="1" applyFont="1" applyBorder="1" applyAlignment="1">
      <alignment horizontal="center"/>
    </xf>
    <xf numFmtId="9" fontId="0" fillId="0" borderId="1" xfId="1" applyFont="1" applyBorder="1"/>
    <xf numFmtId="40" fontId="0" fillId="0" borderId="11" xfId="0" applyNumberFormat="1" applyBorder="1"/>
    <xf numFmtId="40" fontId="6" fillId="2" borderId="38" xfId="0" applyNumberFormat="1" applyFont="1" applyFill="1" applyBorder="1"/>
    <xf numFmtId="2" fontId="5" fillId="5" borderId="1" xfId="0" applyNumberFormat="1" applyFont="1" applyFill="1" applyBorder="1"/>
    <xf numFmtId="180" fontId="0" fillId="0" borderId="1" xfId="0" applyNumberFormat="1" applyBorder="1"/>
    <xf numFmtId="164" fontId="0" fillId="6" borderId="1" xfId="0" applyNumberFormat="1" applyFill="1" applyBorder="1"/>
    <xf numFmtId="1" fontId="0" fillId="0" borderId="1" xfId="0" applyNumberFormat="1" applyBorder="1"/>
    <xf numFmtId="2" fontId="0" fillId="0" borderId="1" xfId="0" applyNumberFormat="1" applyBorder="1"/>
    <xf numFmtId="10" fontId="0" fillId="0" borderId="1" xfId="0" applyNumberFormat="1" applyBorder="1"/>
    <xf numFmtId="9" fontId="5" fillId="6" borderId="0" xfId="0" applyNumberFormat="1" applyFont="1" applyFill="1"/>
    <xf numFmtId="0" fontId="6" fillId="15" borderId="33" xfId="0" applyFont="1" applyFill="1" applyBorder="1" applyAlignment="1">
      <alignment horizontal="center"/>
    </xf>
    <xf numFmtId="0" fontId="6" fillId="15" borderId="34" xfId="0" applyFont="1" applyFill="1" applyBorder="1" applyAlignment="1">
      <alignment horizontal="center"/>
    </xf>
    <xf numFmtId="0" fontId="6" fillId="9" borderId="33" xfId="0" applyFont="1" applyFill="1" applyBorder="1" applyAlignment="1">
      <alignment horizontal="center"/>
    </xf>
    <xf numFmtId="0" fontId="6" fillId="9" borderId="35" xfId="0" applyFont="1" applyFill="1" applyBorder="1" applyAlignment="1">
      <alignment horizontal="center"/>
    </xf>
    <xf numFmtId="0" fontId="6" fillId="9" borderId="34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left"/>
    </xf>
    <xf numFmtId="0" fontId="6" fillId="2" borderId="36" xfId="0" applyFont="1" applyFill="1" applyBorder="1" applyAlignment="1">
      <alignment horizontal="left"/>
    </xf>
    <xf numFmtId="0" fontId="0" fillId="9" borderId="29" xfId="0" applyFill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179" fontId="0" fillId="0" borderId="6" xfId="0" applyNumberFormat="1" applyBorder="1" applyAlignment="1">
      <alignment horizontal="center"/>
    </xf>
    <xf numFmtId="4" fontId="6" fillId="0" borderId="4" xfId="0" applyNumberFormat="1" applyFont="1" applyBorder="1" applyAlignment="1">
      <alignment horizontal="left"/>
    </xf>
    <xf numFmtId="4" fontId="6" fillId="0" borderId="6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9" fontId="0" fillId="6" borderId="4" xfId="1" applyFont="1" applyFill="1" applyBorder="1" applyAlignment="1">
      <alignment horizontal="center"/>
    </xf>
    <xf numFmtId="9" fontId="0" fillId="6" borderId="6" xfId="1" applyFont="1" applyFill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4" fontId="0" fillId="6" borderId="1" xfId="0" applyNumberFormat="1" applyFill="1" applyBorder="1" applyAlignment="1">
      <alignment horizontal="center"/>
    </xf>
    <xf numFmtId="0" fontId="4" fillId="13" borderId="18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1" fillId="4" borderId="4" xfId="0" applyFont="1" applyFill="1" applyBorder="1" applyAlignment="1">
      <alignment horizontal="center"/>
    </xf>
    <xf numFmtId="0" fontId="11" fillId="4" borderId="6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39-4441-99A3-10E4BEA86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111552"/>
        <c:axId val="151113088"/>
      </c:lineChart>
      <c:catAx>
        <c:axId val="151111552"/>
        <c:scaling>
          <c:orientation val="minMax"/>
        </c:scaling>
        <c:delete val="0"/>
        <c:axPos val="b"/>
        <c:majorTickMark val="out"/>
        <c:minorTickMark val="none"/>
        <c:tickLblPos val="nextTo"/>
        <c:crossAx val="151113088"/>
        <c:crosses val="autoZero"/>
        <c:auto val="1"/>
        <c:lblAlgn val="ctr"/>
        <c:lblOffset val="100"/>
        <c:noMultiLvlLbl val="0"/>
      </c:catAx>
      <c:valAx>
        <c:axId val="1511130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1111552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799" l="0.70000000000000062" r="0.70000000000000062" t="0.7500000000000079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108"/>
  <sheetViews>
    <sheetView zoomScale="80" zoomScaleNormal="80" workbookViewId="0">
      <selection activeCell="C38" sqref="C38"/>
    </sheetView>
  </sheetViews>
  <sheetFormatPr baseColWidth="10" defaultColWidth="9.1640625" defaultRowHeight="13" x14ac:dyDescent="0.15"/>
  <cols>
    <col min="1" max="1" width="9.1640625" style="89"/>
    <col min="2" max="2" width="9.1640625" style="90"/>
    <col min="3" max="3" width="24.33203125" style="89" bestFit="1" customWidth="1"/>
    <col min="4" max="4" width="39.33203125" style="89" bestFit="1" customWidth="1"/>
    <col min="5" max="5" width="39.5" style="89" customWidth="1"/>
    <col min="6" max="6" width="56" style="89" bestFit="1" customWidth="1"/>
    <col min="7" max="16384" width="9.1640625" style="89"/>
  </cols>
  <sheetData>
    <row r="3" spans="2:6" x14ac:dyDescent="0.15">
      <c r="B3" s="88"/>
      <c r="C3" s="92" t="s">
        <v>66</v>
      </c>
      <c r="D3" s="92" t="s">
        <v>69</v>
      </c>
      <c r="E3" s="92" t="s">
        <v>74</v>
      </c>
      <c r="F3" s="92" t="s">
        <v>75</v>
      </c>
    </row>
    <row r="4" spans="2:6" x14ac:dyDescent="0.15">
      <c r="B4" s="88"/>
      <c r="C4" s="10"/>
      <c r="D4" s="10"/>
      <c r="E4" s="10"/>
      <c r="F4" s="10"/>
    </row>
    <row r="5" spans="2:6" x14ac:dyDescent="0.15">
      <c r="B5" s="88"/>
      <c r="C5" s="93" t="s">
        <v>105</v>
      </c>
      <c r="D5" s="10"/>
      <c r="E5" s="10"/>
      <c r="F5" s="10"/>
    </row>
    <row r="6" spans="2:6" x14ac:dyDescent="0.15">
      <c r="B6" s="88">
        <v>1</v>
      </c>
      <c r="C6" s="10" t="s">
        <v>106</v>
      </c>
      <c r="D6" s="10" t="s">
        <v>107</v>
      </c>
      <c r="E6" s="10" t="s">
        <v>187</v>
      </c>
      <c r="F6" s="10"/>
    </row>
    <row r="7" spans="2:6" x14ac:dyDescent="0.15">
      <c r="B7" s="88"/>
      <c r="C7" s="10"/>
      <c r="D7" s="10" t="s">
        <v>108</v>
      </c>
      <c r="E7" s="10"/>
      <c r="F7" s="10"/>
    </row>
    <row r="8" spans="2:6" x14ac:dyDescent="0.15">
      <c r="B8" s="88"/>
      <c r="C8" s="10"/>
      <c r="D8" s="10" t="s">
        <v>114</v>
      </c>
      <c r="E8" s="10"/>
      <c r="F8" s="10"/>
    </row>
    <row r="9" spans="2:6" x14ac:dyDescent="0.15">
      <c r="B9" s="88"/>
      <c r="C9" s="10"/>
      <c r="D9" s="10"/>
      <c r="E9" s="10"/>
      <c r="F9" s="10"/>
    </row>
    <row r="10" spans="2:6" x14ac:dyDescent="0.15">
      <c r="B10" s="88">
        <v>2</v>
      </c>
      <c r="C10" s="10" t="s">
        <v>188</v>
      </c>
      <c r="D10" s="10" t="s">
        <v>109</v>
      </c>
      <c r="E10" s="10" t="s">
        <v>111</v>
      </c>
      <c r="F10" s="10" t="s">
        <v>112</v>
      </c>
    </row>
    <row r="11" spans="2:6" x14ac:dyDescent="0.15">
      <c r="B11" s="88"/>
      <c r="C11" s="10"/>
      <c r="D11" s="10" t="s">
        <v>110</v>
      </c>
      <c r="E11" s="10"/>
      <c r="F11" s="10"/>
    </row>
    <row r="12" spans="2:6" x14ac:dyDescent="0.15">
      <c r="B12" s="88"/>
      <c r="C12" s="10"/>
      <c r="D12" s="10"/>
      <c r="E12" s="10"/>
      <c r="F12" s="10"/>
    </row>
    <row r="13" spans="2:6" x14ac:dyDescent="0.15">
      <c r="B13" s="88">
        <v>3</v>
      </c>
      <c r="C13" s="10" t="s">
        <v>113</v>
      </c>
      <c r="D13" s="10" t="s">
        <v>116</v>
      </c>
      <c r="E13" s="10" t="s">
        <v>117</v>
      </c>
      <c r="F13" s="10"/>
    </row>
    <row r="14" spans="2:6" x14ac:dyDescent="0.15">
      <c r="B14" s="88"/>
      <c r="C14" s="10"/>
      <c r="D14" s="10" t="s">
        <v>115</v>
      </c>
      <c r="E14" s="10" t="s">
        <v>118</v>
      </c>
      <c r="F14" s="10"/>
    </row>
    <row r="15" spans="2:6" x14ac:dyDescent="0.15">
      <c r="B15" s="88"/>
      <c r="C15" s="10"/>
      <c r="D15" s="10"/>
      <c r="E15" s="10" t="s">
        <v>119</v>
      </c>
      <c r="F15" s="10"/>
    </row>
    <row r="16" spans="2:6" x14ac:dyDescent="0.15">
      <c r="B16" s="88"/>
      <c r="C16" s="10"/>
      <c r="D16" s="10"/>
      <c r="E16" s="10"/>
      <c r="F16" s="10"/>
    </row>
    <row r="17" spans="2:6" x14ac:dyDescent="0.15">
      <c r="B17" s="88">
        <v>4</v>
      </c>
      <c r="C17" s="10" t="s">
        <v>120</v>
      </c>
      <c r="D17" s="10" t="s">
        <v>121</v>
      </c>
      <c r="E17" s="10"/>
      <c r="F17" s="10"/>
    </row>
    <row r="18" spans="2:6" x14ac:dyDescent="0.15">
      <c r="B18" s="88"/>
      <c r="C18" s="10"/>
      <c r="D18" s="10" t="s">
        <v>122</v>
      </c>
      <c r="E18" s="10"/>
      <c r="F18" s="10"/>
    </row>
    <row r="19" spans="2:6" x14ac:dyDescent="0.15">
      <c r="B19" s="88"/>
      <c r="C19" s="10"/>
      <c r="D19" s="10" t="s">
        <v>123</v>
      </c>
      <c r="E19" s="10"/>
      <c r="F19" s="10"/>
    </row>
    <row r="20" spans="2:6" x14ac:dyDescent="0.15">
      <c r="B20" s="88"/>
      <c r="C20" s="10"/>
      <c r="D20" s="10" t="s">
        <v>124</v>
      </c>
      <c r="E20" s="10"/>
      <c r="F20" s="10"/>
    </row>
    <row r="21" spans="2:6" x14ac:dyDescent="0.15">
      <c r="B21" s="88"/>
      <c r="C21" s="10"/>
      <c r="D21" s="10"/>
      <c r="E21" s="10"/>
      <c r="F21" s="10"/>
    </row>
    <row r="22" spans="2:6" x14ac:dyDescent="0.15">
      <c r="B22" s="88">
        <v>5</v>
      </c>
      <c r="C22" s="10" t="s">
        <v>125</v>
      </c>
      <c r="D22" s="10" t="s">
        <v>126</v>
      </c>
      <c r="E22" s="10"/>
      <c r="F22" s="10"/>
    </row>
    <row r="23" spans="2:6" x14ac:dyDescent="0.15">
      <c r="B23" s="88"/>
      <c r="C23" s="10"/>
      <c r="D23" s="10" t="s">
        <v>127</v>
      </c>
      <c r="E23" s="10"/>
      <c r="F23" s="10"/>
    </row>
    <row r="24" spans="2:6" ht="28" x14ac:dyDescent="0.15">
      <c r="B24" s="88"/>
      <c r="C24" s="10"/>
      <c r="D24" s="10" t="s">
        <v>128</v>
      </c>
      <c r="E24" s="91" t="s">
        <v>129</v>
      </c>
      <c r="F24" s="10"/>
    </row>
    <row r="25" spans="2:6" x14ac:dyDescent="0.15">
      <c r="B25" s="88"/>
      <c r="C25" s="10"/>
      <c r="D25" s="10"/>
      <c r="E25" s="10"/>
      <c r="F25" s="10"/>
    </row>
    <row r="26" spans="2:6" x14ac:dyDescent="0.15">
      <c r="B26" s="88"/>
      <c r="C26" s="10"/>
      <c r="D26" s="10"/>
      <c r="E26" s="10"/>
      <c r="F26" s="10"/>
    </row>
    <row r="27" spans="2:6" x14ac:dyDescent="0.15">
      <c r="B27" s="88"/>
      <c r="C27" s="93" t="s">
        <v>67</v>
      </c>
      <c r="D27" s="10"/>
      <c r="E27" s="10"/>
      <c r="F27" s="10"/>
    </row>
    <row r="28" spans="2:6" x14ac:dyDescent="0.15">
      <c r="B28" s="88">
        <v>1</v>
      </c>
      <c r="C28" s="10" t="s">
        <v>68</v>
      </c>
      <c r="D28" s="10" t="s">
        <v>70</v>
      </c>
      <c r="E28" s="10" t="s">
        <v>72</v>
      </c>
      <c r="F28" s="10" t="s">
        <v>76</v>
      </c>
    </row>
    <row r="29" spans="2:6" x14ac:dyDescent="0.15">
      <c r="B29" s="88"/>
      <c r="C29" s="10"/>
      <c r="D29" s="10" t="s">
        <v>71</v>
      </c>
      <c r="E29" s="10" t="s">
        <v>73</v>
      </c>
      <c r="F29" s="10"/>
    </row>
    <row r="30" spans="2:6" x14ac:dyDescent="0.15">
      <c r="B30" s="88"/>
      <c r="C30" s="10"/>
      <c r="D30" s="10"/>
      <c r="E30" s="10"/>
      <c r="F30" s="10"/>
    </row>
    <row r="31" spans="2:6" x14ac:dyDescent="0.15">
      <c r="B31" s="88">
        <v>2</v>
      </c>
      <c r="C31" s="10" t="s">
        <v>77</v>
      </c>
      <c r="D31" s="10" t="s">
        <v>78</v>
      </c>
      <c r="E31" s="10"/>
      <c r="F31" s="10"/>
    </row>
    <row r="32" spans="2:6" x14ac:dyDescent="0.15">
      <c r="B32" s="88"/>
      <c r="C32" s="10"/>
      <c r="D32" s="10" t="s">
        <v>13</v>
      </c>
      <c r="E32" s="10"/>
      <c r="F32" s="10"/>
    </row>
    <row r="33" spans="2:6" x14ac:dyDescent="0.15">
      <c r="B33" s="88"/>
      <c r="C33" s="10"/>
      <c r="D33" s="10" t="s">
        <v>79</v>
      </c>
      <c r="E33" s="10"/>
      <c r="F33" s="10"/>
    </row>
    <row r="34" spans="2:6" x14ac:dyDescent="0.15">
      <c r="B34" s="88"/>
      <c r="C34" s="10"/>
      <c r="D34" s="10"/>
      <c r="E34" s="10"/>
      <c r="F34" s="10"/>
    </row>
    <row r="35" spans="2:6" x14ac:dyDescent="0.15">
      <c r="B35" s="88">
        <v>3</v>
      </c>
      <c r="C35" s="10" t="s">
        <v>80</v>
      </c>
      <c r="D35" s="10" t="s">
        <v>13</v>
      </c>
      <c r="E35" s="10"/>
      <c r="F35" s="10"/>
    </row>
    <row r="36" spans="2:6" x14ac:dyDescent="0.15">
      <c r="B36" s="88"/>
      <c r="C36" s="10"/>
      <c r="D36" s="10" t="s">
        <v>81</v>
      </c>
      <c r="E36" s="10"/>
      <c r="F36" s="10"/>
    </row>
    <row r="37" spans="2:6" x14ac:dyDescent="0.15">
      <c r="B37" s="88"/>
      <c r="C37" s="10"/>
      <c r="D37" s="10" t="s">
        <v>82</v>
      </c>
      <c r="E37" s="10"/>
      <c r="F37" s="10"/>
    </row>
    <row r="38" spans="2:6" x14ac:dyDescent="0.15">
      <c r="B38" s="88"/>
      <c r="C38" s="10"/>
      <c r="D38" s="10" t="s">
        <v>83</v>
      </c>
      <c r="E38" s="10"/>
      <c r="F38" s="10"/>
    </row>
    <row r="39" spans="2:6" x14ac:dyDescent="0.15">
      <c r="B39" s="88"/>
      <c r="C39" s="10"/>
      <c r="D39" s="10"/>
      <c r="E39" s="10"/>
      <c r="F39" s="10"/>
    </row>
    <row r="40" spans="2:6" x14ac:dyDescent="0.15">
      <c r="B40" s="88">
        <v>4</v>
      </c>
      <c r="C40" s="10" t="s">
        <v>88</v>
      </c>
      <c r="D40" s="10" t="s">
        <v>84</v>
      </c>
      <c r="E40" s="10" t="s">
        <v>86</v>
      </c>
      <c r="F40" s="10" t="s">
        <v>87</v>
      </c>
    </row>
    <row r="41" spans="2:6" x14ac:dyDescent="0.15">
      <c r="B41" s="88"/>
      <c r="C41" s="10"/>
      <c r="D41" s="10" t="s">
        <v>85</v>
      </c>
      <c r="E41" s="10"/>
      <c r="F41" s="10"/>
    </row>
    <row r="42" spans="2:6" x14ac:dyDescent="0.15">
      <c r="B42" s="88"/>
      <c r="C42" s="10"/>
      <c r="D42" s="10" t="s">
        <v>89</v>
      </c>
      <c r="E42" s="10" t="s">
        <v>90</v>
      </c>
      <c r="F42" s="10" t="s">
        <v>87</v>
      </c>
    </row>
    <row r="43" spans="2:6" ht="14" x14ac:dyDescent="0.15">
      <c r="B43" s="88"/>
      <c r="C43" s="10"/>
      <c r="D43" s="10"/>
      <c r="E43" s="91" t="s">
        <v>104</v>
      </c>
      <c r="F43" s="10"/>
    </row>
    <row r="44" spans="2:6" x14ac:dyDescent="0.15">
      <c r="B44" s="88"/>
      <c r="C44" s="10"/>
      <c r="D44" s="10"/>
      <c r="E44" s="10"/>
      <c r="F44" s="10"/>
    </row>
    <row r="45" spans="2:6" ht="14" x14ac:dyDescent="0.15">
      <c r="B45" s="88">
        <v>5</v>
      </c>
      <c r="C45" s="10" t="s">
        <v>91</v>
      </c>
      <c r="D45" s="10" t="s">
        <v>93</v>
      </c>
      <c r="E45" s="91" t="s">
        <v>96</v>
      </c>
      <c r="F45" s="10" t="s">
        <v>97</v>
      </c>
    </row>
    <row r="46" spans="2:6" x14ac:dyDescent="0.15">
      <c r="B46" s="88"/>
      <c r="C46" s="10" t="s">
        <v>92</v>
      </c>
      <c r="D46" s="10" t="s">
        <v>94</v>
      </c>
      <c r="E46" s="10"/>
      <c r="F46" s="10"/>
    </row>
    <row r="47" spans="2:6" x14ac:dyDescent="0.15">
      <c r="B47" s="88"/>
      <c r="C47" s="10"/>
      <c r="D47" s="10" t="s">
        <v>95</v>
      </c>
      <c r="E47" s="10"/>
      <c r="F47" s="10"/>
    </row>
    <row r="48" spans="2:6" x14ac:dyDescent="0.15">
      <c r="B48" s="88"/>
      <c r="C48" s="10"/>
      <c r="D48" s="10"/>
      <c r="E48" s="10"/>
      <c r="F48" s="10"/>
    </row>
    <row r="49" spans="2:6" x14ac:dyDescent="0.15">
      <c r="B49" s="88">
        <v>6</v>
      </c>
      <c r="C49" s="10" t="s">
        <v>98</v>
      </c>
      <c r="D49" s="10" t="s">
        <v>99</v>
      </c>
      <c r="E49" s="10"/>
      <c r="F49" s="10"/>
    </row>
    <row r="50" spans="2:6" x14ac:dyDescent="0.15">
      <c r="B50" s="88"/>
      <c r="C50" s="10"/>
      <c r="D50" s="10" t="s">
        <v>100</v>
      </c>
      <c r="E50" s="10"/>
      <c r="F50" s="10"/>
    </row>
    <row r="51" spans="2:6" x14ac:dyDescent="0.15">
      <c r="B51" s="88"/>
      <c r="C51" s="10"/>
      <c r="D51" s="10"/>
      <c r="E51" s="10"/>
      <c r="F51" s="10"/>
    </row>
    <row r="52" spans="2:6" x14ac:dyDescent="0.15">
      <c r="B52" s="88">
        <v>7</v>
      </c>
      <c r="C52" s="10" t="s">
        <v>101</v>
      </c>
      <c r="D52" s="10" t="s">
        <v>103</v>
      </c>
      <c r="E52" s="10"/>
      <c r="F52" s="10"/>
    </row>
    <row r="53" spans="2:6" ht="28" x14ac:dyDescent="0.15">
      <c r="B53" s="88"/>
      <c r="C53" s="10"/>
      <c r="D53" s="91" t="s">
        <v>102</v>
      </c>
      <c r="E53" s="10"/>
      <c r="F53" s="10"/>
    </row>
    <row r="54" spans="2:6" x14ac:dyDescent="0.15">
      <c r="B54" s="88"/>
      <c r="C54" s="10"/>
      <c r="D54" s="10"/>
      <c r="E54" s="10"/>
      <c r="F54" s="10"/>
    </row>
    <row r="55" spans="2:6" x14ac:dyDescent="0.15">
      <c r="B55" s="88"/>
      <c r="C55" s="10"/>
      <c r="D55" s="10"/>
      <c r="E55" s="10"/>
      <c r="F55" s="10"/>
    </row>
    <row r="56" spans="2:6" x14ac:dyDescent="0.15">
      <c r="B56" s="88"/>
      <c r="C56" s="93" t="s">
        <v>130</v>
      </c>
      <c r="D56" s="10"/>
      <c r="E56" s="10"/>
      <c r="F56" s="10"/>
    </row>
    <row r="57" spans="2:6" x14ac:dyDescent="0.15">
      <c r="B57" s="88">
        <v>1</v>
      </c>
      <c r="C57" s="10" t="s">
        <v>131</v>
      </c>
      <c r="D57" s="10" t="s">
        <v>132</v>
      </c>
      <c r="E57" s="10"/>
      <c r="F57" s="10"/>
    </row>
    <row r="58" spans="2:6" x14ac:dyDescent="0.15">
      <c r="B58" s="88"/>
      <c r="C58" s="10"/>
      <c r="D58" s="10" t="s">
        <v>133</v>
      </c>
      <c r="E58" s="10"/>
      <c r="F58" s="10"/>
    </row>
    <row r="59" spans="2:6" x14ac:dyDescent="0.15">
      <c r="B59" s="88"/>
      <c r="C59" s="10"/>
      <c r="D59" s="10" t="s">
        <v>134</v>
      </c>
      <c r="E59" s="10"/>
      <c r="F59" s="10"/>
    </row>
    <row r="60" spans="2:6" x14ac:dyDescent="0.15">
      <c r="B60" s="88"/>
      <c r="C60" s="10"/>
      <c r="D60" s="10"/>
      <c r="E60" s="10"/>
      <c r="F60" s="10"/>
    </row>
    <row r="61" spans="2:6" x14ac:dyDescent="0.15">
      <c r="B61" s="88">
        <v>2</v>
      </c>
      <c r="C61" s="10" t="s">
        <v>135</v>
      </c>
      <c r="D61" s="10" t="s">
        <v>136</v>
      </c>
      <c r="E61" s="10"/>
      <c r="F61" s="10"/>
    </row>
    <row r="62" spans="2:6" x14ac:dyDescent="0.15">
      <c r="B62" s="88"/>
      <c r="C62" s="10"/>
      <c r="D62" s="10"/>
      <c r="E62" s="10"/>
      <c r="F62" s="10"/>
    </row>
    <row r="63" spans="2:6" x14ac:dyDescent="0.15">
      <c r="B63" s="88">
        <v>3</v>
      </c>
      <c r="C63" s="10" t="s">
        <v>137</v>
      </c>
      <c r="D63" s="10" t="s">
        <v>138</v>
      </c>
      <c r="E63" s="10"/>
      <c r="F63" s="10"/>
    </row>
    <row r="64" spans="2:6" x14ac:dyDescent="0.15">
      <c r="B64" s="88"/>
      <c r="C64" s="10"/>
      <c r="D64" s="10"/>
      <c r="E64" s="10"/>
      <c r="F64" s="10"/>
    </row>
    <row r="65" spans="2:6" ht="28" x14ac:dyDescent="0.15">
      <c r="B65" s="88">
        <v>4</v>
      </c>
      <c r="C65" s="10" t="s">
        <v>139</v>
      </c>
      <c r="D65" s="10" t="s">
        <v>140</v>
      </c>
      <c r="E65" s="91" t="s">
        <v>145</v>
      </c>
      <c r="F65" s="10" t="s">
        <v>146</v>
      </c>
    </row>
    <row r="66" spans="2:6" x14ac:dyDescent="0.15">
      <c r="B66" s="88"/>
      <c r="C66" s="10"/>
      <c r="D66" s="10" t="s">
        <v>141</v>
      </c>
      <c r="E66" s="10" t="s">
        <v>147</v>
      </c>
      <c r="F66" s="10"/>
    </row>
    <row r="67" spans="2:6" x14ac:dyDescent="0.15">
      <c r="B67" s="88"/>
      <c r="C67" s="10"/>
      <c r="D67" s="10" t="s">
        <v>142</v>
      </c>
      <c r="E67" s="10"/>
      <c r="F67" s="10"/>
    </row>
    <row r="68" spans="2:6" x14ac:dyDescent="0.15">
      <c r="B68" s="88"/>
      <c r="C68" s="10"/>
      <c r="D68" s="10" t="s">
        <v>143</v>
      </c>
      <c r="E68" s="10"/>
      <c r="F68" s="10"/>
    </row>
    <row r="69" spans="2:6" x14ac:dyDescent="0.15">
      <c r="B69" s="88"/>
      <c r="C69" s="10"/>
      <c r="D69" s="10" t="s">
        <v>144</v>
      </c>
      <c r="E69" s="10"/>
      <c r="F69" s="10"/>
    </row>
    <row r="70" spans="2:6" x14ac:dyDescent="0.15">
      <c r="B70" s="88"/>
      <c r="C70" s="10"/>
      <c r="D70" s="10"/>
      <c r="E70" s="10"/>
      <c r="F70" s="10"/>
    </row>
    <row r="71" spans="2:6" x14ac:dyDescent="0.15">
      <c r="B71" s="88">
        <v>5</v>
      </c>
      <c r="C71" s="10" t="s">
        <v>148</v>
      </c>
      <c r="D71" s="10" t="s">
        <v>149</v>
      </c>
      <c r="E71" s="10"/>
      <c r="F71" s="10"/>
    </row>
    <row r="72" spans="2:6" x14ac:dyDescent="0.15">
      <c r="B72" s="88"/>
      <c r="C72" s="10"/>
      <c r="D72" s="10" t="s">
        <v>150</v>
      </c>
      <c r="E72" s="10"/>
      <c r="F72" s="10"/>
    </row>
    <row r="73" spans="2:6" x14ac:dyDescent="0.15">
      <c r="B73" s="88"/>
      <c r="C73" s="10"/>
      <c r="D73" s="10" t="s">
        <v>151</v>
      </c>
      <c r="E73" s="10" t="s">
        <v>152</v>
      </c>
      <c r="F73" s="10" t="s">
        <v>153</v>
      </c>
    </row>
    <row r="74" spans="2:6" x14ac:dyDescent="0.15">
      <c r="B74" s="88"/>
      <c r="C74" s="10"/>
      <c r="D74" s="10" t="s">
        <v>154</v>
      </c>
      <c r="E74" s="10"/>
      <c r="F74" s="10"/>
    </row>
    <row r="75" spans="2:6" x14ac:dyDescent="0.15">
      <c r="B75" s="88"/>
      <c r="C75" s="10"/>
      <c r="D75" s="10"/>
      <c r="E75" s="10"/>
      <c r="F75" s="10"/>
    </row>
    <row r="76" spans="2:6" x14ac:dyDescent="0.15">
      <c r="B76" s="88">
        <v>6</v>
      </c>
      <c r="C76" s="10" t="s">
        <v>155</v>
      </c>
      <c r="D76" s="10" t="s">
        <v>156</v>
      </c>
      <c r="E76" s="10"/>
      <c r="F76" s="10"/>
    </row>
    <row r="77" spans="2:6" x14ac:dyDescent="0.15">
      <c r="B77" s="88"/>
      <c r="C77" s="10"/>
      <c r="D77" s="10" t="s">
        <v>157</v>
      </c>
      <c r="E77" s="10"/>
      <c r="F77" s="10"/>
    </row>
    <row r="78" spans="2:6" x14ac:dyDescent="0.15">
      <c r="B78" s="88"/>
      <c r="C78" s="10"/>
      <c r="D78" s="10"/>
      <c r="E78" s="10"/>
      <c r="F78" s="10"/>
    </row>
    <row r="79" spans="2:6" x14ac:dyDescent="0.15">
      <c r="B79" s="88">
        <v>7</v>
      </c>
      <c r="C79" s="10" t="s">
        <v>158</v>
      </c>
      <c r="D79" s="10" t="s">
        <v>159</v>
      </c>
      <c r="E79" s="10"/>
      <c r="F79" s="10"/>
    </row>
    <row r="80" spans="2:6" x14ac:dyDescent="0.15">
      <c r="B80" s="88"/>
      <c r="C80" s="10"/>
      <c r="D80" s="10" t="s">
        <v>160</v>
      </c>
      <c r="E80" s="10"/>
      <c r="F80" s="10"/>
    </row>
    <row r="81" spans="2:6" x14ac:dyDescent="0.15">
      <c r="B81" s="88"/>
      <c r="C81" s="10"/>
      <c r="D81" s="10"/>
      <c r="E81" s="10"/>
      <c r="F81" s="10"/>
    </row>
    <row r="82" spans="2:6" x14ac:dyDescent="0.15">
      <c r="B82" s="88">
        <v>8</v>
      </c>
      <c r="C82" s="10" t="s">
        <v>161</v>
      </c>
      <c r="D82" s="10" t="s">
        <v>162</v>
      </c>
      <c r="E82" s="10" t="s">
        <v>164</v>
      </c>
      <c r="F82" s="10"/>
    </row>
    <row r="83" spans="2:6" x14ac:dyDescent="0.15">
      <c r="B83" s="88"/>
      <c r="C83" s="10"/>
      <c r="D83" s="10" t="s">
        <v>163</v>
      </c>
      <c r="E83" s="10" t="s">
        <v>165</v>
      </c>
      <c r="F83" s="10"/>
    </row>
    <row r="84" spans="2:6" x14ac:dyDescent="0.15">
      <c r="B84" s="88"/>
      <c r="C84" s="10"/>
      <c r="D84" s="10"/>
      <c r="E84" s="10"/>
      <c r="F84" s="10"/>
    </row>
    <row r="85" spans="2:6" x14ac:dyDescent="0.15">
      <c r="B85" s="88">
        <v>9</v>
      </c>
      <c r="C85" s="10" t="s">
        <v>166</v>
      </c>
      <c r="D85" s="10" t="s">
        <v>167</v>
      </c>
      <c r="E85" s="13"/>
      <c r="F85" s="10"/>
    </row>
    <row r="86" spans="2:6" x14ac:dyDescent="0.15">
      <c r="B86" s="88"/>
      <c r="C86" s="10"/>
      <c r="D86" s="10" t="s">
        <v>168</v>
      </c>
      <c r="E86" s="10"/>
      <c r="F86" s="10"/>
    </row>
    <row r="87" spans="2:6" x14ac:dyDescent="0.15">
      <c r="B87" s="88"/>
      <c r="C87" s="10"/>
      <c r="D87" s="10" t="s">
        <v>169</v>
      </c>
      <c r="E87" s="10"/>
      <c r="F87" s="10"/>
    </row>
    <row r="88" spans="2:6" ht="28" x14ac:dyDescent="0.15">
      <c r="B88" s="88"/>
      <c r="C88" s="10"/>
      <c r="D88" s="94" t="s">
        <v>189</v>
      </c>
      <c r="E88" s="13" t="s">
        <v>190</v>
      </c>
      <c r="F88" s="10"/>
    </row>
    <row r="89" spans="2:6" x14ac:dyDescent="0.15">
      <c r="B89" s="88"/>
      <c r="C89" s="10"/>
      <c r="D89" s="10" t="s">
        <v>170</v>
      </c>
      <c r="E89" s="10"/>
      <c r="F89" s="10"/>
    </row>
    <row r="90" spans="2:6" x14ac:dyDescent="0.15">
      <c r="B90" s="88"/>
      <c r="C90" s="10"/>
      <c r="D90" s="10"/>
      <c r="E90" s="10"/>
      <c r="F90" s="10"/>
    </row>
    <row r="91" spans="2:6" x14ac:dyDescent="0.15">
      <c r="B91" s="88">
        <v>10</v>
      </c>
      <c r="C91" s="10" t="s">
        <v>89</v>
      </c>
      <c r="D91" s="10" t="s">
        <v>171</v>
      </c>
      <c r="E91" s="10"/>
      <c r="F91" s="10"/>
    </row>
    <row r="92" spans="2:6" x14ac:dyDescent="0.15">
      <c r="B92" s="88"/>
      <c r="C92" s="10"/>
      <c r="D92" s="10"/>
      <c r="E92" s="10"/>
      <c r="F92" s="10"/>
    </row>
    <row r="93" spans="2:6" x14ac:dyDescent="0.15">
      <c r="B93" s="88">
        <v>11</v>
      </c>
      <c r="C93" s="10" t="s">
        <v>172</v>
      </c>
      <c r="D93" s="10" t="s">
        <v>173</v>
      </c>
      <c r="E93" s="10"/>
      <c r="F93" s="10"/>
    </row>
    <row r="94" spans="2:6" x14ac:dyDescent="0.15">
      <c r="B94" s="88"/>
      <c r="C94" s="10"/>
      <c r="D94" s="10"/>
      <c r="E94" s="10"/>
      <c r="F94" s="10"/>
    </row>
    <row r="95" spans="2:6" x14ac:dyDescent="0.15">
      <c r="B95" s="88">
        <v>12</v>
      </c>
      <c r="C95" s="10" t="s">
        <v>174</v>
      </c>
      <c r="D95" s="10" t="s">
        <v>65</v>
      </c>
      <c r="E95" s="10" t="s">
        <v>185</v>
      </c>
      <c r="F95" s="10"/>
    </row>
    <row r="96" spans="2:6" x14ac:dyDescent="0.15">
      <c r="B96" s="88"/>
      <c r="C96" s="10"/>
      <c r="D96" s="10" t="s">
        <v>183</v>
      </c>
      <c r="E96" s="10" t="s">
        <v>186</v>
      </c>
      <c r="F96" s="10"/>
    </row>
    <row r="97" spans="2:6" x14ac:dyDescent="0.15">
      <c r="B97" s="88"/>
      <c r="C97" s="10"/>
      <c r="D97" s="10"/>
      <c r="E97" s="10" t="s">
        <v>184</v>
      </c>
      <c r="F97" s="10"/>
    </row>
    <row r="98" spans="2:6" x14ac:dyDescent="0.15">
      <c r="B98" s="88"/>
      <c r="C98" s="10"/>
      <c r="D98" s="10"/>
      <c r="E98" s="10"/>
      <c r="F98" s="10"/>
    </row>
    <row r="99" spans="2:6" x14ac:dyDescent="0.15">
      <c r="B99" s="88">
        <v>13</v>
      </c>
      <c r="C99" s="10" t="s">
        <v>175</v>
      </c>
      <c r="D99" s="10" t="s">
        <v>176</v>
      </c>
      <c r="E99" s="10"/>
      <c r="F99" s="10"/>
    </row>
    <row r="100" spans="2:6" x14ac:dyDescent="0.15">
      <c r="B100" s="88"/>
      <c r="C100" s="10"/>
      <c r="D100" s="10" t="s">
        <v>177</v>
      </c>
      <c r="E100" s="10"/>
      <c r="F100" s="10"/>
    </row>
    <row r="101" spans="2:6" x14ac:dyDescent="0.15">
      <c r="B101" s="88"/>
      <c r="C101" s="10"/>
      <c r="D101" s="10" t="s">
        <v>178</v>
      </c>
      <c r="E101" s="10"/>
      <c r="F101" s="10"/>
    </row>
    <row r="102" spans="2:6" x14ac:dyDescent="0.15">
      <c r="B102" s="88"/>
      <c r="C102" s="10"/>
      <c r="D102" s="10"/>
      <c r="E102" s="10"/>
      <c r="F102" s="10"/>
    </row>
    <row r="103" spans="2:6" x14ac:dyDescent="0.15">
      <c r="B103" s="88">
        <v>14</v>
      </c>
      <c r="C103" s="10" t="s">
        <v>179</v>
      </c>
      <c r="D103" s="10" t="s">
        <v>180</v>
      </c>
      <c r="E103" s="10" t="s">
        <v>182</v>
      </c>
      <c r="F103" s="10"/>
    </row>
    <row r="104" spans="2:6" x14ac:dyDescent="0.15">
      <c r="B104" s="88"/>
      <c r="C104" s="10"/>
      <c r="D104" s="10" t="s">
        <v>181</v>
      </c>
      <c r="E104" s="10"/>
      <c r="F104" s="10"/>
    </row>
    <row r="105" spans="2:6" x14ac:dyDescent="0.15">
      <c r="B105" s="88"/>
      <c r="C105" s="10"/>
      <c r="D105" s="10"/>
      <c r="E105" s="10"/>
      <c r="F105" s="10"/>
    </row>
    <row r="106" spans="2:6" x14ac:dyDescent="0.15">
      <c r="B106" s="88"/>
      <c r="C106" s="10"/>
      <c r="D106" s="10"/>
      <c r="E106" s="10"/>
      <c r="F106" s="10"/>
    </row>
    <row r="107" spans="2:6" x14ac:dyDescent="0.15">
      <c r="B107" s="88"/>
      <c r="C107" s="10"/>
      <c r="D107" s="10"/>
      <c r="E107" s="10"/>
      <c r="F107" s="10"/>
    </row>
    <row r="108" spans="2:6" x14ac:dyDescent="0.15">
      <c r="B108" s="88"/>
      <c r="C108" s="10"/>
      <c r="D108" s="10"/>
      <c r="E108" s="10"/>
      <c r="F10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W125"/>
  <sheetViews>
    <sheetView topLeftCell="G11" zoomScale="80" zoomScaleNormal="80" workbookViewId="0">
      <selection activeCell="L30" sqref="L30"/>
    </sheetView>
  </sheetViews>
  <sheetFormatPr baseColWidth="10" defaultColWidth="8.83203125" defaultRowHeight="15" x14ac:dyDescent="0.2"/>
  <cols>
    <col min="2" max="2" width="13.5" bestFit="1" customWidth="1"/>
    <col min="3" max="3" width="19.83203125" bestFit="1" customWidth="1"/>
    <col min="4" max="4" width="17.5" bestFit="1" customWidth="1"/>
    <col min="5" max="5" width="11.83203125" customWidth="1"/>
    <col min="6" max="6" width="19.83203125" bestFit="1" customWidth="1"/>
    <col min="7" max="7" width="22.5" customWidth="1"/>
    <col min="8" max="8" width="18.5" bestFit="1" customWidth="1"/>
    <col min="9" max="9" width="9.5" customWidth="1"/>
    <col min="10" max="10" width="18.83203125" customWidth="1"/>
    <col min="11" max="11" width="19.33203125" bestFit="1" customWidth="1"/>
    <col min="12" max="12" width="18" customWidth="1"/>
    <col min="13" max="13" width="19.33203125" bestFit="1" customWidth="1"/>
    <col min="14" max="14" width="20" customWidth="1"/>
    <col min="16" max="16" width="11.33203125" bestFit="1" customWidth="1"/>
    <col min="17" max="17" width="15.1640625" bestFit="1" customWidth="1"/>
    <col min="18" max="18" width="10.83203125" customWidth="1"/>
  </cols>
  <sheetData>
    <row r="2" spans="2:23" ht="16" thickBot="1" x14ac:dyDescent="0.25"/>
    <row r="3" spans="2:23" x14ac:dyDescent="0.2">
      <c r="B3" s="278" t="s">
        <v>434</v>
      </c>
      <c r="C3" s="278"/>
      <c r="D3" s="278"/>
      <c r="G3" s="278" t="s">
        <v>435</v>
      </c>
      <c r="H3" s="278"/>
      <c r="I3" s="278"/>
      <c r="P3" s="287" t="s">
        <v>436</v>
      </c>
      <c r="Q3" s="288"/>
      <c r="R3" s="288"/>
      <c r="S3" s="289"/>
      <c r="T3" s="287" t="s">
        <v>437</v>
      </c>
      <c r="U3" s="288"/>
      <c r="V3" s="288"/>
      <c r="W3" s="289"/>
    </row>
    <row r="4" spans="2:23" x14ac:dyDescent="0.2">
      <c r="B4" s="179" t="s">
        <v>438</v>
      </c>
      <c r="C4" s="290">
        <v>9500000</v>
      </c>
      <c r="D4" s="290"/>
      <c r="G4" s="179" t="s">
        <v>439</v>
      </c>
      <c r="H4" s="280">
        <v>200000</v>
      </c>
      <c r="I4" s="280"/>
      <c r="K4" s="180" t="s">
        <v>440</v>
      </c>
      <c r="L4" s="180" t="s">
        <v>78</v>
      </c>
      <c r="M4" s="180" t="s">
        <v>390</v>
      </c>
      <c r="N4" s="180" t="s">
        <v>441</v>
      </c>
      <c r="O4" s="180" t="s">
        <v>442</v>
      </c>
      <c r="P4" s="181" t="s">
        <v>443</v>
      </c>
      <c r="Q4" s="180" t="s">
        <v>284</v>
      </c>
      <c r="R4" s="180" t="s">
        <v>442</v>
      </c>
      <c r="S4" s="182" t="s">
        <v>444</v>
      </c>
      <c r="T4" s="181" t="s">
        <v>443</v>
      </c>
      <c r="U4" s="180" t="s">
        <v>284</v>
      </c>
      <c r="V4" s="180" t="s">
        <v>442</v>
      </c>
      <c r="W4" s="182" t="s">
        <v>444</v>
      </c>
    </row>
    <row r="5" spans="2:23" x14ac:dyDescent="0.2">
      <c r="B5" s="179" t="s">
        <v>445</v>
      </c>
      <c r="C5" s="281">
        <v>0.08</v>
      </c>
      <c r="D5" s="282"/>
      <c r="G5" s="179" t="s">
        <v>445</v>
      </c>
      <c r="H5" s="286">
        <v>0.12</v>
      </c>
      <c r="I5" s="286"/>
      <c r="K5" s="179" t="s">
        <v>446</v>
      </c>
      <c r="L5" s="179">
        <v>200</v>
      </c>
      <c r="M5" s="179">
        <v>560</v>
      </c>
      <c r="N5" s="183">
        <f t="shared" ref="N5:N12" si="0">(M5-L5)/L5</f>
        <v>1.8</v>
      </c>
      <c r="O5" s="184">
        <v>1</v>
      </c>
      <c r="P5" s="185">
        <v>17500</v>
      </c>
      <c r="Q5" s="186">
        <f>P5/L5</f>
        <v>87.5</v>
      </c>
      <c r="R5" s="187">
        <v>1</v>
      </c>
      <c r="S5" s="188"/>
      <c r="T5" s="185">
        <v>14000</v>
      </c>
      <c r="U5" s="189">
        <v>50</v>
      </c>
      <c r="V5" s="190">
        <v>1</v>
      </c>
      <c r="W5" s="188"/>
    </row>
    <row r="6" spans="2:23" x14ac:dyDescent="0.2">
      <c r="B6" s="179" t="s">
        <v>447</v>
      </c>
      <c r="C6" s="280">
        <v>30</v>
      </c>
      <c r="D6" s="280"/>
      <c r="G6" s="179" t="s">
        <v>447</v>
      </c>
      <c r="H6" s="280">
        <v>10</v>
      </c>
      <c r="I6" s="280"/>
      <c r="K6" s="179" t="s">
        <v>448</v>
      </c>
      <c r="L6" s="179">
        <v>450</v>
      </c>
      <c r="M6" s="179">
        <v>900</v>
      </c>
      <c r="N6" s="183">
        <f t="shared" si="0"/>
        <v>1</v>
      </c>
      <c r="O6" s="184">
        <v>5</v>
      </c>
      <c r="P6" s="185"/>
      <c r="S6" s="191"/>
      <c r="T6" s="185">
        <v>18000</v>
      </c>
      <c r="U6">
        <v>400</v>
      </c>
      <c r="V6">
        <v>2</v>
      </c>
      <c r="W6" s="191" t="s">
        <v>449</v>
      </c>
    </row>
    <row r="7" spans="2:23" x14ac:dyDescent="0.2">
      <c r="B7" s="179"/>
      <c r="C7" s="279"/>
      <c r="D7" s="279"/>
      <c r="G7" s="179"/>
      <c r="H7" s="279"/>
      <c r="I7" s="279"/>
      <c r="K7" s="179" t="s">
        <v>450</v>
      </c>
      <c r="L7" s="179">
        <v>32</v>
      </c>
      <c r="M7" s="179">
        <v>70</v>
      </c>
      <c r="N7" s="183">
        <f t="shared" si="0"/>
        <v>1.1875</v>
      </c>
      <c r="O7" s="184">
        <v>3</v>
      </c>
      <c r="P7" s="192"/>
      <c r="Q7" s="193"/>
      <c r="R7" s="193"/>
      <c r="S7" s="191"/>
      <c r="T7" s="192"/>
      <c r="W7" s="191"/>
    </row>
    <row r="8" spans="2:23" x14ac:dyDescent="0.2">
      <c r="B8" s="179"/>
      <c r="C8" s="279"/>
      <c r="D8" s="279"/>
      <c r="G8" s="179"/>
      <c r="H8" s="279"/>
      <c r="I8" s="279"/>
      <c r="K8" s="179" t="s">
        <v>451</v>
      </c>
      <c r="L8" s="179">
        <v>260</v>
      </c>
      <c r="M8" s="179">
        <v>400</v>
      </c>
      <c r="N8" s="183">
        <f t="shared" si="0"/>
        <v>0.53846153846153844</v>
      </c>
      <c r="O8" s="184">
        <v>6</v>
      </c>
      <c r="P8" s="192"/>
      <c r="S8" s="191"/>
      <c r="T8" s="192"/>
      <c r="W8" s="191"/>
    </row>
    <row r="9" spans="2:23" x14ac:dyDescent="0.2">
      <c r="B9" s="194" t="s">
        <v>439</v>
      </c>
      <c r="C9" s="277">
        <f>C4*(1/(1+C5)^C6)</f>
        <v>944084.6592231117</v>
      </c>
      <c r="D9" s="277"/>
      <c r="G9" s="194" t="s">
        <v>452</v>
      </c>
      <c r="H9" s="277">
        <f>H4*((1+H5)^H6)</f>
        <v>621169.64166884217</v>
      </c>
      <c r="I9" s="277"/>
      <c r="K9" s="179" t="s">
        <v>453</v>
      </c>
      <c r="L9" s="179">
        <v>300</v>
      </c>
      <c r="M9" s="179">
        <v>500</v>
      </c>
      <c r="N9" s="183">
        <f t="shared" si="0"/>
        <v>0.66666666666666663</v>
      </c>
      <c r="O9" s="184">
        <v>7</v>
      </c>
      <c r="P9" s="192"/>
      <c r="S9" s="191"/>
      <c r="T9" s="192"/>
      <c r="W9" s="191"/>
    </row>
    <row r="10" spans="2:23" x14ac:dyDescent="0.2">
      <c r="B10" s="194" t="s">
        <v>454</v>
      </c>
      <c r="C10" s="277">
        <f>C4-C9</f>
        <v>8555915.3407768887</v>
      </c>
      <c r="D10" s="277"/>
      <c r="G10" s="194" t="s">
        <v>454</v>
      </c>
      <c r="H10" s="285">
        <f>H9-H4</f>
        <v>421169.64166884217</v>
      </c>
      <c r="I10" s="285"/>
      <c r="K10" s="179" t="s">
        <v>455</v>
      </c>
      <c r="L10" s="179">
        <v>112</v>
      </c>
      <c r="M10" s="179">
        <v>272</v>
      </c>
      <c r="N10" s="183">
        <f t="shared" si="0"/>
        <v>1.4285714285714286</v>
      </c>
      <c r="O10" s="184">
        <v>2</v>
      </c>
      <c r="P10" s="192">
        <v>7000</v>
      </c>
      <c r="Q10" s="195">
        <f>P10/L10</f>
        <v>62.5</v>
      </c>
      <c r="R10" s="195">
        <v>1</v>
      </c>
      <c r="S10" s="191"/>
      <c r="T10" s="192"/>
      <c r="W10" s="191"/>
    </row>
    <row r="11" spans="2:23" x14ac:dyDescent="0.2">
      <c r="K11" s="179" t="s">
        <v>456</v>
      </c>
      <c r="L11" s="179">
        <v>700</v>
      </c>
      <c r="M11" s="179">
        <v>1500</v>
      </c>
      <c r="N11" s="183">
        <f t="shared" si="0"/>
        <v>1.1428571428571428</v>
      </c>
      <c r="O11" s="184">
        <v>4</v>
      </c>
      <c r="P11" s="196">
        <v>7000</v>
      </c>
      <c r="Q11" s="189">
        <v>200</v>
      </c>
      <c r="R11" s="190">
        <v>2</v>
      </c>
      <c r="S11" s="188"/>
      <c r="T11" s="196"/>
      <c r="U11" s="189"/>
      <c r="V11" s="190"/>
      <c r="W11" s="188"/>
    </row>
    <row r="12" spans="2:23" ht="16" thickBot="1" x14ac:dyDescent="0.25">
      <c r="K12" s="179" t="s">
        <v>457</v>
      </c>
      <c r="L12" s="179">
        <v>488</v>
      </c>
      <c r="M12" s="179">
        <v>900</v>
      </c>
      <c r="N12" s="183">
        <f t="shared" si="0"/>
        <v>0.84426229508196726</v>
      </c>
      <c r="O12" s="184"/>
      <c r="P12" s="197"/>
      <c r="Q12" s="198"/>
      <c r="R12" s="198"/>
      <c r="S12" s="199"/>
      <c r="T12" s="197"/>
      <c r="U12" s="198"/>
      <c r="V12" s="198"/>
      <c r="W12" s="199"/>
    </row>
    <row r="13" spans="2:23" x14ac:dyDescent="0.2">
      <c r="K13" s="200" t="s">
        <v>319</v>
      </c>
    </row>
    <row r="14" spans="2:23" x14ac:dyDescent="0.2">
      <c r="B14" s="278" t="s">
        <v>458</v>
      </c>
      <c r="C14" s="278"/>
      <c r="D14" s="278"/>
      <c r="G14" s="278" t="s">
        <v>459</v>
      </c>
      <c r="H14" s="278"/>
      <c r="I14" s="278"/>
      <c r="K14" s="178" t="s">
        <v>282</v>
      </c>
      <c r="L14" s="178" t="s">
        <v>0</v>
      </c>
      <c r="M14" s="178" t="s">
        <v>320</v>
      </c>
      <c r="N14" s="178" t="s">
        <v>321</v>
      </c>
      <c r="O14" s="178" t="s">
        <v>322</v>
      </c>
      <c r="P14" s="178" t="s">
        <v>323</v>
      </c>
      <c r="Q14" s="178" t="s">
        <v>324</v>
      </c>
      <c r="R14" s="178" t="s">
        <v>325</v>
      </c>
    </row>
    <row r="15" spans="2:23" x14ac:dyDescent="0.2">
      <c r="B15" s="179" t="s">
        <v>460</v>
      </c>
      <c r="C15" s="280">
        <v>24000</v>
      </c>
      <c r="D15" s="280"/>
      <c r="G15" s="179" t="s">
        <v>460</v>
      </c>
      <c r="H15" s="280">
        <v>200000</v>
      </c>
      <c r="I15" s="280"/>
      <c r="K15" s="179" t="s">
        <v>283</v>
      </c>
      <c r="L15" s="201">
        <v>50</v>
      </c>
      <c r="M15" s="202" t="s">
        <v>326</v>
      </c>
      <c r="N15" s="203">
        <v>4</v>
      </c>
      <c r="O15" s="203">
        <v>1</v>
      </c>
      <c r="P15" s="179">
        <f>N15/O15</f>
        <v>4</v>
      </c>
      <c r="Q15" s="179">
        <f>P15*L16</f>
        <v>4</v>
      </c>
      <c r="R15" s="204">
        <f>Q15+L16</f>
        <v>5</v>
      </c>
    </row>
    <row r="16" spans="2:23" x14ac:dyDescent="0.2">
      <c r="B16" s="179" t="s">
        <v>445</v>
      </c>
      <c r="C16" s="281">
        <v>0.1</v>
      </c>
      <c r="D16" s="282"/>
      <c r="G16" s="179" t="s">
        <v>445</v>
      </c>
      <c r="H16" s="281">
        <v>0.12</v>
      </c>
      <c r="I16" s="282"/>
      <c r="K16" s="179" t="s">
        <v>284</v>
      </c>
      <c r="L16" s="201">
        <v>1</v>
      </c>
      <c r="M16" s="202" t="s">
        <v>327</v>
      </c>
      <c r="N16" s="203">
        <v>1</v>
      </c>
      <c r="O16" s="203">
        <v>1</v>
      </c>
      <c r="P16" s="179">
        <f>N16/O16</f>
        <v>1</v>
      </c>
      <c r="Q16" s="179">
        <f>P16*R15</f>
        <v>5</v>
      </c>
      <c r="R16" s="179">
        <f>Q16+R15</f>
        <v>10</v>
      </c>
    </row>
    <row r="17" spans="2:18" x14ac:dyDescent="0.2">
      <c r="B17" s="179" t="s">
        <v>447</v>
      </c>
      <c r="C17" s="280">
        <v>20</v>
      </c>
      <c r="D17" s="280"/>
      <c r="G17" s="179" t="s">
        <v>447</v>
      </c>
      <c r="H17" s="280">
        <v>10</v>
      </c>
      <c r="I17" s="280"/>
      <c r="K17" s="179" t="s">
        <v>286</v>
      </c>
      <c r="L17" s="205">
        <f>L15*L16</f>
        <v>50</v>
      </c>
      <c r="M17" s="202" t="s">
        <v>328</v>
      </c>
      <c r="N17" s="203">
        <v>0</v>
      </c>
      <c r="O17" s="203">
        <v>2</v>
      </c>
      <c r="P17" s="179">
        <f>N17/O17</f>
        <v>0</v>
      </c>
      <c r="Q17" s="179">
        <f>P17*R16</f>
        <v>0</v>
      </c>
      <c r="R17" s="179">
        <f>Q17</f>
        <v>0</v>
      </c>
    </row>
    <row r="18" spans="2:18" x14ac:dyDescent="0.2">
      <c r="B18" s="179"/>
      <c r="C18" s="279"/>
      <c r="D18" s="279"/>
      <c r="G18" s="179"/>
      <c r="H18" s="279"/>
      <c r="I18" s="279"/>
      <c r="K18" s="179" t="s">
        <v>287</v>
      </c>
      <c r="L18" s="201">
        <v>95</v>
      </c>
      <c r="M18" s="202"/>
      <c r="N18" s="179"/>
      <c r="O18" s="179"/>
      <c r="P18" s="194" t="s">
        <v>329</v>
      </c>
      <c r="Q18" s="179"/>
      <c r="R18" s="179">
        <f>R17</f>
        <v>0</v>
      </c>
    </row>
    <row r="19" spans="2:18" x14ac:dyDescent="0.2">
      <c r="B19" s="194" t="s">
        <v>461</v>
      </c>
      <c r="C19" s="273">
        <f>( ( 1-  (1/ ( (1+C16)^C17) ) ) / C16)</f>
        <v>8.5135637197585652</v>
      </c>
      <c r="D19" s="274"/>
      <c r="G19" s="194" t="s">
        <v>462</v>
      </c>
      <c r="H19" s="273">
        <f>( ((1+H16)^H17) -1 ) / H16</f>
        <v>17.548735069535095</v>
      </c>
      <c r="I19" s="274"/>
      <c r="K19" s="179" t="s">
        <v>284</v>
      </c>
      <c r="L19" s="201">
        <v>10</v>
      </c>
      <c r="M19" s="202" t="s">
        <v>328</v>
      </c>
      <c r="N19" s="203">
        <v>10</v>
      </c>
      <c r="O19" s="203">
        <v>2</v>
      </c>
      <c r="P19" s="179">
        <f>N19/O19</f>
        <v>5</v>
      </c>
      <c r="Q19" s="204">
        <f>P19*L16</f>
        <v>5</v>
      </c>
      <c r="R19" s="204">
        <f>Q19</f>
        <v>5</v>
      </c>
    </row>
    <row r="20" spans="2:18" x14ac:dyDescent="0.2">
      <c r="B20" s="194" t="s">
        <v>463</v>
      </c>
      <c r="C20" s="283">
        <f>C19 * C15</f>
        <v>204325.52927420556</v>
      </c>
      <c r="D20" s="284"/>
      <c r="G20" s="194" t="s">
        <v>464</v>
      </c>
      <c r="H20" s="273">
        <f>H19 * H15</f>
        <v>3509747.013907019</v>
      </c>
      <c r="I20" s="274"/>
      <c r="K20" s="179" t="s">
        <v>286</v>
      </c>
      <c r="L20" s="205">
        <f>L19*L18</f>
        <v>950</v>
      </c>
      <c r="M20" s="179"/>
      <c r="N20" s="179"/>
      <c r="O20" s="179"/>
      <c r="P20" s="194" t="s">
        <v>329</v>
      </c>
      <c r="Q20" s="179"/>
      <c r="R20" s="179">
        <f>R19</f>
        <v>5</v>
      </c>
    </row>
    <row r="21" spans="2:18" x14ac:dyDescent="0.2">
      <c r="B21" s="194"/>
      <c r="C21" s="275"/>
      <c r="D21" s="276"/>
      <c r="G21" s="194"/>
      <c r="H21" s="275"/>
      <c r="I21" s="276"/>
      <c r="K21" s="179"/>
      <c r="L21" s="205"/>
      <c r="M21" s="202" t="s">
        <v>328</v>
      </c>
      <c r="N21" s="203">
        <v>10</v>
      </c>
      <c r="O21" s="203">
        <v>2</v>
      </c>
      <c r="P21" s="179">
        <f>N21/O21</f>
        <v>5</v>
      </c>
      <c r="Q21" s="179">
        <f>P21*R20</f>
        <v>25</v>
      </c>
      <c r="R21" s="179">
        <f>Q21</f>
        <v>25</v>
      </c>
    </row>
    <row r="22" spans="2:18" x14ac:dyDescent="0.2">
      <c r="B22" s="194"/>
      <c r="C22" s="277"/>
      <c r="D22" s="277"/>
      <c r="G22" s="194"/>
      <c r="H22" s="277"/>
      <c r="I22" s="277"/>
      <c r="K22" s="194" t="s">
        <v>289</v>
      </c>
      <c r="L22" s="206">
        <f>L20/L17</f>
        <v>19</v>
      </c>
      <c r="M22" s="202"/>
      <c r="N22" s="179"/>
      <c r="O22" s="179"/>
      <c r="P22" s="194" t="s">
        <v>329</v>
      </c>
      <c r="Q22" s="179"/>
      <c r="R22" s="179">
        <f>R21</f>
        <v>25</v>
      </c>
    </row>
    <row r="26" spans="2:18" x14ac:dyDescent="0.2">
      <c r="B26" s="278" t="s">
        <v>465</v>
      </c>
      <c r="C26" s="278"/>
      <c r="D26" s="278"/>
      <c r="G26" s="278" t="s">
        <v>466</v>
      </c>
      <c r="H26" s="278"/>
      <c r="I26" s="278"/>
      <c r="K26" s="278" t="s">
        <v>15</v>
      </c>
      <c r="L26" s="278"/>
    </row>
    <row r="27" spans="2:18" x14ac:dyDescent="0.2">
      <c r="B27" s="179" t="s">
        <v>460</v>
      </c>
      <c r="C27" s="280">
        <v>100</v>
      </c>
      <c r="D27" s="280"/>
      <c r="G27" s="179" t="s">
        <v>460</v>
      </c>
      <c r="H27" s="280">
        <v>200000</v>
      </c>
      <c r="I27" s="280"/>
      <c r="K27" s="10" t="s">
        <v>16</v>
      </c>
      <c r="L27" s="11">
        <v>45</v>
      </c>
      <c r="M27" s="260">
        <v>2000000</v>
      </c>
    </row>
    <row r="28" spans="2:18" x14ac:dyDescent="0.2">
      <c r="B28" s="179" t="s">
        <v>445</v>
      </c>
      <c r="C28" s="281">
        <v>0.05</v>
      </c>
      <c r="D28" s="282"/>
      <c r="G28" s="179" t="s">
        <v>445</v>
      </c>
      <c r="H28" s="281">
        <v>0.12</v>
      </c>
      <c r="I28" s="282"/>
      <c r="K28" s="10" t="s">
        <v>17</v>
      </c>
      <c r="L28" s="11">
        <v>240</v>
      </c>
      <c r="M28" s="205">
        <f>L41*M27</f>
        <v>10666666.666666666</v>
      </c>
      <c r="R28">
        <v>416</v>
      </c>
    </row>
    <row r="29" spans="2:18" x14ac:dyDescent="0.2">
      <c r="B29" s="179" t="s">
        <v>447</v>
      </c>
      <c r="C29" s="280">
        <v>3</v>
      </c>
      <c r="D29" s="280"/>
      <c r="G29" s="179" t="s">
        <v>447</v>
      </c>
      <c r="H29" s="280">
        <v>11</v>
      </c>
      <c r="I29" s="280"/>
      <c r="K29" s="10" t="s">
        <v>18</v>
      </c>
      <c r="L29" s="12">
        <v>8</v>
      </c>
      <c r="M29" s="259"/>
    </row>
    <row r="30" spans="2:18" ht="16" thickBot="1" x14ac:dyDescent="0.25">
      <c r="B30" s="179"/>
      <c r="C30" s="279"/>
      <c r="D30" s="279"/>
      <c r="G30" s="179"/>
      <c r="H30" s="279"/>
      <c r="I30" s="279"/>
      <c r="K30" s="13" t="s">
        <v>19</v>
      </c>
      <c r="L30" s="3">
        <f>((L28/L27)^(1/L29))-1</f>
        <v>0.23274951685376255</v>
      </c>
      <c r="M30" s="3"/>
    </row>
    <row r="31" spans="2:18" x14ac:dyDescent="0.2">
      <c r="B31" s="194" t="s">
        <v>461</v>
      </c>
      <c r="C31" s="273">
        <f>( ( ( 1-  (1/ ( (1+C28)^C29) ) ) / C28) ) * (1+C28)</f>
        <v>2.859410430839004</v>
      </c>
      <c r="D31" s="274"/>
      <c r="G31" s="194" t="s">
        <v>462</v>
      </c>
      <c r="H31" s="273">
        <f>(( ((1+H28)^H29) -1 ) / H28 ) * ( 1+H28)</f>
        <v>23.133133271224832</v>
      </c>
      <c r="I31" s="274"/>
      <c r="K31" s="13" t="s">
        <v>20</v>
      </c>
      <c r="L31" s="14">
        <f>L29*12</f>
        <v>96</v>
      </c>
      <c r="M31" s="261"/>
      <c r="P31" s="208" t="s">
        <v>467</v>
      </c>
      <c r="Q31" s="209" t="s">
        <v>468</v>
      </c>
    </row>
    <row r="32" spans="2:18" x14ac:dyDescent="0.2">
      <c r="B32" s="194" t="s">
        <v>469</v>
      </c>
      <c r="C32" s="273">
        <f>C31 * C27</f>
        <v>285.94104308390041</v>
      </c>
      <c r="D32" s="274"/>
      <c r="G32" s="194" t="s">
        <v>470</v>
      </c>
      <c r="H32" s="273">
        <f>H31 * H27</f>
        <v>4626626.6542449668</v>
      </c>
      <c r="I32" s="274"/>
      <c r="K32" s="10" t="s">
        <v>18</v>
      </c>
      <c r="L32" s="15">
        <f>L31/12</f>
        <v>8</v>
      </c>
      <c r="M32" s="262"/>
      <c r="P32" s="210">
        <v>0.05</v>
      </c>
      <c r="Q32" s="211">
        <v>14</v>
      </c>
    </row>
    <row r="33" spans="2:17" x14ac:dyDescent="0.2">
      <c r="B33" s="194"/>
      <c r="C33" s="275"/>
      <c r="D33" s="276"/>
      <c r="G33" s="194"/>
      <c r="H33" s="275"/>
      <c r="I33" s="276"/>
      <c r="K33" s="13" t="s">
        <v>21</v>
      </c>
      <c r="L33" s="3">
        <f>((L28/L27)^(1/L32))-1</f>
        <v>0.23274951685376255</v>
      </c>
      <c r="M33" s="263"/>
      <c r="P33" s="210">
        <v>0.08</v>
      </c>
      <c r="Q33" s="211">
        <v>9</v>
      </c>
    </row>
    <row r="34" spans="2:17" x14ac:dyDescent="0.2">
      <c r="B34" s="194"/>
      <c r="C34" s="277"/>
      <c r="D34" s="277"/>
      <c r="G34" s="194"/>
      <c r="H34" s="277"/>
      <c r="I34" s="277"/>
      <c r="P34" s="210">
        <v>0.1</v>
      </c>
      <c r="Q34" s="211">
        <v>10</v>
      </c>
    </row>
    <row r="35" spans="2:17" x14ac:dyDescent="0.2">
      <c r="P35" s="210">
        <v>0.15</v>
      </c>
      <c r="Q35" s="211">
        <v>5</v>
      </c>
    </row>
    <row r="36" spans="2:17" x14ac:dyDescent="0.2">
      <c r="B36" s="278" t="s">
        <v>24</v>
      </c>
      <c r="C36" s="278"/>
      <c r="D36" s="278"/>
      <c r="E36" s="212"/>
      <c r="G36" s="278" t="s">
        <v>53</v>
      </c>
      <c r="H36" s="278"/>
      <c r="K36" s="278" t="s">
        <v>334</v>
      </c>
      <c r="L36" s="278"/>
      <c r="P36" s="210">
        <v>0.2</v>
      </c>
      <c r="Q36" s="211">
        <v>4</v>
      </c>
    </row>
    <row r="37" spans="2:17" x14ac:dyDescent="0.2">
      <c r="B37" s="19" t="s">
        <v>25</v>
      </c>
      <c r="C37" s="19"/>
      <c r="D37" s="213">
        <v>1000000</v>
      </c>
      <c r="E37" s="212"/>
      <c r="G37" s="19" t="s">
        <v>29</v>
      </c>
      <c r="H37" s="44">
        <v>342</v>
      </c>
      <c r="K37" s="10" t="s">
        <v>16</v>
      </c>
      <c r="L37" s="11">
        <f>L27</f>
        <v>45</v>
      </c>
      <c r="M37" s="207"/>
      <c r="P37" s="210">
        <v>0.25</v>
      </c>
      <c r="Q37" s="211">
        <v>3</v>
      </c>
    </row>
    <row r="38" spans="2:17" x14ac:dyDescent="0.2">
      <c r="B38" s="19" t="s">
        <v>26</v>
      </c>
      <c r="C38" s="19"/>
      <c r="D38" s="21">
        <v>0.66</v>
      </c>
      <c r="E38" s="212"/>
      <c r="G38" s="19" t="s">
        <v>26</v>
      </c>
      <c r="H38" s="21">
        <v>0.12</v>
      </c>
      <c r="K38" s="10" t="s">
        <v>17</v>
      </c>
      <c r="L38" s="11">
        <f>L28</f>
        <v>240</v>
      </c>
      <c r="M38" s="207"/>
      <c r="P38" s="210">
        <v>0.3</v>
      </c>
      <c r="Q38" s="211">
        <v>2.5</v>
      </c>
    </row>
    <row r="39" spans="2:17" x14ac:dyDescent="0.2">
      <c r="B39" s="19" t="s">
        <v>27</v>
      </c>
      <c r="C39" s="19"/>
      <c r="D39" s="214">
        <v>6</v>
      </c>
      <c r="E39" s="212"/>
      <c r="G39" s="19" t="s">
        <v>27</v>
      </c>
      <c r="H39" s="22">
        <v>10</v>
      </c>
      <c r="K39" s="10" t="s">
        <v>471</v>
      </c>
      <c r="L39" s="10"/>
      <c r="M39" s="207"/>
      <c r="P39" s="215">
        <v>0.4</v>
      </c>
      <c r="Q39" s="216">
        <v>2</v>
      </c>
    </row>
    <row r="40" spans="2:17" x14ac:dyDescent="0.2">
      <c r="B40" s="19" t="s">
        <v>28</v>
      </c>
      <c r="C40" s="19"/>
      <c r="D40" s="23">
        <v>500000</v>
      </c>
      <c r="E40" s="212"/>
      <c r="G40" s="19" t="s">
        <v>28</v>
      </c>
      <c r="H40" s="20">
        <v>0</v>
      </c>
      <c r="K40" s="10" t="s">
        <v>335</v>
      </c>
      <c r="L40" s="183">
        <f>(L38-L37)/L37</f>
        <v>4.333333333333333</v>
      </c>
      <c r="P40" s="215">
        <v>0.5</v>
      </c>
      <c r="Q40" s="216">
        <v>1</v>
      </c>
    </row>
    <row r="41" spans="2:17" x14ac:dyDescent="0.2">
      <c r="B41" s="24" t="s">
        <v>29</v>
      </c>
      <c r="C41" s="24"/>
      <c r="D41" s="45">
        <f>FV(D38,D39,-D40,-D37)</f>
        <v>36018262.604416013</v>
      </c>
      <c r="E41" s="212"/>
      <c r="G41" s="24" t="s">
        <v>54</v>
      </c>
      <c r="H41" s="45">
        <f>PV(H38,H39,H40,-H37)</f>
        <v>110.11484691401803</v>
      </c>
      <c r="K41" s="10" t="s">
        <v>336</v>
      </c>
      <c r="L41" s="217">
        <f>L38/L37</f>
        <v>5.333333333333333</v>
      </c>
      <c r="P41" s="215">
        <v>0.75</v>
      </c>
      <c r="Q41" s="216">
        <v>1.3</v>
      </c>
    </row>
    <row r="42" spans="2:17" ht="16" thickBot="1" x14ac:dyDescent="0.25">
      <c r="B42" s="218" t="s">
        <v>472</v>
      </c>
      <c r="D42" s="219">
        <f>D41/10000000</f>
        <v>3.6018262604416011</v>
      </c>
      <c r="P42" s="220">
        <v>1</v>
      </c>
      <c r="Q42" s="221">
        <v>1</v>
      </c>
    </row>
    <row r="43" spans="2:17" ht="16" thickBot="1" x14ac:dyDescent="0.25">
      <c r="C43" s="272" t="s">
        <v>452</v>
      </c>
      <c r="D43" s="272"/>
      <c r="E43" s="272"/>
      <c r="F43" s="272"/>
      <c r="J43" s="272" t="s">
        <v>452</v>
      </c>
      <c r="K43" s="272"/>
      <c r="L43" s="272"/>
      <c r="M43" s="272"/>
    </row>
    <row r="44" spans="2:17" ht="16" thickBot="1" x14ac:dyDescent="0.25">
      <c r="B44" s="222"/>
      <c r="C44" s="265" t="s">
        <v>473</v>
      </c>
      <c r="D44" s="266"/>
      <c r="E44" s="223" t="s">
        <v>474</v>
      </c>
      <c r="F44" s="223"/>
      <c r="G44" s="224"/>
      <c r="I44" s="222"/>
      <c r="J44" s="265" t="s">
        <v>475</v>
      </c>
      <c r="K44" s="266"/>
      <c r="L44" s="223" t="s">
        <v>476</v>
      </c>
      <c r="M44" s="223"/>
      <c r="N44" s="224"/>
    </row>
    <row r="45" spans="2:17" ht="16" thickBot="1" x14ac:dyDescent="0.25">
      <c r="B45" s="192"/>
      <c r="G45" s="191"/>
      <c r="I45" s="192"/>
      <c r="N45" s="191"/>
    </row>
    <row r="46" spans="2:17" ht="16" thickBot="1" x14ac:dyDescent="0.25">
      <c r="B46" s="267" t="s">
        <v>477</v>
      </c>
      <c r="C46" s="268"/>
      <c r="D46" s="268"/>
      <c r="E46" s="268"/>
      <c r="F46" s="268"/>
      <c r="G46" s="269"/>
      <c r="I46" s="267" t="s">
        <v>477</v>
      </c>
      <c r="J46" s="268"/>
      <c r="K46" s="268"/>
      <c r="L46" s="268"/>
      <c r="M46" s="268"/>
      <c r="N46" s="269"/>
    </row>
    <row r="47" spans="2:17" x14ac:dyDescent="0.2">
      <c r="B47" s="192"/>
      <c r="D47" s="225">
        <v>1100000</v>
      </c>
      <c r="G47" s="191"/>
      <c r="I47" s="192"/>
      <c r="N47" s="191"/>
    </row>
    <row r="48" spans="2:17" ht="32" x14ac:dyDescent="0.2">
      <c r="B48" s="226" t="s">
        <v>14</v>
      </c>
      <c r="C48" s="227" t="s">
        <v>478</v>
      </c>
      <c r="D48" s="227" t="s">
        <v>479</v>
      </c>
      <c r="E48" s="227" t="s">
        <v>480</v>
      </c>
      <c r="F48" s="227" t="s">
        <v>481</v>
      </c>
      <c r="G48" s="228" t="s">
        <v>482</v>
      </c>
      <c r="I48" s="226" t="s">
        <v>14</v>
      </c>
      <c r="J48" s="227" t="s">
        <v>478</v>
      </c>
      <c r="K48" s="227" t="s">
        <v>483</v>
      </c>
      <c r="L48" s="227" t="s">
        <v>480</v>
      </c>
      <c r="M48" s="227" t="s">
        <v>481</v>
      </c>
      <c r="N48" s="228" t="s">
        <v>482</v>
      </c>
      <c r="O48" s="229" t="s">
        <v>484</v>
      </c>
      <c r="P48" s="230" t="s">
        <v>4</v>
      </c>
    </row>
    <row r="49" spans="1:16" x14ac:dyDescent="0.2">
      <c r="A49">
        <v>2013</v>
      </c>
      <c r="B49" s="231">
        <v>0</v>
      </c>
      <c r="C49" s="232">
        <v>0</v>
      </c>
      <c r="D49" s="233">
        <v>1000000</v>
      </c>
      <c r="E49" s="234">
        <v>0.5</v>
      </c>
      <c r="F49" s="235">
        <f xml:space="preserve"> (C49) * E49</f>
        <v>0</v>
      </c>
      <c r="G49" s="236">
        <f>C49+D49+F49</f>
        <v>1000000</v>
      </c>
      <c r="H49" s="207"/>
      <c r="I49" s="231">
        <v>0</v>
      </c>
      <c r="J49" s="232">
        <v>1</v>
      </c>
      <c r="K49" s="233">
        <v>0</v>
      </c>
      <c r="L49" s="234">
        <v>3</v>
      </c>
      <c r="M49" s="232">
        <f xml:space="preserve"> (J49+K49) * L49</f>
        <v>3</v>
      </c>
      <c r="N49" s="237">
        <f>J49+K49+M49</f>
        <v>4</v>
      </c>
      <c r="O49">
        <v>2015</v>
      </c>
      <c r="P49" s="238">
        <f t="shared" ref="P49:P64" si="1">N49/10000000</f>
        <v>3.9999999999999998E-7</v>
      </c>
    </row>
    <row r="50" spans="1:16" x14ac:dyDescent="0.2">
      <c r="A50">
        <f>A49+1</f>
        <v>2014</v>
      </c>
      <c r="B50" s="231">
        <f>B49+1</f>
        <v>1</v>
      </c>
      <c r="C50" s="232">
        <f t="shared" ref="C50:C79" si="2">G49</f>
        <v>1000000</v>
      </c>
      <c r="D50" s="233">
        <v>1500000</v>
      </c>
      <c r="E50" s="234">
        <f>E49</f>
        <v>0.5</v>
      </c>
      <c r="F50" s="235">
        <f t="shared" ref="F50:F79" si="3" xml:space="preserve"> (C50) * E50</f>
        <v>500000</v>
      </c>
      <c r="G50" s="236">
        <f t="shared" ref="G50:G80" si="4">C50+D50+F50</f>
        <v>3000000</v>
      </c>
      <c r="H50" s="207"/>
      <c r="I50" s="231">
        <f>I49+1</f>
        <v>1</v>
      </c>
      <c r="J50" s="232">
        <f>N49</f>
        <v>4</v>
      </c>
      <c r="K50" s="233">
        <v>0</v>
      </c>
      <c r="L50" s="234">
        <v>2</v>
      </c>
      <c r="M50" s="232">
        <f t="shared" ref="M50:M80" si="5" xml:space="preserve"> (J50+K50) * L50</f>
        <v>8</v>
      </c>
      <c r="N50" s="237">
        <f t="shared" ref="N50:N80" si="6">J50+K50+M50</f>
        <v>12</v>
      </c>
      <c r="O50">
        <f t="shared" ref="O50:O64" si="7">O49+1</f>
        <v>2016</v>
      </c>
      <c r="P50" s="238">
        <f t="shared" si="1"/>
        <v>1.1999999999999999E-6</v>
      </c>
    </row>
    <row r="51" spans="1:16" x14ac:dyDescent="0.2">
      <c r="A51">
        <f t="shared" ref="A51:B66" si="8">A50+1</f>
        <v>2015</v>
      </c>
      <c r="B51" s="231">
        <f t="shared" si="8"/>
        <v>2</v>
      </c>
      <c r="C51" s="232">
        <f t="shared" si="2"/>
        <v>3000000</v>
      </c>
      <c r="D51" s="233">
        <v>2000000</v>
      </c>
      <c r="E51" s="234">
        <f>E50</f>
        <v>0.5</v>
      </c>
      <c r="F51" s="235">
        <f t="shared" si="3"/>
        <v>1500000</v>
      </c>
      <c r="G51" s="236">
        <f t="shared" si="4"/>
        <v>6500000</v>
      </c>
      <c r="H51" s="207"/>
      <c r="I51" s="231">
        <f t="shared" ref="I51:I79" si="9">I50+1</f>
        <v>2</v>
      </c>
      <c r="J51" s="232">
        <f t="shared" ref="J51:J80" si="10">N50</f>
        <v>12</v>
      </c>
      <c r="K51" s="233">
        <v>0</v>
      </c>
      <c r="L51" s="234">
        <v>0.8</v>
      </c>
      <c r="M51" s="232">
        <f t="shared" si="5"/>
        <v>9.6000000000000014</v>
      </c>
      <c r="N51" s="237">
        <f t="shared" si="6"/>
        <v>21.6</v>
      </c>
      <c r="O51">
        <f t="shared" si="7"/>
        <v>2017</v>
      </c>
      <c r="P51" s="238">
        <f t="shared" si="1"/>
        <v>2.1600000000000001E-6</v>
      </c>
    </row>
    <row r="52" spans="1:16" x14ac:dyDescent="0.2">
      <c r="A52">
        <f t="shared" si="8"/>
        <v>2016</v>
      </c>
      <c r="B52" s="231">
        <f t="shared" si="8"/>
        <v>3</v>
      </c>
      <c r="C52" s="232">
        <f t="shared" si="2"/>
        <v>6500000</v>
      </c>
      <c r="D52" s="233">
        <v>2500000</v>
      </c>
      <c r="E52" s="234">
        <f t="shared" ref="E52:E70" si="11">E51</f>
        <v>0.5</v>
      </c>
      <c r="F52" s="235">
        <f t="shared" si="3"/>
        <v>3250000</v>
      </c>
      <c r="G52" s="236">
        <f t="shared" si="4"/>
        <v>12250000</v>
      </c>
      <c r="H52" s="207"/>
      <c r="I52" s="231">
        <f t="shared" si="9"/>
        <v>3</v>
      </c>
      <c r="J52" s="232">
        <f t="shared" si="10"/>
        <v>21.6</v>
      </c>
      <c r="K52" s="233">
        <v>0</v>
      </c>
      <c r="L52" s="239">
        <v>0.4</v>
      </c>
      <c r="M52" s="232">
        <f t="shared" si="5"/>
        <v>8.64</v>
      </c>
      <c r="N52" s="237">
        <f t="shared" si="6"/>
        <v>30.240000000000002</v>
      </c>
      <c r="O52">
        <f t="shared" si="7"/>
        <v>2018</v>
      </c>
      <c r="P52" s="238">
        <f t="shared" si="1"/>
        <v>3.0240000000000002E-6</v>
      </c>
    </row>
    <row r="53" spans="1:16" x14ac:dyDescent="0.2">
      <c r="A53">
        <f t="shared" si="8"/>
        <v>2017</v>
      </c>
      <c r="B53" s="231">
        <f t="shared" si="8"/>
        <v>4</v>
      </c>
      <c r="C53" s="232">
        <f t="shared" si="2"/>
        <v>12250000</v>
      </c>
      <c r="D53" s="233">
        <v>3000000</v>
      </c>
      <c r="E53" s="234">
        <f t="shared" si="11"/>
        <v>0.5</v>
      </c>
      <c r="F53" s="235">
        <f t="shared" si="3"/>
        <v>6125000</v>
      </c>
      <c r="G53" s="236">
        <f t="shared" si="4"/>
        <v>21375000</v>
      </c>
      <c r="H53" s="207"/>
      <c r="I53" s="231">
        <f t="shared" si="9"/>
        <v>4</v>
      </c>
      <c r="J53" s="232">
        <f t="shared" si="10"/>
        <v>30.240000000000002</v>
      </c>
      <c r="K53" s="233">
        <v>0</v>
      </c>
      <c r="L53" s="239">
        <v>0.3</v>
      </c>
      <c r="M53" s="232">
        <f t="shared" si="5"/>
        <v>9.072000000000001</v>
      </c>
      <c r="N53" s="237">
        <f t="shared" si="6"/>
        <v>39.312000000000005</v>
      </c>
      <c r="O53">
        <f t="shared" si="7"/>
        <v>2019</v>
      </c>
      <c r="P53" s="238">
        <f t="shared" si="1"/>
        <v>3.9312000000000006E-6</v>
      </c>
    </row>
    <row r="54" spans="1:16" x14ac:dyDescent="0.2">
      <c r="A54">
        <f t="shared" si="8"/>
        <v>2018</v>
      </c>
      <c r="B54" s="231">
        <f t="shared" si="8"/>
        <v>5</v>
      </c>
      <c r="C54" s="232">
        <f t="shared" si="2"/>
        <v>21375000</v>
      </c>
      <c r="D54" s="233">
        <v>3500000</v>
      </c>
      <c r="E54" s="234">
        <f t="shared" si="11"/>
        <v>0.5</v>
      </c>
      <c r="F54" s="235">
        <f t="shared" si="3"/>
        <v>10687500</v>
      </c>
      <c r="G54" s="236">
        <f t="shared" si="4"/>
        <v>35562500</v>
      </c>
      <c r="H54" s="207"/>
      <c r="I54" s="231">
        <f t="shared" si="9"/>
        <v>5</v>
      </c>
      <c r="J54" s="232">
        <f t="shared" si="10"/>
        <v>39.312000000000005</v>
      </c>
      <c r="K54" s="233">
        <v>0</v>
      </c>
      <c r="L54" s="234">
        <v>0.2</v>
      </c>
      <c r="M54" s="232">
        <f t="shared" si="5"/>
        <v>7.8624000000000009</v>
      </c>
      <c r="N54" s="237">
        <f t="shared" si="6"/>
        <v>47.174400000000006</v>
      </c>
      <c r="O54">
        <f t="shared" si="7"/>
        <v>2020</v>
      </c>
      <c r="P54" s="238">
        <f t="shared" si="1"/>
        <v>4.7174400000000002E-6</v>
      </c>
    </row>
    <row r="55" spans="1:16" x14ac:dyDescent="0.2">
      <c r="A55">
        <f t="shared" si="8"/>
        <v>2019</v>
      </c>
      <c r="B55" s="231">
        <f t="shared" si="8"/>
        <v>6</v>
      </c>
      <c r="C55" s="232">
        <f t="shared" si="2"/>
        <v>35562500</v>
      </c>
      <c r="D55" s="233">
        <v>4000000</v>
      </c>
      <c r="E55" s="234">
        <f t="shared" si="11"/>
        <v>0.5</v>
      </c>
      <c r="F55" s="235">
        <f t="shared" si="3"/>
        <v>17781250</v>
      </c>
      <c r="G55" s="236">
        <f t="shared" si="4"/>
        <v>57343750</v>
      </c>
      <c r="H55" s="207"/>
      <c r="I55" s="231">
        <f t="shared" si="9"/>
        <v>6</v>
      </c>
      <c r="J55" s="232">
        <f t="shared" si="10"/>
        <v>47.174400000000006</v>
      </c>
      <c r="K55" s="233">
        <v>0</v>
      </c>
      <c r="L55" s="234">
        <f t="shared" ref="L55:L67" si="12">L54</f>
        <v>0.2</v>
      </c>
      <c r="M55" s="232">
        <f t="shared" si="5"/>
        <v>9.4348800000000015</v>
      </c>
      <c r="N55" s="237">
        <f t="shared" si="6"/>
        <v>56.609280000000005</v>
      </c>
      <c r="O55">
        <f t="shared" si="7"/>
        <v>2021</v>
      </c>
      <c r="P55" s="238">
        <f t="shared" si="1"/>
        <v>5.6609280000000002E-6</v>
      </c>
    </row>
    <row r="56" spans="1:16" x14ac:dyDescent="0.2">
      <c r="A56">
        <f t="shared" si="8"/>
        <v>2020</v>
      </c>
      <c r="B56" s="231">
        <f t="shared" si="8"/>
        <v>7</v>
      </c>
      <c r="C56" s="232">
        <f t="shared" si="2"/>
        <v>57343750</v>
      </c>
      <c r="D56" s="233">
        <v>5000000</v>
      </c>
      <c r="E56" s="234">
        <f t="shared" si="11"/>
        <v>0.5</v>
      </c>
      <c r="F56" s="235">
        <f t="shared" si="3"/>
        <v>28671875</v>
      </c>
      <c r="G56" s="236">
        <f t="shared" si="4"/>
        <v>91015625</v>
      </c>
      <c r="H56" s="207">
        <f>G56/10000000</f>
        <v>9.1015625</v>
      </c>
      <c r="I56" s="231">
        <f t="shared" si="9"/>
        <v>7</v>
      </c>
      <c r="J56" s="232">
        <f t="shared" si="10"/>
        <v>56.609280000000005</v>
      </c>
      <c r="K56" s="233">
        <v>0</v>
      </c>
      <c r="L56" s="234">
        <f t="shared" si="12"/>
        <v>0.2</v>
      </c>
      <c r="M56" s="232">
        <f t="shared" si="5"/>
        <v>11.321856000000002</v>
      </c>
      <c r="N56" s="237">
        <f t="shared" si="6"/>
        <v>67.931136000000009</v>
      </c>
      <c r="O56">
        <f t="shared" si="7"/>
        <v>2022</v>
      </c>
      <c r="P56" s="238">
        <f t="shared" si="1"/>
        <v>6.7931136000000013E-6</v>
      </c>
    </row>
    <row r="57" spans="1:16" x14ac:dyDescent="0.2">
      <c r="A57">
        <f t="shared" si="8"/>
        <v>2021</v>
      </c>
      <c r="B57" s="231">
        <f t="shared" si="8"/>
        <v>8</v>
      </c>
      <c r="C57" s="232">
        <f t="shared" si="2"/>
        <v>91015625</v>
      </c>
      <c r="D57" s="233">
        <v>0</v>
      </c>
      <c r="E57" s="234">
        <f t="shared" si="11"/>
        <v>0.5</v>
      </c>
      <c r="F57" s="235">
        <f t="shared" si="3"/>
        <v>45507812.5</v>
      </c>
      <c r="G57" s="236">
        <f t="shared" si="4"/>
        <v>136523437.5</v>
      </c>
      <c r="H57" s="207"/>
      <c r="I57" s="231">
        <f t="shared" si="9"/>
        <v>8</v>
      </c>
      <c r="J57" s="232">
        <f t="shared" si="10"/>
        <v>67.931136000000009</v>
      </c>
      <c r="K57" s="233">
        <v>0</v>
      </c>
      <c r="L57" s="234">
        <f t="shared" si="12"/>
        <v>0.2</v>
      </c>
      <c r="M57" s="232">
        <f t="shared" si="5"/>
        <v>13.586227200000003</v>
      </c>
      <c r="N57" s="237">
        <f t="shared" si="6"/>
        <v>81.517363200000005</v>
      </c>
      <c r="O57">
        <f t="shared" si="7"/>
        <v>2023</v>
      </c>
      <c r="P57" s="238">
        <f t="shared" si="1"/>
        <v>8.1517363199999998E-6</v>
      </c>
    </row>
    <row r="58" spans="1:16" x14ac:dyDescent="0.2">
      <c r="A58">
        <f t="shared" si="8"/>
        <v>2022</v>
      </c>
      <c r="B58" s="231">
        <f t="shared" si="8"/>
        <v>9</v>
      </c>
      <c r="C58" s="232">
        <f t="shared" si="2"/>
        <v>136523437.5</v>
      </c>
      <c r="D58" s="233">
        <v>0</v>
      </c>
      <c r="E58" s="234">
        <f t="shared" si="11"/>
        <v>0.5</v>
      </c>
      <c r="F58" s="235">
        <f t="shared" si="3"/>
        <v>68261718.75</v>
      </c>
      <c r="G58" s="236">
        <f t="shared" si="4"/>
        <v>204785156.25</v>
      </c>
      <c r="H58" s="207"/>
      <c r="I58" s="231">
        <f t="shared" si="9"/>
        <v>9</v>
      </c>
      <c r="J58" s="232">
        <f t="shared" si="10"/>
        <v>81.517363200000005</v>
      </c>
      <c r="K58" s="233">
        <v>0</v>
      </c>
      <c r="L58" s="234">
        <f t="shared" si="12"/>
        <v>0.2</v>
      </c>
      <c r="M58" s="232">
        <f t="shared" si="5"/>
        <v>16.303472640000003</v>
      </c>
      <c r="N58" s="237">
        <f t="shared" si="6"/>
        <v>97.820835840000001</v>
      </c>
      <c r="O58">
        <f t="shared" si="7"/>
        <v>2024</v>
      </c>
      <c r="P58" s="238">
        <f t="shared" si="1"/>
        <v>9.7820835840000005E-6</v>
      </c>
    </row>
    <row r="59" spans="1:16" x14ac:dyDescent="0.2">
      <c r="A59">
        <f t="shared" si="8"/>
        <v>2023</v>
      </c>
      <c r="B59" s="231">
        <f t="shared" si="8"/>
        <v>10</v>
      </c>
      <c r="C59" s="232">
        <f t="shared" si="2"/>
        <v>204785156.25</v>
      </c>
      <c r="D59" s="233">
        <v>0</v>
      </c>
      <c r="E59" s="234">
        <f t="shared" si="11"/>
        <v>0.5</v>
      </c>
      <c r="F59" s="235">
        <f t="shared" si="3"/>
        <v>102392578.125</v>
      </c>
      <c r="G59" s="236">
        <f t="shared" si="4"/>
        <v>307177734.375</v>
      </c>
      <c r="H59" s="207"/>
      <c r="I59" s="231">
        <f t="shared" si="9"/>
        <v>10</v>
      </c>
      <c r="J59" s="232">
        <f t="shared" si="10"/>
        <v>97.820835840000001</v>
      </c>
      <c r="K59" s="233">
        <v>0</v>
      </c>
      <c r="L59" s="234">
        <f t="shared" si="12"/>
        <v>0.2</v>
      </c>
      <c r="M59" s="232">
        <f t="shared" si="5"/>
        <v>19.564167168000001</v>
      </c>
      <c r="N59" s="237">
        <f t="shared" si="6"/>
        <v>117.385003008</v>
      </c>
      <c r="O59">
        <f t="shared" si="7"/>
        <v>2025</v>
      </c>
      <c r="P59" s="238">
        <f t="shared" si="1"/>
        <v>1.17385003008E-5</v>
      </c>
    </row>
    <row r="60" spans="1:16" x14ac:dyDescent="0.2">
      <c r="A60">
        <f t="shared" si="8"/>
        <v>2024</v>
      </c>
      <c r="B60" s="231">
        <f t="shared" si="8"/>
        <v>11</v>
      </c>
      <c r="C60" s="232">
        <f t="shared" si="2"/>
        <v>307177734.375</v>
      </c>
      <c r="D60" s="233">
        <v>0</v>
      </c>
      <c r="E60" s="234">
        <f t="shared" si="11"/>
        <v>0.5</v>
      </c>
      <c r="F60" s="235">
        <f t="shared" si="3"/>
        <v>153588867.1875</v>
      </c>
      <c r="G60" s="236">
        <f t="shared" si="4"/>
        <v>460766601.5625</v>
      </c>
      <c r="H60" s="207"/>
      <c r="I60" s="231">
        <f t="shared" si="9"/>
        <v>11</v>
      </c>
      <c r="J60" s="232">
        <f t="shared" si="10"/>
        <v>117.385003008</v>
      </c>
      <c r="K60" s="233">
        <v>0</v>
      </c>
      <c r="L60" s="234">
        <f t="shared" si="12"/>
        <v>0.2</v>
      </c>
      <c r="M60" s="232">
        <f t="shared" si="5"/>
        <v>23.4770006016</v>
      </c>
      <c r="N60" s="237">
        <f t="shared" si="6"/>
        <v>140.86200360960001</v>
      </c>
      <c r="O60">
        <f t="shared" si="7"/>
        <v>2026</v>
      </c>
      <c r="P60" s="238">
        <f t="shared" si="1"/>
        <v>1.4086200360960001E-5</v>
      </c>
    </row>
    <row r="61" spans="1:16" x14ac:dyDescent="0.2">
      <c r="A61">
        <f t="shared" si="8"/>
        <v>2025</v>
      </c>
      <c r="B61" s="231">
        <f t="shared" si="8"/>
        <v>12</v>
      </c>
      <c r="C61" s="232">
        <f t="shared" si="2"/>
        <v>460766601.5625</v>
      </c>
      <c r="D61" s="233">
        <v>0</v>
      </c>
      <c r="E61" s="234">
        <f t="shared" si="11"/>
        <v>0.5</v>
      </c>
      <c r="F61" s="235">
        <f t="shared" si="3"/>
        <v>230383300.78125</v>
      </c>
      <c r="G61" s="236">
        <f t="shared" si="4"/>
        <v>691149902.34375</v>
      </c>
      <c r="H61" s="207"/>
      <c r="I61" s="231">
        <f t="shared" si="9"/>
        <v>12</v>
      </c>
      <c r="J61" s="232">
        <f t="shared" si="10"/>
        <v>140.86200360960001</v>
      </c>
      <c r="K61" s="233">
        <v>0</v>
      </c>
      <c r="L61" s="234">
        <f t="shared" si="12"/>
        <v>0.2</v>
      </c>
      <c r="M61" s="232">
        <f t="shared" si="5"/>
        <v>28.172400721920003</v>
      </c>
      <c r="N61" s="237">
        <f t="shared" si="6"/>
        <v>169.03440433152002</v>
      </c>
      <c r="O61">
        <f t="shared" si="7"/>
        <v>2027</v>
      </c>
      <c r="P61" s="238">
        <f t="shared" si="1"/>
        <v>1.6903440433152003E-5</v>
      </c>
    </row>
    <row r="62" spans="1:16" x14ac:dyDescent="0.2">
      <c r="A62">
        <f t="shared" si="8"/>
        <v>2026</v>
      </c>
      <c r="B62" s="231">
        <f t="shared" si="8"/>
        <v>13</v>
      </c>
      <c r="C62" s="232">
        <f t="shared" si="2"/>
        <v>691149902.34375</v>
      </c>
      <c r="D62" s="233">
        <v>0</v>
      </c>
      <c r="E62" s="234">
        <f t="shared" si="11"/>
        <v>0.5</v>
      </c>
      <c r="F62" s="235">
        <f t="shared" si="3"/>
        <v>345574951.171875</v>
      </c>
      <c r="G62" s="236">
        <f t="shared" si="4"/>
        <v>1036724853.515625</v>
      </c>
      <c r="H62" s="207"/>
      <c r="I62" s="231">
        <f t="shared" si="9"/>
        <v>13</v>
      </c>
      <c r="J62" s="232">
        <f t="shared" si="10"/>
        <v>169.03440433152002</v>
      </c>
      <c r="K62" s="233">
        <v>0</v>
      </c>
      <c r="L62" s="234">
        <f t="shared" si="12"/>
        <v>0.2</v>
      </c>
      <c r="M62" s="232">
        <f t="shared" si="5"/>
        <v>33.806880866304006</v>
      </c>
      <c r="N62" s="237">
        <f t="shared" si="6"/>
        <v>202.84128519782402</v>
      </c>
      <c r="O62">
        <f t="shared" si="7"/>
        <v>2028</v>
      </c>
      <c r="P62" s="238">
        <f t="shared" si="1"/>
        <v>2.0284128519782403E-5</v>
      </c>
    </row>
    <row r="63" spans="1:16" x14ac:dyDescent="0.2">
      <c r="A63">
        <f t="shared" si="8"/>
        <v>2027</v>
      </c>
      <c r="B63" s="231">
        <f t="shared" si="8"/>
        <v>14</v>
      </c>
      <c r="C63" s="232">
        <f t="shared" si="2"/>
        <v>1036724853.515625</v>
      </c>
      <c r="D63" s="233">
        <v>0</v>
      </c>
      <c r="E63" s="234">
        <f t="shared" si="11"/>
        <v>0.5</v>
      </c>
      <c r="F63" s="235">
        <f t="shared" si="3"/>
        <v>518362426.7578125</v>
      </c>
      <c r="G63" s="236">
        <f t="shared" si="4"/>
        <v>1555087280.2734375</v>
      </c>
      <c r="H63" s="207"/>
      <c r="I63" s="231">
        <f t="shared" si="9"/>
        <v>14</v>
      </c>
      <c r="J63" s="232">
        <f t="shared" si="10"/>
        <v>202.84128519782402</v>
      </c>
      <c r="K63" s="233">
        <v>0</v>
      </c>
      <c r="L63" s="234">
        <f t="shared" si="12"/>
        <v>0.2</v>
      </c>
      <c r="M63" s="232">
        <f t="shared" si="5"/>
        <v>40.568257039564806</v>
      </c>
      <c r="N63" s="237">
        <f t="shared" si="6"/>
        <v>243.40954223738882</v>
      </c>
      <c r="O63">
        <f t="shared" si="7"/>
        <v>2029</v>
      </c>
      <c r="P63" s="238">
        <f t="shared" si="1"/>
        <v>2.4340954223738881E-5</v>
      </c>
    </row>
    <row r="64" spans="1:16" x14ac:dyDescent="0.2">
      <c r="A64">
        <f t="shared" si="8"/>
        <v>2028</v>
      </c>
      <c r="B64" s="231">
        <f t="shared" si="8"/>
        <v>15</v>
      </c>
      <c r="C64" s="232">
        <f t="shared" si="2"/>
        <v>1555087280.2734375</v>
      </c>
      <c r="D64" s="233">
        <v>0</v>
      </c>
      <c r="E64" s="234">
        <f t="shared" si="11"/>
        <v>0.5</v>
      </c>
      <c r="F64" s="235">
        <f t="shared" si="3"/>
        <v>777543640.13671875</v>
      </c>
      <c r="G64" s="236">
        <f t="shared" si="4"/>
        <v>2332630920.4101562</v>
      </c>
      <c r="H64" s="207"/>
      <c r="I64" s="231">
        <f t="shared" si="9"/>
        <v>15</v>
      </c>
      <c r="J64" s="232">
        <f t="shared" si="10"/>
        <v>243.40954223738882</v>
      </c>
      <c r="K64" s="233">
        <v>0</v>
      </c>
      <c r="L64" s="234">
        <f t="shared" si="12"/>
        <v>0.2</v>
      </c>
      <c r="M64" s="232">
        <f t="shared" si="5"/>
        <v>48.681908447477767</v>
      </c>
      <c r="N64" s="237">
        <f t="shared" si="6"/>
        <v>292.09145068486657</v>
      </c>
      <c r="O64">
        <f t="shared" si="7"/>
        <v>2030</v>
      </c>
      <c r="P64" s="238">
        <f t="shared" si="1"/>
        <v>2.9209145068486657E-5</v>
      </c>
    </row>
    <row r="65" spans="1:14" x14ac:dyDescent="0.2">
      <c r="A65">
        <f t="shared" si="8"/>
        <v>2029</v>
      </c>
      <c r="B65" s="231">
        <f t="shared" si="8"/>
        <v>16</v>
      </c>
      <c r="C65" s="232">
        <f t="shared" si="2"/>
        <v>2332630920.4101562</v>
      </c>
      <c r="D65" s="233">
        <v>0</v>
      </c>
      <c r="E65" s="234">
        <f t="shared" si="11"/>
        <v>0.5</v>
      </c>
      <c r="F65" s="235">
        <f t="shared" si="3"/>
        <v>1166315460.2050781</v>
      </c>
      <c r="G65" s="236">
        <f t="shared" si="4"/>
        <v>3498946380.6152344</v>
      </c>
      <c r="H65" s="207"/>
      <c r="I65" s="231">
        <f t="shared" si="9"/>
        <v>16</v>
      </c>
      <c r="J65" s="232">
        <f t="shared" si="10"/>
        <v>292.09145068486657</v>
      </c>
      <c r="K65" s="233">
        <v>0</v>
      </c>
      <c r="L65" s="234">
        <f t="shared" si="12"/>
        <v>0.2</v>
      </c>
      <c r="M65" s="232">
        <f t="shared" si="5"/>
        <v>58.418290136973319</v>
      </c>
      <c r="N65" s="237">
        <f t="shared" si="6"/>
        <v>350.5097408218399</v>
      </c>
    </row>
    <row r="66" spans="1:14" x14ac:dyDescent="0.2">
      <c r="A66" s="240">
        <f t="shared" si="8"/>
        <v>2030</v>
      </c>
      <c r="B66" s="231">
        <f t="shared" si="8"/>
        <v>17</v>
      </c>
      <c r="C66" s="232">
        <f t="shared" si="2"/>
        <v>3498946380.6152344</v>
      </c>
      <c r="D66" s="233">
        <v>0</v>
      </c>
      <c r="E66" s="234">
        <f t="shared" si="11"/>
        <v>0.5</v>
      </c>
      <c r="F66" s="235">
        <f t="shared" si="3"/>
        <v>1749473190.3076172</v>
      </c>
      <c r="G66" s="241">
        <f t="shared" si="4"/>
        <v>5248419570.9228516</v>
      </c>
      <c r="H66" s="207">
        <f>G66/10000000</f>
        <v>524.84195709228516</v>
      </c>
      <c r="I66" s="231">
        <f t="shared" si="9"/>
        <v>17</v>
      </c>
      <c r="J66" s="232">
        <f t="shared" si="10"/>
        <v>350.5097408218399</v>
      </c>
      <c r="K66" s="233">
        <v>0</v>
      </c>
      <c r="L66" s="234">
        <f t="shared" si="12"/>
        <v>0.2</v>
      </c>
      <c r="M66" s="232">
        <f t="shared" si="5"/>
        <v>70.101948164367982</v>
      </c>
      <c r="N66" s="237">
        <f t="shared" si="6"/>
        <v>420.61168898620787</v>
      </c>
    </row>
    <row r="67" spans="1:14" x14ac:dyDescent="0.2">
      <c r="A67">
        <f t="shared" ref="A67:B79" si="13">A66+1</f>
        <v>2031</v>
      </c>
      <c r="B67" s="231">
        <f t="shared" si="13"/>
        <v>18</v>
      </c>
      <c r="C67" s="232">
        <f t="shared" si="2"/>
        <v>5248419570.9228516</v>
      </c>
      <c r="D67" s="233">
        <v>0</v>
      </c>
      <c r="E67" s="234">
        <v>0</v>
      </c>
      <c r="F67" s="235">
        <f t="shared" si="3"/>
        <v>0</v>
      </c>
      <c r="G67" s="236">
        <f t="shared" si="4"/>
        <v>5248419570.9228516</v>
      </c>
      <c r="H67" s="195"/>
      <c r="I67" s="231">
        <f t="shared" si="9"/>
        <v>18</v>
      </c>
      <c r="J67" s="232">
        <f t="shared" si="10"/>
        <v>420.61168898620787</v>
      </c>
      <c r="K67" s="233">
        <v>0</v>
      </c>
      <c r="L67" s="234">
        <f t="shared" si="12"/>
        <v>0.2</v>
      </c>
      <c r="M67" s="232">
        <f t="shared" si="5"/>
        <v>84.122337797241585</v>
      </c>
      <c r="N67" s="237">
        <f t="shared" si="6"/>
        <v>504.73402678344945</v>
      </c>
    </row>
    <row r="68" spans="1:14" x14ac:dyDescent="0.2">
      <c r="B68" s="231">
        <f t="shared" si="13"/>
        <v>19</v>
      </c>
      <c r="C68" s="232">
        <f t="shared" si="2"/>
        <v>5248419570.9228516</v>
      </c>
      <c r="D68" s="233">
        <v>0</v>
      </c>
      <c r="E68" s="234">
        <v>0</v>
      </c>
      <c r="F68" s="235">
        <f t="shared" si="3"/>
        <v>0</v>
      </c>
      <c r="G68" s="236">
        <f t="shared" si="4"/>
        <v>5248419570.9228516</v>
      </c>
      <c r="H68" s="242" t="e">
        <f>H49/C49</f>
        <v>#DIV/0!</v>
      </c>
      <c r="I68" s="231">
        <f t="shared" si="9"/>
        <v>19</v>
      </c>
      <c r="J68" s="232">
        <f t="shared" si="10"/>
        <v>504.73402678344945</v>
      </c>
      <c r="K68" s="233"/>
      <c r="L68" s="234"/>
      <c r="M68" s="232">
        <f t="shared" si="5"/>
        <v>0</v>
      </c>
      <c r="N68" s="237">
        <f t="shared" si="6"/>
        <v>504.73402678344945</v>
      </c>
    </row>
    <row r="69" spans="1:14" x14ac:dyDescent="0.2">
      <c r="B69" s="231">
        <f t="shared" si="13"/>
        <v>20</v>
      </c>
      <c r="C69" s="232">
        <f t="shared" si="2"/>
        <v>5248419570.9228516</v>
      </c>
      <c r="D69" s="233">
        <v>0</v>
      </c>
      <c r="E69" s="234">
        <f t="shared" si="11"/>
        <v>0</v>
      </c>
      <c r="F69" s="235">
        <f t="shared" si="3"/>
        <v>0</v>
      </c>
      <c r="G69" s="236">
        <f t="shared" si="4"/>
        <v>5248419570.9228516</v>
      </c>
      <c r="H69" s="242">
        <f t="shared" ref="H69:H88" si="14">H50/C50</f>
        <v>0</v>
      </c>
      <c r="I69" s="231">
        <f t="shared" si="9"/>
        <v>20</v>
      </c>
      <c r="J69" s="232">
        <f t="shared" si="10"/>
        <v>504.73402678344945</v>
      </c>
      <c r="K69" s="233"/>
      <c r="L69" s="234"/>
      <c r="M69" s="232">
        <f t="shared" si="5"/>
        <v>0</v>
      </c>
      <c r="N69" s="237">
        <f t="shared" si="6"/>
        <v>504.73402678344945</v>
      </c>
    </row>
    <row r="70" spans="1:14" x14ac:dyDescent="0.2">
      <c r="B70" s="231">
        <f t="shared" si="13"/>
        <v>21</v>
      </c>
      <c r="C70" s="232">
        <f t="shared" si="2"/>
        <v>5248419570.9228516</v>
      </c>
      <c r="D70" s="233"/>
      <c r="E70" s="234">
        <f t="shared" si="11"/>
        <v>0</v>
      </c>
      <c r="F70" s="235">
        <f t="shared" si="3"/>
        <v>0</v>
      </c>
      <c r="G70" s="236">
        <f t="shared" si="4"/>
        <v>5248419570.9228516</v>
      </c>
      <c r="H70" s="242">
        <f t="shared" si="14"/>
        <v>0</v>
      </c>
      <c r="I70" s="231">
        <f t="shared" si="9"/>
        <v>21</v>
      </c>
      <c r="J70" s="232">
        <f t="shared" si="10"/>
        <v>504.73402678344945</v>
      </c>
      <c r="K70" s="233"/>
      <c r="L70" s="234"/>
      <c r="M70" s="232">
        <f t="shared" si="5"/>
        <v>0</v>
      </c>
      <c r="N70" s="237">
        <f t="shared" si="6"/>
        <v>504.73402678344945</v>
      </c>
    </row>
    <row r="71" spans="1:14" x14ac:dyDescent="0.2">
      <c r="B71" s="231">
        <f t="shared" si="13"/>
        <v>22</v>
      </c>
      <c r="C71" s="232">
        <f t="shared" si="2"/>
        <v>5248419570.9228516</v>
      </c>
      <c r="D71" s="233"/>
      <c r="E71" s="234"/>
      <c r="F71" s="235">
        <f t="shared" si="3"/>
        <v>0</v>
      </c>
      <c r="G71" s="236">
        <f t="shared" si="4"/>
        <v>5248419570.9228516</v>
      </c>
      <c r="H71" s="242">
        <f t="shared" si="14"/>
        <v>0</v>
      </c>
      <c r="I71" s="231">
        <f t="shared" si="9"/>
        <v>22</v>
      </c>
      <c r="J71" s="232">
        <f t="shared" si="10"/>
        <v>504.73402678344945</v>
      </c>
      <c r="K71" s="233"/>
      <c r="L71" s="234"/>
      <c r="M71" s="232">
        <f t="shared" si="5"/>
        <v>0</v>
      </c>
      <c r="N71" s="237">
        <f t="shared" si="6"/>
        <v>504.73402678344945</v>
      </c>
    </row>
    <row r="72" spans="1:14" x14ac:dyDescent="0.2">
      <c r="B72" s="231">
        <f t="shared" si="13"/>
        <v>23</v>
      </c>
      <c r="C72" s="232">
        <f t="shared" si="2"/>
        <v>5248419570.9228516</v>
      </c>
      <c r="D72" s="233"/>
      <c r="E72" s="234"/>
      <c r="F72" s="235">
        <f t="shared" si="3"/>
        <v>0</v>
      </c>
      <c r="G72" s="236">
        <f t="shared" si="4"/>
        <v>5248419570.9228516</v>
      </c>
      <c r="H72" s="242">
        <f t="shared" si="14"/>
        <v>0</v>
      </c>
      <c r="I72" s="231">
        <f t="shared" si="9"/>
        <v>23</v>
      </c>
      <c r="J72" s="232">
        <f t="shared" si="10"/>
        <v>504.73402678344945</v>
      </c>
      <c r="K72" s="233"/>
      <c r="L72" s="234"/>
      <c r="M72" s="232">
        <f t="shared" si="5"/>
        <v>0</v>
      </c>
      <c r="N72" s="237">
        <f t="shared" si="6"/>
        <v>504.73402678344945</v>
      </c>
    </row>
    <row r="73" spans="1:14" x14ac:dyDescent="0.2">
      <c r="B73" s="231">
        <f t="shared" si="13"/>
        <v>24</v>
      </c>
      <c r="C73" s="232">
        <f t="shared" si="2"/>
        <v>5248419570.9228516</v>
      </c>
      <c r="D73" s="233"/>
      <c r="E73" s="234"/>
      <c r="F73" s="235">
        <f t="shared" si="3"/>
        <v>0</v>
      </c>
      <c r="G73" s="236">
        <f t="shared" si="4"/>
        <v>5248419570.9228516</v>
      </c>
      <c r="H73" s="242">
        <f t="shared" si="14"/>
        <v>0</v>
      </c>
      <c r="I73" s="231">
        <f t="shared" si="9"/>
        <v>24</v>
      </c>
      <c r="J73" s="232">
        <f t="shared" si="10"/>
        <v>504.73402678344945</v>
      </c>
      <c r="K73" s="233"/>
      <c r="L73" s="234"/>
      <c r="M73" s="232">
        <f t="shared" si="5"/>
        <v>0</v>
      </c>
      <c r="N73" s="237">
        <f t="shared" si="6"/>
        <v>504.73402678344945</v>
      </c>
    </row>
    <row r="74" spans="1:14" x14ac:dyDescent="0.2">
      <c r="B74" s="231">
        <f t="shared" si="13"/>
        <v>25</v>
      </c>
      <c r="C74" s="232">
        <f t="shared" si="2"/>
        <v>5248419570.9228516</v>
      </c>
      <c r="D74" s="233"/>
      <c r="E74" s="234"/>
      <c r="F74" s="235">
        <f t="shared" si="3"/>
        <v>0</v>
      </c>
      <c r="G74" s="236">
        <f t="shared" si="4"/>
        <v>5248419570.9228516</v>
      </c>
      <c r="H74" s="242">
        <f t="shared" si="14"/>
        <v>0</v>
      </c>
      <c r="I74" s="231">
        <f t="shared" si="9"/>
        <v>25</v>
      </c>
      <c r="J74" s="232">
        <f t="shared" si="10"/>
        <v>504.73402678344945</v>
      </c>
      <c r="K74" s="233"/>
      <c r="L74" s="234"/>
      <c r="M74" s="232">
        <f t="shared" si="5"/>
        <v>0</v>
      </c>
      <c r="N74" s="237">
        <f t="shared" si="6"/>
        <v>504.73402678344945</v>
      </c>
    </row>
    <row r="75" spans="1:14" x14ac:dyDescent="0.2">
      <c r="B75" s="231">
        <f t="shared" si="13"/>
        <v>26</v>
      </c>
      <c r="C75" s="232">
        <f t="shared" si="2"/>
        <v>5248419570.9228516</v>
      </c>
      <c r="D75" s="233"/>
      <c r="E75" s="234"/>
      <c r="F75" s="235">
        <f t="shared" si="3"/>
        <v>0</v>
      </c>
      <c r="G75" s="236">
        <f t="shared" si="4"/>
        <v>5248419570.9228516</v>
      </c>
      <c r="H75" s="242">
        <f t="shared" si="14"/>
        <v>1.5871934604904632E-7</v>
      </c>
      <c r="I75" s="231">
        <f t="shared" si="9"/>
        <v>26</v>
      </c>
      <c r="J75" s="232">
        <f t="shared" si="10"/>
        <v>504.73402678344945</v>
      </c>
      <c r="K75" s="233"/>
      <c r="L75" s="234"/>
      <c r="M75" s="232">
        <f t="shared" si="5"/>
        <v>0</v>
      </c>
      <c r="N75" s="237">
        <f t="shared" si="6"/>
        <v>504.73402678344945</v>
      </c>
    </row>
    <row r="76" spans="1:14" x14ac:dyDescent="0.2">
      <c r="B76" s="231">
        <f t="shared" si="13"/>
        <v>27</v>
      </c>
      <c r="C76" s="232">
        <f t="shared" si="2"/>
        <v>5248419570.9228516</v>
      </c>
      <c r="D76" s="233"/>
      <c r="E76" s="234"/>
      <c r="F76" s="235">
        <f t="shared" si="3"/>
        <v>0</v>
      </c>
      <c r="G76" s="236">
        <f t="shared" si="4"/>
        <v>5248419570.9228516</v>
      </c>
      <c r="H76" s="242">
        <f t="shared" si="14"/>
        <v>0</v>
      </c>
      <c r="I76" s="231">
        <f t="shared" si="9"/>
        <v>27</v>
      </c>
      <c r="J76" s="232">
        <f t="shared" si="10"/>
        <v>504.73402678344945</v>
      </c>
      <c r="K76" s="233"/>
      <c r="L76" s="234"/>
      <c r="M76" s="232">
        <f t="shared" si="5"/>
        <v>0</v>
      </c>
      <c r="N76" s="237">
        <f t="shared" si="6"/>
        <v>504.73402678344945</v>
      </c>
    </row>
    <row r="77" spans="1:14" x14ac:dyDescent="0.2">
      <c r="B77" s="231">
        <f t="shared" si="13"/>
        <v>28</v>
      </c>
      <c r="C77" s="232">
        <f t="shared" si="2"/>
        <v>5248419570.9228516</v>
      </c>
      <c r="D77" s="233"/>
      <c r="E77" s="234"/>
      <c r="F77" s="235">
        <f t="shared" si="3"/>
        <v>0</v>
      </c>
      <c r="G77" s="236">
        <f t="shared" si="4"/>
        <v>5248419570.9228516</v>
      </c>
      <c r="H77" s="242">
        <f t="shared" si="14"/>
        <v>0</v>
      </c>
      <c r="I77" s="231">
        <f t="shared" si="9"/>
        <v>28</v>
      </c>
      <c r="J77" s="232">
        <f t="shared" si="10"/>
        <v>504.73402678344945</v>
      </c>
      <c r="K77" s="233"/>
      <c r="L77" s="234"/>
      <c r="M77" s="232">
        <f t="shared" si="5"/>
        <v>0</v>
      </c>
      <c r="N77" s="237">
        <f t="shared" si="6"/>
        <v>504.73402678344945</v>
      </c>
    </row>
    <row r="78" spans="1:14" x14ac:dyDescent="0.2">
      <c r="B78" s="231">
        <f t="shared" si="13"/>
        <v>29</v>
      </c>
      <c r="C78" s="232">
        <f t="shared" si="2"/>
        <v>5248419570.9228516</v>
      </c>
      <c r="D78" s="233"/>
      <c r="E78" s="234"/>
      <c r="F78" s="235">
        <f t="shared" si="3"/>
        <v>0</v>
      </c>
      <c r="G78" s="236">
        <f t="shared" si="4"/>
        <v>5248419570.9228516</v>
      </c>
      <c r="H78" s="242">
        <f t="shared" si="14"/>
        <v>0</v>
      </c>
      <c r="I78" s="231">
        <f t="shared" si="9"/>
        <v>29</v>
      </c>
      <c r="J78" s="232">
        <f t="shared" si="10"/>
        <v>504.73402678344945</v>
      </c>
      <c r="K78" s="233"/>
      <c r="L78" s="234"/>
      <c r="M78" s="232">
        <f t="shared" si="5"/>
        <v>0</v>
      </c>
      <c r="N78" s="237">
        <f t="shared" si="6"/>
        <v>504.73402678344945</v>
      </c>
    </row>
    <row r="79" spans="1:14" x14ac:dyDescent="0.2">
      <c r="B79" s="231">
        <f t="shared" si="13"/>
        <v>30</v>
      </c>
      <c r="C79" s="232">
        <f t="shared" si="2"/>
        <v>5248419570.9228516</v>
      </c>
      <c r="D79" s="233"/>
      <c r="E79" s="234"/>
      <c r="F79" s="235">
        <f t="shared" si="3"/>
        <v>0</v>
      </c>
      <c r="G79" s="236">
        <f t="shared" si="4"/>
        <v>5248419570.9228516</v>
      </c>
      <c r="H79" s="242">
        <f t="shared" si="14"/>
        <v>0</v>
      </c>
      <c r="I79" s="231">
        <f t="shared" si="9"/>
        <v>30</v>
      </c>
      <c r="J79" s="232">
        <f t="shared" si="10"/>
        <v>504.73402678344945</v>
      </c>
      <c r="K79" s="233"/>
      <c r="L79" s="234"/>
      <c r="M79" s="232">
        <f t="shared" si="5"/>
        <v>0</v>
      </c>
      <c r="N79" s="237">
        <f t="shared" si="6"/>
        <v>504.73402678344945</v>
      </c>
    </row>
    <row r="80" spans="1:14" ht="16" thickBot="1" x14ac:dyDescent="0.25">
      <c r="B80" s="231"/>
      <c r="C80" s="243"/>
      <c r="D80" s="233"/>
      <c r="E80" s="234"/>
      <c r="F80" s="243"/>
      <c r="G80" s="236">
        <f t="shared" si="4"/>
        <v>0</v>
      </c>
      <c r="H80" s="242">
        <f t="shared" si="14"/>
        <v>0</v>
      </c>
      <c r="I80" s="231"/>
      <c r="J80" s="232">
        <f t="shared" si="10"/>
        <v>504.73402678344945</v>
      </c>
      <c r="K80" s="233"/>
      <c r="L80" s="234"/>
      <c r="M80" s="232">
        <f t="shared" si="5"/>
        <v>0</v>
      </c>
      <c r="N80" s="237">
        <f t="shared" si="6"/>
        <v>504.73402678344945</v>
      </c>
    </row>
    <row r="81" spans="2:14" ht="16" thickBot="1" x14ac:dyDescent="0.25">
      <c r="B81" s="270" t="s">
        <v>485</v>
      </c>
      <c r="C81" s="271"/>
      <c r="D81" s="244">
        <f>SUM(D48:D80)</f>
        <v>22500000</v>
      </c>
      <c r="E81" s="245"/>
      <c r="F81" s="245"/>
      <c r="G81" s="246">
        <f>G78</f>
        <v>5248419570.9228516</v>
      </c>
      <c r="H81" s="242">
        <f t="shared" si="14"/>
        <v>0</v>
      </c>
      <c r="I81" s="270" t="s">
        <v>485</v>
      </c>
      <c r="J81" s="271"/>
      <c r="K81" s="247">
        <f>SUM(K48:K80)</f>
        <v>0</v>
      </c>
      <c r="L81" s="245"/>
      <c r="M81" s="244"/>
      <c r="N81" s="248">
        <f>N78</f>
        <v>504.73402678344945</v>
      </c>
    </row>
    <row r="82" spans="2:14" ht="16" thickBot="1" x14ac:dyDescent="0.25">
      <c r="B82" s="249"/>
      <c r="C82" s="250" t="s">
        <v>486</v>
      </c>
      <c r="D82" s="251">
        <f>D81/10000000</f>
        <v>2.25</v>
      </c>
      <c r="E82" s="250"/>
      <c r="F82" s="250"/>
      <c r="G82" s="252">
        <f>G81/10000000</f>
        <v>524.84195709228516</v>
      </c>
      <c r="H82" s="242">
        <f t="shared" si="14"/>
        <v>0</v>
      </c>
      <c r="I82" s="249"/>
      <c r="J82" s="250" t="s">
        <v>486</v>
      </c>
      <c r="K82" s="251">
        <f>K81/10000000</f>
        <v>0</v>
      </c>
      <c r="L82" s="250"/>
      <c r="M82" s="250"/>
      <c r="N82" s="252">
        <f>N81/10000000</f>
        <v>5.0473402678344942E-5</v>
      </c>
    </row>
    <row r="83" spans="2:14" x14ac:dyDescent="0.2">
      <c r="G83" s="253"/>
      <c r="H83" s="242">
        <f t="shared" si="14"/>
        <v>0</v>
      </c>
    </row>
    <row r="84" spans="2:14" ht="16" thickBot="1" x14ac:dyDescent="0.25">
      <c r="C84" s="272" t="s">
        <v>487</v>
      </c>
      <c r="D84" s="272"/>
      <c r="E84" s="272"/>
      <c r="F84" s="272"/>
      <c r="H84" s="242">
        <f t="shared" si="14"/>
        <v>0</v>
      </c>
      <c r="J84" s="272" t="s">
        <v>487</v>
      </c>
      <c r="K84" s="272"/>
      <c r="L84" s="272"/>
      <c r="M84" s="272"/>
    </row>
    <row r="85" spans="2:14" ht="16" thickBot="1" x14ac:dyDescent="0.25">
      <c r="H85" s="242">
        <f t="shared" si="14"/>
        <v>1.4999999999999999E-7</v>
      </c>
    </row>
    <row r="86" spans="2:14" ht="16" thickBot="1" x14ac:dyDescent="0.25">
      <c r="B86" s="222"/>
      <c r="C86" s="265" t="s">
        <v>473</v>
      </c>
      <c r="D86" s="266"/>
      <c r="E86" s="223" t="s">
        <v>474</v>
      </c>
      <c r="F86" s="223"/>
      <c r="G86" s="224"/>
      <c r="H86" s="242">
        <f t="shared" si="14"/>
        <v>0</v>
      </c>
      <c r="I86" s="222"/>
      <c r="J86" s="265" t="s">
        <v>488</v>
      </c>
      <c r="K86" s="266"/>
      <c r="L86" s="223" t="s">
        <v>489</v>
      </c>
      <c r="M86" s="223"/>
      <c r="N86" s="224"/>
    </row>
    <row r="87" spans="2:14" ht="16" thickBot="1" x14ac:dyDescent="0.25">
      <c r="B87" s="192"/>
      <c r="G87" s="191"/>
      <c r="H87" s="242" t="e">
        <f t="shared" si="14"/>
        <v>#DIV/0!</v>
      </c>
      <c r="I87" s="192"/>
      <c r="N87" s="191"/>
    </row>
    <row r="88" spans="2:14" ht="16" thickBot="1" x14ac:dyDescent="0.25">
      <c r="B88" s="267" t="s">
        <v>490</v>
      </c>
      <c r="C88" s="268"/>
      <c r="D88" s="268"/>
      <c r="E88" s="268"/>
      <c r="F88" s="268"/>
      <c r="G88" s="269"/>
      <c r="H88" s="242">
        <f t="shared" si="14"/>
        <v>0</v>
      </c>
      <c r="I88" s="267" t="s">
        <v>490</v>
      </c>
      <c r="J88" s="268"/>
      <c r="K88" s="268"/>
      <c r="L88" s="268"/>
      <c r="M88" s="268"/>
      <c r="N88" s="269"/>
    </row>
    <row r="89" spans="2:14" x14ac:dyDescent="0.2">
      <c r="B89" s="181"/>
      <c r="C89" s="180"/>
      <c r="D89" s="180"/>
      <c r="E89" s="180"/>
      <c r="F89" s="180"/>
      <c r="G89" s="254">
        <f>G124</f>
        <v>1413.1902480939689</v>
      </c>
      <c r="I89" s="181"/>
      <c r="J89" s="180"/>
      <c r="K89" s="180"/>
      <c r="L89" s="180"/>
      <c r="M89" s="180"/>
      <c r="N89" s="254">
        <f>N124</f>
        <v>285.94104308390024</v>
      </c>
    </row>
    <row r="90" spans="2:14" ht="32" x14ac:dyDescent="0.2">
      <c r="B90" s="226" t="s">
        <v>14</v>
      </c>
      <c r="C90" s="227" t="s">
        <v>478</v>
      </c>
      <c r="D90" s="227" t="s">
        <v>491</v>
      </c>
      <c r="E90" s="227" t="s">
        <v>480</v>
      </c>
      <c r="F90" s="227" t="s">
        <v>492</v>
      </c>
      <c r="G90" s="228" t="s">
        <v>493</v>
      </c>
      <c r="I90" s="226" t="s">
        <v>14</v>
      </c>
      <c r="J90" s="227" t="s">
        <v>494</v>
      </c>
      <c r="K90" s="227" t="s">
        <v>495</v>
      </c>
      <c r="L90" s="227" t="s">
        <v>480</v>
      </c>
      <c r="M90" s="227" t="s">
        <v>492</v>
      </c>
      <c r="N90" s="228" t="s">
        <v>493</v>
      </c>
    </row>
    <row r="91" spans="2:14" x14ac:dyDescent="0.2">
      <c r="B91" s="231">
        <v>0</v>
      </c>
      <c r="C91" s="243">
        <v>0</v>
      </c>
      <c r="D91" s="243">
        <v>100</v>
      </c>
      <c r="E91" s="255">
        <v>0.06</v>
      </c>
      <c r="F91" s="243">
        <f>((1/(1+E91) ) ^ (B91 + 1) ) * D91</f>
        <v>94.339622641509422</v>
      </c>
      <c r="G91" s="256">
        <f>F91+C91</f>
        <v>94.339622641509422</v>
      </c>
      <c r="I91" s="231">
        <v>0</v>
      </c>
      <c r="J91" s="243">
        <v>0</v>
      </c>
      <c r="K91" s="243">
        <v>100</v>
      </c>
      <c r="L91" s="255">
        <v>0</v>
      </c>
      <c r="M91" s="243">
        <f t="shared" ref="M91:M92" si="15">((1/(1+L91) ) ^ (I91) ) * K91</f>
        <v>100</v>
      </c>
      <c r="N91" s="256">
        <f>M91+J91</f>
        <v>100</v>
      </c>
    </row>
    <row r="92" spans="2:14" x14ac:dyDescent="0.2">
      <c r="B92" s="231">
        <f>B91+1</f>
        <v>1</v>
      </c>
      <c r="C92" s="243">
        <f>G91</f>
        <v>94.339622641509422</v>
      </c>
      <c r="D92" s="243">
        <v>200</v>
      </c>
      <c r="E92" s="255">
        <v>0.06</v>
      </c>
      <c r="F92" s="243">
        <f>((1/(1+E92) ) ^ (B92 + 1) ) * D92</f>
        <v>177.99928800284795</v>
      </c>
      <c r="G92" s="256">
        <f>F92+C92</f>
        <v>272.33891064435738</v>
      </c>
      <c r="I92" s="231">
        <f>I91+1</f>
        <v>1</v>
      </c>
      <c r="J92" s="243">
        <f>N91</f>
        <v>100</v>
      </c>
      <c r="K92" s="243">
        <v>100</v>
      </c>
      <c r="L92" s="255">
        <v>0.05</v>
      </c>
      <c r="M92" s="243">
        <f t="shared" si="15"/>
        <v>95.238095238095227</v>
      </c>
      <c r="N92" s="256">
        <f>M92+J92</f>
        <v>195.23809523809524</v>
      </c>
    </row>
    <row r="93" spans="2:14" x14ac:dyDescent="0.2">
      <c r="B93" s="231">
        <f t="shared" ref="B93:B121" si="16">B92+1</f>
        <v>2</v>
      </c>
      <c r="C93" s="243">
        <f t="shared" ref="C93:C121" si="17">G92</f>
        <v>272.33891064435738</v>
      </c>
      <c r="D93" s="243">
        <v>200</v>
      </c>
      <c r="E93" s="255">
        <v>0.06</v>
      </c>
      <c r="F93" s="243">
        <f t="shared" ref="F93:F121" si="18">((1/(1+E93) ) ^ (B93 + 1) ) * D93</f>
        <v>167.9238566064603</v>
      </c>
      <c r="G93" s="256">
        <f t="shared" ref="G93:G121" si="19">F93+C93</f>
        <v>440.26276725081766</v>
      </c>
      <c r="I93" s="231">
        <f t="shared" ref="I93:I121" si="20">I92+1</f>
        <v>2</v>
      </c>
      <c r="J93" s="243">
        <f t="shared" ref="J93:J121" si="21">N92</f>
        <v>195.23809523809524</v>
      </c>
      <c r="K93" s="243">
        <v>100</v>
      </c>
      <c r="L93" s="255">
        <v>0.05</v>
      </c>
      <c r="M93" s="243">
        <f>((1/(1+L93) ) ^ (I93) ) * K93</f>
        <v>90.702947845804985</v>
      </c>
      <c r="N93" s="256">
        <f t="shared" ref="N93:N121" si="22">M93+J93</f>
        <v>285.94104308390024</v>
      </c>
    </row>
    <row r="94" spans="2:14" x14ac:dyDescent="0.2">
      <c r="B94" s="231">
        <f t="shared" si="16"/>
        <v>3</v>
      </c>
      <c r="C94" s="243">
        <f t="shared" si="17"/>
        <v>440.26276725081766</v>
      </c>
      <c r="D94" s="243">
        <v>200</v>
      </c>
      <c r="E94" s="255">
        <v>0.06</v>
      </c>
      <c r="F94" s="243">
        <f t="shared" si="18"/>
        <v>158.41873264760403</v>
      </c>
      <c r="G94" s="256">
        <f t="shared" si="19"/>
        <v>598.68149989842163</v>
      </c>
      <c r="I94" s="231">
        <f t="shared" si="20"/>
        <v>3</v>
      </c>
      <c r="J94" s="243">
        <f t="shared" si="21"/>
        <v>285.94104308390024</v>
      </c>
      <c r="K94" s="243"/>
      <c r="L94" s="255">
        <v>0.05</v>
      </c>
      <c r="M94" s="243">
        <f t="shared" ref="M94:M121" si="23">((1/(1+L94) ) ^ (I94) ) * K94</f>
        <v>0</v>
      </c>
      <c r="N94" s="256">
        <f t="shared" si="22"/>
        <v>285.94104308390024</v>
      </c>
    </row>
    <row r="95" spans="2:14" x14ac:dyDescent="0.2">
      <c r="B95" s="231">
        <f t="shared" si="16"/>
        <v>4</v>
      </c>
      <c r="C95" s="243">
        <f t="shared" si="17"/>
        <v>598.68149989842163</v>
      </c>
      <c r="D95" s="243">
        <v>200</v>
      </c>
      <c r="E95" s="255">
        <v>0.06</v>
      </c>
      <c r="F95" s="243">
        <f t="shared" si="18"/>
        <v>149.45163457321135</v>
      </c>
      <c r="G95" s="256">
        <f t="shared" si="19"/>
        <v>748.13313447163296</v>
      </c>
      <c r="I95" s="231">
        <f t="shared" si="20"/>
        <v>4</v>
      </c>
      <c r="J95" s="243">
        <f t="shared" si="21"/>
        <v>285.94104308390024</v>
      </c>
      <c r="K95" s="243"/>
      <c r="L95" s="255">
        <v>0.05</v>
      </c>
      <c r="M95" s="243">
        <f t="shared" si="23"/>
        <v>0</v>
      </c>
      <c r="N95" s="256">
        <f t="shared" si="22"/>
        <v>285.94104308390024</v>
      </c>
    </row>
    <row r="96" spans="2:14" x14ac:dyDescent="0.2">
      <c r="B96" s="231">
        <f t="shared" si="16"/>
        <v>5</v>
      </c>
      <c r="C96" s="243">
        <f t="shared" si="17"/>
        <v>748.13313447163296</v>
      </c>
      <c r="D96" s="243">
        <v>0</v>
      </c>
      <c r="E96" s="255">
        <v>0.06</v>
      </c>
      <c r="F96" s="243">
        <f t="shared" si="18"/>
        <v>0</v>
      </c>
      <c r="G96" s="256">
        <f t="shared" si="19"/>
        <v>748.13313447163296</v>
      </c>
      <c r="I96" s="231">
        <f t="shared" si="20"/>
        <v>5</v>
      </c>
      <c r="J96" s="243">
        <f t="shared" si="21"/>
        <v>285.94104308390024</v>
      </c>
      <c r="K96" s="243"/>
      <c r="L96" s="255">
        <v>0.05</v>
      </c>
      <c r="M96" s="243">
        <f t="shared" si="23"/>
        <v>0</v>
      </c>
      <c r="N96" s="256">
        <f t="shared" si="22"/>
        <v>285.94104308390024</v>
      </c>
    </row>
    <row r="97" spans="2:14" x14ac:dyDescent="0.2">
      <c r="B97" s="231">
        <f t="shared" si="16"/>
        <v>6</v>
      </c>
      <c r="C97" s="243">
        <f t="shared" si="17"/>
        <v>748.13313447163296</v>
      </c>
      <c r="D97" s="243">
        <v>1000</v>
      </c>
      <c r="E97" s="255">
        <v>0.06</v>
      </c>
      <c r="F97" s="243">
        <f t="shared" si="18"/>
        <v>665.05711362233581</v>
      </c>
      <c r="G97" s="256">
        <f t="shared" si="19"/>
        <v>1413.1902480939689</v>
      </c>
      <c r="I97" s="231">
        <f t="shared" si="20"/>
        <v>6</v>
      </c>
      <c r="J97" s="243">
        <f t="shared" si="21"/>
        <v>285.94104308390024</v>
      </c>
      <c r="K97" s="243"/>
      <c r="L97" s="255">
        <v>0.05</v>
      </c>
      <c r="M97" s="243">
        <f t="shared" si="23"/>
        <v>0</v>
      </c>
      <c r="N97" s="256">
        <f t="shared" si="22"/>
        <v>285.94104308390024</v>
      </c>
    </row>
    <row r="98" spans="2:14" x14ac:dyDescent="0.2">
      <c r="B98" s="231">
        <f t="shared" si="16"/>
        <v>7</v>
      </c>
      <c r="C98" s="243">
        <f t="shared" si="17"/>
        <v>1413.1902480939689</v>
      </c>
      <c r="D98" s="243"/>
      <c r="E98" s="255">
        <v>0.05</v>
      </c>
      <c r="F98" s="243">
        <f t="shared" si="18"/>
        <v>0</v>
      </c>
      <c r="G98" s="256">
        <f t="shared" si="19"/>
        <v>1413.1902480939689</v>
      </c>
      <c r="I98" s="231">
        <f t="shared" si="20"/>
        <v>7</v>
      </c>
      <c r="J98" s="243">
        <f t="shared" si="21"/>
        <v>285.94104308390024</v>
      </c>
      <c r="K98" s="243"/>
      <c r="L98" s="255">
        <v>0.05</v>
      </c>
      <c r="M98" s="243">
        <f t="shared" si="23"/>
        <v>0</v>
      </c>
      <c r="N98" s="256">
        <f t="shared" si="22"/>
        <v>285.94104308390024</v>
      </c>
    </row>
    <row r="99" spans="2:14" x14ac:dyDescent="0.2">
      <c r="B99" s="231">
        <f t="shared" si="16"/>
        <v>8</v>
      </c>
      <c r="C99" s="243">
        <f t="shared" si="17"/>
        <v>1413.1902480939689</v>
      </c>
      <c r="D99" s="243"/>
      <c r="E99" s="255">
        <v>0.05</v>
      </c>
      <c r="F99" s="243">
        <f t="shared" si="18"/>
        <v>0</v>
      </c>
      <c r="G99" s="256">
        <f t="shared" si="19"/>
        <v>1413.1902480939689</v>
      </c>
      <c r="I99" s="231">
        <f t="shared" si="20"/>
        <v>8</v>
      </c>
      <c r="J99" s="243">
        <f t="shared" si="21"/>
        <v>285.94104308390024</v>
      </c>
      <c r="K99" s="243"/>
      <c r="L99" s="255">
        <v>0.05</v>
      </c>
      <c r="M99" s="243">
        <f t="shared" si="23"/>
        <v>0</v>
      </c>
      <c r="N99" s="256">
        <f t="shared" si="22"/>
        <v>285.94104308390024</v>
      </c>
    </row>
    <row r="100" spans="2:14" x14ac:dyDescent="0.2">
      <c r="B100" s="231">
        <f t="shared" si="16"/>
        <v>9</v>
      </c>
      <c r="C100" s="243">
        <f t="shared" si="17"/>
        <v>1413.1902480939689</v>
      </c>
      <c r="D100" s="243"/>
      <c r="E100" s="255">
        <v>0.05</v>
      </c>
      <c r="F100" s="243">
        <f t="shared" si="18"/>
        <v>0</v>
      </c>
      <c r="G100" s="256">
        <f t="shared" si="19"/>
        <v>1413.1902480939689</v>
      </c>
      <c r="I100" s="231">
        <f t="shared" si="20"/>
        <v>9</v>
      </c>
      <c r="J100" s="243">
        <f t="shared" si="21"/>
        <v>285.94104308390024</v>
      </c>
      <c r="K100" s="243"/>
      <c r="L100" s="255">
        <v>0.05</v>
      </c>
      <c r="M100" s="243">
        <f t="shared" si="23"/>
        <v>0</v>
      </c>
      <c r="N100" s="256">
        <f t="shared" si="22"/>
        <v>285.94104308390024</v>
      </c>
    </row>
    <row r="101" spans="2:14" x14ac:dyDescent="0.2">
      <c r="B101" s="231">
        <f t="shared" si="16"/>
        <v>10</v>
      </c>
      <c r="C101" s="243">
        <f t="shared" si="17"/>
        <v>1413.1902480939689</v>
      </c>
      <c r="D101" s="243"/>
      <c r="E101" s="255">
        <v>0.05</v>
      </c>
      <c r="F101" s="243">
        <f t="shared" si="18"/>
        <v>0</v>
      </c>
      <c r="G101" s="256">
        <f t="shared" si="19"/>
        <v>1413.1902480939689</v>
      </c>
      <c r="I101" s="231">
        <f t="shared" si="20"/>
        <v>10</v>
      </c>
      <c r="J101" s="243">
        <f t="shared" si="21"/>
        <v>285.94104308390024</v>
      </c>
      <c r="K101" s="243"/>
      <c r="L101" s="255">
        <v>0.05</v>
      </c>
      <c r="M101" s="243">
        <f t="shared" si="23"/>
        <v>0</v>
      </c>
      <c r="N101" s="256">
        <f t="shared" si="22"/>
        <v>285.94104308390024</v>
      </c>
    </row>
    <row r="102" spans="2:14" x14ac:dyDescent="0.2">
      <c r="B102" s="231">
        <f t="shared" si="16"/>
        <v>11</v>
      </c>
      <c r="C102" s="243">
        <f t="shared" si="17"/>
        <v>1413.1902480939689</v>
      </c>
      <c r="D102" s="243"/>
      <c r="E102" s="255">
        <v>0.05</v>
      </c>
      <c r="F102" s="243">
        <f t="shared" si="18"/>
        <v>0</v>
      </c>
      <c r="G102" s="256">
        <f t="shared" si="19"/>
        <v>1413.1902480939689</v>
      </c>
      <c r="I102" s="231">
        <f t="shared" si="20"/>
        <v>11</v>
      </c>
      <c r="J102" s="243">
        <f t="shared" si="21"/>
        <v>285.94104308390024</v>
      </c>
      <c r="K102" s="243"/>
      <c r="L102" s="255">
        <v>0.05</v>
      </c>
      <c r="M102" s="243">
        <f t="shared" si="23"/>
        <v>0</v>
      </c>
      <c r="N102" s="256">
        <f t="shared" si="22"/>
        <v>285.94104308390024</v>
      </c>
    </row>
    <row r="103" spans="2:14" x14ac:dyDescent="0.2">
      <c r="B103" s="231">
        <f t="shared" si="16"/>
        <v>12</v>
      </c>
      <c r="C103" s="243">
        <f t="shared" si="17"/>
        <v>1413.1902480939689</v>
      </c>
      <c r="D103" s="243"/>
      <c r="E103" s="255">
        <v>0.05</v>
      </c>
      <c r="F103" s="243">
        <f t="shared" si="18"/>
        <v>0</v>
      </c>
      <c r="G103" s="256">
        <f t="shared" si="19"/>
        <v>1413.1902480939689</v>
      </c>
      <c r="I103" s="231">
        <f t="shared" si="20"/>
        <v>12</v>
      </c>
      <c r="J103" s="243">
        <f t="shared" si="21"/>
        <v>285.94104308390024</v>
      </c>
      <c r="K103" s="243"/>
      <c r="L103" s="255">
        <v>0.05</v>
      </c>
      <c r="M103" s="243">
        <f t="shared" si="23"/>
        <v>0</v>
      </c>
      <c r="N103" s="256">
        <f t="shared" si="22"/>
        <v>285.94104308390024</v>
      </c>
    </row>
    <row r="104" spans="2:14" x14ac:dyDescent="0.2">
      <c r="B104" s="231">
        <f t="shared" si="16"/>
        <v>13</v>
      </c>
      <c r="C104" s="243">
        <f t="shared" si="17"/>
        <v>1413.1902480939689</v>
      </c>
      <c r="D104" s="243"/>
      <c r="E104" s="255">
        <v>0.05</v>
      </c>
      <c r="F104" s="243">
        <f t="shared" si="18"/>
        <v>0</v>
      </c>
      <c r="G104" s="256">
        <f t="shared" si="19"/>
        <v>1413.1902480939689</v>
      </c>
      <c r="I104" s="231">
        <f t="shared" si="20"/>
        <v>13</v>
      </c>
      <c r="J104" s="243">
        <f t="shared" si="21"/>
        <v>285.94104308390024</v>
      </c>
      <c r="K104" s="243"/>
      <c r="L104" s="255">
        <v>0.05</v>
      </c>
      <c r="M104" s="243">
        <f t="shared" si="23"/>
        <v>0</v>
      </c>
      <c r="N104" s="256">
        <f t="shared" si="22"/>
        <v>285.94104308390024</v>
      </c>
    </row>
    <row r="105" spans="2:14" x14ac:dyDescent="0.2">
      <c r="B105" s="231">
        <f t="shared" si="16"/>
        <v>14</v>
      </c>
      <c r="C105" s="243">
        <f t="shared" si="17"/>
        <v>1413.1902480939689</v>
      </c>
      <c r="D105" s="243"/>
      <c r="E105" s="255">
        <v>0.05</v>
      </c>
      <c r="F105" s="243">
        <f t="shared" si="18"/>
        <v>0</v>
      </c>
      <c r="G105" s="256">
        <f t="shared" si="19"/>
        <v>1413.1902480939689</v>
      </c>
      <c r="I105" s="231">
        <f t="shared" si="20"/>
        <v>14</v>
      </c>
      <c r="J105" s="243">
        <f t="shared" si="21"/>
        <v>285.94104308390024</v>
      </c>
      <c r="K105" s="243"/>
      <c r="L105" s="255">
        <v>0.05</v>
      </c>
      <c r="M105" s="243">
        <f t="shared" si="23"/>
        <v>0</v>
      </c>
      <c r="N105" s="256">
        <f t="shared" si="22"/>
        <v>285.94104308390024</v>
      </c>
    </row>
    <row r="106" spans="2:14" x14ac:dyDescent="0.2">
      <c r="B106" s="231">
        <f t="shared" si="16"/>
        <v>15</v>
      </c>
      <c r="C106" s="243">
        <f t="shared" si="17"/>
        <v>1413.1902480939689</v>
      </c>
      <c r="D106" s="243"/>
      <c r="E106" s="255">
        <v>0.05</v>
      </c>
      <c r="F106" s="243">
        <f t="shared" si="18"/>
        <v>0</v>
      </c>
      <c r="G106" s="256">
        <f t="shared" si="19"/>
        <v>1413.1902480939689</v>
      </c>
      <c r="I106" s="231">
        <f t="shared" si="20"/>
        <v>15</v>
      </c>
      <c r="J106" s="243">
        <f t="shared" si="21"/>
        <v>285.94104308390024</v>
      </c>
      <c r="K106" s="243"/>
      <c r="L106" s="255">
        <v>0.05</v>
      </c>
      <c r="M106" s="243">
        <f t="shared" si="23"/>
        <v>0</v>
      </c>
      <c r="N106" s="256">
        <f t="shared" si="22"/>
        <v>285.94104308390024</v>
      </c>
    </row>
    <row r="107" spans="2:14" x14ac:dyDescent="0.2">
      <c r="B107" s="231">
        <f t="shared" si="16"/>
        <v>16</v>
      </c>
      <c r="C107" s="243">
        <f t="shared" si="17"/>
        <v>1413.1902480939689</v>
      </c>
      <c r="D107" s="243"/>
      <c r="E107" s="255">
        <v>0.05</v>
      </c>
      <c r="F107" s="243">
        <f t="shared" si="18"/>
        <v>0</v>
      </c>
      <c r="G107" s="256">
        <f t="shared" si="19"/>
        <v>1413.1902480939689</v>
      </c>
      <c r="I107" s="231">
        <f t="shared" si="20"/>
        <v>16</v>
      </c>
      <c r="J107" s="243">
        <f t="shared" si="21"/>
        <v>285.94104308390024</v>
      </c>
      <c r="K107" s="243"/>
      <c r="L107" s="255">
        <v>0.05</v>
      </c>
      <c r="M107" s="243">
        <f t="shared" si="23"/>
        <v>0</v>
      </c>
      <c r="N107" s="256">
        <f t="shared" si="22"/>
        <v>285.94104308390024</v>
      </c>
    </row>
    <row r="108" spans="2:14" x14ac:dyDescent="0.2">
      <c r="B108" s="231">
        <f t="shared" si="16"/>
        <v>17</v>
      </c>
      <c r="C108" s="243">
        <f t="shared" si="17"/>
        <v>1413.1902480939689</v>
      </c>
      <c r="D108" s="243"/>
      <c r="E108" s="255">
        <v>0.05</v>
      </c>
      <c r="F108" s="243">
        <f t="shared" si="18"/>
        <v>0</v>
      </c>
      <c r="G108" s="256">
        <f t="shared" si="19"/>
        <v>1413.1902480939689</v>
      </c>
      <c r="I108" s="231">
        <f t="shared" si="20"/>
        <v>17</v>
      </c>
      <c r="J108" s="243">
        <f t="shared" si="21"/>
        <v>285.94104308390024</v>
      </c>
      <c r="K108" s="243"/>
      <c r="L108" s="255">
        <v>0.05</v>
      </c>
      <c r="M108" s="243">
        <f t="shared" si="23"/>
        <v>0</v>
      </c>
      <c r="N108" s="256">
        <f t="shared" si="22"/>
        <v>285.94104308390024</v>
      </c>
    </row>
    <row r="109" spans="2:14" x14ac:dyDescent="0.2">
      <c r="B109" s="231">
        <f t="shared" si="16"/>
        <v>18</v>
      </c>
      <c r="C109" s="243">
        <f t="shared" si="17"/>
        <v>1413.1902480939689</v>
      </c>
      <c r="D109" s="243"/>
      <c r="E109" s="255">
        <v>0.05</v>
      </c>
      <c r="F109" s="243">
        <f t="shared" si="18"/>
        <v>0</v>
      </c>
      <c r="G109" s="256">
        <f t="shared" si="19"/>
        <v>1413.1902480939689</v>
      </c>
      <c r="I109" s="231">
        <f t="shared" si="20"/>
        <v>18</v>
      </c>
      <c r="J109" s="243">
        <f t="shared" si="21"/>
        <v>285.94104308390024</v>
      </c>
      <c r="K109" s="243"/>
      <c r="L109" s="255">
        <v>0.05</v>
      </c>
      <c r="M109" s="243">
        <f t="shared" si="23"/>
        <v>0</v>
      </c>
      <c r="N109" s="256">
        <f t="shared" si="22"/>
        <v>285.94104308390024</v>
      </c>
    </row>
    <row r="110" spans="2:14" x14ac:dyDescent="0.2">
      <c r="B110" s="231">
        <f t="shared" si="16"/>
        <v>19</v>
      </c>
      <c r="C110" s="243">
        <f t="shared" si="17"/>
        <v>1413.1902480939689</v>
      </c>
      <c r="D110" s="243"/>
      <c r="E110" s="255">
        <v>0.05</v>
      </c>
      <c r="F110" s="243">
        <f t="shared" si="18"/>
        <v>0</v>
      </c>
      <c r="G110" s="256">
        <f t="shared" si="19"/>
        <v>1413.1902480939689</v>
      </c>
      <c r="I110" s="231">
        <f t="shared" si="20"/>
        <v>19</v>
      </c>
      <c r="J110" s="243">
        <f t="shared" si="21"/>
        <v>285.94104308390024</v>
      </c>
      <c r="K110" s="243"/>
      <c r="L110" s="255">
        <v>0.05</v>
      </c>
      <c r="M110" s="243">
        <f t="shared" si="23"/>
        <v>0</v>
      </c>
      <c r="N110" s="256">
        <f t="shared" si="22"/>
        <v>285.94104308390024</v>
      </c>
    </row>
    <row r="111" spans="2:14" x14ac:dyDescent="0.2">
      <c r="B111" s="231">
        <f t="shared" si="16"/>
        <v>20</v>
      </c>
      <c r="C111" s="243">
        <f t="shared" si="17"/>
        <v>1413.1902480939689</v>
      </c>
      <c r="D111" s="243"/>
      <c r="E111" s="255">
        <v>0.05</v>
      </c>
      <c r="F111" s="243">
        <f t="shared" si="18"/>
        <v>0</v>
      </c>
      <c r="G111" s="256">
        <f t="shared" si="19"/>
        <v>1413.1902480939689</v>
      </c>
      <c r="I111" s="231">
        <f t="shared" si="20"/>
        <v>20</v>
      </c>
      <c r="J111" s="243">
        <f t="shared" si="21"/>
        <v>285.94104308390024</v>
      </c>
      <c r="K111" s="243"/>
      <c r="L111" s="255">
        <v>0.05</v>
      </c>
      <c r="M111" s="243">
        <f t="shared" si="23"/>
        <v>0</v>
      </c>
      <c r="N111" s="256">
        <f t="shared" si="22"/>
        <v>285.94104308390024</v>
      </c>
    </row>
    <row r="112" spans="2:14" x14ac:dyDescent="0.2">
      <c r="B112" s="231">
        <f t="shared" si="16"/>
        <v>21</v>
      </c>
      <c r="C112" s="243">
        <f t="shared" si="17"/>
        <v>1413.1902480939689</v>
      </c>
      <c r="D112" s="243"/>
      <c r="E112" s="255">
        <v>0.05</v>
      </c>
      <c r="F112" s="243">
        <f t="shared" si="18"/>
        <v>0</v>
      </c>
      <c r="G112" s="256">
        <f t="shared" si="19"/>
        <v>1413.1902480939689</v>
      </c>
      <c r="I112" s="231">
        <f t="shared" si="20"/>
        <v>21</v>
      </c>
      <c r="J112" s="243">
        <f t="shared" si="21"/>
        <v>285.94104308390024</v>
      </c>
      <c r="K112" s="243"/>
      <c r="L112" s="255">
        <v>0.05</v>
      </c>
      <c r="M112" s="243">
        <f t="shared" si="23"/>
        <v>0</v>
      </c>
      <c r="N112" s="256">
        <f t="shared" si="22"/>
        <v>285.94104308390024</v>
      </c>
    </row>
    <row r="113" spans="2:14" x14ac:dyDescent="0.2">
      <c r="B113" s="231">
        <f t="shared" si="16"/>
        <v>22</v>
      </c>
      <c r="C113" s="243">
        <f t="shared" si="17"/>
        <v>1413.1902480939689</v>
      </c>
      <c r="D113" s="243"/>
      <c r="E113" s="255">
        <v>0.05</v>
      </c>
      <c r="F113" s="243">
        <f t="shared" si="18"/>
        <v>0</v>
      </c>
      <c r="G113" s="256">
        <f t="shared" si="19"/>
        <v>1413.1902480939689</v>
      </c>
      <c r="I113" s="231">
        <f t="shared" si="20"/>
        <v>22</v>
      </c>
      <c r="J113" s="243">
        <f t="shared" si="21"/>
        <v>285.94104308390024</v>
      </c>
      <c r="K113" s="243"/>
      <c r="L113" s="255">
        <v>0.05</v>
      </c>
      <c r="M113" s="243">
        <f t="shared" si="23"/>
        <v>0</v>
      </c>
      <c r="N113" s="256">
        <f t="shared" si="22"/>
        <v>285.94104308390024</v>
      </c>
    </row>
    <row r="114" spans="2:14" x14ac:dyDescent="0.2">
      <c r="B114" s="231">
        <f t="shared" si="16"/>
        <v>23</v>
      </c>
      <c r="C114" s="243">
        <f t="shared" si="17"/>
        <v>1413.1902480939689</v>
      </c>
      <c r="D114" s="243"/>
      <c r="E114" s="255">
        <v>0.05</v>
      </c>
      <c r="F114" s="243">
        <f t="shared" si="18"/>
        <v>0</v>
      </c>
      <c r="G114" s="256">
        <f t="shared" si="19"/>
        <v>1413.1902480939689</v>
      </c>
      <c r="I114" s="231">
        <f t="shared" si="20"/>
        <v>23</v>
      </c>
      <c r="J114" s="243">
        <f t="shared" si="21"/>
        <v>285.94104308390024</v>
      </c>
      <c r="K114" s="243"/>
      <c r="L114" s="255">
        <v>0.05</v>
      </c>
      <c r="M114" s="243">
        <f t="shared" si="23"/>
        <v>0</v>
      </c>
      <c r="N114" s="256">
        <f t="shared" si="22"/>
        <v>285.94104308390024</v>
      </c>
    </row>
    <row r="115" spans="2:14" x14ac:dyDescent="0.2">
      <c r="B115" s="231">
        <f t="shared" si="16"/>
        <v>24</v>
      </c>
      <c r="C115" s="243">
        <f t="shared" si="17"/>
        <v>1413.1902480939689</v>
      </c>
      <c r="D115" s="243"/>
      <c r="E115" s="255">
        <v>0.05</v>
      </c>
      <c r="F115" s="243">
        <f t="shared" si="18"/>
        <v>0</v>
      </c>
      <c r="G115" s="256">
        <f t="shared" si="19"/>
        <v>1413.1902480939689</v>
      </c>
      <c r="I115" s="231">
        <f t="shared" si="20"/>
        <v>24</v>
      </c>
      <c r="J115" s="243">
        <f t="shared" si="21"/>
        <v>285.94104308390024</v>
      </c>
      <c r="K115" s="243"/>
      <c r="L115" s="255">
        <v>0.05</v>
      </c>
      <c r="M115" s="243">
        <f t="shared" si="23"/>
        <v>0</v>
      </c>
      <c r="N115" s="256">
        <f t="shared" si="22"/>
        <v>285.94104308390024</v>
      </c>
    </row>
    <row r="116" spans="2:14" x14ac:dyDescent="0.2">
      <c r="B116" s="231">
        <f t="shared" si="16"/>
        <v>25</v>
      </c>
      <c r="C116" s="243">
        <f t="shared" si="17"/>
        <v>1413.1902480939689</v>
      </c>
      <c r="D116" s="243"/>
      <c r="E116" s="255">
        <v>0.05</v>
      </c>
      <c r="F116" s="243">
        <f t="shared" si="18"/>
        <v>0</v>
      </c>
      <c r="G116" s="256">
        <f t="shared" si="19"/>
        <v>1413.1902480939689</v>
      </c>
      <c r="I116" s="231">
        <f t="shared" si="20"/>
        <v>25</v>
      </c>
      <c r="J116" s="243">
        <f t="shared" si="21"/>
        <v>285.94104308390024</v>
      </c>
      <c r="K116" s="243"/>
      <c r="L116" s="255">
        <v>0.05</v>
      </c>
      <c r="M116" s="243">
        <f t="shared" si="23"/>
        <v>0</v>
      </c>
      <c r="N116" s="256">
        <f t="shared" si="22"/>
        <v>285.94104308390024</v>
      </c>
    </row>
    <row r="117" spans="2:14" x14ac:dyDescent="0.2">
      <c r="B117" s="231">
        <f t="shared" si="16"/>
        <v>26</v>
      </c>
      <c r="C117" s="243">
        <f t="shared" si="17"/>
        <v>1413.1902480939689</v>
      </c>
      <c r="D117" s="243"/>
      <c r="E117" s="255">
        <v>0.05</v>
      </c>
      <c r="F117" s="243">
        <f t="shared" si="18"/>
        <v>0</v>
      </c>
      <c r="G117" s="256">
        <f t="shared" si="19"/>
        <v>1413.1902480939689</v>
      </c>
      <c r="I117" s="231">
        <f t="shared" si="20"/>
        <v>26</v>
      </c>
      <c r="J117" s="243">
        <f t="shared" si="21"/>
        <v>285.94104308390024</v>
      </c>
      <c r="K117" s="243"/>
      <c r="L117" s="255">
        <v>0.05</v>
      </c>
      <c r="M117" s="243">
        <f t="shared" si="23"/>
        <v>0</v>
      </c>
      <c r="N117" s="256">
        <f t="shared" si="22"/>
        <v>285.94104308390024</v>
      </c>
    </row>
    <row r="118" spans="2:14" x14ac:dyDescent="0.2">
      <c r="B118" s="231">
        <f t="shared" si="16"/>
        <v>27</v>
      </c>
      <c r="C118" s="243">
        <f t="shared" si="17"/>
        <v>1413.1902480939689</v>
      </c>
      <c r="D118" s="243"/>
      <c r="E118" s="255">
        <v>0.05</v>
      </c>
      <c r="F118" s="243">
        <f t="shared" si="18"/>
        <v>0</v>
      </c>
      <c r="G118" s="256">
        <f t="shared" si="19"/>
        <v>1413.1902480939689</v>
      </c>
      <c r="I118" s="231">
        <f t="shared" si="20"/>
        <v>27</v>
      </c>
      <c r="J118" s="243">
        <f t="shared" si="21"/>
        <v>285.94104308390024</v>
      </c>
      <c r="K118" s="243"/>
      <c r="L118" s="255">
        <v>0.05</v>
      </c>
      <c r="M118" s="243">
        <f t="shared" si="23"/>
        <v>0</v>
      </c>
      <c r="N118" s="256">
        <f t="shared" si="22"/>
        <v>285.94104308390024</v>
      </c>
    </row>
    <row r="119" spans="2:14" x14ac:dyDescent="0.2">
      <c r="B119" s="231">
        <f t="shared" si="16"/>
        <v>28</v>
      </c>
      <c r="C119" s="243">
        <f t="shared" si="17"/>
        <v>1413.1902480939689</v>
      </c>
      <c r="D119" s="243"/>
      <c r="E119" s="255">
        <v>0.05</v>
      </c>
      <c r="F119" s="243">
        <f t="shared" si="18"/>
        <v>0</v>
      </c>
      <c r="G119" s="256">
        <f t="shared" si="19"/>
        <v>1413.1902480939689</v>
      </c>
      <c r="I119" s="231">
        <f t="shared" si="20"/>
        <v>28</v>
      </c>
      <c r="J119" s="243">
        <f t="shared" si="21"/>
        <v>285.94104308390024</v>
      </c>
      <c r="K119" s="243"/>
      <c r="L119" s="255">
        <v>0.05</v>
      </c>
      <c r="M119" s="243">
        <f t="shared" si="23"/>
        <v>0</v>
      </c>
      <c r="N119" s="256">
        <f t="shared" si="22"/>
        <v>285.94104308390024</v>
      </c>
    </row>
    <row r="120" spans="2:14" x14ac:dyDescent="0.2">
      <c r="B120" s="231">
        <f t="shared" si="16"/>
        <v>29</v>
      </c>
      <c r="C120" s="243">
        <f t="shared" si="17"/>
        <v>1413.1902480939689</v>
      </c>
      <c r="D120" s="243"/>
      <c r="E120" s="255">
        <v>0.05</v>
      </c>
      <c r="F120" s="243">
        <f t="shared" si="18"/>
        <v>0</v>
      </c>
      <c r="G120" s="256">
        <f t="shared" si="19"/>
        <v>1413.1902480939689</v>
      </c>
      <c r="I120" s="231">
        <f t="shared" si="20"/>
        <v>29</v>
      </c>
      <c r="J120" s="243">
        <f t="shared" si="21"/>
        <v>285.94104308390024</v>
      </c>
      <c r="K120" s="243"/>
      <c r="L120" s="255">
        <v>0.05</v>
      </c>
      <c r="M120" s="243">
        <f t="shared" si="23"/>
        <v>0</v>
      </c>
      <c r="N120" s="256">
        <f t="shared" si="22"/>
        <v>285.94104308390024</v>
      </c>
    </row>
    <row r="121" spans="2:14" x14ac:dyDescent="0.2">
      <c r="B121" s="231">
        <f t="shared" si="16"/>
        <v>30</v>
      </c>
      <c r="C121" s="243">
        <f t="shared" si="17"/>
        <v>1413.1902480939689</v>
      </c>
      <c r="D121" s="243"/>
      <c r="E121" s="255">
        <v>0.05</v>
      </c>
      <c r="F121" s="243">
        <f t="shared" si="18"/>
        <v>0</v>
      </c>
      <c r="G121" s="256">
        <f t="shared" si="19"/>
        <v>1413.1902480939689</v>
      </c>
      <c r="I121" s="231">
        <f t="shared" si="20"/>
        <v>30</v>
      </c>
      <c r="J121" s="243">
        <f t="shared" si="21"/>
        <v>285.94104308390024</v>
      </c>
      <c r="K121" s="243"/>
      <c r="L121" s="255">
        <v>0.05</v>
      </c>
      <c r="M121" s="243">
        <f t="shared" si="23"/>
        <v>0</v>
      </c>
      <c r="N121" s="256">
        <f t="shared" si="22"/>
        <v>285.94104308390024</v>
      </c>
    </row>
    <row r="122" spans="2:14" x14ac:dyDescent="0.2">
      <c r="B122" s="192"/>
      <c r="G122" s="191"/>
      <c r="I122" s="192"/>
      <c r="N122" s="191"/>
    </row>
    <row r="123" spans="2:14" ht="16" thickBot="1" x14ac:dyDescent="0.25">
      <c r="B123" s="192"/>
      <c r="G123" s="191"/>
      <c r="I123" s="192"/>
      <c r="N123" s="191"/>
    </row>
    <row r="124" spans="2:14" ht="16" thickBot="1" x14ac:dyDescent="0.25">
      <c r="B124" s="270" t="s">
        <v>496</v>
      </c>
      <c r="C124" s="271"/>
      <c r="D124" s="247">
        <f>SUM(D91:D123)</f>
        <v>1900</v>
      </c>
      <c r="E124" s="245"/>
      <c r="F124" s="245"/>
      <c r="G124" s="257">
        <f>G121</f>
        <v>1413.1902480939689</v>
      </c>
      <c r="I124" s="270" t="s">
        <v>496</v>
      </c>
      <c r="J124" s="271"/>
      <c r="K124" s="247">
        <f>SUM(K91:K123)</f>
        <v>300</v>
      </c>
      <c r="L124" s="245"/>
      <c r="M124" s="245"/>
      <c r="N124" s="257">
        <f>N121</f>
        <v>285.94104308390024</v>
      </c>
    </row>
    <row r="125" spans="2:14" ht="16" thickBot="1" x14ac:dyDescent="0.25">
      <c r="B125" s="197"/>
      <c r="C125" s="198"/>
      <c r="D125" s="198"/>
      <c r="E125" s="198"/>
      <c r="F125" s="198"/>
      <c r="G125" s="199"/>
      <c r="I125" s="197"/>
      <c r="J125" s="198"/>
      <c r="K125" s="198"/>
      <c r="L125" s="198"/>
      <c r="M125" s="198"/>
      <c r="N125" s="199"/>
    </row>
  </sheetData>
  <mergeCells count="74">
    <mergeCell ref="B3:D3"/>
    <mergeCell ref="G3:I3"/>
    <mergeCell ref="P3:S3"/>
    <mergeCell ref="T3:W3"/>
    <mergeCell ref="C4:D4"/>
    <mergeCell ref="H4:I4"/>
    <mergeCell ref="C5:D5"/>
    <mergeCell ref="H5:I5"/>
    <mergeCell ref="C6:D6"/>
    <mergeCell ref="H6:I6"/>
    <mergeCell ref="C7:D7"/>
    <mergeCell ref="H7:I7"/>
    <mergeCell ref="C8:D8"/>
    <mergeCell ref="H8:I8"/>
    <mergeCell ref="C9:D9"/>
    <mergeCell ref="H9:I9"/>
    <mergeCell ref="C10:D10"/>
    <mergeCell ref="H10:I10"/>
    <mergeCell ref="B14:D14"/>
    <mergeCell ref="G14:I14"/>
    <mergeCell ref="C15:D15"/>
    <mergeCell ref="H15:I15"/>
    <mergeCell ref="C16:D16"/>
    <mergeCell ref="H16:I16"/>
    <mergeCell ref="C17:D17"/>
    <mergeCell ref="H17:I17"/>
    <mergeCell ref="C18:D18"/>
    <mergeCell ref="H18:I18"/>
    <mergeCell ref="C19:D19"/>
    <mergeCell ref="H19:I19"/>
    <mergeCell ref="C20:D20"/>
    <mergeCell ref="H20:I20"/>
    <mergeCell ref="C21:D21"/>
    <mergeCell ref="H21:I21"/>
    <mergeCell ref="C22:D22"/>
    <mergeCell ref="H22:I22"/>
    <mergeCell ref="K26:L26"/>
    <mergeCell ref="C27:D27"/>
    <mergeCell ref="H27:I27"/>
    <mergeCell ref="C29:D29"/>
    <mergeCell ref="H29:I29"/>
    <mergeCell ref="C28:D28"/>
    <mergeCell ref="H28:I28"/>
    <mergeCell ref="B26:D26"/>
    <mergeCell ref="G26:I26"/>
    <mergeCell ref="C30:D30"/>
    <mergeCell ref="H30:I30"/>
    <mergeCell ref="C31:D31"/>
    <mergeCell ref="H31:I31"/>
    <mergeCell ref="C44:D44"/>
    <mergeCell ref="J44:K44"/>
    <mergeCell ref="C32:D32"/>
    <mergeCell ref="H32:I32"/>
    <mergeCell ref="C33:D33"/>
    <mergeCell ref="H33:I33"/>
    <mergeCell ref="C34:D34"/>
    <mergeCell ref="H34:I34"/>
    <mergeCell ref="B36:D36"/>
    <mergeCell ref="G36:H36"/>
    <mergeCell ref="K36:L36"/>
    <mergeCell ref="C43:F43"/>
    <mergeCell ref="J43:M43"/>
    <mergeCell ref="B46:G46"/>
    <mergeCell ref="I46:N46"/>
    <mergeCell ref="B81:C81"/>
    <mergeCell ref="I81:J81"/>
    <mergeCell ref="C84:F84"/>
    <mergeCell ref="J84:M84"/>
    <mergeCell ref="C86:D86"/>
    <mergeCell ref="J86:K86"/>
    <mergeCell ref="B88:G88"/>
    <mergeCell ref="I88:N88"/>
    <mergeCell ref="B124:C124"/>
    <mergeCell ref="I124:J1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284"/>
  <sheetViews>
    <sheetView tabSelected="1" zoomScaleNormal="100" workbookViewId="0">
      <pane xSplit="2" ySplit="3" topLeftCell="F168" activePane="bottomRight" state="frozen"/>
      <selection pane="topRight" activeCell="C1" sqref="C1"/>
      <selection pane="bottomLeft" activeCell="A5" sqref="A5"/>
      <selection pane="bottomRight" activeCell="Z204" sqref="Z204"/>
    </sheetView>
  </sheetViews>
  <sheetFormatPr baseColWidth="10" defaultColWidth="9.1640625" defaultRowHeight="13" x14ac:dyDescent="0.15"/>
  <cols>
    <col min="1" max="1" width="4.6640625" style="89" customWidth="1"/>
    <col min="2" max="2" width="37.1640625" style="89" customWidth="1"/>
    <col min="3" max="3" width="7.83203125" style="89" customWidth="1"/>
    <col min="4" max="4" width="11.33203125" style="89" customWidth="1"/>
    <col min="5" max="5" width="8.5" style="89" bestFit="1" customWidth="1"/>
    <col min="6" max="6" width="8.5" style="89" customWidth="1"/>
    <col min="7" max="8" width="9.6640625" style="89" customWidth="1"/>
    <col min="9" max="9" width="10.83203125" style="89" customWidth="1"/>
    <col min="10" max="10" width="13.6640625" style="89" bestFit="1" customWidth="1"/>
    <col min="11" max="11" width="11.5" style="89" bestFit="1" customWidth="1"/>
    <col min="12" max="17" width="12.5" style="89" bestFit="1" customWidth="1"/>
    <col min="18" max="18" width="12.33203125" style="89" customWidth="1"/>
    <col min="19" max="19" width="13.5" style="89" bestFit="1" customWidth="1"/>
    <col min="20" max="20" width="12.5" style="89" bestFit="1" customWidth="1"/>
    <col min="21" max="26" width="10.6640625" style="89" customWidth="1"/>
    <col min="27" max="27" width="9.83203125" style="89" customWidth="1"/>
    <col min="28" max="28" width="10.83203125" style="89" bestFit="1" customWidth="1"/>
    <col min="29" max="30" width="9.6640625" style="89" bestFit="1" customWidth="1"/>
    <col min="31" max="37" width="8" style="89" bestFit="1" customWidth="1"/>
    <col min="38" max="38" width="11.33203125" style="89" bestFit="1" customWidth="1"/>
    <col min="39" max="39" width="9.33203125" style="89" bestFit="1" customWidth="1"/>
    <col min="40" max="40" width="9" style="89" customWidth="1"/>
    <col min="41" max="41" width="10.6640625" style="89" customWidth="1"/>
    <col min="42" max="16384" width="9.1640625" style="89"/>
  </cols>
  <sheetData>
    <row r="1" spans="2:41" x14ac:dyDescent="0.15">
      <c r="B1" s="106" t="s">
        <v>505</v>
      </c>
      <c r="C1" s="264">
        <f>T2</f>
        <v>0.22</v>
      </c>
      <c r="I1" s="89" t="s">
        <v>209</v>
      </c>
      <c r="K1" s="107">
        <v>2004</v>
      </c>
      <c r="M1" s="89" t="s">
        <v>271</v>
      </c>
      <c r="O1" s="136">
        <v>0.01</v>
      </c>
      <c r="Q1" s="89" t="s">
        <v>340</v>
      </c>
      <c r="T1" s="136">
        <v>0.01</v>
      </c>
    </row>
    <row r="2" spans="2:41" x14ac:dyDescent="0.15">
      <c r="B2" s="128" t="s">
        <v>261</v>
      </c>
      <c r="C2" s="103"/>
      <c r="I2" s="89" t="s">
        <v>210</v>
      </c>
      <c r="K2" s="107">
        <v>2023</v>
      </c>
      <c r="M2" s="89" t="s">
        <v>272</v>
      </c>
      <c r="O2" s="136">
        <v>0.1</v>
      </c>
      <c r="Q2" s="89" t="s">
        <v>405</v>
      </c>
      <c r="T2" s="136">
        <v>0.22</v>
      </c>
      <c r="AC2" s="98" t="s">
        <v>5</v>
      </c>
      <c r="AD2" s="98" t="s">
        <v>6</v>
      </c>
      <c r="AE2" s="98" t="s">
        <v>7</v>
      </c>
      <c r="AF2" s="98" t="s">
        <v>8</v>
      </c>
      <c r="AG2" s="98" t="s">
        <v>9</v>
      </c>
      <c r="AH2" s="98" t="s">
        <v>192</v>
      </c>
      <c r="AI2" s="98" t="s">
        <v>193</v>
      </c>
      <c r="AJ2" s="98" t="s">
        <v>194</v>
      </c>
      <c r="AK2" s="98" t="s">
        <v>195</v>
      </c>
      <c r="AL2" s="98" t="s">
        <v>196</v>
      </c>
      <c r="AN2" s="295" t="s">
        <v>240</v>
      </c>
      <c r="AO2" s="296"/>
    </row>
    <row r="3" spans="2:41" x14ac:dyDescent="0.15">
      <c r="B3" s="10"/>
      <c r="C3" s="97">
        <v>2000</v>
      </c>
      <c r="D3" s="97">
        <v>2001</v>
      </c>
      <c r="E3" s="97">
        <v>2002</v>
      </c>
      <c r="F3" s="97">
        <v>2003</v>
      </c>
      <c r="G3" s="97">
        <v>2004</v>
      </c>
      <c r="H3" s="97">
        <v>2005</v>
      </c>
      <c r="I3" s="97">
        <v>2006</v>
      </c>
      <c r="J3" s="97">
        <v>2007</v>
      </c>
      <c r="K3" s="97">
        <v>2008</v>
      </c>
      <c r="L3" s="97">
        <v>2009</v>
      </c>
      <c r="M3" s="97">
        <v>2010</v>
      </c>
      <c r="N3" s="97">
        <v>2011</v>
      </c>
      <c r="O3" s="97">
        <v>2012</v>
      </c>
      <c r="P3" s="97">
        <v>2013</v>
      </c>
      <c r="Q3" s="97">
        <v>2014</v>
      </c>
      <c r="R3" s="97">
        <v>2015</v>
      </c>
      <c r="S3" s="97">
        <v>2016</v>
      </c>
      <c r="T3" s="97">
        <v>2017</v>
      </c>
      <c r="U3" s="97">
        <v>2018</v>
      </c>
      <c r="V3" s="97">
        <v>2019</v>
      </c>
      <c r="W3" s="97">
        <v>2020</v>
      </c>
      <c r="X3" s="97">
        <v>2021</v>
      </c>
      <c r="Y3" s="97">
        <v>2022</v>
      </c>
      <c r="Z3" s="97">
        <v>2023</v>
      </c>
      <c r="AA3" s="99" t="s">
        <v>1</v>
      </c>
      <c r="AB3" s="99" t="s">
        <v>211</v>
      </c>
      <c r="AC3" s="98">
        <v>2024</v>
      </c>
      <c r="AD3" s="98">
        <v>2025</v>
      </c>
      <c r="AE3" s="98">
        <v>2026</v>
      </c>
      <c r="AF3" s="98">
        <v>2027</v>
      </c>
      <c r="AG3" s="98">
        <v>2028</v>
      </c>
      <c r="AH3" s="98">
        <v>2029</v>
      </c>
      <c r="AI3" s="98">
        <v>2030</v>
      </c>
      <c r="AJ3" s="98">
        <v>2031</v>
      </c>
      <c r="AK3" s="98">
        <v>2032</v>
      </c>
      <c r="AL3" s="98">
        <v>2033</v>
      </c>
      <c r="AM3" s="112" t="s">
        <v>1</v>
      </c>
      <c r="AN3" s="297" t="s">
        <v>241</v>
      </c>
      <c r="AO3" s="298"/>
    </row>
    <row r="4" spans="2:41" x14ac:dyDescent="0.15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13"/>
      <c r="AN4" s="10"/>
      <c r="AO4" s="10"/>
    </row>
    <row r="5" spans="2:41" x14ac:dyDescent="0.15">
      <c r="B5" s="93" t="s">
        <v>199</v>
      </c>
      <c r="C5" s="10"/>
      <c r="D5" s="10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0"/>
      <c r="AB5" s="10"/>
      <c r="AC5" s="129"/>
      <c r="AD5" s="129"/>
      <c r="AE5" s="129"/>
      <c r="AF5" s="129"/>
      <c r="AG5" s="129"/>
      <c r="AH5" s="129"/>
      <c r="AI5" s="129"/>
      <c r="AJ5" s="129"/>
      <c r="AK5" s="129"/>
      <c r="AL5" s="129"/>
      <c r="AM5" s="113"/>
      <c r="AN5" s="10"/>
      <c r="AO5" s="129"/>
    </row>
    <row r="6" spans="2:41" x14ac:dyDescent="0.15">
      <c r="B6" s="10" t="s">
        <v>10</v>
      </c>
      <c r="C6" s="117"/>
      <c r="D6" s="117"/>
      <c r="E6" s="123"/>
      <c r="F6" s="123"/>
      <c r="G6" s="123">
        <v>163</v>
      </c>
      <c r="H6" s="123">
        <v>169</v>
      </c>
      <c r="I6" s="123">
        <v>190</v>
      </c>
      <c r="J6" s="123">
        <v>232</v>
      </c>
      <c r="K6" s="123">
        <v>322</v>
      </c>
      <c r="L6" s="123">
        <v>388</v>
      </c>
      <c r="M6" s="123">
        <v>527</v>
      </c>
      <c r="N6" s="123">
        <v>628</v>
      </c>
      <c r="O6" s="123">
        <v>806</v>
      </c>
      <c r="P6" s="123">
        <v>1042</v>
      </c>
      <c r="Q6" s="123">
        <v>1345</v>
      </c>
      <c r="R6" s="176">
        <v>1682.49</v>
      </c>
      <c r="S6" s="176">
        <v>2084</v>
      </c>
      <c r="T6" s="176">
        <v>2575</v>
      </c>
      <c r="U6" s="176">
        <v>2920</v>
      </c>
      <c r="V6" s="176">
        <v>3318</v>
      </c>
      <c r="W6" s="176">
        <v>3639</v>
      </c>
      <c r="X6" s="176">
        <v>4193</v>
      </c>
      <c r="Y6" s="176">
        <v>4535</v>
      </c>
      <c r="Z6" s="176">
        <v>5282</v>
      </c>
      <c r="AA6" s="101">
        <f>((Z6/G6)^(1/($K$2-$K$1) ))-1</f>
        <v>0.20089719710550291</v>
      </c>
      <c r="AB6" s="21">
        <f>$O$2</f>
        <v>0.1</v>
      </c>
      <c r="AC6" s="129">
        <f>Z6*(1+$AB6)</f>
        <v>5810.2000000000007</v>
      </c>
      <c r="AD6" s="129">
        <f>AC6*(1+$AB6)</f>
        <v>6391.2200000000012</v>
      </c>
      <c r="AE6" s="129">
        <f t="shared" ref="AE6:AL6" si="0">AD6*(1+$AB6)</f>
        <v>7030.3420000000015</v>
      </c>
      <c r="AF6" s="129">
        <f t="shared" si="0"/>
        <v>7733.3762000000024</v>
      </c>
      <c r="AG6" s="129">
        <f t="shared" si="0"/>
        <v>8506.7138200000027</v>
      </c>
      <c r="AH6" s="129">
        <f t="shared" si="0"/>
        <v>9357.3852020000031</v>
      </c>
      <c r="AI6" s="129">
        <f t="shared" si="0"/>
        <v>10293.123722200004</v>
      </c>
      <c r="AJ6" s="129">
        <f t="shared" si="0"/>
        <v>11322.436094420005</v>
      </c>
      <c r="AK6" s="129">
        <f t="shared" si="0"/>
        <v>12454.679703862006</v>
      </c>
      <c r="AL6" s="129">
        <f t="shared" si="0"/>
        <v>13700.147674248208</v>
      </c>
      <c r="AM6" s="114">
        <f>((AL6/G6)^(1/($AL$3-$K$1) ))-1</f>
        <v>0.16510044205608132</v>
      </c>
      <c r="AN6" s="21">
        <f>$O$1</f>
        <v>0.01</v>
      </c>
      <c r="AO6" s="122" t="e">
        <f>(AL6*(1+AN6))/($O$1-AN6)</f>
        <v>#DIV/0!</v>
      </c>
    </row>
    <row r="7" spans="2:41" x14ac:dyDescent="0.15">
      <c r="B7" s="10" t="s">
        <v>198</v>
      </c>
      <c r="C7" s="117"/>
      <c r="D7" s="117"/>
      <c r="E7" s="123"/>
      <c r="F7" s="123"/>
      <c r="G7" s="123">
        <v>175</v>
      </c>
      <c r="H7" s="123">
        <v>181</v>
      </c>
      <c r="I7" s="123">
        <v>201</v>
      </c>
      <c r="J7" s="123">
        <v>243</v>
      </c>
      <c r="K7" s="123">
        <v>333</v>
      </c>
      <c r="L7" s="123">
        <v>406</v>
      </c>
      <c r="M7" s="123">
        <v>543</v>
      </c>
      <c r="N7" s="123">
        <v>646</v>
      </c>
      <c r="O7" s="123">
        <v>823</v>
      </c>
      <c r="P7" s="123">
        <v>1059</v>
      </c>
      <c r="Q7" s="123">
        <v>1362</v>
      </c>
      <c r="R7" s="176">
        <v>1699</v>
      </c>
      <c r="S7" s="176">
        <v>2101</v>
      </c>
      <c r="T7" s="176">
        <v>2593</v>
      </c>
      <c r="U7" s="176">
        <v>2937</v>
      </c>
      <c r="V7" s="176">
        <f>3318+17</f>
        <v>3335</v>
      </c>
      <c r="W7" s="176">
        <f>3639+17</f>
        <v>3656</v>
      </c>
      <c r="X7" s="176">
        <f>4193+17</f>
        <v>4210</v>
      </c>
      <c r="Y7" s="176">
        <v>4552</v>
      </c>
      <c r="Z7" s="176">
        <v>5299</v>
      </c>
      <c r="AA7" s="101">
        <f>((Z7/G7)^(1/($K$2-$K$1) ))-1</f>
        <v>0.19661811231975901</v>
      </c>
      <c r="AB7" s="21">
        <f>$O$2</f>
        <v>0.1</v>
      </c>
      <c r="AC7" s="129">
        <f t="shared" ref="AC7:AC63" si="1">Z7*(1+$AB7)</f>
        <v>5828.9000000000005</v>
      </c>
      <c r="AD7" s="129">
        <f t="shared" ref="AD7:AL7" si="2">AC7*(1+$AB7)</f>
        <v>6411.7900000000009</v>
      </c>
      <c r="AE7" s="129">
        <f t="shared" si="2"/>
        <v>7052.9690000000019</v>
      </c>
      <c r="AF7" s="129">
        <f t="shared" si="2"/>
        <v>7758.2659000000031</v>
      </c>
      <c r="AG7" s="129">
        <f t="shared" si="2"/>
        <v>8534.0924900000045</v>
      </c>
      <c r="AH7" s="129">
        <f t="shared" si="2"/>
        <v>9387.5017390000066</v>
      </c>
      <c r="AI7" s="129">
        <f t="shared" si="2"/>
        <v>10326.251912900008</v>
      </c>
      <c r="AJ7" s="129">
        <f t="shared" si="2"/>
        <v>11358.877104190011</v>
      </c>
      <c r="AK7" s="129">
        <f t="shared" si="2"/>
        <v>12494.764814609012</v>
      </c>
      <c r="AL7" s="129">
        <f t="shared" si="2"/>
        <v>13744.241296069915</v>
      </c>
      <c r="AM7" s="114">
        <f t="shared" ref="AM7:AM63" si="3">((AL7/G7)^(1/($AL$3-$K$1) ))-1</f>
        <v>0.16237879888587403</v>
      </c>
      <c r="AN7" s="21">
        <f>$O$1</f>
        <v>0.01</v>
      </c>
      <c r="AO7" s="122" t="e">
        <f>(AL7*(1+AN7))/($O$1-AN7)</f>
        <v>#DIV/0!</v>
      </c>
    </row>
    <row r="8" spans="2:41" x14ac:dyDescent="0.15">
      <c r="B8" s="10"/>
      <c r="C8" s="117"/>
      <c r="D8" s="117"/>
      <c r="E8" s="123"/>
      <c r="F8" s="126"/>
      <c r="G8" s="126">
        <f>(G7-F7)/G7</f>
        <v>1</v>
      </c>
      <c r="H8" s="126">
        <f>(H7-G7)/H7</f>
        <v>3.3149171270718231E-2</v>
      </c>
      <c r="I8" s="126">
        <f t="shared" ref="I8:W8" si="4">(I7-H7)/I7</f>
        <v>9.950248756218906E-2</v>
      </c>
      <c r="J8" s="126">
        <f t="shared" si="4"/>
        <v>0.1728395061728395</v>
      </c>
      <c r="K8" s="126">
        <f t="shared" si="4"/>
        <v>0.27027027027027029</v>
      </c>
      <c r="L8" s="126">
        <f t="shared" si="4"/>
        <v>0.17980295566502463</v>
      </c>
      <c r="M8" s="126">
        <f t="shared" si="4"/>
        <v>0.25230202578268879</v>
      </c>
      <c r="N8" s="126">
        <f t="shared" si="4"/>
        <v>0.15944272445820434</v>
      </c>
      <c r="O8" s="126">
        <f t="shared" si="4"/>
        <v>0.21506682867557717</v>
      </c>
      <c r="P8" s="126">
        <f t="shared" si="4"/>
        <v>0.22285174693106705</v>
      </c>
      <c r="Q8" s="126">
        <f t="shared" si="4"/>
        <v>0.22246696035242292</v>
      </c>
      <c r="R8" s="126">
        <f t="shared" si="4"/>
        <v>0.19835197174808711</v>
      </c>
      <c r="S8" s="126">
        <f t="shared" si="4"/>
        <v>0.19133745835316515</v>
      </c>
      <c r="T8" s="126">
        <f t="shared" si="4"/>
        <v>0.1897416120323949</v>
      </c>
      <c r="U8" s="126">
        <f t="shared" ref="U8" si="5">(U7-T7)/U7</f>
        <v>0.11712631937351038</v>
      </c>
      <c r="V8" s="126">
        <f t="shared" ref="V8" si="6">(V7-U7)/V7</f>
        <v>0.11934032983508246</v>
      </c>
      <c r="W8" s="126">
        <f t="shared" ref="W8" si="7">(W7-V7)/W7</f>
        <v>8.7800875273522982E-2</v>
      </c>
      <c r="X8" s="126">
        <f t="shared" ref="X8" si="8">(X7-W7)/X7</f>
        <v>0.13159144893111638</v>
      </c>
      <c r="Y8" s="126">
        <f t="shared" ref="Y8" si="9">(Y7-X7)/Y7</f>
        <v>7.5131810193321616E-2</v>
      </c>
      <c r="Z8" s="126">
        <f t="shared" ref="Z8" si="10">(Z7-Y7)/Z7</f>
        <v>0.14096999433855445</v>
      </c>
      <c r="AA8" s="10"/>
      <c r="AB8" s="10"/>
      <c r="AC8" s="129"/>
      <c r="AD8" s="129"/>
      <c r="AE8" s="129"/>
      <c r="AF8" s="129"/>
      <c r="AG8" s="129"/>
      <c r="AH8" s="129"/>
      <c r="AI8" s="129"/>
      <c r="AJ8" s="129"/>
      <c r="AK8" s="129"/>
      <c r="AL8" s="129"/>
      <c r="AM8" s="113"/>
      <c r="AN8" s="113"/>
      <c r="AO8" s="122"/>
    </row>
    <row r="9" spans="2:41" x14ac:dyDescent="0.15">
      <c r="B9" s="10" t="s">
        <v>220</v>
      </c>
      <c r="C9" s="117"/>
      <c r="D9" s="117"/>
      <c r="E9" s="123"/>
      <c r="F9" s="123"/>
      <c r="G9" s="123">
        <v>31</v>
      </c>
      <c r="H9" s="123">
        <v>48</v>
      </c>
      <c r="I9" s="123">
        <v>82</v>
      </c>
      <c r="J9" s="123">
        <v>87</v>
      </c>
      <c r="K9" s="123">
        <v>120</v>
      </c>
      <c r="L9" s="123">
        <v>132</v>
      </c>
      <c r="M9" s="123">
        <v>187</v>
      </c>
      <c r="N9" s="123">
        <v>212</v>
      </c>
      <c r="O9" s="123">
        <v>223</v>
      </c>
      <c r="P9" s="123">
        <v>336</v>
      </c>
      <c r="Q9" s="123">
        <v>373</v>
      </c>
      <c r="R9" s="176">
        <v>450</v>
      </c>
      <c r="S9" s="176">
        <v>636</v>
      </c>
      <c r="T9" s="176">
        <v>828</v>
      </c>
      <c r="U9" s="176">
        <v>1071</v>
      </c>
      <c r="V9" s="123">
        <v>1102</v>
      </c>
      <c r="W9" s="123">
        <v>1261</v>
      </c>
      <c r="X9" s="123">
        <v>1494</v>
      </c>
      <c r="Y9" s="123">
        <v>1554</v>
      </c>
      <c r="Z9" s="123">
        <v>1523</v>
      </c>
      <c r="AA9" s="101">
        <f>((Z9/G9)^(1/($K$2-$K$1) ))-1</f>
        <v>0.22748954144515987</v>
      </c>
      <c r="AB9" s="21">
        <f t="shared" ref="AB9:AB59" si="11">$O$2</f>
        <v>0.1</v>
      </c>
      <c r="AC9" s="129">
        <f t="shared" si="1"/>
        <v>1675.3000000000002</v>
      </c>
      <c r="AD9" s="129">
        <f t="shared" ref="AD9" si="12">AC9*(1+$AB9)</f>
        <v>1842.8300000000004</v>
      </c>
      <c r="AE9" s="129">
        <f t="shared" ref="AE9" si="13">AD9*(1+$AB9)</f>
        <v>2027.1130000000005</v>
      </c>
      <c r="AF9" s="129">
        <f t="shared" ref="AF9" si="14">AE9*(1+$AB9)</f>
        <v>2229.8243000000007</v>
      </c>
      <c r="AG9" s="129">
        <f t="shared" ref="AG9" si="15">AF9*(1+$AB9)</f>
        <v>2452.8067300000012</v>
      </c>
      <c r="AH9" s="129">
        <f t="shared" ref="AH9" si="16">AG9*(1+$AB9)</f>
        <v>2698.0874030000014</v>
      </c>
      <c r="AI9" s="129">
        <f t="shared" ref="AI9" si="17">AH9*(1+$AB9)</f>
        <v>2967.8961433000018</v>
      </c>
      <c r="AJ9" s="129">
        <f t="shared" ref="AJ9" si="18">AI9*(1+$AB9)</f>
        <v>3264.6857576300022</v>
      </c>
      <c r="AK9" s="129">
        <f t="shared" ref="AK9" si="19">AJ9*(1+$AB9)</f>
        <v>3591.1543333930026</v>
      </c>
      <c r="AL9" s="129">
        <f t="shared" ref="AL9" si="20">AK9*(1+$AB9)</f>
        <v>3950.2697667323032</v>
      </c>
      <c r="AM9" s="114">
        <f t="shared" si="3"/>
        <v>0.18193977235438319</v>
      </c>
      <c r="AN9" s="21">
        <f t="shared" ref="AN9:AN103" si="21">$O$1</f>
        <v>0.01</v>
      </c>
      <c r="AO9" s="122" t="e">
        <f>(AL9*(1+AN9))/($O$1-AN9)</f>
        <v>#DIV/0!</v>
      </c>
    </row>
    <row r="10" spans="2:41" x14ac:dyDescent="0.15">
      <c r="B10" s="10" t="s">
        <v>3</v>
      </c>
      <c r="C10" s="117"/>
      <c r="D10" s="117"/>
      <c r="E10" s="123"/>
      <c r="F10" s="123"/>
      <c r="G10" s="123">
        <v>15</v>
      </c>
      <c r="H10" s="123">
        <v>23</v>
      </c>
      <c r="I10" s="123">
        <v>38</v>
      </c>
      <c r="J10" s="123">
        <v>141</v>
      </c>
      <c r="K10" s="123">
        <v>317</v>
      </c>
      <c r="L10" s="123">
        <v>286</v>
      </c>
      <c r="M10" s="123">
        <v>91</v>
      </c>
      <c r="N10" s="123">
        <v>95</v>
      </c>
      <c r="O10" s="123">
        <v>84</v>
      </c>
      <c r="P10" s="123">
        <v>87</v>
      </c>
      <c r="Q10" s="123">
        <v>84</v>
      </c>
      <c r="R10" s="176">
        <v>74</v>
      </c>
      <c r="S10" s="176">
        <v>72</v>
      </c>
      <c r="T10" s="176">
        <v>72</v>
      </c>
      <c r="U10" s="176">
        <v>58</v>
      </c>
      <c r="V10" s="123"/>
      <c r="W10" s="123"/>
      <c r="X10" s="123"/>
      <c r="Y10" s="123"/>
      <c r="Z10" s="123"/>
      <c r="AA10" s="101">
        <f>((Z10/G10)^(1/($K$2-$K$1) ))-1</f>
        <v>-1</v>
      </c>
      <c r="AB10" s="21">
        <f t="shared" si="11"/>
        <v>0.1</v>
      </c>
      <c r="AC10" s="129">
        <f t="shared" si="1"/>
        <v>0</v>
      </c>
      <c r="AD10" s="129">
        <f t="shared" ref="AD10:AL10" si="22">AC10*(1+$AB10)</f>
        <v>0</v>
      </c>
      <c r="AE10" s="129">
        <f t="shared" si="22"/>
        <v>0</v>
      </c>
      <c r="AF10" s="129">
        <f t="shared" si="22"/>
        <v>0</v>
      </c>
      <c r="AG10" s="129">
        <f t="shared" si="22"/>
        <v>0</v>
      </c>
      <c r="AH10" s="129">
        <f t="shared" si="22"/>
        <v>0</v>
      </c>
      <c r="AI10" s="129">
        <f t="shared" si="22"/>
        <v>0</v>
      </c>
      <c r="AJ10" s="129">
        <f t="shared" si="22"/>
        <v>0</v>
      </c>
      <c r="AK10" s="129">
        <f t="shared" si="22"/>
        <v>0</v>
      </c>
      <c r="AL10" s="129">
        <f t="shared" si="22"/>
        <v>0</v>
      </c>
      <c r="AM10" s="114">
        <f t="shared" si="3"/>
        <v>-1</v>
      </c>
      <c r="AN10" s="21">
        <f t="shared" si="21"/>
        <v>0.01</v>
      </c>
      <c r="AO10" s="122" t="e">
        <f>(AL10*(1+AN10))/($O$1-AN10)</f>
        <v>#DIV/0!</v>
      </c>
    </row>
    <row r="11" spans="2:41" x14ac:dyDescent="0.15">
      <c r="B11" s="10"/>
      <c r="C11" s="117"/>
      <c r="D11" s="117"/>
      <c r="E11" s="123"/>
      <c r="F11" s="126"/>
      <c r="G11" s="126">
        <f>(G10-F10)/G10</f>
        <v>1</v>
      </c>
      <c r="H11" s="126">
        <f t="shared" ref="H11:Y11" si="23">(H10-G10)/H10</f>
        <v>0.34782608695652173</v>
      </c>
      <c r="I11" s="126">
        <f t="shared" si="23"/>
        <v>0.39473684210526316</v>
      </c>
      <c r="J11" s="126">
        <f t="shared" si="23"/>
        <v>0.73049645390070927</v>
      </c>
      <c r="K11" s="126">
        <f t="shared" si="23"/>
        <v>0.55520504731861198</v>
      </c>
      <c r="L11" s="126">
        <f t="shared" si="23"/>
        <v>-0.10839160839160839</v>
      </c>
      <c r="M11" s="126">
        <f t="shared" si="23"/>
        <v>-2.1428571428571428</v>
      </c>
      <c r="N11" s="126">
        <f t="shared" si="23"/>
        <v>4.2105263157894736E-2</v>
      </c>
      <c r="O11" s="126">
        <f t="shared" si="23"/>
        <v>-0.13095238095238096</v>
      </c>
      <c r="P11" s="126">
        <f t="shared" si="23"/>
        <v>3.4482758620689655E-2</v>
      </c>
      <c r="Q11" s="126">
        <f t="shared" si="23"/>
        <v>-3.5714285714285712E-2</v>
      </c>
      <c r="R11" s="126">
        <f t="shared" si="23"/>
        <v>-0.13513513513513514</v>
      </c>
      <c r="S11" s="126">
        <f t="shared" si="23"/>
        <v>-2.7777777777777776E-2</v>
      </c>
      <c r="T11" s="126">
        <f t="shared" ref="T11" si="24">(T10-S10)/T10</f>
        <v>0</v>
      </c>
      <c r="U11" s="126">
        <f t="shared" ref="U11" si="25">(U10-T10)/U10</f>
        <v>-0.2413793103448276</v>
      </c>
      <c r="V11" s="126" t="e">
        <f t="shared" ref="V11" si="26">(V10-U10)/V10</f>
        <v>#DIV/0!</v>
      </c>
      <c r="W11" s="126" t="e">
        <f t="shared" ref="W11" si="27">(W10-V10)/W10</f>
        <v>#DIV/0!</v>
      </c>
      <c r="X11" s="126" t="e">
        <f t="shared" ref="X11" si="28">(X10-W10)/X10</f>
        <v>#DIV/0!</v>
      </c>
      <c r="Y11" s="126" t="e">
        <f t="shared" ref="Y11" si="29">(Y10-X10)/Y10</f>
        <v>#DIV/0!</v>
      </c>
      <c r="Z11" s="126" t="e">
        <f t="shared" ref="Z11" si="30">(Z10-Y10)/Z10</f>
        <v>#DIV/0!</v>
      </c>
      <c r="AA11" s="10"/>
      <c r="AB11" s="10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13"/>
      <c r="AN11" s="113"/>
      <c r="AO11" s="113"/>
    </row>
    <row r="12" spans="2:41" x14ac:dyDescent="0.15">
      <c r="B12" s="10" t="s">
        <v>2</v>
      </c>
      <c r="C12" s="117"/>
      <c r="D12" s="117"/>
      <c r="E12" s="123"/>
      <c r="F12" s="123"/>
      <c r="G12" s="123">
        <v>15</v>
      </c>
      <c r="H12" s="123">
        <v>17</v>
      </c>
      <c r="I12" s="123">
        <v>21</v>
      </c>
      <c r="J12" s="123">
        <v>26</v>
      </c>
      <c r="K12" s="123">
        <v>52</v>
      </c>
      <c r="L12" s="123">
        <f>34+36</f>
        <v>70</v>
      </c>
      <c r="M12" s="123">
        <v>62</v>
      </c>
      <c r="N12" s="123">
        <v>40</v>
      </c>
      <c r="O12" s="123">
        <f>175+54</f>
        <v>229</v>
      </c>
      <c r="P12" s="123">
        <v>411</v>
      </c>
      <c r="Q12" s="123">
        <v>295</v>
      </c>
      <c r="R12" s="176">
        <v>222</v>
      </c>
      <c r="S12" s="176">
        <v>150</v>
      </c>
      <c r="T12" s="176">
        <v>170</v>
      </c>
      <c r="U12" s="176">
        <v>111</v>
      </c>
      <c r="V12" s="123">
        <v>72</v>
      </c>
      <c r="W12" s="123">
        <v>85</v>
      </c>
      <c r="X12" s="123">
        <v>176</v>
      </c>
      <c r="Y12" s="123">
        <v>145</v>
      </c>
      <c r="Z12" s="123">
        <v>105</v>
      </c>
      <c r="AA12" s="101">
        <f>((Z12/G12)^(1/($K$2-$K$1) ))-1</f>
        <v>0.10784459762180121</v>
      </c>
      <c r="AB12" s="21">
        <f t="shared" si="11"/>
        <v>0.1</v>
      </c>
      <c r="AC12" s="129">
        <f t="shared" si="1"/>
        <v>115.50000000000001</v>
      </c>
      <c r="AD12" s="129">
        <f t="shared" ref="AD12:AL12" si="31">AC12*(1+$AB12)</f>
        <v>127.05000000000003</v>
      </c>
      <c r="AE12" s="129">
        <f t="shared" si="31"/>
        <v>139.75500000000005</v>
      </c>
      <c r="AF12" s="129">
        <f t="shared" si="31"/>
        <v>153.73050000000006</v>
      </c>
      <c r="AG12" s="129">
        <f t="shared" si="31"/>
        <v>169.10355000000007</v>
      </c>
      <c r="AH12" s="129">
        <f t="shared" si="31"/>
        <v>186.01390500000008</v>
      </c>
      <c r="AI12" s="129">
        <f t="shared" si="31"/>
        <v>204.61529550000012</v>
      </c>
      <c r="AJ12" s="129">
        <f t="shared" si="31"/>
        <v>225.07682505000014</v>
      </c>
      <c r="AK12" s="129">
        <f t="shared" si="31"/>
        <v>247.58450755500019</v>
      </c>
      <c r="AL12" s="129">
        <f t="shared" si="31"/>
        <v>272.34295831050025</v>
      </c>
      <c r="AM12" s="114">
        <f t="shared" si="3"/>
        <v>0.10513326467115425</v>
      </c>
      <c r="AN12" s="21">
        <f t="shared" si="21"/>
        <v>0.01</v>
      </c>
      <c r="AO12" s="122" t="e">
        <f t="shared" ref="AO12:AO74" si="32">(AL12*(1+AN12))/($O$1-AN12)</f>
        <v>#DIV/0!</v>
      </c>
    </row>
    <row r="13" spans="2:41" x14ac:dyDescent="0.15">
      <c r="B13" s="10" t="s">
        <v>191</v>
      </c>
      <c r="C13" s="117"/>
      <c r="D13" s="117"/>
      <c r="E13" s="123"/>
      <c r="F13" s="123"/>
      <c r="G13" s="123">
        <v>21</v>
      </c>
      <c r="H13" s="123">
        <v>24</v>
      </c>
      <c r="I13" s="123">
        <v>32</v>
      </c>
      <c r="J13" s="123">
        <v>16</v>
      </c>
      <c r="K13" s="123">
        <v>16</v>
      </c>
      <c r="L13" s="123">
        <v>47</v>
      </c>
      <c r="M13" s="123">
        <v>16</v>
      </c>
      <c r="N13" s="123">
        <v>16</v>
      </c>
      <c r="O13" s="123">
        <v>16</v>
      </c>
      <c r="P13" s="123">
        <v>16</v>
      </c>
      <c r="Q13" s="123">
        <v>16</v>
      </c>
      <c r="R13" s="176">
        <v>16</v>
      </c>
      <c r="S13" s="176">
        <v>16</v>
      </c>
      <c r="T13" s="176">
        <v>146</v>
      </c>
      <c r="U13" s="176">
        <v>35</v>
      </c>
      <c r="V13" s="123">
        <v>20</v>
      </c>
      <c r="W13" s="123">
        <v>156</v>
      </c>
      <c r="X13" s="123">
        <v>281</v>
      </c>
      <c r="Y13" s="123">
        <v>376</v>
      </c>
      <c r="Z13" s="123">
        <v>427</v>
      </c>
      <c r="AA13" s="101">
        <f t="shared" ref="AA13:AA67" si="33">((Z13/G13)^(1/($K$2-$K$1) ))-1</f>
        <v>0.17179889240669732</v>
      </c>
      <c r="AB13" s="21">
        <f t="shared" si="11"/>
        <v>0.1</v>
      </c>
      <c r="AC13" s="129">
        <f t="shared" si="1"/>
        <v>469.70000000000005</v>
      </c>
      <c r="AD13" s="129">
        <f t="shared" ref="AD13:AL13" si="34">AC13*(1+$AB13)</f>
        <v>516.67000000000007</v>
      </c>
      <c r="AE13" s="129">
        <f t="shared" si="34"/>
        <v>568.3370000000001</v>
      </c>
      <c r="AF13" s="129">
        <f t="shared" si="34"/>
        <v>625.17070000000012</v>
      </c>
      <c r="AG13" s="129">
        <f t="shared" si="34"/>
        <v>687.68777000000023</v>
      </c>
      <c r="AH13" s="129">
        <f t="shared" si="34"/>
        <v>756.45654700000034</v>
      </c>
      <c r="AI13" s="129">
        <f t="shared" si="34"/>
        <v>832.10220170000048</v>
      </c>
      <c r="AJ13" s="129">
        <f t="shared" si="34"/>
        <v>915.31242187000055</v>
      </c>
      <c r="AK13" s="129">
        <f t="shared" si="34"/>
        <v>1006.8436640570006</v>
      </c>
      <c r="AL13" s="129">
        <f t="shared" si="34"/>
        <v>1107.5280304627008</v>
      </c>
      <c r="AM13" s="114">
        <f t="shared" si="3"/>
        <v>0.14652619179079829</v>
      </c>
      <c r="AN13" s="21">
        <f t="shared" si="21"/>
        <v>0.01</v>
      </c>
      <c r="AO13" s="122" t="e">
        <f t="shared" si="32"/>
        <v>#DIV/0!</v>
      </c>
    </row>
    <row r="14" spans="2:41" x14ac:dyDescent="0.15">
      <c r="B14" s="10" t="s">
        <v>315</v>
      </c>
      <c r="C14" s="117"/>
      <c r="D14" s="117"/>
      <c r="E14" s="123"/>
      <c r="F14" s="123"/>
      <c r="G14" s="123">
        <v>31</v>
      </c>
      <c r="H14" s="123">
        <v>44</v>
      </c>
      <c r="I14" s="123">
        <v>57</v>
      </c>
      <c r="J14" s="123">
        <v>92</v>
      </c>
      <c r="K14" s="123">
        <v>194</v>
      </c>
      <c r="L14" s="123">
        <v>161</v>
      </c>
      <c r="M14" s="123">
        <v>218</v>
      </c>
      <c r="N14" s="123">
        <v>285</v>
      </c>
      <c r="O14" s="123">
        <v>266</v>
      </c>
      <c r="P14" s="123">
        <v>293</v>
      </c>
      <c r="Q14" s="123">
        <v>335</v>
      </c>
      <c r="R14" s="176">
        <v>418</v>
      </c>
      <c r="S14" s="176">
        <v>601</v>
      </c>
      <c r="T14" s="176">
        <v>601</v>
      </c>
      <c r="U14" s="176">
        <v>1049</v>
      </c>
      <c r="V14" s="123">
        <v>1061</v>
      </c>
      <c r="W14" s="123">
        <v>1143</v>
      </c>
      <c r="X14" s="123">
        <v>1438</v>
      </c>
      <c r="Y14" s="123">
        <v>1596</v>
      </c>
      <c r="Z14" s="123">
        <v>1702</v>
      </c>
      <c r="AA14" s="101">
        <f t="shared" si="33"/>
        <v>0.23468957777288213</v>
      </c>
      <c r="AB14" s="21">
        <f t="shared" si="11"/>
        <v>0.1</v>
      </c>
      <c r="AC14" s="129">
        <f t="shared" si="1"/>
        <v>1872.2</v>
      </c>
      <c r="AD14" s="129">
        <f t="shared" ref="AD14" si="35">AC14*(1+$AB14)</f>
        <v>2059.42</v>
      </c>
      <c r="AE14" s="129">
        <f t="shared" ref="AE14" si="36">AD14*(1+$AB14)</f>
        <v>2265.3620000000001</v>
      </c>
      <c r="AF14" s="129">
        <f t="shared" ref="AF14" si="37">AE14*(1+$AB14)</f>
        <v>2491.8982000000001</v>
      </c>
      <c r="AG14" s="129">
        <f t="shared" ref="AG14" si="38">AF14*(1+$AB14)</f>
        <v>2741.0880200000001</v>
      </c>
      <c r="AH14" s="129">
        <f t="shared" ref="AH14" si="39">AG14*(1+$AB14)</f>
        <v>3015.1968220000003</v>
      </c>
      <c r="AI14" s="129">
        <f t="shared" ref="AI14" si="40">AH14*(1+$AB14)</f>
        <v>3316.7165042000006</v>
      </c>
      <c r="AJ14" s="129">
        <f t="shared" ref="AJ14" si="41">AI14*(1+$AB14)</f>
        <v>3648.3881546200009</v>
      </c>
      <c r="AK14" s="129">
        <f t="shared" ref="AK14" si="42">AJ14*(1+$AB14)</f>
        <v>4013.2269700820016</v>
      </c>
      <c r="AL14" s="129">
        <f t="shared" ref="AL14" si="43">AK14*(1+$AB14)</f>
        <v>4414.5496670902021</v>
      </c>
      <c r="AM14" s="114">
        <f t="shared" si="3"/>
        <v>0.18647740732293383</v>
      </c>
      <c r="AN14" s="21">
        <f t="shared" si="21"/>
        <v>0.01</v>
      </c>
      <c r="AO14" s="122" t="e">
        <f t="shared" si="32"/>
        <v>#DIV/0!</v>
      </c>
    </row>
    <row r="15" spans="2:41" x14ac:dyDescent="0.15">
      <c r="B15" s="10" t="s">
        <v>11</v>
      </c>
      <c r="C15" s="117"/>
      <c r="D15" s="117"/>
      <c r="E15" s="123"/>
      <c r="F15" s="123"/>
      <c r="G15" s="123">
        <v>79</v>
      </c>
      <c r="H15" s="123">
        <v>114</v>
      </c>
      <c r="I15" s="123">
        <v>145</v>
      </c>
      <c r="J15" s="123">
        <v>243</v>
      </c>
      <c r="K15" s="123">
        <v>450</v>
      </c>
      <c r="L15" s="123">
        <v>403</v>
      </c>
      <c r="M15" s="123">
        <v>506</v>
      </c>
      <c r="N15" s="123">
        <v>599</v>
      </c>
      <c r="O15" s="123">
        <v>640</v>
      </c>
      <c r="P15" s="123">
        <v>1084</v>
      </c>
      <c r="Q15" s="123">
        <v>1082</v>
      </c>
      <c r="R15" s="176">
        <v>1194</v>
      </c>
      <c r="S15" s="176">
        <v>1344</v>
      </c>
      <c r="T15" s="176">
        <v>1558</v>
      </c>
      <c r="U15" s="176">
        <v>1943</v>
      </c>
      <c r="V15" s="123">
        <v>1901</v>
      </c>
      <c r="W15" s="123">
        <v>1863</v>
      </c>
      <c r="X15" s="123">
        <v>2401</v>
      </c>
      <c r="Y15" s="123">
        <v>2650</v>
      </c>
      <c r="Z15" s="123">
        <v>2694</v>
      </c>
      <c r="AA15" s="101">
        <f t="shared" si="33"/>
        <v>0.20412654791546547</v>
      </c>
      <c r="AB15" s="21">
        <f t="shared" si="11"/>
        <v>0.1</v>
      </c>
      <c r="AC15" s="129">
        <f t="shared" si="1"/>
        <v>2963.4</v>
      </c>
      <c r="AD15" s="129">
        <f t="shared" ref="AD15:AL15" si="44">AC15*(1+$AB15)</f>
        <v>3259.7400000000002</v>
      </c>
      <c r="AE15" s="129">
        <f t="shared" si="44"/>
        <v>3585.7140000000004</v>
      </c>
      <c r="AF15" s="129">
        <f t="shared" si="44"/>
        <v>3944.2854000000007</v>
      </c>
      <c r="AG15" s="129">
        <f t="shared" si="44"/>
        <v>4338.7139400000015</v>
      </c>
      <c r="AH15" s="129">
        <f t="shared" si="44"/>
        <v>4772.5853340000021</v>
      </c>
      <c r="AI15" s="129">
        <f t="shared" si="44"/>
        <v>5249.8438674000026</v>
      </c>
      <c r="AJ15" s="129">
        <f t="shared" si="44"/>
        <v>5774.8282541400031</v>
      </c>
      <c r="AK15" s="129">
        <f t="shared" si="44"/>
        <v>6352.3110795540042</v>
      </c>
      <c r="AL15" s="129">
        <f t="shared" si="44"/>
        <v>6987.5421875094053</v>
      </c>
      <c r="AM15" s="114">
        <f t="shared" si="3"/>
        <v>0.16715220510373352</v>
      </c>
      <c r="AN15" s="21">
        <f t="shared" si="21"/>
        <v>0.01</v>
      </c>
      <c r="AO15" s="122" t="e">
        <f t="shared" si="32"/>
        <v>#DIV/0!</v>
      </c>
    </row>
    <row r="16" spans="2:41" x14ac:dyDescent="0.15">
      <c r="B16" s="10" t="s">
        <v>12</v>
      </c>
      <c r="C16" s="117"/>
      <c r="D16" s="117"/>
      <c r="E16" s="123"/>
      <c r="F16" s="123"/>
      <c r="G16" s="123">
        <v>68</v>
      </c>
      <c r="H16" s="123">
        <v>84</v>
      </c>
      <c r="I16" s="123">
        <v>98</v>
      </c>
      <c r="J16" s="123">
        <v>205</v>
      </c>
      <c r="K16" s="123">
        <v>378</v>
      </c>
      <c r="L16" s="123">
        <v>323</v>
      </c>
      <c r="M16" s="123">
        <v>290</v>
      </c>
      <c r="N16" s="123">
        <v>368</v>
      </c>
      <c r="O16" s="123">
        <v>504</v>
      </c>
      <c r="P16" s="123">
        <v>669</v>
      </c>
      <c r="Q16" s="123">
        <v>663</v>
      </c>
      <c r="R16" s="176">
        <v>727</v>
      </c>
      <c r="S16" s="176">
        <v>721</v>
      </c>
      <c r="T16" s="176">
        <v>783</v>
      </c>
      <c r="U16" s="176">
        <v>1031</v>
      </c>
      <c r="V16" s="123">
        <v>1234</v>
      </c>
      <c r="W16" s="123">
        <v>877</v>
      </c>
      <c r="X16" s="123">
        <v>1099</v>
      </c>
      <c r="Y16" s="123">
        <v>1176</v>
      </c>
      <c r="Z16" s="123">
        <v>1684</v>
      </c>
      <c r="AA16" s="101">
        <f t="shared" si="33"/>
        <v>0.18402164227529205</v>
      </c>
      <c r="AB16" s="21">
        <f t="shared" si="11"/>
        <v>0.1</v>
      </c>
      <c r="AC16" s="129">
        <f t="shared" si="1"/>
        <v>1852.4</v>
      </c>
      <c r="AD16" s="129">
        <f t="shared" ref="AD16:AL16" si="45">AC16*(1+$AB16)</f>
        <v>2037.6400000000003</v>
      </c>
      <c r="AE16" s="129">
        <f t="shared" si="45"/>
        <v>2241.4040000000005</v>
      </c>
      <c r="AF16" s="129">
        <f t="shared" si="45"/>
        <v>2465.5444000000007</v>
      </c>
      <c r="AG16" s="129">
        <f t="shared" si="45"/>
        <v>2712.098840000001</v>
      </c>
      <c r="AH16" s="129">
        <f t="shared" si="45"/>
        <v>2983.3087240000013</v>
      </c>
      <c r="AI16" s="129">
        <f t="shared" si="45"/>
        <v>3281.6395964000017</v>
      </c>
      <c r="AJ16" s="129">
        <f t="shared" si="45"/>
        <v>3609.8035560400021</v>
      </c>
      <c r="AK16" s="129">
        <f t="shared" si="45"/>
        <v>3970.7839116440027</v>
      </c>
      <c r="AL16" s="129">
        <f t="shared" si="45"/>
        <v>4367.862302808403</v>
      </c>
      <c r="AM16" s="114">
        <f t="shared" si="3"/>
        <v>0.15434746253369491</v>
      </c>
      <c r="AN16" s="21">
        <f t="shared" si="21"/>
        <v>0.01</v>
      </c>
      <c r="AO16" s="122" t="e">
        <f t="shared" si="32"/>
        <v>#DIV/0!</v>
      </c>
    </row>
    <row r="17" spans="2:41" x14ac:dyDescent="0.15">
      <c r="B17" s="10"/>
      <c r="C17" s="117"/>
      <c r="D17" s="117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76"/>
      <c r="U17" s="176"/>
      <c r="V17" s="123"/>
      <c r="W17" s="123"/>
      <c r="X17" s="123"/>
      <c r="Y17" s="123"/>
      <c r="Z17" s="123"/>
      <c r="AA17" s="10"/>
      <c r="AB17" s="10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13"/>
      <c r="AN17" s="113"/>
      <c r="AO17" s="113"/>
    </row>
    <row r="18" spans="2:41" x14ac:dyDescent="0.15">
      <c r="B18" s="10" t="s">
        <v>228</v>
      </c>
      <c r="C18" s="117"/>
      <c r="D18" s="117"/>
      <c r="E18" s="123"/>
      <c r="F18" s="123"/>
      <c r="G18" s="123">
        <v>99</v>
      </c>
      <c r="H18" s="123">
        <v>95</v>
      </c>
      <c r="I18" s="123">
        <v>104</v>
      </c>
      <c r="J18" s="123">
        <v>157</v>
      </c>
      <c r="K18" s="123">
        <v>189</v>
      </c>
      <c r="L18" s="123">
        <v>281</v>
      </c>
      <c r="M18" s="123">
        <v>306</v>
      </c>
      <c r="N18" s="123">
        <v>315</v>
      </c>
      <c r="O18" s="123">
        <v>355</v>
      </c>
      <c r="P18" s="123">
        <v>358</v>
      </c>
      <c r="Q18" s="123">
        <v>623</v>
      </c>
      <c r="R18" s="176">
        <v>944</v>
      </c>
      <c r="S18" s="176">
        <v>1316</v>
      </c>
      <c r="T18" s="176">
        <v>1492</v>
      </c>
      <c r="U18" s="176">
        <v>1703</v>
      </c>
      <c r="V18" s="123">
        <v>1813</v>
      </c>
      <c r="W18" s="123">
        <v>1829</v>
      </c>
      <c r="X18" s="123">
        <v>2455</v>
      </c>
      <c r="Y18" s="123">
        <v>2398</v>
      </c>
      <c r="Z18" s="123">
        <v>3204</v>
      </c>
      <c r="AA18" s="101">
        <f t="shared" si="33"/>
        <v>0.2008166490588017</v>
      </c>
      <c r="AB18" s="21">
        <f t="shared" si="11"/>
        <v>0.1</v>
      </c>
      <c r="AC18" s="129">
        <f t="shared" si="1"/>
        <v>3524.4</v>
      </c>
      <c r="AD18" s="129">
        <f t="shared" ref="AD18:AD34" si="46">AC18*(1+$AB18)</f>
        <v>3876.8400000000006</v>
      </c>
      <c r="AE18" s="129">
        <f t="shared" ref="AE18:AE34" si="47">AD18*(1+$AB18)</f>
        <v>4264.5240000000013</v>
      </c>
      <c r="AF18" s="129">
        <f t="shared" ref="AF18:AF34" si="48">AE18*(1+$AB18)</f>
        <v>4690.9764000000014</v>
      </c>
      <c r="AG18" s="129">
        <f t="shared" ref="AG18:AG53" si="49">AF18*(1+$AB18)</f>
        <v>5160.0740400000022</v>
      </c>
      <c r="AH18" s="129">
        <f t="shared" ref="AH18:AH53" si="50">AG18*(1+$AB18)</f>
        <v>5676.0814440000031</v>
      </c>
      <c r="AI18" s="129">
        <f t="shared" ref="AI18:AI53" si="51">AH18*(1+$AB18)</f>
        <v>6243.6895884000041</v>
      </c>
      <c r="AJ18" s="129">
        <f t="shared" ref="AJ18:AJ53" si="52">AI18*(1+$AB18)</f>
        <v>6868.0585472400053</v>
      </c>
      <c r="AK18" s="129">
        <f t="shared" ref="AK18:AK53" si="53">AJ18*(1+$AB18)</f>
        <v>7554.864401964006</v>
      </c>
      <c r="AL18" s="129">
        <f t="shared" ref="AL18:AL53" si="54">AK18*(1+$AB18)</f>
        <v>8310.3508421604074</v>
      </c>
      <c r="AM18" s="114">
        <f t="shared" si="3"/>
        <v>0.16504924167722335</v>
      </c>
      <c r="AN18" s="21">
        <f t="shared" si="21"/>
        <v>0.01</v>
      </c>
      <c r="AO18" s="122" t="e">
        <f t="shared" si="32"/>
        <v>#DIV/0!</v>
      </c>
    </row>
    <row r="19" spans="2:41" x14ac:dyDescent="0.15">
      <c r="B19" s="10"/>
      <c r="C19" s="117"/>
      <c r="D19" s="117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76"/>
      <c r="U19" s="176"/>
      <c r="V19" s="123"/>
      <c r="W19" s="123"/>
      <c r="X19" s="123"/>
      <c r="Y19" s="123"/>
      <c r="Z19" s="123"/>
      <c r="AA19" s="10"/>
      <c r="AB19" s="10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13"/>
      <c r="AN19" s="113"/>
      <c r="AO19" s="113"/>
    </row>
    <row r="20" spans="2:41" x14ac:dyDescent="0.15">
      <c r="B20" s="10" t="s">
        <v>233</v>
      </c>
      <c r="C20" s="117"/>
      <c r="D20" s="117"/>
      <c r="E20" s="123"/>
      <c r="F20" s="123"/>
      <c r="G20" s="123">
        <v>6</v>
      </c>
      <c r="H20" s="123">
        <v>7</v>
      </c>
      <c r="I20" s="123">
        <v>26</v>
      </c>
      <c r="J20" s="123">
        <v>-38</v>
      </c>
      <c r="K20" s="123">
        <v>-30</v>
      </c>
      <c r="L20" s="123">
        <v>223</v>
      </c>
      <c r="M20" s="123">
        <v>214</v>
      </c>
      <c r="N20" s="123">
        <v>85</v>
      </c>
      <c r="O20" s="123">
        <v>296</v>
      </c>
      <c r="P20" s="123">
        <v>335</v>
      </c>
      <c r="Q20" s="123">
        <v>279</v>
      </c>
      <c r="R20" s="176">
        <v>388</v>
      </c>
      <c r="S20" s="176">
        <v>554</v>
      </c>
      <c r="T20" s="176">
        <v>552</v>
      </c>
      <c r="U20" s="176">
        <v>322</v>
      </c>
      <c r="V20" s="123">
        <v>541</v>
      </c>
      <c r="W20" s="123">
        <v>1177</v>
      </c>
      <c r="X20" s="123">
        <v>802</v>
      </c>
      <c r="Y20" s="123">
        <v>633</v>
      </c>
      <c r="Z20" s="123"/>
      <c r="AA20" s="101">
        <f t="shared" si="33"/>
        <v>-1</v>
      </c>
      <c r="AB20" s="21">
        <f t="shared" si="11"/>
        <v>0.1</v>
      </c>
      <c r="AC20" s="129">
        <f t="shared" si="1"/>
        <v>0</v>
      </c>
      <c r="AD20" s="129">
        <f t="shared" ref="AD20:AD22" si="55">AC20*(1+$AB20)</f>
        <v>0</v>
      </c>
      <c r="AE20" s="129">
        <f t="shared" ref="AE20:AE22" si="56">AD20*(1+$AB20)</f>
        <v>0</v>
      </c>
      <c r="AF20" s="129">
        <f t="shared" ref="AF20:AF22" si="57">AE20*(1+$AB20)</f>
        <v>0</v>
      </c>
      <c r="AG20" s="129">
        <f t="shared" ref="AG20:AG22" si="58">AF20*(1+$AB20)</f>
        <v>0</v>
      </c>
      <c r="AH20" s="129">
        <f t="shared" ref="AH20:AH22" si="59">AG20*(1+$AB20)</f>
        <v>0</v>
      </c>
      <c r="AI20" s="129">
        <f t="shared" ref="AI20:AI22" si="60">AH20*(1+$AB20)</f>
        <v>0</v>
      </c>
      <c r="AJ20" s="129">
        <f t="shared" ref="AJ20:AJ22" si="61">AI20*(1+$AB20)</f>
        <v>0</v>
      </c>
      <c r="AK20" s="129">
        <f t="shared" ref="AK20:AK22" si="62">AJ20*(1+$AB20)</f>
        <v>0</v>
      </c>
      <c r="AL20" s="129">
        <f t="shared" ref="AL20:AL22" si="63">AK20*(1+$AB20)</f>
        <v>0</v>
      </c>
      <c r="AM20" s="114">
        <f t="shared" si="3"/>
        <v>-1</v>
      </c>
      <c r="AN20" s="21">
        <f t="shared" si="21"/>
        <v>0.01</v>
      </c>
      <c r="AO20" s="122" t="e">
        <f t="shared" si="32"/>
        <v>#DIV/0!</v>
      </c>
    </row>
    <row r="21" spans="2:41" x14ac:dyDescent="0.15">
      <c r="B21" s="10" t="s">
        <v>234</v>
      </c>
      <c r="C21" s="117"/>
      <c r="D21" s="117"/>
      <c r="E21" s="123"/>
      <c r="F21" s="123"/>
      <c r="G21" s="123">
        <v>-10</v>
      </c>
      <c r="H21" s="123">
        <v>-11</v>
      </c>
      <c r="I21" s="123">
        <v>-35</v>
      </c>
      <c r="J21" s="123">
        <v>-54</v>
      </c>
      <c r="K21" s="123">
        <v>-115</v>
      </c>
      <c r="L21" s="123">
        <v>-132</v>
      </c>
      <c r="M21" s="123">
        <v>-18</v>
      </c>
      <c r="N21" s="123">
        <v>-61</v>
      </c>
      <c r="O21" s="123">
        <v>-70</v>
      </c>
      <c r="P21" s="123">
        <v>-120</v>
      </c>
      <c r="Q21" s="123">
        <v>-344</v>
      </c>
      <c r="R21" s="123">
        <v>-381</v>
      </c>
      <c r="S21" s="123">
        <v>-392</v>
      </c>
      <c r="T21" s="176">
        <v>-534</v>
      </c>
      <c r="U21" s="176">
        <v>-236</v>
      </c>
      <c r="V21" s="123">
        <v>-448</v>
      </c>
      <c r="W21" s="123">
        <v>-831</v>
      </c>
      <c r="X21" s="123">
        <v>-616</v>
      </c>
      <c r="Y21" s="123">
        <v>-482</v>
      </c>
      <c r="Z21" s="123"/>
      <c r="AA21" s="101">
        <f t="shared" si="33"/>
        <v>-1</v>
      </c>
      <c r="AB21" s="21">
        <f t="shared" si="11"/>
        <v>0.1</v>
      </c>
      <c r="AC21" s="129">
        <f t="shared" si="1"/>
        <v>0</v>
      </c>
      <c r="AD21" s="129">
        <f t="shared" si="55"/>
        <v>0</v>
      </c>
      <c r="AE21" s="129">
        <f t="shared" si="56"/>
        <v>0</v>
      </c>
      <c r="AF21" s="129">
        <f t="shared" si="57"/>
        <v>0</v>
      </c>
      <c r="AG21" s="129">
        <f t="shared" si="58"/>
        <v>0</v>
      </c>
      <c r="AH21" s="129">
        <f t="shared" si="59"/>
        <v>0</v>
      </c>
      <c r="AI21" s="129">
        <f t="shared" si="60"/>
        <v>0</v>
      </c>
      <c r="AJ21" s="129">
        <f t="shared" si="61"/>
        <v>0</v>
      </c>
      <c r="AK21" s="129">
        <f t="shared" si="62"/>
        <v>0</v>
      </c>
      <c r="AL21" s="129">
        <f t="shared" si="63"/>
        <v>0</v>
      </c>
      <c r="AM21" s="114">
        <f t="shared" si="3"/>
        <v>-1</v>
      </c>
      <c r="AN21" s="21">
        <f t="shared" si="21"/>
        <v>0.01</v>
      </c>
      <c r="AO21" s="122" t="e">
        <f t="shared" si="32"/>
        <v>#DIV/0!</v>
      </c>
    </row>
    <row r="22" spans="2:41" x14ac:dyDescent="0.15">
      <c r="B22" s="10" t="s">
        <v>235</v>
      </c>
      <c r="C22" s="117"/>
      <c r="D22" s="117"/>
      <c r="E22" s="123"/>
      <c r="F22" s="123"/>
      <c r="G22" s="123">
        <v>3</v>
      </c>
      <c r="H22" s="123">
        <v>7</v>
      </c>
      <c r="I22" s="123">
        <v>12</v>
      </c>
      <c r="J22" s="123">
        <v>97</v>
      </c>
      <c r="K22" s="123">
        <v>171</v>
      </c>
      <c r="L22" s="123">
        <v>-73</v>
      </c>
      <c r="M22" s="123">
        <v>-204</v>
      </c>
      <c r="N22" s="123">
        <v>-46</v>
      </c>
      <c r="O22" s="123">
        <v>-42</v>
      </c>
      <c r="P22" s="123">
        <v>-35</v>
      </c>
      <c r="Q22" s="123">
        <v>-53</v>
      </c>
      <c r="R22" s="123">
        <v>-74</v>
      </c>
      <c r="S22" s="123">
        <v>-163</v>
      </c>
      <c r="T22" s="176">
        <v>-2</v>
      </c>
      <c r="U22" s="176">
        <v>-138</v>
      </c>
      <c r="V22" s="123">
        <v>-92</v>
      </c>
      <c r="W22" s="123">
        <v>-364</v>
      </c>
      <c r="X22" s="123">
        <v>-122</v>
      </c>
      <c r="Y22" s="123">
        <v>-213</v>
      </c>
      <c r="Z22" s="123"/>
      <c r="AA22" s="101">
        <f t="shared" si="33"/>
        <v>-1</v>
      </c>
      <c r="AB22" s="21">
        <f t="shared" si="11"/>
        <v>0.1</v>
      </c>
      <c r="AC22" s="129">
        <f t="shared" si="1"/>
        <v>0</v>
      </c>
      <c r="AD22" s="129">
        <f t="shared" si="55"/>
        <v>0</v>
      </c>
      <c r="AE22" s="129">
        <f t="shared" si="56"/>
        <v>0</v>
      </c>
      <c r="AF22" s="129">
        <f t="shared" si="57"/>
        <v>0</v>
      </c>
      <c r="AG22" s="129">
        <f t="shared" si="58"/>
        <v>0</v>
      </c>
      <c r="AH22" s="129">
        <f t="shared" si="59"/>
        <v>0</v>
      </c>
      <c r="AI22" s="129">
        <f t="shared" si="60"/>
        <v>0</v>
      </c>
      <c r="AJ22" s="129">
        <f t="shared" si="61"/>
        <v>0</v>
      </c>
      <c r="AK22" s="129">
        <f t="shared" si="62"/>
        <v>0</v>
      </c>
      <c r="AL22" s="129">
        <f t="shared" si="63"/>
        <v>0</v>
      </c>
      <c r="AM22" s="114">
        <f t="shared" si="3"/>
        <v>-1</v>
      </c>
      <c r="AN22" s="21">
        <f t="shared" si="21"/>
        <v>0.01</v>
      </c>
      <c r="AO22" s="122" t="e">
        <f t="shared" si="32"/>
        <v>#DIV/0!</v>
      </c>
    </row>
    <row r="23" spans="2:41" x14ac:dyDescent="0.15">
      <c r="B23" s="10" t="s">
        <v>244</v>
      </c>
      <c r="C23" s="117"/>
      <c r="D23" s="117"/>
      <c r="E23" s="123"/>
      <c r="F23" s="123"/>
      <c r="G23" s="123">
        <v>15</v>
      </c>
      <c r="H23" s="123">
        <v>17</v>
      </c>
      <c r="I23" s="123">
        <v>21</v>
      </c>
      <c r="J23" s="123">
        <v>26</v>
      </c>
      <c r="K23" s="123">
        <v>51</v>
      </c>
      <c r="L23" s="123">
        <v>70</v>
      </c>
      <c r="M23" s="123">
        <v>62</v>
      </c>
      <c r="N23" s="123">
        <v>40</v>
      </c>
      <c r="O23" s="123">
        <v>229</v>
      </c>
      <c r="P23" s="123">
        <v>409</v>
      </c>
      <c r="Q23" s="123">
        <v>293</v>
      </c>
      <c r="R23" s="176">
        <v>220</v>
      </c>
      <c r="S23" s="176">
        <v>78</v>
      </c>
      <c r="T23" s="176">
        <v>22</v>
      </c>
      <c r="U23" s="176">
        <v>-51</v>
      </c>
      <c r="V23" s="123">
        <v>1</v>
      </c>
      <c r="W23" s="123">
        <v>-18</v>
      </c>
      <c r="X23" s="123">
        <v>64</v>
      </c>
      <c r="Y23" s="123">
        <v>-62</v>
      </c>
      <c r="Z23" s="123"/>
      <c r="AA23" s="101">
        <f t="shared" si="33"/>
        <v>-1</v>
      </c>
      <c r="AB23" s="21">
        <f t="shared" si="11"/>
        <v>0.1</v>
      </c>
      <c r="AC23" s="129">
        <f t="shared" si="1"/>
        <v>0</v>
      </c>
      <c r="AD23" s="129">
        <f t="shared" ref="AD23" si="64">AC23*(1+$AB23)</f>
        <v>0</v>
      </c>
      <c r="AE23" s="129">
        <f t="shared" ref="AE23" si="65">AD23*(1+$AB23)</f>
        <v>0</v>
      </c>
      <c r="AF23" s="129">
        <f t="shared" ref="AF23" si="66">AE23*(1+$AB23)</f>
        <v>0</v>
      </c>
      <c r="AG23" s="129">
        <f t="shared" ref="AG23" si="67">AF23*(1+$AB23)</f>
        <v>0</v>
      </c>
      <c r="AH23" s="129">
        <f t="shared" ref="AH23" si="68">AG23*(1+$AB23)</f>
        <v>0</v>
      </c>
      <c r="AI23" s="129">
        <f t="shared" ref="AI23" si="69">AH23*(1+$AB23)</f>
        <v>0</v>
      </c>
      <c r="AJ23" s="129">
        <f t="shared" ref="AJ23" si="70">AI23*(1+$AB23)</f>
        <v>0</v>
      </c>
      <c r="AK23" s="129">
        <f t="shared" ref="AK23" si="71">AJ23*(1+$AB23)</f>
        <v>0</v>
      </c>
      <c r="AL23" s="129">
        <f t="shared" ref="AL23" si="72">AK23*(1+$AB23)</f>
        <v>0</v>
      </c>
      <c r="AM23" s="114">
        <f t="shared" si="3"/>
        <v>-1</v>
      </c>
      <c r="AN23" s="21">
        <f t="shared" si="21"/>
        <v>0.01</v>
      </c>
      <c r="AO23" s="122" t="e">
        <f t="shared" si="32"/>
        <v>#DIV/0!</v>
      </c>
    </row>
    <row r="24" spans="2:41" x14ac:dyDescent="0.15">
      <c r="B24" s="10"/>
      <c r="C24" s="117"/>
      <c r="D24" s="117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76"/>
      <c r="U24" s="176"/>
      <c r="V24" s="123"/>
      <c r="W24" s="123"/>
      <c r="X24" s="123"/>
      <c r="Y24" s="123"/>
      <c r="Z24" s="123"/>
      <c r="AA24" s="10"/>
      <c r="AB24" s="10"/>
      <c r="AC24" s="129"/>
      <c r="AD24" s="129"/>
      <c r="AE24" s="129"/>
      <c r="AF24" s="129"/>
      <c r="AG24" s="129"/>
      <c r="AH24" s="129"/>
      <c r="AI24" s="129"/>
      <c r="AJ24" s="129"/>
      <c r="AK24" s="129"/>
      <c r="AL24" s="129"/>
      <c r="AM24" s="113"/>
      <c r="AN24" s="113"/>
      <c r="AO24" s="113"/>
    </row>
    <row r="25" spans="2:41" x14ac:dyDescent="0.15">
      <c r="B25" s="10" t="s">
        <v>68</v>
      </c>
      <c r="C25" s="117"/>
      <c r="D25" s="117"/>
      <c r="E25" s="123"/>
      <c r="F25" s="123"/>
      <c r="G25" s="123">
        <v>180</v>
      </c>
      <c r="H25" s="123">
        <v>246</v>
      </c>
      <c r="I25" s="123">
        <v>402</v>
      </c>
      <c r="J25" s="123">
        <v>620</v>
      </c>
      <c r="K25" s="123">
        <v>1162</v>
      </c>
      <c r="L25" s="123">
        <v>1293</v>
      </c>
      <c r="M25" s="123">
        <v>1523</v>
      </c>
      <c r="N25" s="123">
        <v>1794</v>
      </c>
      <c r="O25" s="123">
        <v>2363</v>
      </c>
      <c r="P25" s="123">
        <v>3030</v>
      </c>
      <c r="Q25" s="123">
        <v>3507</v>
      </c>
      <c r="R25" s="176">
        <v>4294</v>
      </c>
      <c r="S25" s="176">
        <v>4839</v>
      </c>
      <c r="T25" s="176">
        <v>5537</v>
      </c>
      <c r="U25" s="176">
        <v>6153</v>
      </c>
      <c r="V25" s="123">
        <v>6793</v>
      </c>
      <c r="W25" s="123">
        <v>6839</v>
      </c>
      <c r="X25" s="123">
        <v>7150</v>
      </c>
      <c r="Y25" s="123">
        <v>8697</v>
      </c>
      <c r="Z25" s="123">
        <v>10388</v>
      </c>
      <c r="AA25" s="101">
        <f t="shared" si="33"/>
        <v>0.23793506605574022</v>
      </c>
      <c r="AB25" s="21">
        <f t="shared" si="11"/>
        <v>0.1</v>
      </c>
      <c r="AC25" s="129">
        <f t="shared" si="1"/>
        <v>11426.800000000001</v>
      </c>
      <c r="AD25" s="129">
        <f t="shared" si="46"/>
        <v>12569.480000000001</v>
      </c>
      <c r="AE25" s="129">
        <f t="shared" si="47"/>
        <v>13826.428000000004</v>
      </c>
      <c r="AF25" s="129">
        <f t="shared" si="48"/>
        <v>15209.070800000005</v>
      </c>
      <c r="AG25" s="129">
        <f t="shared" si="49"/>
        <v>16729.977880000006</v>
      </c>
      <c r="AH25" s="129">
        <f t="shared" si="50"/>
        <v>18402.975668000006</v>
      </c>
      <c r="AI25" s="129">
        <f t="shared" si="51"/>
        <v>20243.27323480001</v>
      </c>
      <c r="AJ25" s="129">
        <f t="shared" si="52"/>
        <v>22267.600558280014</v>
      </c>
      <c r="AK25" s="129">
        <f t="shared" si="53"/>
        <v>24494.360614108016</v>
      </c>
      <c r="AL25" s="129">
        <f t="shared" si="54"/>
        <v>26943.796675518821</v>
      </c>
      <c r="AM25" s="114">
        <f t="shared" si="3"/>
        <v>0.18851980685402947</v>
      </c>
      <c r="AN25" s="21">
        <f t="shared" si="21"/>
        <v>0.01</v>
      </c>
      <c r="AO25" s="122" t="e">
        <f t="shared" si="32"/>
        <v>#DIV/0!</v>
      </c>
    </row>
    <row r="26" spans="2:41" s="106" customFormat="1" x14ac:dyDescent="0.15">
      <c r="B26" s="13"/>
      <c r="C26" s="124"/>
      <c r="D26" s="124"/>
      <c r="E26" s="125"/>
      <c r="F26" s="126"/>
      <c r="G26" s="126">
        <f>(G25-F25)/G25</f>
        <v>1</v>
      </c>
      <c r="H26" s="126">
        <f>(H25-G25)/H25</f>
        <v>0.26829268292682928</v>
      </c>
      <c r="I26" s="126">
        <f t="shared" ref="I26:W26" si="73">(I25-H25)/I25</f>
        <v>0.38805970149253732</v>
      </c>
      <c r="J26" s="126">
        <f t="shared" si="73"/>
        <v>0.35161290322580646</v>
      </c>
      <c r="K26" s="126">
        <f t="shared" si="73"/>
        <v>0.46643717728055079</v>
      </c>
      <c r="L26" s="126">
        <f t="shared" si="73"/>
        <v>0.10131477184841454</v>
      </c>
      <c r="M26" s="126">
        <f t="shared" si="73"/>
        <v>0.15101772816808931</v>
      </c>
      <c r="N26" s="126">
        <f t="shared" si="73"/>
        <v>0.15105908584169453</v>
      </c>
      <c r="O26" s="126">
        <f t="shared" si="73"/>
        <v>0.2407955988150656</v>
      </c>
      <c r="P26" s="126">
        <f t="shared" si="73"/>
        <v>0.22013201320132014</v>
      </c>
      <c r="Q26" s="126">
        <f t="shared" si="73"/>
        <v>0.1360136869118905</v>
      </c>
      <c r="R26" s="126">
        <f t="shared" si="73"/>
        <v>0.1832789939450396</v>
      </c>
      <c r="S26" s="126">
        <f t="shared" si="73"/>
        <v>0.11262657573878901</v>
      </c>
      <c r="T26" s="126">
        <f t="shared" ref="T26" si="74">(T25-S25)/T25</f>
        <v>0.12606104388658118</v>
      </c>
      <c r="U26" s="126">
        <f t="shared" ref="U26" si="75">(U25-T25)/U25</f>
        <v>0.10011376564277588</v>
      </c>
      <c r="V26" s="126">
        <f t="shared" ref="V26" si="76">(V25-U25)/V25</f>
        <v>9.4214632710142798E-2</v>
      </c>
      <c r="W26" s="126">
        <f t="shared" ref="W26" si="77">(W25-V25)/W25</f>
        <v>6.7261295511039628E-3</v>
      </c>
      <c r="X26" s="126">
        <f t="shared" ref="X26" si="78">(X25-W25)/X25</f>
        <v>4.3496503496503497E-2</v>
      </c>
      <c r="Y26" s="126">
        <f t="shared" ref="Y26" si="79">(Y25-X25)/Y25</f>
        <v>0.17787742899850523</v>
      </c>
      <c r="Z26" s="126">
        <f t="shared" ref="Z26" si="80">(Z25-Y25)/Z25</f>
        <v>0.16278398151713516</v>
      </c>
      <c r="AA26" s="10"/>
      <c r="AB26" s="10"/>
      <c r="AC26" s="129"/>
      <c r="AD26" s="130"/>
      <c r="AE26" s="130"/>
      <c r="AF26" s="130"/>
      <c r="AG26" s="130"/>
      <c r="AH26" s="130"/>
      <c r="AI26" s="130"/>
      <c r="AJ26" s="130"/>
      <c r="AK26" s="130"/>
      <c r="AL26" s="130"/>
      <c r="AM26" s="113"/>
      <c r="AN26" s="113"/>
      <c r="AO26" s="113"/>
    </row>
    <row r="27" spans="2:41" x14ac:dyDescent="0.15">
      <c r="B27" s="10" t="s">
        <v>218</v>
      </c>
      <c r="C27" s="117"/>
      <c r="D27" s="117"/>
      <c r="E27" s="123"/>
      <c r="F27" s="123"/>
      <c r="G27" s="123">
        <v>156</v>
      </c>
      <c r="H27" s="123">
        <v>220</v>
      </c>
      <c r="I27" s="123">
        <v>348</v>
      </c>
      <c r="J27" s="123">
        <v>527</v>
      </c>
      <c r="K27" s="123">
        <v>977</v>
      </c>
      <c r="L27" s="123">
        <v>1114</v>
      </c>
      <c r="M27" s="123">
        <v>1216</v>
      </c>
      <c r="N27" s="123">
        <v>1530</v>
      </c>
      <c r="O27" s="123">
        <v>1996</v>
      </c>
      <c r="P27" s="123">
        <v>2541</v>
      </c>
      <c r="Q27" s="123">
        <v>2905</v>
      </c>
      <c r="R27" s="176">
        <v>3550</v>
      </c>
      <c r="S27" s="176">
        <v>3970</v>
      </c>
      <c r="T27" s="176">
        <v>4638</v>
      </c>
      <c r="U27" s="176">
        <v>5203</v>
      </c>
      <c r="V27" s="123">
        <v>5838</v>
      </c>
      <c r="W27" s="123">
        <v>5741</v>
      </c>
      <c r="X27" s="123">
        <v>6033</v>
      </c>
      <c r="Y27" s="123">
        <v>7995</v>
      </c>
      <c r="Z27" s="123">
        <v>9175</v>
      </c>
      <c r="AA27" s="101">
        <f t="shared" si="33"/>
        <v>0.23916918169988799</v>
      </c>
      <c r="AB27" s="21">
        <f t="shared" si="11"/>
        <v>0.1</v>
      </c>
      <c r="AC27" s="129">
        <f t="shared" si="1"/>
        <v>10092.5</v>
      </c>
      <c r="AD27" s="129">
        <f t="shared" si="46"/>
        <v>11101.75</v>
      </c>
      <c r="AE27" s="129">
        <f t="shared" si="47"/>
        <v>12211.925000000001</v>
      </c>
      <c r="AF27" s="129">
        <f t="shared" si="48"/>
        <v>13433.117500000002</v>
      </c>
      <c r="AG27" s="129">
        <f t="shared" si="49"/>
        <v>14776.429250000003</v>
      </c>
      <c r="AH27" s="129">
        <f t="shared" si="50"/>
        <v>16254.072175000005</v>
      </c>
      <c r="AI27" s="129">
        <f t="shared" si="51"/>
        <v>17879.479392500005</v>
      </c>
      <c r="AJ27" s="129">
        <f t="shared" si="52"/>
        <v>19667.427331750008</v>
      </c>
      <c r="AK27" s="129">
        <f t="shared" si="53"/>
        <v>21634.170064925012</v>
      </c>
      <c r="AL27" s="129">
        <f t="shared" si="54"/>
        <v>23797.587071417514</v>
      </c>
      <c r="AM27" s="114">
        <f t="shared" si="3"/>
        <v>0.1892959563842358</v>
      </c>
      <c r="AN27" s="21">
        <f t="shared" si="21"/>
        <v>0.01</v>
      </c>
      <c r="AO27" s="122" t="e">
        <f t="shared" si="32"/>
        <v>#DIV/0!</v>
      </c>
    </row>
    <row r="28" spans="2:41" s="106" customFormat="1" x14ac:dyDescent="0.15">
      <c r="B28" s="13"/>
      <c r="C28" s="124"/>
      <c r="D28" s="124"/>
      <c r="E28" s="125"/>
      <c r="F28" s="126"/>
      <c r="G28" s="126">
        <f t="shared" ref="G28:W28" si="81">(G27-F27)/G27</f>
        <v>1</v>
      </c>
      <c r="H28" s="126">
        <f t="shared" si="81"/>
        <v>0.29090909090909089</v>
      </c>
      <c r="I28" s="126">
        <f t="shared" si="81"/>
        <v>0.36781609195402298</v>
      </c>
      <c r="J28" s="126">
        <f t="shared" si="81"/>
        <v>0.3396584440227704</v>
      </c>
      <c r="K28" s="126">
        <f t="shared" si="81"/>
        <v>0.46059365404298874</v>
      </c>
      <c r="L28" s="126">
        <f t="shared" si="81"/>
        <v>0.12298025134649911</v>
      </c>
      <c r="M28" s="126">
        <f t="shared" si="81"/>
        <v>8.3881578947368418E-2</v>
      </c>
      <c r="N28" s="126">
        <f t="shared" si="81"/>
        <v>0.20522875816993463</v>
      </c>
      <c r="O28" s="126">
        <f t="shared" si="81"/>
        <v>0.23346693386773548</v>
      </c>
      <c r="P28" s="126">
        <f t="shared" si="81"/>
        <v>0.21448248720975993</v>
      </c>
      <c r="Q28" s="126">
        <f t="shared" si="81"/>
        <v>0.12530120481927712</v>
      </c>
      <c r="R28" s="126">
        <f t="shared" si="81"/>
        <v>0.18169014084507043</v>
      </c>
      <c r="S28" s="126">
        <f t="shared" si="81"/>
        <v>0.10579345088161209</v>
      </c>
      <c r="T28" s="126">
        <f t="shared" ref="T28" si="82">(T27-S27)/T27</f>
        <v>0.14402759810263044</v>
      </c>
      <c r="U28" s="126">
        <f t="shared" ref="U28" si="83">(U27-T27)/U27</f>
        <v>0.10859119738612338</v>
      </c>
      <c r="V28" s="126">
        <f t="shared" ref="V28" si="84">(V27-U27)/V27</f>
        <v>0.10877012675573827</v>
      </c>
      <c r="W28" s="126">
        <f t="shared" ref="W28" si="85">(W27-V27)/W27</f>
        <v>-1.6896011147883645E-2</v>
      </c>
      <c r="X28" s="126">
        <f t="shared" ref="X28" si="86">(X27-W27)/X27</f>
        <v>4.8400464114039449E-2</v>
      </c>
      <c r="Y28" s="126">
        <f t="shared" ref="Y28" si="87">(Y27-X27)/Y27</f>
        <v>0.24540337711069418</v>
      </c>
      <c r="Z28" s="126">
        <f t="shared" ref="Z28" si="88">(Z27-Y27)/Z27</f>
        <v>0.12861035422343325</v>
      </c>
      <c r="AA28" s="10"/>
      <c r="AB28" s="10"/>
      <c r="AC28" s="129"/>
      <c r="AD28" s="130"/>
      <c r="AE28" s="130"/>
      <c r="AF28" s="130"/>
      <c r="AG28" s="130"/>
      <c r="AH28" s="130"/>
      <c r="AI28" s="130"/>
      <c r="AJ28" s="130"/>
      <c r="AK28" s="130"/>
      <c r="AL28" s="130"/>
      <c r="AM28" s="113"/>
      <c r="AN28" s="113"/>
      <c r="AO28" s="113"/>
    </row>
    <row r="29" spans="2:41" s="106" customFormat="1" x14ac:dyDescent="0.15">
      <c r="B29" s="10" t="s">
        <v>268</v>
      </c>
      <c r="C29" s="124"/>
      <c r="D29" s="124"/>
      <c r="E29" s="125"/>
      <c r="F29" s="123"/>
      <c r="G29" s="123">
        <v>0.18</v>
      </c>
      <c r="H29" s="123">
        <v>0.14000000000000001</v>
      </c>
      <c r="I29" s="123">
        <v>1</v>
      </c>
      <c r="J29" s="123">
        <v>5</v>
      </c>
      <c r="K29" s="123">
        <v>15</v>
      </c>
      <c r="L29" s="123">
        <v>21</v>
      </c>
      <c r="M29" s="123">
        <v>8</v>
      </c>
      <c r="N29" s="123">
        <v>3</v>
      </c>
      <c r="O29" s="123">
        <v>2</v>
      </c>
      <c r="P29" s="123">
        <v>1</v>
      </c>
      <c r="Q29" s="123">
        <v>0.72</v>
      </c>
      <c r="R29" s="176">
        <v>0.24</v>
      </c>
      <c r="S29" s="176">
        <v>0.49</v>
      </c>
      <c r="T29" s="176">
        <v>5</v>
      </c>
      <c r="U29" s="176">
        <v>5</v>
      </c>
      <c r="V29" s="123">
        <v>7</v>
      </c>
      <c r="W29" s="123">
        <v>12</v>
      </c>
      <c r="X29" s="123">
        <v>11</v>
      </c>
      <c r="Y29" s="123">
        <v>15</v>
      </c>
      <c r="Z29" s="123">
        <v>22</v>
      </c>
      <c r="AA29" s="101">
        <f t="shared" si="33"/>
        <v>0.28780471031559429</v>
      </c>
      <c r="AB29" s="21">
        <f t="shared" si="11"/>
        <v>0.1</v>
      </c>
      <c r="AC29" s="129">
        <f t="shared" si="1"/>
        <v>24.200000000000003</v>
      </c>
      <c r="AD29" s="129">
        <f t="shared" ref="AD29" si="89">AC29*(1+$AB29)</f>
        <v>26.620000000000005</v>
      </c>
      <c r="AE29" s="129">
        <f t="shared" ref="AE29" si="90">AD29*(1+$AB29)</f>
        <v>29.282000000000007</v>
      </c>
      <c r="AF29" s="129">
        <f t="shared" ref="AF29" si="91">AE29*(1+$AB29)</f>
        <v>32.210200000000007</v>
      </c>
      <c r="AG29" s="129">
        <f t="shared" ref="AG29" si="92">AF29*(1+$AB29)</f>
        <v>35.43122000000001</v>
      </c>
      <c r="AH29" s="129">
        <f t="shared" ref="AH29" si="93">AG29*(1+$AB29)</f>
        <v>38.974342000000014</v>
      </c>
      <c r="AI29" s="129">
        <f t="shared" ref="AI29" si="94">AH29*(1+$AB29)</f>
        <v>42.871776200000021</v>
      </c>
      <c r="AJ29" s="129">
        <f t="shared" ref="AJ29" si="95">AI29*(1+$AB29)</f>
        <v>47.158953820000029</v>
      </c>
      <c r="AK29" s="129">
        <f t="shared" ref="AK29" si="96">AJ29*(1+$AB29)</f>
        <v>51.874849202000036</v>
      </c>
      <c r="AL29" s="129">
        <f t="shared" ref="AL29" si="97">AK29*(1+$AB29)</f>
        <v>57.062334122200042</v>
      </c>
      <c r="AM29" s="114">
        <f t="shared" si="3"/>
        <v>0.21967475669176095</v>
      </c>
      <c r="AN29" s="21">
        <f t="shared" si="21"/>
        <v>0.01</v>
      </c>
      <c r="AO29" s="122" t="e">
        <f t="shared" si="32"/>
        <v>#DIV/0!</v>
      </c>
    </row>
    <row r="30" spans="2:41" s="106" customFormat="1" x14ac:dyDescent="0.15">
      <c r="B30" s="13"/>
      <c r="C30" s="124"/>
      <c r="D30" s="124"/>
      <c r="E30" s="125"/>
      <c r="F30" s="126"/>
      <c r="G30" s="126">
        <f t="shared" ref="G30:W30" si="98">(G29-F29)/G29</f>
        <v>1</v>
      </c>
      <c r="H30" s="126">
        <f t="shared" si="98"/>
        <v>-0.28571428571428553</v>
      </c>
      <c r="I30" s="126">
        <f t="shared" si="98"/>
        <v>0.86</v>
      </c>
      <c r="J30" s="126">
        <f t="shared" si="98"/>
        <v>0.8</v>
      </c>
      <c r="K30" s="126">
        <f t="shared" si="98"/>
        <v>0.66666666666666663</v>
      </c>
      <c r="L30" s="126">
        <f t="shared" si="98"/>
        <v>0.2857142857142857</v>
      </c>
      <c r="M30" s="126">
        <f t="shared" si="98"/>
        <v>-1.625</v>
      </c>
      <c r="N30" s="126">
        <f t="shared" si="98"/>
        <v>-1.6666666666666667</v>
      </c>
      <c r="O30" s="126">
        <f t="shared" si="98"/>
        <v>-0.5</v>
      </c>
      <c r="P30" s="126">
        <f t="shared" si="98"/>
        <v>-1</v>
      </c>
      <c r="Q30" s="126">
        <f t="shared" si="98"/>
        <v>-0.38888888888888895</v>
      </c>
      <c r="R30" s="126">
        <f t="shared" si="98"/>
        <v>-2</v>
      </c>
      <c r="S30" s="126">
        <f t="shared" si="98"/>
        <v>0.51020408163265307</v>
      </c>
      <c r="T30" s="126">
        <f t="shared" ref="T30" si="99">(T29-S29)/T29</f>
        <v>0.90199999999999991</v>
      </c>
      <c r="U30" s="126">
        <f t="shared" ref="U30" si="100">(U29-T29)/U29</f>
        <v>0</v>
      </c>
      <c r="V30" s="126">
        <f t="shared" ref="V30" si="101">(V29-U29)/V29</f>
        <v>0.2857142857142857</v>
      </c>
      <c r="W30" s="126">
        <f t="shared" ref="W30" si="102">(W29-V29)/W29</f>
        <v>0.41666666666666669</v>
      </c>
      <c r="X30" s="126">
        <f t="shared" ref="X30" si="103">(X29-W29)/X29</f>
        <v>-9.0909090909090912E-2</v>
      </c>
      <c r="Y30" s="126">
        <f t="shared" ref="Y30" si="104">(Y29-X29)/Y29</f>
        <v>0.26666666666666666</v>
      </c>
      <c r="Z30" s="126">
        <f t="shared" ref="Z30" si="105">(Z29-Y29)/Z29</f>
        <v>0.31818181818181818</v>
      </c>
      <c r="AA30" s="10"/>
      <c r="AB30" s="10"/>
      <c r="AC30" s="129"/>
      <c r="AD30" s="130"/>
      <c r="AE30" s="130"/>
      <c r="AF30" s="130"/>
      <c r="AG30" s="130"/>
      <c r="AH30" s="130"/>
      <c r="AI30" s="130"/>
      <c r="AJ30" s="130"/>
      <c r="AK30" s="130"/>
      <c r="AL30" s="130"/>
      <c r="AM30" s="113"/>
      <c r="AN30" s="113"/>
      <c r="AO30" s="113"/>
    </row>
    <row r="31" spans="2:41" x14ac:dyDescent="0.15">
      <c r="B31" s="10" t="s">
        <v>276</v>
      </c>
      <c r="C31" s="117"/>
      <c r="D31" s="117"/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3"/>
      <c r="R31" s="176">
        <v>0</v>
      </c>
      <c r="S31" s="176">
        <v>0</v>
      </c>
      <c r="T31" s="176">
        <v>0</v>
      </c>
      <c r="U31" s="176">
        <v>0</v>
      </c>
      <c r="V31" s="123"/>
      <c r="W31" s="123"/>
      <c r="X31" s="123"/>
      <c r="Y31" s="123"/>
      <c r="Z31" s="123"/>
      <c r="AA31" s="101" t="e">
        <f t="shared" si="33"/>
        <v>#DIV/0!</v>
      </c>
      <c r="AB31" s="21">
        <f t="shared" si="11"/>
        <v>0.1</v>
      </c>
      <c r="AC31" s="129">
        <f t="shared" si="1"/>
        <v>0</v>
      </c>
      <c r="AD31" s="129">
        <f>AC31*(1+$AB31)</f>
        <v>0</v>
      </c>
      <c r="AE31" s="129">
        <f t="shared" ref="AE31:AL32" si="106">AD31*(1+$AB31)</f>
        <v>0</v>
      </c>
      <c r="AF31" s="129">
        <f t="shared" si="106"/>
        <v>0</v>
      </c>
      <c r="AG31" s="129">
        <f t="shared" si="106"/>
        <v>0</v>
      </c>
      <c r="AH31" s="129">
        <f t="shared" si="106"/>
        <v>0</v>
      </c>
      <c r="AI31" s="129">
        <f t="shared" si="106"/>
        <v>0</v>
      </c>
      <c r="AJ31" s="129">
        <f t="shared" si="106"/>
        <v>0</v>
      </c>
      <c r="AK31" s="129">
        <f t="shared" si="106"/>
        <v>0</v>
      </c>
      <c r="AL31" s="129">
        <f t="shared" si="106"/>
        <v>0</v>
      </c>
      <c r="AM31" s="114" t="e">
        <f t="shared" si="3"/>
        <v>#DIV/0!</v>
      </c>
      <c r="AN31" s="21">
        <f t="shared" si="21"/>
        <v>0.01</v>
      </c>
      <c r="AO31" s="122" t="e">
        <f t="shared" si="32"/>
        <v>#DIV/0!</v>
      </c>
    </row>
    <row r="32" spans="2:41" x14ac:dyDescent="0.15">
      <c r="B32" s="10" t="s">
        <v>275</v>
      </c>
      <c r="C32" s="117"/>
      <c r="D32" s="117"/>
      <c r="E32" s="123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76">
        <v>0</v>
      </c>
      <c r="S32" s="176">
        <v>0</v>
      </c>
      <c r="T32" s="176"/>
      <c r="U32" s="176"/>
      <c r="V32" s="123"/>
      <c r="W32" s="123"/>
      <c r="X32" s="123"/>
      <c r="Y32" s="123"/>
      <c r="Z32" s="123"/>
      <c r="AA32" s="101" t="e">
        <f t="shared" si="33"/>
        <v>#DIV/0!</v>
      </c>
      <c r="AB32" s="21">
        <f t="shared" si="11"/>
        <v>0.1</v>
      </c>
      <c r="AC32" s="129">
        <f t="shared" si="1"/>
        <v>0</v>
      </c>
      <c r="AD32" s="129">
        <f>AC32*(1+$AB32)</f>
        <v>0</v>
      </c>
      <c r="AE32" s="129">
        <f t="shared" si="106"/>
        <v>0</v>
      </c>
      <c r="AF32" s="129">
        <f t="shared" si="106"/>
        <v>0</v>
      </c>
      <c r="AG32" s="129">
        <f t="shared" si="106"/>
        <v>0</v>
      </c>
      <c r="AH32" s="129">
        <f t="shared" si="106"/>
        <v>0</v>
      </c>
      <c r="AI32" s="129">
        <f t="shared" si="106"/>
        <v>0</v>
      </c>
      <c r="AJ32" s="129">
        <f t="shared" si="106"/>
        <v>0</v>
      </c>
      <c r="AK32" s="129">
        <f t="shared" si="106"/>
        <v>0</v>
      </c>
      <c r="AL32" s="129">
        <f t="shared" si="106"/>
        <v>0</v>
      </c>
      <c r="AM32" s="114" t="e">
        <f t="shared" si="3"/>
        <v>#DIV/0!</v>
      </c>
      <c r="AN32" s="21">
        <f t="shared" si="21"/>
        <v>0.01</v>
      </c>
      <c r="AO32" s="122" t="e">
        <f t="shared" si="32"/>
        <v>#DIV/0!</v>
      </c>
    </row>
    <row r="33" spans="1:41" x14ac:dyDescent="0.15">
      <c r="B33" s="10" t="s">
        <v>497</v>
      </c>
      <c r="C33" s="117"/>
      <c r="D33" s="117"/>
      <c r="E33" s="123"/>
      <c r="F33" s="123"/>
      <c r="G33" s="123">
        <v>85</v>
      </c>
      <c r="H33" s="123">
        <v>140</v>
      </c>
      <c r="I33" s="123">
        <v>229</v>
      </c>
      <c r="J33" s="123">
        <v>401</v>
      </c>
      <c r="K33" s="123">
        <v>789</v>
      </c>
      <c r="L33" s="123">
        <v>884</v>
      </c>
      <c r="M33" s="123">
        <v>938</v>
      </c>
      <c r="N33" s="123">
        <v>1218</v>
      </c>
      <c r="O33" s="123">
        <v>1614</v>
      </c>
      <c r="P33" s="123">
        <v>2065</v>
      </c>
      <c r="Q33" s="123">
        <v>2357</v>
      </c>
      <c r="R33" s="176">
        <v>2882</v>
      </c>
      <c r="S33" s="176">
        <v>3138</v>
      </c>
      <c r="T33" s="176">
        <v>3733</v>
      </c>
      <c r="U33" s="176">
        <v>4217</v>
      </c>
      <c r="V33" s="123">
        <v>4860</v>
      </c>
      <c r="W33" s="123">
        <v>4484</v>
      </c>
      <c r="X33" s="123">
        <v>4909</v>
      </c>
      <c r="Y33" s="123">
        <v>6570</v>
      </c>
      <c r="Z33" s="123">
        <v>7126</v>
      </c>
      <c r="AA33" s="101">
        <f t="shared" si="33"/>
        <v>0.26250467315208548</v>
      </c>
      <c r="AB33" s="21">
        <f t="shared" si="11"/>
        <v>0.1</v>
      </c>
      <c r="AC33" s="129">
        <f t="shared" si="1"/>
        <v>7838.6</v>
      </c>
      <c r="AD33" s="129">
        <f t="shared" si="46"/>
        <v>8622.4600000000009</v>
      </c>
      <c r="AE33" s="129">
        <f t="shared" si="47"/>
        <v>9484.7060000000019</v>
      </c>
      <c r="AF33" s="129">
        <f t="shared" si="48"/>
        <v>10433.176600000003</v>
      </c>
      <c r="AG33" s="129">
        <f t="shared" si="49"/>
        <v>11476.494260000003</v>
      </c>
      <c r="AH33" s="129">
        <f t="shared" si="50"/>
        <v>12624.143686000005</v>
      </c>
      <c r="AI33" s="129">
        <f t="shared" si="51"/>
        <v>13886.558054600007</v>
      </c>
      <c r="AJ33" s="129">
        <f t="shared" si="52"/>
        <v>15275.21386006001</v>
      </c>
      <c r="AK33" s="129">
        <f t="shared" si="53"/>
        <v>16802.735246066011</v>
      </c>
      <c r="AL33" s="129">
        <f t="shared" si="54"/>
        <v>18483.008770672615</v>
      </c>
      <c r="AM33" s="114">
        <f t="shared" si="3"/>
        <v>0.20392215054865948</v>
      </c>
      <c r="AN33" s="21">
        <f t="shared" si="21"/>
        <v>0.01</v>
      </c>
      <c r="AO33" s="122" t="e">
        <f t="shared" si="32"/>
        <v>#DIV/0!</v>
      </c>
    </row>
    <row r="34" spans="1:41" x14ac:dyDescent="0.15">
      <c r="B34" s="10" t="s">
        <v>498</v>
      </c>
      <c r="C34" s="117"/>
      <c r="D34" s="117"/>
      <c r="E34" s="123"/>
      <c r="F34" s="123"/>
      <c r="G34" s="123">
        <v>16</v>
      </c>
      <c r="H34" s="123">
        <v>18</v>
      </c>
      <c r="I34" s="123">
        <v>24</v>
      </c>
      <c r="J34" s="123">
        <v>33</v>
      </c>
      <c r="K34" s="123">
        <v>53</v>
      </c>
      <c r="L34" s="123">
        <v>62</v>
      </c>
      <c r="M34" s="123">
        <v>84</v>
      </c>
      <c r="N34" s="123">
        <v>97</v>
      </c>
      <c r="O34" s="123">
        <v>111</v>
      </c>
      <c r="P34" s="123">
        <v>127</v>
      </c>
      <c r="Q34" s="123">
        <v>158</v>
      </c>
      <c r="R34" s="176">
        <v>195</v>
      </c>
      <c r="S34" s="176">
        <v>243</v>
      </c>
      <c r="T34" s="176">
        <v>277</v>
      </c>
      <c r="U34" s="176">
        <v>308</v>
      </c>
      <c r="V34" s="123">
        <v>207</v>
      </c>
      <c r="W34" s="123">
        <v>222</v>
      </c>
      <c r="X34" s="123">
        <v>212</v>
      </c>
      <c r="Y34" s="123">
        <v>249</v>
      </c>
      <c r="Z34" s="123">
        <v>0</v>
      </c>
      <c r="AA34" s="101">
        <f t="shared" si="33"/>
        <v>-1</v>
      </c>
      <c r="AB34" s="21">
        <f t="shared" si="11"/>
        <v>0.1</v>
      </c>
      <c r="AC34" s="129">
        <f t="shared" si="1"/>
        <v>0</v>
      </c>
      <c r="AD34" s="129">
        <f t="shared" si="46"/>
        <v>0</v>
      </c>
      <c r="AE34" s="129">
        <f t="shared" si="47"/>
        <v>0</v>
      </c>
      <c r="AF34" s="129">
        <f t="shared" si="48"/>
        <v>0</v>
      </c>
      <c r="AG34" s="129">
        <f t="shared" si="49"/>
        <v>0</v>
      </c>
      <c r="AH34" s="129">
        <f t="shared" si="50"/>
        <v>0</v>
      </c>
      <c r="AI34" s="129">
        <f t="shared" si="51"/>
        <v>0</v>
      </c>
      <c r="AJ34" s="129">
        <f t="shared" si="52"/>
        <v>0</v>
      </c>
      <c r="AK34" s="129">
        <f t="shared" si="53"/>
        <v>0</v>
      </c>
      <c r="AL34" s="129">
        <f t="shared" si="54"/>
        <v>0</v>
      </c>
      <c r="AM34" s="114">
        <f t="shared" si="3"/>
        <v>-1</v>
      </c>
      <c r="AN34" s="21">
        <f t="shared" si="21"/>
        <v>0.01</v>
      </c>
      <c r="AO34" s="122" t="e">
        <f t="shared" si="32"/>
        <v>#DIV/0!</v>
      </c>
    </row>
    <row r="35" spans="1:41" x14ac:dyDescent="0.15">
      <c r="B35" s="10"/>
      <c r="C35" s="117"/>
      <c r="D35" s="117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0"/>
      <c r="AB35" s="123"/>
      <c r="AC35" s="129"/>
      <c r="AD35" s="129"/>
      <c r="AE35" s="129"/>
      <c r="AF35" s="129"/>
      <c r="AG35" s="129"/>
      <c r="AH35" s="129"/>
      <c r="AI35" s="129"/>
      <c r="AJ35" s="129"/>
      <c r="AK35" s="129"/>
      <c r="AL35" s="129"/>
      <c r="AM35" s="113"/>
      <c r="AN35" s="113"/>
      <c r="AO35" s="113"/>
    </row>
    <row r="36" spans="1:41" x14ac:dyDescent="0.15">
      <c r="A36" s="291" t="s">
        <v>417</v>
      </c>
      <c r="B36" s="173" t="s">
        <v>411</v>
      </c>
      <c r="C36" s="117"/>
      <c r="D36" s="117"/>
      <c r="E36" s="123"/>
      <c r="F36" s="176"/>
      <c r="G36" s="176">
        <f t="shared" ref="G36:H36" si="107">H36</f>
        <v>0</v>
      </c>
      <c r="H36" s="176">
        <f t="shared" si="107"/>
        <v>0</v>
      </c>
      <c r="I36" s="176">
        <f>J36</f>
        <v>0</v>
      </c>
      <c r="J36" s="176">
        <v>0</v>
      </c>
      <c r="K36" s="176">
        <v>0</v>
      </c>
      <c r="L36" s="176">
        <v>0</v>
      </c>
      <c r="M36" s="176">
        <v>0</v>
      </c>
      <c r="N36" s="176">
        <v>0</v>
      </c>
      <c r="O36" s="176">
        <v>0</v>
      </c>
      <c r="P36" s="176">
        <v>0</v>
      </c>
      <c r="Q36" s="176">
        <v>0</v>
      </c>
      <c r="R36" s="176">
        <v>0</v>
      </c>
      <c r="S36" s="176">
        <v>0</v>
      </c>
      <c r="T36" s="176">
        <v>0</v>
      </c>
      <c r="U36" s="176">
        <v>0</v>
      </c>
      <c r="V36" s="176">
        <v>5</v>
      </c>
      <c r="W36" s="176">
        <v>6</v>
      </c>
      <c r="X36" s="176">
        <v>6</v>
      </c>
      <c r="Y36" s="176">
        <v>7</v>
      </c>
      <c r="Z36" s="176">
        <v>7</v>
      </c>
      <c r="AA36" s="101" t="e">
        <f t="shared" si="33"/>
        <v>#DIV/0!</v>
      </c>
      <c r="AB36" s="21">
        <f t="shared" si="11"/>
        <v>0.1</v>
      </c>
      <c r="AC36" s="129">
        <f t="shared" si="1"/>
        <v>7.7000000000000011</v>
      </c>
      <c r="AD36" s="129">
        <f t="shared" ref="AD36:AD51" si="108">AC36*(1+$AB36)</f>
        <v>8.4700000000000024</v>
      </c>
      <c r="AE36" s="129">
        <f t="shared" ref="AE36:AE51" si="109">AD36*(1+$AB36)</f>
        <v>9.3170000000000037</v>
      </c>
      <c r="AF36" s="129">
        <f t="shared" ref="AF36:AF51" si="110">AE36*(1+$AB36)</f>
        <v>10.248700000000005</v>
      </c>
      <c r="AG36" s="129">
        <f t="shared" ref="AG36:AG51" si="111">AF36*(1+$AB36)</f>
        <v>11.273570000000007</v>
      </c>
      <c r="AH36" s="129">
        <f t="shared" ref="AH36:AH51" si="112">AG36*(1+$AB36)</f>
        <v>12.400927000000008</v>
      </c>
      <c r="AI36" s="129">
        <f t="shared" ref="AI36:AI51" si="113">AH36*(1+$AB36)</f>
        <v>13.64101970000001</v>
      </c>
      <c r="AJ36" s="129">
        <f t="shared" ref="AJ36:AJ51" si="114">AI36*(1+$AB36)</f>
        <v>15.005121670000012</v>
      </c>
      <c r="AK36" s="129">
        <f t="shared" ref="AK36:AK51" si="115">AJ36*(1+$AB36)</f>
        <v>16.505633837000016</v>
      </c>
      <c r="AL36" s="129">
        <f t="shared" ref="AL36:AL51" si="116">AK36*(1+$AB36)</f>
        <v>18.156197220700019</v>
      </c>
      <c r="AM36" s="114" t="e">
        <f t="shared" si="3"/>
        <v>#DIV/0!</v>
      </c>
      <c r="AN36" s="21">
        <f t="shared" si="21"/>
        <v>0.01</v>
      </c>
      <c r="AO36" s="122" t="e">
        <f t="shared" si="32"/>
        <v>#DIV/0!</v>
      </c>
    </row>
    <row r="37" spans="1:41" x14ac:dyDescent="0.15">
      <c r="A37" s="291"/>
      <c r="B37" s="173"/>
      <c r="C37" s="117"/>
      <c r="D37" s="117"/>
      <c r="E37" s="123"/>
      <c r="F37" s="126"/>
      <c r="G37" s="126" t="e">
        <f t="shared" ref="G37:H37" si="117">(G36-E36)/E36</f>
        <v>#DIV/0!</v>
      </c>
      <c r="H37" s="126" t="e">
        <f t="shared" si="117"/>
        <v>#DIV/0!</v>
      </c>
      <c r="I37" s="126" t="e">
        <f t="shared" ref="I37:W37" si="118">(I36-H36)/H36</f>
        <v>#DIV/0!</v>
      </c>
      <c r="J37" s="126" t="e">
        <f t="shared" si="118"/>
        <v>#DIV/0!</v>
      </c>
      <c r="K37" s="126" t="e">
        <f t="shared" si="118"/>
        <v>#DIV/0!</v>
      </c>
      <c r="L37" s="126" t="e">
        <f t="shared" si="118"/>
        <v>#DIV/0!</v>
      </c>
      <c r="M37" s="126" t="e">
        <f t="shared" si="118"/>
        <v>#DIV/0!</v>
      </c>
      <c r="N37" s="126" t="e">
        <f t="shared" si="118"/>
        <v>#DIV/0!</v>
      </c>
      <c r="O37" s="126" t="e">
        <f t="shared" si="118"/>
        <v>#DIV/0!</v>
      </c>
      <c r="P37" s="126" t="e">
        <f t="shared" si="118"/>
        <v>#DIV/0!</v>
      </c>
      <c r="Q37" s="126" t="e">
        <f t="shared" si="118"/>
        <v>#DIV/0!</v>
      </c>
      <c r="R37" s="126" t="e">
        <f t="shared" si="118"/>
        <v>#DIV/0!</v>
      </c>
      <c r="S37" s="126" t="e">
        <f t="shared" si="118"/>
        <v>#DIV/0!</v>
      </c>
      <c r="T37" s="126" t="e">
        <f t="shared" ref="T37" si="119">(T36-S36)/T36</f>
        <v>#DIV/0!</v>
      </c>
      <c r="U37" s="126" t="e">
        <f t="shared" ref="U37" si="120">(U36-T36)/U36</f>
        <v>#DIV/0!</v>
      </c>
      <c r="V37" s="126">
        <f t="shared" ref="V37" si="121">(V36-U36)/V36</f>
        <v>1</v>
      </c>
      <c r="W37" s="126">
        <f t="shared" ref="W37" si="122">(W36-V36)/W36</f>
        <v>0.16666666666666666</v>
      </c>
      <c r="X37" s="126">
        <f t="shared" ref="X37" si="123">(X36-W36)/X36</f>
        <v>0</v>
      </c>
      <c r="Y37" s="126">
        <f t="shared" ref="Y37" si="124">(Y36-X36)/Y36</f>
        <v>0.14285714285714285</v>
      </c>
      <c r="Z37" s="126">
        <f t="shared" ref="Z37" si="125">(Z36-Y36)/Z36</f>
        <v>0</v>
      </c>
      <c r="AA37" s="10"/>
      <c r="AB37" s="10"/>
      <c r="AC37" s="129"/>
      <c r="AD37" s="129"/>
      <c r="AE37" s="129"/>
      <c r="AF37" s="129"/>
      <c r="AG37" s="129"/>
      <c r="AH37" s="129"/>
      <c r="AI37" s="129"/>
      <c r="AJ37" s="129"/>
      <c r="AK37" s="129"/>
      <c r="AL37" s="129"/>
      <c r="AM37" s="113"/>
      <c r="AN37" s="129"/>
      <c r="AO37" s="113"/>
    </row>
    <row r="38" spans="1:41" x14ac:dyDescent="0.15">
      <c r="A38" s="291"/>
      <c r="B38" s="173" t="s">
        <v>412</v>
      </c>
      <c r="C38" s="117"/>
      <c r="D38" s="117"/>
      <c r="E38" s="123"/>
      <c r="F38" s="176"/>
      <c r="G38" s="176">
        <f t="shared" ref="G38:I38" si="126">H38</f>
        <v>0</v>
      </c>
      <c r="H38" s="176">
        <f t="shared" si="126"/>
        <v>0</v>
      </c>
      <c r="I38" s="176">
        <f t="shared" si="126"/>
        <v>0</v>
      </c>
      <c r="J38" s="176">
        <f>K38</f>
        <v>0</v>
      </c>
      <c r="K38" s="176">
        <v>0</v>
      </c>
      <c r="L38" s="176">
        <v>0</v>
      </c>
      <c r="M38" s="176">
        <v>0</v>
      </c>
      <c r="N38" s="176">
        <v>0</v>
      </c>
      <c r="O38" s="176">
        <v>0</v>
      </c>
      <c r="P38" s="176">
        <v>0</v>
      </c>
      <c r="Q38" s="176">
        <v>0</v>
      </c>
      <c r="R38" s="176">
        <v>1</v>
      </c>
      <c r="S38" s="176">
        <v>2</v>
      </c>
      <c r="T38" s="176">
        <v>3</v>
      </c>
      <c r="U38" s="176">
        <v>4</v>
      </c>
      <c r="V38" s="176">
        <v>5</v>
      </c>
      <c r="W38" s="176">
        <v>6</v>
      </c>
      <c r="X38" s="176">
        <v>6</v>
      </c>
      <c r="Y38" s="176">
        <v>7</v>
      </c>
      <c r="Z38" s="176">
        <v>7</v>
      </c>
      <c r="AA38" s="101" t="e">
        <f t="shared" si="33"/>
        <v>#DIV/0!</v>
      </c>
      <c r="AB38" s="21">
        <f t="shared" si="11"/>
        <v>0.1</v>
      </c>
      <c r="AC38" s="129">
        <f t="shared" si="1"/>
        <v>7.7000000000000011</v>
      </c>
      <c r="AD38" s="129">
        <f t="shared" si="108"/>
        <v>8.4700000000000024</v>
      </c>
      <c r="AE38" s="129">
        <f t="shared" si="109"/>
        <v>9.3170000000000037</v>
      </c>
      <c r="AF38" s="129">
        <f t="shared" si="110"/>
        <v>10.248700000000005</v>
      </c>
      <c r="AG38" s="129">
        <f t="shared" si="111"/>
        <v>11.273570000000007</v>
      </c>
      <c r="AH38" s="129">
        <f t="shared" si="112"/>
        <v>12.400927000000008</v>
      </c>
      <c r="AI38" s="129">
        <f t="shared" si="113"/>
        <v>13.64101970000001</v>
      </c>
      <c r="AJ38" s="129">
        <f t="shared" si="114"/>
        <v>15.005121670000012</v>
      </c>
      <c r="AK38" s="129">
        <f t="shared" si="115"/>
        <v>16.505633837000016</v>
      </c>
      <c r="AL38" s="129">
        <f t="shared" si="116"/>
        <v>18.156197220700019</v>
      </c>
      <c r="AM38" s="114" t="e">
        <f t="shared" si="3"/>
        <v>#DIV/0!</v>
      </c>
      <c r="AN38" s="21">
        <f t="shared" si="21"/>
        <v>0.01</v>
      </c>
      <c r="AO38" s="122" t="e">
        <f t="shared" si="32"/>
        <v>#DIV/0!</v>
      </c>
    </row>
    <row r="39" spans="1:41" x14ac:dyDescent="0.15">
      <c r="A39" s="291"/>
      <c r="B39" s="173"/>
      <c r="C39" s="117"/>
      <c r="D39" s="117"/>
      <c r="E39" s="123"/>
      <c r="F39" s="126"/>
      <c r="G39" s="126" t="e">
        <f t="shared" ref="G39:H39" si="127">(G38-E38)/E38</f>
        <v>#DIV/0!</v>
      </c>
      <c r="H39" s="126" t="e">
        <f t="shared" si="127"/>
        <v>#DIV/0!</v>
      </c>
      <c r="I39" s="126" t="e">
        <f t="shared" ref="I39:W39" si="128">(I38-H38)/H38</f>
        <v>#DIV/0!</v>
      </c>
      <c r="J39" s="126" t="e">
        <f t="shared" si="128"/>
        <v>#DIV/0!</v>
      </c>
      <c r="K39" s="126" t="e">
        <f t="shared" si="128"/>
        <v>#DIV/0!</v>
      </c>
      <c r="L39" s="126" t="e">
        <f t="shared" si="128"/>
        <v>#DIV/0!</v>
      </c>
      <c r="M39" s="126" t="e">
        <f t="shared" si="128"/>
        <v>#DIV/0!</v>
      </c>
      <c r="N39" s="126" t="e">
        <f t="shared" si="128"/>
        <v>#DIV/0!</v>
      </c>
      <c r="O39" s="126" t="e">
        <f t="shared" si="128"/>
        <v>#DIV/0!</v>
      </c>
      <c r="P39" s="126" t="e">
        <f t="shared" si="128"/>
        <v>#DIV/0!</v>
      </c>
      <c r="Q39" s="126" t="e">
        <f t="shared" si="128"/>
        <v>#DIV/0!</v>
      </c>
      <c r="R39" s="126" t="e">
        <f t="shared" si="128"/>
        <v>#DIV/0!</v>
      </c>
      <c r="S39" s="126">
        <f t="shared" si="128"/>
        <v>1</v>
      </c>
      <c r="T39" s="126">
        <f t="shared" ref="T39" si="129">(T38-S38)/T38</f>
        <v>0.33333333333333331</v>
      </c>
      <c r="U39" s="126">
        <f t="shared" ref="U39" si="130">(U38-T38)/U38</f>
        <v>0.25</v>
      </c>
      <c r="V39" s="126">
        <f t="shared" ref="V39" si="131">(V38-U38)/V38</f>
        <v>0.2</v>
      </c>
      <c r="W39" s="126">
        <f t="shared" ref="W39" si="132">(W38-V38)/W38</f>
        <v>0.16666666666666666</v>
      </c>
      <c r="X39" s="126">
        <f t="shared" ref="X39" si="133">(X38-W38)/X38</f>
        <v>0</v>
      </c>
      <c r="Y39" s="126">
        <f t="shared" ref="Y39" si="134">(Y38-X38)/Y38</f>
        <v>0.14285714285714285</v>
      </c>
      <c r="Z39" s="126">
        <f t="shared" ref="Z39" si="135">(Z38-Y38)/Z38</f>
        <v>0</v>
      </c>
      <c r="AA39" s="10"/>
      <c r="AB39" s="10"/>
      <c r="AC39" s="129"/>
      <c r="AD39" s="129"/>
      <c r="AE39" s="129"/>
      <c r="AF39" s="129"/>
      <c r="AG39" s="129"/>
      <c r="AH39" s="129"/>
      <c r="AI39" s="129"/>
      <c r="AJ39" s="129"/>
      <c r="AK39" s="129"/>
      <c r="AL39" s="129"/>
      <c r="AM39" s="113"/>
      <c r="AN39" s="129"/>
      <c r="AO39" s="113"/>
    </row>
    <row r="40" spans="1:41" x14ac:dyDescent="0.15">
      <c r="A40" s="291"/>
      <c r="B40" s="173" t="s">
        <v>416</v>
      </c>
      <c r="C40" s="117"/>
      <c r="D40" s="117"/>
      <c r="E40" s="123"/>
      <c r="F40" s="176"/>
      <c r="G40" s="176">
        <f t="shared" ref="G40:I43" si="136">H40</f>
        <v>0</v>
      </c>
      <c r="H40" s="176">
        <f t="shared" si="136"/>
        <v>0</v>
      </c>
      <c r="I40" s="176">
        <f t="shared" si="136"/>
        <v>0</v>
      </c>
      <c r="J40" s="176">
        <f>K40</f>
        <v>0</v>
      </c>
      <c r="K40" s="176">
        <v>0</v>
      </c>
      <c r="L40" s="176">
        <v>0</v>
      </c>
      <c r="M40" s="176">
        <v>0</v>
      </c>
      <c r="N40" s="176">
        <v>0</v>
      </c>
      <c r="O40" s="176">
        <v>0</v>
      </c>
      <c r="P40" s="176">
        <v>0</v>
      </c>
      <c r="Q40" s="176">
        <v>0</v>
      </c>
      <c r="R40" s="176">
        <v>0</v>
      </c>
      <c r="S40" s="176">
        <v>0</v>
      </c>
      <c r="T40" s="176">
        <v>0</v>
      </c>
      <c r="U40" s="176">
        <v>0</v>
      </c>
      <c r="V40" s="176">
        <v>0</v>
      </c>
      <c r="W40" s="176">
        <v>0</v>
      </c>
      <c r="X40" s="176">
        <v>0</v>
      </c>
      <c r="Y40" s="176">
        <v>0</v>
      </c>
      <c r="Z40" s="176">
        <v>0</v>
      </c>
      <c r="AA40" s="101" t="e">
        <f t="shared" si="33"/>
        <v>#DIV/0!</v>
      </c>
      <c r="AB40" s="21">
        <f t="shared" si="11"/>
        <v>0.1</v>
      </c>
      <c r="AC40" s="129">
        <f t="shared" si="1"/>
        <v>0</v>
      </c>
      <c r="AD40" s="129">
        <f t="shared" si="108"/>
        <v>0</v>
      </c>
      <c r="AE40" s="129">
        <f t="shared" si="109"/>
        <v>0</v>
      </c>
      <c r="AF40" s="129">
        <f t="shared" si="110"/>
        <v>0</v>
      </c>
      <c r="AG40" s="129">
        <f t="shared" si="111"/>
        <v>0</v>
      </c>
      <c r="AH40" s="129">
        <f t="shared" si="112"/>
        <v>0</v>
      </c>
      <c r="AI40" s="129">
        <f t="shared" si="113"/>
        <v>0</v>
      </c>
      <c r="AJ40" s="129">
        <f t="shared" si="114"/>
        <v>0</v>
      </c>
      <c r="AK40" s="129">
        <f t="shared" si="115"/>
        <v>0</v>
      </c>
      <c r="AL40" s="129">
        <f t="shared" si="116"/>
        <v>0</v>
      </c>
      <c r="AM40" s="114" t="e">
        <f t="shared" si="3"/>
        <v>#DIV/0!</v>
      </c>
      <c r="AN40" s="21">
        <f t="shared" si="21"/>
        <v>0.01</v>
      </c>
      <c r="AO40" s="122" t="e">
        <f t="shared" si="32"/>
        <v>#DIV/0!</v>
      </c>
    </row>
    <row r="41" spans="1:41" x14ac:dyDescent="0.15">
      <c r="A41" s="291"/>
      <c r="B41" s="173" t="s">
        <v>413</v>
      </c>
      <c r="C41" s="117"/>
      <c r="D41" s="117"/>
      <c r="E41" s="123"/>
      <c r="F41" s="176"/>
      <c r="G41" s="176">
        <f t="shared" si="136"/>
        <v>0</v>
      </c>
      <c r="H41" s="176">
        <f t="shared" si="136"/>
        <v>0</v>
      </c>
      <c r="I41" s="176">
        <f t="shared" si="136"/>
        <v>0</v>
      </c>
      <c r="J41" s="176">
        <f>K41</f>
        <v>0</v>
      </c>
      <c r="K41" s="176">
        <v>0</v>
      </c>
      <c r="L41" s="176">
        <v>0</v>
      </c>
      <c r="M41" s="176">
        <v>0</v>
      </c>
      <c r="N41" s="176">
        <v>0</v>
      </c>
      <c r="O41" s="176">
        <v>0</v>
      </c>
      <c r="P41" s="176">
        <v>0</v>
      </c>
      <c r="Q41" s="176">
        <v>0</v>
      </c>
      <c r="R41" s="176">
        <v>0</v>
      </c>
      <c r="S41" s="176">
        <v>0</v>
      </c>
      <c r="T41" s="176">
        <v>0</v>
      </c>
      <c r="U41" s="176">
        <v>0</v>
      </c>
      <c r="V41" s="176">
        <v>0</v>
      </c>
      <c r="W41" s="176">
        <v>0</v>
      </c>
      <c r="X41" s="176">
        <v>0</v>
      </c>
      <c r="Y41" s="176">
        <v>0</v>
      </c>
      <c r="Z41" s="176">
        <v>0</v>
      </c>
      <c r="AA41" s="101" t="e">
        <f t="shared" si="33"/>
        <v>#DIV/0!</v>
      </c>
      <c r="AB41" s="21">
        <f t="shared" si="11"/>
        <v>0.1</v>
      </c>
      <c r="AC41" s="129">
        <f t="shared" si="1"/>
        <v>0</v>
      </c>
      <c r="AD41" s="129">
        <f t="shared" si="108"/>
        <v>0</v>
      </c>
      <c r="AE41" s="129">
        <f t="shared" si="109"/>
        <v>0</v>
      </c>
      <c r="AF41" s="129">
        <f t="shared" si="110"/>
        <v>0</v>
      </c>
      <c r="AG41" s="129">
        <f t="shared" si="111"/>
        <v>0</v>
      </c>
      <c r="AH41" s="129">
        <f t="shared" si="112"/>
        <v>0</v>
      </c>
      <c r="AI41" s="129">
        <f t="shared" si="113"/>
        <v>0</v>
      </c>
      <c r="AJ41" s="129">
        <f t="shared" si="114"/>
        <v>0</v>
      </c>
      <c r="AK41" s="129">
        <f t="shared" si="115"/>
        <v>0</v>
      </c>
      <c r="AL41" s="129">
        <f t="shared" si="116"/>
        <v>0</v>
      </c>
      <c r="AM41" s="114" t="e">
        <f t="shared" si="3"/>
        <v>#DIV/0!</v>
      </c>
      <c r="AN41" s="21">
        <f t="shared" si="21"/>
        <v>0.01</v>
      </c>
      <c r="AO41" s="122" t="e">
        <f t="shared" si="32"/>
        <v>#DIV/0!</v>
      </c>
    </row>
    <row r="42" spans="1:41" x14ac:dyDescent="0.15">
      <c r="A42" s="291"/>
      <c r="B42" s="173" t="s">
        <v>415</v>
      </c>
      <c r="C42" s="117"/>
      <c r="D42" s="117"/>
      <c r="E42" s="123"/>
      <c r="F42" s="176"/>
      <c r="G42" s="176">
        <f t="shared" si="136"/>
        <v>0</v>
      </c>
      <c r="H42" s="176">
        <f t="shared" si="136"/>
        <v>0</v>
      </c>
      <c r="I42" s="176">
        <f t="shared" si="136"/>
        <v>0</v>
      </c>
      <c r="J42" s="176">
        <f>K42</f>
        <v>0</v>
      </c>
      <c r="K42" s="176">
        <v>0</v>
      </c>
      <c r="L42" s="176">
        <v>0</v>
      </c>
      <c r="M42" s="176">
        <v>0</v>
      </c>
      <c r="N42" s="176">
        <v>0</v>
      </c>
      <c r="O42" s="176">
        <v>0</v>
      </c>
      <c r="P42" s="176">
        <v>0</v>
      </c>
      <c r="Q42" s="176">
        <v>0</v>
      </c>
      <c r="R42" s="176">
        <v>0</v>
      </c>
      <c r="S42" s="176">
        <v>0</v>
      </c>
      <c r="T42" s="176">
        <v>0</v>
      </c>
      <c r="U42" s="176">
        <v>0</v>
      </c>
      <c r="V42" s="176">
        <v>0</v>
      </c>
      <c r="W42" s="176">
        <v>0</v>
      </c>
      <c r="X42" s="176">
        <v>0</v>
      </c>
      <c r="Y42" s="176">
        <v>0</v>
      </c>
      <c r="Z42" s="176">
        <v>0</v>
      </c>
      <c r="AA42" s="101" t="e">
        <f t="shared" si="33"/>
        <v>#DIV/0!</v>
      </c>
      <c r="AB42" s="21">
        <f t="shared" si="11"/>
        <v>0.1</v>
      </c>
      <c r="AC42" s="129">
        <f t="shared" si="1"/>
        <v>0</v>
      </c>
      <c r="AD42" s="129">
        <f t="shared" si="108"/>
        <v>0</v>
      </c>
      <c r="AE42" s="129">
        <f t="shared" si="109"/>
        <v>0</v>
      </c>
      <c r="AF42" s="129">
        <f t="shared" si="110"/>
        <v>0</v>
      </c>
      <c r="AG42" s="129">
        <f t="shared" si="111"/>
        <v>0</v>
      </c>
      <c r="AH42" s="129">
        <f t="shared" si="112"/>
        <v>0</v>
      </c>
      <c r="AI42" s="129">
        <f t="shared" si="113"/>
        <v>0</v>
      </c>
      <c r="AJ42" s="129">
        <f t="shared" si="114"/>
        <v>0</v>
      </c>
      <c r="AK42" s="129">
        <f t="shared" si="115"/>
        <v>0</v>
      </c>
      <c r="AL42" s="129">
        <f t="shared" si="116"/>
        <v>0</v>
      </c>
      <c r="AM42" s="114" t="e">
        <f t="shared" si="3"/>
        <v>#DIV/0!</v>
      </c>
      <c r="AN42" s="21">
        <f t="shared" si="21"/>
        <v>0.01</v>
      </c>
      <c r="AO42" s="122" t="e">
        <f t="shared" si="32"/>
        <v>#DIV/0!</v>
      </c>
    </row>
    <row r="43" spans="1:41" x14ac:dyDescent="0.15">
      <c r="A43" s="291"/>
      <c r="B43" s="173" t="s">
        <v>414</v>
      </c>
      <c r="C43" s="117"/>
      <c r="D43" s="117"/>
      <c r="E43" s="123"/>
      <c r="F43" s="176"/>
      <c r="G43" s="176">
        <f t="shared" si="136"/>
        <v>0</v>
      </c>
      <c r="H43" s="176">
        <f t="shared" si="136"/>
        <v>0</v>
      </c>
      <c r="I43" s="176">
        <f t="shared" si="136"/>
        <v>0</v>
      </c>
      <c r="J43" s="176">
        <f>K43</f>
        <v>0</v>
      </c>
      <c r="K43" s="176">
        <v>0</v>
      </c>
      <c r="L43" s="176">
        <v>0</v>
      </c>
      <c r="M43" s="176">
        <v>0</v>
      </c>
      <c r="N43" s="176">
        <v>0</v>
      </c>
      <c r="O43" s="176">
        <v>0</v>
      </c>
      <c r="P43" s="176">
        <v>0</v>
      </c>
      <c r="Q43" s="176">
        <v>0</v>
      </c>
      <c r="R43" s="176">
        <v>0</v>
      </c>
      <c r="S43" s="176">
        <v>0</v>
      </c>
      <c r="T43" s="176">
        <v>0</v>
      </c>
      <c r="U43" s="176">
        <v>0</v>
      </c>
      <c r="V43" s="176">
        <v>0</v>
      </c>
      <c r="W43" s="176">
        <v>0</v>
      </c>
      <c r="X43" s="176">
        <v>0</v>
      </c>
      <c r="Y43" s="176">
        <v>0</v>
      </c>
      <c r="Z43" s="176">
        <v>0</v>
      </c>
      <c r="AA43" s="101" t="e">
        <f t="shared" si="33"/>
        <v>#DIV/0!</v>
      </c>
      <c r="AB43" s="21">
        <f t="shared" si="11"/>
        <v>0.1</v>
      </c>
      <c r="AC43" s="129">
        <f t="shared" si="1"/>
        <v>0</v>
      </c>
      <c r="AD43" s="129">
        <f t="shared" si="108"/>
        <v>0</v>
      </c>
      <c r="AE43" s="129">
        <f t="shared" si="109"/>
        <v>0</v>
      </c>
      <c r="AF43" s="129">
        <f t="shared" si="110"/>
        <v>0</v>
      </c>
      <c r="AG43" s="129">
        <f t="shared" si="111"/>
        <v>0</v>
      </c>
      <c r="AH43" s="129">
        <f t="shared" si="112"/>
        <v>0</v>
      </c>
      <c r="AI43" s="129">
        <f t="shared" si="113"/>
        <v>0</v>
      </c>
      <c r="AJ43" s="129">
        <f t="shared" si="114"/>
        <v>0</v>
      </c>
      <c r="AK43" s="129">
        <f t="shared" si="115"/>
        <v>0</v>
      </c>
      <c r="AL43" s="129">
        <f t="shared" si="116"/>
        <v>0</v>
      </c>
      <c r="AM43" s="114" t="e">
        <f t="shared" si="3"/>
        <v>#DIV/0!</v>
      </c>
      <c r="AN43" s="21">
        <f t="shared" si="21"/>
        <v>0.01</v>
      </c>
      <c r="AO43" s="122" t="e">
        <f t="shared" si="32"/>
        <v>#DIV/0!</v>
      </c>
    </row>
    <row r="44" spans="1:41" x14ac:dyDescent="0.15">
      <c r="A44" s="291"/>
      <c r="B44" s="173"/>
      <c r="C44" s="117"/>
      <c r="D44" s="117"/>
      <c r="E44" s="123"/>
      <c r="F44" s="126"/>
      <c r="G44" s="126" t="e">
        <f t="shared" ref="G44:H44" si="137">(G43-E43)/E43</f>
        <v>#DIV/0!</v>
      </c>
      <c r="H44" s="126" t="e">
        <f t="shared" si="137"/>
        <v>#DIV/0!</v>
      </c>
      <c r="I44" s="126" t="e">
        <f t="shared" ref="I44:W44" si="138">(I43-H43)/H43</f>
        <v>#DIV/0!</v>
      </c>
      <c r="J44" s="126" t="e">
        <f t="shared" si="138"/>
        <v>#DIV/0!</v>
      </c>
      <c r="K44" s="126" t="e">
        <f t="shared" si="138"/>
        <v>#DIV/0!</v>
      </c>
      <c r="L44" s="126" t="e">
        <f t="shared" si="138"/>
        <v>#DIV/0!</v>
      </c>
      <c r="M44" s="126" t="e">
        <f t="shared" si="138"/>
        <v>#DIV/0!</v>
      </c>
      <c r="N44" s="126" t="e">
        <f t="shared" si="138"/>
        <v>#DIV/0!</v>
      </c>
      <c r="O44" s="126" t="e">
        <f t="shared" si="138"/>
        <v>#DIV/0!</v>
      </c>
      <c r="P44" s="126" t="e">
        <f t="shared" si="138"/>
        <v>#DIV/0!</v>
      </c>
      <c r="Q44" s="126" t="e">
        <f t="shared" si="138"/>
        <v>#DIV/0!</v>
      </c>
      <c r="R44" s="126" t="e">
        <f t="shared" si="138"/>
        <v>#DIV/0!</v>
      </c>
      <c r="S44" s="126" t="e">
        <f t="shared" si="138"/>
        <v>#DIV/0!</v>
      </c>
      <c r="T44" s="126" t="e">
        <f t="shared" ref="T44" si="139">(T43-S43)/T43</f>
        <v>#DIV/0!</v>
      </c>
      <c r="U44" s="126" t="e">
        <f t="shared" ref="U44" si="140">(U43-T43)/U43</f>
        <v>#DIV/0!</v>
      </c>
      <c r="V44" s="126" t="e">
        <f t="shared" ref="V44" si="141">(V43-U43)/V43</f>
        <v>#DIV/0!</v>
      </c>
      <c r="W44" s="126" t="e">
        <f t="shared" ref="W44" si="142">(W43-V43)/W43</f>
        <v>#DIV/0!</v>
      </c>
      <c r="X44" s="126" t="e">
        <f t="shared" ref="X44" si="143">(X43-W43)/X43</f>
        <v>#DIV/0!</v>
      </c>
      <c r="Y44" s="126" t="e">
        <f t="shared" ref="Y44" si="144">(Y43-X43)/Y43</f>
        <v>#DIV/0!</v>
      </c>
      <c r="Z44" s="126" t="e">
        <f t="shared" ref="Z44" si="145">(Z43-Y43)/Z43</f>
        <v>#DIV/0!</v>
      </c>
      <c r="AA44" s="10"/>
      <c r="AB44" s="10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13"/>
      <c r="AN44" s="129"/>
      <c r="AO44" s="113"/>
    </row>
    <row r="45" spans="1:41" x14ac:dyDescent="0.15">
      <c r="A45" s="291"/>
      <c r="B45" s="173" t="s">
        <v>191</v>
      </c>
      <c r="C45" s="117"/>
      <c r="D45" s="117"/>
      <c r="E45" s="123"/>
      <c r="F45" s="176"/>
      <c r="G45" s="176">
        <f t="shared" ref="G45:I45" si="146">H45</f>
        <v>0</v>
      </c>
      <c r="H45" s="176">
        <f t="shared" si="146"/>
        <v>0</v>
      </c>
      <c r="I45" s="176">
        <f t="shared" si="146"/>
        <v>0</v>
      </c>
      <c r="J45" s="176">
        <f>K45</f>
        <v>0</v>
      </c>
      <c r="K45" s="176">
        <v>0</v>
      </c>
      <c r="L45" s="176">
        <v>0</v>
      </c>
      <c r="M45" s="176">
        <v>0</v>
      </c>
      <c r="N45" s="176">
        <v>0</v>
      </c>
      <c r="O45" s="176">
        <v>0</v>
      </c>
      <c r="P45" s="176">
        <v>0</v>
      </c>
      <c r="Q45" s="176">
        <v>0</v>
      </c>
      <c r="R45" s="176">
        <v>1</v>
      </c>
      <c r="S45" s="176">
        <v>2</v>
      </c>
      <c r="T45" s="176">
        <v>3</v>
      </c>
      <c r="U45" s="176">
        <v>4</v>
      </c>
      <c r="V45" s="176">
        <v>5</v>
      </c>
      <c r="W45" s="176">
        <v>6</v>
      </c>
      <c r="X45" s="176">
        <v>6</v>
      </c>
      <c r="Y45" s="176">
        <v>7</v>
      </c>
      <c r="Z45" s="176">
        <v>7</v>
      </c>
      <c r="AA45" s="101" t="e">
        <f t="shared" si="33"/>
        <v>#DIV/0!</v>
      </c>
      <c r="AB45" s="21">
        <f t="shared" si="11"/>
        <v>0.1</v>
      </c>
      <c r="AC45" s="129">
        <f t="shared" si="1"/>
        <v>7.7000000000000011</v>
      </c>
      <c r="AD45" s="129">
        <f t="shared" si="108"/>
        <v>8.4700000000000024</v>
      </c>
      <c r="AE45" s="129">
        <f t="shared" si="109"/>
        <v>9.3170000000000037</v>
      </c>
      <c r="AF45" s="129">
        <f t="shared" si="110"/>
        <v>10.248700000000005</v>
      </c>
      <c r="AG45" s="129">
        <f t="shared" si="111"/>
        <v>11.273570000000007</v>
      </c>
      <c r="AH45" s="129">
        <f t="shared" si="112"/>
        <v>12.400927000000008</v>
      </c>
      <c r="AI45" s="129">
        <f t="shared" si="113"/>
        <v>13.64101970000001</v>
      </c>
      <c r="AJ45" s="129">
        <f t="shared" si="114"/>
        <v>15.005121670000012</v>
      </c>
      <c r="AK45" s="129">
        <f t="shared" si="115"/>
        <v>16.505633837000016</v>
      </c>
      <c r="AL45" s="129">
        <f t="shared" si="116"/>
        <v>18.156197220700019</v>
      </c>
      <c r="AM45" s="114" t="e">
        <f t="shared" si="3"/>
        <v>#DIV/0!</v>
      </c>
      <c r="AN45" s="21">
        <f t="shared" si="21"/>
        <v>0.01</v>
      </c>
      <c r="AO45" s="122" t="e">
        <f t="shared" si="32"/>
        <v>#DIV/0!</v>
      </c>
    </row>
    <row r="46" spans="1:41" x14ac:dyDescent="0.15">
      <c r="A46" s="174"/>
      <c r="B46" s="173"/>
      <c r="C46" s="117"/>
      <c r="D46" s="117"/>
      <c r="E46" s="123"/>
      <c r="F46" s="126"/>
      <c r="G46" s="126" t="e">
        <f t="shared" ref="G46:H46" si="147">(G45-E45)/E45</f>
        <v>#DIV/0!</v>
      </c>
      <c r="H46" s="126" t="e">
        <f t="shared" si="147"/>
        <v>#DIV/0!</v>
      </c>
      <c r="I46" s="126" t="e">
        <f t="shared" ref="I46:W46" si="148">(I45-H45)/H45</f>
        <v>#DIV/0!</v>
      </c>
      <c r="J46" s="126" t="e">
        <f t="shared" si="148"/>
        <v>#DIV/0!</v>
      </c>
      <c r="K46" s="126" t="e">
        <f t="shared" si="148"/>
        <v>#DIV/0!</v>
      </c>
      <c r="L46" s="126" t="e">
        <f t="shared" si="148"/>
        <v>#DIV/0!</v>
      </c>
      <c r="M46" s="126" t="e">
        <f t="shared" si="148"/>
        <v>#DIV/0!</v>
      </c>
      <c r="N46" s="126" t="e">
        <f t="shared" si="148"/>
        <v>#DIV/0!</v>
      </c>
      <c r="O46" s="126" t="e">
        <f t="shared" si="148"/>
        <v>#DIV/0!</v>
      </c>
      <c r="P46" s="126" t="e">
        <f t="shared" si="148"/>
        <v>#DIV/0!</v>
      </c>
      <c r="Q46" s="126" t="e">
        <f t="shared" si="148"/>
        <v>#DIV/0!</v>
      </c>
      <c r="R46" s="126" t="e">
        <f t="shared" si="148"/>
        <v>#DIV/0!</v>
      </c>
      <c r="S46" s="126">
        <f t="shared" si="148"/>
        <v>1</v>
      </c>
      <c r="T46" s="126">
        <f t="shared" ref="T46" si="149">(T45-S45)/T45</f>
        <v>0.33333333333333331</v>
      </c>
      <c r="U46" s="126">
        <f t="shared" ref="U46" si="150">(U45-T45)/U45</f>
        <v>0.25</v>
      </c>
      <c r="V46" s="126">
        <f t="shared" ref="V46" si="151">(V45-U45)/V45</f>
        <v>0.2</v>
      </c>
      <c r="W46" s="126">
        <f t="shared" ref="W46" si="152">(W45-V45)/W45</f>
        <v>0.16666666666666666</v>
      </c>
      <c r="X46" s="126">
        <f t="shared" ref="X46" si="153">(X45-W45)/X45</f>
        <v>0</v>
      </c>
      <c r="Y46" s="126">
        <f t="shared" ref="Y46" si="154">(Y45-X45)/Y45</f>
        <v>0.14285714285714285</v>
      </c>
      <c r="Z46" s="126">
        <f t="shared" ref="Z46" si="155">(Z45-Y45)/Z45</f>
        <v>0</v>
      </c>
      <c r="AA46" s="10"/>
      <c r="AB46" s="10"/>
      <c r="AC46" s="129"/>
      <c r="AD46" s="129"/>
      <c r="AE46" s="129"/>
      <c r="AF46" s="129"/>
      <c r="AG46" s="129"/>
      <c r="AH46" s="129"/>
      <c r="AI46" s="129"/>
      <c r="AJ46" s="129"/>
      <c r="AK46" s="129"/>
      <c r="AL46" s="129"/>
      <c r="AM46" s="113"/>
      <c r="AN46" s="129"/>
      <c r="AO46" s="113"/>
    </row>
    <row r="47" spans="1:41" x14ac:dyDescent="0.15">
      <c r="A47" s="174"/>
      <c r="B47" s="173" t="s">
        <v>504</v>
      </c>
      <c r="C47" s="117"/>
      <c r="D47" s="117"/>
      <c r="E47" s="123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  <c r="AA47" s="101" t="e">
        <f t="shared" si="33"/>
        <v>#DIV/0!</v>
      </c>
      <c r="AB47" s="21">
        <f t="shared" si="11"/>
        <v>0.1</v>
      </c>
      <c r="AC47" s="129">
        <f t="shared" si="1"/>
        <v>0</v>
      </c>
      <c r="AD47" s="129">
        <f t="shared" ref="AD47" si="156">AC47*(1+$AB47)</f>
        <v>0</v>
      </c>
      <c r="AE47" s="129">
        <f t="shared" ref="AE47" si="157">AD47*(1+$AB47)</f>
        <v>0</v>
      </c>
      <c r="AF47" s="129">
        <f t="shared" ref="AF47" si="158">AE47*(1+$AB47)</f>
        <v>0</v>
      </c>
      <c r="AG47" s="129">
        <f t="shared" ref="AG47" si="159">AF47*(1+$AB47)</f>
        <v>0</v>
      </c>
      <c r="AH47" s="129">
        <f t="shared" ref="AH47" si="160">AG47*(1+$AB47)</f>
        <v>0</v>
      </c>
      <c r="AI47" s="129">
        <f t="shared" ref="AI47" si="161">AH47*(1+$AB47)</f>
        <v>0</v>
      </c>
      <c r="AJ47" s="129">
        <f t="shared" ref="AJ47" si="162">AI47*(1+$AB47)</f>
        <v>0</v>
      </c>
      <c r="AK47" s="129">
        <f t="shared" ref="AK47" si="163">AJ47*(1+$AB47)</f>
        <v>0</v>
      </c>
      <c r="AL47" s="129">
        <f t="shared" ref="AL47" si="164">AK47*(1+$AB47)</f>
        <v>0</v>
      </c>
      <c r="AM47" s="114" t="e">
        <f t="shared" si="3"/>
        <v>#DIV/0!</v>
      </c>
      <c r="AN47" s="21">
        <f t="shared" si="21"/>
        <v>0.01</v>
      </c>
      <c r="AO47" s="122" t="e">
        <f t="shared" si="32"/>
        <v>#DIV/0!</v>
      </c>
    </row>
    <row r="48" spans="1:41" x14ac:dyDescent="0.15">
      <c r="A48" s="174"/>
      <c r="B48" s="173"/>
      <c r="C48" s="117"/>
      <c r="D48" s="117"/>
      <c r="E48" s="123"/>
      <c r="F48" s="126"/>
      <c r="G48" s="126" t="e">
        <f t="shared" ref="G48:H48" si="165">(G47-E47)/E47</f>
        <v>#DIV/0!</v>
      </c>
      <c r="H48" s="126" t="e">
        <f t="shared" si="165"/>
        <v>#DIV/0!</v>
      </c>
      <c r="I48" s="126" t="e">
        <f t="shared" ref="I48:W48" si="166">(I47-H47)/H47</f>
        <v>#DIV/0!</v>
      </c>
      <c r="J48" s="126" t="e">
        <f t="shared" si="166"/>
        <v>#DIV/0!</v>
      </c>
      <c r="K48" s="126" t="e">
        <f t="shared" si="166"/>
        <v>#DIV/0!</v>
      </c>
      <c r="L48" s="126" t="e">
        <f t="shared" si="166"/>
        <v>#DIV/0!</v>
      </c>
      <c r="M48" s="126" t="e">
        <f t="shared" si="166"/>
        <v>#DIV/0!</v>
      </c>
      <c r="N48" s="126" t="e">
        <f t="shared" si="166"/>
        <v>#DIV/0!</v>
      </c>
      <c r="O48" s="126" t="e">
        <f t="shared" si="166"/>
        <v>#DIV/0!</v>
      </c>
      <c r="P48" s="126" t="e">
        <f t="shared" si="166"/>
        <v>#DIV/0!</v>
      </c>
      <c r="Q48" s="126" t="e">
        <f t="shared" si="166"/>
        <v>#DIV/0!</v>
      </c>
      <c r="R48" s="126" t="e">
        <f t="shared" si="166"/>
        <v>#DIV/0!</v>
      </c>
      <c r="S48" s="126" t="e">
        <f t="shared" si="166"/>
        <v>#DIV/0!</v>
      </c>
      <c r="T48" s="126" t="e">
        <f t="shared" ref="T48" si="167">(T47-S47)/T47</f>
        <v>#DIV/0!</v>
      </c>
      <c r="U48" s="126" t="e">
        <f t="shared" ref="U48" si="168">(U47-T47)/U47</f>
        <v>#DIV/0!</v>
      </c>
      <c r="V48" s="126" t="e">
        <f t="shared" ref="V48" si="169">(V47-U47)/V47</f>
        <v>#DIV/0!</v>
      </c>
      <c r="W48" s="126" t="e">
        <f t="shared" ref="W48" si="170">(W47-V47)/W47</f>
        <v>#DIV/0!</v>
      </c>
      <c r="X48" s="126" t="e">
        <f t="shared" ref="X48" si="171">(X47-W47)/X47</f>
        <v>#DIV/0!</v>
      </c>
      <c r="Y48" s="126" t="e">
        <f t="shared" ref="Y48" si="172">(Y47-X47)/Y47</f>
        <v>#DIV/0!</v>
      </c>
      <c r="Z48" s="126" t="e">
        <f t="shared" ref="Z48" si="173">(Z47-Y47)/Z47</f>
        <v>#DIV/0!</v>
      </c>
      <c r="AA48" s="10"/>
      <c r="AB48" s="10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13"/>
      <c r="AN48" s="129"/>
      <c r="AO48" s="113"/>
    </row>
    <row r="49" spans="1:41" x14ac:dyDescent="0.15">
      <c r="A49" s="174"/>
      <c r="B49" s="173" t="s">
        <v>427</v>
      </c>
      <c r="C49" s="117"/>
      <c r="D49" s="117"/>
      <c r="E49" s="123"/>
      <c r="F49" s="176"/>
      <c r="G49" s="176">
        <f t="shared" ref="G49:I49" si="174">H49</f>
        <v>0</v>
      </c>
      <c r="H49" s="176">
        <f t="shared" si="174"/>
        <v>0</v>
      </c>
      <c r="I49" s="176">
        <f t="shared" si="174"/>
        <v>0</v>
      </c>
      <c r="J49" s="176">
        <f>K49</f>
        <v>0</v>
      </c>
      <c r="K49" s="176">
        <v>0</v>
      </c>
      <c r="L49" s="176">
        <v>0</v>
      </c>
      <c r="M49" s="176">
        <v>0</v>
      </c>
      <c r="N49" s="176">
        <v>0</v>
      </c>
      <c r="O49" s="176">
        <v>0</v>
      </c>
      <c r="P49" s="176">
        <v>0</v>
      </c>
      <c r="Q49" s="176">
        <v>0</v>
      </c>
      <c r="R49" s="176">
        <v>1</v>
      </c>
      <c r="S49" s="176">
        <v>2</v>
      </c>
      <c r="T49" s="176">
        <v>3</v>
      </c>
      <c r="U49" s="176">
        <v>4</v>
      </c>
      <c r="V49" s="176">
        <v>5</v>
      </c>
      <c r="W49" s="176">
        <v>6</v>
      </c>
      <c r="X49" s="176">
        <v>6</v>
      </c>
      <c r="Y49" s="176">
        <v>7</v>
      </c>
      <c r="Z49" s="176">
        <v>7</v>
      </c>
      <c r="AA49" s="101" t="e">
        <f t="shared" si="33"/>
        <v>#DIV/0!</v>
      </c>
      <c r="AB49" s="21">
        <f t="shared" si="11"/>
        <v>0.1</v>
      </c>
      <c r="AC49" s="129">
        <f t="shared" si="1"/>
        <v>7.7000000000000011</v>
      </c>
      <c r="AD49" s="129">
        <f t="shared" ref="AD49" si="175">AC49*(1+$AB49)</f>
        <v>8.4700000000000024</v>
      </c>
      <c r="AE49" s="129">
        <f t="shared" ref="AE49" si="176">AD49*(1+$AB49)</f>
        <v>9.3170000000000037</v>
      </c>
      <c r="AF49" s="129">
        <f t="shared" ref="AF49" si="177">AE49*(1+$AB49)</f>
        <v>10.248700000000005</v>
      </c>
      <c r="AG49" s="129">
        <f t="shared" ref="AG49" si="178">AF49*(1+$AB49)</f>
        <v>11.273570000000007</v>
      </c>
      <c r="AH49" s="129">
        <f t="shared" ref="AH49" si="179">AG49*(1+$AB49)</f>
        <v>12.400927000000008</v>
      </c>
      <c r="AI49" s="129">
        <f t="shared" ref="AI49" si="180">AH49*(1+$AB49)</f>
        <v>13.64101970000001</v>
      </c>
      <c r="AJ49" s="129">
        <f t="shared" ref="AJ49" si="181">AI49*(1+$AB49)</f>
        <v>15.005121670000012</v>
      </c>
      <c r="AK49" s="129">
        <f t="shared" ref="AK49" si="182">AJ49*(1+$AB49)</f>
        <v>16.505633837000016</v>
      </c>
      <c r="AL49" s="129">
        <f t="shared" ref="AL49" si="183">AK49*(1+$AB49)</f>
        <v>18.156197220700019</v>
      </c>
      <c r="AM49" s="114" t="e">
        <f t="shared" si="3"/>
        <v>#DIV/0!</v>
      </c>
      <c r="AN49" s="21">
        <f t="shared" si="21"/>
        <v>0.01</v>
      </c>
      <c r="AO49" s="122" t="e">
        <f t="shared" si="32"/>
        <v>#DIV/0!</v>
      </c>
    </row>
    <row r="50" spans="1:41" x14ac:dyDescent="0.15">
      <c r="A50" s="174"/>
      <c r="B50" s="173"/>
      <c r="C50" s="117"/>
      <c r="D50" s="117"/>
      <c r="E50" s="123"/>
      <c r="F50" s="126"/>
      <c r="G50" s="126" t="e">
        <f t="shared" ref="G50:H50" si="184">(G49-E49)/E49</f>
        <v>#DIV/0!</v>
      </c>
      <c r="H50" s="126" t="e">
        <f t="shared" si="184"/>
        <v>#DIV/0!</v>
      </c>
      <c r="I50" s="126" t="e">
        <f t="shared" ref="I50:W50" si="185">(I49-H49)/H49</f>
        <v>#DIV/0!</v>
      </c>
      <c r="J50" s="126" t="e">
        <f t="shared" si="185"/>
        <v>#DIV/0!</v>
      </c>
      <c r="K50" s="126" t="e">
        <f t="shared" si="185"/>
        <v>#DIV/0!</v>
      </c>
      <c r="L50" s="126" t="e">
        <f t="shared" si="185"/>
        <v>#DIV/0!</v>
      </c>
      <c r="M50" s="126" t="e">
        <f t="shared" si="185"/>
        <v>#DIV/0!</v>
      </c>
      <c r="N50" s="126" t="e">
        <f t="shared" si="185"/>
        <v>#DIV/0!</v>
      </c>
      <c r="O50" s="126" t="e">
        <f t="shared" si="185"/>
        <v>#DIV/0!</v>
      </c>
      <c r="P50" s="126" t="e">
        <f t="shared" si="185"/>
        <v>#DIV/0!</v>
      </c>
      <c r="Q50" s="126" t="e">
        <f t="shared" si="185"/>
        <v>#DIV/0!</v>
      </c>
      <c r="R50" s="126" t="e">
        <f t="shared" si="185"/>
        <v>#DIV/0!</v>
      </c>
      <c r="S50" s="126">
        <f t="shared" si="185"/>
        <v>1</v>
      </c>
      <c r="T50" s="126">
        <f t="shared" ref="T50" si="186">(T49-S49)/T49</f>
        <v>0.33333333333333331</v>
      </c>
      <c r="U50" s="126">
        <f t="shared" ref="U50" si="187">(U49-T49)/U49</f>
        <v>0.25</v>
      </c>
      <c r="V50" s="126">
        <f t="shared" ref="V50" si="188">(V49-U49)/V49</f>
        <v>0.2</v>
      </c>
      <c r="W50" s="126">
        <f t="shared" ref="W50" si="189">(W49-V49)/W49</f>
        <v>0.16666666666666666</v>
      </c>
      <c r="X50" s="126">
        <f t="shared" ref="X50" si="190">(X49-W49)/X49</f>
        <v>0</v>
      </c>
      <c r="Y50" s="126">
        <f t="shared" ref="Y50" si="191">(Y49-X49)/Y49</f>
        <v>0.14285714285714285</v>
      </c>
      <c r="Z50" s="126">
        <f t="shared" ref="Z50" si="192">(Z49-Y49)/Z49</f>
        <v>0</v>
      </c>
      <c r="AA50" s="10"/>
      <c r="AB50" s="10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13"/>
      <c r="AN50" s="129"/>
      <c r="AO50" s="113"/>
    </row>
    <row r="51" spans="1:41" x14ac:dyDescent="0.15">
      <c r="A51" s="174"/>
      <c r="B51" s="173" t="s">
        <v>418</v>
      </c>
      <c r="C51" s="117"/>
      <c r="D51" s="117"/>
      <c r="E51" s="123"/>
      <c r="F51" s="176"/>
      <c r="G51" s="176">
        <f t="shared" ref="G51:I51" si="193">H51</f>
        <v>0</v>
      </c>
      <c r="H51" s="176">
        <f t="shared" si="193"/>
        <v>0</v>
      </c>
      <c r="I51" s="176">
        <f t="shared" si="193"/>
        <v>0</v>
      </c>
      <c r="J51" s="176">
        <f>K51</f>
        <v>0</v>
      </c>
      <c r="K51" s="176">
        <v>0</v>
      </c>
      <c r="L51" s="176">
        <v>0</v>
      </c>
      <c r="M51" s="176">
        <v>0</v>
      </c>
      <c r="N51" s="176">
        <v>0</v>
      </c>
      <c r="O51" s="176">
        <v>0</v>
      </c>
      <c r="P51" s="176">
        <v>0</v>
      </c>
      <c r="Q51" s="176">
        <v>0</v>
      </c>
      <c r="R51" s="176">
        <v>1</v>
      </c>
      <c r="S51" s="176">
        <v>2</v>
      </c>
      <c r="T51" s="176">
        <v>3</v>
      </c>
      <c r="U51" s="176">
        <v>4</v>
      </c>
      <c r="V51" s="176">
        <v>5</v>
      </c>
      <c r="W51" s="176">
        <v>6</v>
      </c>
      <c r="X51" s="176">
        <v>6</v>
      </c>
      <c r="Y51" s="176">
        <v>7</v>
      </c>
      <c r="Z51" s="176">
        <v>7</v>
      </c>
      <c r="AA51" s="101" t="e">
        <f t="shared" si="33"/>
        <v>#DIV/0!</v>
      </c>
      <c r="AB51" s="21">
        <f t="shared" si="11"/>
        <v>0.1</v>
      </c>
      <c r="AC51" s="129">
        <f t="shared" si="1"/>
        <v>7.7000000000000011</v>
      </c>
      <c r="AD51" s="129">
        <f t="shared" si="108"/>
        <v>8.4700000000000024</v>
      </c>
      <c r="AE51" s="129">
        <f t="shared" si="109"/>
        <v>9.3170000000000037</v>
      </c>
      <c r="AF51" s="129">
        <f t="shared" si="110"/>
        <v>10.248700000000005</v>
      </c>
      <c r="AG51" s="129">
        <f t="shared" si="111"/>
        <v>11.273570000000007</v>
      </c>
      <c r="AH51" s="129">
        <f t="shared" si="112"/>
        <v>12.400927000000008</v>
      </c>
      <c r="AI51" s="129">
        <f t="shared" si="113"/>
        <v>13.64101970000001</v>
      </c>
      <c r="AJ51" s="129">
        <f t="shared" si="114"/>
        <v>15.005121670000012</v>
      </c>
      <c r="AK51" s="129">
        <f t="shared" si="115"/>
        <v>16.505633837000016</v>
      </c>
      <c r="AL51" s="129">
        <f t="shared" si="116"/>
        <v>18.156197220700019</v>
      </c>
      <c r="AM51" s="114" t="e">
        <f t="shared" si="3"/>
        <v>#DIV/0!</v>
      </c>
      <c r="AN51" s="21">
        <f t="shared" si="21"/>
        <v>0.01</v>
      </c>
      <c r="AO51" s="122" t="e">
        <f t="shared" si="32"/>
        <v>#DIV/0!</v>
      </c>
    </row>
    <row r="52" spans="1:41" x14ac:dyDescent="0.15">
      <c r="B52" s="10"/>
      <c r="C52" s="117"/>
      <c r="D52" s="117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  <c r="AA52" s="101" t="e">
        <f t="shared" si="33"/>
        <v>#DIV/0!</v>
      </c>
      <c r="AB52" s="10"/>
      <c r="AC52" s="129">
        <f t="shared" si="1"/>
        <v>0</v>
      </c>
      <c r="AD52" s="129"/>
      <c r="AE52" s="129"/>
      <c r="AF52" s="129"/>
      <c r="AG52" s="129"/>
      <c r="AH52" s="129"/>
      <c r="AI52" s="129"/>
      <c r="AJ52" s="129"/>
      <c r="AK52" s="129"/>
      <c r="AL52" s="129"/>
      <c r="AM52" s="113"/>
      <c r="AN52" s="113"/>
      <c r="AO52" s="113"/>
    </row>
    <row r="53" spans="1:41" x14ac:dyDescent="0.15">
      <c r="B53" s="10" t="s">
        <v>229</v>
      </c>
      <c r="C53" s="117"/>
      <c r="D53" s="117"/>
      <c r="E53" s="123"/>
      <c r="F53" s="123"/>
      <c r="G53" s="123">
        <v>22</v>
      </c>
      <c r="H53" s="123">
        <v>24</v>
      </c>
      <c r="I53" s="123">
        <v>53</v>
      </c>
      <c r="J53" s="123">
        <v>93</v>
      </c>
      <c r="K53" s="123">
        <v>182</v>
      </c>
      <c r="L53" s="123">
        <v>208</v>
      </c>
      <c r="M53" s="123">
        <v>293</v>
      </c>
      <c r="N53" s="123">
        <v>258</v>
      </c>
      <c r="O53" s="123">
        <v>356</v>
      </c>
      <c r="P53" s="123">
        <v>452</v>
      </c>
      <c r="Q53" s="123">
        <v>560</v>
      </c>
      <c r="R53" s="176">
        <v>709</v>
      </c>
      <c r="S53" s="176">
        <v>817</v>
      </c>
      <c r="T53" s="176">
        <v>849</v>
      </c>
      <c r="U53" s="176">
        <v>883</v>
      </c>
      <c r="V53" s="123">
        <v>955</v>
      </c>
      <c r="W53" s="123">
        <v>1099</v>
      </c>
      <c r="X53" s="123">
        <v>1117</v>
      </c>
      <c r="Y53" s="123">
        <v>1023</v>
      </c>
      <c r="Z53" s="123">
        <v>1252</v>
      </c>
      <c r="AA53" s="101">
        <f t="shared" si="33"/>
        <v>0.23702358939206536</v>
      </c>
      <c r="AB53" s="21">
        <f t="shared" si="11"/>
        <v>0.1</v>
      </c>
      <c r="AC53" s="129">
        <f t="shared" si="1"/>
        <v>1377.2</v>
      </c>
      <c r="AD53" s="129">
        <f t="shared" ref="AD53" si="194">AC53*(1+$AB53)</f>
        <v>1514.92</v>
      </c>
      <c r="AE53" s="129">
        <f t="shared" ref="AE53" si="195">AD53*(1+$AB53)</f>
        <v>1666.4120000000003</v>
      </c>
      <c r="AF53" s="129">
        <f t="shared" ref="AF53" si="196">AE53*(1+$AB53)</f>
        <v>1833.0532000000005</v>
      </c>
      <c r="AG53" s="129">
        <f t="shared" si="49"/>
        <v>2016.3585200000007</v>
      </c>
      <c r="AH53" s="129">
        <f t="shared" si="50"/>
        <v>2217.994372000001</v>
      </c>
      <c r="AI53" s="129">
        <f t="shared" si="51"/>
        <v>2439.7938092000013</v>
      </c>
      <c r="AJ53" s="129">
        <f t="shared" si="52"/>
        <v>2683.7731901200018</v>
      </c>
      <c r="AK53" s="129">
        <f t="shared" si="53"/>
        <v>2952.1505091320023</v>
      </c>
      <c r="AL53" s="129">
        <f t="shared" si="54"/>
        <v>3247.365560045203</v>
      </c>
      <c r="AM53" s="114">
        <f t="shared" si="3"/>
        <v>0.18794639738232455</v>
      </c>
      <c r="AN53" s="21">
        <f t="shared" si="21"/>
        <v>0.01</v>
      </c>
      <c r="AO53" s="122" t="e">
        <f t="shared" si="32"/>
        <v>#DIV/0!</v>
      </c>
    </row>
    <row r="54" spans="1:41" s="106" customFormat="1" x14ac:dyDescent="0.15">
      <c r="B54" s="13"/>
      <c r="C54" s="124"/>
      <c r="D54" s="124"/>
      <c r="E54" s="125"/>
      <c r="F54" s="126"/>
      <c r="G54" s="126">
        <f t="shared" ref="G54:W54" si="197">(G53-F53)/G53</f>
        <v>1</v>
      </c>
      <c r="H54" s="126">
        <f t="shared" si="197"/>
        <v>8.3333333333333329E-2</v>
      </c>
      <c r="I54" s="126">
        <f t="shared" si="197"/>
        <v>0.54716981132075471</v>
      </c>
      <c r="J54" s="126">
        <f t="shared" si="197"/>
        <v>0.43010752688172044</v>
      </c>
      <c r="K54" s="126">
        <f t="shared" si="197"/>
        <v>0.48901098901098899</v>
      </c>
      <c r="L54" s="126">
        <f t="shared" si="197"/>
        <v>0.125</v>
      </c>
      <c r="M54" s="126">
        <f t="shared" si="197"/>
        <v>0.29010238907849828</v>
      </c>
      <c r="N54" s="126">
        <f t="shared" si="197"/>
        <v>-0.13565891472868216</v>
      </c>
      <c r="O54" s="126">
        <f t="shared" si="197"/>
        <v>0.2752808988764045</v>
      </c>
      <c r="P54" s="126">
        <f t="shared" si="197"/>
        <v>0.21238938053097345</v>
      </c>
      <c r="Q54" s="126">
        <f t="shared" si="197"/>
        <v>0.19285714285714287</v>
      </c>
      <c r="R54" s="126">
        <f t="shared" si="197"/>
        <v>0.21015514809590974</v>
      </c>
      <c r="S54" s="126">
        <f t="shared" ref="S54" si="198">(S53-R53)/R53</f>
        <v>0.15232722143864599</v>
      </c>
      <c r="T54" s="126">
        <f t="shared" ref="T54" si="199">(T53-S53)/T53</f>
        <v>3.7691401648998819E-2</v>
      </c>
      <c r="U54" s="126">
        <f t="shared" ref="U54" si="200">(U53-T53)/U53</f>
        <v>3.8505096262740658E-2</v>
      </c>
      <c r="V54" s="126">
        <f t="shared" ref="V54" si="201">(V53-U53)/V53</f>
        <v>7.5392670157068062E-2</v>
      </c>
      <c r="W54" s="126">
        <f t="shared" ref="W54" si="202">(W53-V53)/W53</f>
        <v>0.13102820746132848</v>
      </c>
      <c r="X54" s="126">
        <f t="shared" ref="X54" si="203">(X53-W53)/X53</f>
        <v>1.611459265890779E-2</v>
      </c>
      <c r="Y54" s="126">
        <f t="shared" ref="Y54" si="204">(Y53-X53)/Y53</f>
        <v>-9.1886608015640275E-2</v>
      </c>
      <c r="Z54" s="126">
        <f t="shared" ref="Z54" si="205">(Z53-Y53)/Z53</f>
        <v>0.18290734824281149</v>
      </c>
      <c r="AA54" s="10"/>
      <c r="AB54" s="10"/>
      <c r="AC54" s="129"/>
      <c r="AD54" s="130"/>
      <c r="AE54" s="130"/>
      <c r="AF54" s="130"/>
      <c r="AG54" s="130"/>
      <c r="AH54" s="130"/>
      <c r="AI54" s="130"/>
      <c r="AJ54" s="130"/>
      <c r="AK54" s="130"/>
      <c r="AL54" s="130"/>
      <c r="AM54" s="113"/>
      <c r="AN54" s="113"/>
      <c r="AO54" s="113"/>
    </row>
    <row r="55" spans="1:41" s="106" customFormat="1" x14ac:dyDescent="0.15">
      <c r="B55" s="10" t="s">
        <v>342</v>
      </c>
      <c r="C55" s="124"/>
      <c r="D55" s="124"/>
      <c r="E55" s="125"/>
      <c r="F55" s="123"/>
      <c r="G55" s="123">
        <v>1</v>
      </c>
      <c r="H55" s="123">
        <v>12</v>
      </c>
      <c r="I55" s="123">
        <v>37</v>
      </c>
      <c r="J55" s="123">
        <v>72</v>
      </c>
      <c r="K55" s="123">
        <v>146</v>
      </c>
      <c r="L55" s="123">
        <v>124</v>
      </c>
      <c r="M55" s="123">
        <v>255</v>
      </c>
      <c r="N55" s="123">
        <v>220</v>
      </c>
      <c r="O55" s="123">
        <v>318</v>
      </c>
      <c r="P55" s="123">
        <v>422</v>
      </c>
      <c r="Q55" s="123">
        <v>536</v>
      </c>
      <c r="R55" s="176">
        <v>610</v>
      </c>
      <c r="S55" s="176">
        <v>722</v>
      </c>
      <c r="T55" s="176">
        <v>702</v>
      </c>
      <c r="U55" s="176">
        <v>715</v>
      </c>
      <c r="V55" s="123">
        <v>730</v>
      </c>
      <c r="W55" s="123">
        <v>841</v>
      </c>
      <c r="X55" s="123">
        <v>873</v>
      </c>
      <c r="Y55" s="123">
        <v>692</v>
      </c>
      <c r="Z55" s="123">
        <v>947</v>
      </c>
      <c r="AA55" s="101">
        <f t="shared" si="33"/>
        <v>0.43433302794170836</v>
      </c>
      <c r="AB55" s="21">
        <f t="shared" si="11"/>
        <v>0.1</v>
      </c>
      <c r="AC55" s="129">
        <f t="shared" si="1"/>
        <v>1041.7</v>
      </c>
      <c r="AD55" s="129">
        <f t="shared" ref="AD55" si="206">AC55*(1+$AB55)</f>
        <v>1145.8700000000001</v>
      </c>
      <c r="AE55" s="129">
        <f t="shared" ref="AE55" si="207">AD55*(1+$AB55)</f>
        <v>1260.4570000000003</v>
      </c>
      <c r="AF55" s="129">
        <f t="shared" ref="AF55" si="208">AE55*(1+$AB55)</f>
        <v>1386.5027000000005</v>
      </c>
      <c r="AG55" s="129">
        <f t="shared" ref="AG55" si="209">AF55*(1+$AB55)</f>
        <v>1525.1529700000006</v>
      </c>
      <c r="AH55" s="129">
        <f t="shared" ref="AH55" si="210">AG55*(1+$AB55)</f>
        <v>1677.6682670000007</v>
      </c>
      <c r="AI55" s="129">
        <f t="shared" ref="AI55" si="211">AH55*(1+$AB55)</f>
        <v>1845.4350937000008</v>
      </c>
      <c r="AJ55" s="129">
        <f t="shared" ref="AJ55" si="212">AI55*(1+$AB55)</f>
        <v>2029.9786030700011</v>
      </c>
      <c r="AK55" s="129">
        <f t="shared" ref="AK55" si="213">AJ55*(1+$AB55)</f>
        <v>2232.9764633770014</v>
      </c>
      <c r="AL55" s="129">
        <f t="shared" ref="AL55" si="214">AK55*(1+$AB55)</f>
        <v>2456.2741097147018</v>
      </c>
      <c r="AM55" s="114">
        <f t="shared" si="3"/>
        <v>0.30889888457299075</v>
      </c>
      <c r="AN55" s="21">
        <f t="shared" si="21"/>
        <v>0.01</v>
      </c>
      <c r="AO55" s="122" t="e">
        <f t="shared" si="32"/>
        <v>#DIV/0!</v>
      </c>
    </row>
    <row r="56" spans="1:41" s="106" customFormat="1" x14ac:dyDescent="0.15">
      <c r="B56" s="13"/>
      <c r="C56" s="124"/>
      <c r="D56" s="124"/>
      <c r="E56" s="125"/>
      <c r="F56" s="126"/>
      <c r="G56" s="126">
        <f t="shared" ref="G56:W56" si="215">(G55-F55)/G55</f>
        <v>1</v>
      </c>
      <c r="H56" s="126">
        <f t="shared" si="215"/>
        <v>0.91666666666666663</v>
      </c>
      <c r="I56" s="126">
        <f t="shared" si="215"/>
        <v>0.67567567567567566</v>
      </c>
      <c r="J56" s="126">
        <f t="shared" si="215"/>
        <v>0.4861111111111111</v>
      </c>
      <c r="K56" s="126">
        <f t="shared" si="215"/>
        <v>0.50684931506849318</v>
      </c>
      <c r="L56" s="126">
        <f t="shared" si="215"/>
        <v>-0.17741935483870969</v>
      </c>
      <c r="M56" s="126">
        <f t="shared" si="215"/>
        <v>0.51372549019607838</v>
      </c>
      <c r="N56" s="126">
        <f t="shared" si="215"/>
        <v>-0.15909090909090909</v>
      </c>
      <c r="O56" s="126">
        <f t="shared" si="215"/>
        <v>0.3081761006289308</v>
      </c>
      <c r="P56" s="126">
        <f t="shared" si="215"/>
        <v>0.24644549763033174</v>
      </c>
      <c r="Q56" s="126">
        <f t="shared" si="215"/>
        <v>0.21268656716417911</v>
      </c>
      <c r="R56" s="126">
        <f t="shared" si="215"/>
        <v>0.12131147540983607</v>
      </c>
      <c r="S56" s="126">
        <f t="shared" ref="S56" si="216">(S55-R55)/R55</f>
        <v>0.18360655737704917</v>
      </c>
      <c r="T56" s="126">
        <f t="shared" ref="T56" si="217">(T55-S55)/T55</f>
        <v>-2.8490028490028491E-2</v>
      </c>
      <c r="U56" s="126">
        <f t="shared" ref="U56" si="218">(U55-T55)/U55</f>
        <v>1.8181818181818181E-2</v>
      </c>
      <c r="V56" s="126">
        <f t="shared" ref="V56" si="219">(V55-U55)/V55</f>
        <v>2.0547945205479451E-2</v>
      </c>
      <c r="W56" s="126">
        <f t="shared" ref="W56" si="220">(W55-V55)/W55</f>
        <v>0.13198573127229488</v>
      </c>
      <c r="X56" s="126">
        <f t="shared" ref="X56" si="221">(X55-W55)/X55</f>
        <v>3.6655211912943873E-2</v>
      </c>
      <c r="Y56" s="126">
        <f t="shared" ref="Y56" si="222">(Y55-X55)/Y55</f>
        <v>-0.26156069364161849</v>
      </c>
      <c r="Z56" s="126">
        <f t="shared" ref="Z56" si="223">(Z55-Y55)/Z55</f>
        <v>0.26927138331573391</v>
      </c>
      <c r="AA56" s="10"/>
      <c r="AB56" s="10"/>
      <c r="AC56" s="129"/>
      <c r="AD56" s="130"/>
      <c r="AE56" s="130"/>
      <c r="AF56" s="130"/>
      <c r="AG56" s="130"/>
      <c r="AH56" s="130"/>
      <c r="AI56" s="130"/>
      <c r="AJ56" s="130"/>
      <c r="AK56" s="130"/>
      <c r="AL56" s="130"/>
      <c r="AM56" s="113"/>
      <c r="AN56" s="113"/>
      <c r="AO56" s="113"/>
    </row>
    <row r="57" spans="1:41" s="106" customFormat="1" x14ac:dyDescent="0.15">
      <c r="B57" s="10" t="s">
        <v>503</v>
      </c>
      <c r="C57" s="124"/>
      <c r="D57" s="124"/>
      <c r="E57" s="125"/>
      <c r="F57" s="126"/>
      <c r="G57" s="123"/>
      <c r="H57" s="123"/>
      <c r="I57" s="123"/>
      <c r="J57" s="123"/>
      <c r="K57" s="123"/>
      <c r="L57" s="123"/>
      <c r="M57" s="123">
        <v>43</v>
      </c>
      <c r="N57" s="123">
        <v>42</v>
      </c>
      <c r="O57" s="123">
        <v>46</v>
      </c>
      <c r="P57" s="123">
        <v>66</v>
      </c>
      <c r="Q57" s="123">
        <v>65</v>
      </c>
      <c r="R57" s="176">
        <v>134</v>
      </c>
      <c r="S57" s="176">
        <v>141</v>
      </c>
      <c r="T57" s="176">
        <v>191</v>
      </c>
      <c r="U57" s="176">
        <v>230</v>
      </c>
      <c r="V57" s="123">
        <v>261</v>
      </c>
      <c r="W57" s="123">
        <v>301</v>
      </c>
      <c r="X57" s="123">
        <v>319</v>
      </c>
      <c r="Y57" s="123">
        <v>395</v>
      </c>
      <c r="Z57" s="123">
        <v>327</v>
      </c>
      <c r="AA57" s="101" t="e">
        <f t="shared" si="33"/>
        <v>#DIV/0!</v>
      </c>
      <c r="AB57" s="21">
        <f t="shared" si="11"/>
        <v>0.1</v>
      </c>
      <c r="AC57" s="129">
        <f t="shared" si="1"/>
        <v>359.70000000000005</v>
      </c>
      <c r="AD57" s="129">
        <f t="shared" ref="AD57" si="224">AC57*(1+$AB57)</f>
        <v>395.67000000000007</v>
      </c>
      <c r="AE57" s="129">
        <f t="shared" ref="AE57" si="225">AD57*(1+$AB57)</f>
        <v>435.23700000000014</v>
      </c>
      <c r="AF57" s="129">
        <f t="shared" ref="AF57" si="226">AE57*(1+$AB57)</f>
        <v>478.76070000000021</v>
      </c>
      <c r="AG57" s="129">
        <f t="shared" ref="AG57" si="227">AF57*(1+$AB57)</f>
        <v>526.6367700000003</v>
      </c>
      <c r="AH57" s="129">
        <f t="shared" ref="AH57" si="228">AG57*(1+$AB57)</f>
        <v>579.30044700000042</v>
      </c>
      <c r="AI57" s="129">
        <f t="shared" ref="AI57" si="229">AH57*(1+$AB57)</f>
        <v>637.23049170000047</v>
      </c>
      <c r="AJ57" s="129">
        <f t="shared" ref="AJ57" si="230">AI57*(1+$AB57)</f>
        <v>700.95354087000055</v>
      </c>
      <c r="AK57" s="129">
        <f t="shared" ref="AK57" si="231">AJ57*(1+$AB57)</f>
        <v>771.0488949570007</v>
      </c>
      <c r="AL57" s="129">
        <f t="shared" ref="AL57" si="232">AK57*(1+$AB57)</f>
        <v>848.15378445270085</v>
      </c>
      <c r="AM57" s="114" t="e">
        <f t="shared" si="3"/>
        <v>#DIV/0!</v>
      </c>
      <c r="AN57" s="21">
        <f t="shared" si="21"/>
        <v>0.01</v>
      </c>
      <c r="AO57" s="122" t="e">
        <f t="shared" si="32"/>
        <v>#DIV/0!</v>
      </c>
    </row>
    <row r="58" spans="1:41" s="106" customFormat="1" x14ac:dyDescent="0.15">
      <c r="B58" s="13"/>
      <c r="C58" s="124"/>
      <c r="D58" s="124"/>
      <c r="E58" s="125"/>
      <c r="F58" s="126"/>
      <c r="G58" s="126" t="e">
        <f t="shared" ref="G58:W58" si="233">(G57-F57)/G57</f>
        <v>#DIV/0!</v>
      </c>
      <c r="H58" s="126" t="e">
        <f t="shared" si="233"/>
        <v>#DIV/0!</v>
      </c>
      <c r="I58" s="126" t="e">
        <f t="shared" si="233"/>
        <v>#DIV/0!</v>
      </c>
      <c r="J58" s="126" t="e">
        <f t="shared" si="233"/>
        <v>#DIV/0!</v>
      </c>
      <c r="K58" s="126" t="e">
        <f t="shared" si="233"/>
        <v>#DIV/0!</v>
      </c>
      <c r="L58" s="126" t="e">
        <f t="shared" si="233"/>
        <v>#DIV/0!</v>
      </c>
      <c r="M58" s="126">
        <f t="shared" si="233"/>
        <v>1</v>
      </c>
      <c r="N58" s="126">
        <f t="shared" si="233"/>
        <v>-2.3809523809523808E-2</v>
      </c>
      <c r="O58" s="126">
        <f t="shared" si="233"/>
        <v>8.6956521739130432E-2</v>
      </c>
      <c r="P58" s="126">
        <f t="shared" si="233"/>
        <v>0.30303030303030304</v>
      </c>
      <c r="Q58" s="126">
        <f t="shared" si="233"/>
        <v>-1.5384615384615385E-2</v>
      </c>
      <c r="R58" s="126">
        <f t="shared" si="233"/>
        <v>0.5149253731343284</v>
      </c>
      <c r="S58" s="126">
        <f t="shared" ref="S58" si="234">(S57-R57)/R57</f>
        <v>5.2238805970149252E-2</v>
      </c>
      <c r="T58" s="126">
        <f t="shared" ref="T58" si="235">(T57-S57)/T57</f>
        <v>0.26178010471204188</v>
      </c>
      <c r="U58" s="126">
        <f t="shared" ref="U58" si="236">(U57-T57)/U57</f>
        <v>0.16956521739130434</v>
      </c>
      <c r="V58" s="126">
        <f t="shared" ref="V58" si="237">(V57-U57)/V57</f>
        <v>0.11877394636015326</v>
      </c>
      <c r="W58" s="126">
        <f t="shared" ref="W58" si="238">(W57-V57)/W57</f>
        <v>0.13289036544850499</v>
      </c>
      <c r="X58" s="126">
        <f t="shared" ref="X58" si="239">(X57-W57)/X57</f>
        <v>5.6426332288401257E-2</v>
      </c>
      <c r="Y58" s="126">
        <f t="shared" ref="Y58" si="240">(Y57-X57)/Y57</f>
        <v>0.19240506329113924</v>
      </c>
      <c r="Z58" s="126">
        <f t="shared" ref="Z58" si="241">(Z57-Y57)/Z57</f>
        <v>-0.20795107033639143</v>
      </c>
      <c r="AA58" s="10"/>
      <c r="AB58" s="10"/>
      <c r="AC58" s="129"/>
      <c r="AD58" s="130"/>
      <c r="AE58" s="130"/>
      <c r="AF58" s="130"/>
      <c r="AG58" s="130"/>
      <c r="AH58" s="130"/>
      <c r="AI58" s="130"/>
      <c r="AJ58" s="130"/>
      <c r="AK58" s="130"/>
      <c r="AL58" s="130"/>
      <c r="AM58" s="113"/>
      <c r="AN58" s="113"/>
      <c r="AO58" s="113"/>
    </row>
    <row r="59" spans="1:41" x14ac:dyDescent="0.15">
      <c r="B59" s="10" t="s">
        <v>343</v>
      </c>
      <c r="C59" s="117"/>
      <c r="D59" s="117"/>
      <c r="E59" s="123"/>
      <c r="F59" s="123"/>
      <c r="G59" s="123">
        <v>1</v>
      </c>
      <c r="H59" s="123">
        <v>9</v>
      </c>
      <c r="I59" s="123">
        <v>24</v>
      </c>
      <c r="J59" s="123">
        <v>47</v>
      </c>
      <c r="K59" s="123">
        <v>94</v>
      </c>
      <c r="L59" s="123">
        <v>81</v>
      </c>
      <c r="M59" s="123">
        <v>167</v>
      </c>
      <c r="N59" s="123">
        <v>148</v>
      </c>
      <c r="O59" s="123">
        <v>215</v>
      </c>
      <c r="P59" s="123">
        <v>287</v>
      </c>
      <c r="Q59" s="123">
        <v>367</v>
      </c>
      <c r="R59" s="176">
        <v>410</v>
      </c>
      <c r="S59" s="176">
        <v>489</v>
      </c>
      <c r="T59" s="176">
        <v>478</v>
      </c>
      <c r="U59" s="176">
        <v>471</v>
      </c>
      <c r="V59" s="123">
        <v>483</v>
      </c>
      <c r="W59" s="123">
        <v>661</v>
      </c>
      <c r="X59" s="123">
        <v>647</v>
      </c>
      <c r="Y59" s="123">
        <v>512</v>
      </c>
      <c r="Z59" s="123">
        <v>694</v>
      </c>
      <c r="AA59" s="101">
        <f t="shared" si="33"/>
        <v>0.41105920204643054</v>
      </c>
      <c r="AB59" s="21">
        <f t="shared" si="11"/>
        <v>0.1</v>
      </c>
      <c r="AC59" s="129">
        <f t="shared" si="1"/>
        <v>763.40000000000009</v>
      </c>
      <c r="AD59" s="129">
        <f t="shared" ref="AD59:AL59" si="242">AC59*(1+$AB59)</f>
        <v>839.74000000000012</v>
      </c>
      <c r="AE59" s="129">
        <f t="shared" si="242"/>
        <v>923.71400000000017</v>
      </c>
      <c r="AF59" s="129">
        <f t="shared" si="242"/>
        <v>1016.0854000000003</v>
      </c>
      <c r="AG59" s="129">
        <f t="shared" si="242"/>
        <v>1117.6939400000003</v>
      </c>
      <c r="AH59" s="129">
        <f t="shared" si="242"/>
        <v>1229.4633340000005</v>
      </c>
      <c r="AI59" s="129">
        <f t="shared" si="242"/>
        <v>1352.4096674000007</v>
      </c>
      <c r="AJ59" s="129">
        <f t="shared" si="242"/>
        <v>1487.6506341400009</v>
      </c>
      <c r="AK59" s="129">
        <f t="shared" si="242"/>
        <v>1636.4156975540011</v>
      </c>
      <c r="AL59" s="129">
        <f t="shared" si="242"/>
        <v>1800.0572673094014</v>
      </c>
      <c r="AM59" s="114">
        <f t="shared" si="3"/>
        <v>0.29494478948410707</v>
      </c>
      <c r="AN59" s="21">
        <f t="shared" si="21"/>
        <v>0.01</v>
      </c>
      <c r="AO59" s="122" t="e">
        <f t="shared" si="32"/>
        <v>#DIV/0!</v>
      </c>
    </row>
    <row r="60" spans="1:41" s="106" customFormat="1" x14ac:dyDescent="0.15">
      <c r="B60" s="13"/>
      <c r="C60" s="124"/>
      <c r="D60" s="124"/>
      <c r="E60" s="125"/>
      <c r="F60" s="126"/>
      <c r="G60" s="126">
        <f>(G59-F59)/G59</f>
        <v>1</v>
      </c>
      <c r="H60" s="126">
        <f t="shared" ref="H60:W60" si="243">(H59-G59)/H59</f>
        <v>0.88888888888888884</v>
      </c>
      <c r="I60" s="126">
        <f t="shared" si="243"/>
        <v>0.625</v>
      </c>
      <c r="J60" s="126">
        <f t="shared" si="243"/>
        <v>0.48936170212765956</v>
      </c>
      <c r="K60" s="126">
        <f t="shared" si="243"/>
        <v>0.5</v>
      </c>
      <c r="L60" s="126">
        <f t="shared" si="243"/>
        <v>-0.16049382716049382</v>
      </c>
      <c r="M60" s="126">
        <f t="shared" si="243"/>
        <v>0.51497005988023947</v>
      </c>
      <c r="N60" s="126">
        <f t="shared" si="243"/>
        <v>-0.12837837837837837</v>
      </c>
      <c r="O60" s="126">
        <f t="shared" si="243"/>
        <v>0.3116279069767442</v>
      </c>
      <c r="P60" s="126">
        <f t="shared" si="243"/>
        <v>0.25087108013937282</v>
      </c>
      <c r="Q60" s="126">
        <f t="shared" si="243"/>
        <v>0.21798365122615804</v>
      </c>
      <c r="R60" s="126">
        <f t="shared" si="243"/>
        <v>0.1048780487804878</v>
      </c>
      <c r="S60" s="126">
        <f t="shared" ref="S60" si="244">(S59-R59)/R59</f>
        <v>0.1926829268292683</v>
      </c>
      <c r="T60" s="126">
        <f t="shared" ref="T60" si="245">(T59-S59)/T59</f>
        <v>-2.3012552301255231E-2</v>
      </c>
      <c r="U60" s="126">
        <f t="shared" ref="U60" si="246">(U59-T59)/U59</f>
        <v>-1.4861995753715499E-2</v>
      </c>
      <c r="V60" s="126">
        <f t="shared" ref="V60" si="247">(V59-U59)/V59</f>
        <v>2.4844720496894408E-2</v>
      </c>
      <c r="W60" s="126">
        <f t="shared" ref="W60" si="248">(W59-V59)/W59</f>
        <v>0.2692889561270802</v>
      </c>
      <c r="X60" s="126">
        <f t="shared" ref="X60" si="249">(X59-W59)/X59</f>
        <v>-2.1638330757341576E-2</v>
      </c>
      <c r="Y60" s="126">
        <f t="shared" ref="Y60" si="250">(Y59-X59)/Y59</f>
        <v>-0.263671875</v>
      </c>
      <c r="Z60" s="126">
        <f t="shared" ref="Z60" si="251">(Z59-Y59)/Z59</f>
        <v>0.26224783861671469</v>
      </c>
      <c r="AA60" s="10"/>
      <c r="AB60" s="10"/>
      <c r="AC60" s="129"/>
      <c r="AD60" s="130"/>
      <c r="AE60" s="130"/>
      <c r="AF60" s="130"/>
      <c r="AG60" s="130"/>
      <c r="AH60" s="130"/>
      <c r="AI60" s="130"/>
      <c r="AJ60" s="130"/>
      <c r="AK60" s="130"/>
      <c r="AL60" s="130"/>
      <c r="AM60" s="113"/>
      <c r="AN60" s="113"/>
      <c r="AO60" s="113"/>
    </row>
    <row r="61" spans="1:41" x14ac:dyDescent="0.15">
      <c r="B61" s="10" t="s">
        <v>197</v>
      </c>
      <c r="C61" s="118"/>
      <c r="D61" s="118"/>
      <c r="E61" s="121"/>
      <c r="F61" s="123"/>
      <c r="G61" s="121">
        <v>1.1299999999999999</v>
      </c>
      <c r="H61" s="121">
        <v>1.1299999999999999</v>
      </c>
      <c r="I61" s="121">
        <v>1.1299999999999999</v>
      </c>
      <c r="J61" s="121">
        <v>1.1299999999999999</v>
      </c>
      <c r="K61" s="121">
        <v>5.69</v>
      </c>
      <c r="L61" s="121">
        <v>8.5399999999999991</v>
      </c>
      <c r="M61" s="121">
        <v>8.5399999999999991</v>
      </c>
      <c r="N61" s="121">
        <v>8.5399999999999991</v>
      </c>
      <c r="O61" s="121">
        <v>8.5399999999999991</v>
      </c>
      <c r="P61" s="121">
        <v>17.079999999999998</v>
      </c>
      <c r="Q61" s="121">
        <v>17.079999999999998</v>
      </c>
      <c r="R61" s="121">
        <v>17.079999999999998</v>
      </c>
      <c r="S61" s="121">
        <v>17.079999999999998</v>
      </c>
      <c r="T61" s="121">
        <v>17.079999999999998</v>
      </c>
      <c r="U61" s="121">
        <v>17.079999999999998</v>
      </c>
      <c r="V61" s="121">
        <v>17.079999999999998</v>
      </c>
      <c r="W61" s="121">
        <v>17.079999999999998</v>
      </c>
      <c r="X61" s="121">
        <v>17.079999999999998</v>
      </c>
      <c r="Y61" s="121">
        <v>17.079999999999998</v>
      </c>
      <c r="Z61" s="121">
        <v>17.079999999999998</v>
      </c>
      <c r="AA61" s="101">
        <f t="shared" si="33"/>
        <v>0.15365029151187826</v>
      </c>
      <c r="AB61" s="21">
        <v>0.02</v>
      </c>
      <c r="AC61" s="129">
        <f t="shared" si="1"/>
        <v>17.421599999999998</v>
      </c>
      <c r="AD61" s="129">
        <f>AC61*(1+$AB61)</f>
        <v>17.770031999999997</v>
      </c>
      <c r="AE61" s="129">
        <f t="shared" ref="AE61:AL61" si="252">AD61*(1+$AB61)</f>
        <v>18.125432639999996</v>
      </c>
      <c r="AF61" s="129">
        <f t="shared" si="252"/>
        <v>18.487941292799995</v>
      </c>
      <c r="AG61" s="129">
        <f t="shared" si="252"/>
        <v>18.857700118655995</v>
      </c>
      <c r="AH61" s="129">
        <f t="shared" si="252"/>
        <v>19.234854121029116</v>
      </c>
      <c r="AI61" s="129">
        <f t="shared" si="252"/>
        <v>19.619551203449699</v>
      </c>
      <c r="AJ61" s="129">
        <f t="shared" si="252"/>
        <v>20.011942227518695</v>
      </c>
      <c r="AK61" s="129">
        <f t="shared" si="252"/>
        <v>20.412181072069068</v>
      </c>
      <c r="AL61" s="129">
        <f t="shared" si="252"/>
        <v>20.82042469351045</v>
      </c>
      <c r="AM61" s="114">
        <f t="shared" si="3"/>
        <v>0.10569378103367533</v>
      </c>
      <c r="AN61" s="21">
        <f t="shared" si="21"/>
        <v>0.01</v>
      </c>
      <c r="AO61" s="122" t="e">
        <f t="shared" si="32"/>
        <v>#DIV/0!</v>
      </c>
    </row>
    <row r="62" spans="1:41" x14ac:dyDescent="0.15">
      <c r="B62" s="10"/>
      <c r="C62" s="118"/>
      <c r="D62" s="118"/>
      <c r="E62" s="119"/>
      <c r="F62" s="126"/>
      <c r="G62" s="126">
        <f t="shared" ref="G62" si="253">(G61-E61)/G61</f>
        <v>1</v>
      </c>
      <c r="H62" s="126">
        <f>(H61-F61)/H61</f>
        <v>1</v>
      </c>
      <c r="I62" s="126">
        <f t="shared" ref="I62:W62" si="254">(I61-H61)/I61</f>
        <v>0</v>
      </c>
      <c r="J62" s="126">
        <f t="shared" si="254"/>
        <v>0</v>
      </c>
      <c r="K62" s="126">
        <f t="shared" si="254"/>
        <v>0.80140597539543057</v>
      </c>
      <c r="L62" s="126">
        <f t="shared" si="254"/>
        <v>0.33372365339578441</v>
      </c>
      <c r="M62" s="126">
        <f t="shared" si="254"/>
        <v>0</v>
      </c>
      <c r="N62" s="126">
        <f t="shared" si="254"/>
        <v>0</v>
      </c>
      <c r="O62" s="126">
        <f t="shared" si="254"/>
        <v>0</v>
      </c>
      <c r="P62" s="126">
        <f t="shared" si="254"/>
        <v>0.5</v>
      </c>
      <c r="Q62" s="126">
        <f t="shared" si="254"/>
        <v>0</v>
      </c>
      <c r="R62" s="126">
        <f t="shared" si="254"/>
        <v>0</v>
      </c>
      <c r="S62" s="126">
        <f t="shared" ref="S62" si="255">(S61-R61)/R61</f>
        <v>0</v>
      </c>
      <c r="T62" s="126">
        <f t="shared" ref="T62" si="256">(T61-S61)/T61</f>
        <v>0</v>
      </c>
      <c r="U62" s="126">
        <f t="shared" ref="U62" si="257">(U61-T61)/U61</f>
        <v>0</v>
      </c>
      <c r="V62" s="126">
        <f t="shared" ref="V62" si="258">(V61-U61)/V61</f>
        <v>0</v>
      </c>
      <c r="W62" s="126">
        <f t="shared" ref="W62" si="259">(W61-V61)/W61</f>
        <v>0</v>
      </c>
      <c r="X62" s="126">
        <f t="shared" ref="X62" si="260">(X61-W61)/X61</f>
        <v>0</v>
      </c>
      <c r="Y62" s="126">
        <f t="shared" ref="Y62" si="261">(Y61-X61)/Y61</f>
        <v>0</v>
      </c>
      <c r="Z62" s="126">
        <f t="shared" ref="Z62" si="262">(Z61-Y61)/Z61</f>
        <v>0</v>
      </c>
      <c r="AA62" s="10"/>
      <c r="AB62" s="10"/>
      <c r="AC62" s="129"/>
      <c r="AD62" s="129"/>
      <c r="AE62" s="129"/>
      <c r="AF62" s="129"/>
      <c r="AG62" s="129"/>
      <c r="AH62" s="129"/>
      <c r="AI62" s="129"/>
      <c r="AJ62" s="129"/>
      <c r="AK62" s="129"/>
      <c r="AL62" s="129"/>
      <c r="AM62" s="113"/>
      <c r="AN62" s="113"/>
      <c r="AO62" s="113"/>
    </row>
    <row r="63" spans="1:41" x14ac:dyDescent="0.15">
      <c r="B63" s="10" t="s">
        <v>232</v>
      </c>
      <c r="C63" s="121"/>
      <c r="D63" s="121"/>
      <c r="E63" s="121"/>
      <c r="F63" s="123"/>
      <c r="G63" s="121">
        <v>1.5</v>
      </c>
      <c r="H63" s="121">
        <v>2</v>
      </c>
      <c r="I63" s="121">
        <v>2.5</v>
      </c>
      <c r="J63" s="121">
        <v>3.5</v>
      </c>
      <c r="K63" s="121">
        <v>0.7</v>
      </c>
      <c r="L63" s="121">
        <v>0.8</v>
      </c>
      <c r="M63" s="121">
        <v>2.9</v>
      </c>
      <c r="N63" s="121">
        <v>4.5999999999999996</v>
      </c>
      <c r="O63" s="121">
        <v>3.78</v>
      </c>
      <c r="P63" s="121">
        <v>2.52</v>
      </c>
      <c r="Q63" s="121">
        <v>3.23</v>
      </c>
      <c r="R63" s="121">
        <v>3.61</v>
      </c>
      <c r="S63" s="121">
        <v>4.25</v>
      </c>
      <c r="T63" s="121">
        <v>4.25</v>
      </c>
      <c r="U63" s="121">
        <v>4.1500000000000004</v>
      </c>
      <c r="V63" s="123">
        <v>5.08</v>
      </c>
      <c r="W63" s="123">
        <v>11</v>
      </c>
      <c r="X63" s="123">
        <v>11</v>
      </c>
      <c r="Y63" s="123">
        <v>4</v>
      </c>
      <c r="Z63" s="123">
        <f>3.2+2.9</f>
        <v>6.1</v>
      </c>
      <c r="AA63" s="101">
        <f t="shared" si="33"/>
        <v>7.6626804688745276E-2</v>
      </c>
      <c r="AB63" s="21">
        <v>0.02</v>
      </c>
      <c r="AC63" s="129">
        <f t="shared" si="1"/>
        <v>6.2219999999999995</v>
      </c>
      <c r="AD63" s="129">
        <f t="shared" ref="AD63" si="263">AC63*(1+$AB63)</f>
        <v>6.3464399999999994</v>
      </c>
      <c r="AE63" s="129">
        <f t="shared" ref="AE63" si="264">AD63*(1+$AB63)</f>
        <v>6.4733687999999994</v>
      </c>
      <c r="AF63" s="129">
        <f t="shared" ref="AF63" si="265">AE63*(1+$AB63)</f>
        <v>6.6028361759999994</v>
      </c>
      <c r="AG63" s="129">
        <f t="shared" ref="AG63" si="266">AF63*(1+$AB63)</f>
        <v>6.7348928995199993</v>
      </c>
      <c r="AH63" s="129">
        <f t="shared" ref="AH63" si="267">AG63*(1+$AB63)</f>
        <v>6.8695907575103989</v>
      </c>
      <c r="AI63" s="129">
        <f t="shared" ref="AI63" si="268">AH63*(1+$AB63)</f>
        <v>7.0069825726606068</v>
      </c>
      <c r="AJ63" s="129">
        <f t="shared" ref="AJ63" si="269">AI63*(1+$AB63)</f>
        <v>7.1471222241138186</v>
      </c>
      <c r="AK63" s="129">
        <f t="shared" ref="AK63" si="270">AJ63*(1+$AB63)</f>
        <v>7.290064668596095</v>
      </c>
      <c r="AL63" s="129">
        <f t="shared" ref="AL63" si="271">AK63*(1+$AB63)</f>
        <v>7.435865961968017</v>
      </c>
      <c r="AM63" s="114">
        <f t="shared" si="3"/>
        <v>5.6753763587384043E-2</v>
      </c>
      <c r="AN63" s="21">
        <f t="shared" si="21"/>
        <v>0.01</v>
      </c>
      <c r="AO63" s="122" t="e">
        <f t="shared" si="32"/>
        <v>#DIV/0!</v>
      </c>
    </row>
    <row r="64" spans="1:41" x14ac:dyDescent="0.15">
      <c r="B64" s="10"/>
      <c r="C64" s="121"/>
      <c r="D64" s="121"/>
      <c r="E64" s="121"/>
      <c r="F64" s="126"/>
      <c r="G64" s="126" t="e">
        <f t="shared" ref="G64:H64" si="272">(G63-E63)/E63</f>
        <v>#DIV/0!</v>
      </c>
      <c r="H64" s="126" t="e">
        <f t="shared" si="272"/>
        <v>#DIV/0!</v>
      </c>
      <c r="I64" s="126">
        <f t="shared" ref="I64:W64" si="273">(I63-H63)/H63</f>
        <v>0.25</v>
      </c>
      <c r="J64" s="126">
        <f t="shared" si="273"/>
        <v>0.4</v>
      </c>
      <c r="K64" s="126">
        <f t="shared" si="273"/>
        <v>-0.79999999999999993</v>
      </c>
      <c r="L64" s="126">
        <f t="shared" si="273"/>
        <v>0.14285714285714299</v>
      </c>
      <c r="M64" s="126">
        <f t="shared" si="273"/>
        <v>2.6249999999999996</v>
      </c>
      <c r="N64" s="126">
        <f t="shared" si="273"/>
        <v>0.58620689655172409</v>
      </c>
      <c r="O64" s="126">
        <f t="shared" si="273"/>
        <v>-0.17826086956521736</v>
      </c>
      <c r="P64" s="126">
        <f t="shared" si="273"/>
        <v>-0.33333333333333331</v>
      </c>
      <c r="Q64" s="126">
        <f t="shared" si="273"/>
        <v>0.28174603174603174</v>
      </c>
      <c r="R64" s="126">
        <f t="shared" ref="R64" si="274">(R63-Q63)/Q63</f>
        <v>0.11764705882352938</v>
      </c>
      <c r="S64" s="126">
        <f t="shared" ref="S64" si="275">(S63-R63)/S63</f>
        <v>0.15058823529411769</v>
      </c>
      <c r="T64" s="126">
        <f t="shared" ref="T64" si="276">(T63-S63)/T63</f>
        <v>0</v>
      </c>
      <c r="U64" s="126">
        <f t="shared" ref="U64" si="277">(U63-T63)/U63</f>
        <v>-2.4096385542168586E-2</v>
      </c>
      <c r="V64" s="126">
        <f t="shared" ref="V64" si="278">(V63-U63)/V63</f>
        <v>0.18307086614173224</v>
      </c>
      <c r="W64" s="126">
        <f t="shared" ref="W64" si="279">(W63-V63)/W63</f>
        <v>0.53818181818181821</v>
      </c>
      <c r="X64" s="126">
        <f t="shared" ref="X64" si="280">(X63-W63)/X63</f>
        <v>0</v>
      </c>
      <c r="Y64" s="126">
        <f t="shared" ref="Y64" si="281">(Y63-X63)/Y63</f>
        <v>-1.75</v>
      </c>
      <c r="Z64" s="126">
        <f t="shared" ref="Z64" si="282">(Z63-X63)/X63</f>
        <v>-0.44545454545454549</v>
      </c>
      <c r="AA64" s="10"/>
      <c r="AB64" s="10"/>
      <c r="AC64" s="129"/>
      <c r="AD64" s="129"/>
      <c r="AE64" s="129"/>
      <c r="AF64" s="129"/>
      <c r="AG64" s="129"/>
      <c r="AH64" s="129"/>
      <c r="AI64" s="129"/>
      <c r="AJ64" s="129"/>
      <c r="AK64" s="129"/>
      <c r="AL64" s="129"/>
      <c r="AM64" s="115"/>
      <c r="AN64" s="113"/>
      <c r="AO64" s="122"/>
    </row>
    <row r="65" spans="2:41" x14ac:dyDescent="0.15">
      <c r="B65" s="10" t="s">
        <v>368</v>
      </c>
      <c r="C65" s="10"/>
      <c r="D65" s="10"/>
      <c r="E65" s="108"/>
      <c r="F65" s="123"/>
      <c r="G65" s="123">
        <v>0</v>
      </c>
      <c r="H65" s="123">
        <v>0</v>
      </c>
      <c r="I65" s="123">
        <v>0</v>
      </c>
      <c r="J65" s="123">
        <v>0</v>
      </c>
      <c r="K65" s="123" t="s">
        <v>511</v>
      </c>
      <c r="L65" s="123">
        <v>0</v>
      </c>
      <c r="M65" s="123">
        <v>0</v>
      </c>
      <c r="N65" s="123">
        <v>0</v>
      </c>
      <c r="O65" s="123">
        <v>0</v>
      </c>
      <c r="P65" s="123" t="s">
        <v>510</v>
      </c>
      <c r="Q65" s="121">
        <v>0</v>
      </c>
      <c r="R65" s="123">
        <v>0</v>
      </c>
      <c r="S65" s="123">
        <v>0</v>
      </c>
      <c r="T65" s="123">
        <v>0</v>
      </c>
      <c r="U65" s="123">
        <v>0</v>
      </c>
      <c r="V65" s="123">
        <v>0</v>
      </c>
      <c r="W65" s="123">
        <v>0</v>
      </c>
      <c r="X65" s="123">
        <v>0</v>
      </c>
      <c r="Y65" s="123">
        <v>0</v>
      </c>
      <c r="Z65" s="123">
        <v>0</v>
      </c>
      <c r="AA65" s="101" t="e">
        <f t="shared" si="33"/>
        <v>#DIV/0!</v>
      </c>
      <c r="AB65" s="109"/>
      <c r="AC65" s="129"/>
      <c r="AD65" s="129"/>
      <c r="AE65" s="129"/>
      <c r="AF65" s="129"/>
      <c r="AG65" s="129"/>
      <c r="AH65" s="129"/>
      <c r="AI65" s="129"/>
      <c r="AJ65" s="129"/>
      <c r="AK65" s="129"/>
      <c r="AL65" s="129"/>
      <c r="AM65" s="115"/>
      <c r="AN65" s="113"/>
      <c r="AO65" s="122"/>
    </row>
    <row r="66" spans="2:41" x14ac:dyDescent="0.15">
      <c r="B66" s="10" t="s">
        <v>366</v>
      </c>
      <c r="C66" s="10"/>
      <c r="D66" s="10"/>
      <c r="E66" s="108"/>
      <c r="F66" s="123"/>
      <c r="G66" s="123">
        <v>0</v>
      </c>
      <c r="H66" s="123">
        <v>0</v>
      </c>
      <c r="I66" s="123">
        <v>0</v>
      </c>
      <c r="J66" s="123">
        <v>0</v>
      </c>
      <c r="K66" s="123">
        <v>0</v>
      </c>
      <c r="L66" s="123" t="s">
        <v>512</v>
      </c>
      <c r="M66" s="123">
        <v>0</v>
      </c>
      <c r="N66" s="123">
        <v>0</v>
      </c>
      <c r="O66" s="123">
        <v>0</v>
      </c>
      <c r="P66" s="123">
        <v>0</v>
      </c>
      <c r="Q66" s="123">
        <v>0</v>
      </c>
      <c r="R66" s="123">
        <v>0</v>
      </c>
      <c r="S66" s="123">
        <v>0</v>
      </c>
      <c r="T66" s="123">
        <v>0</v>
      </c>
      <c r="U66" s="123">
        <v>0</v>
      </c>
      <c r="V66" s="123">
        <v>0</v>
      </c>
      <c r="W66" s="123">
        <v>0</v>
      </c>
      <c r="X66" s="123">
        <v>0</v>
      </c>
      <c r="Y66" s="123">
        <v>0</v>
      </c>
      <c r="Z66" s="123">
        <v>0</v>
      </c>
      <c r="AA66" s="101" t="e">
        <f t="shared" si="33"/>
        <v>#DIV/0!</v>
      </c>
      <c r="AB66" s="109"/>
      <c r="AC66" s="129"/>
      <c r="AD66" s="129"/>
      <c r="AE66" s="129"/>
      <c r="AF66" s="129"/>
      <c r="AG66" s="129"/>
      <c r="AH66" s="129"/>
      <c r="AI66" s="129"/>
      <c r="AJ66" s="129"/>
      <c r="AK66" s="129"/>
      <c r="AL66" s="129"/>
      <c r="AM66" s="115"/>
      <c r="AN66" s="113"/>
      <c r="AO66" s="122"/>
    </row>
    <row r="67" spans="2:41" x14ac:dyDescent="0.15">
      <c r="B67" s="10" t="s">
        <v>367</v>
      </c>
      <c r="C67" s="10"/>
      <c r="D67" s="10"/>
      <c r="E67" s="108"/>
      <c r="F67" s="123"/>
      <c r="G67" s="123">
        <v>0</v>
      </c>
      <c r="H67" s="123">
        <v>0</v>
      </c>
      <c r="I67" s="123">
        <v>0</v>
      </c>
      <c r="J67" s="123">
        <v>0</v>
      </c>
      <c r="K67" s="123">
        <v>0</v>
      </c>
      <c r="L67" s="123">
        <v>0</v>
      </c>
      <c r="M67" s="123">
        <v>0</v>
      </c>
      <c r="N67" s="123">
        <v>0</v>
      </c>
      <c r="O67" s="123">
        <v>0</v>
      </c>
      <c r="P67" s="123">
        <v>0</v>
      </c>
      <c r="Q67" s="123">
        <v>0</v>
      </c>
      <c r="R67" s="123">
        <v>0</v>
      </c>
      <c r="S67" s="123">
        <v>0</v>
      </c>
      <c r="T67" s="123">
        <v>0</v>
      </c>
      <c r="U67" s="123">
        <v>0</v>
      </c>
      <c r="V67" s="123">
        <v>0</v>
      </c>
      <c r="W67" s="123">
        <v>0</v>
      </c>
      <c r="X67" s="123">
        <v>0</v>
      </c>
      <c r="Y67" s="123">
        <v>0</v>
      </c>
      <c r="Z67" s="123">
        <v>0</v>
      </c>
      <c r="AA67" s="101" t="e">
        <f t="shared" si="33"/>
        <v>#DIV/0!</v>
      </c>
      <c r="AB67" s="109"/>
      <c r="AC67" s="129"/>
      <c r="AD67" s="129"/>
      <c r="AE67" s="129"/>
      <c r="AF67" s="129"/>
      <c r="AG67" s="129"/>
      <c r="AH67" s="129"/>
      <c r="AI67" s="129"/>
      <c r="AJ67" s="129"/>
      <c r="AK67" s="129"/>
      <c r="AL67" s="129"/>
      <c r="AM67" s="115"/>
      <c r="AN67" s="113"/>
      <c r="AO67" s="122"/>
    </row>
    <row r="68" spans="2:41" x14ac:dyDescent="0.15">
      <c r="B68" s="10"/>
      <c r="C68" s="10"/>
      <c r="D68" s="10"/>
      <c r="E68" s="108"/>
      <c r="F68" s="108"/>
      <c r="G68" s="108"/>
      <c r="H68" s="108"/>
      <c r="I68" s="108"/>
      <c r="J68" s="108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29"/>
      <c r="AD68" s="129"/>
      <c r="AE68" s="129"/>
      <c r="AF68" s="129"/>
      <c r="AG68" s="129"/>
      <c r="AH68" s="129"/>
      <c r="AI68" s="129"/>
      <c r="AJ68" s="129"/>
      <c r="AK68" s="129"/>
      <c r="AL68" s="129"/>
      <c r="AM68" s="115"/>
      <c r="AN68" s="113"/>
      <c r="AO68" s="122"/>
    </row>
    <row r="69" spans="2:41" x14ac:dyDescent="0.15">
      <c r="B69" s="93" t="s">
        <v>200</v>
      </c>
      <c r="C69" s="10"/>
      <c r="D69" s="10"/>
      <c r="E69" s="108"/>
      <c r="F69" s="108"/>
      <c r="G69" s="108"/>
      <c r="H69" s="108"/>
      <c r="I69" s="108"/>
      <c r="J69" s="108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29"/>
      <c r="AD69" s="129"/>
      <c r="AE69" s="129"/>
      <c r="AF69" s="129"/>
      <c r="AG69" s="129"/>
      <c r="AH69" s="129"/>
      <c r="AI69" s="129"/>
      <c r="AJ69" s="129"/>
      <c r="AK69" s="129"/>
      <c r="AL69" s="129"/>
      <c r="AM69" s="115"/>
      <c r="AN69" s="113"/>
      <c r="AO69" s="122"/>
    </row>
    <row r="70" spans="2:41" x14ac:dyDescent="0.15">
      <c r="B70" s="10" t="s">
        <v>252</v>
      </c>
      <c r="C70" s="110"/>
      <c r="D70" s="110"/>
      <c r="E70" s="110"/>
      <c r="F70" s="110"/>
      <c r="G70" s="110">
        <f t="shared" ref="G70" si="283">G25/G61</f>
        <v>159.2920353982301</v>
      </c>
      <c r="H70" s="110">
        <f t="shared" ref="H70:I70" si="284">H25/H61</f>
        <v>217.6991150442478</v>
      </c>
      <c r="I70" s="110">
        <f t="shared" si="284"/>
        <v>355.75221238938059</v>
      </c>
      <c r="J70" s="110">
        <f t="shared" ref="J70:Q70" si="285">J25/J61</f>
        <v>548.67256637168146</v>
      </c>
      <c r="K70" s="110">
        <f t="shared" si="285"/>
        <v>204.21792618629172</v>
      </c>
      <c r="L70" s="110">
        <f t="shared" si="285"/>
        <v>151.40515222482438</v>
      </c>
      <c r="M70" s="110">
        <f t="shared" si="285"/>
        <v>178.33723653395785</v>
      </c>
      <c r="N70" s="110">
        <f t="shared" si="285"/>
        <v>210.07025761124123</v>
      </c>
      <c r="O70" s="110">
        <f t="shared" si="285"/>
        <v>276.69789227166279</v>
      </c>
      <c r="P70" s="110">
        <f t="shared" si="285"/>
        <v>177.40046838407497</v>
      </c>
      <c r="Q70" s="110">
        <f t="shared" si="285"/>
        <v>205.32786885245903</v>
      </c>
      <c r="R70" s="110">
        <f t="shared" ref="R70:V70" si="286">R25/R61</f>
        <v>251.40515222482438</v>
      </c>
      <c r="S70" s="110">
        <f t="shared" si="286"/>
        <v>283.31381733021078</v>
      </c>
      <c r="T70" s="110">
        <f t="shared" si="286"/>
        <v>324.18032786885249</v>
      </c>
      <c r="U70" s="110">
        <f t="shared" si="286"/>
        <v>360.24590163934431</v>
      </c>
      <c r="V70" s="110">
        <f t="shared" si="286"/>
        <v>397.71662763466048</v>
      </c>
      <c r="W70" s="110">
        <f t="shared" ref="W70" si="287">W25/W61</f>
        <v>400.40983606557381</v>
      </c>
      <c r="X70" s="110">
        <f t="shared" ref="X70:Z70" si="288">X25/X61</f>
        <v>418.61826697892275</v>
      </c>
      <c r="Y70" s="110">
        <f t="shared" ref="Y70" si="289">Y25/Y61</f>
        <v>509.19203747072606</v>
      </c>
      <c r="Z70" s="110">
        <f t="shared" si="288"/>
        <v>608.19672131147547</v>
      </c>
      <c r="AA70" s="101">
        <f t="shared" ref="AA70:AA133" si="290">((Z70/G70)^(1/($K$2-$K$1) ))-1</f>
        <v>7.3059206211793404E-2</v>
      </c>
      <c r="AB70" s="109"/>
      <c r="AC70" s="132">
        <f t="shared" ref="AC70:AL70" si="291">AC25/AC61</f>
        <v>655.89842494374818</v>
      </c>
      <c r="AD70" s="132">
        <f t="shared" si="291"/>
        <v>707.34143866482646</v>
      </c>
      <c r="AE70" s="132">
        <f t="shared" si="291"/>
        <v>762.81919856010711</v>
      </c>
      <c r="AF70" s="132">
        <f t="shared" si="291"/>
        <v>822.6481553099195</v>
      </c>
      <c r="AG70" s="132">
        <f t="shared" si="291"/>
        <v>887.16957925579561</v>
      </c>
      <c r="AH70" s="132">
        <f t="shared" si="291"/>
        <v>956.75150704056387</v>
      </c>
      <c r="AI70" s="132">
        <f t="shared" si="291"/>
        <v>1031.7908409260983</v>
      </c>
      <c r="AJ70" s="132">
        <f t="shared" si="291"/>
        <v>1112.7156127634394</v>
      </c>
      <c r="AK70" s="132">
        <f t="shared" si="291"/>
        <v>1199.9874255291995</v>
      </c>
      <c r="AL70" s="132">
        <f t="shared" si="291"/>
        <v>1294.1040863550193</v>
      </c>
      <c r="AM70" s="114">
        <f t="shared" ref="AM70" si="292">((AL70/J70)^(1/($AL$3-$K$1) ))-1</f>
        <v>3.0030786775945506E-2</v>
      </c>
      <c r="AN70" s="21">
        <f t="shared" si="21"/>
        <v>0.01</v>
      </c>
      <c r="AO70" s="122" t="e">
        <f t="shared" si="32"/>
        <v>#DIV/0!</v>
      </c>
    </row>
    <row r="71" spans="2:41" x14ac:dyDescent="0.15">
      <c r="B71" s="10" t="s">
        <v>253</v>
      </c>
      <c r="C71" s="110"/>
      <c r="D71" s="110"/>
      <c r="E71" s="110"/>
      <c r="F71" s="110"/>
      <c r="G71" s="110">
        <f t="shared" ref="G71" si="293">G27/G61</f>
        <v>138.05309734513276</v>
      </c>
      <c r="H71" s="110">
        <f t="shared" ref="H71:I71" si="294">H27/H61</f>
        <v>194.69026548672568</v>
      </c>
      <c r="I71" s="110">
        <f t="shared" si="294"/>
        <v>307.96460176991155</v>
      </c>
      <c r="J71" s="110">
        <f t="shared" ref="J71:Q71" si="295">J27/J61</f>
        <v>466.37168141592923</v>
      </c>
      <c r="K71" s="110">
        <f t="shared" si="295"/>
        <v>171.70474516695955</v>
      </c>
      <c r="L71" s="110">
        <f t="shared" si="295"/>
        <v>130.4449648711944</v>
      </c>
      <c r="M71" s="110">
        <f t="shared" si="295"/>
        <v>142.38875878220142</v>
      </c>
      <c r="N71" s="110">
        <f t="shared" si="295"/>
        <v>179.15690866510539</v>
      </c>
      <c r="O71" s="110">
        <f t="shared" si="295"/>
        <v>233.72365339578457</v>
      </c>
      <c r="P71" s="110">
        <f t="shared" si="295"/>
        <v>148.7704918032787</v>
      </c>
      <c r="Q71" s="110">
        <f t="shared" si="295"/>
        <v>170.08196721311478</v>
      </c>
      <c r="R71" s="110">
        <f t="shared" ref="R71:V71" si="296">R27/R61</f>
        <v>207.84543325526934</v>
      </c>
      <c r="S71" s="110">
        <f t="shared" si="296"/>
        <v>232.43559718969559</v>
      </c>
      <c r="T71" s="110">
        <f t="shared" si="296"/>
        <v>271.54566744730681</v>
      </c>
      <c r="U71" s="110">
        <f t="shared" si="296"/>
        <v>304.62529274004686</v>
      </c>
      <c r="V71" s="110">
        <f t="shared" si="296"/>
        <v>341.80327868852464</v>
      </c>
      <c r="W71" s="110">
        <f t="shared" ref="W71" si="297">W27/W61</f>
        <v>336.12412177985954</v>
      </c>
      <c r="X71" s="110">
        <f t="shared" ref="X71:Z71" si="298">X27/X61</f>
        <v>353.22014051522251</v>
      </c>
      <c r="Y71" s="110">
        <f t="shared" ref="Y71" si="299">Y27/Y61</f>
        <v>468.09133489461362</v>
      </c>
      <c r="Z71" s="110">
        <f t="shared" si="298"/>
        <v>537.17798594847784</v>
      </c>
      <c r="AA71" s="101">
        <f t="shared" si="290"/>
        <v>7.4128954690364512E-2</v>
      </c>
      <c r="AB71" s="109"/>
      <c r="AC71" s="132">
        <f t="shared" ref="AC71:AL71" si="300">AC27/AC61</f>
        <v>579.30959268953495</v>
      </c>
      <c r="AD71" s="132">
        <f t="shared" si="300"/>
        <v>624.7456391749887</v>
      </c>
      <c r="AE71" s="132">
        <f t="shared" si="300"/>
        <v>673.74529714949767</v>
      </c>
      <c r="AF71" s="132">
        <f t="shared" si="300"/>
        <v>726.58806555337992</v>
      </c>
      <c r="AG71" s="132">
        <f t="shared" si="300"/>
        <v>783.57536481246859</v>
      </c>
      <c r="AH71" s="132">
        <f t="shared" si="300"/>
        <v>845.03225617030921</v>
      </c>
      <c r="AI71" s="132">
        <f t="shared" si="300"/>
        <v>911.30929586994125</v>
      </c>
      <c r="AJ71" s="132">
        <f t="shared" si="300"/>
        <v>982.78453476170148</v>
      </c>
      <c r="AK71" s="132">
        <f t="shared" si="300"/>
        <v>1059.8656747430116</v>
      </c>
      <c r="AL71" s="132">
        <f t="shared" si="300"/>
        <v>1142.9923943306987</v>
      </c>
      <c r="AM71" s="114">
        <f t="shared" ref="AM71" si="301">((AL71/J71)^(1/($AL$3-$K$1) ))-1</f>
        <v>3.1393815794634738E-2</v>
      </c>
      <c r="AN71" s="21">
        <f t="shared" si="21"/>
        <v>0.01</v>
      </c>
      <c r="AO71" s="122" t="e">
        <f t="shared" si="32"/>
        <v>#DIV/0!</v>
      </c>
    </row>
    <row r="72" spans="2:41" x14ac:dyDescent="0.15">
      <c r="B72" s="10" t="s">
        <v>369</v>
      </c>
      <c r="C72" s="110"/>
      <c r="D72" s="110"/>
      <c r="E72" s="110"/>
      <c r="F72" s="110"/>
      <c r="G72" s="110">
        <f t="shared" ref="G72" si="302">G55-G59</f>
        <v>0</v>
      </c>
      <c r="H72" s="110">
        <f t="shared" ref="H72:I72" si="303">H55-H59</f>
        <v>3</v>
      </c>
      <c r="I72" s="110">
        <f t="shared" si="303"/>
        <v>13</v>
      </c>
      <c r="J72" s="110">
        <f>J55-J59</f>
        <v>25</v>
      </c>
      <c r="K72" s="110">
        <f t="shared" ref="K72:Q72" si="304">K55-K59</f>
        <v>52</v>
      </c>
      <c r="L72" s="110">
        <f t="shared" si="304"/>
        <v>43</v>
      </c>
      <c r="M72" s="110">
        <f t="shared" si="304"/>
        <v>88</v>
      </c>
      <c r="N72" s="110">
        <f t="shared" si="304"/>
        <v>72</v>
      </c>
      <c r="O72" s="110">
        <f t="shared" si="304"/>
        <v>103</v>
      </c>
      <c r="P72" s="110">
        <f t="shared" si="304"/>
        <v>135</v>
      </c>
      <c r="Q72" s="110">
        <f t="shared" si="304"/>
        <v>169</v>
      </c>
      <c r="R72" s="110">
        <f t="shared" ref="R72:V72" si="305">R55-R59</f>
        <v>200</v>
      </c>
      <c r="S72" s="110">
        <f t="shared" si="305"/>
        <v>233</v>
      </c>
      <c r="T72" s="110">
        <f t="shared" si="305"/>
        <v>224</v>
      </c>
      <c r="U72" s="110">
        <f t="shared" si="305"/>
        <v>244</v>
      </c>
      <c r="V72" s="110">
        <f t="shared" si="305"/>
        <v>247</v>
      </c>
      <c r="W72" s="110">
        <f t="shared" ref="W72" si="306">W55-W59</f>
        <v>180</v>
      </c>
      <c r="X72" s="110">
        <f t="shared" ref="X72:Z72" si="307">X55-X59</f>
        <v>226</v>
      </c>
      <c r="Y72" s="110">
        <f t="shared" ref="Y72" si="308">Y55-Y59</f>
        <v>180</v>
      </c>
      <c r="Z72" s="110">
        <f t="shared" si="307"/>
        <v>253</v>
      </c>
      <c r="AA72" s="101" t="e">
        <f t="shared" si="290"/>
        <v>#DIV/0!</v>
      </c>
      <c r="AB72" s="109"/>
      <c r="AC72" s="110">
        <f t="shared" ref="AC72:AL72" si="309">AC55-AC59</f>
        <v>278.29999999999995</v>
      </c>
      <c r="AD72" s="110">
        <f t="shared" si="309"/>
        <v>306.13</v>
      </c>
      <c r="AE72" s="110">
        <f t="shared" si="309"/>
        <v>336.74300000000017</v>
      </c>
      <c r="AF72" s="110">
        <f t="shared" si="309"/>
        <v>370.41730000000018</v>
      </c>
      <c r="AG72" s="110">
        <f t="shared" si="309"/>
        <v>407.45903000000021</v>
      </c>
      <c r="AH72" s="110">
        <f t="shared" si="309"/>
        <v>448.20493300000021</v>
      </c>
      <c r="AI72" s="110">
        <f t="shared" si="309"/>
        <v>493.02542630000016</v>
      </c>
      <c r="AJ72" s="110">
        <f t="shared" si="309"/>
        <v>542.32796893000022</v>
      </c>
      <c r="AK72" s="110">
        <f t="shared" si="309"/>
        <v>596.56076582300034</v>
      </c>
      <c r="AL72" s="110">
        <f t="shared" si="309"/>
        <v>656.21684240530044</v>
      </c>
      <c r="AM72" s="114">
        <f t="shared" ref="AM72" si="310">((AL72/J72)^(1/($AL$3-$K$1) ))-1</f>
        <v>0.11926967334104699</v>
      </c>
      <c r="AN72" s="21">
        <f t="shared" si="21"/>
        <v>0.01</v>
      </c>
      <c r="AO72" s="122" t="e">
        <f t="shared" si="32"/>
        <v>#DIV/0!</v>
      </c>
    </row>
    <row r="73" spans="2:41" x14ac:dyDescent="0.15">
      <c r="B73" s="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01" t="e">
        <f t="shared" si="290"/>
        <v>#DIV/0!</v>
      </c>
      <c r="AB73" s="10"/>
      <c r="AC73" s="132"/>
      <c r="AD73" s="132"/>
      <c r="AE73" s="132"/>
      <c r="AF73" s="132"/>
      <c r="AG73" s="132"/>
      <c r="AH73" s="132"/>
      <c r="AI73" s="132"/>
      <c r="AJ73" s="132"/>
      <c r="AK73" s="132"/>
      <c r="AL73" s="132"/>
      <c r="AM73" s="102"/>
      <c r="AN73" s="113"/>
      <c r="AO73" s="122"/>
    </row>
    <row r="74" spans="2:41" x14ac:dyDescent="0.15">
      <c r="B74" s="10" t="s">
        <v>401</v>
      </c>
      <c r="C74" s="110"/>
      <c r="D74" s="110"/>
      <c r="E74" s="110"/>
      <c r="F74" s="15"/>
      <c r="G74" s="15">
        <f t="shared" ref="G74" si="311">G53/G61</f>
        <v>19.469026548672566</v>
      </c>
      <c r="H74" s="15">
        <f t="shared" ref="H74:I74" si="312">H53/H61</f>
        <v>21.238938053097346</v>
      </c>
      <c r="I74" s="15">
        <f t="shared" si="312"/>
        <v>46.902654867256643</v>
      </c>
      <c r="J74" s="15">
        <f t="shared" ref="J74:Q74" si="313">J53/J61</f>
        <v>82.300884955752224</v>
      </c>
      <c r="K74" s="15">
        <f t="shared" si="313"/>
        <v>31.985940246045693</v>
      </c>
      <c r="L74" s="15">
        <f t="shared" si="313"/>
        <v>24.355971896955506</v>
      </c>
      <c r="M74" s="15">
        <f t="shared" si="313"/>
        <v>34.30913348946136</v>
      </c>
      <c r="N74" s="15">
        <f t="shared" si="313"/>
        <v>30.210772833723656</v>
      </c>
      <c r="O74" s="15">
        <f t="shared" si="313"/>
        <v>41.686182669789233</v>
      </c>
      <c r="P74" s="15">
        <f t="shared" si="313"/>
        <v>26.463700234192039</v>
      </c>
      <c r="Q74" s="15">
        <f t="shared" si="313"/>
        <v>32.786885245901644</v>
      </c>
      <c r="R74" s="15">
        <f t="shared" ref="R74:V74" si="314">R53/R61</f>
        <v>41.510538641686189</v>
      </c>
      <c r="S74" s="15">
        <f t="shared" si="314"/>
        <v>47.833723653395786</v>
      </c>
      <c r="T74" s="15">
        <f t="shared" si="314"/>
        <v>49.707259953161596</v>
      </c>
      <c r="U74" s="15">
        <f t="shared" si="314"/>
        <v>51.697892271662766</v>
      </c>
      <c r="V74" s="15">
        <f t="shared" si="314"/>
        <v>55.913348946135834</v>
      </c>
      <c r="W74" s="15">
        <f t="shared" ref="W74" si="315">W53/W61</f>
        <v>64.344262295081975</v>
      </c>
      <c r="X74" s="15">
        <f t="shared" ref="X74:Z74" si="316">X53/X61</f>
        <v>65.398126463700237</v>
      </c>
      <c r="Y74" s="15">
        <f t="shared" ref="Y74" si="317">Y53/Y61</f>
        <v>59.894613583138181</v>
      </c>
      <c r="Z74" s="15">
        <f t="shared" si="316"/>
        <v>73.302107728337248</v>
      </c>
      <c r="AA74" s="101">
        <f t="shared" si="290"/>
        <v>7.2269125655856303E-2</v>
      </c>
      <c r="AB74" s="109"/>
      <c r="AC74" s="96">
        <f>AC53/AC61</f>
        <v>79.051292648206839</v>
      </c>
      <c r="AD74" s="96">
        <f t="shared" ref="AD74:AL74" si="318">AD53/AD61</f>
        <v>85.25139403237992</v>
      </c>
      <c r="AE74" s="96">
        <f t="shared" si="318"/>
        <v>91.937777878056792</v>
      </c>
      <c r="AF74" s="96">
        <f t="shared" si="318"/>
        <v>99.148583986139698</v>
      </c>
      <c r="AG74" s="96">
        <f t="shared" si="318"/>
        <v>106.92494351446439</v>
      </c>
      <c r="AH74" s="96">
        <f t="shared" si="318"/>
        <v>115.31121359403024</v>
      </c>
      <c r="AI74" s="96">
        <f t="shared" si="318"/>
        <v>124.35523034650319</v>
      </c>
      <c r="AJ74" s="96">
        <f t="shared" si="318"/>
        <v>134.10858174622894</v>
      </c>
      <c r="AK74" s="96">
        <f t="shared" si="318"/>
        <v>144.62690188318811</v>
      </c>
      <c r="AL74" s="96">
        <f t="shared" si="318"/>
        <v>155.97018830539895</v>
      </c>
      <c r="AM74" s="114">
        <f t="shared" ref="AM74:AM75" si="319">((AL74/J74)^(1/($AL$3-$K$1) ))-1</f>
        <v>2.2289011931236002E-2</v>
      </c>
      <c r="AN74" s="21">
        <f t="shared" si="21"/>
        <v>0.01</v>
      </c>
      <c r="AO74" s="122" t="e">
        <f t="shared" si="32"/>
        <v>#DIV/0!</v>
      </c>
    </row>
    <row r="75" spans="2:41" x14ac:dyDescent="0.15">
      <c r="B75" s="10" t="s">
        <v>402</v>
      </c>
      <c r="C75" s="110"/>
      <c r="D75" s="110"/>
      <c r="E75" s="110"/>
      <c r="F75" s="15"/>
      <c r="G75" s="15">
        <f t="shared" ref="G75" si="320">G55/G61</f>
        <v>0.88495575221238942</v>
      </c>
      <c r="H75" s="15">
        <f t="shared" ref="H75:I75" si="321">H55/H61</f>
        <v>10.619469026548673</v>
      </c>
      <c r="I75" s="15">
        <f t="shared" si="321"/>
        <v>32.743362831858413</v>
      </c>
      <c r="J75" s="15">
        <f t="shared" ref="J75:Q75" si="322">J55/J61</f>
        <v>63.716814159292042</v>
      </c>
      <c r="K75" s="15">
        <f t="shared" si="322"/>
        <v>25.659050966608081</v>
      </c>
      <c r="L75" s="15">
        <f t="shared" si="322"/>
        <v>14.519906323185014</v>
      </c>
      <c r="M75" s="15">
        <f t="shared" si="322"/>
        <v>29.859484777517569</v>
      </c>
      <c r="N75" s="15">
        <f t="shared" si="322"/>
        <v>25.761124121779861</v>
      </c>
      <c r="O75" s="15">
        <f t="shared" si="322"/>
        <v>37.236533957845438</v>
      </c>
      <c r="P75" s="15">
        <f t="shared" si="322"/>
        <v>24.707259953161596</v>
      </c>
      <c r="Q75" s="15">
        <f t="shared" si="322"/>
        <v>31.381733021077288</v>
      </c>
      <c r="R75" s="15">
        <f t="shared" ref="R75:V75" si="323">R55/R61</f>
        <v>35.714285714285715</v>
      </c>
      <c r="S75" s="15">
        <f t="shared" si="323"/>
        <v>42.271662763466047</v>
      </c>
      <c r="T75" s="15">
        <f t="shared" si="323"/>
        <v>41.100702576112418</v>
      </c>
      <c r="U75" s="15">
        <f t="shared" si="323"/>
        <v>41.861826697892276</v>
      </c>
      <c r="V75" s="15">
        <f t="shared" si="323"/>
        <v>42.740046838407501</v>
      </c>
      <c r="W75" s="15">
        <f t="shared" ref="W75" si="324">W55/W61</f>
        <v>49.238875878220142</v>
      </c>
      <c r="X75" s="15">
        <f t="shared" ref="X75:Z75" si="325">X55/X61</f>
        <v>51.112412177985952</v>
      </c>
      <c r="Y75" s="15">
        <f t="shared" ref="Y75" si="326">Y55/Y61</f>
        <v>40.515222482435604</v>
      </c>
      <c r="Z75" s="15">
        <f t="shared" si="325"/>
        <v>55.444964871194387</v>
      </c>
      <c r="AA75" s="101">
        <f t="shared" si="290"/>
        <v>0.24329967104848604</v>
      </c>
      <c r="AB75" s="109"/>
      <c r="AC75" s="96">
        <f>AC55/AC61</f>
        <v>59.79358956697434</v>
      </c>
      <c r="AD75" s="96">
        <f t="shared" ref="AD75:AL75" si="327">AD55/AD61</f>
        <v>64.483282866344879</v>
      </c>
      <c r="AE75" s="96">
        <f t="shared" si="327"/>
        <v>69.540795248019009</v>
      </c>
      <c r="AF75" s="96">
        <f t="shared" si="327"/>
        <v>74.994975267471489</v>
      </c>
      <c r="AG75" s="96">
        <f t="shared" si="327"/>
        <v>80.876934111979054</v>
      </c>
      <c r="AH75" s="96">
        <f t="shared" si="327"/>
        <v>87.220223061938199</v>
      </c>
      <c r="AI75" s="96">
        <f t="shared" si="327"/>
        <v>94.061024870717659</v>
      </c>
      <c r="AJ75" s="96">
        <f t="shared" si="327"/>
        <v>101.43836015469552</v>
      </c>
      <c r="AK75" s="96">
        <f t="shared" si="327"/>
        <v>109.39430997075009</v>
      </c>
      <c r="AL75" s="96">
        <f t="shared" si="327"/>
        <v>117.97425585080893</v>
      </c>
      <c r="AM75" s="114">
        <f t="shared" si="319"/>
        <v>2.1469215293818733E-2</v>
      </c>
      <c r="AN75" s="21">
        <f t="shared" si="21"/>
        <v>0.01</v>
      </c>
      <c r="AO75" s="122" t="e">
        <f t="shared" ref="AO75:AO138" si="328">(AL75*(1+AN75))/($O$1-AN75)</f>
        <v>#DIV/0!</v>
      </c>
    </row>
    <row r="76" spans="2:41" x14ac:dyDescent="0.15">
      <c r="B76" s="10" t="s">
        <v>214</v>
      </c>
      <c r="C76" s="15"/>
      <c r="D76" s="15"/>
      <c r="E76" s="15"/>
      <c r="F76" s="110"/>
      <c r="G76" s="110">
        <f t="shared" ref="G76" si="329">G59/G61</f>
        <v>0.88495575221238942</v>
      </c>
      <c r="H76" s="110">
        <f t="shared" ref="H76:I76" si="330">H59/H61</f>
        <v>7.9646017699115053</v>
      </c>
      <c r="I76" s="110">
        <f t="shared" si="330"/>
        <v>21.238938053097346</v>
      </c>
      <c r="J76" s="110">
        <f t="shared" ref="J76:Q76" si="331">J59/J61</f>
        <v>41.592920353982308</v>
      </c>
      <c r="K76" s="110">
        <f t="shared" si="331"/>
        <v>16.520210896309312</v>
      </c>
      <c r="L76" s="110">
        <f t="shared" si="331"/>
        <v>9.4847775175644031</v>
      </c>
      <c r="M76" s="110">
        <f t="shared" si="331"/>
        <v>19.555035128805624</v>
      </c>
      <c r="N76" s="110">
        <f t="shared" si="331"/>
        <v>17.330210772833727</v>
      </c>
      <c r="O76" s="110">
        <f t="shared" si="331"/>
        <v>25.175644028103047</v>
      </c>
      <c r="P76" s="110">
        <f t="shared" si="331"/>
        <v>16.803278688524593</v>
      </c>
      <c r="Q76" s="110">
        <f t="shared" si="331"/>
        <v>21.487119437939111</v>
      </c>
      <c r="R76" s="110">
        <f t="shared" ref="R76:V76" si="332">R59/R61</f>
        <v>24.004683840749419</v>
      </c>
      <c r="S76" s="110">
        <f t="shared" si="332"/>
        <v>28.629976580796257</v>
      </c>
      <c r="T76" s="110">
        <f t="shared" si="332"/>
        <v>27.985948477751759</v>
      </c>
      <c r="U76" s="110">
        <f t="shared" si="332"/>
        <v>27.576112412177988</v>
      </c>
      <c r="V76" s="110">
        <f t="shared" si="332"/>
        <v>28.278688524590166</v>
      </c>
      <c r="W76" s="110">
        <f t="shared" ref="W76" si="333">W59/W61</f>
        <v>38.700234192037477</v>
      </c>
      <c r="X76" s="110">
        <f t="shared" ref="X76:Z76" si="334">X59/X61</f>
        <v>37.880562060889936</v>
      </c>
      <c r="Y76" s="110">
        <f t="shared" ref="Y76" si="335">Y59/Y61</f>
        <v>29.976580796252929</v>
      </c>
      <c r="Z76" s="110">
        <f t="shared" si="334"/>
        <v>40.632318501170964</v>
      </c>
      <c r="AA76" s="101">
        <f t="shared" si="290"/>
        <v>0.22312559744358373</v>
      </c>
      <c r="AB76" s="109"/>
      <c r="AC76" s="132">
        <f t="shared" ref="AC76:AL76" si="336">AC59/AC61</f>
        <v>43.819167011066732</v>
      </c>
      <c r="AD76" s="132">
        <f t="shared" si="336"/>
        <v>47.255964423699417</v>
      </c>
      <c r="AE76" s="132">
        <f t="shared" si="336"/>
        <v>50.96231457457781</v>
      </c>
      <c r="AF76" s="132">
        <f t="shared" si="336"/>
        <v>54.959358854936859</v>
      </c>
      <c r="AG76" s="132">
        <f t="shared" si="336"/>
        <v>59.269896804343681</v>
      </c>
      <c r="AH76" s="132">
        <f t="shared" si="336"/>
        <v>63.918516161547103</v>
      </c>
      <c r="AI76" s="132">
        <f t="shared" si="336"/>
        <v>68.931733115393939</v>
      </c>
      <c r="AJ76" s="132">
        <f t="shared" si="336"/>
        <v>74.338143555816998</v>
      </c>
      <c r="AK76" s="132">
        <f t="shared" si="336"/>
        <v>80.168586187645786</v>
      </c>
      <c r="AL76" s="132">
        <f t="shared" si="336"/>
        <v>86.456318437657231</v>
      </c>
      <c r="AM76" s="114">
        <f t="shared" ref="AM76:AM90" si="337">((AL76/J76)^(1/($AL$3-$K$1) ))-1</f>
        <v>2.5552360921886397E-2</v>
      </c>
      <c r="AN76" s="21">
        <f t="shared" si="21"/>
        <v>0.01</v>
      </c>
      <c r="AO76" s="122" t="e">
        <f t="shared" si="328"/>
        <v>#DIV/0!</v>
      </c>
    </row>
    <row r="77" spans="2:41" x14ac:dyDescent="0.15">
      <c r="B77" s="10" t="s">
        <v>330</v>
      </c>
      <c r="C77" s="110"/>
      <c r="D77" s="110"/>
      <c r="E77" s="110"/>
      <c r="F77" s="110"/>
      <c r="G77" s="110">
        <f t="shared" ref="G77" si="338">G20/G61</f>
        <v>5.3097345132743365</v>
      </c>
      <c r="H77" s="110">
        <f t="shared" ref="H77:I77" si="339">H20/H61</f>
        <v>6.1946902654867264</v>
      </c>
      <c r="I77" s="110">
        <f t="shared" si="339"/>
        <v>23.008849557522126</v>
      </c>
      <c r="J77" s="110">
        <f>J20/J61</f>
        <v>-33.628318584070797</v>
      </c>
      <c r="K77" s="110">
        <f t="shared" ref="K77:Q77" si="340">K20/K61</f>
        <v>-5.2724077328646741</v>
      </c>
      <c r="L77" s="110">
        <f t="shared" si="340"/>
        <v>26.112412177985952</v>
      </c>
      <c r="M77" s="110">
        <f t="shared" si="340"/>
        <v>25.058548009367684</v>
      </c>
      <c r="N77" s="110">
        <f t="shared" si="340"/>
        <v>9.9531615925058556</v>
      </c>
      <c r="O77" s="110">
        <f t="shared" si="340"/>
        <v>34.660421545667454</v>
      </c>
      <c r="P77" s="110">
        <f t="shared" si="340"/>
        <v>19.613583138173304</v>
      </c>
      <c r="Q77" s="110">
        <f t="shared" si="340"/>
        <v>16.334894613583138</v>
      </c>
      <c r="R77" s="110">
        <f t="shared" ref="R77:V77" si="341">R20/R61</f>
        <v>22.716627634660423</v>
      </c>
      <c r="S77" s="110">
        <f t="shared" si="341"/>
        <v>32.435597189695557</v>
      </c>
      <c r="T77" s="110">
        <f t="shared" si="341"/>
        <v>32.318501170960189</v>
      </c>
      <c r="U77" s="110">
        <f t="shared" si="341"/>
        <v>18.852459016393446</v>
      </c>
      <c r="V77" s="110">
        <f t="shared" si="341"/>
        <v>31.674473067915695</v>
      </c>
      <c r="W77" s="110">
        <f t="shared" ref="W77" si="342">W20/W61</f>
        <v>68.911007025761137</v>
      </c>
      <c r="X77" s="110">
        <f t="shared" ref="X77:Z77" si="343">X20/X61</f>
        <v>46.955503512880568</v>
      </c>
      <c r="Y77" s="110">
        <f t="shared" ref="Y77" si="344">Y20/Y61</f>
        <v>37.060889929742395</v>
      </c>
      <c r="Z77" s="110">
        <f t="shared" si="343"/>
        <v>0</v>
      </c>
      <c r="AA77" s="101">
        <f t="shared" si="290"/>
        <v>-1</v>
      </c>
      <c r="AB77" s="109"/>
      <c r="AC77" s="110">
        <f t="shared" ref="AC77:AL77" si="345">AC20/AC61</f>
        <v>0</v>
      </c>
      <c r="AD77" s="110">
        <f t="shared" si="345"/>
        <v>0</v>
      </c>
      <c r="AE77" s="110">
        <f t="shared" si="345"/>
        <v>0</v>
      </c>
      <c r="AF77" s="110">
        <f t="shared" si="345"/>
        <v>0</v>
      </c>
      <c r="AG77" s="110">
        <f t="shared" si="345"/>
        <v>0</v>
      </c>
      <c r="AH77" s="110">
        <f t="shared" si="345"/>
        <v>0</v>
      </c>
      <c r="AI77" s="110">
        <f t="shared" si="345"/>
        <v>0</v>
      </c>
      <c r="AJ77" s="110">
        <f t="shared" si="345"/>
        <v>0</v>
      </c>
      <c r="AK77" s="110">
        <f t="shared" si="345"/>
        <v>0</v>
      </c>
      <c r="AL77" s="110">
        <f t="shared" si="345"/>
        <v>0</v>
      </c>
      <c r="AM77" s="114">
        <f t="shared" ref="AM77" si="346">((AL77/J77)^(1/($AL$3-$K$1) ))-1</f>
        <v>-1</v>
      </c>
      <c r="AN77" s="21">
        <f t="shared" si="21"/>
        <v>0.01</v>
      </c>
      <c r="AO77" s="122" t="e">
        <f t="shared" si="328"/>
        <v>#DIV/0!</v>
      </c>
    </row>
    <row r="78" spans="2:41" x14ac:dyDescent="0.15">
      <c r="B78" s="10" t="s">
        <v>202</v>
      </c>
      <c r="C78" s="15"/>
      <c r="D78" s="15"/>
      <c r="E78" s="15"/>
      <c r="F78" s="110"/>
      <c r="G78" s="110">
        <f t="shared" ref="G78" si="347">G7/G61</f>
        <v>154.86725663716817</v>
      </c>
      <c r="H78" s="110">
        <f t="shared" ref="H78:I78" si="348">H7/H61</f>
        <v>160.17699115044249</v>
      </c>
      <c r="I78" s="110">
        <f t="shared" si="348"/>
        <v>177.87610619469029</v>
      </c>
      <c r="J78" s="110">
        <f t="shared" ref="J78:Q78" si="349">J7/J61</f>
        <v>215.04424778761063</v>
      </c>
      <c r="K78" s="110">
        <f t="shared" si="349"/>
        <v>58.523725834797887</v>
      </c>
      <c r="L78" s="110">
        <f t="shared" si="349"/>
        <v>47.540983606557383</v>
      </c>
      <c r="M78" s="110">
        <f t="shared" si="349"/>
        <v>63.583138173302117</v>
      </c>
      <c r="N78" s="110">
        <f t="shared" si="349"/>
        <v>75.644028103044505</v>
      </c>
      <c r="O78" s="110">
        <f t="shared" si="349"/>
        <v>96.370023419203761</v>
      </c>
      <c r="P78" s="110">
        <f t="shared" si="349"/>
        <v>62.002341920374711</v>
      </c>
      <c r="Q78" s="110">
        <f t="shared" si="349"/>
        <v>79.742388758782212</v>
      </c>
      <c r="R78" s="110">
        <f t="shared" ref="R78:V78" si="350">R7/R61</f>
        <v>99.473067915690876</v>
      </c>
      <c r="S78" s="110">
        <f t="shared" si="350"/>
        <v>123.00936768149884</v>
      </c>
      <c r="T78" s="110">
        <f t="shared" si="350"/>
        <v>151.81498829039813</v>
      </c>
      <c r="U78" s="110">
        <f t="shared" si="350"/>
        <v>171.95550351288057</v>
      </c>
      <c r="V78" s="110">
        <f t="shared" si="350"/>
        <v>195.25761124121783</v>
      </c>
      <c r="W78" s="110">
        <f t="shared" ref="W78" si="351">W7/W61</f>
        <v>214.05152224824357</v>
      </c>
      <c r="X78" s="110">
        <f t="shared" ref="X78:Z78" si="352">X7/X61</f>
        <v>246.48711943793913</v>
      </c>
      <c r="Y78" s="110">
        <f t="shared" ref="Y78" si="353">Y7/Y61</f>
        <v>266.5105386416862</v>
      </c>
      <c r="Z78" s="110">
        <f t="shared" si="352"/>
        <v>310.24590163934431</v>
      </c>
      <c r="AA78" s="101">
        <f t="shared" si="290"/>
        <v>3.7245100290808741E-2</v>
      </c>
      <c r="AB78" s="109"/>
      <c r="AC78" s="132">
        <f t="shared" ref="AC78:AL78" si="354">AC7/AC61</f>
        <v>334.57891353262625</v>
      </c>
      <c r="AD78" s="132">
        <f t="shared" si="354"/>
        <v>360.82039694694987</v>
      </c>
      <c r="AE78" s="132">
        <f t="shared" si="354"/>
        <v>389.12003592318132</v>
      </c>
      <c r="AF78" s="132">
        <f t="shared" si="354"/>
        <v>419.63925442696035</v>
      </c>
      <c r="AG78" s="132">
        <f t="shared" si="354"/>
        <v>452.55213712711418</v>
      </c>
      <c r="AH78" s="132">
        <f t="shared" si="354"/>
        <v>488.04642239198591</v>
      </c>
      <c r="AI78" s="132">
        <f t="shared" si="354"/>
        <v>526.32457316782791</v>
      </c>
      <c r="AJ78" s="132">
        <f t="shared" si="354"/>
        <v>567.60493184765767</v>
      </c>
      <c r="AK78" s="132">
        <f t="shared" si="354"/>
        <v>612.12296571806223</v>
      </c>
      <c r="AL78" s="132">
        <f t="shared" si="354"/>
        <v>660.13261008810639</v>
      </c>
      <c r="AM78" s="114">
        <f t="shared" si="337"/>
        <v>3.9433399126040047E-2</v>
      </c>
      <c r="AN78" s="21">
        <f t="shared" si="21"/>
        <v>0.01</v>
      </c>
      <c r="AO78" s="122" t="e">
        <f t="shared" si="328"/>
        <v>#DIV/0!</v>
      </c>
    </row>
    <row r="79" spans="2:41" x14ac:dyDescent="0.15">
      <c r="B79" s="10" t="s">
        <v>203</v>
      </c>
      <c r="C79" s="108"/>
      <c r="D79" s="108"/>
      <c r="E79" s="108"/>
      <c r="F79" s="120"/>
      <c r="G79" s="120">
        <f t="shared" ref="G79" si="355">G6/G61</f>
        <v>144.24778761061947</v>
      </c>
      <c r="H79" s="120">
        <f t="shared" ref="H79:I79" si="356">H6/H61</f>
        <v>149.55752212389382</v>
      </c>
      <c r="I79" s="120">
        <f t="shared" si="356"/>
        <v>168.14159292035399</v>
      </c>
      <c r="J79" s="120">
        <f t="shared" ref="J79:Q79" si="357">J6/J61</f>
        <v>205.30973451327435</v>
      </c>
      <c r="K79" s="120">
        <f t="shared" si="357"/>
        <v>56.590509666080841</v>
      </c>
      <c r="L79" s="120">
        <f t="shared" si="357"/>
        <v>45.433255269320846</v>
      </c>
      <c r="M79" s="120">
        <f t="shared" si="357"/>
        <v>61.709601873536307</v>
      </c>
      <c r="N79" s="120">
        <f t="shared" si="357"/>
        <v>73.536299765807968</v>
      </c>
      <c r="O79" s="120">
        <f t="shared" si="357"/>
        <v>94.379391100702591</v>
      </c>
      <c r="P79" s="120">
        <f t="shared" si="357"/>
        <v>61.007025761124126</v>
      </c>
      <c r="Q79" s="120">
        <f t="shared" si="357"/>
        <v>78.74707259953162</v>
      </c>
      <c r="R79" s="120">
        <f t="shared" ref="R79:V79" si="358">R6/R61</f>
        <v>98.50644028103045</v>
      </c>
      <c r="S79" s="120">
        <f t="shared" si="358"/>
        <v>122.01405152224825</v>
      </c>
      <c r="T79" s="120">
        <f t="shared" si="358"/>
        <v>150.76112412177989</v>
      </c>
      <c r="U79" s="120">
        <f t="shared" si="358"/>
        <v>170.96018735363</v>
      </c>
      <c r="V79" s="120">
        <f t="shared" si="358"/>
        <v>194.26229508196724</v>
      </c>
      <c r="W79" s="120">
        <f t="shared" ref="W79" si="359">W6/W61</f>
        <v>213.05620608899301</v>
      </c>
      <c r="X79" s="120">
        <f t="shared" ref="X79:Z79" si="360">X6/X61</f>
        <v>245.49180327868854</v>
      </c>
      <c r="Y79" s="120">
        <f t="shared" ref="Y79" si="361">Y6/Y61</f>
        <v>265.5152224824356</v>
      </c>
      <c r="Z79" s="120">
        <f t="shared" si="360"/>
        <v>309.25058548009372</v>
      </c>
      <c r="AA79" s="101">
        <f t="shared" si="290"/>
        <v>4.0954270060216125E-2</v>
      </c>
      <c r="AB79" s="109"/>
      <c r="AC79" s="131">
        <f t="shared" ref="AC79:AL79" si="362">AC6/AC61</f>
        <v>333.50553336088541</v>
      </c>
      <c r="AD79" s="131">
        <f t="shared" si="362"/>
        <v>359.66283009507254</v>
      </c>
      <c r="AE79" s="131">
        <f t="shared" si="362"/>
        <v>387.87167951429393</v>
      </c>
      <c r="AF79" s="131">
        <f t="shared" si="362"/>
        <v>418.29298771149354</v>
      </c>
      <c r="AG79" s="131">
        <f t="shared" si="362"/>
        <v>451.10028086533617</v>
      </c>
      <c r="AH79" s="131">
        <f t="shared" si="362"/>
        <v>486.48069505085272</v>
      </c>
      <c r="AI79" s="131">
        <f t="shared" si="362"/>
        <v>524.6360436822921</v>
      </c>
      <c r="AJ79" s="131">
        <f t="shared" si="362"/>
        <v>565.78396867698177</v>
      </c>
      <c r="AK79" s="131">
        <f t="shared" si="362"/>
        <v>610.15918190654895</v>
      </c>
      <c r="AL79" s="131">
        <f t="shared" si="362"/>
        <v>658.01480401686661</v>
      </c>
      <c r="AM79" s="114">
        <f t="shared" si="337"/>
        <v>4.0979747049656012E-2</v>
      </c>
      <c r="AN79" s="21">
        <f t="shared" si="21"/>
        <v>0.01</v>
      </c>
      <c r="AO79" s="122" t="e">
        <f t="shared" si="328"/>
        <v>#DIV/0!</v>
      </c>
    </row>
    <row r="80" spans="2:41" x14ac:dyDescent="0.15">
      <c r="B80" s="10" t="s">
        <v>204</v>
      </c>
      <c r="C80" s="108"/>
      <c r="D80" s="108"/>
      <c r="E80" s="108"/>
      <c r="F80" s="120"/>
      <c r="G80" s="120">
        <f t="shared" ref="G80" si="363">G10/G61</f>
        <v>13.274336283185843</v>
      </c>
      <c r="H80" s="120">
        <f t="shared" ref="H80:I80" si="364">H10/H61</f>
        <v>20.353982300884958</v>
      </c>
      <c r="I80" s="120">
        <f t="shared" si="364"/>
        <v>33.628318584070797</v>
      </c>
      <c r="J80" s="120">
        <f t="shared" ref="J80:Q80" si="365">J10/J61</f>
        <v>124.77876106194691</v>
      </c>
      <c r="K80" s="120">
        <f t="shared" si="365"/>
        <v>55.711775043936726</v>
      </c>
      <c r="L80" s="120">
        <f t="shared" si="365"/>
        <v>33.489461358313818</v>
      </c>
      <c r="M80" s="120">
        <f t="shared" si="365"/>
        <v>10.655737704918034</v>
      </c>
      <c r="N80" s="120">
        <f t="shared" si="365"/>
        <v>11.124121779859486</v>
      </c>
      <c r="O80" s="120">
        <f t="shared" si="365"/>
        <v>9.8360655737704921</v>
      </c>
      <c r="P80" s="120">
        <f t="shared" si="365"/>
        <v>5.0936768149882905</v>
      </c>
      <c r="Q80" s="120">
        <f t="shared" si="365"/>
        <v>4.918032786885246</v>
      </c>
      <c r="R80" s="120">
        <f t="shared" ref="R80:V80" si="366">R10/R61</f>
        <v>4.3325526932084317</v>
      </c>
      <c r="S80" s="120">
        <f t="shared" si="366"/>
        <v>4.2154566744730682</v>
      </c>
      <c r="T80" s="120">
        <f t="shared" si="366"/>
        <v>4.2154566744730682</v>
      </c>
      <c r="U80" s="120">
        <f t="shared" si="366"/>
        <v>3.3957845433255271</v>
      </c>
      <c r="V80" s="120">
        <f t="shared" si="366"/>
        <v>0</v>
      </c>
      <c r="W80" s="120">
        <f t="shared" ref="W80" si="367">W10/W61</f>
        <v>0</v>
      </c>
      <c r="X80" s="120">
        <f t="shared" ref="X80:Z80" si="368">X10/X61</f>
        <v>0</v>
      </c>
      <c r="Y80" s="120">
        <f t="shared" ref="Y80" si="369">Y10/Y61</f>
        <v>0</v>
      </c>
      <c r="Z80" s="120">
        <f t="shared" si="368"/>
        <v>0</v>
      </c>
      <c r="AA80" s="101">
        <f t="shared" si="290"/>
        <v>-1</v>
      </c>
      <c r="AB80" s="109"/>
      <c r="AC80" s="131">
        <f t="shared" ref="AC80:AL80" si="370">AC10/AC61</f>
        <v>0</v>
      </c>
      <c r="AD80" s="131">
        <f t="shared" si="370"/>
        <v>0</v>
      </c>
      <c r="AE80" s="131">
        <f t="shared" si="370"/>
        <v>0</v>
      </c>
      <c r="AF80" s="131">
        <f t="shared" si="370"/>
        <v>0</v>
      </c>
      <c r="AG80" s="131">
        <f t="shared" si="370"/>
        <v>0</v>
      </c>
      <c r="AH80" s="131">
        <f t="shared" si="370"/>
        <v>0</v>
      </c>
      <c r="AI80" s="131">
        <f t="shared" si="370"/>
        <v>0</v>
      </c>
      <c r="AJ80" s="131">
        <f t="shared" si="370"/>
        <v>0</v>
      </c>
      <c r="AK80" s="131">
        <f t="shared" si="370"/>
        <v>0</v>
      </c>
      <c r="AL80" s="131">
        <f t="shared" si="370"/>
        <v>0</v>
      </c>
      <c r="AM80" s="114">
        <f t="shared" si="337"/>
        <v>-1</v>
      </c>
      <c r="AN80" s="21">
        <f t="shared" si="21"/>
        <v>0.01</v>
      </c>
      <c r="AO80" s="122" t="e">
        <f t="shared" si="328"/>
        <v>#DIV/0!</v>
      </c>
    </row>
    <row r="81" spans="2:41" x14ac:dyDescent="0.15">
      <c r="B81" s="10"/>
      <c r="C81" s="108"/>
      <c r="D81" s="108"/>
      <c r="E81" s="108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01" t="e">
        <f t="shared" si="290"/>
        <v>#DIV/0!</v>
      </c>
      <c r="AB81" s="10"/>
      <c r="AC81" s="131"/>
      <c r="AD81" s="131"/>
      <c r="AE81" s="131"/>
      <c r="AF81" s="131"/>
      <c r="AG81" s="131"/>
      <c r="AH81" s="131"/>
      <c r="AI81" s="131"/>
      <c r="AJ81" s="131"/>
      <c r="AK81" s="131"/>
      <c r="AL81" s="131"/>
      <c r="AM81" s="115"/>
      <c r="AN81" s="113"/>
      <c r="AO81" s="122"/>
    </row>
    <row r="82" spans="2:41" x14ac:dyDescent="0.15">
      <c r="B82" s="10" t="s">
        <v>221</v>
      </c>
      <c r="C82" s="108"/>
      <c r="D82" s="108"/>
      <c r="E82" s="108"/>
      <c r="F82" s="120"/>
      <c r="G82" s="120">
        <f t="shared" ref="G82" si="371">(G7-G10)/G61</f>
        <v>141.59292035398232</v>
      </c>
      <c r="H82" s="120">
        <f t="shared" ref="H82:I82" si="372">(H7-H10)/H61</f>
        <v>139.82300884955754</v>
      </c>
      <c r="I82" s="120">
        <f t="shared" si="372"/>
        <v>144.24778761061947</v>
      </c>
      <c r="J82" s="120">
        <f t="shared" ref="J82:Q82" si="373">(J7-J10)/J61</f>
        <v>90.26548672566372</v>
      </c>
      <c r="K82" s="120">
        <f t="shared" si="373"/>
        <v>2.8119507908611596</v>
      </c>
      <c r="L82" s="120">
        <f t="shared" si="373"/>
        <v>14.051522248243561</v>
      </c>
      <c r="M82" s="120">
        <f t="shared" si="373"/>
        <v>52.927400468384079</v>
      </c>
      <c r="N82" s="120">
        <f t="shared" si="373"/>
        <v>64.519906323185012</v>
      </c>
      <c r="O82" s="120">
        <f t="shared" si="373"/>
        <v>86.533957845433264</v>
      </c>
      <c r="P82" s="120">
        <f t="shared" si="373"/>
        <v>56.908665105386426</v>
      </c>
      <c r="Q82" s="120">
        <f t="shared" si="373"/>
        <v>74.824355971896964</v>
      </c>
      <c r="R82" s="120">
        <f t="shared" ref="R82:V82" si="374">(R7-R10)/R61</f>
        <v>95.140515222482449</v>
      </c>
      <c r="S82" s="120">
        <f t="shared" si="374"/>
        <v>118.79391100702577</v>
      </c>
      <c r="T82" s="120">
        <f t="shared" si="374"/>
        <v>147.59953161592506</v>
      </c>
      <c r="U82" s="120">
        <f t="shared" si="374"/>
        <v>168.55971896955506</v>
      </c>
      <c r="V82" s="120">
        <f t="shared" si="374"/>
        <v>195.25761124121783</v>
      </c>
      <c r="W82" s="120">
        <f t="shared" ref="W82" si="375">(W7-W10)/W61</f>
        <v>214.05152224824357</v>
      </c>
      <c r="X82" s="120">
        <f t="shared" ref="X82:Z82" si="376">(X7-X10)/X61</f>
        <v>246.48711943793913</v>
      </c>
      <c r="Y82" s="120">
        <f t="shared" ref="Y82" si="377">(Y7-Y10)/Y61</f>
        <v>266.5105386416862</v>
      </c>
      <c r="Z82" s="120">
        <f t="shared" si="376"/>
        <v>310.24590163934431</v>
      </c>
      <c r="AA82" s="101">
        <f t="shared" si="290"/>
        <v>4.2148748346648723E-2</v>
      </c>
      <c r="AB82" s="109"/>
      <c r="AC82" s="131">
        <f t="shared" ref="AC82:AL82" si="378">(AC7-AC10)/AC61</f>
        <v>334.57891353262625</v>
      </c>
      <c r="AD82" s="131">
        <f t="shared" si="378"/>
        <v>360.82039694694987</v>
      </c>
      <c r="AE82" s="131">
        <f t="shared" si="378"/>
        <v>389.12003592318132</v>
      </c>
      <c r="AF82" s="131">
        <f t="shared" si="378"/>
        <v>419.63925442696035</v>
      </c>
      <c r="AG82" s="131">
        <f t="shared" si="378"/>
        <v>452.55213712711418</v>
      </c>
      <c r="AH82" s="131">
        <f t="shared" si="378"/>
        <v>488.04642239198591</v>
      </c>
      <c r="AI82" s="131">
        <f t="shared" si="378"/>
        <v>526.32457316782791</v>
      </c>
      <c r="AJ82" s="131">
        <f t="shared" si="378"/>
        <v>567.60493184765767</v>
      </c>
      <c r="AK82" s="131">
        <f t="shared" si="378"/>
        <v>612.12296571806223</v>
      </c>
      <c r="AL82" s="131">
        <f t="shared" si="378"/>
        <v>660.13261008810639</v>
      </c>
      <c r="AM82" s="114">
        <f t="shared" si="337"/>
        <v>7.1018266472589353E-2</v>
      </c>
      <c r="AN82" s="21">
        <f t="shared" si="21"/>
        <v>0.01</v>
      </c>
      <c r="AO82" s="122" t="e">
        <f t="shared" si="328"/>
        <v>#DIV/0!</v>
      </c>
    </row>
    <row r="83" spans="2:41" x14ac:dyDescent="0.15">
      <c r="B83" s="10" t="s">
        <v>222</v>
      </c>
      <c r="C83" s="108"/>
      <c r="D83" s="108"/>
      <c r="E83" s="108"/>
      <c r="F83" s="120"/>
      <c r="G83" s="120">
        <f t="shared" ref="G83" si="379">(G7-G10-G9)/G61</f>
        <v>114.15929203539824</v>
      </c>
      <c r="H83" s="120">
        <f t="shared" ref="H83:I83" si="380">(H7-H10-H9)/H61</f>
        <v>97.345132743362839</v>
      </c>
      <c r="I83" s="120">
        <f t="shared" si="380"/>
        <v>71.681415929203553</v>
      </c>
      <c r="J83" s="120">
        <f t="shared" ref="J83:Q83" si="381">(J7-J10-J9)/J61</f>
        <v>13.274336283185843</v>
      </c>
      <c r="K83" s="120">
        <f t="shared" si="381"/>
        <v>-18.277680140597539</v>
      </c>
      <c r="L83" s="120">
        <f t="shared" si="381"/>
        <v>-1.4051522248243562</v>
      </c>
      <c r="M83" s="120">
        <f t="shared" si="381"/>
        <v>31.030444964871197</v>
      </c>
      <c r="N83" s="120">
        <f t="shared" si="381"/>
        <v>39.695550351288063</v>
      </c>
      <c r="O83" s="120">
        <f t="shared" si="381"/>
        <v>60.421545667447312</v>
      </c>
      <c r="P83" s="120">
        <f t="shared" si="381"/>
        <v>37.236533957845438</v>
      </c>
      <c r="Q83" s="120">
        <f t="shared" si="381"/>
        <v>52.985948477751762</v>
      </c>
      <c r="R83" s="120">
        <f t="shared" ref="R83:V83" si="382">(R7-R10-R9)/R61</f>
        <v>68.79391100702577</v>
      </c>
      <c r="S83" s="120">
        <f t="shared" si="382"/>
        <v>81.557377049180332</v>
      </c>
      <c r="T83" s="120">
        <f t="shared" si="382"/>
        <v>99.121779859484789</v>
      </c>
      <c r="U83" s="120">
        <f t="shared" si="382"/>
        <v>105.85480093676816</v>
      </c>
      <c r="V83" s="120">
        <f t="shared" si="382"/>
        <v>130.73770491803279</v>
      </c>
      <c r="W83" s="120">
        <f t="shared" ref="W83" si="383">(W7-W10-W9)/W61</f>
        <v>140.22248243559721</v>
      </c>
      <c r="X83" s="120">
        <f t="shared" ref="X83:Z83" si="384">(X7-X10-X9)/X61</f>
        <v>159.01639344262296</v>
      </c>
      <c r="Y83" s="120">
        <f t="shared" ref="Y83" si="385">(Y7-Y10-Y9)/Y61</f>
        <v>175.52693208430915</v>
      </c>
      <c r="Z83" s="120">
        <f t="shared" si="384"/>
        <v>221.07728337236537</v>
      </c>
      <c r="AA83" s="101">
        <f t="shared" si="290"/>
        <v>3.5397214398459997E-2</v>
      </c>
      <c r="AB83" s="109"/>
      <c r="AC83" s="131">
        <f t="shared" ref="AC83:AL83" si="386">(AC7-AC10-AC9)/AC61</f>
        <v>238.41667814666854</v>
      </c>
      <c r="AD83" s="131">
        <f t="shared" si="386"/>
        <v>257.11602545228965</v>
      </c>
      <c r="AE83" s="131">
        <f t="shared" si="386"/>
        <v>277.28198823286147</v>
      </c>
      <c r="AF83" s="131">
        <f t="shared" si="386"/>
        <v>299.02959515308589</v>
      </c>
      <c r="AG83" s="131">
        <f t="shared" si="386"/>
        <v>322.48289673372017</v>
      </c>
      <c r="AH83" s="131">
        <f t="shared" si="386"/>
        <v>347.77567294812962</v>
      </c>
      <c r="AI83" s="131">
        <f t="shared" si="386"/>
        <v>375.05219631661038</v>
      </c>
      <c r="AJ83" s="131">
        <f t="shared" si="386"/>
        <v>404.46805485124651</v>
      </c>
      <c r="AK83" s="131">
        <f t="shared" si="386"/>
        <v>436.19103954546205</v>
      </c>
      <c r="AL83" s="131">
        <f t="shared" si="386"/>
        <v>470.40210147059634</v>
      </c>
      <c r="AM83" s="114">
        <f t="shared" si="337"/>
        <v>0.1309138748495573</v>
      </c>
      <c r="AN83" s="21">
        <f t="shared" si="21"/>
        <v>0.01</v>
      </c>
      <c r="AO83" s="122" t="e">
        <f t="shared" si="328"/>
        <v>#DIV/0!</v>
      </c>
    </row>
    <row r="84" spans="2:41" x14ac:dyDescent="0.15">
      <c r="B84" s="10" t="s">
        <v>227</v>
      </c>
      <c r="C84" s="108"/>
      <c r="D84" s="108"/>
      <c r="E84" s="108"/>
      <c r="F84" s="120"/>
      <c r="G84" s="120">
        <f t="shared" ref="G84" si="387">(G7+G15-G10-G9)/G61</f>
        <v>184.07079646017701</v>
      </c>
      <c r="H84" s="120">
        <f t="shared" ref="H84:I84" si="388">(H7+H15-H10-H9)/H61</f>
        <v>198.23008849557525</v>
      </c>
      <c r="I84" s="120">
        <f t="shared" si="388"/>
        <v>200.00000000000003</v>
      </c>
      <c r="J84" s="120">
        <f t="shared" ref="J84:Q84" si="389">(J7+J15-J10-J9)/J61</f>
        <v>228.31858407079648</v>
      </c>
      <c r="K84" s="120">
        <f t="shared" si="389"/>
        <v>60.808435852372583</v>
      </c>
      <c r="L84" s="120">
        <f t="shared" si="389"/>
        <v>45.78454332552694</v>
      </c>
      <c r="M84" s="120">
        <f t="shared" si="389"/>
        <v>90.281030444964884</v>
      </c>
      <c r="N84" s="120">
        <f t="shared" si="389"/>
        <v>109.8360655737705</v>
      </c>
      <c r="O84" s="120">
        <f t="shared" si="389"/>
        <v>135.36299765807965</v>
      </c>
      <c r="P84" s="120">
        <f t="shared" si="389"/>
        <v>100.70257611241219</v>
      </c>
      <c r="Q84" s="120">
        <f t="shared" si="389"/>
        <v>116.33489461358315</v>
      </c>
      <c r="R84" s="120">
        <f t="shared" ref="R84:V84" si="390">(R7+R15-R10-R9)/R61</f>
        <v>138.70023419203747</v>
      </c>
      <c r="S84" s="120">
        <f t="shared" si="390"/>
        <v>160.24590163934428</v>
      </c>
      <c r="T84" s="120">
        <f t="shared" si="390"/>
        <v>190.33957845433258</v>
      </c>
      <c r="U84" s="120">
        <f t="shared" si="390"/>
        <v>219.61358313817331</v>
      </c>
      <c r="V84" s="120">
        <f t="shared" si="390"/>
        <v>242.03747072599535</v>
      </c>
      <c r="W84" s="120">
        <f t="shared" ref="W84" si="391">(W7+W15-W10-W9)/W61</f>
        <v>249.29742388758785</v>
      </c>
      <c r="X84" s="120">
        <f t="shared" ref="X84:Z84" si="392">(X7+X15-X10-X9)/X61</f>
        <v>299.59016393442624</v>
      </c>
      <c r="Y84" s="120">
        <f t="shared" ref="Y84" si="393">(Y7+Y15-Y10-Y9)/Y61</f>
        <v>330.67915690866516</v>
      </c>
      <c r="Z84" s="120">
        <f t="shared" si="392"/>
        <v>378.80562060889935</v>
      </c>
      <c r="AA84" s="101">
        <f t="shared" si="290"/>
        <v>3.8714982446774071E-2</v>
      </c>
      <c r="AB84" s="109"/>
      <c r="AC84" s="131">
        <f t="shared" ref="AC84:AL84" si="394">(AC7+AC15-AC10-AC9)/AC61</f>
        <v>408.51586536253853</v>
      </c>
      <c r="AD84" s="131">
        <f t="shared" si="394"/>
        <v>440.55632539097297</v>
      </c>
      <c r="AE84" s="131">
        <f t="shared" si="394"/>
        <v>475.1097626765395</v>
      </c>
      <c r="AF84" s="131">
        <f t="shared" si="394"/>
        <v>512.37327347469954</v>
      </c>
      <c r="AG84" s="131">
        <f t="shared" si="394"/>
        <v>552.55941257075449</v>
      </c>
      <c r="AH84" s="131">
        <f t="shared" si="394"/>
        <v>595.8974057135589</v>
      </c>
      <c r="AI84" s="131">
        <f t="shared" si="394"/>
        <v>642.6344571420733</v>
      </c>
      <c r="AJ84" s="131">
        <f t="shared" si="394"/>
        <v>693.03715966302036</v>
      </c>
      <c r="AK84" s="131">
        <f t="shared" si="394"/>
        <v>747.39301532286504</v>
      </c>
      <c r="AL84" s="131">
        <f t="shared" si="394"/>
        <v>806.01207534818775</v>
      </c>
      <c r="AM84" s="114">
        <f t="shared" si="337"/>
        <v>4.4454835845570528E-2</v>
      </c>
      <c r="AN84" s="21">
        <f t="shared" si="21"/>
        <v>0.01</v>
      </c>
      <c r="AO84" s="122" t="e">
        <f t="shared" si="328"/>
        <v>#DIV/0!</v>
      </c>
    </row>
    <row r="85" spans="2:41" x14ac:dyDescent="0.15">
      <c r="B85" s="10"/>
      <c r="C85" s="108"/>
      <c r="D85" s="108"/>
      <c r="E85" s="108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  <c r="AA85" s="101" t="e">
        <f t="shared" si="290"/>
        <v>#DIV/0!</v>
      </c>
      <c r="AB85" s="10"/>
      <c r="AC85" s="129"/>
      <c r="AD85" s="129"/>
      <c r="AE85" s="129"/>
      <c r="AF85" s="129"/>
      <c r="AG85" s="129"/>
      <c r="AH85" s="129"/>
      <c r="AI85" s="129"/>
      <c r="AJ85" s="129"/>
      <c r="AK85" s="129"/>
      <c r="AL85" s="129"/>
      <c r="AM85" s="115"/>
      <c r="AN85" s="113"/>
      <c r="AO85" s="122"/>
    </row>
    <row r="86" spans="2:41" x14ac:dyDescent="0.15">
      <c r="B86" s="10" t="s">
        <v>205</v>
      </c>
      <c r="C86" s="108"/>
      <c r="D86" s="108"/>
      <c r="E86" s="108"/>
      <c r="F86" s="120"/>
      <c r="G86" s="120">
        <f t="shared" ref="G86" si="395">G12/G61</f>
        <v>13.274336283185843</v>
      </c>
      <c r="H86" s="120">
        <f t="shared" ref="H86:I86" si="396">H12/H61</f>
        <v>15.044247787610621</v>
      </c>
      <c r="I86" s="120">
        <f t="shared" si="396"/>
        <v>18.584070796460178</v>
      </c>
      <c r="J86" s="120">
        <f t="shared" ref="J86:Q86" si="397">J12/J61</f>
        <v>23.008849557522126</v>
      </c>
      <c r="K86" s="120">
        <f t="shared" si="397"/>
        <v>9.1388400702987695</v>
      </c>
      <c r="L86" s="120">
        <f t="shared" si="397"/>
        <v>8.1967213114754109</v>
      </c>
      <c r="M86" s="120">
        <f t="shared" si="397"/>
        <v>7.2599531615925068</v>
      </c>
      <c r="N86" s="120">
        <f t="shared" si="397"/>
        <v>4.6838407494145207</v>
      </c>
      <c r="O86" s="120">
        <f t="shared" si="397"/>
        <v>26.81498829039813</v>
      </c>
      <c r="P86" s="120">
        <f t="shared" si="397"/>
        <v>24.063231850117099</v>
      </c>
      <c r="Q86" s="120">
        <f t="shared" si="397"/>
        <v>17.271662763466043</v>
      </c>
      <c r="R86" s="120">
        <f t="shared" ref="R86:V86" si="398">R12/R61</f>
        <v>12.997658079625294</v>
      </c>
      <c r="S86" s="120">
        <f t="shared" si="398"/>
        <v>8.7822014051522252</v>
      </c>
      <c r="T86" s="120">
        <f t="shared" si="398"/>
        <v>9.9531615925058556</v>
      </c>
      <c r="U86" s="120">
        <f t="shared" si="398"/>
        <v>6.4988290398126471</v>
      </c>
      <c r="V86" s="120">
        <f t="shared" si="398"/>
        <v>4.2154566744730682</v>
      </c>
      <c r="W86" s="120">
        <f t="shared" ref="W86" si="399">W12/W61</f>
        <v>4.9765807962529278</v>
      </c>
      <c r="X86" s="120">
        <f t="shared" ref="X86:Z86" si="400">X12/X61</f>
        <v>10.304449648711945</v>
      </c>
      <c r="Y86" s="120">
        <f t="shared" ref="Y86" si="401">Y12/Y61</f>
        <v>8.4894613583138181</v>
      </c>
      <c r="Z86" s="120">
        <f t="shared" si="400"/>
        <v>6.1475409836065582</v>
      </c>
      <c r="AA86" s="101">
        <f t="shared" si="290"/>
        <v>-3.9705007858185537E-2</v>
      </c>
      <c r="AB86" s="109"/>
      <c r="AC86" s="131">
        <f t="shared" ref="AC86:AL86" si="402">AC12/AC61</f>
        <v>6.6297010607521711</v>
      </c>
      <c r="AD86" s="131">
        <f t="shared" si="402"/>
        <v>7.1496776145366567</v>
      </c>
      <c r="AE86" s="131">
        <f t="shared" si="402"/>
        <v>7.7104366431277684</v>
      </c>
      <c r="AF86" s="131">
        <f t="shared" si="402"/>
        <v>8.3151767720005356</v>
      </c>
      <c r="AG86" s="131">
        <f t="shared" si="402"/>
        <v>8.9673474992162632</v>
      </c>
      <c r="AH86" s="131">
        <f t="shared" si="402"/>
        <v>9.6706688717038123</v>
      </c>
      <c r="AI86" s="131">
        <f t="shared" si="402"/>
        <v>10.429152704778623</v>
      </c>
      <c r="AJ86" s="131">
        <f t="shared" si="402"/>
        <v>11.24712546593773</v>
      </c>
      <c r="AK86" s="131">
        <f t="shared" si="402"/>
        <v>12.129252953462261</v>
      </c>
      <c r="AL86" s="131">
        <f t="shared" si="402"/>
        <v>13.080566910596557</v>
      </c>
      <c r="AM86" s="114">
        <f t="shared" si="337"/>
        <v>-1.9285783043681448E-2</v>
      </c>
      <c r="AN86" s="21">
        <f t="shared" si="21"/>
        <v>0.01</v>
      </c>
      <c r="AO86" s="122" t="e">
        <f t="shared" si="328"/>
        <v>#DIV/0!</v>
      </c>
    </row>
    <row r="87" spans="2:41" x14ac:dyDescent="0.15">
      <c r="B87" s="10" t="s">
        <v>212</v>
      </c>
      <c r="C87" s="108"/>
      <c r="D87" s="108"/>
      <c r="E87" s="108"/>
      <c r="F87" s="120"/>
      <c r="G87" s="120">
        <f t="shared" ref="G87" si="403">G13/G61</f>
        <v>18.584070796460178</v>
      </c>
      <c r="H87" s="120">
        <f t="shared" ref="H87:I87" si="404">H13/H61</f>
        <v>21.238938053097346</v>
      </c>
      <c r="I87" s="120">
        <f t="shared" si="404"/>
        <v>28.318584070796462</v>
      </c>
      <c r="J87" s="120">
        <f t="shared" ref="J87:Q87" si="405">J13/J61</f>
        <v>14.159292035398231</v>
      </c>
      <c r="K87" s="120">
        <f t="shared" si="405"/>
        <v>2.8119507908611596</v>
      </c>
      <c r="L87" s="120">
        <f t="shared" si="405"/>
        <v>5.5035128805620612</v>
      </c>
      <c r="M87" s="120">
        <f t="shared" si="405"/>
        <v>1.873536299765808</v>
      </c>
      <c r="N87" s="120">
        <f t="shared" si="405"/>
        <v>1.873536299765808</v>
      </c>
      <c r="O87" s="120">
        <f t="shared" si="405"/>
        <v>1.873536299765808</v>
      </c>
      <c r="P87" s="120">
        <f t="shared" si="405"/>
        <v>0.93676814988290402</v>
      </c>
      <c r="Q87" s="120">
        <f t="shared" si="405"/>
        <v>0.93676814988290402</v>
      </c>
      <c r="R87" s="120">
        <f t="shared" ref="R87:V87" si="406">R13/R61</f>
        <v>0.93676814988290402</v>
      </c>
      <c r="S87" s="120">
        <f t="shared" si="406"/>
        <v>0.93676814988290402</v>
      </c>
      <c r="T87" s="120">
        <f t="shared" si="406"/>
        <v>8.5480093676814999</v>
      </c>
      <c r="U87" s="120">
        <f t="shared" si="406"/>
        <v>2.0491803278688527</v>
      </c>
      <c r="V87" s="120">
        <f t="shared" si="406"/>
        <v>1.1709601873536302</v>
      </c>
      <c r="W87" s="120">
        <f t="shared" ref="W87" si="407">W13/W61</f>
        <v>9.1334894613583142</v>
      </c>
      <c r="X87" s="120">
        <f t="shared" ref="X87:Z87" si="408">X13/X61</f>
        <v>16.451990632318502</v>
      </c>
      <c r="Y87" s="120">
        <f t="shared" ref="Y87" si="409">Y13/Y61</f>
        <v>22.014051522248245</v>
      </c>
      <c r="Z87" s="120">
        <f t="shared" si="408"/>
        <v>25.000000000000004</v>
      </c>
      <c r="AA87" s="101">
        <f t="shared" si="290"/>
        <v>1.5731457815552519E-2</v>
      </c>
      <c r="AB87" s="109"/>
      <c r="AC87" s="131">
        <f t="shared" ref="AC87:AL87" si="410">AC13/AC61</f>
        <v>26.960784313725497</v>
      </c>
      <c r="AD87" s="131">
        <f t="shared" si="410"/>
        <v>29.075355632449067</v>
      </c>
      <c r="AE87" s="131">
        <f t="shared" si="410"/>
        <v>31.355775682052919</v>
      </c>
      <c r="AF87" s="131">
        <f t="shared" si="410"/>
        <v>33.815052206135505</v>
      </c>
      <c r="AG87" s="131">
        <f t="shared" si="410"/>
        <v>36.467213163479471</v>
      </c>
      <c r="AH87" s="131">
        <f t="shared" si="410"/>
        <v>39.327386744928837</v>
      </c>
      <c r="AI87" s="131">
        <f t="shared" si="410"/>
        <v>42.41188766609973</v>
      </c>
      <c r="AJ87" s="131">
        <f t="shared" si="410"/>
        <v>45.738310228146766</v>
      </c>
      <c r="AK87" s="131">
        <f t="shared" si="410"/>
        <v>49.325628677413185</v>
      </c>
      <c r="AL87" s="131">
        <f t="shared" si="410"/>
        <v>53.194305436425985</v>
      </c>
      <c r="AM87" s="114">
        <f t="shared" si="337"/>
        <v>4.6698263271748974E-2</v>
      </c>
      <c r="AN87" s="21">
        <f t="shared" si="21"/>
        <v>0.01</v>
      </c>
      <c r="AO87" s="122" t="e">
        <f t="shared" si="328"/>
        <v>#DIV/0!</v>
      </c>
    </row>
    <row r="88" spans="2:41" x14ac:dyDescent="0.15">
      <c r="B88" s="10" t="s">
        <v>213</v>
      </c>
      <c r="C88" s="108"/>
      <c r="D88" s="108"/>
      <c r="E88" s="108"/>
      <c r="F88" s="120"/>
      <c r="G88" s="120">
        <f t="shared" ref="G88" si="411">(G86+G87)</f>
        <v>31.858407079646021</v>
      </c>
      <c r="H88" s="120">
        <f t="shared" ref="H88:I88" si="412">(H86+H87)</f>
        <v>36.283185840707965</v>
      </c>
      <c r="I88" s="120">
        <f t="shared" si="412"/>
        <v>46.902654867256643</v>
      </c>
      <c r="J88" s="120">
        <f t="shared" ref="J88:Q88" si="413">(J86+J87)</f>
        <v>37.168141592920357</v>
      </c>
      <c r="K88" s="120">
        <f t="shared" si="413"/>
        <v>11.950790861159929</v>
      </c>
      <c r="L88" s="120">
        <f t="shared" si="413"/>
        <v>13.700234192037472</v>
      </c>
      <c r="M88" s="120">
        <f t="shared" si="413"/>
        <v>9.1334894613583142</v>
      </c>
      <c r="N88" s="120">
        <f t="shared" si="413"/>
        <v>6.5573770491803289</v>
      </c>
      <c r="O88" s="120">
        <f t="shared" si="413"/>
        <v>28.688524590163937</v>
      </c>
      <c r="P88" s="120">
        <f t="shared" si="413"/>
        <v>25.000000000000004</v>
      </c>
      <c r="Q88" s="120">
        <f t="shared" si="413"/>
        <v>18.208430913348948</v>
      </c>
      <c r="R88" s="120">
        <f t="shared" ref="R88:V88" si="414">(R86+R87)</f>
        <v>13.934426229508198</v>
      </c>
      <c r="S88" s="120">
        <f t="shared" si="414"/>
        <v>9.7189695550351285</v>
      </c>
      <c r="T88" s="120">
        <f t="shared" si="414"/>
        <v>18.501170960187356</v>
      </c>
      <c r="U88" s="120">
        <f t="shared" si="414"/>
        <v>8.5480093676814999</v>
      </c>
      <c r="V88" s="120">
        <f t="shared" si="414"/>
        <v>5.3864168618266985</v>
      </c>
      <c r="W88" s="120">
        <f t="shared" ref="W88" si="415">(W86+W87)</f>
        <v>14.110070257611241</v>
      </c>
      <c r="X88" s="120">
        <f t="shared" ref="X88:Z88" si="416">(X86+X87)</f>
        <v>26.756440281030446</v>
      </c>
      <c r="Y88" s="120">
        <f t="shared" ref="Y88" si="417">(Y86+Y87)</f>
        <v>30.503512880562063</v>
      </c>
      <c r="Z88" s="120">
        <f t="shared" si="416"/>
        <v>31.147540983606561</v>
      </c>
      <c r="AA88" s="101">
        <f t="shared" si="290"/>
        <v>-1.1869794425116709E-3</v>
      </c>
      <c r="AB88" s="109"/>
      <c r="AC88" s="131">
        <f t="shared" ref="AC88:AL88" si="418">(AC86+AC87)</f>
        <v>33.590485374477666</v>
      </c>
      <c r="AD88" s="131">
        <f t="shared" si="418"/>
        <v>36.225033246985724</v>
      </c>
      <c r="AE88" s="131">
        <f t="shared" si="418"/>
        <v>39.066212325180686</v>
      </c>
      <c r="AF88" s="131">
        <f t="shared" si="418"/>
        <v>42.130228978136039</v>
      </c>
      <c r="AG88" s="131">
        <f t="shared" si="418"/>
        <v>45.434560662695731</v>
      </c>
      <c r="AH88" s="131">
        <f t="shared" si="418"/>
        <v>48.998055616632648</v>
      </c>
      <c r="AI88" s="131">
        <f t="shared" si="418"/>
        <v>52.841040370878353</v>
      </c>
      <c r="AJ88" s="131">
        <f t="shared" si="418"/>
        <v>56.985435694084494</v>
      </c>
      <c r="AK88" s="131">
        <f t="shared" si="418"/>
        <v>61.454881630875448</v>
      </c>
      <c r="AL88" s="131">
        <f t="shared" si="418"/>
        <v>66.274872347022537</v>
      </c>
      <c r="AM88" s="114">
        <f t="shared" si="337"/>
        <v>2.0143606725298913E-2</v>
      </c>
      <c r="AN88" s="21">
        <f t="shared" si="21"/>
        <v>0.01</v>
      </c>
      <c r="AO88" s="122" t="e">
        <f t="shared" si="328"/>
        <v>#DIV/0!</v>
      </c>
    </row>
    <row r="89" spans="2:41" x14ac:dyDescent="0.15">
      <c r="B89" s="10" t="s">
        <v>206</v>
      </c>
      <c r="C89" s="108"/>
      <c r="D89" s="108"/>
      <c r="E89" s="108"/>
      <c r="F89" s="120"/>
      <c r="G89" s="120">
        <f t="shared" ref="G89" si="419">G15/G61</f>
        <v>69.911504424778769</v>
      </c>
      <c r="H89" s="120">
        <f t="shared" ref="H89:I89" si="420">H15/H61</f>
        <v>100.88495575221241</v>
      </c>
      <c r="I89" s="120">
        <f t="shared" si="420"/>
        <v>128.31858407079648</v>
      </c>
      <c r="J89" s="120">
        <f t="shared" ref="J89:Q89" si="421">J15/J61</f>
        <v>215.04424778761063</v>
      </c>
      <c r="K89" s="120">
        <f t="shared" si="421"/>
        <v>79.086115992970122</v>
      </c>
      <c r="L89" s="120">
        <f t="shared" si="421"/>
        <v>47.189695550351296</v>
      </c>
      <c r="M89" s="120">
        <f t="shared" si="421"/>
        <v>59.250585480093683</v>
      </c>
      <c r="N89" s="120">
        <f t="shared" si="421"/>
        <v>70.140515222482449</v>
      </c>
      <c r="O89" s="120">
        <f t="shared" si="421"/>
        <v>74.941451990632331</v>
      </c>
      <c r="P89" s="120">
        <f t="shared" si="421"/>
        <v>63.46604215456675</v>
      </c>
      <c r="Q89" s="120">
        <f t="shared" si="421"/>
        <v>63.34894613583139</v>
      </c>
      <c r="R89" s="120">
        <f t="shared" ref="R89:V89" si="422">R15/R61</f>
        <v>69.906323185011715</v>
      </c>
      <c r="S89" s="120">
        <f t="shared" si="422"/>
        <v>78.688524590163937</v>
      </c>
      <c r="T89" s="120">
        <f t="shared" si="422"/>
        <v>91.217798594847778</v>
      </c>
      <c r="U89" s="120">
        <f t="shared" si="422"/>
        <v>113.75878220140517</v>
      </c>
      <c r="V89" s="120">
        <f t="shared" si="422"/>
        <v>111.29976580796254</v>
      </c>
      <c r="W89" s="120">
        <f t="shared" ref="W89" si="423">W15/W61</f>
        <v>109.07494145199064</v>
      </c>
      <c r="X89" s="120">
        <f t="shared" ref="X89:Z89" si="424">X15/X61</f>
        <v>140.57377049180329</v>
      </c>
      <c r="Y89" s="120">
        <f t="shared" ref="Y89" si="425">Y15/Y61</f>
        <v>155.15222482435598</v>
      </c>
      <c r="Z89" s="120">
        <f t="shared" si="424"/>
        <v>157.72833723653397</v>
      </c>
      <c r="AA89" s="101">
        <f t="shared" si="290"/>
        <v>4.375351592676946E-2</v>
      </c>
      <c r="AB89" s="109"/>
      <c r="AC89" s="131">
        <f t="shared" ref="AC89:AL89" si="426">AC15/AC61</f>
        <v>170.09918721586999</v>
      </c>
      <c r="AD89" s="131">
        <f t="shared" si="426"/>
        <v>183.44029993868332</v>
      </c>
      <c r="AE89" s="131">
        <f t="shared" si="426"/>
        <v>197.82777444367812</v>
      </c>
      <c r="AF89" s="131">
        <f t="shared" si="426"/>
        <v>213.34367832161368</v>
      </c>
      <c r="AG89" s="131">
        <f t="shared" si="426"/>
        <v>230.07651583703441</v>
      </c>
      <c r="AH89" s="131">
        <f t="shared" si="426"/>
        <v>248.12173276542927</v>
      </c>
      <c r="AI89" s="131">
        <f t="shared" si="426"/>
        <v>267.58226082546292</v>
      </c>
      <c r="AJ89" s="131">
        <f t="shared" si="426"/>
        <v>288.56910481177374</v>
      </c>
      <c r="AK89" s="131">
        <f t="shared" si="426"/>
        <v>311.20197577740311</v>
      </c>
      <c r="AL89" s="131">
        <f t="shared" si="426"/>
        <v>335.60997387759159</v>
      </c>
      <c r="AM89" s="114">
        <f t="shared" si="337"/>
        <v>1.546687156747617E-2</v>
      </c>
      <c r="AN89" s="21">
        <f t="shared" si="21"/>
        <v>0.01</v>
      </c>
      <c r="AO89" s="122" t="e">
        <f t="shared" si="328"/>
        <v>#DIV/0!</v>
      </c>
    </row>
    <row r="90" spans="2:41" x14ac:dyDescent="0.15">
      <c r="B90" s="10" t="s">
        <v>207</v>
      </c>
      <c r="C90" s="108"/>
      <c r="D90" s="108"/>
      <c r="E90" s="108"/>
      <c r="F90" s="120"/>
      <c r="G90" s="120">
        <f t="shared" ref="G90" si="427">G16/G61</f>
        <v>60.176991150442483</v>
      </c>
      <c r="H90" s="120">
        <f t="shared" ref="H90:I90" si="428">H16/H61</f>
        <v>74.336283185840713</v>
      </c>
      <c r="I90" s="120">
        <f t="shared" si="428"/>
        <v>86.725663716814168</v>
      </c>
      <c r="J90" s="120">
        <f t="shared" ref="J90:Q90" si="429">J16/J61</f>
        <v>181.41592920353983</v>
      </c>
      <c r="K90" s="120">
        <f t="shared" si="429"/>
        <v>66.432337434094904</v>
      </c>
      <c r="L90" s="120">
        <f t="shared" si="429"/>
        <v>37.822014051522252</v>
      </c>
      <c r="M90" s="120">
        <f t="shared" si="429"/>
        <v>33.957845433255272</v>
      </c>
      <c r="N90" s="120">
        <f t="shared" si="429"/>
        <v>43.091334894613588</v>
      </c>
      <c r="O90" s="120">
        <f t="shared" si="429"/>
        <v>59.016393442622956</v>
      </c>
      <c r="P90" s="120">
        <f t="shared" si="429"/>
        <v>39.168618266978925</v>
      </c>
      <c r="Q90" s="120">
        <f t="shared" si="429"/>
        <v>38.817330210772838</v>
      </c>
      <c r="R90" s="120">
        <f t="shared" ref="R90:V90" si="430">R16/R61</f>
        <v>42.56440281030445</v>
      </c>
      <c r="S90" s="120">
        <f t="shared" si="430"/>
        <v>42.213114754098363</v>
      </c>
      <c r="T90" s="120">
        <f t="shared" si="430"/>
        <v>45.843091334894616</v>
      </c>
      <c r="U90" s="120">
        <f t="shared" si="430"/>
        <v>60.362997658079628</v>
      </c>
      <c r="V90" s="120">
        <f t="shared" si="430"/>
        <v>72.248243559718972</v>
      </c>
      <c r="W90" s="120">
        <f t="shared" ref="W90" si="431">W16/W61</f>
        <v>51.346604215456679</v>
      </c>
      <c r="X90" s="120">
        <f t="shared" ref="X90:Z90" si="432">X16/X61</f>
        <v>64.344262295081975</v>
      </c>
      <c r="Y90" s="120">
        <f t="shared" ref="Y90" si="433">Y16/Y61</f>
        <v>68.852459016393453</v>
      </c>
      <c r="Z90" s="120">
        <f t="shared" si="432"/>
        <v>98.594847775175651</v>
      </c>
      <c r="AA90" s="101">
        <f t="shared" si="290"/>
        <v>2.6326306149163647E-2</v>
      </c>
      <c r="AB90" s="109"/>
      <c r="AC90" s="131">
        <f t="shared" ref="AC90:AL90" si="434">AC16/AC61</f>
        <v>106.32777701244434</v>
      </c>
      <c r="AD90" s="131">
        <f t="shared" si="434"/>
        <v>114.66721050361646</v>
      </c>
      <c r="AE90" s="131">
        <f t="shared" si="434"/>
        <v>123.66071720978248</v>
      </c>
      <c r="AF90" s="131">
        <f t="shared" si="434"/>
        <v>133.3595969909419</v>
      </c>
      <c r="AG90" s="131">
        <f t="shared" si="434"/>
        <v>143.81917322552559</v>
      </c>
      <c r="AH90" s="131">
        <f t="shared" si="434"/>
        <v>155.09910838046878</v>
      </c>
      <c r="AI90" s="131">
        <f t="shared" si="434"/>
        <v>167.26374433187809</v>
      </c>
      <c r="AJ90" s="131">
        <f t="shared" si="434"/>
        <v>180.3824693775156</v>
      </c>
      <c r="AK90" s="131">
        <f t="shared" si="434"/>
        <v>194.53011403457566</v>
      </c>
      <c r="AL90" s="131">
        <f t="shared" si="434"/>
        <v>209.78737788042474</v>
      </c>
      <c r="AM90" s="114">
        <f t="shared" si="337"/>
        <v>5.0229933214911426E-3</v>
      </c>
      <c r="AN90" s="21">
        <f t="shared" si="21"/>
        <v>0.01</v>
      </c>
      <c r="AO90" s="122" t="e">
        <f t="shared" si="328"/>
        <v>#DIV/0!</v>
      </c>
    </row>
    <row r="91" spans="2:41" x14ac:dyDescent="0.15">
      <c r="B91" s="10"/>
      <c r="C91" s="108"/>
      <c r="D91" s="108"/>
      <c r="E91" s="108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  <c r="AA91" s="101" t="e">
        <f t="shared" si="290"/>
        <v>#DIV/0!</v>
      </c>
      <c r="AB91" s="10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15"/>
      <c r="AN91" s="115"/>
      <c r="AO91" s="115"/>
    </row>
    <row r="92" spans="2:41" x14ac:dyDescent="0.15">
      <c r="B92" s="10" t="s">
        <v>232</v>
      </c>
      <c r="C92" s="133"/>
      <c r="D92" s="133"/>
      <c r="E92" s="133"/>
      <c r="F92" s="133"/>
      <c r="G92" s="133">
        <f t="shared" ref="G92" si="435">G63</f>
        <v>1.5</v>
      </c>
      <c r="H92" s="133">
        <f t="shared" ref="H92:I92" si="436">H63</f>
        <v>2</v>
      </c>
      <c r="I92" s="133">
        <f t="shared" si="436"/>
        <v>2.5</v>
      </c>
      <c r="J92" s="133">
        <f t="shared" ref="J92:Q92" si="437">J63</f>
        <v>3.5</v>
      </c>
      <c r="K92" s="133">
        <f t="shared" si="437"/>
        <v>0.7</v>
      </c>
      <c r="L92" s="133">
        <f t="shared" si="437"/>
        <v>0.8</v>
      </c>
      <c r="M92" s="133">
        <f t="shared" si="437"/>
        <v>2.9</v>
      </c>
      <c r="N92" s="133">
        <f t="shared" si="437"/>
        <v>4.5999999999999996</v>
      </c>
      <c r="O92" s="133">
        <f t="shared" si="437"/>
        <v>3.78</v>
      </c>
      <c r="P92" s="133">
        <f t="shared" si="437"/>
        <v>2.52</v>
      </c>
      <c r="Q92" s="133">
        <f t="shared" si="437"/>
        <v>3.23</v>
      </c>
      <c r="R92" s="133">
        <f t="shared" ref="R92:V92" si="438">R63</f>
        <v>3.61</v>
      </c>
      <c r="S92" s="133">
        <f t="shared" si="438"/>
        <v>4.25</v>
      </c>
      <c r="T92" s="133">
        <f t="shared" si="438"/>
        <v>4.25</v>
      </c>
      <c r="U92" s="133">
        <f t="shared" si="438"/>
        <v>4.1500000000000004</v>
      </c>
      <c r="V92" s="133">
        <f t="shared" si="438"/>
        <v>5.08</v>
      </c>
      <c r="W92" s="133">
        <f t="shared" ref="W92" si="439">W63</f>
        <v>11</v>
      </c>
      <c r="X92" s="133">
        <f t="shared" ref="X92:Z92" si="440">X63</f>
        <v>11</v>
      </c>
      <c r="Y92" s="133">
        <f t="shared" ref="Y92" si="441">Y63</f>
        <v>4</v>
      </c>
      <c r="Z92" s="133">
        <f t="shared" si="440"/>
        <v>6.1</v>
      </c>
      <c r="AA92" s="101">
        <f t="shared" si="290"/>
        <v>7.6626804688745276E-2</v>
      </c>
      <c r="AB92" s="109"/>
      <c r="AC92" s="133">
        <f t="shared" ref="AC92:AL92" si="442">AC63</f>
        <v>6.2219999999999995</v>
      </c>
      <c r="AD92" s="133">
        <f t="shared" si="442"/>
        <v>6.3464399999999994</v>
      </c>
      <c r="AE92" s="133">
        <f t="shared" si="442"/>
        <v>6.4733687999999994</v>
      </c>
      <c r="AF92" s="133">
        <f t="shared" si="442"/>
        <v>6.6028361759999994</v>
      </c>
      <c r="AG92" s="133">
        <f t="shared" si="442"/>
        <v>6.7348928995199993</v>
      </c>
      <c r="AH92" s="133">
        <f t="shared" si="442"/>
        <v>6.8695907575103989</v>
      </c>
      <c r="AI92" s="133">
        <f t="shared" si="442"/>
        <v>7.0069825726606068</v>
      </c>
      <c r="AJ92" s="133">
        <f t="shared" si="442"/>
        <v>7.1471222241138186</v>
      </c>
      <c r="AK92" s="133">
        <f t="shared" si="442"/>
        <v>7.290064668596095</v>
      </c>
      <c r="AL92" s="133">
        <f t="shared" si="442"/>
        <v>7.435865961968017</v>
      </c>
      <c r="AM92" s="114">
        <f t="shared" ref="AM92" si="443">((AL92/J92)^(1/($AL$3-$K$1) ))-1</f>
        <v>2.6325096074949261E-2</v>
      </c>
      <c r="AN92" s="21">
        <f t="shared" si="21"/>
        <v>0.01</v>
      </c>
      <c r="AO92" s="122" t="e">
        <f t="shared" si="328"/>
        <v>#DIV/0!</v>
      </c>
    </row>
    <row r="93" spans="2:41" x14ac:dyDescent="0.15">
      <c r="B93" s="10"/>
      <c r="C93" s="108"/>
      <c r="D93" s="108"/>
      <c r="E93" s="108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  <c r="AA93" s="101" t="e">
        <f t="shared" si="290"/>
        <v>#DIV/0!</v>
      </c>
      <c r="AB93" s="10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15"/>
      <c r="AN93" s="113"/>
      <c r="AO93" s="115"/>
    </row>
    <row r="94" spans="2:41" x14ac:dyDescent="0.15">
      <c r="B94" s="10" t="s">
        <v>262</v>
      </c>
      <c r="C94" s="108"/>
      <c r="D94" s="108"/>
      <c r="E94" s="108"/>
      <c r="F94" s="120"/>
      <c r="G94" s="120">
        <f t="shared" ref="G94" si="444">G20+G21</f>
        <v>-4</v>
      </c>
      <c r="H94" s="120">
        <f t="shared" ref="H94:I94" si="445">H20+H21</f>
        <v>-4</v>
      </c>
      <c r="I94" s="120">
        <f t="shared" si="445"/>
        <v>-9</v>
      </c>
      <c r="J94" s="120">
        <f t="shared" ref="J94:Q94" si="446">J20+J21</f>
        <v>-92</v>
      </c>
      <c r="K94" s="120">
        <f t="shared" si="446"/>
        <v>-145</v>
      </c>
      <c r="L94" s="120">
        <f t="shared" si="446"/>
        <v>91</v>
      </c>
      <c r="M94" s="120">
        <f t="shared" si="446"/>
        <v>196</v>
      </c>
      <c r="N94" s="120">
        <f t="shared" si="446"/>
        <v>24</v>
      </c>
      <c r="O94" s="120">
        <f t="shared" si="446"/>
        <v>226</v>
      </c>
      <c r="P94" s="120">
        <f t="shared" si="446"/>
        <v>215</v>
      </c>
      <c r="Q94" s="120">
        <f t="shared" si="446"/>
        <v>-65</v>
      </c>
      <c r="R94" s="120">
        <f t="shared" ref="R94:V94" si="447">R20+R21</f>
        <v>7</v>
      </c>
      <c r="S94" s="120">
        <f t="shared" si="447"/>
        <v>162</v>
      </c>
      <c r="T94" s="120">
        <f t="shared" si="447"/>
        <v>18</v>
      </c>
      <c r="U94" s="120">
        <f t="shared" si="447"/>
        <v>86</v>
      </c>
      <c r="V94" s="120">
        <f t="shared" si="447"/>
        <v>93</v>
      </c>
      <c r="W94" s="120">
        <f t="shared" ref="W94" si="448">W20+W21</f>
        <v>346</v>
      </c>
      <c r="X94" s="120">
        <f t="shared" ref="X94:Z94" si="449">X20+X21</f>
        <v>186</v>
      </c>
      <c r="Y94" s="120">
        <f t="shared" ref="Y94" si="450">Y20+Y21</f>
        <v>151</v>
      </c>
      <c r="Z94" s="120">
        <f t="shared" si="449"/>
        <v>0</v>
      </c>
      <c r="AA94" s="101">
        <f t="shared" si="290"/>
        <v>-1</v>
      </c>
      <c r="AB94" s="109"/>
      <c r="AC94" s="120">
        <f t="shared" ref="AC94:AL94" si="451">AC20+AC21</f>
        <v>0</v>
      </c>
      <c r="AD94" s="120">
        <f t="shared" si="451"/>
        <v>0</v>
      </c>
      <c r="AE94" s="120">
        <f t="shared" si="451"/>
        <v>0</v>
      </c>
      <c r="AF94" s="120">
        <f t="shared" si="451"/>
        <v>0</v>
      </c>
      <c r="AG94" s="120">
        <f t="shared" si="451"/>
        <v>0</v>
      </c>
      <c r="AH94" s="120">
        <f t="shared" si="451"/>
        <v>0</v>
      </c>
      <c r="AI94" s="120">
        <f t="shared" si="451"/>
        <v>0</v>
      </c>
      <c r="AJ94" s="120">
        <f t="shared" si="451"/>
        <v>0</v>
      </c>
      <c r="AK94" s="120">
        <f t="shared" si="451"/>
        <v>0</v>
      </c>
      <c r="AL94" s="120">
        <f t="shared" si="451"/>
        <v>0</v>
      </c>
      <c r="AM94" s="114">
        <f t="shared" ref="AM94:AM99" si="452">((AL94/J94)^(1/($AL$3-$K$1) ))-1</f>
        <v>-1</v>
      </c>
      <c r="AN94" s="21">
        <f t="shared" si="21"/>
        <v>0.01</v>
      </c>
      <c r="AO94" s="122" t="e">
        <f t="shared" si="328"/>
        <v>#DIV/0!</v>
      </c>
    </row>
    <row r="95" spans="2:41" x14ac:dyDescent="0.15">
      <c r="B95" s="10"/>
      <c r="C95" s="108"/>
      <c r="D95" s="108"/>
      <c r="E95" s="108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  <c r="AA95" s="101" t="e">
        <f t="shared" si="290"/>
        <v>#DIV/0!</v>
      </c>
      <c r="AB95" s="10"/>
      <c r="AC95" s="122"/>
      <c r="AD95" s="122"/>
      <c r="AE95" s="122"/>
      <c r="AF95" s="122"/>
      <c r="AG95" s="122"/>
      <c r="AH95" s="122"/>
      <c r="AI95" s="122"/>
      <c r="AJ95" s="122"/>
      <c r="AK95" s="122"/>
      <c r="AL95" s="122"/>
      <c r="AM95" s="115"/>
      <c r="AN95" s="113"/>
      <c r="AO95" s="115"/>
    </row>
    <row r="96" spans="2:41" x14ac:dyDescent="0.15">
      <c r="B96" s="10" t="s">
        <v>263</v>
      </c>
      <c r="C96" s="108"/>
      <c r="D96" s="108"/>
      <c r="E96" s="108"/>
      <c r="F96" s="120"/>
      <c r="G96" s="120">
        <f t="shared" ref="G96" si="453">G94/G61</f>
        <v>-3.5398230088495577</v>
      </c>
      <c r="H96" s="120">
        <f t="shared" ref="H96:I96" si="454">H94/H61</f>
        <v>-3.5398230088495577</v>
      </c>
      <c r="I96" s="120">
        <f t="shared" si="454"/>
        <v>-7.9646017699115053</v>
      </c>
      <c r="J96" s="120">
        <f t="shared" ref="J96:Q96" si="455">J94/J61</f>
        <v>-81.415929203539832</v>
      </c>
      <c r="K96" s="120">
        <f t="shared" si="455"/>
        <v>-25.48330404217926</v>
      </c>
      <c r="L96" s="120">
        <f t="shared" si="455"/>
        <v>10.655737704918034</v>
      </c>
      <c r="M96" s="120">
        <f t="shared" si="455"/>
        <v>22.95081967213115</v>
      </c>
      <c r="N96" s="120">
        <f t="shared" si="455"/>
        <v>2.8103044496487124</v>
      </c>
      <c r="O96" s="120">
        <f t="shared" si="455"/>
        <v>26.463700234192039</v>
      </c>
      <c r="P96" s="120">
        <f t="shared" si="455"/>
        <v>12.587822014051524</v>
      </c>
      <c r="Q96" s="120">
        <f t="shared" si="455"/>
        <v>-3.8056206088992979</v>
      </c>
      <c r="R96" s="120">
        <f t="shared" ref="R96:V96" si="456">R94/R61</f>
        <v>0.40983606557377056</v>
      </c>
      <c r="S96" s="120">
        <f t="shared" si="456"/>
        <v>9.4847775175644031</v>
      </c>
      <c r="T96" s="120">
        <f t="shared" si="456"/>
        <v>1.053864168618267</v>
      </c>
      <c r="U96" s="120">
        <f t="shared" si="456"/>
        <v>5.0351288056206096</v>
      </c>
      <c r="V96" s="120">
        <f t="shared" si="456"/>
        <v>5.4449648711943803</v>
      </c>
      <c r="W96" s="120">
        <f t="shared" ref="W96" si="457">W94/W61</f>
        <v>20.257611241217802</v>
      </c>
      <c r="X96" s="120">
        <f t="shared" ref="X96:Z96" si="458">X94/X61</f>
        <v>10.889929742388761</v>
      </c>
      <c r="Y96" s="120">
        <f t="shared" ref="Y96" si="459">Y94/Y61</f>
        <v>8.840749414519907</v>
      </c>
      <c r="Z96" s="120">
        <f t="shared" si="458"/>
        <v>0</v>
      </c>
      <c r="AA96" s="101">
        <f t="shared" si="290"/>
        <v>-1</v>
      </c>
      <c r="AB96" s="109"/>
      <c r="AC96" s="122">
        <f t="shared" ref="AC96:AL96" si="460">AC94/AC61</f>
        <v>0</v>
      </c>
      <c r="AD96" s="122">
        <f t="shared" si="460"/>
        <v>0</v>
      </c>
      <c r="AE96" s="122">
        <f t="shared" si="460"/>
        <v>0</v>
      </c>
      <c r="AF96" s="122">
        <f t="shared" si="460"/>
        <v>0</v>
      </c>
      <c r="AG96" s="122">
        <f t="shared" si="460"/>
        <v>0</v>
      </c>
      <c r="AH96" s="122">
        <f t="shared" si="460"/>
        <v>0</v>
      </c>
      <c r="AI96" s="122">
        <f t="shared" si="460"/>
        <v>0</v>
      </c>
      <c r="AJ96" s="122">
        <f t="shared" si="460"/>
        <v>0</v>
      </c>
      <c r="AK96" s="122">
        <f t="shared" si="460"/>
        <v>0</v>
      </c>
      <c r="AL96" s="122">
        <f t="shared" si="460"/>
        <v>0</v>
      </c>
      <c r="AM96" s="114">
        <f t="shared" si="452"/>
        <v>-1</v>
      </c>
      <c r="AN96" s="21">
        <f t="shared" si="21"/>
        <v>0.01</v>
      </c>
      <c r="AO96" s="122" t="e">
        <f t="shared" si="328"/>
        <v>#DIV/0!</v>
      </c>
    </row>
    <row r="97" spans="2:41" x14ac:dyDescent="0.15">
      <c r="B97" s="10" t="s">
        <v>236</v>
      </c>
      <c r="C97" s="108"/>
      <c r="D97" s="108"/>
      <c r="E97" s="108"/>
      <c r="F97" s="120"/>
      <c r="G97" s="120">
        <f t="shared" ref="G97" si="461">G20/G61</f>
        <v>5.3097345132743365</v>
      </c>
      <c r="H97" s="120">
        <f t="shared" ref="H97:I97" si="462">H20/H61</f>
        <v>6.1946902654867264</v>
      </c>
      <c r="I97" s="120">
        <f t="shared" si="462"/>
        <v>23.008849557522126</v>
      </c>
      <c r="J97" s="120">
        <f t="shared" ref="J97:Q97" si="463">J20/J61</f>
        <v>-33.628318584070797</v>
      </c>
      <c r="K97" s="120">
        <f t="shared" si="463"/>
        <v>-5.2724077328646741</v>
      </c>
      <c r="L97" s="120">
        <f t="shared" si="463"/>
        <v>26.112412177985952</v>
      </c>
      <c r="M97" s="120">
        <f t="shared" si="463"/>
        <v>25.058548009367684</v>
      </c>
      <c r="N97" s="120">
        <f t="shared" si="463"/>
        <v>9.9531615925058556</v>
      </c>
      <c r="O97" s="120">
        <f t="shared" si="463"/>
        <v>34.660421545667454</v>
      </c>
      <c r="P97" s="120">
        <f t="shared" si="463"/>
        <v>19.613583138173304</v>
      </c>
      <c r="Q97" s="120">
        <f t="shared" si="463"/>
        <v>16.334894613583138</v>
      </c>
      <c r="R97" s="120">
        <f t="shared" ref="R97:V97" si="464">R20/R61</f>
        <v>22.716627634660423</v>
      </c>
      <c r="S97" s="120">
        <f t="shared" si="464"/>
        <v>32.435597189695557</v>
      </c>
      <c r="T97" s="120">
        <f t="shared" si="464"/>
        <v>32.318501170960189</v>
      </c>
      <c r="U97" s="120">
        <f t="shared" si="464"/>
        <v>18.852459016393446</v>
      </c>
      <c r="V97" s="120">
        <f t="shared" si="464"/>
        <v>31.674473067915695</v>
      </c>
      <c r="W97" s="120">
        <f t="shared" ref="W97" si="465">W20/W61</f>
        <v>68.911007025761137</v>
      </c>
      <c r="X97" s="120">
        <f t="shared" ref="X97:Z97" si="466">X20/X61</f>
        <v>46.955503512880568</v>
      </c>
      <c r="Y97" s="120">
        <f t="shared" ref="Y97" si="467">Y20/Y61</f>
        <v>37.060889929742395</v>
      </c>
      <c r="Z97" s="120">
        <f t="shared" si="466"/>
        <v>0</v>
      </c>
      <c r="AA97" s="101">
        <f t="shared" si="290"/>
        <v>-1</v>
      </c>
      <c r="AB97" s="109"/>
      <c r="AC97" s="122">
        <f t="shared" ref="AC97:AL97" si="468">AC20/AC61</f>
        <v>0</v>
      </c>
      <c r="AD97" s="122">
        <f t="shared" si="468"/>
        <v>0</v>
      </c>
      <c r="AE97" s="122">
        <f t="shared" si="468"/>
        <v>0</v>
      </c>
      <c r="AF97" s="122">
        <f t="shared" si="468"/>
        <v>0</v>
      </c>
      <c r="AG97" s="122">
        <f t="shared" si="468"/>
        <v>0</v>
      </c>
      <c r="AH97" s="122">
        <f t="shared" si="468"/>
        <v>0</v>
      </c>
      <c r="AI97" s="122">
        <f t="shared" si="468"/>
        <v>0</v>
      </c>
      <c r="AJ97" s="122">
        <f t="shared" si="468"/>
        <v>0</v>
      </c>
      <c r="AK97" s="122">
        <f t="shared" si="468"/>
        <v>0</v>
      </c>
      <c r="AL97" s="122">
        <f t="shared" si="468"/>
        <v>0</v>
      </c>
      <c r="AM97" s="114">
        <f t="shared" si="452"/>
        <v>-1</v>
      </c>
      <c r="AN97" s="21">
        <f t="shared" si="21"/>
        <v>0.01</v>
      </c>
      <c r="AO97" s="122" t="e">
        <f t="shared" si="328"/>
        <v>#DIV/0!</v>
      </c>
    </row>
    <row r="98" spans="2:41" x14ac:dyDescent="0.15">
      <c r="B98" s="10" t="s">
        <v>237</v>
      </c>
      <c r="C98" s="108"/>
      <c r="D98" s="108"/>
      <c r="E98" s="108"/>
      <c r="F98" s="120"/>
      <c r="G98" s="120">
        <f t="shared" ref="G98" si="469">G21/G61</f>
        <v>-8.8495575221238951</v>
      </c>
      <c r="H98" s="120">
        <f t="shared" ref="H98:I98" si="470">H21/H61</f>
        <v>-9.7345132743362832</v>
      </c>
      <c r="I98" s="120">
        <f t="shared" si="470"/>
        <v>-30.973451327433633</v>
      </c>
      <c r="J98" s="120">
        <f t="shared" ref="J98:Q98" si="471">J21/J61</f>
        <v>-47.787610619469028</v>
      </c>
      <c r="K98" s="120">
        <f t="shared" si="471"/>
        <v>-20.210896309314585</v>
      </c>
      <c r="L98" s="120">
        <f t="shared" si="471"/>
        <v>-15.456674473067917</v>
      </c>
      <c r="M98" s="120">
        <f t="shared" si="471"/>
        <v>-2.1077283372365341</v>
      </c>
      <c r="N98" s="120">
        <f t="shared" si="471"/>
        <v>-7.1428571428571432</v>
      </c>
      <c r="O98" s="120">
        <f t="shared" si="471"/>
        <v>-8.1967213114754109</v>
      </c>
      <c r="P98" s="120">
        <f t="shared" si="471"/>
        <v>-7.0257611241217806</v>
      </c>
      <c r="Q98" s="120">
        <f t="shared" si="471"/>
        <v>-20.140515222482438</v>
      </c>
      <c r="R98" s="120">
        <f t="shared" ref="R98:V98" si="472">R21/R61</f>
        <v>-22.306791569086652</v>
      </c>
      <c r="S98" s="120">
        <f t="shared" si="472"/>
        <v>-22.95081967213115</v>
      </c>
      <c r="T98" s="120">
        <f t="shared" si="472"/>
        <v>-31.264637002341924</v>
      </c>
      <c r="U98" s="120">
        <f t="shared" si="472"/>
        <v>-13.817330210772836</v>
      </c>
      <c r="V98" s="120">
        <f t="shared" si="472"/>
        <v>-26.229508196721316</v>
      </c>
      <c r="W98" s="120">
        <f t="shared" ref="W98" si="473">W21/W61</f>
        <v>-48.653395784543328</v>
      </c>
      <c r="X98" s="120">
        <f t="shared" ref="X98:Z98" si="474">X21/X61</f>
        <v>-36.06557377049181</v>
      </c>
      <c r="Y98" s="120">
        <f t="shared" ref="Y98" si="475">Y21/Y61</f>
        <v>-28.220140515222486</v>
      </c>
      <c r="Z98" s="120">
        <f t="shared" si="474"/>
        <v>0</v>
      </c>
      <c r="AA98" s="101">
        <f t="shared" si="290"/>
        <v>-1</v>
      </c>
      <c r="AB98" s="109"/>
      <c r="AC98" s="122">
        <f t="shared" ref="AC98:AL98" si="476">AC21/AC61</f>
        <v>0</v>
      </c>
      <c r="AD98" s="122">
        <f t="shared" si="476"/>
        <v>0</v>
      </c>
      <c r="AE98" s="122">
        <f t="shared" si="476"/>
        <v>0</v>
      </c>
      <c r="AF98" s="122">
        <f t="shared" si="476"/>
        <v>0</v>
      </c>
      <c r="AG98" s="122">
        <f t="shared" si="476"/>
        <v>0</v>
      </c>
      <c r="AH98" s="122">
        <f t="shared" si="476"/>
        <v>0</v>
      </c>
      <c r="AI98" s="122">
        <f t="shared" si="476"/>
        <v>0</v>
      </c>
      <c r="AJ98" s="122">
        <f t="shared" si="476"/>
        <v>0</v>
      </c>
      <c r="AK98" s="122">
        <f t="shared" si="476"/>
        <v>0</v>
      </c>
      <c r="AL98" s="122">
        <f t="shared" si="476"/>
        <v>0</v>
      </c>
      <c r="AM98" s="114">
        <f t="shared" si="452"/>
        <v>-1</v>
      </c>
      <c r="AN98" s="21">
        <f t="shared" si="21"/>
        <v>0.01</v>
      </c>
      <c r="AO98" s="122" t="e">
        <f t="shared" si="328"/>
        <v>#DIV/0!</v>
      </c>
    </row>
    <row r="99" spans="2:41" x14ac:dyDescent="0.15">
      <c r="B99" s="10" t="s">
        <v>238</v>
      </c>
      <c r="C99" s="108"/>
      <c r="D99" s="108"/>
      <c r="E99" s="108"/>
      <c r="F99" s="120"/>
      <c r="G99" s="120">
        <f t="shared" ref="G99" si="477">G22/G61</f>
        <v>2.6548672566371683</v>
      </c>
      <c r="H99" s="120">
        <f t="shared" ref="H99:I99" si="478">H22/H61</f>
        <v>6.1946902654867264</v>
      </c>
      <c r="I99" s="120">
        <f t="shared" si="478"/>
        <v>10.619469026548673</v>
      </c>
      <c r="J99" s="120">
        <f t="shared" ref="J99:Q99" si="479">J22/J61</f>
        <v>85.840707964601776</v>
      </c>
      <c r="K99" s="120">
        <f t="shared" si="479"/>
        <v>30.052724077328644</v>
      </c>
      <c r="L99" s="120">
        <f t="shared" si="479"/>
        <v>-8.5480093676814999</v>
      </c>
      <c r="M99" s="120">
        <f t="shared" si="479"/>
        <v>-23.887587822014055</v>
      </c>
      <c r="N99" s="120">
        <f t="shared" si="479"/>
        <v>-5.3864168618266985</v>
      </c>
      <c r="O99" s="120">
        <f t="shared" si="479"/>
        <v>-4.918032786885246</v>
      </c>
      <c r="P99" s="120">
        <f t="shared" si="479"/>
        <v>-2.0491803278688527</v>
      </c>
      <c r="Q99" s="120">
        <f t="shared" si="479"/>
        <v>-3.1030444964871196</v>
      </c>
      <c r="R99" s="120">
        <f t="shared" ref="R99:V99" si="480">R22/R61</f>
        <v>-4.3325526932084317</v>
      </c>
      <c r="S99" s="120">
        <f t="shared" si="480"/>
        <v>-9.5433255269320849</v>
      </c>
      <c r="T99" s="120">
        <f t="shared" si="480"/>
        <v>-0.117096018735363</v>
      </c>
      <c r="U99" s="120">
        <f t="shared" si="480"/>
        <v>-8.0796252927400474</v>
      </c>
      <c r="V99" s="120">
        <f t="shared" si="480"/>
        <v>-5.3864168618266985</v>
      </c>
      <c r="W99" s="120">
        <f t="shared" ref="W99" si="481">W22/W61</f>
        <v>-21.311475409836067</v>
      </c>
      <c r="X99" s="120">
        <f t="shared" ref="X99:Z99" si="482">X22/X61</f>
        <v>-7.1428571428571432</v>
      </c>
      <c r="Y99" s="120">
        <f t="shared" ref="Y99" si="483">Y22/Y61</f>
        <v>-12.47072599531616</v>
      </c>
      <c r="Z99" s="120">
        <f t="shared" si="482"/>
        <v>0</v>
      </c>
      <c r="AA99" s="101">
        <f t="shared" si="290"/>
        <v>-1</v>
      </c>
      <c r="AB99" s="109"/>
      <c r="AC99" s="122">
        <f t="shared" ref="AC99:AL99" si="484">AC22/AC61</f>
        <v>0</v>
      </c>
      <c r="AD99" s="122">
        <f t="shared" si="484"/>
        <v>0</v>
      </c>
      <c r="AE99" s="122">
        <f t="shared" si="484"/>
        <v>0</v>
      </c>
      <c r="AF99" s="122">
        <f t="shared" si="484"/>
        <v>0</v>
      </c>
      <c r="AG99" s="122">
        <f t="shared" si="484"/>
        <v>0</v>
      </c>
      <c r="AH99" s="122">
        <f t="shared" si="484"/>
        <v>0</v>
      </c>
      <c r="AI99" s="122">
        <f t="shared" si="484"/>
        <v>0</v>
      </c>
      <c r="AJ99" s="122">
        <f t="shared" si="484"/>
        <v>0</v>
      </c>
      <c r="AK99" s="122">
        <f t="shared" si="484"/>
        <v>0</v>
      </c>
      <c r="AL99" s="122">
        <f t="shared" si="484"/>
        <v>0</v>
      </c>
      <c r="AM99" s="114">
        <f t="shared" si="452"/>
        <v>-1</v>
      </c>
      <c r="AN99" s="21">
        <f t="shared" si="21"/>
        <v>0.01</v>
      </c>
      <c r="AO99" s="122" t="e">
        <f t="shared" si="328"/>
        <v>#DIV/0!</v>
      </c>
    </row>
    <row r="100" spans="2:41" x14ac:dyDescent="0.15">
      <c r="B100" s="10" t="s">
        <v>245</v>
      </c>
      <c r="C100" s="108"/>
      <c r="D100" s="108"/>
      <c r="E100" s="108"/>
      <c r="F100" s="120"/>
      <c r="G100" s="120">
        <f t="shared" ref="G100" si="485">G23/G61</f>
        <v>13.274336283185843</v>
      </c>
      <c r="H100" s="120">
        <f t="shared" ref="H100:I100" si="486">H23/H61</f>
        <v>15.044247787610621</v>
      </c>
      <c r="I100" s="120">
        <f t="shared" si="486"/>
        <v>18.584070796460178</v>
      </c>
      <c r="J100" s="120">
        <f t="shared" ref="J100:Q100" si="487">J23/J61</f>
        <v>23.008849557522126</v>
      </c>
      <c r="K100" s="120">
        <f t="shared" si="487"/>
        <v>8.9630931458699461</v>
      </c>
      <c r="L100" s="120">
        <f t="shared" si="487"/>
        <v>8.1967213114754109</v>
      </c>
      <c r="M100" s="120">
        <f t="shared" si="487"/>
        <v>7.2599531615925068</v>
      </c>
      <c r="N100" s="120">
        <f t="shared" si="487"/>
        <v>4.6838407494145207</v>
      </c>
      <c r="O100" s="120">
        <f t="shared" si="487"/>
        <v>26.81498829039813</v>
      </c>
      <c r="P100" s="120">
        <f t="shared" si="487"/>
        <v>23.946135831381735</v>
      </c>
      <c r="Q100" s="120">
        <f t="shared" si="487"/>
        <v>17.15456674473068</v>
      </c>
      <c r="R100" s="120">
        <f t="shared" ref="R100:V100" si="488">R23/R61</f>
        <v>12.880562060889931</v>
      </c>
      <c r="S100" s="120">
        <f t="shared" si="488"/>
        <v>4.5667447306791571</v>
      </c>
      <c r="T100" s="120">
        <f t="shared" si="488"/>
        <v>1.2880562060889931</v>
      </c>
      <c r="U100" s="120">
        <f t="shared" si="488"/>
        <v>-2.9859484777517569</v>
      </c>
      <c r="V100" s="120">
        <f t="shared" si="488"/>
        <v>5.8548009367681501E-2</v>
      </c>
      <c r="W100" s="120">
        <f t="shared" ref="W100" si="489">W23/W61</f>
        <v>-1.053864168618267</v>
      </c>
      <c r="X100" s="120">
        <f t="shared" ref="X100:Z100" si="490">X23/X61</f>
        <v>3.7470725995316161</v>
      </c>
      <c r="Y100" s="120">
        <f t="shared" ref="Y100" si="491">Y23/Y61</f>
        <v>-3.6299765807962534</v>
      </c>
      <c r="Z100" s="120">
        <f t="shared" si="490"/>
        <v>0</v>
      </c>
      <c r="AA100" s="101">
        <f t="shared" si="290"/>
        <v>-1</v>
      </c>
      <c r="AB100" s="109"/>
      <c r="AC100" s="122">
        <f t="shared" ref="AC100:AL100" si="492">AC23/AC61</f>
        <v>0</v>
      </c>
      <c r="AD100" s="122">
        <f t="shared" si="492"/>
        <v>0</v>
      </c>
      <c r="AE100" s="122">
        <f t="shared" si="492"/>
        <v>0</v>
      </c>
      <c r="AF100" s="122">
        <f t="shared" si="492"/>
        <v>0</v>
      </c>
      <c r="AG100" s="122">
        <f t="shared" si="492"/>
        <v>0</v>
      </c>
      <c r="AH100" s="122">
        <f t="shared" si="492"/>
        <v>0</v>
      </c>
      <c r="AI100" s="122">
        <f t="shared" si="492"/>
        <v>0</v>
      </c>
      <c r="AJ100" s="122">
        <f t="shared" si="492"/>
        <v>0</v>
      </c>
      <c r="AK100" s="122">
        <f t="shared" si="492"/>
        <v>0</v>
      </c>
      <c r="AL100" s="122">
        <f t="shared" si="492"/>
        <v>0</v>
      </c>
      <c r="AM100" s="114">
        <f t="shared" ref="AM100" si="493">((AL100/J100)^(1/($AL$3-$K$1) ))-1</f>
        <v>-1</v>
      </c>
      <c r="AN100" s="21">
        <f t="shared" si="21"/>
        <v>0.01</v>
      </c>
      <c r="AO100" s="122" t="e">
        <f t="shared" si="328"/>
        <v>#DIV/0!</v>
      </c>
    </row>
    <row r="101" spans="2:41" x14ac:dyDescent="0.15">
      <c r="B101" s="10"/>
      <c r="C101" s="108"/>
      <c r="D101" s="108"/>
      <c r="E101" s="108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  <c r="AA101" s="101" t="e">
        <f t="shared" si="290"/>
        <v>#DIV/0!</v>
      </c>
      <c r="AB101" s="10"/>
      <c r="AC101" s="102"/>
      <c r="AD101" s="102"/>
      <c r="AE101" s="102"/>
      <c r="AF101" s="102"/>
      <c r="AG101" s="102"/>
      <c r="AH101" s="102"/>
      <c r="AI101" s="102"/>
      <c r="AJ101" s="102"/>
      <c r="AK101" s="102"/>
      <c r="AL101" s="102"/>
      <c r="AM101" s="115"/>
      <c r="AN101" s="113"/>
      <c r="AO101" s="115"/>
    </row>
    <row r="102" spans="2:41" x14ac:dyDescent="0.15">
      <c r="B102" s="10" t="s">
        <v>429</v>
      </c>
      <c r="C102" s="120"/>
      <c r="D102" s="120"/>
      <c r="E102" s="120"/>
      <c r="F102" s="120"/>
      <c r="G102" s="120">
        <f t="shared" ref="G102" si="494">G53/G61</f>
        <v>19.469026548672566</v>
      </c>
      <c r="H102" s="120">
        <f t="shared" ref="H102:I102" si="495">H53/H61</f>
        <v>21.238938053097346</v>
      </c>
      <c r="I102" s="120">
        <f t="shared" si="495"/>
        <v>46.902654867256643</v>
      </c>
      <c r="J102" s="120">
        <f t="shared" ref="J102:Q102" si="496">J53/J61</f>
        <v>82.300884955752224</v>
      </c>
      <c r="K102" s="120">
        <f t="shared" si="496"/>
        <v>31.985940246045693</v>
      </c>
      <c r="L102" s="120">
        <f t="shared" si="496"/>
        <v>24.355971896955506</v>
      </c>
      <c r="M102" s="120">
        <f t="shared" si="496"/>
        <v>34.30913348946136</v>
      </c>
      <c r="N102" s="120">
        <f t="shared" si="496"/>
        <v>30.210772833723656</v>
      </c>
      <c r="O102" s="120">
        <f t="shared" si="496"/>
        <v>41.686182669789233</v>
      </c>
      <c r="P102" s="120">
        <f t="shared" si="496"/>
        <v>26.463700234192039</v>
      </c>
      <c r="Q102" s="120">
        <f t="shared" si="496"/>
        <v>32.786885245901644</v>
      </c>
      <c r="R102" s="120">
        <f t="shared" ref="R102:V102" si="497">R53/R61</f>
        <v>41.510538641686189</v>
      </c>
      <c r="S102" s="120">
        <f t="shared" si="497"/>
        <v>47.833723653395786</v>
      </c>
      <c r="T102" s="120">
        <f t="shared" si="497"/>
        <v>49.707259953161596</v>
      </c>
      <c r="U102" s="120">
        <f t="shared" si="497"/>
        <v>51.697892271662766</v>
      </c>
      <c r="V102" s="120">
        <f t="shared" si="497"/>
        <v>55.913348946135834</v>
      </c>
      <c r="W102" s="120">
        <f t="shared" ref="W102" si="498">W53/W61</f>
        <v>64.344262295081975</v>
      </c>
      <c r="X102" s="120">
        <f t="shared" ref="X102:Z102" si="499">X53/X61</f>
        <v>65.398126463700237</v>
      </c>
      <c r="Y102" s="120">
        <f t="shared" ref="Y102" si="500">Y53/Y61</f>
        <v>59.894613583138181</v>
      </c>
      <c r="Z102" s="120">
        <f t="shared" si="499"/>
        <v>73.302107728337248</v>
      </c>
      <c r="AA102" s="101">
        <f t="shared" si="290"/>
        <v>7.2269125655856303E-2</v>
      </c>
      <c r="AB102" s="109"/>
      <c r="AC102" s="120">
        <f t="shared" ref="AC102:AL102" si="501">AC53/AC61</f>
        <v>79.051292648206839</v>
      </c>
      <c r="AD102" s="120">
        <f t="shared" si="501"/>
        <v>85.25139403237992</v>
      </c>
      <c r="AE102" s="120">
        <f t="shared" si="501"/>
        <v>91.937777878056792</v>
      </c>
      <c r="AF102" s="120">
        <f t="shared" si="501"/>
        <v>99.148583986139698</v>
      </c>
      <c r="AG102" s="120">
        <f t="shared" si="501"/>
        <v>106.92494351446439</v>
      </c>
      <c r="AH102" s="120">
        <f t="shared" si="501"/>
        <v>115.31121359403024</v>
      </c>
      <c r="AI102" s="120">
        <f t="shared" si="501"/>
        <v>124.35523034650319</v>
      </c>
      <c r="AJ102" s="120">
        <f t="shared" si="501"/>
        <v>134.10858174622894</v>
      </c>
      <c r="AK102" s="120">
        <f t="shared" si="501"/>
        <v>144.62690188318811</v>
      </c>
      <c r="AL102" s="120">
        <f t="shared" si="501"/>
        <v>155.97018830539895</v>
      </c>
      <c r="AM102" s="114">
        <f t="shared" ref="AM102:AM104" si="502">((AL102/J102)^(1/($AL$3-$K$1) ))-1</f>
        <v>2.2289011931236002E-2</v>
      </c>
      <c r="AN102" s="21">
        <f t="shared" si="21"/>
        <v>0.01</v>
      </c>
      <c r="AO102" s="122" t="e">
        <f t="shared" si="328"/>
        <v>#DIV/0!</v>
      </c>
    </row>
    <row r="103" spans="2:41" x14ac:dyDescent="0.15">
      <c r="B103" s="10" t="s">
        <v>430</v>
      </c>
      <c r="C103" s="120"/>
      <c r="D103" s="120"/>
      <c r="E103" s="120"/>
      <c r="F103" s="120"/>
      <c r="G103" s="120">
        <f t="shared" ref="G103" si="503">G59/G61</f>
        <v>0.88495575221238942</v>
      </c>
      <c r="H103" s="120">
        <f t="shared" ref="H103:I103" si="504">H59/H61</f>
        <v>7.9646017699115053</v>
      </c>
      <c r="I103" s="120">
        <f t="shared" si="504"/>
        <v>21.238938053097346</v>
      </c>
      <c r="J103" s="120">
        <f t="shared" ref="J103:Q103" si="505">J59/J61</f>
        <v>41.592920353982308</v>
      </c>
      <c r="K103" s="120">
        <f t="shared" si="505"/>
        <v>16.520210896309312</v>
      </c>
      <c r="L103" s="120">
        <f t="shared" si="505"/>
        <v>9.4847775175644031</v>
      </c>
      <c r="M103" s="120">
        <f t="shared" si="505"/>
        <v>19.555035128805624</v>
      </c>
      <c r="N103" s="120">
        <f t="shared" si="505"/>
        <v>17.330210772833727</v>
      </c>
      <c r="O103" s="120">
        <f t="shared" si="505"/>
        <v>25.175644028103047</v>
      </c>
      <c r="P103" s="120">
        <f t="shared" si="505"/>
        <v>16.803278688524593</v>
      </c>
      <c r="Q103" s="120">
        <f t="shared" si="505"/>
        <v>21.487119437939111</v>
      </c>
      <c r="R103" s="120">
        <f t="shared" ref="R103:V103" si="506">R59/R61</f>
        <v>24.004683840749419</v>
      </c>
      <c r="S103" s="120">
        <f t="shared" si="506"/>
        <v>28.629976580796257</v>
      </c>
      <c r="T103" s="120">
        <f t="shared" si="506"/>
        <v>27.985948477751759</v>
      </c>
      <c r="U103" s="120">
        <f t="shared" si="506"/>
        <v>27.576112412177988</v>
      </c>
      <c r="V103" s="120">
        <f t="shared" si="506"/>
        <v>28.278688524590166</v>
      </c>
      <c r="W103" s="120">
        <f t="shared" ref="W103" si="507">W59/W61</f>
        <v>38.700234192037477</v>
      </c>
      <c r="X103" s="120">
        <f t="shared" ref="X103:Z103" si="508">X59/X61</f>
        <v>37.880562060889936</v>
      </c>
      <c r="Y103" s="120">
        <f t="shared" ref="Y103" si="509">Y59/Y61</f>
        <v>29.976580796252929</v>
      </c>
      <c r="Z103" s="120">
        <f t="shared" si="508"/>
        <v>40.632318501170964</v>
      </c>
      <c r="AA103" s="101">
        <f t="shared" si="290"/>
        <v>0.22312559744358373</v>
      </c>
      <c r="AB103" s="109"/>
      <c r="AC103" s="120">
        <f t="shared" ref="AC103:AL103" si="510">AC59/AC61</f>
        <v>43.819167011066732</v>
      </c>
      <c r="AD103" s="120">
        <f t="shared" si="510"/>
        <v>47.255964423699417</v>
      </c>
      <c r="AE103" s="120">
        <f t="shared" si="510"/>
        <v>50.96231457457781</v>
      </c>
      <c r="AF103" s="120">
        <f t="shared" si="510"/>
        <v>54.959358854936859</v>
      </c>
      <c r="AG103" s="120">
        <f t="shared" si="510"/>
        <v>59.269896804343681</v>
      </c>
      <c r="AH103" s="120">
        <f t="shared" si="510"/>
        <v>63.918516161547103</v>
      </c>
      <c r="AI103" s="120">
        <f t="shared" si="510"/>
        <v>68.931733115393939</v>
      </c>
      <c r="AJ103" s="120">
        <f t="shared" si="510"/>
        <v>74.338143555816998</v>
      </c>
      <c r="AK103" s="120">
        <f t="shared" si="510"/>
        <v>80.168586187645786</v>
      </c>
      <c r="AL103" s="120">
        <f t="shared" si="510"/>
        <v>86.456318437657231</v>
      </c>
      <c r="AM103" s="114">
        <f t="shared" si="502"/>
        <v>2.5552360921886397E-2</v>
      </c>
      <c r="AN103" s="21">
        <f t="shared" si="21"/>
        <v>0.01</v>
      </c>
      <c r="AO103" s="122" t="e">
        <f t="shared" si="328"/>
        <v>#DIV/0!</v>
      </c>
    </row>
    <row r="104" spans="2:41" x14ac:dyDescent="0.15">
      <c r="B104" s="10" t="s">
        <v>259</v>
      </c>
      <c r="C104" s="120"/>
      <c r="D104" s="120"/>
      <c r="E104" s="120"/>
      <c r="F104" s="120"/>
      <c r="G104" s="120">
        <f t="shared" ref="G104" si="511">G6/G61</f>
        <v>144.24778761061947</v>
      </c>
      <c r="H104" s="120">
        <f t="shared" ref="H104:I104" si="512">H6/H61</f>
        <v>149.55752212389382</v>
      </c>
      <c r="I104" s="120">
        <f t="shared" si="512"/>
        <v>168.14159292035399</v>
      </c>
      <c r="J104" s="120">
        <f t="shared" ref="J104:Q104" si="513">J6/J61</f>
        <v>205.30973451327435</v>
      </c>
      <c r="K104" s="120">
        <f t="shared" si="513"/>
        <v>56.590509666080841</v>
      </c>
      <c r="L104" s="120">
        <f t="shared" si="513"/>
        <v>45.433255269320846</v>
      </c>
      <c r="M104" s="120">
        <f t="shared" si="513"/>
        <v>61.709601873536307</v>
      </c>
      <c r="N104" s="120">
        <f t="shared" si="513"/>
        <v>73.536299765807968</v>
      </c>
      <c r="O104" s="120">
        <f t="shared" si="513"/>
        <v>94.379391100702591</v>
      </c>
      <c r="P104" s="120">
        <f t="shared" si="513"/>
        <v>61.007025761124126</v>
      </c>
      <c r="Q104" s="120">
        <f t="shared" si="513"/>
        <v>78.74707259953162</v>
      </c>
      <c r="R104" s="120">
        <f t="shared" ref="R104:V104" si="514">R6/R61</f>
        <v>98.50644028103045</v>
      </c>
      <c r="S104" s="120">
        <f t="shared" si="514"/>
        <v>122.01405152224825</v>
      </c>
      <c r="T104" s="120">
        <f t="shared" si="514"/>
        <v>150.76112412177989</v>
      </c>
      <c r="U104" s="120">
        <f t="shared" si="514"/>
        <v>170.96018735363</v>
      </c>
      <c r="V104" s="120">
        <f t="shared" si="514"/>
        <v>194.26229508196724</v>
      </c>
      <c r="W104" s="120">
        <f t="shared" ref="W104" si="515">W6/W61</f>
        <v>213.05620608899301</v>
      </c>
      <c r="X104" s="120">
        <f t="shared" ref="X104:Z104" si="516">X6/X61</f>
        <v>245.49180327868854</v>
      </c>
      <c r="Y104" s="120">
        <f t="shared" ref="Y104" si="517">Y6/Y61</f>
        <v>265.5152224824356</v>
      </c>
      <c r="Z104" s="120">
        <f t="shared" si="516"/>
        <v>309.25058548009372</v>
      </c>
      <c r="AA104" s="101">
        <f t="shared" si="290"/>
        <v>4.0954270060216125E-2</v>
      </c>
      <c r="AB104" s="109"/>
      <c r="AC104" s="120">
        <f t="shared" ref="AC104:AL104" si="518">AC6/AC61</f>
        <v>333.50553336088541</v>
      </c>
      <c r="AD104" s="120">
        <f t="shared" si="518"/>
        <v>359.66283009507254</v>
      </c>
      <c r="AE104" s="120">
        <f t="shared" si="518"/>
        <v>387.87167951429393</v>
      </c>
      <c r="AF104" s="120">
        <f t="shared" si="518"/>
        <v>418.29298771149354</v>
      </c>
      <c r="AG104" s="120">
        <f t="shared" si="518"/>
        <v>451.10028086533617</v>
      </c>
      <c r="AH104" s="120">
        <f t="shared" si="518"/>
        <v>486.48069505085272</v>
      </c>
      <c r="AI104" s="120">
        <f t="shared" si="518"/>
        <v>524.6360436822921</v>
      </c>
      <c r="AJ104" s="120">
        <f t="shared" si="518"/>
        <v>565.78396867698177</v>
      </c>
      <c r="AK104" s="120">
        <f t="shared" si="518"/>
        <v>610.15918190654895</v>
      </c>
      <c r="AL104" s="120">
        <f t="shared" si="518"/>
        <v>658.01480401686661</v>
      </c>
      <c r="AM104" s="114">
        <f t="shared" si="502"/>
        <v>4.0979747049656012E-2</v>
      </c>
      <c r="AN104" s="21">
        <f t="shared" ref="AN104:AN106" si="519">$O$1</f>
        <v>0.01</v>
      </c>
      <c r="AO104" s="122" t="e">
        <f t="shared" si="328"/>
        <v>#DIV/0!</v>
      </c>
    </row>
    <row r="105" spans="2:41" x14ac:dyDescent="0.15">
      <c r="B105" s="10"/>
      <c r="C105" s="108"/>
      <c r="D105" s="108"/>
      <c r="E105" s="108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  <c r="AA105" s="101" t="e">
        <f t="shared" si="290"/>
        <v>#DIV/0!</v>
      </c>
      <c r="AB105" s="10"/>
      <c r="AC105" s="102"/>
      <c r="AD105" s="102"/>
      <c r="AE105" s="102"/>
      <c r="AF105" s="102"/>
      <c r="AG105" s="102"/>
      <c r="AH105" s="102"/>
      <c r="AI105" s="102"/>
      <c r="AJ105" s="102"/>
      <c r="AK105" s="102"/>
      <c r="AL105" s="102"/>
      <c r="AM105" s="115"/>
      <c r="AN105" s="10"/>
      <c r="AO105" s="115"/>
    </row>
    <row r="106" spans="2:41" x14ac:dyDescent="0.15">
      <c r="B106" s="10" t="s">
        <v>406</v>
      </c>
      <c r="C106" s="108"/>
      <c r="D106" s="108"/>
      <c r="E106" s="108"/>
      <c r="F106" s="120"/>
      <c r="G106" s="120">
        <f t="shared" ref="G106:V106" si="520">G59/$Z$61</f>
        <v>5.8548009367681501E-2</v>
      </c>
      <c r="H106" s="120">
        <f t="shared" si="520"/>
        <v>0.52693208430913352</v>
      </c>
      <c r="I106" s="120">
        <f t="shared" si="520"/>
        <v>1.4051522248243562</v>
      </c>
      <c r="J106" s="120">
        <f t="shared" si="520"/>
        <v>2.7517564402810306</v>
      </c>
      <c r="K106" s="120">
        <f t="shared" si="520"/>
        <v>5.5035128805620612</v>
      </c>
      <c r="L106" s="120">
        <f t="shared" si="520"/>
        <v>4.7423887587822016</v>
      </c>
      <c r="M106" s="120">
        <f t="shared" si="520"/>
        <v>9.7775175644028121</v>
      </c>
      <c r="N106" s="120">
        <f t="shared" si="520"/>
        <v>8.6651053864168635</v>
      </c>
      <c r="O106" s="120">
        <f t="shared" si="520"/>
        <v>12.587822014051524</v>
      </c>
      <c r="P106" s="120">
        <f t="shared" si="520"/>
        <v>16.803278688524593</v>
      </c>
      <c r="Q106" s="120">
        <f t="shared" si="520"/>
        <v>21.487119437939111</v>
      </c>
      <c r="R106" s="120">
        <f t="shared" si="520"/>
        <v>24.004683840749419</v>
      </c>
      <c r="S106" s="120">
        <f t="shared" si="520"/>
        <v>28.629976580796257</v>
      </c>
      <c r="T106" s="120">
        <f t="shared" si="520"/>
        <v>27.985948477751759</v>
      </c>
      <c r="U106" s="120">
        <f t="shared" si="520"/>
        <v>27.576112412177988</v>
      </c>
      <c r="V106" s="120">
        <f t="shared" si="520"/>
        <v>28.278688524590166</v>
      </c>
      <c r="W106" s="120">
        <f t="shared" ref="W106" si="521">W59/$Z$61</f>
        <v>38.700234192037477</v>
      </c>
      <c r="X106" s="120">
        <f t="shared" ref="X106:Z106" si="522">X59/$Z$61</f>
        <v>37.880562060889936</v>
      </c>
      <c r="Y106" s="120">
        <f t="shared" ref="Y106" si="523">Y59/$Z$61</f>
        <v>29.976580796252929</v>
      </c>
      <c r="Z106" s="120">
        <f t="shared" si="522"/>
        <v>40.632318501170964</v>
      </c>
      <c r="AA106" s="101">
        <f t="shared" si="290"/>
        <v>0.41105920204643054</v>
      </c>
      <c r="AB106" s="109"/>
      <c r="AC106" s="120">
        <f t="shared" ref="AC106:AL106" si="524">AC59/AC61</f>
        <v>43.819167011066732</v>
      </c>
      <c r="AD106" s="120">
        <f t="shared" si="524"/>
        <v>47.255964423699417</v>
      </c>
      <c r="AE106" s="120">
        <f t="shared" si="524"/>
        <v>50.96231457457781</v>
      </c>
      <c r="AF106" s="120">
        <f t="shared" si="524"/>
        <v>54.959358854936859</v>
      </c>
      <c r="AG106" s="120">
        <f t="shared" si="524"/>
        <v>59.269896804343681</v>
      </c>
      <c r="AH106" s="120">
        <f t="shared" si="524"/>
        <v>63.918516161547103</v>
      </c>
      <c r="AI106" s="120">
        <f t="shared" si="524"/>
        <v>68.931733115393939</v>
      </c>
      <c r="AJ106" s="120">
        <f t="shared" si="524"/>
        <v>74.338143555816998</v>
      </c>
      <c r="AK106" s="120">
        <f t="shared" si="524"/>
        <v>80.168586187645786</v>
      </c>
      <c r="AL106" s="120">
        <f t="shared" si="524"/>
        <v>86.456318437657231</v>
      </c>
      <c r="AM106" s="114">
        <f t="shared" ref="AM106" si="525">((AL106/J106)^(1/($AL$3-$K$1) ))-1</f>
        <v>0.12623009722591472</v>
      </c>
      <c r="AN106" s="21">
        <f t="shared" si="519"/>
        <v>0.01</v>
      </c>
      <c r="AO106" s="122" t="e">
        <f t="shared" si="328"/>
        <v>#DIV/0!</v>
      </c>
    </row>
    <row r="107" spans="2:41" x14ac:dyDescent="0.15">
      <c r="B107" s="10"/>
      <c r="C107" s="108"/>
      <c r="D107" s="108"/>
      <c r="E107" s="108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  <c r="AA107" s="101" t="e">
        <f t="shared" si="290"/>
        <v>#DIV/0!</v>
      </c>
      <c r="AB107" s="10"/>
      <c r="AC107" s="102"/>
      <c r="AD107" s="102"/>
      <c r="AE107" s="102"/>
      <c r="AF107" s="102"/>
      <c r="AG107" s="102"/>
      <c r="AH107" s="102"/>
      <c r="AI107" s="102"/>
      <c r="AJ107" s="102"/>
      <c r="AK107" s="102"/>
      <c r="AL107" s="102"/>
      <c r="AM107" s="115"/>
      <c r="AN107" s="10"/>
      <c r="AO107" s="115"/>
    </row>
    <row r="108" spans="2:41" x14ac:dyDescent="0.15">
      <c r="B108" s="93" t="s">
        <v>258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1" t="e">
        <f t="shared" si="290"/>
        <v>#DIV/0!</v>
      </c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15"/>
    </row>
    <row r="109" spans="2:41" x14ac:dyDescent="0.15">
      <c r="B109" s="10" t="s">
        <v>257</v>
      </c>
      <c r="C109" s="127"/>
      <c r="D109" s="127"/>
      <c r="E109" s="127"/>
      <c r="F109" s="127"/>
      <c r="G109" s="127">
        <f t="shared" ref="G109" si="526">G53/G25</f>
        <v>0.12222222222222222</v>
      </c>
      <c r="H109" s="127">
        <f t="shared" ref="H109:I109" si="527">H53/H25</f>
        <v>9.7560975609756101E-2</v>
      </c>
      <c r="I109" s="127">
        <f t="shared" si="527"/>
        <v>0.13184079601990051</v>
      </c>
      <c r="J109" s="127">
        <f t="shared" ref="J109:Q109" si="528">J53/J25</f>
        <v>0.15</v>
      </c>
      <c r="K109" s="127">
        <f t="shared" si="528"/>
        <v>0.15662650602409639</v>
      </c>
      <c r="L109" s="127">
        <f t="shared" si="528"/>
        <v>0.16086620262954371</v>
      </c>
      <c r="M109" s="127">
        <f t="shared" si="528"/>
        <v>0.19238345370978333</v>
      </c>
      <c r="N109" s="127">
        <f t="shared" si="528"/>
        <v>0.14381270903010032</v>
      </c>
      <c r="O109" s="127">
        <f t="shared" si="528"/>
        <v>0.15065594583157005</v>
      </c>
      <c r="P109" s="127">
        <f t="shared" si="528"/>
        <v>0.14917491749174919</v>
      </c>
      <c r="Q109" s="127">
        <f t="shared" si="528"/>
        <v>0.15968063872255489</v>
      </c>
      <c r="R109" s="127">
        <f t="shared" ref="R109:V109" si="529">R53/R25</f>
        <v>0.16511411271541687</v>
      </c>
      <c r="S109" s="127">
        <f t="shared" si="529"/>
        <v>0.16883653647447819</v>
      </c>
      <c r="T109" s="127">
        <f t="shared" si="529"/>
        <v>0.15333212931190174</v>
      </c>
      <c r="U109" s="127">
        <f t="shared" si="529"/>
        <v>0.1435072322444336</v>
      </c>
      <c r="V109" s="127">
        <f t="shared" si="529"/>
        <v>0.14058589724716619</v>
      </c>
      <c r="W109" s="127">
        <f t="shared" ref="W109" si="530">W53/W25</f>
        <v>0.16069600818833163</v>
      </c>
      <c r="X109" s="127">
        <f t="shared" ref="X109:Z109" si="531">X53/X25</f>
        <v>0.15622377622377623</v>
      </c>
      <c r="Y109" s="127">
        <f t="shared" ref="Y109" si="532">Y53/Y25</f>
        <v>0.1176267678509831</v>
      </c>
      <c r="Z109" s="127">
        <f t="shared" si="531"/>
        <v>0.12052368117058145</v>
      </c>
      <c r="AA109" s="101">
        <f t="shared" si="290"/>
        <v>-7.3628794325930613E-4</v>
      </c>
      <c r="AB109" s="127"/>
      <c r="AC109" s="127">
        <f t="shared" ref="AC109:AL109" si="533">AC53/AC25</f>
        <v>0.12052368117058143</v>
      </c>
      <c r="AD109" s="127">
        <f t="shared" si="533"/>
        <v>0.12052368117058143</v>
      </c>
      <c r="AE109" s="127">
        <f t="shared" si="533"/>
        <v>0.12052368117058143</v>
      </c>
      <c r="AF109" s="127">
        <f t="shared" si="533"/>
        <v>0.12052368117058143</v>
      </c>
      <c r="AG109" s="127">
        <f t="shared" si="533"/>
        <v>0.12052368117058145</v>
      </c>
      <c r="AH109" s="127">
        <f t="shared" si="533"/>
        <v>0.12052368117058146</v>
      </c>
      <c r="AI109" s="127">
        <f t="shared" si="533"/>
        <v>0.12052368117058145</v>
      </c>
      <c r="AJ109" s="127">
        <f t="shared" si="533"/>
        <v>0.12052368117058145</v>
      </c>
      <c r="AK109" s="127">
        <f t="shared" si="533"/>
        <v>0.12052368117058146</v>
      </c>
      <c r="AL109" s="127">
        <f t="shared" si="533"/>
        <v>0.12052368117058146</v>
      </c>
      <c r="AM109" s="114">
        <f t="shared" ref="AM109:AM158" si="534">((AL109/J109)^(1/($AL$3-$K$1) ))-1</f>
        <v>-7.516061601364088E-3</v>
      </c>
      <c r="AN109" s="21">
        <f t="shared" ref="AN109:AN171" si="535">$O$1</f>
        <v>0.01</v>
      </c>
      <c r="AO109" s="122" t="e">
        <f t="shared" si="328"/>
        <v>#DIV/0!</v>
      </c>
    </row>
    <row r="110" spans="2:41" x14ac:dyDescent="0.15">
      <c r="B110" s="10" t="s">
        <v>219</v>
      </c>
      <c r="C110" s="127"/>
      <c r="D110" s="127"/>
      <c r="E110" s="127"/>
      <c r="F110" s="127"/>
      <c r="G110" s="127">
        <f t="shared" ref="G110" si="536">G59/G25</f>
        <v>5.5555555555555558E-3</v>
      </c>
      <c r="H110" s="127">
        <f t="shared" ref="H110:I110" si="537">H59/H25</f>
        <v>3.6585365853658534E-2</v>
      </c>
      <c r="I110" s="127">
        <f t="shared" si="537"/>
        <v>5.9701492537313432E-2</v>
      </c>
      <c r="J110" s="127">
        <f t="shared" ref="J110:Q110" si="538">J59/J25</f>
        <v>7.5806451612903225E-2</v>
      </c>
      <c r="K110" s="127">
        <f t="shared" si="538"/>
        <v>8.0895008605851984E-2</v>
      </c>
      <c r="L110" s="127">
        <f t="shared" si="538"/>
        <v>6.2645011600928072E-2</v>
      </c>
      <c r="M110" s="127">
        <f t="shared" si="538"/>
        <v>0.10965200262639527</v>
      </c>
      <c r="N110" s="127">
        <f t="shared" si="538"/>
        <v>8.2497212931995537E-2</v>
      </c>
      <c r="O110" s="127">
        <f t="shared" si="538"/>
        <v>9.0986034701650439E-2</v>
      </c>
      <c r="P110" s="127">
        <f t="shared" si="538"/>
        <v>9.4719471947194725E-2</v>
      </c>
      <c r="Q110" s="127">
        <f t="shared" si="538"/>
        <v>0.10464784716281722</v>
      </c>
      <c r="R110" s="127">
        <f t="shared" ref="R110:V110" si="539">R59/R25</f>
        <v>9.5482068001863069E-2</v>
      </c>
      <c r="S110" s="127">
        <f t="shared" si="539"/>
        <v>0.10105393676379418</v>
      </c>
      <c r="T110" s="127">
        <f t="shared" si="539"/>
        <v>8.6328336644392267E-2</v>
      </c>
      <c r="U110" s="127">
        <f t="shared" si="539"/>
        <v>7.6548025353486107E-2</v>
      </c>
      <c r="V110" s="127">
        <f t="shared" si="539"/>
        <v>7.1102605623435886E-2</v>
      </c>
      <c r="W110" s="127">
        <f t="shared" ref="W110" si="540">W59/W25</f>
        <v>9.6651557245211295E-2</v>
      </c>
      <c r="X110" s="127">
        <f t="shared" ref="X110:Z110" si="541">X59/X25</f>
        <v>9.0489510489510483E-2</v>
      </c>
      <c r="Y110" s="127">
        <f t="shared" ref="Y110" si="542">Y59/Y25</f>
        <v>5.887087501437277E-2</v>
      </c>
      <c r="Z110" s="127">
        <f t="shared" si="541"/>
        <v>6.680785521755872E-2</v>
      </c>
      <c r="AA110" s="101">
        <f t="shared" si="290"/>
        <v>0.13984912515831027</v>
      </c>
      <c r="AB110" s="127"/>
      <c r="AC110" s="127">
        <f t="shared" ref="AC110:AL110" si="543">AC59/AC25</f>
        <v>6.680785521755872E-2</v>
      </c>
      <c r="AD110" s="127">
        <f t="shared" si="543"/>
        <v>6.680785521755872E-2</v>
      </c>
      <c r="AE110" s="127">
        <f t="shared" si="543"/>
        <v>6.680785521755872E-2</v>
      </c>
      <c r="AF110" s="127">
        <f t="shared" si="543"/>
        <v>6.680785521755872E-2</v>
      </c>
      <c r="AG110" s="127">
        <f t="shared" si="543"/>
        <v>6.680785521755872E-2</v>
      </c>
      <c r="AH110" s="127">
        <f t="shared" si="543"/>
        <v>6.680785521755872E-2</v>
      </c>
      <c r="AI110" s="127">
        <f t="shared" si="543"/>
        <v>6.680785521755872E-2</v>
      </c>
      <c r="AJ110" s="127">
        <f t="shared" si="543"/>
        <v>6.680785521755872E-2</v>
      </c>
      <c r="AK110" s="127">
        <f t="shared" si="543"/>
        <v>6.680785521755872E-2</v>
      </c>
      <c r="AL110" s="127">
        <f t="shared" si="543"/>
        <v>6.680785521755872E-2</v>
      </c>
      <c r="AM110" s="114">
        <f t="shared" si="534"/>
        <v>-4.3478563083312327E-3</v>
      </c>
      <c r="AN110" s="21">
        <f t="shared" si="535"/>
        <v>0.01</v>
      </c>
      <c r="AO110" s="122" t="e">
        <f t="shared" si="328"/>
        <v>#DIV/0!</v>
      </c>
    </row>
    <row r="111" spans="2:41" x14ac:dyDescent="0.15">
      <c r="B111" s="10" t="s">
        <v>301</v>
      </c>
      <c r="C111" s="127"/>
      <c r="D111" s="127"/>
      <c r="E111" s="127"/>
      <c r="F111" s="127"/>
      <c r="G111" s="127">
        <f t="shared" ref="G111" si="544">G59/G7</f>
        <v>5.7142857142857143E-3</v>
      </c>
      <c r="H111" s="127">
        <f t="shared" ref="H111:I111" si="545">H59/H7</f>
        <v>4.9723756906077346E-2</v>
      </c>
      <c r="I111" s="127">
        <f t="shared" si="545"/>
        <v>0.11940298507462686</v>
      </c>
      <c r="J111" s="127">
        <f>J59/J7</f>
        <v>0.19341563786008231</v>
      </c>
      <c r="K111" s="127">
        <f t="shared" ref="K111:Q111" si="546">K59/K7</f>
        <v>0.2822822822822823</v>
      </c>
      <c r="L111" s="127">
        <f t="shared" si="546"/>
        <v>0.19950738916256158</v>
      </c>
      <c r="M111" s="127">
        <f t="shared" si="546"/>
        <v>0.30755064456721914</v>
      </c>
      <c r="N111" s="127">
        <f t="shared" si="546"/>
        <v>0.22910216718266255</v>
      </c>
      <c r="O111" s="127">
        <f t="shared" si="546"/>
        <v>0.26123936816524906</v>
      </c>
      <c r="P111" s="127">
        <f t="shared" si="546"/>
        <v>0.27101038715769593</v>
      </c>
      <c r="Q111" s="127">
        <f t="shared" si="546"/>
        <v>0.26945668135095446</v>
      </c>
      <c r="R111" s="127">
        <f t="shared" ref="R111:V111" si="547">R59/R7</f>
        <v>0.2413184226015303</v>
      </c>
      <c r="S111" s="127">
        <f t="shared" si="547"/>
        <v>0.2327463112803427</v>
      </c>
      <c r="T111" s="127">
        <f t="shared" si="547"/>
        <v>0.18434246047049749</v>
      </c>
      <c r="U111" s="127">
        <f t="shared" si="547"/>
        <v>0.16036772216547499</v>
      </c>
      <c r="V111" s="127">
        <f t="shared" si="547"/>
        <v>0.14482758620689656</v>
      </c>
      <c r="W111" s="127">
        <f t="shared" ref="W111" si="548">W59/W7</f>
        <v>0.18079868708971553</v>
      </c>
      <c r="X111" s="127">
        <f t="shared" ref="X111:Z111" si="549">X59/X7</f>
        <v>0.15368171021377672</v>
      </c>
      <c r="Y111" s="127">
        <f t="shared" ref="Y111" si="550">Y59/Y7</f>
        <v>0.11247803163444639</v>
      </c>
      <c r="Z111" s="127">
        <f t="shared" si="549"/>
        <v>0.13096810719003585</v>
      </c>
      <c r="AA111" s="101">
        <f t="shared" si="290"/>
        <v>0.17920595344404155</v>
      </c>
      <c r="AB111" s="10"/>
      <c r="AC111" s="127">
        <f t="shared" ref="AC111" si="551">AC59/AC7</f>
        <v>0.13096810719003585</v>
      </c>
      <c r="AD111" s="127">
        <f t="shared" ref="AD111:AL111" si="552">AD59/AD7</f>
        <v>0.13096810719003585</v>
      </c>
      <c r="AE111" s="127">
        <f t="shared" si="552"/>
        <v>0.13096810719003585</v>
      </c>
      <c r="AF111" s="127">
        <f t="shared" si="552"/>
        <v>0.13096810719003585</v>
      </c>
      <c r="AG111" s="127">
        <f t="shared" si="552"/>
        <v>0.13096810719003582</v>
      </c>
      <c r="AH111" s="127">
        <f t="shared" si="552"/>
        <v>0.13096810719003582</v>
      </c>
      <c r="AI111" s="127">
        <f t="shared" si="552"/>
        <v>0.13096810719003582</v>
      </c>
      <c r="AJ111" s="127">
        <f t="shared" si="552"/>
        <v>0.13096810719003582</v>
      </c>
      <c r="AK111" s="127">
        <f t="shared" si="552"/>
        <v>0.13096810719003582</v>
      </c>
      <c r="AL111" s="127">
        <f t="shared" si="552"/>
        <v>0.13096810719003582</v>
      </c>
      <c r="AM111" s="114">
        <f t="shared" si="534"/>
        <v>-1.3354427725552176E-2</v>
      </c>
      <c r="AN111" s="21">
        <f t="shared" si="535"/>
        <v>0.01</v>
      </c>
      <c r="AO111" s="122" t="e">
        <f t="shared" si="328"/>
        <v>#DIV/0!</v>
      </c>
    </row>
    <row r="112" spans="2:41" x14ac:dyDescent="0.15">
      <c r="B112" s="10" t="s">
        <v>302</v>
      </c>
      <c r="C112" s="127"/>
      <c r="D112" s="127"/>
      <c r="E112" s="127"/>
      <c r="F112" s="127"/>
      <c r="G112" s="127">
        <f t="shared" ref="G112" si="553">(G59)/(G7+G10)</f>
        <v>5.263157894736842E-3</v>
      </c>
      <c r="H112" s="127">
        <f t="shared" ref="H112:I112" si="554">(H59)/(H7+H10)</f>
        <v>4.4117647058823532E-2</v>
      </c>
      <c r="I112" s="127">
        <f t="shared" si="554"/>
        <v>0.100418410041841</v>
      </c>
      <c r="J112" s="127">
        <f>(J59)/(J7+J10)</f>
        <v>0.12239583333333333</v>
      </c>
      <c r="K112" s="127">
        <f t="shared" ref="K112:Q112" si="555">(K59)/(K7+K10)</f>
        <v>0.14461538461538462</v>
      </c>
      <c r="L112" s="127">
        <f t="shared" si="555"/>
        <v>0.11705202312138728</v>
      </c>
      <c r="M112" s="127">
        <f t="shared" si="555"/>
        <v>0.26340694006309151</v>
      </c>
      <c r="N112" s="127">
        <f t="shared" si="555"/>
        <v>0.19973009446693657</v>
      </c>
      <c r="O112" s="127">
        <f t="shared" si="555"/>
        <v>0.23704520396912901</v>
      </c>
      <c r="P112" s="127">
        <f t="shared" si="555"/>
        <v>0.25043630017452007</v>
      </c>
      <c r="Q112" s="127">
        <f t="shared" si="555"/>
        <v>0.25380359612724757</v>
      </c>
      <c r="R112" s="127">
        <f t="shared" ref="R112:V112" si="556">(R59)/(R7+R10)</f>
        <v>0.23124647490129724</v>
      </c>
      <c r="S112" s="127">
        <f t="shared" si="556"/>
        <v>0.22503451449608836</v>
      </c>
      <c r="T112" s="127">
        <f t="shared" si="556"/>
        <v>0.17936210131332084</v>
      </c>
      <c r="U112" s="127">
        <f t="shared" si="556"/>
        <v>0.15726210350584308</v>
      </c>
      <c r="V112" s="127">
        <f t="shared" si="556"/>
        <v>0.14482758620689656</v>
      </c>
      <c r="W112" s="127">
        <f t="shared" ref="W112" si="557">(W59)/(W7+W10)</f>
        <v>0.18079868708971553</v>
      </c>
      <c r="X112" s="127">
        <f t="shared" ref="X112:Z112" si="558">(X59)/(X7+X10)</f>
        <v>0.15368171021377672</v>
      </c>
      <c r="Y112" s="127">
        <f t="shared" ref="Y112" si="559">(Y59)/(Y7+Y10)</f>
        <v>0.11247803163444639</v>
      </c>
      <c r="Z112" s="127">
        <f t="shared" si="558"/>
        <v>0.13096810719003585</v>
      </c>
      <c r="AA112" s="101">
        <f t="shared" si="290"/>
        <v>0.18432099707800043</v>
      </c>
      <c r="AB112" s="10"/>
      <c r="AC112" s="127">
        <f t="shared" ref="AC112:AL112" si="560">(AC59)/(AC7+AC10)</f>
        <v>0.13096810719003585</v>
      </c>
      <c r="AD112" s="127">
        <f t="shared" si="560"/>
        <v>0.13096810719003585</v>
      </c>
      <c r="AE112" s="127">
        <f t="shared" si="560"/>
        <v>0.13096810719003585</v>
      </c>
      <c r="AF112" s="127">
        <f t="shared" si="560"/>
        <v>0.13096810719003585</v>
      </c>
      <c r="AG112" s="127">
        <f t="shared" si="560"/>
        <v>0.13096810719003582</v>
      </c>
      <c r="AH112" s="127">
        <f t="shared" si="560"/>
        <v>0.13096810719003582</v>
      </c>
      <c r="AI112" s="127">
        <f t="shared" si="560"/>
        <v>0.13096810719003582</v>
      </c>
      <c r="AJ112" s="127">
        <f t="shared" si="560"/>
        <v>0.13096810719003582</v>
      </c>
      <c r="AK112" s="127">
        <f t="shared" si="560"/>
        <v>0.13096810719003582</v>
      </c>
      <c r="AL112" s="127">
        <f t="shared" si="560"/>
        <v>0.13096810719003582</v>
      </c>
      <c r="AM112" s="114">
        <f t="shared" si="534"/>
        <v>2.3369854307124793E-3</v>
      </c>
      <c r="AN112" s="21">
        <f t="shared" si="535"/>
        <v>0.01</v>
      </c>
      <c r="AO112" s="122" t="e">
        <f t="shared" si="328"/>
        <v>#DIV/0!</v>
      </c>
    </row>
    <row r="113" spans="1:41" x14ac:dyDescent="0.15">
      <c r="B113" s="10" t="s">
        <v>318</v>
      </c>
      <c r="C113" s="127"/>
      <c r="D113" s="127"/>
      <c r="E113" s="127"/>
      <c r="F113" s="127"/>
      <c r="G113" s="127">
        <f t="shared" ref="G113" si="561">G20/G25</f>
        <v>3.3333333333333333E-2</v>
      </c>
      <c r="H113" s="127">
        <f t="shared" ref="H113:I113" si="562">H20/H25</f>
        <v>2.8455284552845527E-2</v>
      </c>
      <c r="I113" s="127">
        <f t="shared" si="562"/>
        <v>6.4676616915422883E-2</v>
      </c>
      <c r="J113" s="127">
        <f>J20/J25</f>
        <v>-6.1290322580645158E-2</v>
      </c>
      <c r="K113" s="127">
        <f t="shared" ref="K113:Q113" si="563">K20/K25</f>
        <v>-2.5817555938037865E-2</v>
      </c>
      <c r="L113" s="127">
        <f t="shared" si="563"/>
        <v>0.17246713070378963</v>
      </c>
      <c r="M113" s="127">
        <f t="shared" si="563"/>
        <v>0.14051214707813525</v>
      </c>
      <c r="N113" s="127">
        <f t="shared" si="563"/>
        <v>4.7380156075808248E-2</v>
      </c>
      <c r="O113" s="127">
        <f t="shared" si="563"/>
        <v>0.12526449428692341</v>
      </c>
      <c r="P113" s="127">
        <f t="shared" si="563"/>
        <v>0.11056105610561057</v>
      </c>
      <c r="Q113" s="127">
        <f t="shared" si="563"/>
        <v>7.9555175363558592E-2</v>
      </c>
      <c r="R113" s="127">
        <f t="shared" ref="R113:V113" si="564">R20/R25</f>
        <v>9.0358639962738699E-2</v>
      </c>
      <c r="S113" s="127">
        <f t="shared" si="564"/>
        <v>0.11448646414548461</v>
      </c>
      <c r="T113" s="127">
        <f t="shared" si="564"/>
        <v>9.9692974534946716E-2</v>
      </c>
      <c r="U113" s="127">
        <f t="shared" si="564"/>
        <v>5.2332195676905571E-2</v>
      </c>
      <c r="V113" s="127">
        <f t="shared" si="564"/>
        <v>7.9640806712792583E-2</v>
      </c>
      <c r="W113" s="127">
        <f t="shared" ref="W113" si="565">W20/W25</f>
        <v>0.17210118438368183</v>
      </c>
      <c r="X113" s="127">
        <f t="shared" ref="X113:Z113" si="566">X20/X25</f>
        <v>0.11216783216783217</v>
      </c>
      <c r="Y113" s="127">
        <f t="shared" ref="Y113" si="567">Y20/Y25</f>
        <v>7.2783718523628832E-2</v>
      </c>
      <c r="Z113" s="127">
        <f t="shared" si="566"/>
        <v>0</v>
      </c>
      <c r="AA113" s="101">
        <f t="shared" si="290"/>
        <v>-1</v>
      </c>
      <c r="AB113" s="10"/>
      <c r="AC113" s="127">
        <f t="shared" ref="AC113:AL113" si="568">AC20/AC25</f>
        <v>0</v>
      </c>
      <c r="AD113" s="127">
        <f t="shared" si="568"/>
        <v>0</v>
      </c>
      <c r="AE113" s="127">
        <f t="shared" si="568"/>
        <v>0</v>
      </c>
      <c r="AF113" s="127">
        <f t="shared" si="568"/>
        <v>0</v>
      </c>
      <c r="AG113" s="127">
        <f t="shared" si="568"/>
        <v>0</v>
      </c>
      <c r="AH113" s="127">
        <f t="shared" si="568"/>
        <v>0</v>
      </c>
      <c r="AI113" s="127">
        <f t="shared" si="568"/>
        <v>0</v>
      </c>
      <c r="AJ113" s="127">
        <f t="shared" si="568"/>
        <v>0</v>
      </c>
      <c r="AK113" s="127">
        <f t="shared" si="568"/>
        <v>0</v>
      </c>
      <c r="AL113" s="127">
        <f t="shared" si="568"/>
        <v>0</v>
      </c>
      <c r="AM113" s="114">
        <f t="shared" si="534"/>
        <v>-1</v>
      </c>
      <c r="AN113" s="21">
        <f t="shared" si="535"/>
        <v>0.01</v>
      </c>
      <c r="AO113" s="122" t="e">
        <f t="shared" si="328"/>
        <v>#DIV/0!</v>
      </c>
    </row>
    <row r="114" spans="1:41" x14ac:dyDescent="0.15">
      <c r="B114" s="10" t="s">
        <v>370</v>
      </c>
      <c r="C114" s="127"/>
      <c r="D114" s="127"/>
      <c r="E114" s="127"/>
      <c r="F114" s="127"/>
      <c r="G114" s="127">
        <f t="shared" ref="G114" si="569">G72/G25</f>
        <v>0</v>
      </c>
      <c r="H114" s="127">
        <f t="shared" ref="H114:I114" si="570">H72/H25</f>
        <v>1.2195121951219513E-2</v>
      </c>
      <c r="I114" s="127">
        <f t="shared" si="570"/>
        <v>3.2338308457711441E-2</v>
      </c>
      <c r="J114" s="127">
        <f>J72/J25</f>
        <v>4.0322580645161289E-2</v>
      </c>
      <c r="K114" s="127">
        <f t="shared" ref="K114:Q114" si="571">K72/K25</f>
        <v>4.4750430292598967E-2</v>
      </c>
      <c r="L114" s="127">
        <f t="shared" si="571"/>
        <v>3.3255993812838364E-2</v>
      </c>
      <c r="M114" s="127">
        <f t="shared" si="571"/>
        <v>5.7780695994747208E-2</v>
      </c>
      <c r="N114" s="127">
        <f t="shared" si="571"/>
        <v>4.0133779264214048E-2</v>
      </c>
      <c r="O114" s="127">
        <f t="shared" si="571"/>
        <v>4.3588658484976728E-2</v>
      </c>
      <c r="P114" s="127">
        <f t="shared" si="571"/>
        <v>4.4554455445544552E-2</v>
      </c>
      <c r="Q114" s="127">
        <f t="shared" si="571"/>
        <v>4.8189335614485317E-2</v>
      </c>
      <c r="R114" s="127">
        <f t="shared" ref="R114:V114" si="572">R72/R25</f>
        <v>4.6576618537494181E-2</v>
      </c>
      <c r="S114" s="127">
        <f t="shared" si="572"/>
        <v>4.8150444306674936E-2</v>
      </c>
      <c r="T114" s="127">
        <f t="shared" si="572"/>
        <v>4.0455120101137804E-2</v>
      </c>
      <c r="U114" s="127">
        <f t="shared" si="572"/>
        <v>3.9655452624735903E-2</v>
      </c>
      <c r="V114" s="127">
        <f t="shared" si="572"/>
        <v>3.6360959811570732E-2</v>
      </c>
      <c r="W114" s="127">
        <f t="shared" ref="W114" si="573">W72/W25</f>
        <v>2.6319637373885072E-2</v>
      </c>
      <c r="X114" s="127">
        <f t="shared" ref="X114:Z114" si="574">X72/X25</f>
        <v>3.1608391608391607E-2</v>
      </c>
      <c r="Y114" s="127">
        <f t="shared" ref="Y114" si="575">Y72/Y25</f>
        <v>2.0696791997240428E-2</v>
      </c>
      <c r="Z114" s="127">
        <f t="shared" si="574"/>
        <v>2.4355025028879478E-2</v>
      </c>
      <c r="AA114" s="101" t="e">
        <f t="shared" si="290"/>
        <v>#DIV/0!</v>
      </c>
      <c r="AB114" s="10"/>
      <c r="AC114" s="127">
        <f t="shared" ref="AC114:AL114" si="576">AC72/AC25</f>
        <v>2.4355025028879471E-2</v>
      </c>
      <c r="AD114" s="127">
        <f t="shared" si="576"/>
        <v>2.4355025028879474E-2</v>
      </c>
      <c r="AE114" s="127">
        <f t="shared" si="576"/>
        <v>2.4355025028879481E-2</v>
      </c>
      <c r="AF114" s="127">
        <f t="shared" si="576"/>
        <v>2.4355025028879481E-2</v>
      </c>
      <c r="AG114" s="127">
        <f t="shared" si="576"/>
        <v>2.4355025028879481E-2</v>
      </c>
      <c r="AH114" s="127">
        <f t="shared" si="576"/>
        <v>2.4355025028879478E-2</v>
      </c>
      <c r="AI114" s="127">
        <f t="shared" si="576"/>
        <v>2.4355025028879474E-2</v>
      </c>
      <c r="AJ114" s="127">
        <f t="shared" si="576"/>
        <v>2.4355025028879471E-2</v>
      </c>
      <c r="AK114" s="127">
        <f t="shared" si="576"/>
        <v>2.4355025028879474E-2</v>
      </c>
      <c r="AL114" s="127">
        <f t="shared" si="576"/>
        <v>2.4355025028879474E-2</v>
      </c>
      <c r="AM114" s="114">
        <f t="shared" si="534"/>
        <v>-1.7235038539401226E-2</v>
      </c>
      <c r="AN114" s="21">
        <f t="shared" si="535"/>
        <v>0.01</v>
      </c>
      <c r="AO114" s="122" t="e">
        <f t="shared" si="328"/>
        <v>#DIV/0!</v>
      </c>
    </row>
    <row r="115" spans="1:41" x14ac:dyDescent="0.15">
      <c r="B115" s="10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  <c r="AA115" s="101" t="e">
        <f t="shared" si="290"/>
        <v>#DIV/0!</v>
      </c>
      <c r="AB115" s="10"/>
      <c r="AC115" s="127"/>
      <c r="AD115" s="127"/>
      <c r="AE115" s="127"/>
      <c r="AF115" s="127"/>
      <c r="AG115" s="127"/>
      <c r="AH115" s="127"/>
      <c r="AI115" s="127"/>
      <c r="AJ115" s="127"/>
      <c r="AK115" s="127"/>
      <c r="AL115" s="127"/>
      <c r="AM115" s="3"/>
      <c r="AN115" s="122"/>
      <c r="AO115" s="122"/>
    </row>
    <row r="116" spans="1:41" x14ac:dyDescent="0.15">
      <c r="B116" s="10" t="s">
        <v>267</v>
      </c>
      <c r="C116" s="127"/>
      <c r="D116" s="127"/>
      <c r="E116" s="127"/>
      <c r="F116" s="127"/>
      <c r="G116" s="127">
        <f t="shared" ref="G116" si="577">G29/G25</f>
        <v>1E-3</v>
      </c>
      <c r="H116" s="127">
        <f t="shared" ref="H116:I116" si="578">H29/H25</f>
        <v>5.6910569105691068E-4</v>
      </c>
      <c r="I116" s="127">
        <f t="shared" si="578"/>
        <v>2.4875621890547263E-3</v>
      </c>
      <c r="J116" s="127">
        <f>J29/J25</f>
        <v>8.0645161290322578E-3</v>
      </c>
      <c r="K116" s="127">
        <f t="shared" ref="K116:Q116" si="579">K29/K25</f>
        <v>1.2908777969018933E-2</v>
      </c>
      <c r="L116" s="127">
        <f t="shared" si="579"/>
        <v>1.6241299303944315E-2</v>
      </c>
      <c r="M116" s="127">
        <f t="shared" si="579"/>
        <v>5.2527905449770186E-3</v>
      </c>
      <c r="N116" s="127">
        <f t="shared" si="579"/>
        <v>1.6722408026755853E-3</v>
      </c>
      <c r="O116" s="127">
        <f t="shared" si="579"/>
        <v>8.4638171815488788E-4</v>
      </c>
      <c r="P116" s="127">
        <f t="shared" si="579"/>
        <v>3.3003300330033004E-4</v>
      </c>
      <c r="Q116" s="127">
        <f t="shared" si="579"/>
        <v>2.0530367835757058E-4</v>
      </c>
      <c r="R116" s="127">
        <f t="shared" ref="R116:V116" si="580">R29/R25</f>
        <v>5.5891942244993012E-5</v>
      </c>
      <c r="S116" s="127">
        <f t="shared" si="580"/>
        <v>1.0126059103120479E-4</v>
      </c>
      <c r="T116" s="127">
        <f t="shared" si="580"/>
        <v>9.0301607368611166E-4</v>
      </c>
      <c r="U116" s="127">
        <f t="shared" si="580"/>
        <v>8.1261173411344059E-4</v>
      </c>
      <c r="V116" s="127">
        <f t="shared" si="580"/>
        <v>1.0304725452671868E-3</v>
      </c>
      <c r="W116" s="127">
        <f t="shared" ref="W116" si="581">W29/W25</f>
        <v>1.7546424915923381E-3</v>
      </c>
      <c r="X116" s="127">
        <f t="shared" ref="X116:Z116" si="582">X29/X25</f>
        <v>1.5384615384615385E-3</v>
      </c>
      <c r="Y116" s="127">
        <f t="shared" ref="Y116" si="583">Y29/Y25</f>
        <v>1.7247326664367024E-3</v>
      </c>
      <c r="Z116" s="127">
        <f t="shared" si="582"/>
        <v>2.1178282633808241E-3</v>
      </c>
      <c r="AA116" s="101">
        <f t="shared" si="290"/>
        <v>4.0284539655821128E-2</v>
      </c>
      <c r="AB116" s="10"/>
      <c r="AC116" s="127">
        <f t="shared" ref="AC116:AL116" si="584">AC29/AC25</f>
        <v>2.1178282633808241E-3</v>
      </c>
      <c r="AD116" s="127">
        <f t="shared" si="584"/>
        <v>2.1178282633808241E-3</v>
      </c>
      <c r="AE116" s="127">
        <f t="shared" si="584"/>
        <v>2.1178282633808241E-3</v>
      </c>
      <c r="AF116" s="127">
        <f t="shared" si="584"/>
        <v>2.1178282633808236E-3</v>
      </c>
      <c r="AG116" s="127">
        <f t="shared" si="584"/>
        <v>2.1178282633808241E-3</v>
      </c>
      <c r="AH116" s="127">
        <f t="shared" si="584"/>
        <v>2.1178282633808241E-3</v>
      </c>
      <c r="AI116" s="127">
        <f t="shared" si="584"/>
        <v>2.1178282633808241E-3</v>
      </c>
      <c r="AJ116" s="127">
        <f t="shared" si="584"/>
        <v>2.1178282633808241E-3</v>
      </c>
      <c r="AK116" s="127">
        <f t="shared" si="584"/>
        <v>2.1178282633808241E-3</v>
      </c>
      <c r="AL116" s="127">
        <f t="shared" si="584"/>
        <v>2.1178282633808241E-3</v>
      </c>
      <c r="AM116" s="114">
        <f t="shared" si="534"/>
        <v>-4.5059548560636431E-2</v>
      </c>
      <c r="AN116" s="21">
        <f t="shared" si="535"/>
        <v>0.01</v>
      </c>
      <c r="AO116" s="122" t="e">
        <f t="shared" si="328"/>
        <v>#DIV/0!</v>
      </c>
    </row>
    <row r="117" spans="1:41" x14ac:dyDescent="0.15">
      <c r="B117" s="10" t="s">
        <v>311</v>
      </c>
      <c r="C117" s="127"/>
      <c r="D117" s="127"/>
      <c r="E117" s="127"/>
      <c r="F117" s="127"/>
      <c r="G117" s="127">
        <f t="shared" ref="G117" si="585">G29/G53</f>
        <v>8.1818181818181807E-3</v>
      </c>
      <c r="H117" s="127">
        <f t="shared" ref="H117:I117" si="586">H29/H53</f>
        <v>5.8333333333333336E-3</v>
      </c>
      <c r="I117" s="127">
        <f t="shared" si="586"/>
        <v>1.8867924528301886E-2</v>
      </c>
      <c r="J117" s="127">
        <f>J29/J53</f>
        <v>5.3763440860215055E-2</v>
      </c>
      <c r="K117" s="127">
        <f t="shared" ref="K117:Q117" si="587">K29/K53</f>
        <v>8.2417582417582416E-2</v>
      </c>
      <c r="L117" s="127">
        <f t="shared" si="587"/>
        <v>0.10096153846153846</v>
      </c>
      <c r="M117" s="127">
        <f t="shared" si="587"/>
        <v>2.7303754266211604E-2</v>
      </c>
      <c r="N117" s="127">
        <f t="shared" si="587"/>
        <v>1.1627906976744186E-2</v>
      </c>
      <c r="O117" s="127">
        <f t="shared" si="587"/>
        <v>5.6179775280898875E-3</v>
      </c>
      <c r="P117" s="127">
        <f t="shared" si="587"/>
        <v>2.2123893805309734E-3</v>
      </c>
      <c r="Q117" s="127">
        <f t="shared" si="587"/>
        <v>1.2857142857142856E-3</v>
      </c>
      <c r="R117" s="127">
        <f t="shared" ref="R117:V117" si="588">R29/R53</f>
        <v>3.3850493653032437E-4</v>
      </c>
      <c r="S117" s="127">
        <f t="shared" si="588"/>
        <v>5.9975520195838436E-4</v>
      </c>
      <c r="T117" s="127">
        <f t="shared" si="588"/>
        <v>5.8892815076560662E-3</v>
      </c>
      <c r="U117" s="127">
        <f t="shared" si="588"/>
        <v>5.6625141562853904E-3</v>
      </c>
      <c r="V117" s="127">
        <f t="shared" si="588"/>
        <v>7.3298429319371729E-3</v>
      </c>
      <c r="W117" s="127">
        <f t="shared" ref="W117" si="589">W29/W53</f>
        <v>1.0919017288444041E-2</v>
      </c>
      <c r="X117" s="127">
        <f t="shared" ref="X117:Z117" si="590">X29/X53</f>
        <v>9.8478066248880933E-3</v>
      </c>
      <c r="Y117" s="127">
        <f t="shared" ref="Y117" si="591">Y29/Y53</f>
        <v>1.466275659824047E-2</v>
      </c>
      <c r="Z117" s="127">
        <f t="shared" si="590"/>
        <v>1.7571884984025558E-2</v>
      </c>
      <c r="AA117" s="101">
        <f t="shared" si="290"/>
        <v>4.1051052994458548E-2</v>
      </c>
      <c r="AB117" s="10"/>
      <c r="AC117" s="127">
        <f t="shared" ref="AC117:AL117" si="592">AC29/AC53</f>
        <v>1.7571884984025562E-2</v>
      </c>
      <c r="AD117" s="127">
        <f t="shared" si="592"/>
        <v>1.7571884984025562E-2</v>
      </c>
      <c r="AE117" s="127">
        <f t="shared" si="592"/>
        <v>1.7571884984025562E-2</v>
      </c>
      <c r="AF117" s="127">
        <f t="shared" si="592"/>
        <v>1.7571884984025558E-2</v>
      </c>
      <c r="AG117" s="127">
        <f t="shared" si="592"/>
        <v>1.7571884984025558E-2</v>
      </c>
      <c r="AH117" s="127">
        <f t="shared" si="592"/>
        <v>1.7571884984025558E-2</v>
      </c>
      <c r="AI117" s="127">
        <f t="shared" si="592"/>
        <v>1.7571884984025558E-2</v>
      </c>
      <c r="AJ117" s="127">
        <f t="shared" si="592"/>
        <v>1.7571884984025558E-2</v>
      </c>
      <c r="AK117" s="127">
        <f t="shared" si="592"/>
        <v>1.7571884984025558E-2</v>
      </c>
      <c r="AL117" s="127">
        <f t="shared" si="592"/>
        <v>1.7571884984025555E-2</v>
      </c>
      <c r="AM117" s="114">
        <f t="shared" ref="AM117" si="593">((AL117/J117)^(1/($AL$3-$K$1) ))-1</f>
        <v>-3.7827803057295162E-2</v>
      </c>
      <c r="AN117" s="21">
        <f t="shared" si="535"/>
        <v>0.01</v>
      </c>
      <c r="AO117" s="122" t="e">
        <f t="shared" si="328"/>
        <v>#DIV/0!</v>
      </c>
    </row>
    <row r="118" spans="1:41" ht="12" customHeight="1" x14ac:dyDescent="0.15">
      <c r="B118" s="10" t="s">
        <v>310</v>
      </c>
      <c r="C118" s="127"/>
      <c r="D118" s="127"/>
      <c r="E118" s="127"/>
      <c r="F118" s="127"/>
      <c r="G118" s="127">
        <f t="shared" ref="G118" si="594">G29/G59</f>
        <v>0.18</v>
      </c>
      <c r="H118" s="127">
        <f t="shared" ref="H118:I118" si="595">H29/H59</f>
        <v>1.5555555555555557E-2</v>
      </c>
      <c r="I118" s="127">
        <f t="shared" si="595"/>
        <v>4.1666666666666664E-2</v>
      </c>
      <c r="J118" s="127">
        <f t="shared" ref="J118:Q118" si="596">J29/J59</f>
        <v>0.10638297872340426</v>
      </c>
      <c r="K118" s="127">
        <f t="shared" si="596"/>
        <v>0.15957446808510639</v>
      </c>
      <c r="L118" s="127">
        <f t="shared" si="596"/>
        <v>0.25925925925925924</v>
      </c>
      <c r="M118" s="127">
        <f t="shared" si="596"/>
        <v>4.790419161676647E-2</v>
      </c>
      <c r="N118" s="127">
        <f t="shared" si="596"/>
        <v>2.0270270270270271E-2</v>
      </c>
      <c r="O118" s="127">
        <f t="shared" si="596"/>
        <v>9.3023255813953487E-3</v>
      </c>
      <c r="P118" s="127">
        <f t="shared" si="596"/>
        <v>3.4843205574912892E-3</v>
      </c>
      <c r="Q118" s="127">
        <f t="shared" si="596"/>
        <v>1.9618528610354223E-3</v>
      </c>
      <c r="R118" s="127">
        <f t="shared" ref="R118:V118" si="597">R29/R59</f>
        <v>5.8536585365853656E-4</v>
      </c>
      <c r="S118" s="127">
        <f t="shared" si="597"/>
        <v>1.0020449897750511E-3</v>
      </c>
      <c r="T118" s="127">
        <f t="shared" si="597"/>
        <v>1.0460251046025104E-2</v>
      </c>
      <c r="U118" s="127">
        <f t="shared" si="597"/>
        <v>1.0615711252653927E-2</v>
      </c>
      <c r="V118" s="127">
        <f t="shared" si="597"/>
        <v>1.4492753623188406E-2</v>
      </c>
      <c r="W118" s="127">
        <f t="shared" ref="W118" si="598">W29/W59</f>
        <v>1.8154311649016642E-2</v>
      </c>
      <c r="X118" s="127">
        <f t="shared" ref="X118:Z118" si="599">X29/X59</f>
        <v>1.7001545595054096E-2</v>
      </c>
      <c r="Y118" s="127">
        <f t="shared" ref="Y118" si="600">Y29/Y59</f>
        <v>2.9296875E-2</v>
      </c>
      <c r="Z118" s="127">
        <f t="shared" si="599"/>
        <v>3.1700288184438041E-2</v>
      </c>
      <c r="AA118" s="101">
        <f t="shared" si="290"/>
        <v>-8.7348916014354905E-2</v>
      </c>
      <c r="AB118" s="10"/>
      <c r="AC118" s="127">
        <f t="shared" ref="AC118:AL118" si="601">AC29/AC59</f>
        <v>3.1700288184438041E-2</v>
      </c>
      <c r="AD118" s="127">
        <f t="shared" si="601"/>
        <v>3.1700288184438041E-2</v>
      </c>
      <c r="AE118" s="127">
        <f t="shared" si="601"/>
        <v>3.1700288184438041E-2</v>
      </c>
      <c r="AF118" s="127">
        <f t="shared" si="601"/>
        <v>3.1700288184438041E-2</v>
      </c>
      <c r="AG118" s="127">
        <f t="shared" si="601"/>
        <v>3.1700288184438041E-2</v>
      </c>
      <c r="AH118" s="127">
        <f t="shared" si="601"/>
        <v>3.1700288184438041E-2</v>
      </c>
      <c r="AI118" s="127">
        <f t="shared" si="601"/>
        <v>3.1700288184438041E-2</v>
      </c>
      <c r="AJ118" s="127">
        <f t="shared" si="601"/>
        <v>3.1700288184438041E-2</v>
      </c>
      <c r="AK118" s="127">
        <f t="shared" si="601"/>
        <v>3.1700288184438041E-2</v>
      </c>
      <c r="AL118" s="127">
        <f t="shared" si="601"/>
        <v>3.1700288184438041E-2</v>
      </c>
      <c r="AM118" s="114">
        <f t="shared" ref="AM118" si="602">((AL118/J118)^(1/($AL$3-$K$1) ))-1</f>
        <v>-4.0889473808949806E-2</v>
      </c>
      <c r="AN118" s="21">
        <f t="shared" si="535"/>
        <v>0.01</v>
      </c>
      <c r="AO118" s="122" t="e">
        <f t="shared" si="328"/>
        <v>#DIV/0!</v>
      </c>
    </row>
    <row r="119" spans="1:41" ht="12" customHeight="1" x14ac:dyDescent="0.15">
      <c r="B119" s="10" t="s">
        <v>269</v>
      </c>
      <c r="C119" s="127"/>
      <c r="D119" s="127"/>
      <c r="E119" s="127"/>
      <c r="F119" s="127"/>
      <c r="G119" s="127">
        <f t="shared" ref="G119" si="603">G29/G12</f>
        <v>1.2E-2</v>
      </c>
      <c r="H119" s="127">
        <f t="shared" ref="H119:I119" si="604">H29/H12</f>
        <v>8.2352941176470594E-3</v>
      </c>
      <c r="I119" s="127">
        <f t="shared" si="604"/>
        <v>4.7619047619047616E-2</v>
      </c>
      <c r="J119" s="127">
        <f t="shared" ref="J119:Q119" si="605">J29/J12</f>
        <v>0.19230769230769232</v>
      </c>
      <c r="K119" s="127">
        <f t="shared" si="605"/>
        <v>0.28846153846153844</v>
      </c>
      <c r="L119" s="127">
        <f t="shared" si="605"/>
        <v>0.3</v>
      </c>
      <c r="M119" s="127">
        <f t="shared" si="605"/>
        <v>0.12903225806451613</v>
      </c>
      <c r="N119" s="127">
        <f t="shared" si="605"/>
        <v>7.4999999999999997E-2</v>
      </c>
      <c r="O119" s="127">
        <f t="shared" si="605"/>
        <v>8.7336244541484712E-3</v>
      </c>
      <c r="P119" s="127">
        <f t="shared" si="605"/>
        <v>2.4330900243309003E-3</v>
      </c>
      <c r="Q119" s="127">
        <f t="shared" si="605"/>
        <v>2.4406779661016948E-3</v>
      </c>
      <c r="R119" s="127">
        <f t="shared" ref="R119:V119" si="606">R29/R12</f>
        <v>1.0810810810810811E-3</v>
      </c>
      <c r="S119" s="127">
        <f t="shared" si="606"/>
        <v>3.2666666666666664E-3</v>
      </c>
      <c r="T119" s="127">
        <f t="shared" si="606"/>
        <v>2.9411764705882353E-2</v>
      </c>
      <c r="U119" s="127">
        <f t="shared" si="606"/>
        <v>4.5045045045045043E-2</v>
      </c>
      <c r="V119" s="127">
        <f t="shared" si="606"/>
        <v>9.7222222222222224E-2</v>
      </c>
      <c r="W119" s="127">
        <f t="shared" ref="W119" si="607">W29/W12</f>
        <v>0.14117647058823529</v>
      </c>
      <c r="X119" s="127">
        <f t="shared" ref="X119:Z119" si="608">X29/X12</f>
        <v>6.25E-2</v>
      </c>
      <c r="Y119" s="127">
        <f t="shared" ref="Y119" si="609">Y29/Y12</f>
        <v>0.10344827586206896</v>
      </c>
      <c r="Z119" s="127">
        <f t="shared" si="608"/>
        <v>0.20952380952380953</v>
      </c>
      <c r="AA119" s="101">
        <f t="shared" si="290"/>
        <v>0.16244165750332829</v>
      </c>
      <c r="AB119" s="10"/>
      <c r="AC119" s="127">
        <f t="shared" ref="AC119:AL119" si="610">AC29/AC12</f>
        <v>0.20952380952380953</v>
      </c>
      <c r="AD119" s="127">
        <f t="shared" si="610"/>
        <v>0.20952380952380953</v>
      </c>
      <c r="AE119" s="127">
        <f t="shared" si="610"/>
        <v>0.2095238095238095</v>
      </c>
      <c r="AF119" s="127">
        <f t="shared" si="610"/>
        <v>0.20952380952380947</v>
      </c>
      <c r="AG119" s="127">
        <f t="shared" si="610"/>
        <v>0.2095238095238095</v>
      </c>
      <c r="AH119" s="127">
        <f t="shared" si="610"/>
        <v>0.2095238095238095</v>
      </c>
      <c r="AI119" s="127">
        <f t="shared" si="610"/>
        <v>0.2095238095238095</v>
      </c>
      <c r="AJ119" s="127">
        <f t="shared" si="610"/>
        <v>0.20952380952380953</v>
      </c>
      <c r="AK119" s="127">
        <f t="shared" si="610"/>
        <v>0.2095238095238095</v>
      </c>
      <c r="AL119" s="127">
        <f t="shared" si="610"/>
        <v>0.20952380952380947</v>
      </c>
      <c r="AM119" s="114">
        <f t="shared" si="534"/>
        <v>2.9609518387099243E-3</v>
      </c>
      <c r="AN119" s="21">
        <f t="shared" si="535"/>
        <v>0.01</v>
      </c>
      <c r="AO119" s="122" t="e">
        <f t="shared" si="328"/>
        <v>#DIV/0!</v>
      </c>
    </row>
    <row r="120" spans="1:41" ht="12" customHeight="1" x14ac:dyDescent="0.15">
      <c r="B120" s="10" t="s">
        <v>312</v>
      </c>
      <c r="C120" s="127"/>
      <c r="D120" s="127"/>
      <c r="E120" s="127"/>
      <c r="F120" s="127"/>
      <c r="G120" s="127">
        <f t="shared" ref="G120" si="611">G29/G23</f>
        <v>1.2E-2</v>
      </c>
      <c r="H120" s="127">
        <f t="shared" ref="H120:I120" si="612">H29/H23</f>
        <v>8.2352941176470594E-3</v>
      </c>
      <c r="I120" s="127">
        <f t="shared" si="612"/>
        <v>4.7619047619047616E-2</v>
      </c>
      <c r="J120" s="127">
        <f>J29/J23</f>
        <v>0.19230769230769232</v>
      </c>
      <c r="K120" s="127">
        <f t="shared" ref="K120:Q120" si="613">K29/K23</f>
        <v>0.29411764705882354</v>
      </c>
      <c r="L120" s="127">
        <f t="shared" si="613"/>
        <v>0.3</v>
      </c>
      <c r="M120" s="127">
        <f t="shared" si="613"/>
        <v>0.12903225806451613</v>
      </c>
      <c r="N120" s="127">
        <f t="shared" si="613"/>
        <v>7.4999999999999997E-2</v>
      </c>
      <c r="O120" s="127">
        <f t="shared" si="613"/>
        <v>8.7336244541484712E-3</v>
      </c>
      <c r="P120" s="127">
        <f t="shared" si="613"/>
        <v>2.4449877750611247E-3</v>
      </c>
      <c r="Q120" s="127">
        <f t="shared" si="613"/>
        <v>2.4573378839590444E-3</v>
      </c>
      <c r="R120" s="127">
        <f t="shared" ref="R120:V120" si="614">R29/R23</f>
        <v>1.090909090909091E-3</v>
      </c>
      <c r="S120" s="127">
        <f t="shared" si="614"/>
        <v>6.2820512820512819E-3</v>
      </c>
      <c r="T120" s="127">
        <f t="shared" si="614"/>
        <v>0.22727272727272727</v>
      </c>
      <c r="U120" s="127">
        <f t="shared" si="614"/>
        <v>-9.8039215686274508E-2</v>
      </c>
      <c r="V120" s="127">
        <f t="shared" si="614"/>
        <v>7</v>
      </c>
      <c r="W120" s="127">
        <f t="shared" ref="W120" si="615">W29/W23</f>
        <v>-0.66666666666666663</v>
      </c>
      <c r="X120" s="127">
        <f t="shared" ref="X120:Z120" si="616">X29/X23</f>
        <v>0.171875</v>
      </c>
      <c r="Y120" s="127">
        <f t="shared" ref="Y120" si="617">Y29/Y23</f>
        <v>-0.24193548387096775</v>
      </c>
      <c r="Z120" s="127" t="e">
        <f t="shared" si="616"/>
        <v>#DIV/0!</v>
      </c>
      <c r="AA120" s="101" t="e">
        <f t="shared" si="290"/>
        <v>#DIV/0!</v>
      </c>
      <c r="AB120" s="10"/>
      <c r="AC120" s="127" t="e">
        <f t="shared" ref="AC120:AL120" si="618">AC29/AC23</f>
        <v>#DIV/0!</v>
      </c>
      <c r="AD120" s="127" t="e">
        <f t="shared" si="618"/>
        <v>#DIV/0!</v>
      </c>
      <c r="AE120" s="127" t="e">
        <f t="shared" si="618"/>
        <v>#DIV/0!</v>
      </c>
      <c r="AF120" s="127" t="e">
        <f t="shared" si="618"/>
        <v>#DIV/0!</v>
      </c>
      <c r="AG120" s="127" t="e">
        <f t="shared" si="618"/>
        <v>#DIV/0!</v>
      </c>
      <c r="AH120" s="127" t="e">
        <f t="shared" si="618"/>
        <v>#DIV/0!</v>
      </c>
      <c r="AI120" s="127" t="e">
        <f t="shared" si="618"/>
        <v>#DIV/0!</v>
      </c>
      <c r="AJ120" s="127" t="e">
        <f t="shared" si="618"/>
        <v>#DIV/0!</v>
      </c>
      <c r="AK120" s="127" t="e">
        <f t="shared" si="618"/>
        <v>#DIV/0!</v>
      </c>
      <c r="AL120" s="127" t="e">
        <f t="shared" si="618"/>
        <v>#DIV/0!</v>
      </c>
      <c r="AM120" s="114" t="e">
        <f t="shared" ref="AM120" si="619">((AL120/J120)^(1/($AL$3-$K$1) ))-1</f>
        <v>#DIV/0!</v>
      </c>
      <c r="AN120" s="21">
        <f t="shared" si="535"/>
        <v>0.01</v>
      </c>
      <c r="AO120" s="122" t="e">
        <f t="shared" si="328"/>
        <v>#DIV/0!</v>
      </c>
    </row>
    <row r="121" spans="1:41" ht="12" customHeight="1" x14ac:dyDescent="0.15">
      <c r="B121" s="10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  <c r="AA121" s="101" t="e">
        <f t="shared" si="290"/>
        <v>#DIV/0!</v>
      </c>
      <c r="AB121" s="10"/>
      <c r="AC121" s="127"/>
      <c r="AD121" s="127"/>
      <c r="AE121" s="127"/>
      <c r="AF121" s="127"/>
      <c r="AG121" s="127"/>
      <c r="AH121" s="127"/>
      <c r="AI121" s="127"/>
      <c r="AJ121" s="127"/>
      <c r="AK121" s="127"/>
      <c r="AL121" s="127"/>
      <c r="AM121" s="127"/>
      <c r="AN121" s="122"/>
      <c r="AO121" s="122"/>
    </row>
    <row r="122" spans="1:41" ht="12" customHeight="1" x14ac:dyDescent="0.15">
      <c r="B122" s="10" t="s">
        <v>344</v>
      </c>
      <c r="C122" s="127"/>
      <c r="D122" s="127"/>
      <c r="E122" s="127"/>
      <c r="F122" s="108"/>
      <c r="G122" s="108">
        <f t="shared" ref="G122" si="620">1/G116</f>
        <v>1000</v>
      </c>
      <c r="H122" s="108">
        <f t="shared" ref="H122:I122" si="621">1/H116</f>
        <v>1757.1428571428569</v>
      </c>
      <c r="I122" s="108">
        <f t="shared" si="621"/>
        <v>402</v>
      </c>
      <c r="J122" s="108">
        <f>1/J116</f>
        <v>124</v>
      </c>
      <c r="K122" s="108">
        <f t="shared" ref="K122:Q122" si="622">1/K116</f>
        <v>77.466666666666669</v>
      </c>
      <c r="L122" s="108">
        <f t="shared" si="622"/>
        <v>61.571428571428577</v>
      </c>
      <c r="M122" s="108">
        <f t="shared" si="622"/>
        <v>190.37500000000003</v>
      </c>
      <c r="N122" s="108">
        <f t="shared" si="622"/>
        <v>598</v>
      </c>
      <c r="O122" s="108">
        <f t="shared" si="622"/>
        <v>1181.5</v>
      </c>
      <c r="P122" s="108">
        <f t="shared" si="622"/>
        <v>3030</v>
      </c>
      <c r="Q122" s="108">
        <f t="shared" si="622"/>
        <v>4870.833333333333</v>
      </c>
      <c r="R122" s="108">
        <f t="shared" ref="R122:V122" si="623">1/R116</f>
        <v>17891.666666666668</v>
      </c>
      <c r="S122" s="108">
        <f t="shared" si="623"/>
        <v>9875.5102040816328</v>
      </c>
      <c r="T122" s="108">
        <f t="shared" si="623"/>
        <v>1107.3999999999999</v>
      </c>
      <c r="U122" s="108">
        <f t="shared" si="623"/>
        <v>1230.5999999999999</v>
      </c>
      <c r="V122" s="108">
        <f t="shared" si="623"/>
        <v>970.42857142857144</v>
      </c>
      <c r="W122" s="108">
        <f t="shared" ref="W122" si="624">1/W116</f>
        <v>569.91666666666663</v>
      </c>
      <c r="X122" s="108">
        <f t="shared" ref="X122:Z122" si="625">1/X116</f>
        <v>650</v>
      </c>
      <c r="Y122" s="108">
        <f t="shared" ref="Y122" si="626">1/Y116</f>
        <v>579.79999999999995</v>
      </c>
      <c r="Z122" s="108">
        <f t="shared" si="625"/>
        <v>472.18181818181819</v>
      </c>
      <c r="AA122" s="101">
        <f t="shared" si="290"/>
        <v>-3.872453941221643E-2</v>
      </c>
      <c r="AB122" s="10"/>
      <c r="AC122" s="108">
        <f t="shared" ref="AC122:AL122" si="627">1/AC116</f>
        <v>472.18181818181819</v>
      </c>
      <c r="AD122" s="108">
        <f t="shared" si="627"/>
        <v>472.18181818181819</v>
      </c>
      <c r="AE122" s="108">
        <f t="shared" si="627"/>
        <v>472.18181818181819</v>
      </c>
      <c r="AF122" s="108">
        <f t="shared" si="627"/>
        <v>472.18181818181824</v>
      </c>
      <c r="AG122" s="108">
        <f t="shared" si="627"/>
        <v>472.18181818181819</v>
      </c>
      <c r="AH122" s="108">
        <f t="shared" si="627"/>
        <v>472.18181818181819</v>
      </c>
      <c r="AI122" s="108">
        <f t="shared" si="627"/>
        <v>472.18181818181819</v>
      </c>
      <c r="AJ122" s="108">
        <f t="shared" si="627"/>
        <v>472.18181818181819</v>
      </c>
      <c r="AK122" s="108">
        <f t="shared" si="627"/>
        <v>472.18181818181819</v>
      </c>
      <c r="AL122" s="108">
        <f t="shared" si="627"/>
        <v>472.18181818181819</v>
      </c>
      <c r="AM122" s="114">
        <f t="shared" si="534"/>
        <v>4.7185715604275646E-2</v>
      </c>
      <c r="AN122" s="21">
        <f t="shared" si="535"/>
        <v>0.01</v>
      </c>
      <c r="AO122" s="122" t="e">
        <f t="shared" si="328"/>
        <v>#DIV/0!</v>
      </c>
    </row>
    <row r="123" spans="1:41" ht="12" customHeight="1" x14ac:dyDescent="0.15">
      <c r="B123" s="10" t="s">
        <v>345</v>
      </c>
      <c r="C123" s="127"/>
      <c r="D123" s="127"/>
      <c r="E123" s="127"/>
      <c r="F123" s="108"/>
      <c r="G123" s="108">
        <f t="shared" ref="G123" si="628">1/G117</f>
        <v>122.22222222222224</v>
      </c>
      <c r="H123" s="108">
        <f t="shared" ref="H123:I123" si="629">1/H117</f>
        <v>171.42857142857142</v>
      </c>
      <c r="I123" s="108">
        <f t="shared" si="629"/>
        <v>53</v>
      </c>
      <c r="J123" s="108">
        <f t="shared" ref="J123:Q126" si="630">1/J117</f>
        <v>18.600000000000001</v>
      </c>
      <c r="K123" s="108">
        <f t="shared" si="630"/>
        <v>12.133333333333333</v>
      </c>
      <c r="L123" s="108">
        <f t="shared" si="630"/>
        <v>9.9047619047619051</v>
      </c>
      <c r="M123" s="108">
        <f t="shared" si="630"/>
        <v>36.625</v>
      </c>
      <c r="N123" s="108">
        <f t="shared" si="630"/>
        <v>86</v>
      </c>
      <c r="O123" s="108">
        <f t="shared" si="630"/>
        <v>178</v>
      </c>
      <c r="P123" s="108">
        <f t="shared" si="630"/>
        <v>452</v>
      </c>
      <c r="Q123" s="108">
        <f t="shared" si="630"/>
        <v>777.77777777777783</v>
      </c>
      <c r="R123" s="108">
        <f t="shared" ref="R123:V123" si="631">1/R117</f>
        <v>2954.166666666667</v>
      </c>
      <c r="S123" s="108">
        <f t="shared" si="631"/>
        <v>1667.3469387755101</v>
      </c>
      <c r="T123" s="108">
        <f t="shared" si="631"/>
        <v>169.79999999999998</v>
      </c>
      <c r="U123" s="108">
        <f t="shared" si="631"/>
        <v>176.6</v>
      </c>
      <c r="V123" s="108">
        <f t="shared" si="631"/>
        <v>136.42857142857142</v>
      </c>
      <c r="W123" s="108">
        <f t="shared" ref="W123" si="632">1/W117</f>
        <v>91.583333333333329</v>
      </c>
      <c r="X123" s="108">
        <f t="shared" ref="X123:Z123" si="633">1/X117</f>
        <v>101.54545454545455</v>
      </c>
      <c r="Y123" s="108">
        <f t="shared" ref="Y123" si="634">1/Y117</f>
        <v>68.2</v>
      </c>
      <c r="Z123" s="108">
        <f t="shared" si="633"/>
        <v>56.909090909090914</v>
      </c>
      <c r="AA123" s="101">
        <f t="shared" si="290"/>
        <v>-3.9432314943998237E-2</v>
      </c>
      <c r="AB123" s="10"/>
      <c r="AC123" s="108">
        <f t="shared" ref="AC123:AL123" si="635">1/AC117</f>
        <v>56.909090909090899</v>
      </c>
      <c r="AD123" s="108">
        <f t="shared" si="635"/>
        <v>56.909090909090899</v>
      </c>
      <c r="AE123" s="108">
        <f t="shared" si="635"/>
        <v>56.909090909090899</v>
      </c>
      <c r="AF123" s="108">
        <f t="shared" si="635"/>
        <v>56.909090909090914</v>
      </c>
      <c r="AG123" s="108">
        <f t="shared" si="635"/>
        <v>56.909090909090914</v>
      </c>
      <c r="AH123" s="108">
        <f t="shared" si="635"/>
        <v>56.909090909090914</v>
      </c>
      <c r="AI123" s="108">
        <f t="shared" si="635"/>
        <v>56.909090909090914</v>
      </c>
      <c r="AJ123" s="108">
        <f t="shared" si="635"/>
        <v>56.909090909090914</v>
      </c>
      <c r="AK123" s="108">
        <f t="shared" si="635"/>
        <v>56.909090909090914</v>
      </c>
      <c r="AL123" s="108">
        <f t="shared" si="635"/>
        <v>56.909090909090921</v>
      </c>
      <c r="AM123" s="114">
        <f t="shared" si="534"/>
        <v>3.9315003257725412E-2</v>
      </c>
      <c r="AN123" s="21">
        <f t="shared" si="535"/>
        <v>0.01</v>
      </c>
      <c r="AO123" s="122" t="e">
        <f t="shared" si="328"/>
        <v>#DIV/0!</v>
      </c>
    </row>
    <row r="124" spans="1:41" ht="12" customHeight="1" x14ac:dyDescent="0.15">
      <c r="B124" s="10" t="s">
        <v>346</v>
      </c>
      <c r="C124" s="127"/>
      <c r="D124" s="127"/>
      <c r="E124" s="127"/>
      <c r="F124" s="108"/>
      <c r="G124" s="108">
        <f t="shared" ref="G124" si="636">1/G118</f>
        <v>5.5555555555555554</v>
      </c>
      <c r="H124" s="108">
        <f t="shared" ref="H124:I124" si="637">1/H118</f>
        <v>64.285714285714278</v>
      </c>
      <c r="I124" s="108">
        <f t="shared" si="637"/>
        <v>24</v>
      </c>
      <c r="J124" s="108">
        <f t="shared" si="630"/>
        <v>9.4</v>
      </c>
      <c r="K124" s="108">
        <f t="shared" si="630"/>
        <v>6.2666666666666666</v>
      </c>
      <c r="L124" s="108">
        <f t="shared" si="630"/>
        <v>3.8571428571428572</v>
      </c>
      <c r="M124" s="108">
        <f t="shared" si="630"/>
        <v>20.875</v>
      </c>
      <c r="N124" s="108">
        <f t="shared" si="630"/>
        <v>49.333333333333329</v>
      </c>
      <c r="O124" s="108">
        <f t="shared" si="630"/>
        <v>107.5</v>
      </c>
      <c r="P124" s="108">
        <f t="shared" si="630"/>
        <v>287</v>
      </c>
      <c r="Q124" s="108">
        <f t="shared" si="630"/>
        <v>509.72222222222223</v>
      </c>
      <c r="R124" s="108">
        <f t="shared" ref="R124:V124" si="638">1/R118</f>
        <v>1708.3333333333335</v>
      </c>
      <c r="S124" s="108">
        <f t="shared" si="638"/>
        <v>997.9591836734694</v>
      </c>
      <c r="T124" s="108">
        <f t="shared" si="638"/>
        <v>95.600000000000009</v>
      </c>
      <c r="U124" s="108">
        <f t="shared" si="638"/>
        <v>94.2</v>
      </c>
      <c r="V124" s="108">
        <f t="shared" si="638"/>
        <v>69</v>
      </c>
      <c r="W124" s="108">
        <f t="shared" ref="W124" si="639">1/W118</f>
        <v>55.083333333333329</v>
      </c>
      <c r="X124" s="108">
        <f t="shared" ref="X124:Z124" si="640">1/X118</f>
        <v>58.81818181818182</v>
      </c>
      <c r="Y124" s="108">
        <f t="shared" ref="Y124" si="641">1/Y118</f>
        <v>34.133333333333333</v>
      </c>
      <c r="Z124" s="108">
        <f t="shared" si="640"/>
        <v>31.545454545454543</v>
      </c>
      <c r="AA124" s="101">
        <f t="shared" si="290"/>
        <v>9.570899278713707E-2</v>
      </c>
      <c r="AB124" s="10"/>
      <c r="AC124" s="108">
        <f t="shared" ref="AC124:AL124" si="642">1/AC118</f>
        <v>31.545454545454543</v>
      </c>
      <c r="AD124" s="108">
        <f t="shared" si="642"/>
        <v>31.545454545454543</v>
      </c>
      <c r="AE124" s="108">
        <f t="shared" si="642"/>
        <v>31.545454545454543</v>
      </c>
      <c r="AF124" s="108">
        <f t="shared" si="642"/>
        <v>31.545454545454543</v>
      </c>
      <c r="AG124" s="108">
        <f t="shared" si="642"/>
        <v>31.545454545454543</v>
      </c>
      <c r="AH124" s="108">
        <f t="shared" si="642"/>
        <v>31.545454545454543</v>
      </c>
      <c r="AI124" s="108">
        <f t="shared" si="642"/>
        <v>31.545454545454543</v>
      </c>
      <c r="AJ124" s="108">
        <f t="shared" si="642"/>
        <v>31.545454545454543</v>
      </c>
      <c r="AK124" s="108">
        <f t="shared" si="642"/>
        <v>31.545454545454543</v>
      </c>
      <c r="AL124" s="108">
        <f t="shared" si="642"/>
        <v>31.545454545454543</v>
      </c>
      <c r="AM124" s="114">
        <f t="shared" si="534"/>
        <v>4.2632702584691318E-2</v>
      </c>
      <c r="AN124" s="21">
        <f t="shared" si="535"/>
        <v>0.01</v>
      </c>
      <c r="AO124" s="122" t="e">
        <f t="shared" si="328"/>
        <v>#DIV/0!</v>
      </c>
    </row>
    <row r="125" spans="1:41" ht="12" customHeight="1" x14ac:dyDescent="0.15">
      <c r="B125" s="10" t="s">
        <v>347</v>
      </c>
      <c r="C125" s="127"/>
      <c r="D125" s="127"/>
      <c r="E125" s="127"/>
      <c r="F125" s="108"/>
      <c r="G125" s="108">
        <f t="shared" ref="G125" si="643">1/G119</f>
        <v>83.333333333333329</v>
      </c>
      <c r="H125" s="108">
        <f t="shared" ref="H125:I125" si="644">1/H119</f>
        <v>121.42857142857142</v>
      </c>
      <c r="I125" s="108">
        <f t="shared" si="644"/>
        <v>21</v>
      </c>
      <c r="J125" s="108">
        <f t="shared" si="630"/>
        <v>5.1999999999999993</v>
      </c>
      <c r="K125" s="108">
        <f t="shared" si="630"/>
        <v>3.4666666666666668</v>
      </c>
      <c r="L125" s="108">
        <f t="shared" si="630"/>
        <v>3.3333333333333335</v>
      </c>
      <c r="M125" s="108">
        <f t="shared" si="630"/>
        <v>7.75</v>
      </c>
      <c r="N125" s="108">
        <f t="shared" si="630"/>
        <v>13.333333333333334</v>
      </c>
      <c r="O125" s="108">
        <f t="shared" si="630"/>
        <v>114.5</v>
      </c>
      <c r="P125" s="108">
        <f t="shared" si="630"/>
        <v>411</v>
      </c>
      <c r="Q125" s="108">
        <f t="shared" si="630"/>
        <v>409.72222222222223</v>
      </c>
      <c r="R125" s="108">
        <f t="shared" ref="R125:V125" si="645">1/R119</f>
        <v>925</v>
      </c>
      <c r="S125" s="108">
        <f t="shared" si="645"/>
        <v>306.12244897959187</v>
      </c>
      <c r="T125" s="108">
        <f t="shared" si="645"/>
        <v>34</v>
      </c>
      <c r="U125" s="108">
        <f t="shared" si="645"/>
        <v>22.2</v>
      </c>
      <c r="V125" s="108">
        <f t="shared" si="645"/>
        <v>10.285714285714285</v>
      </c>
      <c r="W125" s="108">
        <f t="shared" ref="W125" si="646">1/W119</f>
        <v>7.083333333333333</v>
      </c>
      <c r="X125" s="108">
        <f t="shared" ref="X125:Z125" si="647">1/X119</f>
        <v>16</v>
      </c>
      <c r="Y125" s="108">
        <f t="shared" ref="Y125" si="648">1/Y119</f>
        <v>9.6666666666666661</v>
      </c>
      <c r="Z125" s="108">
        <f t="shared" si="647"/>
        <v>4.7727272727272725</v>
      </c>
      <c r="AA125" s="101">
        <f t="shared" si="290"/>
        <v>-0.13974177237610164</v>
      </c>
      <c r="AB125" s="10"/>
      <c r="AC125" s="108">
        <f t="shared" ref="AC125:AL125" si="649">1/AC119</f>
        <v>4.7727272727272725</v>
      </c>
      <c r="AD125" s="108">
        <f t="shared" si="649"/>
        <v>4.7727272727272725</v>
      </c>
      <c r="AE125" s="108">
        <f t="shared" si="649"/>
        <v>4.7727272727272734</v>
      </c>
      <c r="AF125" s="108">
        <f t="shared" si="649"/>
        <v>4.7727272727272743</v>
      </c>
      <c r="AG125" s="108">
        <f t="shared" si="649"/>
        <v>4.7727272727272734</v>
      </c>
      <c r="AH125" s="108">
        <f t="shared" si="649"/>
        <v>4.7727272727272734</v>
      </c>
      <c r="AI125" s="108">
        <f t="shared" si="649"/>
        <v>4.7727272727272734</v>
      </c>
      <c r="AJ125" s="108">
        <f t="shared" si="649"/>
        <v>4.7727272727272725</v>
      </c>
      <c r="AK125" s="108">
        <f t="shared" si="649"/>
        <v>4.7727272727272734</v>
      </c>
      <c r="AL125" s="108">
        <f t="shared" si="649"/>
        <v>4.7727272727272743</v>
      </c>
      <c r="AM125" s="114">
        <f t="shared" si="534"/>
        <v>-2.9522104856442022E-3</v>
      </c>
      <c r="AN125" s="21">
        <f t="shared" si="535"/>
        <v>0.01</v>
      </c>
      <c r="AO125" s="122" t="e">
        <f t="shared" si="328"/>
        <v>#DIV/0!</v>
      </c>
    </row>
    <row r="126" spans="1:41" ht="12" customHeight="1" x14ac:dyDescent="0.15">
      <c r="B126" s="10" t="s">
        <v>348</v>
      </c>
      <c r="C126" s="127"/>
      <c r="D126" s="127"/>
      <c r="E126" s="127"/>
      <c r="F126" s="108"/>
      <c r="G126" s="108">
        <f t="shared" ref="G126" si="650">1/G120</f>
        <v>83.333333333333329</v>
      </c>
      <c r="H126" s="108">
        <f t="shared" ref="H126:I126" si="651">1/H120</f>
        <v>121.42857142857142</v>
      </c>
      <c r="I126" s="108">
        <f t="shared" si="651"/>
        <v>21</v>
      </c>
      <c r="J126" s="108">
        <f t="shared" si="630"/>
        <v>5.1999999999999993</v>
      </c>
      <c r="K126" s="108">
        <f t="shared" si="630"/>
        <v>3.4</v>
      </c>
      <c r="L126" s="108">
        <f t="shared" si="630"/>
        <v>3.3333333333333335</v>
      </c>
      <c r="M126" s="108">
        <f t="shared" si="630"/>
        <v>7.75</v>
      </c>
      <c r="N126" s="108">
        <f t="shared" si="630"/>
        <v>13.333333333333334</v>
      </c>
      <c r="O126" s="108">
        <f t="shared" si="630"/>
        <v>114.5</v>
      </c>
      <c r="P126" s="108">
        <f t="shared" si="630"/>
        <v>409</v>
      </c>
      <c r="Q126" s="108">
        <f t="shared" si="630"/>
        <v>406.94444444444446</v>
      </c>
      <c r="R126" s="108">
        <f t="shared" ref="R126:V126" si="652">1/R120</f>
        <v>916.66666666666663</v>
      </c>
      <c r="S126" s="108">
        <f t="shared" si="652"/>
        <v>159.18367346938777</v>
      </c>
      <c r="T126" s="108">
        <f t="shared" si="652"/>
        <v>4.4000000000000004</v>
      </c>
      <c r="U126" s="108">
        <f t="shared" si="652"/>
        <v>-10.199999999999999</v>
      </c>
      <c r="V126" s="108">
        <f t="shared" si="652"/>
        <v>0.14285714285714285</v>
      </c>
      <c r="W126" s="108">
        <f t="shared" ref="W126" si="653">1/W120</f>
        <v>-1.5</v>
      </c>
      <c r="X126" s="108">
        <f t="shared" ref="X126:Z126" si="654">1/X120</f>
        <v>5.8181818181818183</v>
      </c>
      <c r="Y126" s="108">
        <f t="shared" ref="Y126" si="655">1/Y120</f>
        <v>-4.1333333333333329</v>
      </c>
      <c r="Z126" s="108" t="e">
        <f t="shared" si="654"/>
        <v>#DIV/0!</v>
      </c>
      <c r="AA126" s="101" t="e">
        <f t="shared" si="290"/>
        <v>#DIV/0!</v>
      </c>
      <c r="AB126" s="10"/>
      <c r="AC126" s="108" t="e">
        <f t="shared" ref="AC126:AL126" si="656">1/AC120</f>
        <v>#DIV/0!</v>
      </c>
      <c r="AD126" s="108" t="e">
        <f t="shared" si="656"/>
        <v>#DIV/0!</v>
      </c>
      <c r="AE126" s="108" t="e">
        <f t="shared" si="656"/>
        <v>#DIV/0!</v>
      </c>
      <c r="AF126" s="108" t="e">
        <f t="shared" si="656"/>
        <v>#DIV/0!</v>
      </c>
      <c r="AG126" s="108" t="e">
        <f t="shared" si="656"/>
        <v>#DIV/0!</v>
      </c>
      <c r="AH126" s="108" t="e">
        <f t="shared" si="656"/>
        <v>#DIV/0!</v>
      </c>
      <c r="AI126" s="108" t="e">
        <f t="shared" si="656"/>
        <v>#DIV/0!</v>
      </c>
      <c r="AJ126" s="108" t="e">
        <f t="shared" si="656"/>
        <v>#DIV/0!</v>
      </c>
      <c r="AK126" s="108" t="e">
        <f t="shared" si="656"/>
        <v>#DIV/0!</v>
      </c>
      <c r="AL126" s="108" t="e">
        <f t="shared" si="656"/>
        <v>#DIV/0!</v>
      </c>
      <c r="AM126" s="114" t="e">
        <f t="shared" si="534"/>
        <v>#DIV/0!</v>
      </c>
      <c r="AN126" s="21">
        <f t="shared" si="535"/>
        <v>0.01</v>
      </c>
      <c r="AO126" s="122" t="e">
        <f t="shared" si="328"/>
        <v>#DIV/0!</v>
      </c>
    </row>
    <row r="127" spans="1:41" ht="12" customHeight="1" x14ac:dyDescent="0.15">
      <c r="B127" s="10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  <c r="AA127" s="101" t="e">
        <f t="shared" si="290"/>
        <v>#DIV/0!</v>
      </c>
      <c r="AB127" s="10"/>
      <c r="AC127" s="127"/>
      <c r="AD127" s="127"/>
      <c r="AE127" s="127"/>
      <c r="AF127" s="127"/>
      <c r="AG127" s="127"/>
      <c r="AH127" s="127"/>
      <c r="AI127" s="127"/>
      <c r="AJ127" s="127"/>
      <c r="AK127" s="127"/>
      <c r="AL127" s="127"/>
      <c r="AM127" s="127"/>
      <c r="AN127" s="122"/>
      <c r="AO127" s="122"/>
    </row>
    <row r="128" spans="1:41" ht="12" customHeight="1" x14ac:dyDescent="0.15">
      <c r="A128" s="291" t="s">
        <v>417</v>
      </c>
      <c r="B128" s="173" t="s">
        <v>424</v>
      </c>
      <c r="C128" s="127"/>
      <c r="D128" s="127"/>
      <c r="E128" s="127"/>
      <c r="F128" s="127"/>
      <c r="G128" s="127" t="e">
        <f t="shared" ref="G128" si="657">G25/(G36+G38)</f>
        <v>#DIV/0!</v>
      </c>
      <c r="H128" s="127" t="e">
        <f t="shared" ref="H128:I128" si="658">H25/(H36+H38)</f>
        <v>#DIV/0!</v>
      </c>
      <c r="I128" s="127" t="e">
        <f t="shared" si="658"/>
        <v>#DIV/0!</v>
      </c>
      <c r="J128" s="127" t="e">
        <f t="shared" ref="J128:Q128" si="659">J25/(J36+J38)</f>
        <v>#DIV/0!</v>
      </c>
      <c r="K128" s="127" t="e">
        <f t="shared" si="659"/>
        <v>#DIV/0!</v>
      </c>
      <c r="L128" s="127" t="e">
        <f t="shared" si="659"/>
        <v>#DIV/0!</v>
      </c>
      <c r="M128" s="127" t="e">
        <f t="shared" si="659"/>
        <v>#DIV/0!</v>
      </c>
      <c r="N128" s="127" t="e">
        <f t="shared" si="659"/>
        <v>#DIV/0!</v>
      </c>
      <c r="O128" s="127" t="e">
        <f t="shared" si="659"/>
        <v>#DIV/0!</v>
      </c>
      <c r="P128" s="127" t="e">
        <f t="shared" si="659"/>
        <v>#DIV/0!</v>
      </c>
      <c r="Q128" s="127" t="e">
        <f t="shared" si="659"/>
        <v>#DIV/0!</v>
      </c>
      <c r="R128" s="127">
        <f t="shared" ref="R128:V128" si="660">R25/(R36+R38)</f>
        <v>4294</v>
      </c>
      <c r="S128" s="127">
        <f t="shared" si="660"/>
        <v>2419.5</v>
      </c>
      <c r="T128" s="127">
        <f t="shared" si="660"/>
        <v>1845.6666666666667</v>
      </c>
      <c r="U128" s="127">
        <f t="shared" si="660"/>
        <v>1538.25</v>
      </c>
      <c r="V128" s="127">
        <f t="shared" si="660"/>
        <v>679.3</v>
      </c>
      <c r="W128" s="127">
        <f t="shared" ref="W128" si="661">W25/(W36+W38)</f>
        <v>569.91666666666663</v>
      </c>
      <c r="X128" s="127">
        <f t="shared" ref="X128:Z128" si="662">X25/(X36+X38)</f>
        <v>595.83333333333337</v>
      </c>
      <c r="Y128" s="127">
        <f t="shared" ref="Y128" si="663">Y25/(Y36+Y38)</f>
        <v>621.21428571428567</v>
      </c>
      <c r="Z128" s="127">
        <f t="shared" si="662"/>
        <v>742</v>
      </c>
      <c r="AA128" s="101" t="e">
        <f t="shared" si="290"/>
        <v>#DIV/0!</v>
      </c>
      <c r="AB128" s="10"/>
      <c r="AC128" s="127">
        <f t="shared" ref="AC128:AL128" si="664">AC25/(AC36+AC38)</f>
        <v>742</v>
      </c>
      <c r="AD128" s="127">
        <f t="shared" si="664"/>
        <v>741.99999999999989</v>
      </c>
      <c r="AE128" s="127">
        <f t="shared" si="664"/>
        <v>741.99999999999989</v>
      </c>
      <c r="AF128" s="127">
        <f t="shared" si="664"/>
        <v>741.99999999999989</v>
      </c>
      <c r="AG128" s="127">
        <f t="shared" si="664"/>
        <v>741.99999999999977</v>
      </c>
      <c r="AH128" s="127">
        <f t="shared" si="664"/>
        <v>741.99999999999977</v>
      </c>
      <c r="AI128" s="127">
        <f t="shared" si="664"/>
        <v>741.99999999999977</v>
      </c>
      <c r="AJ128" s="127">
        <f t="shared" si="664"/>
        <v>741.99999999999989</v>
      </c>
      <c r="AK128" s="127">
        <f t="shared" si="664"/>
        <v>741.99999999999977</v>
      </c>
      <c r="AL128" s="127">
        <f t="shared" si="664"/>
        <v>741.99999999999977</v>
      </c>
      <c r="AM128" s="114" t="e">
        <f t="shared" ref="AM128:AM136" si="665">((AL128/J128)^(1/($AL$3-$K$1) ))-1</f>
        <v>#DIV/0!</v>
      </c>
      <c r="AN128" s="21">
        <f t="shared" si="535"/>
        <v>0.01</v>
      </c>
      <c r="AO128" s="122" t="e">
        <f t="shared" si="328"/>
        <v>#DIV/0!</v>
      </c>
    </row>
    <row r="129" spans="1:41" ht="12" customHeight="1" x14ac:dyDescent="0.15">
      <c r="A129" s="291"/>
      <c r="B129" s="173" t="s">
        <v>419</v>
      </c>
      <c r="C129" s="127"/>
      <c r="D129" s="127"/>
      <c r="E129" s="127"/>
      <c r="F129" s="127"/>
      <c r="G129" s="127" t="e">
        <f t="shared" ref="G129" si="666">G25/G43</f>
        <v>#DIV/0!</v>
      </c>
      <c r="H129" s="127" t="e">
        <f t="shared" ref="H129:I129" si="667">H25/H43</f>
        <v>#DIV/0!</v>
      </c>
      <c r="I129" s="127" t="e">
        <f t="shared" si="667"/>
        <v>#DIV/0!</v>
      </c>
      <c r="J129" s="127" t="e">
        <f t="shared" ref="J129:Q129" si="668">J25/J43</f>
        <v>#DIV/0!</v>
      </c>
      <c r="K129" s="127" t="e">
        <f t="shared" si="668"/>
        <v>#DIV/0!</v>
      </c>
      <c r="L129" s="127" t="e">
        <f t="shared" si="668"/>
        <v>#DIV/0!</v>
      </c>
      <c r="M129" s="127" t="e">
        <f t="shared" si="668"/>
        <v>#DIV/0!</v>
      </c>
      <c r="N129" s="127" t="e">
        <f t="shared" si="668"/>
        <v>#DIV/0!</v>
      </c>
      <c r="O129" s="127" t="e">
        <f t="shared" si="668"/>
        <v>#DIV/0!</v>
      </c>
      <c r="P129" s="127" t="e">
        <f t="shared" si="668"/>
        <v>#DIV/0!</v>
      </c>
      <c r="Q129" s="127" t="e">
        <f t="shared" si="668"/>
        <v>#DIV/0!</v>
      </c>
      <c r="R129" s="127" t="e">
        <f t="shared" ref="R129:V129" si="669">R25/R43</f>
        <v>#DIV/0!</v>
      </c>
      <c r="S129" s="127" t="e">
        <f t="shared" si="669"/>
        <v>#DIV/0!</v>
      </c>
      <c r="T129" s="127" t="e">
        <f t="shared" si="669"/>
        <v>#DIV/0!</v>
      </c>
      <c r="U129" s="127" t="e">
        <f t="shared" si="669"/>
        <v>#DIV/0!</v>
      </c>
      <c r="V129" s="127" t="e">
        <f t="shared" si="669"/>
        <v>#DIV/0!</v>
      </c>
      <c r="W129" s="127" t="e">
        <f t="shared" ref="W129" si="670">W25/W43</f>
        <v>#DIV/0!</v>
      </c>
      <c r="X129" s="127" t="e">
        <f t="shared" ref="X129:Z129" si="671">X25/X43</f>
        <v>#DIV/0!</v>
      </c>
      <c r="Y129" s="127" t="e">
        <f t="shared" ref="Y129" si="672">Y25/Y43</f>
        <v>#DIV/0!</v>
      </c>
      <c r="Z129" s="127" t="e">
        <f t="shared" si="671"/>
        <v>#DIV/0!</v>
      </c>
      <c r="AA129" s="101" t="e">
        <f t="shared" si="290"/>
        <v>#DIV/0!</v>
      </c>
      <c r="AB129" s="10"/>
      <c r="AC129" s="127" t="e">
        <f t="shared" ref="AC129:AL129" si="673">AC25/AC43</f>
        <v>#DIV/0!</v>
      </c>
      <c r="AD129" s="127" t="e">
        <f t="shared" si="673"/>
        <v>#DIV/0!</v>
      </c>
      <c r="AE129" s="127" t="e">
        <f t="shared" si="673"/>
        <v>#DIV/0!</v>
      </c>
      <c r="AF129" s="127" t="e">
        <f t="shared" si="673"/>
        <v>#DIV/0!</v>
      </c>
      <c r="AG129" s="127" t="e">
        <f t="shared" si="673"/>
        <v>#DIV/0!</v>
      </c>
      <c r="AH129" s="127" t="e">
        <f t="shared" si="673"/>
        <v>#DIV/0!</v>
      </c>
      <c r="AI129" s="127" t="e">
        <f t="shared" si="673"/>
        <v>#DIV/0!</v>
      </c>
      <c r="AJ129" s="127" t="e">
        <f t="shared" si="673"/>
        <v>#DIV/0!</v>
      </c>
      <c r="AK129" s="127" t="e">
        <f t="shared" si="673"/>
        <v>#DIV/0!</v>
      </c>
      <c r="AL129" s="127" t="e">
        <f t="shared" si="673"/>
        <v>#DIV/0!</v>
      </c>
      <c r="AM129" s="114" t="e">
        <f t="shared" si="665"/>
        <v>#DIV/0!</v>
      </c>
      <c r="AN129" s="21">
        <f t="shared" si="535"/>
        <v>0.01</v>
      </c>
      <c r="AO129" s="122" t="e">
        <f t="shared" si="328"/>
        <v>#DIV/0!</v>
      </c>
    </row>
    <row r="130" spans="1:41" ht="12" customHeight="1" x14ac:dyDescent="0.15">
      <c r="A130" s="291"/>
      <c r="B130" s="173" t="s">
        <v>425</v>
      </c>
      <c r="C130" s="127"/>
      <c r="D130" s="127"/>
      <c r="E130" s="127"/>
      <c r="F130" s="127"/>
      <c r="G130" s="127" t="e">
        <f t="shared" ref="G130" si="674">G43/(G36)</f>
        <v>#DIV/0!</v>
      </c>
      <c r="H130" s="127" t="e">
        <f t="shared" ref="H130:I130" si="675">H43/(H36)</f>
        <v>#DIV/0!</v>
      </c>
      <c r="I130" s="127" t="e">
        <f t="shared" si="675"/>
        <v>#DIV/0!</v>
      </c>
      <c r="J130" s="127" t="e">
        <f t="shared" ref="J130:Q130" si="676">J43/(J36)</f>
        <v>#DIV/0!</v>
      </c>
      <c r="K130" s="127" t="e">
        <f t="shared" si="676"/>
        <v>#DIV/0!</v>
      </c>
      <c r="L130" s="127" t="e">
        <f t="shared" si="676"/>
        <v>#DIV/0!</v>
      </c>
      <c r="M130" s="127" t="e">
        <f t="shared" si="676"/>
        <v>#DIV/0!</v>
      </c>
      <c r="N130" s="127" t="e">
        <f t="shared" si="676"/>
        <v>#DIV/0!</v>
      </c>
      <c r="O130" s="127" t="e">
        <f t="shared" si="676"/>
        <v>#DIV/0!</v>
      </c>
      <c r="P130" s="127" t="e">
        <f t="shared" si="676"/>
        <v>#DIV/0!</v>
      </c>
      <c r="Q130" s="127" t="e">
        <f t="shared" si="676"/>
        <v>#DIV/0!</v>
      </c>
      <c r="R130" s="127" t="e">
        <f t="shared" ref="R130:V130" si="677">R43/(R36)</f>
        <v>#DIV/0!</v>
      </c>
      <c r="S130" s="127" t="e">
        <f t="shared" si="677"/>
        <v>#DIV/0!</v>
      </c>
      <c r="T130" s="127" t="e">
        <f t="shared" si="677"/>
        <v>#DIV/0!</v>
      </c>
      <c r="U130" s="127" t="e">
        <f t="shared" si="677"/>
        <v>#DIV/0!</v>
      </c>
      <c r="V130" s="127">
        <f t="shared" si="677"/>
        <v>0</v>
      </c>
      <c r="W130" s="127">
        <f t="shared" ref="W130" si="678">W43/(W36)</f>
        <v>0</v>
      </c>
      <c r="X130" s="127">
        <f t="shared" ref="X130:Z130" si="679">X43/(X36)</f>
        <v>0</v>
      </c>
      <c r="Y130" s="127">
        <f t="shared" ref="Y130" si="680">Y43/(Y36)</f>
        <v>0</v>
      </c>
      <c r="Z130" s="127">
        <f t="shared" si="679"/>
        <v>0</v>
      </c>
      <c r="AA130" s="101" t="e">
        <f t="shared" si="290"/>
        <v>#DIV/0!</v>
      </c>
      <c r="AB130" s="10"/>
      <c r="AC130" s="127">
        <f t="shared" ref="AC130:AL130" si="681">AC43/(AC36+AC38)</f>
        <v>0</v>
      </c>
      <c r="AD130" s="127">
        <f t="shared" si="681"/>
        <v>0</v>
      </c>
      <c r="AE130" s="127">
        <f t="shared" si="681"/>
        <v>0</v>
      </c>
      <c r="AF130" s="127">
        <f t="shared" si="681"/>
        <v>0</v>
      </c>
      <c r="AG130" s="127">
        <f t="shared" si="681"/>
        <v>0</v>
      </c>
      <c r="AH130" s="127">
        <f t="shared" si="681"/>
        <v>0</v>
      </c>
      <c r="AI130" s="127">
        <f t="shared" si="681"/>
        <v>0</v>
      </c>
      <c r="AJ130" s="127">
        <f t="shared" si="681"/>
        <v>0</v>
      </c>
      <c r="AK130" s="127">
        <f t="shared" si="681"/>
        <v>0</v>
      </c>
      <c r="AL130" s="127">
        <f t="shared" si="681"/>
        <v>0</v>
      </c>
      <c r="AM130" s="114" t="e">
        <f t="shared" si="665"/>
        <v>#DIV/0!</v>
      </c>
      <c r="AN130" s="21">
        <f t="shared" si="535"/>
        <v>0.01</v>
      </c>
      <c r="AO130" s="122" t="e">
        <f t="shared" si="328"/>
        <v>#DIV/0!</v>
      </c>
    </row>
    <row r="131" spans="1:41" ht="12" customHeight="1" x14ac:dyDescent="0.15">
      <c r="A131" s="291"/>
      <c r="B131" s="173" t="s">
        <v>423</v>
      </c>
      <c r="C131" s="127"/>
      <c r="D131" s="127"/>
      <c r="E131" s="127"/>
      <c r="F131" s="127"/>
      <c r="G131" s="127" t="e">
        <f t="shared" ref="G131" si="682">G43/G38</f>
        <v>#DIV/0!</v>
      </c>
      <c r="H131" s="127" t="e">
        <f t="shared" ref="H131:I131" si="683">H43/H38</f>
        <v>#DIV/0!</v>
      </c>
      <c r="I131" s="127" t="e">
        <f t="shared" si="683"/>
        <v>#DIV/0!</v>
      </c>
      <c r="J131" s="127" t="e">
        <f t="shared" ref="J131:Q131" si="684">J43/J38</f>
        <v>#DIV/0!</v>
      </c>
      <c r="K131" s="127" t="e">
        <f t="shared" si="684"/>
        <v>#DIV/0!</v>
      </c>
      <c r="L131" s="127" t="e">
        <f t="shared" si="684"/>
        <v>#DIV/0!</v>
      </c>
      <c r="M131" s="127" t="e">
        <f t="shared" si="684"/>
        <v>#DIV/0!</v>
      </c>
      <c r="N131" s="127" t="e">
        <f t="shared" si="684"/>
        <v>#DIV/0!</v>
      </c>
      <c r="O131" s="127" t="e">
        <f t="shared" si="684"/>
        <v>#DIV/0!</v>
      </c>
      <c r="P131" s="127" t="e">
        <f t="shared" si="684"/>
        <v>#DIV/0!</v>
      </c>
      <c r="Q131" s="127" t="e">
        <f t="shared" si="684"/>
        <v>#DIV/0!</v>
      </c>
      <c r="R131" s="127">
        <f t="shared" ref="R131:V131" si="685">R43/R38</f>
        <v>0</v>
      </c>
      <c r="S131" s="127">
        <f t="shared" si="685"/>
        <v>0</v>
      </c>
      <c r="T131" s="127">
        <f t="shared" si="685"/>
        <v>0</v>
      </c>
      <c r="U131" s="127">
        <f t="shared" si="685"/>
        <v>0</v>
      </c>
      <c r="V131" s="127">
        <f t="shared" si="685"/>
        <v>0</v>
      </c>
      <c r="W131" s="127">
        <f t="shared" ref="W131" si="686">W43/W38</f>
        <v>0</v>
      </c>
      <c r="X131" s="127">
        <f t="shared" ref="X131:Z131" si="687">X43/X38</f>
        <v>0</v>
      </c>
      <c r="Y131" s="127">
        <f t="shared" ref="Y131" si="688">Y43/Y38</f>
        <v>0</v>
      </c>
      <c r="Z131" s="127">
        <f t="shared" si="687"/>
        <v>0</v>
      </c>
      <c r="AA131" s="101" t="e">
        <f t="shared" si="290"/>
        <v>#DIV/0!</v>
      </c>
      <c r="AB131" s="10"/>
      <c r="AC131" s="127">
        <f t="shared" ref="AC131:AL131" si="689">AC43/AC38</f>
        <v>0</v>
      </c>
      <c r="AD131" s="127">
        <f t="shared" si="689"/>
        <v>0</v>
      </c>
      <c r="AE131" s="127">
        <f t="shared" si="689"/>
        <v>0</v>
      </c>
      <c r="AF131" s="127">
        <f t="shared" si="689"/>
        <v>0</v>
      </c>
      <c r="AG131" s="127">
        <f t="shared" si="689"/>
        <v>0</v>
      </c>
      <c r="AH131" s="127">
        <f t="shared" si="689"/>
        <v>0</v>
      </c>
      <c r="AI131" s="127">
        <f t="shared" si="689"/>
        <v>0</v>
      </c>
      <c r="AJ131" s="127">
        <f t="shared" si="689"/>
        <v>0</v>
      </c>
      <c r="AK131" s="127">
        <f t="shared" si="689"/>
        <v>0</v>
      </c>
      <c r="AL131" s="127">
        <f t="shared" si="689"/>
        <v>0</v>
      </c>
      <c r="AM131" s="114" t="e">
        <f t="shared" si="665"/>
        <v>#DIV/0!</v>
      </c>
      <c r="AN131" s="21">
        <f t="shared" si="535"/>
        <v>0.01</v>
      </c>
      <c r="AO131" s="122" t="e">
        <f t="shared" si="328"/>
        <v>#DIV/0!</v>
      </c>
    </row>
    <row r="132" spans="1:41" ht="12" customHeight="1" x14ac:dyDescent="0.15">
      <c r="A132" s="291"/>
      <c r="B132" s="173" t="s">
        <v>422</v>
      </c>
      <c r="C132" s="127"/>
      <c r="D132" s="127"/>
      <c r="E132" s="127"/>
      <c r="F132" s="127"/>
      <c r="G132" s="127" t="e">
        <f t="shared" ref="G132" si="690">G43/(G36+G38)</f>
        <v>#DIV/0!</v>
      </c>
      <c r="H132" s="127" t="e">
        <f t="shared" ref="H132:I132" si="691">H43/(H36+H38)</f>
        <v>#DIV/0!</v>
      </c>
      <c r="I132" s="127" t="e">
        <f t="shared" si="691"/>
        <v>#DIV/0!</v>
      </c>
      <c r="J132" s="127" t="e">
        <f t="shared" ref="J132:Q132" si="692">J43/(J36+J38)</f>
        <v>#DIV/0!</v>
      </c>
      <c r="K132" s="127" t="e">
        <f t="shared" si="692"/>
        <v>#DIV/0!</v>
      </c>
      <c r="L132" s="127" t="e">
        <f t="shared" si="692"/>
        <v>#DIV/0!</v>
      </c>
      <c r="M132" s="127" t="e">
        <f t="shared" si="692"/>
        <v>#DIV/0!</v>
      </c>
      <c r="N132" s="127" t="e">
        <f t="shared" si="692"/>
        <v>#DIV/0!</v>
      </c>
      <c r="O132" s="127" t="e">
        <f t="shared" si="692"/>
        <v>#DIV/0!</v>
      </c>
      <c r="P132" s="127" t="e">
        <f t="shared" si="692"/>
        <v>#DIV/0!</v>
      </c>
      <c r="Q132" s="127" t="e">
        <f t="shared" si="692"/>
        <v>#DIV/0!</v>
      </c>
      <c r="R132" s="127">
        <f t="shared" ref="R132:V132" si="693">R43/(R36+R38)</f>
        <v>0</v>
      </c>
      <c r="S132" s="127">
        <f t="shared" si="693"/>
        <v>0</v>
      </c>
      <c r="T132" s="127">
        <f t="shared" si="693"/>
        <v>0</v>
      </c>
      <c r="U132" s="127">
        <f t="shared" si="693"/>
        <v>0</v>
      </c>
      <c r="V132" s="127">
        <f t="shared" si="693"/>
        <v>0</v>
      </c>
      <c r="W132" s="127">
        <f t="shared" ref="W132" si="694">W43/(W36+W38)</f>
        <v>0</v>
      </c>
      <c r="X132" s="127">
        <f t="shared" ref="X132:Z132" si="695">X43/(X36+X38)</f>
        <v>0</v>
      </c>
      <c r="Y132" s="127">
        <f t="shared" ref="Y132" si="696">Y43/(Y36+Y38)</f>
        <v>0</v>
      </c>
      <c r="Z132" s="127">
        <f t="shared" si="695"/>
        <v>0</v>
      </c>
      <c r="AA132" s="101" t="e">
        <f t="shared" si="290"/>
        <v>#DIV/0!</v>
      </c>
      <c r="AB132" s="10"/>
      <c r="AC132" s="127">
        <f t="shared" ref="AC132:AL132" si="697">AC43/(AC36+AC38)</f>
        <v>0</v>
      </c>
      <c r="AD132" s="127">
        <f t="shared" si="697"/>
        <v>0</v>
      </c>
      <c r="AE132" s="127">
        <f t="shared" si="697"/>
        <v>0</v>
      </c>
      <c r="AF132" s="127">
        <f t="shared" si="697"/>
        <v>0</v>
      </c>
      <c r="AG132" s="127">
        <f t="shared" si="697"/>
        <v>0</v>
      </c>
      <c r="AH132" s="127">
        <f t="shared" si="697"/>
        <v>0</v>
      </c>
      <c r="AI132" s="127">
        <f t="shared" si="697"/>
        <v>0</v>
      </c>
      <c r="AJ132" s="127">
        <f t="shared" si="697"/>
        <v>0</v>
      </c>
      <c r="AK132" s="127">
        <f t="shared" si="697"/>
        <v>0</v>
      </c>
      <c r="AL132" s="127">
        <f t="shared" si="697"/>
        <v>0</v>
      </c>
      <c r="AM132" s="114" t="e">
        <f>((AL132/J132)^(1/($AL$3-$K$1) ))-1</f>
        <v>#DIV/0!</v>
      </c>
      <c r="AN132" s="21">
        <f t="shared" si="535"/>
        <v>0.01</v>
      </c>
      <c r="AO132" s="122" t="e">
        <f t="shared" si="328"/>
        <v>#DIV/0!</v>
      </c>
    </row>
    <row r="133" spans="1:41" ht="12" customHeight="1" x14ac:dyDescent="0.15">
      <c r="A133" s="291"/>
      <c r="B133" s="173" t="s">
        <v>428</v>
      </c>
      <c r="C133" s="127"/>
      <c r="D133" s="127"/>
      <c r="E133" s="127"/>
      <c r="F133" s="127"/>
      <c r="G133" s="127">
        <f t="shared" ref="G133" si="698">G49/G25</f>
        <v>0</v>
      </c>
      <c r="H133" s="127">
        <f t="shared" ref="H133:I133" si="699">H49/H25</f>
        <v>0</v>
      </c>
      <c r="I133" s="127">
        <f t="shared" si="699"/>
        <v>0</v>
      </c>
      <c r="J133" s="127">
        <f t="shared" ref="J133:Q133" si="700">J49/J25</f>
        <v>0</v>
      </c>
      <c r="K133" s="127">
        <f t="shared" si="700"/>
        <v>0</v>
      </c>
      <c r="L133" s="127">
        <f t="shared" si="700"/>
        <v>0</v>
      </c>
      <c r="M133" s="127">
        <f t="shared" si="700"/>
        <v>0</v>
      </c>
      <c r="N133" s="127">
        <f t="shared" si="700"/>
        <v>0</v>
      </c>
      <c r="O133" s="127">
        <f t="shared" si="700"/>
        <v>0</v>
      </c>
      <c r="P133" s="127">
        <f t="shared" si="700"/>
        <v>0</v>
      </c>
      <c r="Q133" s="127">
        <f t="shared" si="700"/>
        <v>0</v>
      </c>
      <c r="R133" s="127">
        <f t="shared" ref="R133:V133" si="701">R49/R25</f>
        <v>2.328830926874709E-4</v>
      </c>
      <c r="S133" s="127">
        <f t="shared" si="701"/>
        <v>4.1330853482124408E-4</v>
      </c>
      <c r="T133" s="127">
        <f t="shared" si="701"/>
        <v>5.4180964421166695E-4</v>
      </c>
      <c r="U133" s="127">
        <f t="shared" si="701"/>
        <v>6.5008938729075249E-4</v>
      </c>
      <c r="V133" s="127">
        <f t="shared" si="701"/>
        <v>7.3605181804799061E-4</v>
      </c>
      <c r="W133" s="127">
        <f t="shared" ref="W133" si="702">W49/W25</f>
        <v>8.7732124579616903E-4</v>
      </c>
      <c r="X133" s="127">
        <f t="shared" ref="X133:Z133" si="703">X49/X25</f>
        <v>8.3916083916083916E-4</v>
      </c>
      <c r="Y133" s="127">
        <f t="shared" ref="Y133" si="704">Y49/Y25</f>
        <v>8.0487524433712771E-4</v>
      </c>
      <c r="Z133" s="127">
        <f t="shared" si="703"/>
        <v>6.7385444743935314E-4</v>
      </c>
      <c r="AA133" s="101" t="e">
        <f t="shared" si="290"/>
        <v>#DIV/0!</v>
      </c>
      <c r="AB133" s="10"/>
      <c r="AC133" s="127">
        <f t="shared" ref="AC133:AL133" si="705">AC49/AC25</f>
        <v>6.7385444743935314E-4</v>
      </c>
      <c r="AD133" s="127">
        <f t="shared" si="705"/>
        <v>6.7385444743935324E-4</v>
      </c>
      <c r="AE133" s="127">
        <f t="shared" si="705"/>
        <v>6.7385444743935324E-4</v>
      </c>
      <c r="AF133" s="127">
        <f t="shared" si="705"/>
        <v>6.7385444743935324E-4</v>
      </c>
      <c r="AG133" s="127">
        <f t="shared" si="705"/>
        <v>6.7385444743935324E-4</v>
      </c>
      <c r="AH133" s="127">
        <f t="shared" si="705"/>
        <v>6.7385444743935335E-4</v>
      </c>
      <c r="AI133" s="127">
        <f t="shared" si="705"/>
        <v>6.7385444743935324E-4</v>
      </c>
      <c r="AJ133" s="127">
        <f t="shared" si="705"/>
        <v>6.7385444743935324E-4</v>
      </c>
      <c r="AK133" s="127">
        <f t="shared" si="705"/>
        <v>6.7385444743935324E-4</v>
      </c>
      <c r="AL133" s="127">
        <f t="shared" si="705"/>
        <v>6.7385444743935324E-4</v>
      </c>
      <c r="AM133" s="114" t="e">
        <f>((AL133/J133)^(1/($AL$3-$K$1) ))-1</f>
        <v>#DIV/0!</v>
      </c>
      <c r="AN133" s="21">
        <f t="shared" si="535"/>
        <v>0.01</v>
      </c>
      <c r="AO133" s="122" t="e">
        <f t="shared" si="328"/>
        <v>#DIV/0!</v>
      </c>
    </row>
    <row r="134" spans="1:41" ht="12" customHeight="1" x14ac:dyDescent="0.15">
      <c r="A134" s="291"/>
      <c r="B134" s="173" t="s">
        <v>426</v>
      </c>
      <c r="C134" s="127"/>
      <c r="D134" s="127"/>
      <c r="E134" s="127"/>
      <c r="F134" s="177"/>
      <c r="G134" s="177" t="e">
        <f t="shared" ref="G134" si="706">G59/G51</f>
        <v>#DIV/0!</v>
      </c>
      <c r="H134" s="177" t="e">
        <f t="shared" ref="H134:I134" si="707">H59/H51</f>
        <v>#DIV/0!</v>
      </c>
      <c r="I134" s="177" t="e">
        <f t="shared" si="707"/>
        <v>#DIV/0!</v>
      </c>
      <c r="J134" s="177" t="e">
        <f t="shared" ref="J134:Q134" si="708">J59/J51</f>
        <v>#DIV/0!</v>
      </c>
      <c r="K134" s="177" t="e">
        <f t="shared" si="708"/>
        <v>#DIV/0!</v>
      </c>
      <c r="L134" s="177" t="e">
        <f t="shared" si="708"/>
        <v>#DIV/0!</v>
      </c>
      <c r="M134" s="177" t="e">
        <f t="shared" si="708"/>
        <v>#DIV/0!</v>
      </c>
      <c r="N134" s="177" t="e">
        <f t="shared" si="708"/>
        <v>#DIV/0!</v>
      </c>
      <c r="O134" s="177" t="e">
        <f t="shared" si="708"/>
        <v>#DIV/0!</v>
      </c>
      <c r="P134" s="177" t="e">
        <f t="shared" si="708"/>
        <v>#DIV/0!</v>
      </c>
      <c r="Q134" s="177" t="e">
        <f t="shared" si="708"/>
        <v>#DIV/0!</v>
      </c>
      <c r="R134" s="177">
        <f t="shared" ref="R134:V134" si="709">R59/R51</f>
        <v>410</v>
      </c>
      <c r="S134" s="177">
        <f t="shared" si="709"/>
        <v>244.5</v>
      </c>
      <c r="T134" s="177">
        <f t="shared" si="709"/>
        <v>159.33333333333334</v>
      </c>
      <c r="U134" s="177">
        <f t="shared" si="709"/>
        <v>117.75</v>
      </c>
      <c r="V134" s="177">
        <f t="shared" si="709"/>
        <v>96.6</v>
      </c>
      <c r="W134" s="177">
        <f t="shared" ref="W134" si="710">W59/W51</f>
        <v>110.16666666666667</v>
      </c>
      <c r="X134" s="177">
        <f t="shared" ref="X134:Z134" si="711">X59/X51</f>
        <v>107.83333333333333</v>
      </c>
      <c r="Y134" s="177">
        <f t="shared" ref="Y134" si="712">Y59/Y51</f>
        <v>73.142857142857139</v>
      </c>
      <c r="Z134" s="177">
        <f t="shared" si="711"/>
        <v>99.142857142857139</v>
      </c>
      <c r="AA134" s="101" t="e">
        <f t="shared" ref="AA134:AA171" si="713">((Z134/G134)^(1/($K$2-$K$1) ))-1</f>
        <v>#DIV/0!</v>
      </c>
      <c r="AB134" s="10"/>
      <c r="AC134" s="177">
        <f t="shared" ref="AC134:AL134" si="714">AC59/AC51</f>
        <v>99.142857142857139</v>
      </c>
      <c r="AD134" s="177">
        <f t="shared" si="714"/>
        <v>99.142857142857125</v>
      </c>
      <c r="AE134" s="177">
        <f t="shared" si="714"/>
        <v>99.142857142857125</v>
      </c>
      <c r="AF134" s="177">
        <f t="shared" si="714"/>
        <v>99.142857142857125</v>
      </c>
      <c r="AG134" s="177">
        <f t="shared" si="714"/>
        <v>99.14285714285711</v>
      </c>
      <c r="AH134" s="177">
        <f t="shared" si="714"/>
        <v>99.14285714285711</v>
      </c>
      <c r="AI134" s="177">
        <f t="shared" si="714"/>
        <v>99.142857142857125</v>
      </c>
      <c r="AJ134" s="177">
        <f t="shared" si="714"/>
        <v>99.142857142857125</v>
      </c>
      <c r="AK134" s="177">
        <f t="shared" si="714"/>
        <v>99.14285714285711</v>
      </c>
      <c r="AL134" s="177">
        <f t="shared" si="714"/>
        <v>99.14285714285711</v>
      </c>
      <c r="AM134" s="114" t="e">
        <f>((AL134/J134)^(1/($AL$3-$K$1) ))-1</f>
        <v>#DIV/0!</v>
      </c>
      <c r="AN134" s="21">
        <f t="shared" si="535"/>
        <v>0.01</v>
      </c>
      <c r="AO134" s="122" t="e">
        <f t="shared" si="328"/>
        <v>#DIV/0!</v>
      </c>
    </row>
    <row r="135" spans="1:41" ht="12" customHeight="1" x14ac:dyDescent="0.15">
      <c r="A135" s="291"/>
      <c r="B135" s="173" t="s">
        <v>420</v>
      </c>
      <c r="C135" s="127"/>
      <c r="D135" s="127"/>
      <c r="E135" s="127"/>
      <c r="F135" s="127"/>
      <c r="G135" s="127" t="e">
        <f t="shared" ref="G135" si="715">G59/G43</f>
        <v>#DIV/0!</v>
      </c>
      <c r="H135" s="127" t="e">
        <f t="shared" ref="H135:I135" si="716">H59/H43</f>
        <v>#DIV/0!</v>
      </c>
      <c r="I135" s="127" t="e">
        <f t="shared" si="716"/>
        <v>#DIV/0!</v>
      </c>
      <c r="J135" s="127" t="e">
        <f t="shared" ref="J135:Q135" si="717">J59/J43</f>
        <v>#DIV/0!</v>
      </c>
      <c r="K135" s="127" t="e">
        <f t="shared" si="717"/>
        <v>#DIV/0!</v>
      </c>
      <c r="L135" s="127" t="e">
        <f t="shared" si="717"/>
        <v>#DIV/0!</v>
      </c>
      <c r="M135" s="127" t="e">
        <f t="shared" si="717"/>
        <v>#DIV/0!</v>
      </c>
      <c r="N135" s="127" t="e">
        <f t="shared" si="717"/>
        <v>#DIV/0!</v>
      </c>
      <c r="O135" s="127" t="e">
        <f t="shared" si="717"/>
        <v>#DIV/0!</v>
      </c>
      <c r="P135" s="127" t="e">
        <f t="shared" si="717"/>
        <v>#DIV/0!</v>
      </c>
      <c r="Q135" s="127" t="e">
        <f t="shared" si="717"/>
        <v>#DIV/0!</v>
      </c>
      <c r="R135" s="127" t="e">
        <f t="shared" ref="R135:V135" si="718">R59/R43</f>
        <v>#DIV/0!</v>
      </c>
      <c r="S135" s="127" t="e">
        <f t="shared" si="718"/>
        <v>#DIV/0!</v>
      </c>
      <c r="T135" s="127" t="e">
        <f t="shared" si="718"/>
        <v>#DIV/0!</v>
      </c>
      <c r="U135" s="127" t="e">
        <f t="shared" si="718"/>
        <v>#DIV/0!</v>
      </c>
      <c r="V135" s="127" t="e">
        <f t="shared" si="718"/>
        <v>#DIV/0!</v>
      </c>
      <c r="W135" s="127" t="e">
        <f t="shared" ref="W135" si="719">W59/W43</f>
        <v>#DIV/0!</v>
      </c>
      <c r="X135" s="127" t="e">
        <f t="shared" ref="X135:Z135" si="720">X59/X43</f>
        <v>#DIV/0!</v>
      </c>
      <c r="Y135" s="127" t="e">
        <f t="shared" ref="Y135" si="721">Y59/Y43</f>
        <v>#DIV/0!</v>
      </c>
      <c r="Z135" s="127" t="e">
        <f t="shared" si="720"/>
        <v>#DIV/0!</v>
      </c>
      <c r="AA135" s="101" t="e">
        <f t="shared" si="713"/>
        <v>#DIV/0!</v>
      </c>
      <c r="AB135" s="10"/>
      <c r="AC135" s="127" t="e">
        <f t="shared" ref="AC135:AL135" si="722">AC59/AC43</f>
        <v>#DIV/0!</v>
      </c>
      <c r="AD135" s="127" t="e">
        <f t="shared" si="722"/>
        <v>#DIV/0!</v>
      </c>
      <c r="AE135" s="127" t="e">
        <f t="shared" si="722"/>
        <v>#DIV/0!</v>
      </c>
      <c r="AF135" s="127" t="e">
        <f t="shared" si="722"/>
        <v>#DIV/0!</v>
      </c>
      <c r="AG135" s="127" t="e">
        <f t="shared" si="722"/>
        <v>#DIV/0!</v>
      </c>
      <c r="AH135" s="127" t="e">
        <f t="shared" si="722"/>
        <v>#DIV/0!</v>
      </c>
      <c r="AI135" s="127" t="e">
        <f t="shared" si="722"/>
        <v>#DIV/0!</v>
      </c>
      <c r="AJ135" s="127" t="e">
        <f t="shared" si="722"/>
        <v>#DIV/0!</v>
      </c>
      <c r="AK135" s="127" t="e">
        <f t="shared" si="722"/>
        <v>#DIV/0!</v>
      </c>
      <c r="AL135" s="127" t="e">
        <f t="shared" si="722"/>
        <v>#DIV/0!</v>
      </c>
      <c r="AM135" s="114" t="e">
        <f t="shared" si="665"/>
        <v>#DIV/0!</v>
      </c>
      <c r="AN135" s="21">
        <f t="shared" si="535"/>
        <v>0.01</v>
      </c>
      <c r="AO135" s="122" t="e">
        <f t="shared" si="328"/>
        <v>#DIV/0!</v>
      </c>
    </row>
    <row r="136" spans="1:41" ht="12" customHeight="1" x14ac:dyDescent="0.15">
      <c r="A136" s="291"/>
      <c r="B136" s="173" t="s">
        <v>421</v>
      </c>
      <c r="C136" s="127"/>
      <c r="D136" s="127"/>
      <c r="E136" s="127"/>
      <c r="F136" s="127"/>
      <c r="G136" s="127" t="e">
        <f t="shared" ref="G136" si="723">G59/(G36+G38)</f>
        <v>#DIV/0!</v>
      </c>
      <c r="H136" s="127" t="e">
        <f t="shared" ref="H136:I136" si="724">H59/(H36+H38)</f>
        <v>#DIV/0!</v>
      </c>
      <c r="I136" s="127" t="e">
        <f t="shared" si="724"/>
        <v>#DIV/0!</v>
      </c>
      <c r="J136" s="127" t="e">
        <f t="shared" ref="J136:Q136" si="725">J59/(J36+J38)</f>
        <v>#DIV/0!</v>
      </c>
      <c r="K136" s="127" t="e">
        <f t="shared" si="725"/>
        <v>#DIV/0!</v>
      </c>
      <c r="L136" s="127" t="e">
        <f t="shared" si="725"/>
        <v>#DIV/0!</v>
      </c>
      <c r="M136" s="127" t="e">
        <f t="shared" si="725"/>
        <v>#DIV/0!</v>
      </c>
      <c r="N136" s="127" t="e">
        <f t="shared" si="725"/>
        <v>#DIV/0!</v>
      </c>
      <c r="O136" s="127" t="e">
        <f t="shared" si="725"/>
        <v>#DIV/0!</v>
      </c>
      <c r="P136" s="127" t="e">
        <f t="shared" si="725"/>
        <v>#DIV/0!</v>
      </c>
      <c r="Q136" s="127" t="e">
        <f t="shared" si="725"/>
        <v>#DIV/0!</v>
      </c>
      <c r="R136" s="127">
        <f t="shared" ref="R136:V136" si="726">R59/(R36+R38)</f>
        <v>410</v>
      </c>
      <c r="S136" s="127">
        <f t="shared" si="726"/>
        <v>244.5</v>
      </c>
      <c r="T136" s="127">
        <f t="shared" si="726"/>
        <v>159.33333333333334</v>
      </c>
      <c r="U136" s="127">
        <f t="shared" si="726"/>
        <v>117.75</v>
      </c>
      <c r="V136" s="127">
        <f t="shared" si="726"/>
        <v>48.3</v>
      </c>
      <c r="W136" s="127">
        <f t="shared" ref="W136" si="727">W59/(W36+W38)</f>
        <v>55.083333333333336</v>
      </c>
      <c r="X136" s="127">
        <f t="shared" ref="X136:Z136" si="728">X59/(X36+X38)</f>
        <v>53.916666666666664</v>
      </c>
      <c r="Y136" s="127">
        <f t="shared" ref="Y136" si="729">Y59/(Y36+Y38)</f>
        <v>36.571428571428569</v>
      </c>
      <c r="Z136" s="127">
        <f t="shared" si="728"/>
        <v>49.571428571428569</v>
      </c>
      <c r="AA136" s="101" t="e">
        <f t="shared" si="713"/>
        <v>#DIV/0!</v>
      </c>
      <c r="AB136" s="10"/>
      <c r="AC136" s="127">
        <f t="shared" ref="AC136:AL136" si="730">AC59/(AC36+AC38)</f>
        <v>49.571428571428569</v>
      </c>
      <c r="AD136" s="127">
        <f t="shared" si="730"/>
        <v>49.571428571428562</v>
      </c>
      <c r="AE136" s="127">
        <f t="shared" si="730"/>
        <v>49.571428571428562</v>
      </c>
      <c r="AF136" s="127">
        <f t="shared" si="730"/>
        <v>49.571428571428562</v>
      </c>
      <c r="AG136" s="127">
        <f t="shared" si="730"/>
        <v>49.571428571428555</v>
      </c>
      <c r="AH136" s="127">
        <f t="shared" si="730"/>
        <v>49.571428571428555</v>
      </c>
      <c r="AI136" s="127">
        <f t="shared" si="730"/>
        <v>49.571428571428562</v>
      </c>
      <c r="AJ136" s="127">
        <f t="shared" si="730"/>
        <v>49.571428571428562</v>
      </c>
      <c r="AK136" s="127">
        <f t="shared" si="730"/>
        <v>49.571428571428555</v>
      </c>
      <c r="AL136" s="127">
        <f t="shared" si="730"/>
        <v>49.571428571428555</v>
      </c>
      <c r="AM136" s="114" t="e">
        <f t="shared" si="665"/>
        <v>#DIV/0!</v>
      </c>
      <c r="AN136" s="21">
        <f t="shared" si="535"/>
        <v>0.01</v>
      </c>
      <c r="AO136" s="122" t="e">
        <f t="shared" si="328"/>
        <v>#DIV/0!</v>
      </c>
    </row>
    <row r="137" spans="1:41" ht="12" customHeight="1" x14ac:dyDescent="0.15">
      <c r="B137" s="10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  <c r="AA137" s="101" t="e">
        <f t="shared" si="713"/>
        <v>#DIV/0!</v>
      </c>
      <c r="AB137" s="10"/>
      <c r="AC137" s="127"/>
      <c r="AD137" s="127"/>
      <c r="AE137" s="127"/>
      <c r="AF137" s="127"/>
      <c r="AG137" s="127"/>
      <c r="AH137" s="127"/>
      <c r="AI137" s="127"/>
      <c r="AJ137" s="127"/>
      <c r="AK137" s="127"/>
      <c r="AL137" s="127"/>
      <c r="AM137" s="175"/>
      <c r="AN137" s="122"/>
      <c r="AO137" s="122"/>
    </row>
    <row r="138" spans="1:41" x14ac:dyDescent="0.15">
      <c r="B138" s="10" t="s">
        <v>270</v>
      </c>
      <c r="C138" s="127"/>
      <c r="D138" s="127"/>
      <c r="E138" s="127"/>
      <c r="F138" s="135"/>
      <c r="G138" s="135">
        <f t="shared" ref="G138" si="731">G10-(G12+G13)</f>
        <v>-21</v>
      </c>
      <c r="H138" s="135">
        <f t="shared" ref="H138:I138" si="732">H10-(H12+H13)</f>
        <v>-18</v>
      </c>
      <c r="I138" s="135">
        <f t="shared" si="732"/>
        <v>-15</v>
      </c>
      <c r="J138" s="135">
        <f t="shared" ref="J138:Q138" si="733">J10-(J12+J13)</f>
        <v>99</v>
      </c>
      <c r="K138" s="135">
        <f t="shared" si="733"/>
        <v>249</v>
      </c>
      <c r="L138" s="135">
        <f t="shared" si="733"/>
        <v>169</v>
      </c>
      <c r="M138" s="135">
        <f t="shared" si="733"/>
        <v>13</v>
      </c>
      <c r="N138" s="135">
        <f t="shared" si="733"/>
        <v>39</v>
      </c>
      <c r="O138" s="135">
        <f t="shared" si="733"/>
        <v>-161</v>
      </c>
      <c r="P138" s="135">
        <f t="shared" si="733"/>
        <v>-340</v>
      </c>
      <c r="Q138" s="135">
        <f t="shared" si="733"/>
        <v>-227</v>
      </c>
      <c r="R138" s="135">
        <f t="shared" ref="R138:V138" si="734">R10-(R12+R13)</f>
        <v>-164</v>
      </c>
      <c r="S138" s="135">
        <f t="shared" si="734"/>
        <v>-94</v>
      </c>
      <c r="T138" s="135">
        <f t="shared" si="734"/>
        <v>-244</v>
      </c>
      <c r="U138" s="135">
        <f t="shared" si="734"/>
        <v>-88</v>
      </c>
      <c r="V138" s="135">
        <f t="shared" si="734"/>
        <v>-92</v>
      </c>
      <c r="W138" s="135">
        <f t="shared" ref="W138" si="735">W10-(W12+W13)</f>
        <v>-241</v>
      </c>
      <c r="X138" s="135">
        <f t="shared" ref="X138:Z138" si="736">X10-(X12+X13)</f>
        <v>-457</v>
      </c>
      <c r="Y138" s="135">
        <f t="shared" ref="Y138" si="737">Y10-(Y12+Y13)</f>
        <v>-521</v>
      </c>
      <c r="Z138" s="135">
        <f t="shared" si="736"/>
        <v>-532</v>
      </c>
      <c r="AA138" s="101">
        <f t="shared" si="713"/>
        <v>0.18543717937866488</v>
      </c>
      <c r="AB138" s="10"/>
      <c r="AC138" s="135">
        <f t="shared" ref="AC138:AL138" si="738">AC10-(AC12+AC13)</f>
        <v>-585.20000000000005</v>
      </c>
      <c r="AD138" s="135">
        <f t="shared" si="738"/>
        <v>-643.72000000000014</v>
      </c>
      <c r="AE138" s="135">
        <f t="shared" si="738"/>
        <v>-708.0920000000001</v>
      </c>
      <c r="AF138" s="135">
        <f t="shared" si="738"/>
        <v>-778.90120000000024</v>
      </c>
      <c r="AG138" s="135">
        <f t="shared" si="738"/>
        <v>-856.79132000000027</v>
      </c>
      <c r="AH138" s="135">
        <f t="shared" si="738"/>
        <v>-942.47045200000048</v>
      </c>
      <c r="AI138" s="135">
        <f t="shared" si="738"/>
        <v>-1036.7174972000007</v>
      </c>
      <c r="AJ138" s="135">
        <f t="shared" si="738"/>
        <v>-1140.3892469200007</v>
      </c>
      <c r="AK138" s="135">
        <f t="shared" si="738"/>
        <v>-1254.4281716120008</v>
      </c>
      <c r="AL138" s="135">
        <f t="shared" si="738"/>
        <v>-1379.8709887732011</v>
      </c>
      <c r="AM138" s="114">
        <f t="shared" si="534"/>
        <v>-2.0951037996849777</v>
      </c>
      <c r="AN138" s="21">
        <f t="shared" si="535"/>
        <v>0.01</v>
      </c>
      <c r="AO138" s="122" t="e">
        <f t="shared" si="328"/>
        <v>#DIV/0!</v>
      </c>
    </row>
    <row r="139" spans="1:41" ht="12" customHeight="1" x14ac:dyDescent="0.15">
      <c r="B139" s="10" t="s">
        <v>265</v>
      </c>
      <c r="C139" s="10"/>
      <c r="D139" s="10"/>
      <c r="E139" s="10"/>
      <c r="F139" s="127"/>
      <c r="G139" s="127">
        <f t="shared" ref="G139" si="739">G59/G18</f>
        <v>1.0101010101010102E-2</v>
      </c>
      <c r="H139" s="127">
        <f t="shared" ref="H139:I139" si="740">H59/H18</f>
        <v>9.4736842105263161E-2</v>
      </c>
      <c r="I139" s="127">
        <f t="shared" si="740"/>
        <v>0.23076923076923078</v>
      </c>
      <c r="J139" s="127">
        <f t="shared" ref="J139:Q139" si="741">J59/J18</f>
        <v>0.29936305732484075</v>
      </c>
      <c r="K139" s="127">
        <f t="shared" si="741"/>
        <v>0.49735449735449733</v>
      </c>
      <c r="L139" s="127">
        <f t="shared" si="741"/>
        <v>0.28825622775800713</v>
      </c>
      <c r="M139" s="127">
        <f t="shared" si="741"/>
        <v>0.54575163398692805</v>
      </c>
      <c r="N139" s="127">
        <f t="shared" si="741"/>
        <v>0.46984126984126984</v>
      </c>
      <c r="O139" s="127">
        <f t="shared" si="741"/>
        <v>0.60563380281690138</v>
      </c>
      <c r="P139" s="127">
        <f t="shared" si="741"/>
        <v>0.8016759776536313</v>
      </c>
      <c r="Q139" s="127">
        <f t="shared" si="741"/>
        <v>0.58908507223113959</v>
      </c>
      <c r="R139" s="127">
        <f t="shared" ref="R139:V139" si="742">R59/R18</f>
        <v>0.43432203389830509</v>
      </c>
      <c r="S139" s="127">
        <f t="shared" si="742"/>
        <v>0.37158054711246202</v>
      </c>
      <c r="T139" s="127">
        <f t="shared" si="742"/>
        <v>0.32037533512064342</v>
      </c>
      <c r="U139" s="127">
        <f t="shared" si="742"/>
        <v>0.276570757486788</v>
      </c>
      <c r="V139" s="127">
        <f t="shared" si="742"/>
        <v>0.26640926640926643</v>
      </c>
      <c r="W139" s="127">
        <f t="shared" ref="W139" si="743">W59/W18</f>
        <v>0.36139967195188627</v>
      </c>
      <c r="X139" s="127">
        <f t="shared" ref="X139:Z139" si="744">X59/X18</f>
        <v>0.26354378818737273</v>
      </c>
      <c r="Y139" s="127">
        <f t="shared" ref="Y139" si="745">Y59/Y18</f>
        <v>0.21351125938281901</v>
      </c>
      <c r="Z139" s="127">
        <f t="shared" si="744"/>
        <v>0.21660424469413234</v>
      </c>
      <c r="AA139" s="101">
        <f t="shared" si="713"/>
        <v>0.17508297636647252</v>
      </c>
      <c r="AB139" s="10"/>
      <c r="AC139" s="127">
        <f t="shared" ref="AC139:AL139" si="746">AC59/AC18</f>
        <v>0.21660424469413236</v>
      </c>
      <c r="AD139" s="127">
        <f t="shared" si="746"/>
        <v>0.21660424469413234</v>
      </c>
      <c r="AE139" s="127">
        <f t="shared" si="746"/>
        <v>0.21660424469413231</v>
      </c>
      <c r="AF139" s="127">
        <f t="shared" si="746"/>
        <v>0.21660424469413234</v>
      </c>
      <c r="AG139" s="127">
        <f t="shared" si="746"/>
        <v>0.21660424469413231</v>
      </c>
      <c r="AH139" s="127">
        <f t="shared" si="746"/>
        <v>0.21660424469413231</v>
      </c>
      <c r="AI139" s="127">
        <f t="shared" si="746"/>
        <v>0.21660424469413231</v>
      </c>
      <c r="AJ139" s="127">
        <f t="shared" si="746"/>
        <v>0.21660424469413231</v>
      </c>
      <c r="AK139" s="127">
        <f t="shared" si="746"/>
        <v>0.21660424469413231</v>
      </c>
      <c r="AL139" s="127">
        <f t="shared" si="746"/>
        <v>0.21660424469413231</v>
      </c>
      <c r="AM139" s="114">
        <f t="shared" si="534"/>
        <v>-1.1096087616180528E-2</v>
      </c>
      <c r="AN139" s="21">
        <f t="shared" si="535"/>
        <v>0.01</v>
      </c>
      <c r="AO139" s="122" t="e">
        <f t="shared" ref="AO139:AO171" si="747">(AL139*(1+AN139))/($O$1-AN139)</f>
        <v>#DIV/0!</v>
      </c>
    </row>
    <row r="140" spans="1:41" x14ac:dyDescent="0.15">
      <c r="B140" s="10" t="s">
        <v>266</v>
      </c>
      <c r="C140" s="10"/>
      <c r="D140" s="10"/>
      <c r="E140" s="10"/>
      <c r="F140" s="127"/>
      <c r="G140" s="127">
        <f t="shared" ref="G140" si="748">G59/G25</f>
        <v>5.5555555555555558E-3</v>
      </c>
      <c r="H140" s="127">
        <f t="shared" ref="H140:I140" si="749">H59/H25</f>
        <v>3.6585365853658534E-2</v>
      </c>
      <c r="I140" s="127">
        <f t="shared" si="749"/>
        <v>5.9701492537313432E-2</v>
      </c>
      <c r="J140" s="127">
        <f t="shared" ref="J140:Q140" si="750">J59/J25</f>
        <v>7.5806451612903225E-2</v>
      </c>
      <c r="K140" s="127">
        <f t="shared" si="750"/>
        <v>8.0895008605851984E-2</v>
      </c>
      <c r="L140" s="127">
        <f t="shared" si="750"/>
        <v>6.2645011600928072E-2</v>
      </c>
      <c r="M140" s="127">
        <f t="shared" si="750"/>
        <v>0.10965200262639527</v>
      </c>
      <c r="N140" s="127">
        <f t="shared" si="750"/>
        <v>8.2497212931995537E-2</v>
      </c>
      <c r="O140" s="127">
        <f t="shared" si="750"/>
        <v>9.0986034701650439E-2</v>
      </c>
      <c r="P140" s="127">
        <f t="shared" si="750"/>
        <v>9.4719471947194725E-2</v>
      </c>
      <c r="Q140" s="127">
        <f t="shared" si="750"/>
        <v>0.10464784716281722</v>
      </c>
      <c r="R140" s="127">
        <f t="shared" ref="R140:V140" si="751">R59/R25</f>
        <v>9.5482068001863069E-2</v>
      </c>
      <c r="S140" s="127">
        <f t="shared" si="751"/>
        <v>0.10105393676379418</v>
      </c>
      <c r="T140" s="127">
        <f t="shared" si="751"/>
        <v>8.6328336644392267E-2</v>
      </c>
      <c r="U140" s="127">
        <f t="shared" si="751"/>
        <v>7.6548025353486107E-2</v>
      </c>
      <c r="V140" s="127">
        <f t="shared" si="751"/>
        <v>7.1102605623435886E-2</v>
      </c>
      <c r="W140" s="127">
        <f t="shared" ref="W140" si="752">W59/W25</f>
        <v>9.6651557245211295E-2</v>
      </c>
      <c r="X140" s="127">
        <f t="shared" ref="X140:Z140" si="753">X59/X25</f>
        <v>9.0489510489510483E-2</v>
      </c>
      <c r="Y140" s="127">
        <f t="shared" ref="Y140" si="754">Y59/Y25</f>
        <v>5.887087501437277E-2</v>
      </c>
      <c r="Z140" s="127">
        <f t="shared" si="753"/>
        <v>6.680785521755872E-2</v>
      </c>
      <c r="AA140" s="101">
        <f t="shared" si="713"/>
        <v>0.13984912515831027</v>
      </c>
      <c r="AB140" s="10"/>
      <c r="AC140" s="127">
        <f t="shared" ref="AC140:AL140" si="755">AC59/AC25</f>
        <v>6.680785521755872E-2</v>
      </c>
      <c r="AD140" s="127">
        <f t="shared" si="755"/>
        <v>6.680785521755872E-2</v>
      </c>
      <c r="AE140" s="127">
        <f t="shared" si="755"/>
        <v>6.680785521755872E-2</v>
      </c>
      <c r="AF140" s="127">
        <f t="shared" si="755"/>
        <v>6.680785521755872E-2</v>
      </c>
      <c r="AG140" s="127">
        <f t="shared" si="755"/>
        <v>6.680785521755872E-2</v>
      </c>
      <c r="AH140" s="127">
        <f t="shared" si="755"/>
        <v>6.680785521755872E-2</v>
      </c>
      <c r="AI140" s="127">
        <f t="shared" si="755"/>
        <v>6.680785521755872E-2</v>
      </c>
      <c r="AJ140" s="127">
        <f t="shared" si="755"/>
        <v>6.680785521755872E-2</v>
      </c>
      <c r="AK140" s="127">
        <f t="shared" si="755"/>
        <v>6.680785521755872E-2</v>
      </c>
      <c r="AL140" s="127">
        <f t="shared" si="755"/>
        <v>6.680785521755872E-2</v>
      </c>
      <c r="AM140" s="114">
        <f t="shared" si="534"/>
        <v>-4.3478563083312327E-3</v>
      </c>
      <c r="AN140" s="21">
        <f t="shared" si="535"/>
        <v>0.01</v>
      </c>
      <c r="AO140" s="122" t="e">
        <f t="shared" si="747"/>
        <v>#DIV/0!</v>
      </c>
    </row>
    <row r="141" spans="1:41" x14ac:dyDescent="0.15">
      <c r="B141" s="10" t="s">
        <v>290</v>
      </c>
      <c r="C141" s="10"/>
      <c r="D141" s="10"/>
      <c r="E141" s="127"/>
      <c r="F141" s="127"/>
      <c r="G141" s="127">
        <f t="shared" ref="G141" si="756">G25/G18</f>
        <v>1.8181818181818181</v>
      </c>
      <c r="H141" s="127">
        <f t="shared" ref="H141:I141" si="757">H25/H18</f>
        <v>2.5894736842105264</v>
      </c>
      <c r="I141" s="127">
        <f t="shared" si="757"/>
        <v>3.8653846153846154</v>
      </c>
      <c r="J141" s="127">
        <f t="shared" ref="J141:Q141" si="758">J25/J18</f>
        <v>3.9490445859872612</v>
      </c>
      <c r="K141" s="127">
        <f t="shared" si="758"/>
        <v>6.1481481481481479</v>
      </c>
      <c r="L141" s="127">
        <f t="shared" si="758"/>
        <v>4.6014234875444844</v>
      </c>
      <c r="M141" s="127">
        <f t="shared" si="758"/>
        <v>4.977124183006536</v>
      </c>
      <c r="N141" s="127">
        <f t="shared" si="758"/>
        <v>5.6952380952380954</v>
      </c>
      <c r="O141" s="127">
        <f t="shared" si="758"/>
        <v>6.6563380281690137</v>
      </c>
      <c r="P141" s="127">
        <f t="shared" si="758"/>
        <v>8.4636871508379894</v>
      </c>
      <c r="Q141" s="127">
        <f t="shared" si="758"/>
        <v>5.6292134831460672</v>
      </c>
      <c r="R141" s="127">
        <f t="shared" ref="R141:V141" si="759">R25/R18</f>
        <v>4.5487288135593218</v>
      </c>
      <c r="S141" s="127">
        <f t="shared" si="759"/>
        <v>3.677051671732523</v>
      </c>
      <c r="T141" s="127">
        <f t="shared" si="759"/>
        <v>3.7111260053619302</v>
      </c>
      <c r="U141" s="127">
        <f t="shared" si="759"/>
        <v>3.6130358191426892</v>
      </c>
      <c r="V141" s="127">
        <f t="shared" si="759"/>
        <v>3.7468284611141756</v>
      </c>
      <c r="W141" s="127">
        <f t="shared" ref="W141" si="760">W25/W18</f>
        <v>3.7392017495899399</v>
      </c>
      <c r="X141" s="127">
        <f t="shared" ref="X141:Z141" si="761">X25/X18</f>
        <v>2.9124236252545823</v>
      </c>
      <c r="Y141" s="127">
        <f t="shared" ref="Y141" si="762">Y25/Y18</f>
        <v>3.626772310258549</v>
      </c>
      <c r="Z141" s="127">
        <f t="shared" si="761"/>
        <v>3.2421972534332086</v>
      </c>
      <c r="AA141" s="101">
        <f t="shared" si="713"/>
        <v>3.0910977979887067E-2</v>
      </c>
      <c r="AB141" s="10"/>
      <c r="AC141" s="127">
        <f t="shared" ref="AC141:AL141" si="763">AC25/AC18</f>
        <v>3.2421972534332086</v>
      </c>
      <c r="AD141" s="127">
        <f t="shared" si="763"/>
        <v>3.2421972534332082</v>
      </c>
      <c r="AE141" s="127">
        <f t="shared" si="763"/>
        <v>3.2421972534332082</v>
      </c>
      <c r="AF141" s="127">
        <f t="shared" si="763"/>
        <v>3.2421972534332086</v>
      </c>
      <c r="AG141" s="127">
        <f t="shared" si="763"/>
        <v>3.2421972534332082</v>
      </c>
      <c r="AH141" s="127">
        <f t="shared" si="763"/>
        <v>3.2421972534332077</v>
      </c>
      <c r="AI141" s="127">
        <f t="shared" si="763"/>
        <v>3.2421972534332077</v>
      </c>
      <c r="AJ141" s="127">
        <f t="shared" si="763"/>
        <v>3.2421972534332077</v>
      </c>
      <c r="AK141" s="127">
        <f t="shared" si="763"/>
        <v>3.2421972534332082</v>
      </c>
      <c r="AL141" s="127">
        <f t="shared" si="763"/>
        <v>3.2421972534332082</v>
      </c>
      <c r="AM141" s="114">
        <f t="shared" si="534"/>
        <v>-6.7776997725614851E-3</v>
      </c>
      <c r="AN141" s="21">
        <f t="shared" si="535"/>
        <v>0.01</v>
      </c>
      <c r="AO141" s="122" t="e">
        <f t="shared" si="747"/>
        <v>#DIV/0!</v>
      </c>
    </row>
    <row r="142" spans="1:41" x14ac:dyDescent="0.15">
      <c r="B142" s="10"/>
      <c r="C142" s="10"/>
      <c r="D142" s="10"/>
      <c r="E142" s="10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  <c r="AA142" s="101" t="e">
        <f t="shared" si="713"/>
        <v>#DIV/0!</v>
      </c>
      <c r="AB142" s="10"/>
      <c r="AC142" s="127"/>
      <c r="AD142" s="127"/>
      <c r="AE142" s="127"/>
      <c r="AF142" s="127"/>
      <c r="AG142" s="127"/>
      <c r="AH142" s="127"/>
      <c r="AI142" s="127"/>
      <c r="AJ142" s="127"/>
      <c r="AK142" s="127"/>
      <c r="AL142" s="127"/>
      <c r="AM142" s="109"/>
      <c r="AN142" s="122"/>
      <c r="AO142" s="122"/>
    </row>
    <row r="143" spans="1:41" x14ac:dyDescent="0.15">
      <c r="B143" s="10" t="s">
        <v>278</v>
      </c>
      <c r="C143" s="10"/>
      <c r="D143" s="10"/>
      <c r="E143" s="137"/>
      <c r="F143" s="137"/>
      <c r="G143" s="137">
        <f t="shared" ref="G143" si="764">G92*G61</f>
        <v>1.6949999999999998</v>
      </c>
      <c r="H143" s="137">
        <f t="shared" ref="H143:I143" si="765">H92*H61</f>
        <v>2.2599999999999998</v>
      </c>
      <c r="I143" s="137">
        <f t="shared" si="765"/>
        <v>2.8249999999999997</v>
      </c>
      <c r="J143" s="137">
        <f t="shared" ref="J143:Q143" si="766">J92*J61</f>
        <v>3.9549999999999996</v>
      </c>
      <c r="K143" s="137">
        <f t="shared" si="766"/>
        <v>3.9830000000000001</v>
      </c>
      <c r="L143" s="137">
        <f t="shared" si="766"/>
        <v>6.8319999999999999</v>
      </c>
      <c r="M143" s="137">
        <f t="shared" si="766"/>
        <v>24.765999999999998</v>
      </c>
      <c r="N143" s="137">
        <f t="shared" si="766"/>
        <v>39.283999999999992</v>
      </c>
      <c r="O143" s="137">
        <f t="shared" si="766"/>
        <v>32.281199999999998</v>
      </c>
      <c r="P143" s="137">
        <f t="shared" si="766"/>
        <v>43.041599999999995</v>
      </c>
      <c r="Q143" s="137">
        <f t="shared" si="766"/>
        <v>55.168399999999991</v>
      </c>
      <c r="R143" s="137">
        <f t="shared" ref="R143:V143" si="767">R92*R61</f>
        <v>61.658799999999992</v>
      </c>
      <c r="S143" s="137">
        <f t="shared" si="767"/>
        <v>72.589999999999989</v>
      </c>
      <c r="T143" s="137">
        <f t="shared" si="767"/>
        <v>72.589999999999989</v>
      </c>
      <c r="U143" s="137">
        <f t="shared" si="767"/>
        <v>70.882000000000005</v>
      </c>
      <c r="V143" s="137">
        <f t="shared" si="767"/>
        <v>86.76639999999999</v>
      </c>
      <c r="W143" s="137">
        <f t="shared" ref="W143" si="768">W92*W61</f>
        <v>187.88</v>
      </c>
      <c r="X143" s="137">
        <f t="shared" ref="X143:Z143" si="769">X92*X61</f>
        <v>187.88</v>
      </c>
      <c r="Y143" s="137">
        <f t="shared" ref="Y143" si="770">Y92*Y61</f>
        <v>68.319999999999993</v>
      </c>
      <c r="Z143" s="137">
        <f t="shared" si="769"/>
        <v>104.18799999999999</v>
      </c>
      <c r="AA143" s="101">
        <f t="shared" si="713"/>
        <v>0.2420508270786732</v>
      </c>
      <c r="AB143" s="10"/>
      <c r="AC143" s="137">
        <f t="shared" ref="AC143:AL143" si="771">AC92*AC61</f>
        <v>108.39719519999998</v>
      </c>
      <c r="AD143" s="137">
        <f t="shared" si="771"/>
        <v>112.77644188607997</v>
      </c>
      <c r="AE143" s="137">
        <f t="shared" si="771"/>
        <v>117.3326101382776</v>
      </c>
      <c r="AF143" s="137">
        <f t="shared" si="771"/>
        <v>122.072847587864</v>
      </c>
      <c r="AG143" s="137">
        <f t="shared" si="771"/>
        <v>127.0045906304137</v>
      </c>
      <c r="AH143" s="137">
        <f t="shared" si="771"/>
        <v>132.13557609188243</v>
      </c>
      <c r="AI143" s="137">
        <f t="shared" si="771"/>
        <v>137.47385336599447</v>
      </c>
      <c r="AJ143" s="137">
        <f t="shared" si="771"/>
        <v>143.02779704198065</v>
      </c>
      <c r="AK143" s="137">
        <f t="shared" si="771"/>
        <v>148.80612004247666</v>
      </c>
      <c r="AL143" s="137">
        <f t="shared" si="771"/>
        <v>154.81788729219275</v>
      </c>
      <c r="AM143" s="114">
        <f t="shared" si="534"/>
        <v>0.13480127604886061</v>
      </c>
      <c r="AN143" s="21">
        <f t="shared" si="535"/>
        <v>0.01</v>
      </c>
      <c r="AO143" s="122" t="e">
        <f t="shared" si="747"/>
        <v>#DIV/0!</v>
      </c>
    </row>
    <row r="144" spans="1:41" x14ac:dyDescent="0.15">
      <c r="B144" s="10" t="s">
        <v>279</v>
      </c>
      <c r="C144" s="10"/>
      <c r="D144" s="10"/>
      <c r="E144" s="137"/>
      <c r="F144" s="137"/>
      <c r="G144" s="137">
        <f t="shared" ref="G144" si="772">(G143*0.17)+G143</f>
        <v>1.9831499999999997</v>
      </c>
      <c r="H144" s="137">
        <f t="shared" ref="H144:I144" si="773">(H143*0.17)+H143</f>
        <v>2.6441999999999997</v>
      </c>
      <c r="I144" s="137">
        <f t="shared" si="773"/>
        <v>3.3052499999999996</v>
      </c>
      <c r="J144" s="137">
        <f t="shared" ref="J144:Q144" si="774">(J143*0.17)+J143</f>
        <v>4.6273499999999999</v>
      </c>
      <c r="K144" s="137">
        <f t="shared" si="774"/>
        <v>4.6601100000000004</v>
      </c>
      <c r="L144" s="137">
        <f t="shared" si="774"/>
        <v>7.9934399999999997</v>
      </c>
      <c r="M144" s="137">
        <f t="shared" si="774"/>
        <v>28.976219999999998</v>
      </c>
      <c r="N144" s="137">
        <f t="shared" si="774"/>
        <v>45.962279999999993</v>
      </c>
      <c r="O144" s="137">
        <f t="shared" si="774"/>
        <v>37.769003999999995</v>
      </c>
      <c r="P144" s="137">
        <f t="shared" si="774"/>
        <v>50.358671999999999</v>
      </c>
      <c r="Q144" s="137">
        <f t="shared" si="774"/>
        <v>64.547027999999983</v>
      </c>
      <c r="R144" s="137">
        <f t="shared" ref="R144:V144" si="775">(R143*0.17)+R143</f>
        <v>72.140795999999995</v>
      </c>
      <c r="S144" s="137">
        <f t="shared" si="775"/>
        <v>84.930299999999988</v>
      </c>
      <c r="T144" s="137">
        <f t="shared" si="775"/>
        <v>84.930299999999988</v>
      </c>
      <c r="U144" s="137">
        <f t="shared" si="775"/>
        <v>82.931940000000012</v>
      </c>
      <c r="V144" s="137">
        <f t="shared" si="775"/>
        <v>101.51668799999999</v>
      </c>
      <c r="W144" s="137">
        <f t="shared" ref="W144" si="776">(W143*0.17)+W143</f>
        <v>219.81960000000001</v>
      </c>
      <c r="X144" s="137">
        <f t="shared" ref="X144:Z144" si="777">(X143*0.17)+X143</f>
        <v>219.81960000000001</v>
      </c>
      <c r="Y144" s="137">
        <f t="shared" ref="Y144" si="778">(Y143*0.17)+Y143</f>
        <v>79.934399999999997</v>
      </c>
      <c r="Z144" s="137">
        <f t="shared" si="777"/>
        <v>121.89995999999999</v>
      </c>
      <c r="AA144" s="101">
        <f t="shared" si="713"/>
        <v>0.2420508270786732</v>
      </c>
      <c r="AB144" s="10"/>
      <c r="AC144" s="137">
        <f t="shared" ref="AC144:AL144" si="779">(AC143*0.17)+AC143</f>
        <v>126.82471838399998</v>
      </c>
      <c r="AD144" s="137">
        <f t="shared" si="779"/>
        <v>131.94843700671356</v>
      </c>
      <c r="AE144" s="137">
        <f t="shared" si="779"/>
        <v>137.27915386178481</v>
      </c>
      <c r="AF144" s="137">
        <f t="shared" si="779"/>
        <v>142.8252316778009</v>
      </c>
      <c r="AG144" s="137">
        <f t="shared" si="779"/>
        <v>148.59537103758404</v>
      </c>
      <c r="AH144" s="137">
        <f t="shared" si="779"/>
        <v>154.59862402750244</v>
      </c>
      <c r="AI144" s="137">
        <f t="shared" si="779"/>
        <v>160.84440843821352</v>
      </c>
      <c r="AJ144" s="137">
        <f t="shared" si="779"/>
        <v>167.34252253911737</v>
      </c>
      <c r="AK144" s="137">
        <f t="shared" si="779"/>
        <v>174.1031604496977</v>
      </c>
      <c r="AL144" s="137">
        <f t="shared" si="779"/>
        <v>181.13692813186552</v>
      </c>
      <c r="AM144" s="114">
        <f t="shared" si="534"/>
        <v>0.13480127604886061</v>
      </c>
      <c r="AN144" s="21">
        <f t="shared" si="535"/>
        <v>0.01</v>
      </c>
      <c r="AO144" s="122" t="e">
        <f t="shared" si="747"/>
        <v>#DIV/0!</v>
      </c>
    </row>
    <row r="145" spans="2:41" x14ac:dyDescent="0.15">
      <c r="B145" s="10" t="s">
        <v>280</v>
      </c>
      <c r="C145" s="10"/>
      <c r="D145" s="10"/>
      <c r="E145" s="10"/>
      <c r="F145" s="127"/>
      <c r="G145" s="127">
        <f t="shared" ref="G145" si="780">G144/G59</f>
        <v>1.9831499999999997</v>
      </c>
      <c r="H145" s="127">
        <f t="shared" ref="H145:I145" si="781">H144/H59</f>
        <v>0.29379999999999995</v>
      </c>
      <c r="I145" s="127">
        <f t="shared" si="781"/>
        <v>0.13771874999999997</v>
      </c>
      <c r="J145" s="127">
        <f t="shared" ref="J145:Q145" si="782">J144/J59</f>
        <v>9.8454255319148934E-2</v>
      </c>
      <c r="K145" s="127">
        <f t="shared" si="782"/>
        <v>4.9575638297872343E-2</v>
      </c>
      <c r="L145" s="127">
        <f t="shared" si="782"/>
        <v>9.8684444444444436E-2</v>
      </c>
      <c r="M145" s="127">
        <f t="shared" si="782"/>
        <v>0.17351029940119758</v>
      </c>
      <c r="N145" s="127">
        <f t="shared" si="782"/>
        <v>0.31055594594594588</v>
      </c>
      <c r="O145" s="127">
        <f t="shared" si="782"/>
        <v>0.17566978604651159</v>
      </c>
      <c r="P145" s="127">
        <f t="shared" si="782"/>
        <v>0.17546575609756096</v>
      </c>
      <c r="Q145" s="127">
        <f t="shared" si="782"/>
        <v>0.17587746049046318</v>
      </c>
      <c r="R145" s="127">
        <f t="shared" ref="R145:V145" si="783">R144/R59</f>
        <v>0.17595316097560973</v>
      </c>
      <c r="S145" s="127">
        <f t="shared" si="783"/>
        <v>0.17368159509202452</v>
      </c>
      <c r="T145" s="127">
        <f t="shared" si="783"/>
        <v>0.17767845188284517</v>
      </c>
      <c r="U145" s="127">
        <f t="shared" si="783"/>
        <v>0.17607630573248409</v>
      </c>
      <c r="V145" s="127">
        <f t="shared" si="783"/>
        <v>0.21017947826086955</v>
      </c>
      <c r="W145" s="127">
        <f t="shared" ref="W145" si="784">W144/W59</f>
        <v>0.33255612708018156</v>
      </c>
      <c r="X145" s="127">
        <f t="shared" ref="X145:Z145" si="785">X144/X59</f>
        <v>0.33975208655332306</v>
      </c>
      <c r="Y145" s="127">
        <f t="shared" ref="Y145" si="786">Y144/Y59</f>
        <v>0.15612187499999999</v>
      </c>
      <c r="Z145" s="127">
        <f t="shared" si="785"/>
        <v>0.17564835734870315</v>
      </c>
      <c r="AA145" s="101">
        <f t="shared" si="713"/>
        <v>-0.11977412054905134</v>
      </c>
      <c r="AB145" s="10"/>
      <c r="AC145" s="127">
        <f t="shared" ref="AC145:AL145" si="787">AC144/AC59</f>
        <v>0.16613140998690065</v>
      </c>
      <c r="AD145" s="127">
        <f t="shared" si="787"/>
        <v>0.15713010813670128</v>
      </c>
      <c r="AE145" s="127">
        <f t="shared" si="787"/>
        <v>0.14861651318674912</v>
      </c>
      <c r="AF145" s="127">
        <f t="shared" si="787"/>
        <v>0.14056420029044889</v>
      </c>
      <c r="AG145" s="127">
        <f t="shared" si="787"/>
        <v>0.13294817634743908</v>
      </c>
      <c r="AH145" s="127">
        <f t="shared" si="787"/>
        <v>0.12574480242897781</v>
      </c>
      <c r="AI145" s="127">
        <f t="shared" si="787"/>
        <v>0.11893172040646227</v>
      </c>
      <c r="AJ145" s="127">
        <f t="shared" si="787"/>
        <v>0.11248778355534851</v>
      </c>
      <c r="AK145" s="127">
        <f t="shared" si="787"/>
        <v>0.10639299091907688</v>
      </c>
      <c r="AL145" s="127">
        <f t="shared" si="787"/>
        <v>0.10062842522927963</v>
      </c>
      <c r="AM145" s="114">
        <f t="shared" si="534"/>
        <v>7.5348191131663356E-4</v>
      </c>
      <c r="AN145" s="21">
        <f t="shared" si="535"/>
        <v>0.01</v>
      </c>
      <c r="AO145" s="122" t="e">
        <f t="shared" si="747"/>
        <v>#DIV/0!</v>
      </c>
    </row>
    <row r="146" spans="2:41" x14ac:dyDescent="0.15">
      <c r="B146" s="10" t="s">
        <v>273</v>
      </c>
      <c r="C146" s="10"/>
      <c r="D146" s="10"/>
      <c r="E146" s="10"/>
      <c r="F146" s="127"/>
      <c r="G146" s="127">
        <f t="shared" ref="G146" si="788">1-G145</f>
        <v>-0.98314999999999975</v>
      </c>
      <c r="H146" s="127">
        <f t="shared" ref="H146:I146" si="789">1-H145</f>
        <v>0.70620000000000005</v>
      </c>
      <c r="I146" s="127">
        <f t="shared" si="789"/>
        <v>0.86228125</v>
      </c>
      <c r="J146" s="127">
        <f>1-J145</f>
        <v>0.90154574468085102</v>
      </c>
      <c r="K146" s="127">
        <f t="shared" ref="K146:Q146" si="790">1-K145</f>
        <v>0.95042436170212763</v>
      </c>
      <c r="L146" s="127">
        <f t="shared" si="790"/>
        <v>0.90131555555555554</v>
      </c>
      <c r="M146" s="127">
        <f t="shared" si="790"/>
        <v>0.82648970059880245</v>
      </c>
      <c r="N146" s="127">
        <f t="shared" si="790"/>
        <v>0.68944405405405407</v>
      </c>
      <c r="O146" s="127">
        <f t="shared" si="790"/>
        <v>0.82433021395348838</v>
      </c>
      <c r="P146" s="127">
        <f t="shared" si="790"/>
        <v>0.82453424390243901</v>
      </c>
      <c r="Q146" s="127">
        <f t="shared" si="790"/>
        <v>0.82412253950953684</v>
      </c>
      <c r="R146" s="127">
        <f t="shared" ref="R146:V146" si="791">1-R145</f>
        <v>0.82404683902439024</v>
      </c>
      <c r="S146" s="127">
        <f t="shared" si="791"/>
        <v>0.82631840490797548</v>
      </c>
      <c r="T146" s="127">
        <f t="shared" si="791"/>
        <v>0.82232154811715485</v>
      </c>
      <c r="U146" s="127">
        <f t="shared" si="791"/>
        <v>0.82392369426751588</v>
      </c>
      <c r="V146" s="127">
        <f t="shared" si="791"/>
        <v>0.78982052173913042</v>
      </c>
      <c r="W146" s="127">
        <f t="shared" ref="W146" si="792">1-W145</f>
        <v>0.66744387291981844</v>
      </c>
      <c r="X146" s="127">
        <f t="shared" ref="X146:Z146" si="793">1-X145</f>
        <v>0.66024791344667699</v>
      </c>
      <c r="Y146" s="127">
        <f t="shared" ref="Y146" si="794">1-Y145</f>
        <v>0.84387812500000003</v>
      </c>
      <c r="Z146" s="127">
        <f t="shared" si="793"/>
        <v>0.8243516426512969</v>
      </c>
      <c r="AA146" s="101">
        <f t="shared" si="713"/>
        <v>-1.9907710342828784</v>
      </c>
      <c r="AB146" s="10"/>
      <c r="AC146" s="127">
        <f t="shared" ref="AC146:AL146" si="795">1-AC145</f>
        <v>0.83386859001309932</v>
      </c>
      <c r="AD146" s="127">
        <f t="shared" si="795"/>
        <v>0.84286989186329875</v>
      </c>
      <c r="AE146" s="127">
        <f t="shared" si="795"/>
        <v>0.85138348681325082</v>
      </c>
      <c r="AF146" s="127">
        <f t="shared" si="795"/>
        <v>0.85943579970955108</v>
      </c>
      <c r="AG146" s="127">
        <f t="shared" si="795"/>
        <v>0.86705182365256095</v>
      </c>
      <c r="AH146" s="127">
        <f t="shared" si="795"/>
        <v>0.87425519757102221</v>
      </c>
      <c r="AI146" s="127">
        <f t="shared" si="795"/>
        <v>0.88106827959353773</v>
      </c>
      <c r="AJ146" s="127">
        <f t="shared" si="795"/>
        <v>0.8875122164446515</v>
      </c>
      <c r="AK146" s="127">
        <f t="shared" si="795"/>
        <v>0.89360700908092316</v>
      </c>
      <c r="AL146" s="127">
        <f t="shared" si="795"/>
        <v>0.89937157477072038</v>
      </c>
      <c r="AM146" s="114">
        <f t="shared" si="534"/>
        <v>-8.3255672965631966E-5</v>
      </c>
      <c r="AN146" s="21">
        <f t="shared" si="535"/>
        <v>0.01</v>
      </c>
      <c r="AO146" s="122" t="e">
        <f t="shared" si="747"/>
        <v>#DIV/0!</v>
      </c>
    </row>
    <row r="147" spans="2:41" x14ac:dyDescent="0.15">
      <c r="B147" s="10" t="s">
        <v>392</v>
      </c>
      <c r="C147" s="10"/>
      <c r="D147" s="10"/>
      <c r="E147" s="10"/>
      <c r="F147" s="127"/>
      <c r="G147" s="127">
        <f t="shared" ref="G147" si="796">G144/G20</f>
        <v>0.33052499999999996</v>
      </c>
      <c r="H147" s="127">
        <f t="shared" ref="H147:I147" si="797">H144/H20</f>
        <v>0.3777428571428571</v>
      </c>
      <c r="I147" s="127">
        <f t="shared" si="797"/>
        <v>0.12712499999999999</v>
      </c>
      <c r="J147" s="127">
        <f t="shared" ref="J147:Q147" si="798">J144/J20</f>
        <v>-0.12177236842105263</v>
      </c>
      <c r="K147" s="127">
        <f t="shared" si="798"/>
        <v>-0.155337</v>
      </c>
      <c r="L147" s="127">
        <f t="shared" si="798"/>
        <v>3.584502242152466E-2</v>
      </c>
      <c r="M147" s="127">
        <f t="shared" si="798"/>
        <v>0.13540289719626167</v>
      </c>
      <c r="N147" s="127">
        <f t="shared" si="798"/>
        <v>0.54073270588235289</v>
      </c>
      <c r="O147" s="127">
        <f t="shared" si="798"/>
        <v>0.12759798648648646</v>
      </c>
      <c r="P147" s="127">
        <f t="shared" si="798"/>
        <v>0.15032439402985073</v>
      </c>
      <c r="Q147" s="127">
        <f t="shared" si="798"/>
        <v>0.23135135483870961</v>
      </c>
      <c r="R147" s="127">
        <f t="shared" ref="R147:V147" si="799">R144/R20</f>
        <v>0.18592988659793813</v>
      </c>
      <c r="S147" s="127">
        <f t="shared" si="799"/>
        <v>0.15330379061371838</v>
      </c>
      <c r="T147" s="127">
        <f t="shared" si="799"/>
        <v>0.15385923913043476</v>
      </c>
      <c r="U147" s="127">
        <f t="shared" si="799"/>
        <v>0.25755260869565222</v>
      </c>
      <c r="V147" s="127">
        <f t="shared" si="799"/>
        <v>0.18764637338262474</v>
      </c>
      <c r="W147" s="127">
        <f t="shared" ref="W147" si="800">W144/W20</f>
        <v>0.18676261682242992</v>
      </c>
      <c r="X147" s="127">
        <f t="shared" ref="X147:Z147" si="801">X144/X20</f>
        <v>0.27408927680798006</v>
      </c>
      <c r="Y147" s="127">
        <f t="shared" ref="Y147" si="802">Y144/Y20</f>
        <v>0.12627867298578199</v>
      </c>
      <c r="Z147" s="127" t="e">
        <f t="shared" si="801"/>
        <v>#DIV/0!</v>
      </c>
      <c r="AA147" s="101" t="e">
        <f t="shared" si="713"/>
        <v>#DIV/0!</v>
      </c>
      <c r="AB147" s="10"/>
      <c r="AC147" s="127" t="e">
        <f t="shared" ref="AC147:AL147" si="803">AC144/AC20</f>
        <v>#DIV/0!</v>
      </c>
      <c r="AD147" s="127" t="e">
        <f t="shared" si="803"/>
        <v>#DIV/0!</v>
      </c>
      <c r="AE147" s="127" t="e">
        <f t="shared" si="803"/>
        <v>#DIV/0!</v>
      </c>
      <c r="AF147" s="127" t="e">
        <f t="shared" si="803"/>
        <v>#DIV/0!</v>
      </c>
      <c r="AG147" s="127" t="e">
        <f t="shared" si="803"/>
        <v>#DIV/0!</v>
      </c>
      <c r="AH147" s="127" t="e">
        <f t="shared" si="803"/>
        <v>#DIV/0!</v>
      </c>
      <c r="AI147" s="127" t="e">
        <f t="shared" si="803"/>
        <v>#DIV/0!</v>
      </c>
      <c r="AJ147" s="127" t="e">
        <f t="shared" si="803"/>
        <v>#DIV/0!</v>
      </c>
      <c r="AK147" s="127" t="e">
        <f t="shared" si="803"/>
        <v>#DIV/0!</v>
      </c>
      <c r="AL147" s="127" t="e">
        <f t="shared" si="803"/>
        <v>#DIV/0!</v>
      </c>
      <c r="AM147" s="114" t="e">
        <f t="shared" si="534"/>
        <v>#DIV/0!</v>
      </c>
      <c r="AN147" s="21">
        <f t="shared" si="535"/>
        <v>0.01</v>
      </c>
      <c r="AO147" s="122" t="e">
        <f t="shared" si="747"/>
        <v>#DIV/0!</v>
      </c>
    </row>
    <row r="148" spans="2:41" x14ac:dyDescent="0.15">
      <c r="B148" s="10"/>
      <c r="C148" s="10"/>
      <c r="D148" s="10"/>
      <c r="E148" s="10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  <c r="AA148" s="101" t="e">
        <f t="shared" si="713"/>
        <v>#DIV/0!</v>
      </c>
      <c r="AB148" s="10"/>
      <c r="AC148" s="127"/>
      <c r="AD148" s="127"/>
      <c r="AE148" s="127"/>
      <c r="AF148" s="127"/>
      <c r="AG148" s="127"/>
      <c r="AH148" s="127"/>
      <c r="AI148" s="127"/>
      <c r="AJ148" s="127"/>
      <c r="AK148" s="127"/>
      <c r="AL148" s="127"/>
      <c r="AM148" s="109"/>
      <c r="AN148" s="122"/>
      <c r="AO148" s="122"/>
    </row>
    <row r="149" spans="2:41" x14ac:dyDescent="0.15">
      <c r="B149" s="10" t="s">
        <v>277</v>
      </c>
      <c r="C149" s="127"/>
      <c r="D149" s="127"/>
      <c r="E149" s="127"/>
      <c r="F149" s="127"/>
      <c r="G149" s="127">
        <f t="shared" ref="G149" si="804">G31/G25</f>
        <v>0</v>
      </c>
      <c r="H149" s="127">
        <f t="shared" ref="H149:I149" si="805">H31/H25</f>
        <v>0</v>
      </c>
      <c r="I149" s="127">
        <f t="shared" si="805"/>
        <v>0</v>
      </c>
      <c r="J149" s="127">
        <f t="shared" ref="J149:Q149" si="806">J31/J25</f>
        <v>0</v>
      </c>
      <c r="K149" s="127">
        <f t="shared" si="806"/>
        <v>0</v>
      </c>
      <c r="L149" s="127">
        <f t="shared" si="806"/>
        <v>0</v>
      </c>
      <c r="M149" s="127">
        <f t="shared" si="806"/>
        <v>0</v>
      </c>
      <c r="N149" s="127">
        <f t="shared" si="806"/>
        <v>0</v>
      </c>
      <c r="O149" s="127">
        <f t="shared" si="806"/>
        <v>0</v>
      </c>
      <c r="P149" s="127">
        <f t="shared" si="806"/>
        <v>0</v>
      </c>
      <c r="Q149" s="127">
        <f t="shared" si="806"/>
        <v>0</v>
      </c>
      <c r="R149" s="127">
        <f t="shared" ref="R149:V149" si="807">R31/R25</f>
        <v>0</v>
      </c>
      <c r="S149" s="127">
        <f t="shared" si="807"/>
        <v>0</v>
      </c>
      <c r="T149" s="127">
        <f t="shared" si="807"/>
        <v>0</v>
      </c>
      <c r="U149" s="127">
        <f t="shared" si="807"/>
        <v>0</v>
      </c>
      <c r="V149" s="127">
        <f t="shared" si="807"/>
        <v>0</v>
      </c>
      <c r="W149" s="127">
        <f t="shared" ref="W149" si="808">W31/W25</f>
        <v>0</v>
      </c>
      <c r="X149" s="127">
        <f t="shared" ref="X149:Z149" si="809">X31/X25</f>
        <v>0</v>
      </c>
      <c r="Y149" s="127">
        <f t="shared" ref="Y149" si="810">Y31/Y25</f>
        <v>0</v>
      </c>
      <c r="Z149" s="127">
        <f t="shared" si="809"/>
        <v>0</v>
      </c>
      <c r="AA149" s="101" t="e">
        <f t="shared" si="713"/>
        <v>#DIV/0!</v>
      </c>
      <c r="AB149" s="10"/>
      <c r="AC149" s="127">
        <f t="shared" ref="AC149:AL149" si="811">AC31/AC25</f>
        <v>0</v>
      </c>
      <c r="AD149" s="127">
        <f t="shared" si="811"/>
        <v>0</v>
      </c>
      <c r="AE149" s="127">
        <f t="shared" si="811"/>
        <v>0</v>
      </c>
      <c r="AF149" s="127">
        <f t="shared" si="811"/>
        <v>0</v>
      </c>
      <c r="AG149" s="127">
        <f t="shared" si="811"/>
        <v>0</v>
      </c>
      <c r="AH149" s="127">
        <f t="shared" si="811"/>
        <v>0</v>
      </c>
      <c r="AI149" s="127">
        <f t="shared" si="811"/>
        <v>0</v>
      </c>
      <c r="AJ149" s="127">
        <f t="shared" si="811"/>
        <v>0</v>
      </c>
      <c r="AK149" s="127">
        <f t="shared" si="811"/>
        <v>0</v>
      </c>
      <c r="AL149" s="127">
        <f t="shared" si="811"/>
        <v>0</v>
      </c>
      <c r="AM149" s="114" t="e">
        <f t="shared" si="534"/>
        <v>#DIV/0!</v>
      </c>
      <c r="AN149" s="21">
        <f t="shared" si="535"/>
        <v>0.01</v>
      </c>
      <c r="AO149" s="122" t="e">
        <f t="shared" si="747"/>
        <v>#DIV/0!</v>
      </c>
    </row>
    <row r="150" spans="2:41" x14ac:dyDescent="0.15">
      <c r="B150" s="10" t="s">
        <v>274</v>
      </c>
      <c r="C150" s="127"/>
      <c r="D150" s="127"/>
      <c r="E150" s="127"/>
      <c r="F150" s="127"/>
      <c r="G150" s="127">
        <f t="shared" ref="G150" si="812">G32/G25</f>
        <v>0</v>
      </c>
      <c r="H150" s="127">
        <f t="shared" ref="H150:I150" si="813">H32/H25</f>
        <v>0</v>
      </c>
      <c r="I150" s="127">
        <f t="shared" si="813"/>
        <v>0</v>
      </c>
      <c r="J150" s="127">
        <f t="shared" ref="J150:Q150" si="814">J32/J25</f>
        <v>0</v>
      </c>
      <c r="K150" s="127">
        <f t="shared" si="814"/>
        <v>0</v>
      </c>
      <c r="L150" s="127">
        <f t="shared" si="814"/>
        <v>0</v>
      </c>
      <c r="M150" s="127">
        <f t="shared" si="814"/>
        <v>0</v>
      </c>
      <c r="N150" s="127">
        <f t="shared" si="814"/>
        <v>0</v>
      </c>
      <c r="O150" s="127">
        <f t="shared" si="814"/>
        <v>0</v>
      </c>
      <c r="P150" s="127">
        <f t="shared" si="814"/>
        <v>0</v>
      </c>
      <c r="Q150" s="127">
        <f t="shared" si="814"/>
        <v>0</v>
      </c>
      <c r="R150" s="127">
        <f t="shared" ref="R150:V150" si="815">R32/R25</f>
        <v>0</v>
      </c>
      <c r="S150" s="127">
        <f t="shared" si="815"/>
        <v>0</v>
      </c>
      <c r="T150" s="127">
        <f t="shared" si="815"/>
        <v>0</v>
      </c>
      <c r="U150" s="127">
        <f t="shared" si="815"/>
        <v>0</v>
      </c>
      <c r="V150" s="127">
        <f t="shared" si="815"/>
        <v>0</v>
      </c>
      <c r="W150" s="127">
        <f t="shared" ref="W150" si="816">W32/W25</f>
        <v>0</v>
      </c>
      <c r="X150" s="127">
        <f t="shared" ref="X150:Z150" si="817">X32/X25</f>
        <v>0</v>
      </c>
      <c r="Y150" s="127">
        <f t="shared" ref="Y150" si="818">Y32/Y25</f>
        <v>0</v>
      </c>
      <c r="Z150" s="127">
        <f t="shared" si="817"/>
        <v>0</v>
      </c>
      <c r="AA150" s="101" t="e">
        <f t="shared" si="713"/>
        <v>#DIV/0!</v>
      </c>
      <c r="AB150" s="10"/>
      <c r="AC150" s="127">
        <f t="shared" ref="AC150:AL150" si="819">AC32/AC25</f>
        <v>0</v>
      </c>
      <c r="AD150" s="127">
        <f t="shared" si="819"/>
        <v>0</v>
      </c>
      <c r="AE150" s="127">
        <f t="shared" si="819"/>
        <v>0</v>
      </c>
      <c r="AF150" s="127">
        <f t="shared" si="819"/>
        <v>0</v>
      </c>
      <c r="AG150" s="127">
        <f t="shared" si="819"/>
        <v>0</v>
      </c>
      <c r="AH150" s="127">
        <f t="shared" si="819"/>
        <v>0</v>
      </c>
      <c r="AI150" s="127">
        <f t="shared" si="819"/>
        <v>0</v>
      </c>
      <c r="AJ150" s="127">
        <f t="shared" si="819"/>
        <v>0</v>
      </c>
      <c r="AK150" s="127">
        <f t="shared" si="819"/>
        <v>0</v>
      </c>
      <c r="AL150" s="127">
        <f t="shared" si="819"/>
        <v>0</v>
      </c>
      <c r="AM150" s="114" t="e">
        <f t="shared" si="534"/>
        <v>#DIV/0!</v>
      </c>
      <c r="AN150" s="21">
        <f t="shared" si="535"/>
        <v>0.01</v>
      </c>
      <c r="AO150" s="122" t="e">
        <f t="shared" si="747"/>
        <v>#DIV/0!</v>
      </c>
    </row>
    <row r="151" spans="2:41" x14ac:dyDescent="0.15">
      <c r="B151" s="10" t="s">
        <v>399</v>
      </c>
      <c r="C151" s="127"/>
      <c r="D151" s="127"/>
      <c r="E151" s="127"/>
      <c r="F151" s="127"/>
      <c r="G151" s="127">
        <f t="shared" ref="G151" si="820">(G31+G32)/G25</f>
        <v>0</v>
      </c>
      <c r="H151" s="127">
        <f t="shared" ref="H151:I151" si="821">(H31+H32)/H25</f>
        <v>0</v>
      </c>
      <c r="I151" s="127">
        <f t="shared" si="821"/>
        <v>0</v>
      </c>
      <c r="J151" s="127">
        <f t="shared" ref="J151:Q151" si="822">(J31+J32)/J25</f>
        <v>0</v>
      </c>
      <c r="K151" s="127">
        <f t="shared" si="822"/>
        <v>0</v>
      </c>
      <c r="L151" s="127">
        <f t="shared" si="822"/>
        <v>0</v>
      </c>
      <c r="M151" s="127">
        <f t="shared" si="822"/>
        <v>0</v>
      </c>
      <c r="N151" s="127">
        <f t="shared" si="822"/>
        <v>0</v>
      </c>
      <c r="O151" s="127">
        <f t="shared" si="822"/>
        <v>0</v>
      </c>
      <c r="P151" s="127">
        <f t="shared" si="822"/>
        <v>0</v>
      </c>
      <c r="Q151" s="127">
        <f t="shared" si="822"/>
        <v>0</v>
      </c>
      <c r="R151" s="127">
        <f t="shared" ref="R151:V151" si="823">(R31+R32)/R25</f>
        <v>0</v>
      </c>
      <c r="S151" s="127">
        <f t="shared" si="823"/>
        <v>0</v>
      </c>
      <c r="T151" s="127">
        <f t="shared" si="823"/>
        <v>0</v>
      </c>
      <c r="U151" s="127">
        <f t="shared" si="823"/>
        <v>0</v>
      </c>
      <c r="V151" s="127">
        <f t="shared" si="823"/>
        <v>0</v>
      </c>
      <c r="W151" s="127">
        <f t="shared" ref="W151" si="824">(W31+W32)/W25</f>
        <v>0</v>
      </c>
      <c r="X151" s="127">
        <f t="shared" ref="X151:Z151" si="825">(X31+X32)/X25</f>
        <v>0</v>
      </c>
      <c r="Y151" s="127">
        <f t="shared" ref="Y151" si="826">(Y31+Y32)/Y25</f>
        <v>0</v>
      </c>
      <c r="Z151" s="127">
        <f t="shared" si="825"/>
        <v>0</v>
      </c>
      <c r="AA151" s="101" t="e">
        <f t="shared" si="713"/>
        <v>#DIV/0!</v>
      </c>
      <c r="AB151" s="10"/>
      <c r="AC151" s="127">
        <f t="shared" ref="AC151:AL151" si="827">(AC31+AC32)/AC25</f>
        <v>0</v>
      </c>
      <c r="AD151" s="127">
        <f t="shared" si="827"/>
        <v>0</v>
      </c>
      <c r="AE151" s="127">
        <f t="shared" si="827"/>
        <v>0</v>
      </c>
      <c r="AF151" s="127">
        <f t="shared" si="827"/>
        <v>0</v>
      </c>
      <c r="AG151" s="127">
        <f t="shared" si="827"/>
        <v>0</v>
      </c>
      <c r="AH151" s="127">
        <f t="shared" si="827"/>
        <v>0</v>
      </c>
      <c r="AI151" s="127">
        <f t="shared" si="827"/>
        <v>0</v>
      </c>
      <c r="AJ151" s="127">
        <f t="shared" si="827"/>
        <v>0</v>
      </c>
      <c r="AK151" s="127">
        <f t="shared" si="827"/>
        <v>0</v>
      </c>
      <c r="AL151" s="127">
        <f t="shared" si="827"/>
        <v>0</v>
      </c>
      <c r="AM151" s="114" t="e">
        <f t="shared" si="534"/>
        <v>#DIV/0!</v>
      </c>
      <c r="AN151" s="21">
        <f t="shared" si="535"/>
        <v>0.01</v>
      </c>
      <c r="AO151" s="122" t="e">
        <f t="shared" si="747"/>
        <v>#DIV/0!</v>
      </c>
    </row>
    <row r="152" spans="2:41" x14ac:dyDescent="0.15">
      <c r="B152" s="10"/>
      <c r="C152" s="10"/>
      <c r="D152" s="10"/>
      <c r="E152" s="10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  <c r="AA152" s="101" t="e">
        <f t="shared" si="713"/>
        <v>#DIV/0!</v>
      </c>
      <c r="AB152" s="10"/>
      <c r="AC152" s="127"/>
      <c r="AD152" s="127"/>
      <c r="AE152" s="127"/>
      <c r="AF152" s="127"/>
      <c r="AG152" s="127"/>
      <c r="AH152" s="127"/>
      <c r="AI152" s="127"/>
      <c r="AJ152" s="127"/>
      <c r="AK152" s="127"/>
      <c r="AL152" s="127"/>
      <c r="AM152" s="109"/>
      <c r="AN152" s="122"/>
      <c r="AO152" s="122"/>
    </row>
    <row r="153" spans="2:41" x14ac:dyDescent="0.15">
      <c r="B153" s="10" t="s">
        <v>296</v>
      </c>
      <c r="C153" s="10"/>
      <c r="D153" s="10"/>
      <c r="E153" s="10"/>
      <c r="F153" s="127"/>
      <c r="G153" s="127">
        <f t="shared" ref="G153" si="828">G27/G25</f>
        <v>0.8666666666666667</v>
      </c>
      <c r="H153" s="127">
        <f t="shared" ref="H153:I153" si="829">H27/H25</f>
        <v>0.89430894308943087</v>
      </c>
      <c r="I153" s="127">
        <f t="shared" si="829"/>
        <v>0.86567164179104472</v>
      </c>
      <c r="J153" s="127">
        <f t="shared" ref="J153:Q153" si="830">J27/J25</f>
        <v>0.85</v>
      </c>
      <c r="K153" s="127">
        <f t="shared" si="830"/>
        <v>0.84079173838209986</v>
      </c>
      <c r="L153" s="127">
        <f t="shared" si="830"/>
        <v>0.86156225831399846</v>
      </c>
      <c r="M153" s="127">
        <f t="shared" si="830"/>
        <v>0.79842416283650686</v>
      </c>
      <c r="N153" s="127">
        <f t="shared" si="830"/>
        <v>0.85284280936454848</v>
      </c>
      <c r="O153" s="127">
        <f t="shared" si="830"/>
        <v>0.84468895471857808</v>
      </c>
      <c r="P153" s="127">
        <f t="shared" si="830"/>
        <v>0.83861386138613858</v>
      </c>
      <c r="Q153" s="127">
        <f t="shared" si="830"/>
        <v>0.82834331337325351</v>
      </c>
      <c r="R153" s="127">
        <f t="shared" ref="R153:V153" si="831">R27/R25</f>
        <v>0.82673497904052162</v>
      </c>
      <c r="S153" s="127">
        <f t="shared" si="831"/>
        <v>0.8204174416201695</v>
      </c>
      <c r="T153" s="127">
        <f t="shared" si="831"/>
        <v>0.8376377099512371</v>
      </c>
      <c r="U153" s="127">
        <f t="shared" si="831"/>
        <v>0.84560377051844626</v>
      </c>
      <c r="V153" s="127">
        <f t="shared" si="831"/>
        <v>0.85941410275283381</v>
      </c>
      <c r="W153" s="127">
        <f t="shared" ref="W153" si="832">W27/W25</f>
        <v>0.83945021201930103</v>
      </c>
      <c r="X153" s="127">
        <f t="shared" ref="X153:Z153" si="833">X27/X25</f>
        <v>0.84377622377622374</v>
      </c>
      <c r="Y153" s="127">
        <f t="shared" ref="Y153" si="834">Y27/Y25</f>
        <v>0.91928251121076232</v>
      </c>
      <c r="Z153" s="127">
        <f t="shared" si="833"/>
        <v>0.88323065075086638</v>
      </c>
      <c r="AA153" s="101">
        <f t="shared" si="713"/>
        <v>9.9691468315854515E-4</v>
      </c>
      <c r="AB153" s="10"/>
      <c r="AC153" s="127">
        <f t="shared" ref="AC153:AL153" si="835">AC27/AC25</f>
        <v>0.88323065075086626</v>
      </c>
      <c r="AD153" s="127">
        <f t="shared" si="835"/>
        <v>0.88323065075086626</v>
      </c>
      <c r="AE153" s="127">
        <f t="shared" si="835"/>
        <v>0.88323065075086626</v>
      </c>
      <c r="AF153" s="127">
        <f t="shared" si="835"/>
        <v>0.88323065075086626</v>
      </c>
      <c r="AG153" s="127">
        <f t="shared" si="835"/>
        <v>0.88323065075086626</v>
      </c>
      <c r="AH153" s="127">
        <f t="shared" si="835"/>
        <v>0.88323065075086638</v>
      </c>
      <c r="AI153" s="127">
        <f t="shared" si="835"/>
        <v>0.88323065075086615</v>
      </c>
      <c r="AJ153" s="127">
        <f t="shared" si="835"/>
        <v>0.88323065075086626</v>
      </c>
      <c r="AK153" s="127">
        <f t="shared" si="835"/>
        <v>0.88323065075086626</v>
      </c>
      <c r="AL153" s="127">
        <f t="shared" si="835"/>
        <v>0.88323065075086626</v>
      </c>
      <c r="AM153" s="114">
        <f t="shared" si="534"/>
        <v>1.3232895911350351E-3</v>
      </c>
      <c r="AN153" s="21">
        <f t="shared" si="535"/>
        <v>0.01</v>
      </c>
      <c r="AO153" s="122" t="e">
        <f t="shared" si="747"/>
        <v>#DIV/0!</v>
      </c>
    </row>
    <row r="154" spans="2:41" x14ac:dyDescent="0.15">
      <c r="B154" s="10" t="str">
        <f>B33</f>
        <v>Top Expenses ( Raw material )</v>
      </c>
      <c r="C154" s="10"/>
      <c r="D154" s="10"/>
      <c r="E154" s="10"/>
      <c r="F154" s="127"/>
      <c r="G154" s="127">
        <f t="shared" ref="G154" si="836">G33/G25</f>
        <v>0.47222222222222221</v>
      </c>
      <c r="H154" s="127">
        <f t="shared" ref="H154:I154" si="837">H33/H25</f>
        <v>0.56910569105691056</v>
      </c>
      <c r="I154" s="127">
        <f t="shared" si="837"/>
        <v>0.56965174129353235</v>
      </c>
      <c r="J154" s="127">
        <f t="shared" ref="J154:Q154" si="838">J33/J25</f>
        <v>0.64677419354838706</v>
      </c>
      <c r="K154" s="127">
        <f t="shared" si="838"/>
        <v>0.67900172117039592</v>
      </c>
      <c r="L154" s="127">
        <f t="shared" si="838"/>
        <v>0.68368136117556066</v>
      </c>
      <c r="M154" s="127">
        <f t="shared" si="838"/>
        <v>0.61588969139855543</v>
      </c>
      <c r="N154" s="127">
        <f t="shared" si="838"/>
        <v>0.67892976588628762</v>
      </c>
      <c r="O154" s="127">
        <f t="shared" si="838"/>
        <v>0.68303004655099453</v>
      </c>
      <c r="P154" s="127">
        <f t="shared" si="838"/>
        <v>0.68151815181518149</v>
      </c>
      <c r="Q154" s="127">
        <f t="shared" si="838"/>
        <v>0.67208440262332481</v>
      </c>
      <c r="R154" s="127">
        <f t="shared" ref="R154:V154" si="839">R33/R25</f>
        <v>0.67116907312529106</v>
      </c>
      <c r="S154" s="127">
        <f t="shared" si="839"/>
        <v>0.6484810911345319</v>
      </c>
      <c r="T154" s="127">
        <f t="shared" si="839"/>
        <v>0.67419180061405093</v>
      </c>
      <c r="U154" s="127">
        <f t="shared" si="839"/>
        <v>0.68535673655127582</v>
      </c>
      <c r="V154" s="127">
        <f t="shared" si="839"/>
        <v>0.71544236714264686</v>
      </c>
      <c r="W154" s="127">
        <f t="shared" ref="W154" si="840">W33/W25</f>
        <v>0.65565141102500368</v>
      </c>
      <c r="X154" s="127">
        <f t="shared" ref="X154:Z154" si="841">X33/X25</f>
        <v>0.68657342657342657</v>
      </c>
      <c r="Y154" s="127">
        <f t="shared" ref="Y154" si="842">Y33/Y25</f>
        <v>0.75543290789927564</v>
      </c>
      <c r="Z154" s="127">
        <f t="shared" si="841"/>
        <v>0.68598382749326148</v>
      </c>
      <c r="AA154" s="101">
        <f t="shared" si="713"/>
        <v>1.9847250288036467E-2</v>
      </c>
      <c r="AB154" s="10"/>
      <c r="AC154" s="127">
        <f t="shared" ref="AC154:AL154" si="843">AC33/AC25</f>
        <v>0.68598382749326137</v>
      </c>
      <c r="AD154" s="127">
        <f t="shared" si="843"/>
        <v>0.68598382749326148</v>
      </c>
      <c r="AE154" s="127">
        <f t="shared" si="843"/>
        <v>0.68598382749326137</v>
      </c>
      <c r="AF154" s="127">
        <f t="shared" si="843"/>
        <v>0.68598382749326137</v>
      </c>
      <c r="AG154" s="127">
        <f t="shared" si="843"/>
        <v>0.68598382749326137</v>
      </c>
      <c r="AH154" s="127">
        <f t="shared" si="843"/>
        <v>0.68598382749326148</v>
      </c>
      <c r="AI154" s="127">
        <f t="shared" si="843"/>
        <v>0.68598382749326148</v>
      </c>
      <c r="AJ154" s="127">
        <f t="shared" si="843"/>
        <v>0.68598382749326148</v>
      </c>
      <c r="AK154" s="127">
        <f t="shared" si="843"/>
        <v>0.68598382749326148</v>
      </c>
      <c r="AL154" s="127">
        <f t="shared" si="843"/>
        <v>0.68598382749326148</v>
      </c>
      <c r="AM154" s="114">
        <f t="shared" si="534"/>
        <v>2.031606580962908E-3</v>
      </c>
      <c r="AN154" s="21">
        <f t="shared" si="535"/>
        <v>0.01</v>
      </c>
      <c r="AO154" s="122" t="e">
        <f t="shared" si="747"/>
        <v>#DIV/0!</v>
      </c>
    </row>
    <row r="155" spans="2:41" x14ac:dyDescent="0.15">
      <c r="B155" s="10" t="str">
        <f>B34</f>
        <v>2nd highest Expenses Comp. ( Power and Fuel )</v>
      </c>
      <c r="C155" s="10"/>
      <c r="D155" s="10"/>
      <c r="E155" s="10"/>
      <c r="F155" s="127"/>
      <c r="G155" s="127">
        <f t="shared" ref="G155" si="844">G34/G25</f>
        <v>8.8888888888888892E-2</v>
      </c>
      <c r="H155" s="127">
        <f t="shared" ref="H155:I155" si="845">H34/H25</f>
        <v>7.3170731707317069E-2</v>
      </c>
      <c r="I155" s="127">
        <f t="shared" si="845"/>
        <v>5.9701492537313432E-2</v>
      </c>
      <c r="J155" s="127">
        <f t="shared" ref="J155:Q155" si="846">J34/J25</f>
        <v>5.32258064516129E-2</v>
      </c>
      <c r="K155" s="127">
        <f t="shared" si="846"/>
        <v>4.5611015490533563E-2</v>
      </c>
      <c r="L155" s="127">
        <f t="shared" si="846"/>
        <v>4.7950502706883218E-2</v>
      </c>
      <c r="M155" s="127">
        <f t="shared" si="846"/>
        <v>5.5154300722258701E-2</v>
      </c>
      <c r="N155" s="127">
        <f t="shared" si="846"/>
        <v>5.4069119286510592E-2</v>
      </c>
      <c r="O155" s="127">
        <f t="shared" si="846"/>
        <v>4.6974185357596274E-2</v>
      </c>
      <c r="P155" s="127">
        <f t="shared" si="846"/>
        <v>4.1914191419141912E-2</v>
      </c>
      <c r="Q155" s="127">
        <f t="shared" si="846"/>
        <v>4.505275163957799E-2</v>
      </c>
      <c r="R155" s="127">
        <f t="shared" ref="R155:V155" si="847">R34/R25</f>
        <v>4.5412203074056821E-2</v>
      </c>
      <c r="S155" s="127">
        <f t="shared" si="847"/>
        <v>5.0216986980781156E-2</v>
      </c>
      <c r="T155" s="127">
        <f t="shared" si="847"/>
        <v>5.002709048221058E-2</v>
      </c>
      <c r="U155" s="127">
        <f t="shared" si="847"/>
        <v>5.0056882821387941E-2</v>
      </c>
      <c r="V155" s="127">
        <f t="shared" si="847"/>
        <v>3.0472545267186811E-2</v>
      </c>
      <c r="W155" s="127">
        <f t="shared" ref="W155" si="848">W34/W25</f>
        <v>3.2460886094458255E-2</v>
      </c>
      <c r="X155" s="127">
        <f t="shared" ref="X155:Z155" si="849">X34/X25</f>
        <v>2.9650349650349652E-2</v>
      </c>
      <c r="Y155" s="127">
        <f t="shared" ref="Y155" si="850">Y34/Y25</f>
        <v>2.8630562262849258E-2</v>
      </c>
      <c r="Z155" s="127">
        <f t="shared" si="849"/>
        <v>0</v>
      </c>
      <c r="AA155" s="101">
        <f t="shared" si="713"/>
        <v>-1</v>
      </c>
      <c r="AB155" s="10"/>
      <c r="AC155" s="127">
        <f t="shared" ref="AC155:AL155" si="851">AC34/AC25</f>
        <v>0</v>
      </c>
      <c r="AD155" s="127">
        <f t="shared" si="851"/>
        <v>0</v>
      </c>
      <c r="AE155" s="127">
        <f t="shared" si="851"/>
        <v>0</v>
      </c>
      <c r="AF155" s="127">
        <f t="shared" si="851"/>
        <v>0</v>
      </c>
      <c r="AG155" s="127">
        <f t="shared" si="851"/>
        <v>0</v>
      </c>
      <c r="AH155" s="127">
        <f t="shared" si="851"/>
        <v>0</v>
      </c>
      <c r="AI155" s="127">
        <f t="shared" si="851"/>
        <v>0</v>
      </c>
      <c r="AJ155" s="127">
        <f t="shared" si="851"/>
        <v>0</v>
      </c>
      <c r="AK155" s="127">
        <f t="shared" si="851"/>
        <v>0</v>
      </c>
      <c r="AL155" s="127">
        <f t="shared" si="851"/>
        <v>0</v>
      </c>
      <c r="AM155" s="114">
        <f t="shared" si="534"/>
        <v>-1</v>
      </c>
      <c r="AN155" s="21">
        <f t="shared" si="535"/>
        <v>0.01</v>
      </c>
      <c r="AO155" s="122" t="e">
        <f t="shared" si="747"/>
        <v>#DIV/0!</v>
      </c>
    </row>
    <row r="156" spans="2:41" x14ac:dyDescent="0.15"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1" t="e">
        <f t="shared" si="713"/>
        <v>#DIV/0!</v>
      </c>
      <c r="AB156" s="10"/>
      <c r="AC156" s="102"/>
      <c r="AD156" s="102"/>
      <c r="AE156" s="102"/>
      <c r="AF156" s="102"/>
      <c r="AG156" s="102"/>
      <c r="AH156" s="102"/>
      <c r="AI156" s="102"/>
      <c r="AJ156" s="102"/>
      <c r="AK156" s="102"/>
      <c r="AL156" s="102"/>
      <c r="AM156" s="115"/>
      <c r="AN156" s="122"/>
      <c r="AO156" s="122"/>
    </row>
    <row r="157" spans="2:41" x14ac:dyDescent="0.15">
      <c r="B157" s="93" t="s">
        <v>304</v>
      </c>
      <c r="C157" s="10"/>
      <c r="D157" s="10"/>
      <c r="E157" s="10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01" t="e">
        <f t="shared" si="713"/>
        <v>#DIV/0!</v>
      </c>
      <c r="AB157" s="10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0"/>
      <c r="AN157" s="122"/>
      <c r="AO157" s="122"/>
    </row>
    <row r="158" spans="2:41" x14ac:dyDescent="0.15">
      <c r="B158" s="10" t="s">
        <v>307</v>
      </c>
      <c r="C158" s="10"/>
      <c r="D158" s="10"/>
      <c r="E158" s="10"/>
      <c r="F158" s="15"/>
      <c r="G158" s="15">
        <f t="shared" ref="G158" si="852">G15/G9</f>
        <v>2.5483870967741935</v>
      </c>
      <c r="H158" s="15">
        <f t="shared" ref="H158:I158" si="853">H15/H9</f>
        <v>2.375</v>
      </c>
      <c r="I158" s="15">
        <f t="shared" si="853"/>
        <v>1.7682926829268293</v>
      </c>
      <c r="J158" s="15">
        <f t="shared" ref="J158:Q158" si="854">J15/J9</f>
        <v>2.7931034482758621</v>
      </c>
      <c r="K158" s="15">
        <f t="shared" si="854"/>
        <v>3.75</v>
      </c>
      <c r="L158" s="15">
        <f t="shared" si="854"/>
        <v>3.0530303030303032</v>
      </c>
      <c r="M158" s="15">
        <f t="shared" si="854"/>
        <v>2.7058823529411766</v>
      </c>
      <c r="N158" s="15">
        <f t="shared" si="854"/>
        <v>2.8254716981132075</v>
      </c>
      <c r="O158" s="15">
        <f t="shared" si="854"/>
        <v>2.8699551569506725</v>
      </c>
      <c r="P158" s="15">
        <f t="shared" si="854"/>
        <v>3.2261904761904763</v>
      </c>
      <c r="Q158" s="15">
        <f t="shared" si="854"/>
        <v>2.9008042895442361</v>
      </c>
      <c r="R158" s="15">
        <f t="shared" ref="R158:V158" si="855">R15/R9</f>
        <v>2.6533333333333333</v>
      </c>
      <c r="S158" s="15">
        <f t="shared" si="855"/>
        <v>2.1132075471698113</v>
      </c>
      <c r="T158" s="15">
        <f t="shared" si="855"/>
        <v>1.8816425120772946</v>
      </c>
      <c r="U158" s="15">
        <f t="shared" si="855"/>
        <v>1.8141923436041083</v>
      </c>
      <c r="V158" s="15">
        <f t="shared" si="855"/>
        <v>1.7250453720508168</v>
      </c>
      <c r="W158" s="15">
        <f t="shared" ref="W158" si="856">W15/W9</f>
        <v>1.4773988897700239</v>
      </c>
      <c r="X158" s="15">
        <f t="shared" ref="X158:Z158" si="857">X15/X9</f>
        <v>1.607095046854083</v>
      </c>
      <c r="Y158" s="15">
        <f t="shared" ref="Y158" si="858">Y15/Y9</f>
        <v>1.7052767052767053</v>
      </c>
      <c r="Z158" s="15">
        <f t="shared" si="857"/>
        <v>1.7688772160210111</v>
      </c>
      <c r="AA158" s="101">
        <f t="shared" si="713"/>
        <v>-1.9033150785291886E-2</v>
      </c>
      <c r="AB158" s="10"/>
      <c r="AC158" s="10">
        <f t="shared" ref="AC158:AL158" si="859">AC15/AC9</f>
        <v>1.7688772160210111</v>
      </c>
      <c r="AD158" s="10">
        <f t="shared" si="859"/>
        <v>1.7688772160210109</v>
      </c>
      <c r="AE158" s="10">
        <f t="shared" si="859"/>
        <v>1.7688772160210109</v>
      </c>
      <c r="AF158" s="10">
        <f t="shared" si="859"/>
        <v>1.7688772160210109</v>
      </c>
      <c r="AG158" s="10">
        <f t="shared" si="859"/>
        <v>1.7688772160210109</v>
      </c>
      <c r="AH158" s="10">
        <f t="shared" si="859"/>
        <v>1.7688772160210111</v>
      </c>
      <c r="AI158" s="10">
        <f t="shared" si="859"/>
        <v>1.7688772160210109</v>
      </c>
      <c r="AJ158" s="10">
        <f t="shared" si="859"/>
        <v>1.7688772160210109</v>
      </c>
      <c r="AK158" s="10">
        <f t="shared" si="859"/>
        <v>1.7688772160210111</v>
      </c>
      <c r="AL158" s="10">
        <f t="shared" si="859"/>
        <v>1.7688772160210111</v>
      </c>
      <c r="AM158" s="114">
        <f t="shared" si="534"/>
        <v>-1.5628596985718723E-2</v>
      </c>
      <c r="AN158" s="21">
        <f t="shared" si="535"/>
        <v>0.01</v>
      </c>
      <c r="AO158" s="122" t="e">
        <f t="shared" si="747"/>
        <v>#DIV/0!</v>
      </c>
    </row>
    <row r="159" spans="2:41" x14ac:dyDescent="0.15">
      <c r="B159" s="10" t="s">
        <v>297</v>
      </c>
      <c r="C159" s="10"/>
      <c r="D159" s="10"/>
      <c r="E159" s="10"/>
      <c r="F159" s="15"/>
      <c r="G159" s="15">
        <f t="shared" ref="G159" si="860">G12/G9</f>
        <v>0.4838709677419355</v>
      </c>
      <c r="H159" s="15">
        <f t="shared" ref="H159:I159" si="861">H12/H9</f>
        <v>0.35416666666666669</v>
      </c>
      <c r="I159" s="15">
        <f t="shared" si="861"/>
        <v>0.25609756097560976</v>
      </c>
      <c r="J159" s="15">
        <f t="shared" ref="J159:Q159" si="862">J12/J9</f>
        <v>0.2988505747126437</v>
      </c>
      <c r="K159" s="15">
        <f t="shared" si="862"/>
        <v>0.43333333333333335</v>
      </c>
      <c r="L159" s="15">
        <f t="shared" si="862"/>
        <v>0.53030303030303028</v>
      </c>
      <c r="M159" s="15">
        <f t="shared" si="862"/>
        <v>0.33155080213903743</v>
      </c>
      <c r="N159" s="15">
        <f t="shared" si="862"/>
        <v>0.18867924528301888</v>
      </c>
      <c r="O159" s="15">
        <f t="shared" si="862"/>
        <v>1.0269058295964126</v>
      </c>
      <c r="P159" s="15">
        <f t="shared" si="862"/>
        <v>1.2232142857142858</v>
      </c>
      <c r="Q159" s="15">
        <f t="shared" si="862"/>
        <v>0.79088471849865949</v>
      </c>
      <c r="R159" s="15">
        <f t="shared" ref="R159:V159" si="863">R12/R9</f>
        <v>0.49333333333333335</v>
      </c>
      <c r="S159" s="15">
        <f t="shared" si="863"/>
        <v>0.23584905660377359</v>
      </c>
      <c r="T159" s="15">
        <f t="shared" si="863"/>
        <v>0.20531400966183574</v>
      </c>
      <c r="U159" s="15">
        <f t="shared" si="863"/>
        <v>0.10364145658263306</v>
      </c>
      <c r="V159" s="15">
        <f t="shared" si="863"/>
        <v>6.5335753176043551E-2</v>
      </c>
      <c r="W159" s="15">
        <f t="shared" ref="W159" si="864">W12/W9</f>
        <v>6.7406819984139568E-2</v>
      </c>
      <c r="X159" s="15">
        <f t="shared" ref="X159:Z159" si="865">X12/X9</f>
        <v>0.11780455153949129</v>
      </c>
      <c r="Y159" s="15">
        <f t="shared" ref="Y159" si="866">Y12/Y9</f>
        <v>9.3307593307593306E-2</v>
      </c>
      <c r="Z159" s="15">
        <f t="shared" si="865"/>
        <v>6.8942875902823372E-2</v>
      </c>
      <c r="AA159" s="101">
        <f t="shared" si="713"/>
        <v>-9.7471253142000114E-2</v>
      </c>
      <c r="AB159" s="109"/>
      <c r="AC159" s="10">
        <f t="shared" ref="AC159:AL159" si="867">AC12/AC9</f>
        <v>6.8942875902823372E-2</v>
      </c>
      <c r="AD159" s="10">
        <f t="shared" si="867"/>
        <v>6.8942875902823372E-2</v>
      </c>
      <c r="AE159" s="10">
        <f t="shared" si="867"/>
        <v>6.8942875902823386E-2</v>
      </c>
      <c r="AF159" s="10">
        <f t="shared" si="867"/>
        <v>6.8942875902823386E-2</v>
      </c>
      <c r="AG159" s="10">
        <f t="shared" si="867"/>
        <v>6.8942875902823372E-2</v>
      </c>
      <c r="AH159" s="10">
        <f t="shared" si="867"/>
        <v>6.8942875902823372E-2</v>
      </c>
      <c r="AI159" s="10">
        <f t="shared" si="867"/>
        <v>6.8942875902823372E-2</v>
      </c>
      <c r="AJ159" s="10">
        <f t="shared" si="867"/>
        <v>6.8942875902823372E-2</v>
      </c>
      <c r="AK159" s="10">
        <f t="shared" si="867"/>
        <v>6.8942875902823372E-2</v>
      </c>
      <c r="AL159" s="10">
        <f t="shared" si="867"/>
        <v>6.8942875902823386E-2</v>
      </c>
      <c r="AM159" s="101">
        <f t="shared" ref="AM159" si="868">((AL159/AC159)^(1/($K$2-$K$1) ))-1</f>
        <v>0</v>
      </c>
      <c r="AN159" s="21">
        <f t="shared" si="535"/>
        <v>0.01</v>
      </c>
      <c r="AO159" s="122" t="e">
        <f t="shared" si="747"/>
        <v>#DIV/0!</v>
      </c>
    </row>
    <row r="160" spans="2:41" x14ac:dyDescent="0.15">
      <c r="B160" s="10" t="s">
        <v>299</v>
      </c>
      <c r="C160" s="10"/>
      <c r="D160" s="10"/>
      <c r="E160" s="10"/>
      <c r="F160" s="15"/>
      <c r="G160" s="15">
        <f t="shared" ref="G160" si="869">G25/360</f>
        <v>0.5</v>
      </c>
      <c r="H160" s="15">
        <f t="shared" ref="H160:I160" si="870">H25/360</f>
        <v>0.68333333333333335</v>
      </c>
      <c r="I160" s="15">
        <f t="shared" si="870"/>
        <v>1.1166666666666667</v>
      </c>
      <c r="J160" s="15">
        <f t="shared" ref="J160:Q160" si="871">J25/360</f>
        <v>1.7222222222222223</v>
      </c>
      <c r="K160" s="15">
        <f t="shared" si="871"/>
        <v>3.2277777777777779</v>
      </c>
      <c r="L160" s="15">
        <f t="shared" si="871"/>
        <v>3.5916666666666668</v>
      </c>
      <c r="M160" s="15">
        <f t="shared" si="871"/>
        <v>4.2305555555555552</v>
      </c>
      <c r="N160" s="15">
        <f t="shared" si="871"/>
        <v>4.9833333333333334</v>
      </c>
      <c r="O160" s="15">
        <f t="shared" si="871"/>
        <v>6.5638888888888891</v>
      </c>
      <c r="P160" s="15">
        <f t="shared" si="871"/>
        <v>8.4166666666666661</v>
      </c>
      <c r="Q160" s="15">
        <f t="shared" si="871"/>
        <v>9.7416666666666671</v>
      </c>
      <c r="R160" s="15">
        <f t="shared" ref="R160:V160" si="872">R25/360</f>
        <v>11.927777777777777</v>
      </c>
      <c r="S160" s="15">
        <f t="shared" si="872"/>
        <v>13.441666666666666</v>
      </c>
      <c r="T160" s="15">
        <f t="shared" si="872"/>
        <v>15.380555555555556</v>
      </c>
      <c r="U160" s="15">
        <f t="shared" si="872"/>
        <v>17.091666666666665</v>
      </c>
      <c r="V160" s="15">
        <f t="shared" si="872"/>
        <v>18.869444444444444</v>
      </c>
      <c r="W160" s="15">
        <f t="shared" ref="W160" si="873">W25/360</f>
        <v>18.997222222222224</v>
      </c>
      <c r="X160" s="15">
        <f t="shared" ref="X160:Z160" si="874">X25/360</f>
        <v>19.861111111111111</v>
      </c>
      <c r="Y160" s="15">
        <f t="shared" ref="Y160" si="875">Y25/360</f>
        <v>24.158333333333335</v>
      </c>
      <c r="Z160" s="15">
        <f t="shared" si="874"/>
        <v>28.855555555555554</v>
      </c>
      <c r="AA160" s="101">
        <f t="shared" si="713"/>
        <v>0.23793506605574022</v>
      </c>
      <c r="AB160" s="109"/>
      <c r="AC160" s="15">
        <f t="shared" ref="AC160:AL160" si="876">AC25/360</f>
        <v>31.741111111111113</v>
      </c>
      <c r="AD160" s="15">
        <f t="shared" si="876"/>
        <v>34.915222222222226</v>
      </c>
      <c r="AE160" s="15">
        <f t="shared" si="876"/>
        <v>38.406744444444456</v>
      </c>
      <c r="AF160" s="15">
        <f t="shared" si="876"/>
        <v>42.247418888888902</v>
      </c>
      <c r="AG160" s="15">
        <f t="shared" si="876"/>
        <v>46.472160777777795</v>
      </c>
      <c r="AH160" s="15">
        <f t="shared" si="876"/>
        <v>51.119376855555572</v>
      </c>
      <c r="AI160" s="15">
        <f t="shared" si="876"/>
        <v>56.231314541111139</v>
      </c>
      <c r="AJ160" s="15">
        <f t="shared" si="876"/>
        <v>61.854445995222257</v>
      </c>
      <c r="AK160" s="15">
        <f t="shared" si="876"/>
        <v>68.039890594744492</v>
      </c>
      <c r="AL160" s="15">
        <f t="shared" si="876"/>
        <v>74.843879654218952</v>
      </c>
      <c r="AM160" s="101">
        <f t="shared" ref="AM160:AM171" si="877">((AL160/AC160)^(1/($K$2-$K$1) ))-1</f>
        <v>4.6181561223695322E-2</v>
      </c>
      <c r="AN160" s="21">
        <f t="shared" si="535"/>
        <v>0.01</v>
      </c>
      <c r="AO160" s="122" t="e">
        <f t="shared" si="747"/>
        <v>#DIV/0!</v>
      </c>
    </row>
    <row r="161" spans="2:41" x14ac:dyDescent="0.15">
      <c r="B161" s="10" t="s">
        <v>298</v>
      </c>
      <c r="C161" s="10"/>
      <c r="D161" s="10"/>
      <c r="E161" s="10"/>
      <c r="F161" s="15"/>
      <c r="G161" s="15">
        <f t="shared" ref="G161" si="878">G27/360</f>
        <v>0.43333333333333335</v>
      </c>
      <c r="H161" s="15">
        <f t="shared" ref="H161:I161" si="879">H27/360</f>
        <v>0.61111111111111116</v>
      </c>
      <c r="I161" s="15">
        <f t="shared" si="879"/>
        <v>0.96666666666666667</v>
      </c>
      <c r="J161" s="15">
        <f t="shared" ref="J161:Q161" si="880">J27/360</f>
        <v>1.4638888888888888</v>
      </c>
      <c r="K161" s="15">
        <f t="shared" si="880"/>
        <v>2.713888888888889</v>
      </c>
      <c r="L161" s="15">
        <f t="shared" si="880"/>
        <v>3.0944444444444446</v>
      </c>
      <c r="M161" s="15">
        <f t="shared" si="880"/>
        <v>3.3777777777777778</v>
      </c>
      <c r="N161" s="15">
        <f t="shared" si="880"/>
        <v>4.25</v>
      </c>
      <c r="O161" s="15">
        <f t="shared" si="880"/>
        <v>5.5444444444444443</v>
      </c>
      <c r="P161" s="15">
        <f t="shared" si="880"/>
        <v>7.0583333333333336</v>
      </c>
      <c r="Q161" s="15">
        <f t="shared" si="880"/>
        <v>8.0694444444444446</v>
      </c>
      <c r="R161" s="15">
        <f t="shared" ref="R161:V161" si="881">R27/360</f>
        <v>9.8611111111111107</v>
      </c>
      <c r="S161" s="15">
        <f t="shared" si="881"/>
        <v>11.027777777777779</v>
      </c>
      <c r="T161" s="15">
        <f t="shared" si="881"/>
        <v>12.883333333333333</v>
      </c>
      <c r="U161" s="15">
        <f t="shared" si="881"/>
        <v>14.452777777777778</v>
      </c>
      <c r="V161" s="15">
        <f t="shared" si="881"/>
        <v>16.216666666666665</v>
      </c>
      <c r="W161" s="15">
        <f t="shared" ref="W161" si="882">W27/360</f>
        <v>15.947222222222223</v>
      </c>
      <c r="X161" s="15">
        <f t="shared" ref="X161:Z161" si="883">X27/360</f>
        <v>16.758333333333333</v>
      </c>
      <c r="Y161" s="15">
        <f t="shared" ref="Y161" si="884">Y27/360</f>
        <v>22.208333333333332</v>
      </c>
      <c r="Z161" s="15">
        <f t="shared" si="883"/>
        <v>25.486111111111111</v>
      </c>
      <c r="AA161" s="101">
        <f t="shared" si="713"/>
        <v>0.23916918169988799</v>
      </c>
      <c r="AB161" s="109"/>
      <c r="AC161" s="15">
        <f t="shared" ref="AC161:AL161" si="885">AC27/360</f>
        <v>28.034722222222221</v>
      </c>
      <c r="AD161" s="15">
        <f t="shared" si="885"/>
        <v>30.838194444444444</v>
      </c>
      <c r="AE161" s="15">
        <f t="shared" si="885"/>
        <v>33.922013888888891</v>
      </c>
      <c r="AF161" s="15">
        <f t="shared" si="885"/>
        <v>37.314215277777784</v>
      </c>
      <c r="AG161" s="15">
        <f t="shared" si="885"/>
        <v>41.04563680555556</v>
      </c>
      <c r="AH161" s="15">
        <f t="shared" si="885"/>
        <v>45.150200486111125</v>
      </c>
      <c r="AI161" s="15">
        <f t="shared" si="885"/>
        <v>49.665220534722238</v>
      </c>
      <c r="AJ161" s="15">
        <f t="shared" si="885"/>
        <v>54.63174258819447</v>
      </c>
      <c r="AK161" s="15">
        <f t="shared" si="885"/>
        <v>60.09491684701392</v>
      </c>
      <c r="AL161" s="15">
        <f t="shared" si="885"/>
        <v>66.104408531715322</v>
      </c>
      <c r="AM161" s="101">
        <f t="shared" si="877"/>
        <v>4.6181561223695322E-2</v>
      </c>
      <c r="AN161" s="21">
        <f t="shared" si="535"/>
        <v>0.01</v>
      </c>
      <c r="AO161" s="122" t="e">
        <f t="shared" si="747"/>
        <v>#DIV/0!</v>
      </c>
    </row>
    <row r="162" spans="2:41" x14ac:dyDescent="0.15">
      <c r="B162" s="10"/>
      <c r="C162" s="10"/>
      <c r="D162" s="10"/>
      <c r="E162" s="10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01" t="e">
        <f t="shared" si="713"/>
        <v>#DIV/0!</v>
      </c>
      <c r="AB162" s="10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09"/>
      <c r="AN162" s="122"/>
      <c r="AO162" s="122"/>
    </row>
    <row r="163" spans="2:41" x14ac:dyDescent="0.15">
      <c r="B163" s="10" t="s">
        <v>308</v>
      </c>
      <c r="C163" s="10"/>
      <c r="D163" s="10"/>
      <c r="E163" s="10"/>
      <c r="F163" s="15"/>
      <c r="G163" s="15">
        <f t="shared" ref="G163" si="886">G10/G7</f>
        <v>8.5714285714285715E-2</v>
      </c>
      <c r="H163" s="15">
        <f t="shared" ref="H163:I163" si="887">H10/H7</f>
        <v>0.1270718232044199</v>
      </c>
      <c r="I163" s="15">
        <f t="shared" si="887"/>
        <v>0.1890547263681592</v>
      </c>
      <c r="J163" s="15">
        <f t="shared" ref="J163:Q163" si="888">J10/J7</f>
        <v>0.58024691358024694</v>
      </c>
      <c r="K163" s="15">
        <f t="shared" si="888"/>
        <v>0.95195195195195192</v>
      </c>
      <c r="L163" s="15">
        <f t="shared" si="888"/>
        <v>0.70443349753694584</v>
      </c>
      <c r="M163" s="15">
        <f t="shared" si="888"/>
        <v>0.16758747697974216</v>
      </c>
      <c r="N163" s="15">
        <f t="shared" si="888"/>
        <v>0.14705882352941177</v>
      </c>
      <c r="O163" s="15">
        <f t="shared" si="888"/>
        <v>0.10206561360874848</v>
      </c>
      <c r="P163" s="15">
        <f t="shared" si="888"/>
        <v>8.2152974504249299E-2</v>
      </c>
      <c r="Q163" s="15">
        <f t="shared" si="888"/>
        <v>6.1674008810572688E-2</v>
      </c>
      <c r="R163" s="15">
        <f t="shared" ref="R163:V163" si="889">R10/R7</f>
        <v>4.3555032371983521E-2</v>
      </c>
      <c r="S163" s="15">
        <f t="shared" si="889"/>
        <v>3.4269395525940029E-2</v>
      </c>
      <c r="T163" s="15">
        <f t="shared" si="889"/>
        <v>2.7767065175472425E-2</v>
      </c>
      <c r="U163" s="15">
        <f t="shared" si="889"/>
        <v>1.9748042219952331E-2</v>
      </c>
      <c r="V163" s="15">
        <f t="shared" si="889"/>
        <v>0</v>
      </c>
      <c r="W163" s="15">
        <f t="shared" ref="W163" si="890">W10/W7</f>
        <v>0</v>
      </c>
      <c r="X163" s="15">
        <f t="shared" ref="X163:Z163" si="891">X10/X7</f>
        <v>0</v>
      </c>
      <c r="Y163" s="15">
        <f t="shared" ref="Y163" si="892">Y10/Y7</f>
        <v>0</v>
      </c>
      <c r="Z163" s="15">
        <f t="shared" si="891"/>
        <v>0</v>
      </c>
      <c r="AA163" s="101">
        <f t="shared" si="713"/>
        <v>-1</v>
      </c>
      <c r="AB163" s="109"/>
      <c r="AC163" s="15">
        <f t="shared" ref="AC163:AL163" si="893">AC10/AC7</f>
        <v>0</v>
      </c>
      <c r="AD163" s="15">
        <f t="shared" si="893"/>
        <v>0</v>
      </c>
      <c r="AE163" s="15">
        <f t="shared" si="893"/>
        <v>0</v>
      </c>
      <c r="AF163" s="15">
        <f t="shared" si="893"/>
        <v>0</v>
      </c>
      <c r="AG163" s="15">
        <f t="shared" si="893"/>
        <v>0</v>
      </c>
      <c r="AH163" s="15">
        <f t="shared" si="893"/>
        <v>0</v>
      </c>
      <c r="AI163" s="15">
        <f t="shared" si="893"/>
        <v>0</v>
      </c>
      <c r="AJ163" s="15">
        <f t="shared" si="893"/>
        <v>0</v>
      </c>
      <c r="AK163" s="15">
        <f t="shared" si="893"/>
        <v>0</v>
      </c>
      <c r="AL163" s="15">
        <f t="shared" si="893"/>
        <v>0</v>
      </c>
      <c r="AM163" s="101" t="e">
        <f t="shared" si="877"/>
        <v>#DIV/0!</v>
      </c>
      <c r="AN163" s="21">
        <f t="shared" si="535"/>
        <v>0.01</v>
      </c>
      <c r="AO163" s="122" t="e">
        <f t="shared" si="747"/>
        <v>#DIV/0!</v>
      </c>
    </row>
    <row r="164" spans="2:41" x14ac:dyDescent="0.15">
      <c r="B164" s="10" t="s">
        <v>300</v>
      </c>
      <c r="C164" s="10"/>
      <c r="D164" s="10"/>
      <c r="E164" s="10"/>
      <c r="F164" s="15"/>
      <c r="G164" s="15">
        <f t="shared" ref="G164" si="894">G10/(G10+G7)</f>
        <v>7.8947368421052627E-2</v>
      </c>
      <c r="H164" s="15">
        <f t="shared" ref="H164:I164" si="895">H10/(H10+H7)</f>
        <v>0.11274509803921569</v>
      </c>
      <c r="I164" s="15">
        <f t="shared" si="895"/>
        <v>0.15899581589958159</v>
      </c>
      <c r="J164" s="15">
        <f t="shared" ref="J164:Q164" si="896">J10/(J10+J7)</f>
        <v>0.3671875</v>
      </c>
      <c r="K164" s="15">
        <f t="shared" si="896"/>
        <v>0.4876923076923077</v>
      </c>
      <c r="L164" s="15">
        <f t="shared" si="896"/>
        <v>0.41329479768786126</v>
      </c>
      <c r="M164" s="15">
        <f t="shared" si="896"/>
        <v>0.14353312302839116</v>
      </c>
      <c r="N164" s="15">
        <f t="shared" si="896"/>
        <v>0.12820512820512819</v>
      </c>
      <c r="O164" s="15">
        <f t="shared" si="896"/>
        <v>9.2613009922822495E-2</v>
      </c>
      <c r="P164" s="15">
        <f t="shared" si="896"/>
        <v>7.5916230366492143E-2</v>
      </c>
      <c r="Q164" s="15">
        <f t="shared" si="896"/>
        <v>5.8091286307053944E-2</v>
      </c>
      <c r="R164" s="15">
        <f t="shared" ref="R164:V164" si="897">R10/(R10+R7)</f>
        <v>4.1737168640721939E-2</v>
      </c>
      <c r="S164" s="15">
        <f t="shared" si="897"/>
        <v>3.3133916244822828E-2</v>
      </c>
      <c r="T164" s="15">
        <f t="shared" si="897"/>
        <v>2.7016885553470919E-2</v>
      </c>
      <c r="U164" s="15">
        <f t="shared" si="897"/>
        <v>1.9365609348914858E-2</v>
      </c>
      <c r="V164" s="15">
        <f t="shared" si="897"/>
        <v>0</v>
      </c>
      <c r="W164" s="15">
        <f t="shared" ref="W164" si="898">W10/(W10+W7)</f>
        <v>0</v>
      </c>
      <c r="X164" s="15">
        <f t="shared" ref="X164:Z164" si="899">X10/(X10+X7)</f>
        <v>0</v>
      </c>
      <c r="Y164" s="15">
        <f t="shared" ref="Y164" si="900">Y10/(Y10+Y7)</f>
        <v>0</v>
      </c>
      <c r="Z164" s="15">
        <f t="shared" si="899"/>
        <v>0</v>
      </c>
      <c r="AA164" s="101">
        <f t="shared" si="713"/>
        <v>-1</v>
      </c>
      <c r="AB164" s="109"/>
      <c r="AC164" s="15">
        <f t="shared" ref="AC164:AL164" si="901">AC10/(AC10+AC7)</f>
        <v>0</v>
      </c>
      <c r="AD164" s="15">
        <f t="shared" si="901"/>
        <v>0</v>
      </c>
      <c r="AE164" s="15">
        <f t="shared" si="901"/>
        <v>0</v>
      </c>
      <c r="AF164" s="15">
        <f t="shared" si="901"/>
        <v>0</v>
      </c>
      <c r="AG164" s="15">
        <f t="shared" si="901"/>
        <v>0</v>
      </c>
      <c r="AH164" s="15">
        <f t="shared" si="901"/>
        <v>0</v>
      </c>
      <c r="AI164" s="15">
        <f t="shared" si="901"/>
        <v>0</v>
      </c>
      <c r="AJ164" s="15">
        <f t="shared" si="901"/>
        <v>0</v>
      </c>
      <c r="AK164" s="15">
        <f t="shared" si="901"/>
        <v>0</v>
      </c>
      <c r="AL164" s="15">
        <f t="shared" si="901"/>
        <v>0</v>
      </c>
      <c r="AM164" s="101" t="e">
        <f t="shared" si="877"/>
        <v>#DIV/0!</v>
      </c>
      <c r="AN164" s="21">
        <f t="shared" si="535"/>
        <v>0.01</v>
      </c>
      <c r="AO164" s="122" t="e">
        <f t="shared" si="747"/>
        <v>#DIV/0!</v>
      </c>
    </row>
    <row r="165" spans="2:41" x14ac:dyDescent="0.15">
      <c r="B165" s="10"/>
      <c r="C165" s="10"/>
      <c r="D165" s="10"/>
      <c r="E165" s="10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01" t="e">
        <f t="shared" si="713"/>
        <v>#DIV/0!</v>
      </c>
      <c r="AB165" s="10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13"/>
      <c r="AN165" s="122"/>
      <c r="AO165" s="122"/>
    </row>
    <row r="166" spans="2:41" x14ac:dyDescent="0.15">
      <c r="B166" s="10" t="s">
        <v>305</v>
      </c>
      <c r="C166" s="10"/>
      <c r="D166" s="10"/>
      <c r="E166" s="10"/>
      <c r="F166" s="15"/>
      <c r="G166" s="15">
        <f t="shared" ref="G166" si="902">G16</f>
        <v>68</v>
      </c>
      <c r="H166" s="15">
        <f t="shared" ref="H166:I166" si="903">H16</f>
        <v>84</v>
      </c>
      <c r="I166" s="15">
        <f t="shared" si="903"/>
        <v>98</v>
      </c>
      <c r="J166" s="15">
        <f t="shared" ref="J166:Q166" si="904">J16</f>
        <v>205</v>
      </c>
      <c r="K166" s="15">
        <f t="shared" si="904"/>
        <v>378</v>
      </c>
      <c r="L166" s="15">
        <f t="shared" si="904"/>
        <v>323</v>
      </c>
      <c r="M166" s="15">
        <f t="shared" si="904"/>
        <v>290</v>
      </c>
      <c r="N166" s="15">
        <f t="shared" si="904"/>
        <v>368</v>
      </c>
      <c r="O166" s="15">
        <f t="shared" si="904"/>
        <v>504</v>
      </c>
      <c r="P166" s="15">
        <f t="shared" si="904"/>
        <v>669</v>
      </c>
      <c r="Q166" s="15">
        <f t="shared" si="904"/>
        <v>663</v>
      </c>
      <c r="R166" s="15">
        <f t="shared" ref="R166:V166" si="905">R16</f>
        <v>727</v>
      </c>
      <c r="S166" s="15">
        <f t="shared" si="905"/>
        <v>721</v>
      </c>
      <c r="T166" s="15">
        <f t="shared" si="905"/>
        <v>783</v>
      </c>
      <c r="U166" s="15">
        <f t="shared" si="905"/>
        <v>1031</v>
      </c>
      <c r="V166" s="15">
        <f t="shared" si="905"/>
        <v>1234</v>
      </c>
      <c r="W166" s="15">
        <f t="shared" ref="W166" si="906">W16</f>
        <v>877</v>
      </c>
      <c r="X166" s="15">
        <f t="shared" ref="X166:Z166" si="907">X16</f>
        <v>1099</v>
      </c>
      <c r="Y166" s="15">
        <f t="shared" ref="Y166" si="908">Y16</f>
        <v>1176</v>
      </c>
      <c r="Z166" s="15">
        <f t="shared" si="907"/>
        <v>1684</v>
      </c>
      <c r="AA166" s="101">
        <f t="shared" si="713"/>
        <v>0.18402164227529205</v>
      </c>
      <c r="AB166" s="109"/>
      <c r="AC166" s="15">
        <f t="shared" ref="AC166:AL166" si="909">AC16</f>
        <v>1852.4</v>
      </c>
      <c r="AD166" s="15">
        <f t="shared" si="909"/>
        <v>2037.6400000000003</v>
      </c>
      <c r="AE166" s="15">
        <f t="shared" si="909"/>
        <v>2241.4040000000005</v>
      </c>
      <c r="AF166" s="15">
        <f t="shared" si="909"/>
        <v>2465.5444000000007</v>
      </c>
      <c r="AG166" s="15">
        <f t="shared" si="909"/>
        <v>2712.098840000001</v>
      </c>
      <c r="AH166" s="15">
        <f t="shared" si="909"/>
        <v>2983.3087240000013</v>
      </c>
      <c r="AI166" s="15">
        <f t="shared" si="909"/>
        <v>3281.6395964000017</v>
      </c>
      <c r="AJ166" s="15">
        <f t="shared" si="909"/>
        <v>3609.8035560400021</v>
      </c>
      <c r="AK166" s="15">
        <f t="shared" si="909"/>
        <v>3970.7839116440027</v>
      </c>
      <c r="AL166" s="15">
        <f t="shared" si="909"/>
        <v>4367.862302808403</v>
      </c>
      <c r="AM166" s="101">
        <f t="shared" si="877"/>
        <v>4.6181561223695322E-2</v>
      </c>
      <c r="AN166" s="21">
        <f t="shared" si="535"/>
        <v>0.01</v>
      </c>
      <c r="AO166" s="122" t="e">
        <f t="shared" si="747"/>
        <v>#DIV/0!</v>
      </c>
    </row>
    <row r="167" spans="2:41" x14ac:dyDescent="0.15">
      <c r="B167" s="10" t="s">
        <v>306</v>
      </c>
      <c r="C167" s="10"/>
      <c r="D167" s="10"/>
      <c r="E167" s="10"/>
      <c r="F167" s="102"/>
      <c r="G167" s="102">
        <f t="shared" ref="G167" si="910">G166*365/G25</f>
        <v>137.88888888888889</v>
      </c>
      <c r="H167" s="102">
        <f t="shared" ref="H167:I167" si="911">H166*365/H25</f>
        <v>124.63414634146342</v>
      </c>
      <c r="I167" s="102">
        <f t="shared" si="911"/>
        <v>88.980099502487562</v>
      </c>
      <c r="J167" s="102">
        <f t="shared" ref="J167:Q167" si="912">J166*365/J25</f>
        <v>120.68548387096774</v>
      </c>
      <c r="K167" s="102">
        <f t="shared" si="912"/>
        <v>118.73493975903614</v>
      </c>
      <c r="L167" s="102">
        <f t="shared" si="912"/>
        <v>91.17942768754834</v>
      </c>
      <c r="M167" s="102">
        <f t="shared" si="912"/>
        <v>69.500984898227188</v>
      </c>
      <c r="N167" s="102">
        <f t="shared" si="912"/>
        <v>74.871794871794876</v>
      </c>
      <c r="O167" s="102">
        <f t="shared" si="912"/>
        <v>77.850190435886589</v>
      </c>
      <c r="P167" s="102">
        <f t="shared" si="912"/>
        <v>80.589108910891085</v>
      </c>
      <c r="Q167" s="102">
        <f t="shared" si="912"/>
        <v>69.003421727972622</v>
      </c>
      <c r="R167" s="102">
        <f t="shared" ref="R167:V167" si="913">R166*365/R25</f>
        <v>61.79669306008384</v>
      </c>
      <c r="S167" s="102">
        <f t="shared" si="913"/>
        <v>54.384170283116347</v>
      </c>
      <c r="T167" s="102">
        <f t="shared" si="913"/>
        <v>51.615495755824455</v>
      </c>
      <c r="U167" s="102">
        <f t="shared" si="913"/>
        <v>61.159596944579881</v>
      </c>
      <c r="V167" s="102">
        <f t="shared" si="913"/>
        <v>66.30501987339909</v>
      </c>
      <c r="W167" s="102">
        <f t="shared" ref="W167" si="914">W166*365/W25</f>
        <v>46.805819564263778</v>
      </c>
      <c r="X167" s="102">
        <f t="shared" ref="X167:Z167" si="915">X166*365/X25</f>
        <v>56.102797202797206</v>
      </c>
      <c r="Y167" s="102">
        <f t="shared" ref="Y167" si="916">Y166*365/Y25</f>
        <v>49.354949982752672</v>
      </c>
      <c r="Z167" s="102">
        <f t="shared" si="915"/>
        <v>59.170196380438966</v>
      </c>
      <c r="AA167" s="101">
        <f t="shared" si="713"/>
        <v>-4.3551091861566693E-2</v>
      </c>
      <c r="AB167" s="109"/>
      <c r="AC167" s="102">
        <f t="shared" ref="AC167:AL167" si="917">AC166*365/AC25</f>
        <v>59.170196380438959</v>
      </c>
      <c r="AD167" s="102">
        <f t="shared" si="917"/>
        <v>59.170196380438966</v>
      </c>
      <c r="AE167" s="102">
        <f t="shared" si="917"/>
        <v>59.170196380438966</v>
      </c>
      <c r="AF167" s="102">
        <f t="shared" si="917"/>
        <v>59.170196380438966</v>
      </c>
      <c r="AG167" s="102">
        <f t="shared" si="917"/>
        <v>59.170196380438973</v>
      </c>
      <c r="AH167" s="102">
        <f t="shared" si="917"/>
        <v>59.170196380438973</v>
      </c>
      <c r="AI167" s="102">
        <f t="shared" si="917"/>
        <v>59.170196380438966</v>
      </c>
      <c r="AJ167" s="102">
        <f t="shared" si="917"/>
        <v>59.170196380438966</v>
      </c>
      <c r="AK167" s="102">
        <f t="shared" si="917"/>
        <v>59.170196380438966</v>
      </c>
      <c r="AL167" s="102">
        <f t="shared" si="917"/>
        <v>59.170196380438959</v>
      </c>
      <c r="AM167" s="101">
        <f t="shared" si="877"/>
        <v>0</v>
      </c>
      <c r="AN167" s="21">
        <f t="shared" si="535"/>
        <v>0.01</v>
      </c>
      <c r="AO167" s="122" t="e">
        <f t="shared" si="747"/>
        <v>#DIV/0!</v>
      </c>
    </row>
    <row r="168" spans="2:41" x14ac:dyDescent="0.15">
      <c r="B168" s="10" t="s">
        <v>309</v>
      </c>
      <c r="C168" s="10"/>
      <c r="D168" s="10"/>
      <c r="E168" s="10"/>
      <c r="F168" s="110"/>
      <c r="G168" s="110">
        <f t="shared" ref="G168" si="918">G102/G29</f>
        <v>108.16125860373648</v>
      </c>
      <c r="H168" s="110">
        <f t="shared" ref="H168:I168" si="919">H102/H29</f>
        <v>151.70670037926675</v>
      </c>
      <c r="I168" s="110">
        <f t="shared" si="919"/>
        <v>46.902654867256643</v>
      </c>
      <c r="J168" s="110">
        <f t="shared" ref="J168:Q168" si="920">J102/J29</f>
        <v>16.460176991150444</v>
      </c>
      <c r="K168" s="110">
        <f t="shared" si="920"/>
        <v>2.1323960164030464</v>
      </c>
      <c r="L168" s="110">
        <f t="shared" si="920"/>
        <v>1.1598081855693099</v>
      </c>
      <c r="M168" s="110">
        <f t="shared" si="920"/>
        <v>4.2886416861826699</v>
      </c>
      <c r="N168" s="110">
        <f t="shared" si="920"/>
        <v>10.070257611241219</v>
      </c>
      <c r="O168" s="110">
        <f t="shared" si="920"/>
        <v>20.843091334894616</v>
      </c>
      <c r="P168" s="110">
        <f t="shared" si="920"/>
        <v>26.463700234192039</v>
      </c>
      <c r="Q168" s="110">
        <f t="shared" si="920"/>
        <v>45.537340619307841</v>
      </c>
      <c r="R168" s="110">
        <f t="shared" ref="R168:V168" si="921">R102/R29</f>
        <v>172.96057767369246</v>
      </c>
      <c r="S168" s="110">
        <f t="shared" si="921"/>
        <v>97.619844190603644</v>
      </c>
      <c r="T168" s="110">
        <f t="shared" si="921"/>
        <v>9.94145199063232</v>
      </c>
      <c r="U168" s="110">
        <f t="shared" si="921"/>
        <v>10.339578454332553</v>
      </c>
      <c r="V168" s="110">
        <f t="shared" si="921"/>
        <v>7.9876212780194047</v>
      </c>
      <c r="W168" s="110">
        <f t="shared" ref="W168" si="922">W102/W29</f>
        <v>5.3620218579234979</v>
      </c>
      <c r="X168" s="110">
        <f t="shared" ref="X168:Z168" si="923">X102/X29</f>
        <v>5.9452842239727488</v>
      </c>
      <c r="Y168" s="110">
        <f t="shared" ref="Y168" si="924">Y102/Y29</f>
        <v>3.9929742388758789</v>
      </c>
      <c r="Z168" s="110">
        <f t="shared" si="923"/>
        <v>3.331913987651693</v>
      </c>
      <c r="AA168" s="101">
        <f t="shared" si="713"/>
        <v>-0.16736666897803021</v>
      </c>
      <c r="AB168" s="109"/>
      <c r="AC168" s="110">
        <f t="shared" ref="AC168:AL168" si="925">AC102/AC29</f>
        <v>3.2665823408349928</v>
      </c>
      <c r="AD168" s="110">
        <f t="shared" si="925"/>
        <v>3.2025317067009733</v>
      </c>
      <c r="AE168" s="110">
        <f t="shared" si="925"/>
        <v>3.1397369673538957</v>
      </c>
      <c r="AF168" s="110">
        <f t="shared" si="925"/>
        <v>3.0781734974057806</v>
      </c>
      <c r="AG168" s="110">
        <f t="shared" si="925"/>
        <v>3.0178171543193928</v>
      </c>
      <c r="AH168" s="110">
        <f t="shared" si="925"/>
        <v>2.9586442689405814</v>
      </c>
      <c r="AI168" s="110">
        <f t="shared" si="925"/>
        <v>2.9006316362162559</v>
      </c>
      <c r="AJ168" s="110">
        <f t="shared" si="925"/>
        <v>2.8437565060943681</v>
      </c>
      <c r="AK168" s="110">
        <f t="shared" si="925"/>
        <v>2.7879965746023223</v>
      </c>
      <c r="AL168" s="110">
        <f t="shared" si="925"/>
        <v>2.7333299751003159</v>
      </c>
      <c r="AM168" s="101">
        <f t="shared" si="877"/>
        <v>-9.3363351127239147E-3</v>
      </c>
      <c r="AN168" s="21">
        <f t="shared" si="535"/>
        <v>0.01</v>
      </c>
      <c r="AO168" s="122" t="e">
        <f t="shared" si="747"/>
        <v>#DIV/0!</v>
      </c>
    </row>
    <row r="169" spans="2:41" x14ac:dyDescent="0.15"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1" t="e">
        <f t="shared" si="713"/>
        <v>#DIV/0!</v>
      </c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13"/>
      <c r="AN169" s="122"/>
      <c r="AO169" s="122"/>
    </row>
    <row r="170" spans="2:41" x14ac:dyDescent="0.15">
      <c r="B170" s="10" t="s">
        <v>316</v>
      </c>
      <c r="C170" s="10"/>
      <c r="D170" s="10"/>
      <c r="E170" s="10"/>
      <c r="F170" s="151"/>
      <c r="G170" s="151">
        <f t="shared" ref="G170" si="926">G25/G14</f>
        <v>5.806451612903226</v>
      </c>
      <c r="H170" s="151">
        <f t="shared" ref="H170:I170" si="927">H25/H14</f>
        <v>5.5909090909090908</v>
      </c>
      <c r="I170" s="151">
        <f t="shared" si="927"/>
        <v>7.0526315789473681</v>
      </c>
      <c r="J170" s="151">
        <f t="shared" ref="J170:Q170" si="928">J25/J14</f>
        <v>6.7391304347826084</v>
      </c>
      <c r="K170" s="151">
        <f t="shared" si="928"/>
        <v>5.9896907216494846</v>
      </c>
      <c r="L170" s="151">
        <f t="shared" si="928"/>
        <v>8.0310559006211175</v>
      </c>
      <c r="M170" s="151">
        <f t="shared" si="928"/>
        <v>6.9862385321100922</v>
      </c>
      <c r="N170" s="151">
        <f t="shared" si="928"/>
        <v>6.2947368421052632</v>
      </c>
      <c r="O170" s="151">
        <f t="shared" si="928"/>
        <v>8.8834586466165408</v>
      </c>
      <c r="P170" s="151">
        <f t="shared" si="928"/>
        <v>10.341296928327646</v>
      </c>
      <c r="Q170" s="151">
        <f t="shared" si="928"/>
        <v>10.468656716417911</v>
      </c>
      <c r="R170" s="151">
        <f t="shared" ref="R170:V170" si="929">R25/R14</f>
        <v>10.272727272727273</v>
      </c>
      <c r="S170" s="151">
        <f t="shared" si="929"/>
        <v>8.0515806988352754</v>
      </c>
      <c r="T170" s="151">
        <f t="shared" si="929"/>
        <v>9.2129783693843592</v>
      </c>
      <c r="U170" s="151">
        <f t="shared" si="929"/>
        <v>5.8655862726406101</v>
      </c>
      <c r="V170" s="151">
        <f t="shared" si="929"/>
        <v>6.4024505183788882</v>
      </c>
      <c r="W170" s="151">
        <f t="shared" ref="W170" si="930">W25/W14</f>
        <v>5.9833770778652671</v>
      </c>
      <c r="X170" s="151">
        <f t="shared" ref="X170:Z170" si="931">X25/X14</f>
        <v>4.9721835883171073</v>
      </c>
      <c r="Y170" s="151">
        <f t="shared" ref="Y170" si="932">Y25/Y14</f>
        <v>5.4492481203007515</v>
      </c>
      <c r="Z170" s="151">
        <f t="shared" si="931"/>
        <v>6.103407755581669</v>
      </c>
      <c r="AA170" s="101">
        <f t="shared" si="713"/>
        <v>2.6285864409030246E-3</v>
      </c>
      <c r="AB170" s="109"/>
      <c r="AC170" s="10">
        <f t="shared" ref="AC170:AL170" si="933">AC25/AC14</f>
        <v>6.103407755581669</v>
      </c>
      <c r="AD170" s="10">
        <f t="shared" si="933"/>
        <v>6.103407755581669</v>
      </c>
      <c r="AE170" s="10">
        <f t="shared" si="933"/>
        <v>6.1034077555816699</v>
      </c>
      <c r="AF170" s="10">
        <f t="shared" si="933"/>
        <v>6.1034077555816708</v>
      </c>
      <c r="AG170" s="10">
        <f t="shared" si="933"/>
        <v>6.1034077555816708</v>
      </c>
      <c r="AH170" s="10">
        <f t="shared" si="933"/>
        <v>6.1034077555816699</v>
      </c>
      <c r="AI170" s="10">
        <f t="shared" si="933"/>
        <v>6.1034077555816708</v>
      </c>
      <c r="AJ170" s="10">
        <f t="shared" si="933"/>
        <v>6.1034077555816708</v>
      </c>
      <c r="AK170" s="10">
        <f t="shared" si="933"/>
        <v>6.1034077555816699</v>
      </c>
      <c r="AL170" s="10">
        <f t="shared" si="933"/>
        <v>6.1034077555816708</v>
      </c>
      <c r="AM170" s="101">
        <f t="shared" si="877"/>
        <v>0</v>
      </c>
      <c r="AN170" s="21">
        <f t="shared" si="535"/>
        <v>0.01</v>
      </c>
      <c r="AO170" s="122" t="e">
        <f t="shared" si="747"/>
        <v>#DIV/0!</v>
      </c>
    </row>
    <row r="171" spans="2:41" x14ac:dyDescent="0.15">
      <c r="B171" s="10" t="s">
        <v>317</v>
      </c>
      <c r="C171" s="10"/>
      <c r="D171" s="10"/>
      <c r="E171" s="10"/>
      <c r="F171" s="151"/>
      <c r="G171" s="151">
        <f t="shared" ref="G171" si="934">G27/G14</f>
        <v>5.032258064516129</v>
      </c>
      <c r="H171" s="151">
        <f t="shared" ref="H171:I171" si="935">H27/H14</f>
        <v>5</v>
      </c>
      <c r="I171" s="151">
        <f t="shared" si="935"/>
        <v>6.1052631578947372</v>
      </c>
      <c r="J171" s="151">
        <f t="shared" ref="J171:Q171" si="936">J27/J14</f>
        <v>5.7282608695652177</v>
      </c>
      <c r="K171" s="151">
        <f t="shared" si="936"/>
        <v>5.036082474226804</v>
      </c>
      <c r="L171" s="151">
        <f t="shared" si="936"/>
        <v>6.9192546583850936</v>
      </c>
      <c r="M171" s="151">
        <f t="shared" si="936"/>
        <v>5.5779816513761471</v>
      </c>
      <c r="N171" s="151">
        <f t="shared" si="936"/>
        <v>5.3684210526315788</v>
      </c>
      <c r="O171" s="151">
        <f t="shared" si="936"/>
        <v>7.503759398496241</v>
      </c>
      <c r="P171" s="151">
        <f t="shared" si="936"/>
        <v>8.6723549488054612</v>
      </c>
      <c r="Q171" s="151">
        <f t="shared" si="936"/>
        <v>8.6716417910447756</v>
      </c>
      <c r="R171" s="151">
        <f t="shared" ref="R171:V171" si="937">R27/R14</f>
        <v>8.4928229665071768</v>
      </c>
      <c r="S171" s="151">
        <f t="shared" si="937"/>
        <v>6.6056572379367724</v>
      </c>
      <c r="T171" s="151">
        <f t="shared" si="937"/>
        <v>7.7171381031613979</v>
      </c>
      <c r="U171" s="151">
        <f t="shared" si="937"/>
        <v>4.9599618684461388</v>
      </c>
      <c r="V171" s="151">
        <f t="shared" si="937"/>
        <v>5.5023562676720079</v>
      </c>
      <c r="W171" s="151">
        <f t="shared" ref="W171" si="938">W27/W14</f>
        <v>5.0227471566054245</v>
      </c>
      <c r="X171" s="151">
        <f t="shared" ref="X171:Z171" si="939">X27/X14</f>
        <v>4.1954102920723226</v>
      </c>
      <c r="Y171" s="151">
        <f t="shared" ref="Y171" si="940">Y27/Y14</f>
        <v>5.0093984962406015</v>
      </c>
      <c r="Z171" s="151">
        <f t="shared" si="939"/>
        <v>5.3907168037602817</v>
      </c>
      <c r="AA171" s="101">
        <f t="shared" si="713"/>
        <v>3.6281216004803163E-3</v>
      </c>
      <c r="AB171" s="109"/>
      <c r="AC171" s="10">
        <f t="shared" ref="AC171:AL171" si="941">AC27/AC14</f>
        <v>5.3907168037602817</v>
      </c>
      <c r="AD171" s="10">
        <f t="shared" si="941"/>
        <v>5.3907168037602817</v>
      </c>
      <c r="AE171" s="10">
        <f t="shared" si="941"/>
        <v>5.3907168037602826</v>
      </c>
      <c r="AF171" s="10">
        <f t="shared" si="941"/>
        <v>5.3907168037602826</v>
      </c>
      <c r="AG171" s="10">
        <f t="shared" si="941"/>
        <v>5.3907168037602826</v>
      </c>
      <c r="AH171" s="10">
        <f t="shared" si="941"/>
        <v>5.3907168037602826</v>
      </c>
      <c r="AI171" s="10">
        <f t="shared" si="941"/>
        <v>5.3907168037602826</v>
      </c>
      <c r="AJ171" s="10">
        <f t="shared" si="941"/>
        <v>5.3907168037602826</v>
      </c>
      <c r="AK171" s="10">
        <f t="shared" si="941"/>
        <v>5.3907168037602826</v>
      </c>
      <c r="AL171" s="10">
        <f t="shared" si="941"/>
        <v>5.3907168037602826</v>
      </c>
      <c r="AM171" s="101">
        <f t="shared" si="877"/>
        <v>0</v>
      </c>
      <c r="AN171" s="21">
        <f t="shared" si="535"/>
        <v>0.01</v>
      </c>
      <c r="AO171" s="122" t="e">
        <f t="shared" si="747"/>
        <v>#DIV/0!</v>
      </c>
    </row>
    <row r="172" spans="2:41" x14ac:dyDescent="0.15"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67" t="s">
        <v>507</v>
      </c>
      <c r="U172" s="167"/>
      <c r="V172" s="10"/>
      <c r="W172" s="10"/>
      <c r="X172" s="10"/>
      <c r="Y172" s="10"/>
      <c r="Z172" s="10"/>
      <c r="AA172" s="109"/>
      <c r="AB172" s="109"/>
      <c r="AC172" s="102"/>
      <c r="AD172" s="102"/>
      <c r="AE172" s="102"/>
      <c r="AF172" s="102"/>
      <c r="AG172" s="102"/>
      <c r="AH172" s="102"/>
      <c r="AI172" s="102"/>
      <c r="AJ172" s="102"/>
      <c r="AK172" s="102"/>
      <c r="AL172" s="102"/>
      <c r="AM172" s="113"/>
      <c r="AN172" s="10"/>
      <c r="AO172" s="10"/>
    </row>
    <row r="173" spans="2:41" x14ac:dyDescent="0.15">
      <c r="B173" s="93" t="s">
        <v>201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3" t="s">
        <v>506</v>
      </c>
      <c r="U173" s="13" t="s">
        <v>409</v>
      </c>
      <c r="V173" s="13" t="s">
        <v>409</v>
      </c>
      <c r="W173" s="13"/>
      <c r="X173" s="13"/>
      <c r="Y173" s="13"/>
      <c r="Z173" s="13"/>
      <c r="AA173" s="13" t="s">
        <v>500</v>
      </c>
      <c r="AB173" s="10"/>
      <c r="AC173" s="105" t="s">
        <v>54</v>
      </c>
      <c r="AD173" s="10"/>
      <c r="AE173" s="10"/>
      <c r="AF173" s="10"/>
      <c r="AG173" s="10"/>
      <c r="AH173" s="10"/>
      <c r="AI173" s="10"/>
      <c r="AJ173" s="10"/>
      <c r="AK173" s="10"/>
      <c r="AL173" s="10"/>
      <c r="AM173" s="113"/>
      <c r="AN173" s="10"/>
      <c r="AO173" s="10"/>
    </row>
    <row r="174" spans="2:41" x14ac:dyDescent="0.15">
      <c r="B174" s="13" t="s">
        <v>230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10">
        <f>AVERAGE(G106:Z106)</f>
        <v>18.398711943793913</v>
      </c>
      <c r="U174" s="110">
        <f>AVERAGE(S106:Z106)</f>
        <v>32.457552693208434</v>
      </c>
      <c r="V174" s="110">
        <f>AVERAGE(S76:Z76)</f>
        <v>32.457552693208434</v>
      </c>
      <c r="W174" s="110"/>
      <c r="X174" s="110"/>
      <c r="Y174" s="110"/>
      <c r="Z174" s="110"/>
      <c r="AA174" s="110">
        <f>AVERAGE(M76:Z76)</f>
        <v>27.429742388758786</v>
      </c>
      <c r="AB174" s="10"/>
      <c r="AC174" s="165" t="s">
        <v>371</v>
      </c>
      <c r="AD174" s="166" t="s">
        <v>372</v>
      </c>
      <c r="AE174" s="10"/>
      <c r="AF174" s="10"/>
      <c r="AG174" s="10"/>
      <c r="AH174" s="10"/>
      <c r="AI174" s="10"/>
      <c r="AJ174" s="10"/>
      <c r="AK174" s="10"/>
      <c r="AL174" s="10"/>
      <c r="AM174" s="113"/>
      <c r="AN174" s="10"/>
      <c r="AO174" s="10"/>
    </row>
    <row r="175" spans="2:41" x14ac:dyDescent="0.15">
      <c r="B175" s="10" t="s">
        <v>13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16" t="e">
        <f>AC175+AD175</f>
        <v>#DIV/0!</v>
      </c>
      <c r="AC175" s="110">
        <f>PV($C$1, ($AL$3-$AC$3), 0, -AL76)</f>
        <v>14.439703045271703</v>
      </c>
      <c r="AD175" s="110" t="e">
        <f>PV($C$1, ($AL$3-$AC$3), 0, -AO76)</f>
        <v>#DIV/0!</v>
      </c>
      <c r="AE175" s="10"/>
      <c r="AF175" s="10"/>
      <c r="AG175" s="10"/>
      <c r="AH175" s="10"/>
      <c r="AI175" s="10"/>
      <c r="AJ175" s="10"/>
      <c r="AK175" s="10"/>
      <c r="AL175" s="10"/>
      <c r="AM175" s="113"/>
      <c r="AN175" s="10"/>
      <c r="AO175" s="10"/>
    </row>
    <row r="176" spans="2:41" x14ac:dyDescent="0.15">
      <c r="B176" s="10" t="s">
        <v>223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16" t="e">
        <f t="shared" ref="AB176:AB194" si="942">AC176+AD176</f>
        <v>#DIV/0!</v>
      </c>
      <c r="AC176" s="110">
        <f>PV($C$1, ($AL$3-$AC$3), 0, -AL78)</f>
        <v>110.25358276209623</v>
      </c>
      <c r="AD176" s="110" t="e">
        <f>PV($C$1, ($AL$3-$AC$3), 0, -AO78)</f>
        <v>#DIV/0!</v>
      </c>
      <c r="AE176" s="10"/>
      <c r="AF176" s="10"/>
      <c r="AG176" s="10"/>
      <c r="AH176" s="10"/>
      <c r="AI176" s="10"/>
      <c r="AJ176" s="10"/>
      <c r="AK176" s="10"/>
      <c r="AL176" s="10"/>
      <c r="AM176" s="113"/>
      <c r="AN176" s="10"/>
      <c r="AO176" s="10"/>
    </row>
    <row r="177" spans="2:41" x14ac:dyDescent="0.15">
      <c r="B177" s="10" t="s">
        <v>224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16" t="e">
        <f t="shared" si="942"/>
        <v>#DIV/0!</v>
      </c>
      <c r="AC177" s="110">
        <f>PV($C$1, ($AL$3-$AC$3), 0, -AL79)</f>
        <v>109.89987245695264</v>
      </c>
      <c r="AD177" s="110" t="e">
        <f>PV($C$1, ($AL$3-$AC$3), 0, -AO79)</f>
        <v>#DIV/0!</v>
      </c>
      <c r="AE177" s="10"/>
      <c r="AF177" s="10"/>
      <c r="AG177" s="10"/>
      <c r="AH177" s="10"/>
      <c r="AI177" s="10"/>
      <c r="AJ177" s="10"/>
      <c r="AK177" s="10"/>
      <c r="AL177" s="10"/>
      <c r="AM177" s="113"/>
      <c r="AN177" s="10"/>
      <c r="AO177" s="10"/>
    </row>
    <row r="178" spans="2:41" x14ac:dyDescent="0.15">
      <c r="B178" s="10" t="s">
        <v>225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16" t="e">
        <f t="shared" si="942"/>
        <v>#DIV/0!</v>
      </c>
      <c r="AC178" s="110">
        <f>PV($C$1, ($AL$3-$AC$3), 0, -AL80)</f>
        <v>0</v>
      </c>
      <c r="AD178" s="110" t="e">
        <f>PV($C$1, ($AL$3-$AC$3), 0, -AO80)</f>
        <v>#DIV/0!</v>
      </c>
      <c r="AE178" s="10"/>
      <c r="AF178" s="10"/>
      <c r="AG178" s="10"/>
      <c r="AH178" s="10"/>
      <c r="AI178" s="10"/>
      <c r="AJ178" s="10"/>
      <c r="AK178" s="10"/>
      <c r="AL178" s="10"/>
      <c r="AM178" s="113"/>
      <c r="AN178" s="10"/>
      <c r="AO178" s="10"/>
    </row>
    <row r="179" spans="2:41" x14ac:dyDescent="0.15">
      <c r="B179" s="10" t="s">
        <v>226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16" t="e">
        <f t="shared" si="942"/>
        <v>#DIV/0!</v>
      </c>
      <c r="AC179" s="110">
        <f>PV($C$1, ($AL$3-$AC$3), 0, -AL86)</f>
        <v>2.1846812964748259</v>
      </c>
      <c r="AD179" s="110" t="e">
        <f>PV($C$1, ($AL$3-$AC$3), 0, -AO86)</f>
        <v>#DIV/0!</v>
      </c>
      <c r="AE179" s="10"/>
      <c r="AF179" s="10"/>
      <c r="AG179" s="10"/>
      <c r="AH179" s="10"/>
      <c r="AI179" s="10"/>
      <c r="AJ179" s="10"/>
      <c r="AK179" s="10"/>
      <c r="AL179" s="10"/>
      <c r="AM179" s="113"/>
      <c r="AN179" s="10"/>
      <c r="AO179" s="10"/>
    </row>
    <row r="180" spans="2:41" x14ac:dyDescent="0.15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16"/>
      <c r="AC180" s="1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13"/>
      <c r="AN180" s="10"/>
      <c r="AO180" s="10"/>
    </row>
    <row r="181" spans="2:41" x14ac:dyDescent="0.15">
      <c r="B181" s="10" t="s">
        <v>221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16" t="e">
        <f t="shared" si="942"/>
        <v>#DIV/0!</v>
      </c>
      <c r="AC181" s="110">
        <f>PV($C$1, ($AL$3-$AC$3), 0, -AL82)</f>
        <v>110.25358276209623</v>
      </c>
      <c r="AD181" s="110" t="e">
        <f>PV($C$1, ($AL$3-$AC$3), 0, -$AO$82)</f>
        <v>#DIV/0!</v>
      </c>
      <c r="AE181" s="10"/>
      <c r="AF181" s="10"/>
      <c r="AG181" s="10"/>
      <c r="AH181" s="10"/>
      <c r="AI181" s="10"/>
      <c r="AJ181" s="10"/>
      <c r="AK181" s="10"/>
      <c r="AL181" s="10"/>
      <c r="AM181" s="113"/>
      <c r="AN181" s="10"/>
      <c r="AO181" s="10"/>
    </row>
    <row r="182" spans="2:41" x14ac:dyDescent="0.15">
      <c r="B182" s="10" t="s">
        <v>222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16" t="e">
        <f t="shared" si="942"/>
        <v>#DIV/0!</v>
      </c>
      <c r="AC182" s="110">
        <f>PV($C$1, ($AL$3-$AC$3), 0, -AL83)</f>
        <v>78.565300718942325</v>
      </c>
      <c r="AD182" s="110" t="e">
        <f>PV($C$1, ($AL$3-$AC$3), 0, -$AO$83)</f>
        <v>#DIV/0!</v>
      </c>
      <c r="AE182" s="10"/>
      <c r="AF182" s="10"/>
      <c r="AG182" s="10"/>
      <c r="AH182" s="10"/>
      <c r="AI182" s="10"/>
      <c r="AJ182" s="10"/>
      <c r="AK182" s="10"/>
      <c r="AL182" s="10"/>
      <c r="AM182" s="113"/>
      <c r="AN182" s="10"/>
      <c r="AO182" s="10"/>
    </row>
    <row r="183" spans="2:41" x14ac:dyDescent="0.15">
      <c r="B183" s="10" t="s">
        <v>227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16" t="e">
        <f t="shared" si="942"/>
        <v>#DIV/0!</v>
      </c>
      <c r="AC183" s="110">
        <f>PV($C$1, ($AL$3-$AC$3), 0, -AL84)</f>
        <v>134.61798083992497</v>
      </c>
      <c r="AD183" s="110" t="e">
        <f>PV($C$1, ($AL$3-$AC$3), 0, -$AO$84)</f>
        <v>#DIV/0!</v>
      </c>
      <c r="AE183" s="10"/>
      <c r="AF183" s="10"/>
      <c r="AG183" s="10"/>
      <c r="AH183" s="10"/>
      <c r="AI183" s="10"/>
      <c r="AJ183" s="10"/>
      <c r="AK183" s="10"/>
      <c r="AL183" s="10"/>
      <c r="AM183" s="113"/>
      <c r="AN183" s="10"/>
      <c r="AO183" s="10"/>
    </row>
    <row r="184" spans="2:41" x14ac:dyDescent="0.15"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16"/>
      <c r="AC184" s="1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13"/>
      <c r="AN184" s="10"/>
      <c r="AO184" s="10"/>
    </row>
    <row r="185" spans="2:41" x14ac:dyDescent="0.15">
      <c r="B185" s="10" t="s">
        <v>206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16" t="e">
        <f t="shared" si="942"/>
        <v>#DIV/0!</v>
      </c>
      <c r="AC185" s="110">
        <f>PV($C$1, ($AL$3-$AC$3), 0, -AL89)</f>
        <v>56.052680120982657</v>
      </c>
      <c r="AD185" s="110" t="e">
        <f>PV($C$1, ($AL$3-$AC$3), 0, -AO89)</f>
        <v>#DIV/0!</v>
      </c>
      <c r="AE185" s="10"/>
      <c r="AF185" s="10"/>
      <c r="AG185" s="10"/>
      <c r="AH185" s="10"/>
      <c r="AI185" s="10"/>
      <c r="AJ185" s="10"/>
      <c r="AK185" s="10"/>
      <c r="AL185" s="10"/>
      <c r="AM185" s="113"/>
      <c r="AN185" s="10"/>
      <c r="AO185" s="10"/>
    </row>
    <row r="186" spans="2:41" x14ac:dyDescent="0.15">
      <c r="B186" s="10" t="s">
        <v>207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16" t="e">
        <f t="shared" si="942"/>
        <v>#DIV/0!</v>
      </c>
      <c r="AC186" s="110">
        <f>PV($C$1, ($AL$3-$AC$3), 0, -AL90)</f>
        <v>35.038126697748631</v>
      </c>
      <c r="AD186" s="110" t="e">
        <f>PV($C$1, ($AL$3-$AC$3), 0, -AO90)</f>
        <v>#DIV/0!</v>
      </c>
      <c r="AE186" s="10"/>
      <c r="AF186" s="10"/>
      <c r="AG186" s="10"/>
      <c r="AH186" s="10"/>
      <c r="AI186" s="10"/>
      <c r="AJ186" s="10"/>
      <c r="AK186" s="10"/>
      <c r="AL186" s="10"/>
      <c r="AM186" s="113"/>
      <c r="AN186" s="10"/>
      <c r="AO186" s="10"/>
    </row>
    <row r="187" spans="2:41" x14ac:dyDescent="0.15"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16"/>
      <c r="AC187" s="110"/>
      <c r="AD187" s="110"/>
      <c r="AE187" s="10"/>
      <c r="AF187" s="10"/>
      <c r="AG187" s="10"/>
      <c r="AH187" s="10"/>
      <c r="AI187" s="10"/>
      <c r="AJ187" s="10"/>
      <c r="AK187" s="10"/>
      <c r="AL187" s="10"/>
      <c r="AM187" s="113"/>
      <c r="AN187" s="10"/>
      <c r="AO187" s="10"/>
    </row>
    <row r="188" spans="2:41" x14ac:dyDescent="0.15">
      <c r="B188" s="10" t="s">
        <v>242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16" t="e">
        <f t="shared" ref="AB188" si="943">AC188+AD188</f>
        <v>#DIV/0!</v>
      </c>
      <c r="AC188" s="110">
        <f>PV($C$1, ($AL$3-$AC$3), 0, -AL12)</f>
        <v>45.485992412574888</v>
      </c>
      <c r="AD188" s="110" t="e">
        <f>PV($C$1, ($AL$3-$AC$3), 0, -AO12)</f>
        <v>#DIV/0!</v>
      </c>
      <c r="AE188" s="10"/>
      <c r="AF188" s="10"/>
      <c r="AG188" s="10"/>
      <c r="AH188" s="10"/>
      <c r="AI188" s="10"/>
      <c r="AJ188" s="10"/>
      <c r="AK188" s="10"/>
      <c r="AL188" s="10"/>
      <c r="AM188" s="113"/>
      <c r="AN188" s="10"/>
      <c r="AO188" s="10"/>
    </row>
    <row r="189" spans="2:41" x14ac:dyDescent="0.15">
      <c r="B189" s="10" t="s">
        <v>243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16" t="e">
        <f>AC189+AD189</f>
        <v>#DIV/0!</v>
      </c>
      <c r="AC189" s="116">
        <f>AC188/T61</f>
        <v>2.6631143098697243</v>
      </c>
      <c r="AD189" s="116" t="e">
        <f>AD188/T61</f>
        <v>#DIV/0!</v>
      </c>
      <c r="AE189" s="10"/>
      <c r="AF189" s="10"/>
      <c r="AG189" s="10"/>
      <c r="AH189" s="10"/>
      <c r="AI189" s="10"/>
      <c r="AJ189" s="10"/>
      <c r="AK189" s="10"/>
      <c r="AL189" s="10"/>
      <c r="AM189" s="113"/>
      <c r="AN189" s="10"/>
      <c r="AO189" s="10"/>
    </row>
    <row r="190" spans="2:41" x14ac:dyDescent="0.15"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16"/>
      <c r="AC190" s="116"/>
      <c r="AD190" s="116"/>
      <c r="AE190" s="10"/>
      <c r="AF190" s="10"/>
      <c r="AG190" s="10"/>
      <c r="AH190" s="10"/>
      <c r="AI190" s="10"/>
      <c r="AJ190" s="10"/>
      <c r="AK190" s="10"/>
      <c r="AL190" s="10"/>
      <c r="AM190" s="113"/>
      <c r="AN190" s="10"/>
      <c r="AO190" s="10"/>
    </row>
    <row r="191" spans="2:41" x14ac:dyDescent="0.15">
      <c r="B191" s="93" t="s">
        <v>246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16"/>
      <c r="AC191" s="110"/>
      <c r="AD191" s="110"/>
      <c r="AE191" s="10"/>
      <c r="AF191" s="10"/>
      <c r="AG191" s="10"/>
      <c r="AH191" s="10"/>
      <c r="AI191" s="10"/>
      <c r="AJ191" s="10"/>
      <c r="AK191" s="10"/>
      <c r="AL191" s="10"/>
      <c r="AM191" s="113"/>
      <c r="AN191" s="10"/>
      <c r="AO191" s="10"/>
    </row>
    <row r="192" spans="2:41" x14ac:dyDescent="0.15">
      <c r="B192" s="10" t="s">
        <v>232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16" t="e">
        <f t="shared" ref="AB192" si="944">AC192+AD192</f>
        <v>#DIV/0!</v>
      </c>
      <c r="AC192" s="110">
        <f>PV($C$1, ($AL$3-$AC$3), 0, -AL92)+PV($C$1, ($AK$3-$AC$3), 0, -AL92)+PV($C$1, ($AJ$3-$AC$3), 0, -AL92)+PV($C$1, ($AI$3-$AC$3), 0, -AL92)+PV($C$1, ($AH$3-$AC$3), 0, -AL92)+PV($C$1, ($AG$3-$AC$3), 0, -AL92)+PV($C$1, ($AF$3-$AC$3), 0, -AL92)+PV($C$1, ($AE$3-$AC$3), 0, -AL92)+PV($C$1, ($AD$3-$AC$3), 0, -AL92)+PV($C$1, ($AC$3-$AC$3), 0, -AL92)</f>
        <v>35.590172866701728</v>
      </c>
      <c r="AD192" s="110" t="e">
        <f>PV($C$1, ($AL$3-$AC$3), 0, -AO92)</f>
        <v>#DIV/0!</v>
      </c>
      <c r="AE192" s="10"/>
      <c r="AF192" s="10"/>
      <c r="AG192" s="10"/>
      <c r="AH192" s="10"/>
      <c r="AI192" s="10"/>
      <c r="AJ192" s="10"/>
      <c r="AK192" s="10"/>
      <c r="AL192" s="10"/>
      <c r="AM192" s="113"/>
      <c r="AN192" s="10"/>
      <c r="AO192" s="10"/>
    </row>
    <row r="193" spans="2:41" x14ac:dyDescent="0.15">
      <c r="B193" s="13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16"/>
      <c r="AC193" s="110"/>
      <c r="AD193" s="110"/>
      <c r="AE193" s="10"/>
      <c r="AF193" s="10"/>
      <c r="AG193" s="10"/>
      <c r="AH193" s="10"/>
      <c r="AI193" s="10"/>
      <c r="AJ193" s="10"/>
      <c r="AK193" s="10"/>
      <c r="AL193" s="10"/>
      <c r="AM193" s="113"/>
      <c r="AN193" s="10"/>
      <c r="AO193" s="10"/>
    </row>
    <row r="194" spans="2:41" x14ac:dyDescent="0.15">
      <c r="B194" s="10" t="s">
        <v>239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16" t="e">
        <f t="shared" si="942"/>
        <v>#DIV/0!</v>
      </c>
      <c r="AC194" s="110">
        <f>PV($C$1, ($AL$3-$AC$3), 0, -AL94)+PV($C$1, ($AK$3-$AC$3), 0, -AL94)+PV($C$1, ($AJ$3-$AC$3), 0, -AL94)+PV($C$1, ($AI$3-$AC$3), 0, -AL94)+PV($C$1, ($AH$3-$AC$3), 0, -AL94)+PV($C$1, ($AG$3-$AC$3), 0, -AL94)+PV($C$1, ($AF$3-$AC$3), 0, -AL94)+PV($C$1, ($AE$3-$AC$3), 0, -AL94)+PV($C$1, ($AD$3-$AC$3), 0, -AL94)+PV($C$1, ($AC$3-$AC$3), 0, -AL94)</f>
        <v>0</v>
      </c>
      <c r="AD194" s="110" t="e">
        <f>PV($C$1, ($AL$3-$AC$3), 0, -AO94)</f>
        <v>#DIV/0!</v>
      </c>
      <c r="AE194" s="10"/>
      <c r="AF194" s="10"/>
      <c r="AG194" s="10"/>
      <c r="AH194" s="10"/>
      <c r="AI194" s="10"/>
      <c r="AJ194" s="10"/>
      <c r="AK194" s="10"/>
      <c r="AL194" s="10"/>
      <c r="AM194" s="113"/>
      <c r="AN194" s="10"/>
      <c r="AO194" s="10"/>
    </row>
    <row r="195" spans="2:41" x14ac:dyDescent="0.15"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16"/>
      <c r="AC195" s="110"/>
      <c r="AD195" s="110"/>
      <c r="AE195" s="10"/>
      <c r="AF195" s="10"/>
      <c r="AG195" s="10"/>
      <c r="AH195" s="10"/>
      <c r="AI195" s="10"/>
      <c r="AJ195" s="10"/>
      <c r="AK195" s="10"/>
      <c r="AL195" s="10"/>
      <c r="AM195" s="113"/>
      <c r="AN195" s="10"/>
      <c r="AO195" s="10"/>
    </row>
    <row r="196" spans="2:41" x14ac:dyDescent="0.15">
      <c r="B196" s="10" t="s">
        <v>400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16" t="e">
        <f t="shared" ref="AB196:AB199" si="945">AC196+AD196</f>
        <v>#DIV/0!</v>
      </c>
      <c r="AC196" s="110">
        <f>PV($C$1, ($AL$3-$AC$3), 0, -AL96)+PV($C$1, ($AK$3-$AC$3), 0, -AL96)+PV($C$1, ($AJ$3-$AC$3), 0, -AL96)+PV($C$1, ($AI$3-$AC$3), 0, -AL96)+PV($C$1, ($AH$3-$AC$3), 0, -AL96)+PV($C$1, ($AG$3-$AC$3), 0, -AL96)+PV($C$1, ($AF$3-$AC$3), 0, -AL96)+PV($C$1, ($AE$3-$AC$3), 0, -AL96)+PV($C$1, ($AD$3-$AC$3), 0, -AL96)+PV($C$1, ($AC$3-$AC$3), 0, -AL96)</f>
        <v>0</v>
      </c>
      <c r="AD196" s="110" t="e">
        <f>PV($C$1, ($AL$3-$AC$3), 0, -AO96)</f>
        <v>#DIV/0!</v>
      </c>
      <c r="AE196" s="10"/>
      <c r="AF196" s="10"/>
      <c r="AG196" s="10"/>
      <c r="AH196" s="10"/>
      <c r="AI196" s="10"/>
      <c r="AJ196" s="10"/>
      <c r="AK196" s="10"/>
      <c r="AL196" s="10"/>
      <c r="AM196" s="113"/>
      <c r="AN196" s="10"/>
      <c r="AO196" s="10"/>
    </row>
    <row r="197" spans="2:41" x14ac:dyDescent="0.15">
      <c r="B197" s="10" t="s">
        <v>236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16" t="e">
        <f t="shared" si="945"/>
        <v>#DIV/0!</v>
      </c>
      <c r="AC197" s="110">
        <f>PV($C$1, ($AL$3-$AC$3), 0, -AL97)+PV($C$1, ($AK$3-$AC$3), 0, -AL97)+PV($C$1, ($AJ$3-$AC$3), 0, -AL97)+PV($C$1, ($AI$3-$AC$3), 0, -AL97)+PV($C$1, ($AH$3-$AC$3), 0, -AL97)+PV($C$1, ($AG$3-$AC$3), 0, -AL97)+PV($C$1, ($AF$3-$AC$3), 0, -AL97)+PV($C$1, ($AE$3-$AC$3), 0, -AL97)+PV($C$1, ($AD$3-$AC$3), 0, -AL97)+PV($C$1, ($AC$3-$AC$3), 0, -AL97)</f>
        <v>0</v>
      </c>
      <c r="AD197" s="110" t="e">
        <f>PV($C$1, ($AL$3-$AC$3), 0, -AO97)</f>
        <v>#DIV/0!</v>
      </c>
      <c r="AE197" s="10"/>
      <c r="AF197" s="10"/>
      <c r="AG197" s="10"/>
      <c r="AH197" s="10"/>
      <c r="AI197" s="10"/>
      <c r="AJ197" s="10"/>
      <c r="AK197" s="10"/>
      <c r="AL197" s="10"/>
      <c r="AM197" s="113"/>
      <c r="AN197" s="10"/>
      <c r="AO197" s="10"/>
    </row>
    <row r="198" spans="2:41" x14ac:dyDescent="0.15">
      <c r="B198" s="10" t="s">
        <v>237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16" t="e">
        <f t="shared" si="945"/>
        <v>#DIV/0!</v>
      </c>
      <c r="AC198" s="110">
        <f>PV($C$1, ($AL$3-$AC$3), 0, -AL98)+PV($C$1, ($AK$3-$AC$3), 0, -AL98)+PV($C$1, ($AJ$3-$AC$3), 0, -AL98)+PV($C$1, ($AI$3-$AC$3), 0, -AL98)+PV($C$1, ($AH$3-$AC$3), 0, -AL98)+PV($C$1, ($AG$3-$AC$3), 0, -AL98)+PV($C$1, ($AF$3-$AC$3), 0, -AL98)+PV($C$1, ($AE$3-$AC$3), 0, -AL98)+PV($C$1, ($AD$3-$AC$3), 0, -AL98)+PV($C$1, ($AC$3-$AC$3), 0, -AL98)</f>
        <v>0</v>
      </c>
      <c r="AD198" s="110" t="e">
        <f>PV($C$1, ($AL$3-$AC$3), 0, -AO98)</f>
        <v>#DIV/0!</v>
      </c>
      <c r="AE198" s="10"/>
      <c r="AF198" s="10"/>
      <c r="AG198" s="10"/>
      <c r="AH198" s="10"/>
      <c r="AI198" s="10"/>
      <c r="AJ198" s="10"/>
      <c r="AK198" s="10"/>
      <c r="AL198" s="10"/>
      <c r="AM198" s="113"/>
      <c r="AN198" s="10"/>
      <c r="AO198" s="10"/>
    </row>
    <row r="199" spans="2:41" x14ac:dyDescent="0.15">
      <c r="B199" s="10" t="s">
        <v>238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16" t="e">
        <f t="shared" si="945"/>
        <v>#DIV/0!</v>
      </c>
      <c r="AC199" s="110">
        <f>PV($C$1, ($AL$3-$AC$3), 0, -AL99)+PV($C$1, ($AK$3-$AC$3), 0, -AL99)+PV($C$1, ($AJ$3-$AC$3), 0, -AL99)+PV($C$1, ($AI$3-$AC$3), 0, -AL99)+PV($C$1, ($AH$3-$AC$3), 0, -AL99)+PV($C$1, ($AG$3-$AC$3), 0, -AL99)+PV($C$1, ($AF$3-$AC$3), 0, -AL99)+PV($C$1, ($AE$3-$AC$3), 0, -AL99)+PV($C$1, ($AD$3-$AC$3), 0, -AL99)+PV($C$1, ($AC$3-$AC$3), 0, -AL99)</f>
        <v>0</v>
      </c>
      <c r="AD199" s="110" t="e">
        <f>PV($C$1, ($AL$3-$AC$3), 0, -AO99)</f>
        <v>#DIV/0!</v>
      </c>
      <c r="AE199" s="10"/>
      <c r="AF199" s="10"/>
      <c r="AG199" s="10"/>
      <c r="AH199" s="10"/>
      <c r="AI199" s="10"/>
      <c r="AJ199" s="10"/>
      <c r="AK199" s="10"/>
      <c r="AL199" s="10"/>
      <c r="AM199" s="113"/>
      <c r="AN199" s="10"/>
      <c r="AO199" s="10"/>
    </row>
    <row r="200" spans="2:41" x14ac:dyDescent="0.15">
      <c r="B200" s="10" t="s">
        <v>398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95" t="e">
        <f>AB197+AB198+AB199</f>
        <v>#DIV/0!</v>
      </c>
      <c r="AC200" s="95">
        <f t="shared" ref="AC200:AD200" si="946">AC197+AC198+AC199</f>
        <v>0</v>
      </c>
      <c r="AD200" s="95" t="e">
        <f t="shared" si="946"/>
        <v>#DIV/0!</v>
      </c>
      <c r="AE200" s="10"/>
      <c r="AF200" s="10"/>
      <c r="AG200" s="10"/>
      <c r="AH200" s="10"/>
      <c r="AI200" s="10"/>
      <c r="AJ200" s="10"/>
      <c r="AK200" s="10"/>
      <c r="AL200" s="10"/>
      <c r="AM200" s="113"/>
      <c r="AN200" s="10"/>
      <c r="AO200" s="10"/>
    </row>
    <row r="201" spans="2:41" x14ac:dyDescent="0.15"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16"/>
      <c r="AC201" s="110"/>
      <c r="AD201" s="110"/>
      <c r="AE201" s="10"/>
      <c r="AF201" s="10"/>
      <c r="AG201" s="10"/>
      <c r="AH201" s="10"/>
      <c r="AI201" s="10"/>
      <c r="AJ201" s="10"/>
      <c r="AK201" s="10"/>
      <c r="AL201" s="10"/>
      <c r="AM201" s="113"/>
      <c r="AN201" s="10"/>
      <c r="AO201" s="10"/>
    </row>
    <row r="202" spans="2:41" x14ac:dyDescent="0.15">
      <c r="B202" s="10" t="s">
        <v>247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16" t="e">
        <f>AC202+AD202</f>
        <v>#DIV/0!</v>
      </c>
      <c r="AC202" s="110">
        <f>PV($C$1, ($AL$3-$AC$3), 0, -AL100)+PV($C$1, ($AK$3-$AC$3), 0, -AL100)+PV($C$1, ($AJ$3-$AC$3), 0, -AL100)+PV($C$1, ($AI$3-$AC$3), 0, -AL100)+PV($C$1, ($AH$3-$AC$3), 0, -AL100)+PV($C$1, ($AG$3-$AC$3), 0, -AL100)+PV($C$1, ($AF$3-$AC$3), 0, -AL100)+PV($C$1, ($AE$3-$AC$3), 0, -AL100)+PV($C$1, ($AD$3-$AC$3), 0, -AL100)+PV($C$1, ($AC$3-$AC$3), 0, -AL100)</f>
        <v>0</v>
      </c>
      <c r="AD202" s="110" t="e">
        <f>PV($C$1, ($AL$3-$AC$3), 0, -AO100)</f>
        <v>#DIV/0!</v>
      </c>
      <c r="AE202" s="10"/>
      <c r="AF202" s="10"/>
      <c r="AG202" s="10"/>
      <c r="AH202" s="10"/>
      <c r="AI202" s="10"/>
      <c r="AJ202" s="10"/>
      <c r="AK202" s="10"/>
      <c r="AL202" s="10"/>
      <c r="AM202" s="113"/>
      <c r="AN202" s="10"/>
      <c r="AO202" s="10"/>
    </row>
    <row r="203" spans="2:41" x14ac:dyDescent="0.15"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54"/>
      <c r="V203" s="10"/>
      <c r="W203" s="10"/>
      <c r="X203" s="154"/>
      <c r="Y203" s="154">
        <v>41729</v>
      </c>
      <c r="Z203" s="10">
        <v>579</v>
      </c>
      <c r="AA203" s="10"/>
      <c r="AB203" s="10"/>
      <c r="AC203" s="104"/>
      <c r="AD203" s="10"/>
      <c r="AE203" s="10"/>
      <c r="AF203" s="10"/>
      <c r="AG203" s="10"/>
      <c r="AH203" s="10"/>
      <c r="AI203" s="10"/>
      <c r="AJ203" s="10"/>
      <c r="AK203" s="10"/>
      <c r="AL203" s="10"/>
      <c r="AM203" s="113"/>
      <c r="AN203" s="10"/>
      <c r="AO203" s="10"/>
    </row>
    <row r="204" spans="2:41" x14ac:dyDescent="0.15">
      <c r="B204" s="93" t="s">
        <v>208</v>
      </c>
      <c r="C204" s="10"/>
      <c r="D204" s="10"/>
      <c r="E204" s="10"/>
      <c r="F204" s="172"/>
      <c r="G204" s="172"/>
      <c r="H204" s="167">
        <v>0</v>
      </c>
      <c r="I204" s="167">
        <v>0</v>
      </c>
      <c r="J204" s="167">
        <v>0</v>
      </c>
      <c r="K204" s="167">
        <v>0</v>
      </c>
      <c r="L204" s="167">
        <v>0</v>
      </c>
      <c r="M204" s="167">
        <v>0</v>
      </c>
      <c r="N204" s="167">
        <v>0</v>
      </c>
      <c r="O204" s="167">
        <v>0</v>
      </c>
      <c r="P204" s="167">
        <v>0</v>
      </c>
      <c r="Q204" s="167">
        <v>0</v>
      </c>
      <c r="R204" s="167"/>
      <c r="S204" s="167">
        <v>0</v>
      </c>
      <c r="T204" s="167">
        <v>0</v>
      </c>
      <c r="U204" s="167">
        <v>0</v>
      </c>
      <c r="V204" s="167">
        <v>0</v>
      </c>
      <c r="W204" s="167"/>
      <c r="X204" s="167"/>
      <c r="Y204" s="13" t="s">
        <v>332</v>
      </c>
      <c r="Z204" s="10">
        <v>400</v>
      </c>
      <c r="AA204" s="13" t="s">
        <v>333</v>
      </c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13"/>
      <c r="AN204" s="10"/>
      <c r="AO204" s="10"/>
    </row>
    <row r="205" spans="2:41" x14ac:dyDescent="0.15">
      <c r="B205" s="10" t="s">
        <v>183</v>
      </c>
      <c r="C205" s="12">
        <v>0</v>
      </c>
      <c r="D205" s="12">
        <v>0</v>
      </c>
      <c r="E205" s="12">
        <v>0</v>
      </c>
      <c r="F205" s="12">
        <v>0</v>
      </c>
      <c r="G205" s="12">
        <v>56</v>
      </c>
      <c r="H205" s="12">
        <v>91</v>
      </c>
      <c r="I205" s="12">
        <v>234</v>
      </c>
      <c r="J205" s="12">
        <v>340</v>
      </c>
      <c r="K205" s="12">
        <v>195</v>
      </c>
      <c r="L205" s="12">
        <v>36</v>
      </c>
      <c r="M205" s="12">
        <v>164</v>
      </c>
      <c r="N205" s="12">
        <v>189</v>
      </c>
      <c r="O205" s="12">
        <v>272</v>
      </c>
      <c r="P205" s="12">
        <v>293</v>
      </c>
      <c r="Q205" s="12">
        <v>394</v>
      </c>
      <c r="R205" s="12">
        <v>833</v>
      </c>
      <c r="S205" s="12">
        <v>877</v>
      </c>
      <c r="T205" s="12">
        <v>890</v>
      </c>
      <c r="U205" s="12">
        <v>795</v>
      </c>
      <c r="V205" s="12">
        <v>720</v>
      </c>
      <c r="W205" s="12">
        <v>455</v>
      </c>
      <c r="X205" s="12">
        <v>860</v>
      </c>
      <c r="Y205" s="12">
        <v>536</v>
      </c>
      <c r="Z205" s="12">
        <v>400</v>
      </c>
      <c r="AA205" s="101">
        <f t="shared" ref="AA205:AA236" si="947">((V205/G205)^(1/($K$2-$K$1) ))-1</f>
        <v>0.14386830037145382</v>
      </c>
      <c r="AB205" s="21">
        <v>0.02</v>
      </c>
      <c r="AC205" s="168">
        <v>50</v>
      </c>
      <c r="AD205" s="102">
        <f t="shared" ref="AD205:AL205" si="948">AC205*(1+$AB205)</f>
        <v>51</v>
      </c>
      <c r="AE205" s="102">
        <f t="shared" si="948"/>
        <v>52.02</v>
      </c>
      <c r="AF205" s="102">
        <f t="shared" si="948"/>
        <v>53.060400000000001</v>
      </c>
      <c r="AG205" s="102">
        <f t="shared" si="948"/>
        <v>54.121608000000002</v>
      </c>
      <c r="AH205" s="102">
        <f t="shared" si="948"/>
        <v>55.204040160000005</v>
      </c>
      <c r="AI205" s="102">
        <f t="shared" si="948"/>
        <v>56.308120963200004</v>
      </c>
      <c r="AJ205" s="102">
        <f t="shared" si="948"/>
        <v>57.434283382464002</v>
      </c>
      <c r="AK205" s="102">
        <f t="shared" si="948"/>
        <v>58.582969050113284</v>
      </c>
      <c r="AL205" s="102">
        <f t="shared" si="948"/>
        <v>59.754628431115549</v>
      </c>
      <c r="AM205" s="114">
        <f t="shared" ref="AM205:AM212" si="949">((AL205/J205)^(1/($AL$3-$K$1) ))-1</f>
        <v>-5.8193214875166821E-2</v>
      </c>
      <c r="AN205" s="21">
        <f t="shared" ref="AN205:AN212" si="950">$O$1</f>
        <v>0.01</v>
      </c>
      <c r="AO205" s="108">
        <f t="shared" ref="AO205:AO216" si="951">(AL205*(1+AM205))/($C$1-AN205)</f>
        <v>267.98721190018045</v>
      </c>
    </row>
    <row r="206" spans="2:41" x14ac:dyDescent="0.15">
      <c r="B206" s="10" t="s">
        <v>303</v>
      </c>
      <c r="C206" s="15"/>
      <c r="D206" s="15"/>
      <c r="E206" s="15"/>
      <c r="F206" s="15"/>
      <c r="G206" s="15">
        <f t="shared" ref="G206" si="952">G205/G70</f>
        <v>0.35155555555555551</v>
      </c>
      <c r="H206" s="15">
        <f t="shared" ref="H206:I206" si="953">H205/H70</f>
        <v>0.41800813008130078</v>
      </c>
      <c r="I206" s="15">
        <f t="shared" si="953"/>
        <v>0.65776119402985067</v>
      </c>
      <c r="J206" s="15">
        <f t="shared" ref="J206:Q206" si="954">J205/J70</f>
        <v>0.61967741935483867</v>
      </c>
      <c r="K206" s="15">
        <f t="shared" si="954"/>
        <v>0.95486230636833058</v>
      </c>
      <c r="L206" s="15">
        <f t="shared" si="954"/>
        <v>0.23777262180974473</v>
      </c>
      <c r="M206" s="15">
        <f t="shared" si="954"/>
        <v>0.91960604070912666</v>
      </c>
      <c r="N206" s="15">
        <f t="shared" si="954"/>
        <v>0.89969899665551833</v>
      </c>
      <c r="O206" s="15">
        <f t="shared" si="954"/>
        <v>0.98302158273381279</v>
      </c>
      <c r="P206" s="15">
        <f t="shared" si="954"/>
        <v>1.6516303630363034</v>
      </c>
      <c r="Q206" s="15">
        <f t="shared" si="954"/>
        <v>1.9188822355289419</v>
      </c>
      <c r="R206" s="15">
        <f t="shared" ref="R206:V206" si="955">R205/R70</f>
        <v>3.3133768048439682</v>
      </c>
      <c r="S206" s="15">
        <f t="shared" si="955"/>
        <v>3.0955073362264929</v>
      </c>
      <c r="T206" s="15">
        <f t="shared" si="955"/>
        <v>2.7453855878634639</v>
      </c>
      <c r="U206" s="15">
        <f t="shared" si="955"/>
        <v>2.2068259385665527</v>
      </c>
      <c r="V206" s="15">
        <f t="shared" si="955"/>
        <v>1.8103341675253934</v>
      </c>
      <c r="W206" s="15">
        <f t="shared" ref="W206" si="956">W205/W70</f>
        <v>1.1363357215967245</v>
      </c>
      <c r="X206" s="15">
        <f t="shared" ref="X206:Z206" si="957">X205/X70</f>
        <v>2.0543776223776224</v>
      </c>
      <c r="Y206" s="15">
        <f t="shared" ref="Y206" si="958">Y205/Y70</f>
        <v>1.0526480395538691</v>
      </c>
      <c r="Z206" s="15">
        <f t="shared" si="957"/>
        <v>0.65768194070080854</v>
      </c>
      <c r="AA206" s="101">
        <f t="shared" si="947"/>
        <v>9.0087361265607457E-2</v>
      </c>
      <c r="AB206" s="109"/>
      <c r="AC206" s="15">
        <f t="shared" ref="AC206:AL206" si="959">AC205/AC70</f>
        <v>7.6231315853957343E-2</v>
      </c>
      <c r="AD206" s="15">
        <f t="shared" si="959"/>
        <v>7.2100964558597477E-2</v>
      </c>
      <c r="AE206" s="15">
        <f t="shared" si="959"/>
        <v>6.819440320614982E-2</v>
      </c>
      <c r="AF206" s="15">
        <f t="shared" si="959"/>
        <v>6.4499506450616598E-2</v>
      </c>
      <c r="AG206" s="15">
        <f t="shared" si="959"/>
        <v>6.1004805919292283E-2</v>
      </c>
      <c r="AH206" s="15">
        <f t="shared" si="959"/>
        <v>5.7699454616756088E-2</v>
      </c>
      <c r="AI206" s="15">
        <f t="shared" si="959"/>
        <v>5.4573193257520934E-2</v>
      </c>
      <c r="AJ206" s="15">
        <f t="shared" si="959"/>
        <v>5.1616318422840708E-2</v>
      </c>
      <c r="AK206" s="15">
        <f t="shared" si="959"/>
        <v>4.8819652442839513E-2</v>
      </c>
      <c r="AL206" s="15">
        <f t="shared" si="959"/>
        <v>4.6174514910482023E-2</v>
      </c>
      <c r="AM206" s="114">
        <f t="shared" ref="AM206" si="960">((AL206/J206)^(1/($AL$3-$K$1) ))-1</f>
        <v>-8.5651810396132455E-2</v>
      </c>
      <c r="AN206" s="21">
        <f t="shared" si="950"/>
        <v>0.01</v>
      </c>
      <c r="AO206" s="108">
        <f t="shared" ref="AO206" si="961">(AL206*(1+AM206))/($C$1-AN206)</f>
        <v>0.20104563863921918</v>
      </c>
    </row>
    <row r="207" spans="2:41" x14ac:dyDescent="0.15">
      <c r="B207" s="10" t="s">
        <v>331</v>
      </c>
      <c r="C207" s="15"/>
      <c r="D207" s="15"/>
      <c r="E207" s="15"/>
      <c r="F207" s="15"/>
      <c r="G207" s="15">
        <f t="shared" ref="G207" si="962">G205/G76</f>
        <v>63.279999999999994</v>
      </c>
      <c r="H207" s="15">
        <f t="shared" ref="H207:I207" si="963">H205/H76</f>
        <v>11.425555555555555</v>
      </c>
      <c r="I207" s="15">
        <f t="shared" si="963"/>
        <v>11.0175</v>
      </c>
      <c r="J207" s="15">
        <f t="shared" ref="J207:Q207" si="964">J205/J76</f>
        <v>8.1744680851063816</v>
      </c>
      <c r="K207" s="15">
        <f t="shared" si="964"/>
        <v>11.803723404255321</v>
      </c>
      <c r="L207" s="15">
        <f t="shared" si="964"/>
        <v>3.7955555555555556</v>
      </c>
      <c r="M207" s="15">
        <f t="shared" si="964"/>
        <v>8.3865868263473047</v>
      </c>
      <c r="N207" s="15">
        <f t="shared" si="964"/>
        <v>10.905810810810809</v>
      </c>
      <c r="O207" s="15">
        <f t="shared" si="964"/>
        <v>10.804093023255813</v>
      </c>
      <c r="P207" s="15">
        <f t="shared" si="964"/>
        <v>17.437073170731704</v>
      </c>
      <c r="Q207" s="15">
        <f t="shared" si="964"/>
        <v>18.336566757493188</v>
      </c>
      <c r="R207" s="15">
        <f t="shared" ref="R207:V207" si="965">R205/R76</f>
        <v>34.701560975609752</v>
      </c>
      <c r="S207" s="15">
        <f t="shared" si="965"/>
        <v>30.632229038854803</v>
      </c>
      <c r="T207" s="15">
        <f t="shared" si="965"/>
        <v>31.801673640167362</v>
      </c>
      <c r="U207" s="15">
        <f t="shared" si="965"/>
        <v>28.829299363057324</v>
      </c>
      <c r="V207" s="15">
        <f t="shared" si="965"/>
        <v>25.46086956521739</v>
      </c>
      <c r="W207" s="15">
        <f t="shared" ref="W207" si="966">W205/W76</f>
        <v>11.757034795763992</v>
      </c>
      <c r="X207" s="15">
        <f t="shared" ref="X207:Z207" si="967">X205/X76</f>
        <v>22.702936630602778</v>
      </c>
      <c r="Y207" s="15">
        <f t="shared" ref="Y207" si="968">Y205/Y76</f>
        <v>17.880624999999998</v>
      </c>
      <c r="Z207" s="15">
        <f t="shared" si="967"/>
        <v>9.8443804034582119</v>
      </c>
      <c r="AA207" s="101">
        <f t="shared" si="947"/>
        <v>-4.6787278976890168E-2</v>
      </c>
      <c r="AB207" s="109"/>
      <c r="AC207" s="102">
        <f t="shared" ref="AC207:AL207" si="969">AC205/AC76</f>
        <v>1.1410531831281108</v>
      </c>
      <c r="AD207" s="102">
        <f t="shared" si="969"/>
        <v>1.0792288470240785</v>
      </c>
      <c r="AE207" s="102">
        <f t="shared" si="969"/>
        <v>1.0207542658580466</v>
      </c>
      <c r="AF207" s="102">
        <f t="shared" si="969"/>
        <v>0.96544794381701049</v>
      </c>
      <c r="AG207" s="102">
        <f t="shared" si="969"/>
        <v>0.91313821886110691</v>
      </c>
      <c r="AH207" s="102">
        <f t="shared" si="969"/>
        <v>0.86366272991190518</v>
      </c>
      <c r="AI207" s="102">
        <f t="shared" si="969"/>
        <v>0.81686791290940552</v>
      </c>
      <c r="AJ207" s="102">
        <f t="shared" si="969"/>
        <v>0.77260852417358683</v>
      </c>
      <c r="AK207" s="102">
        <f t="shared" si="969"/>
        <v>0.73074718959109064</v>
      </c>
      <c r="AL207" s="102">
        <f t="shared" si="969"/>
        <v>0.69115397822779145</v>
      </c>
      <c r="AM207" s="114">
        <f t="shared" si="949"/>
        <v>-8.1658995667245104E-2</v>
      </c>
      <c r="AN207" s="21">
        <f t="shared" si="950"/>
        <v>0.01</v>
      </c>
      <c r="AO207" s="108">
        <f t="shared" si="951"/>
        <v>3.0224525643537574</v>
      </c>
    </row>
    <row r="208" spans="2:41" x14ac:dyDescent="0.15">
      <c r="B208" s="10" t="s">
        <v>403</v>
      </c>
      <c r="C208" s="15"/>
      <c r="D208" s="15"/>
      <c r="E208" s="15"/>
      <c r="F208" s="15"/>
      <c r="G208" s="15">
        <f t="shared" ref="G208" si="970">G205/G74</f>
        <v>2.8763636363636365</v>
      </c>
      <c r="H208" s="15">
        <f t="shared" ref="H208:I208" si="971">H205/H74</f>
        <v>4.284583333333333</v>
      </c>
      <c r="I208" s="15">
        <f t="shared" si="971"/>
        <v>4.9890566037735846</v>
      </c>
      <c r="J208" s="15">
        <f t="shared" ref="J208:Q208" si="972">J205/J74</f>
        <v>4.1311827956989244</v>
      </c>
      <c r="K208" s="15">
        <f t="shared" si="972"/>
        <v>6.0964285714285715</v>
      </c>
      <c r="L208" s="15">
        <f t="shared" si="972"/>
        <v>1.4780769230769228</v>
      </c>
      <c r="M208" s="15">
        <f t="shared" si="972"/>
        <v>4.7800682593856649</v>
      </c>
      <c r="N208" s="15">
        <f t="shared" si="972"/>
        <v>6.2560465116279067</v>
      </c>
      <c r="O208" s="15">
        <f t="shared" si="972"/>
        <v>6.5249438202247179</v>
      </c>
      <c r="P208" s="15">
        <f t="shared" si="972"/>
        <v>11.071769911504424</v>
      </c>
      <c r="Q208" s="15">
        <f t="shared" si="972"/>
        <v>12.016999999999998</v>
      </c>
      <c r="R208" s="15">
        <f t="shared" ref="R208:V208" si="973">R205/R74</f>
        <v>20.067193229901267</v>
      </c>
      <c r="S208" s="15">
        <f t="shared" si="973"/>
        <v>18.334345165238677</v>
      </c>
      <c r="T208" s="15">
        <f t="shared" si="973"/>
        <v>17.904829210836276</v>
      </c>
      <c r="U208" s="15">
        <f t="shared" si="973"/>
        <v>15.37780294450736</v>
      </c>
      <c r="V208" s="15">
        <f t="shared" si="973"/>
        <v>12.877068062827224</v>
      </c>
      <c r="W208" s="15">
        <f t="shared" ref="W208" si="974">W205/W74</f>
        <v>7.0713375796178335</v>
      </c>
      <c r="X208" s="15">
        <f t="shared" ref="X208:Z208" si="975">X205/X74</f>
        <v>13.150223813786928</v>
      </c>
      <c r="Y208" s="15">
        <f t="shared" ref="Y208" si="976">Y205/Y74</f>
        <v>8.9490518084066455</v>
      </c>
      <c r="Z208" s="15">
        <f t="shared" si="975"/>
        <v>5.4568690095846639</v>
      </c>
      <c r="AA208" s="101">
        <f t="shared" si="947"/>
        <v>8.2085923421419071E-2</v>
      </c>
      <c r="AB208" s="109"/>
      <c r="AC208" s="15">
        <f t="shared" ref="AC208:AL208" si="977">AC205/AC74</f>
        <v>0.63250072611094965</v>
      </c>
      <c r="AD208" s="15">
        <f t="shared" si="977"/>
        <v>0.5982306867689382</v>
      </c>
      <c r="AE208" s="15">
        <f t="shared" si="977"/>
        <v>0.56581746046763937</v>
      </c>
      <c r="AF208" s="15">
        <f t="shared" si="977"/>
        <v>0.53516044170048349</v>
      </c>
      <c r="AG208" s="15">
        <f t="shared" si="977"/>
        <v>0.50616447595016634</v>
      </c>
      <c r="AH208" s="15">
        <f t="shared" si="977"/>
        <v>0.47873956434413911</v>
      </c>
      <c r="AI208" s="15">
        <f t="shared" si="977"/>
        <v>0.45280058431240211</v>
      </c>
      <c r="AJ208" s="15">
        <f t="shared" si="977"/>
        <v>0.42826702538056649</v>
      </c>
      <c r="AK208" s="15">
        <f t="shared" si="977"/>
        <v>0.40506273927812841</v>
      </c>
      <c r="AL208" s="15">
        <f t="shared" si="977"/>
        <v>0.38311570358633162</v>
      </c>
      <c r="AM208" s="114">
        <f t="shared" ref="AM208:AM209" si="978">((AL208/J208)^(1/($AL$3-$K$1) ))-1</f>
        <v>-7.8727469303775055E-2</v>
      </c>
      <c r="AN208" s="21">
        <f t="shared" si="950"/>
        <v>0.01</v>
      </c>
      <c r="AO208" s="108">
        <f t="shared" ref="AO208:AO209" si="979">(AL208*(1+AM208))/($C$1-AN208)</f>
        <v>1.6807332085354503</v>
      </c>
    </row>
    <row r="209" spans="2:41" x14ac:dyDescent="0.15">
      <c r="B209" s="10" t="s">
        <v>404</v>
      </c>
      <c r="C209" s="15"/>
      <c r="D209" s="15"/>
      <c r="E209" s="15"/>
      <c r="F209" s="15"/>
      <c r="G209" s="15">
        <f t="shared" ref="G209" si="980">G205/G75</f>
        <v>63.279999999999994</v>
      </c>
      <c r="H209" s="15">
        <f t="shared" ref="H209:I209" si="981">H205/H75</f>
        <v>8.5691666666666659</v>
      </c>
      <c r="I209" s="15">
        <f t="shared" si="981"/>
        <v>7.1464864864864852</v>
      </c>
      <c r="J209" s="15">
        <f t="shared" ref="J209:Q209" si="982">J205/J75</f>
        <v>5.3361111111111104</v>
      </c>
      <c r="K209" s="15">
        <f t="shared" si="982"/>
        <v>7.5996575342465764</v>
      </c>
      <c r="L209" s="15">
        <f t="shared" si="982"/>
        <v>2.4793548387096771</v>
      </c>
      <c r="M209" s="15">
        <f t="shared" si="982"/>
        <v>5.4923921568627447</v>
      </c>
      <c r="N209" s="15">
        <f t="shared" si="982"/>
        <v>7.3366363636363632</v>
      </c>
      <c r="O209" s="15">
        <f t="shared" si="982"/>
        <v>7.3046540880503139</v>
      </c>
      <c r="P209" s="15">
        <f t="shared" si="982"/>
        <v>11.858862559241704</v>
      </c>
      <c r="Q209" s="15">
        <f t="shared" si="982"/>
        <v>12.55507462686567</v>
      </c>
      <c r="R209" s="15">
        <f t="shared" ref="R209:V209" si="983">R205/R75</f>
        <v>23.323999999999998</v>
      </c>
      <c r="S209" s="15">
        <f t="shared" si="983"/>
        <v>20.74675900277008</v>
      </c>
      <c r="T209" s="15">
        <f t="shared" si="983"/>
        <v>21.654131054131049</v>
      </c>
      <c r="U209" s="15">
        <f t="shared" si="983"/>
        <v>18.991048951048949</v>
      </c>
      <c r="V209" s="15">
        <f t="shared" si="983"/>
        <v>16.846027397260272</v>
      </c>
      <c r="W209" s="15">
        <f t="shared" ref="W209" si="984">W205/W75</f>
        <v>9.2406658739595713</v>
      </c>
      <c r="X209" s="15">
        <f t="shared" ref="X209:Z209" si="985">X205/X75</f>
        <v>16.825658648339058</v>
      </c>
      <c r="Y209" s="15">
        <f t="shared" ref="Y209" si="986">Y205/Y75</f>
        <v>13.229595375722541</v>
      </c>
      <c r="Z209" s="15">
        <f t="shared" si="985"/>
        <v>7.2143611404435051</v>
      </c>
      <c r="AA209" s="101">
        <f t="shared" si="947"/>
        <v>-6.7284912988847867E-2</v>
      </c>
      <c r="AB209" s="109"/>
      <c r="AC209" s="15">
        <f t="shared" ref="AC209:AL210" si="987">AC205/AC75</f>
        <v>0.83621004127867893</v>
      </c>
      <c r="AD209" s="15">
        <f t="shared" si="987"/>
        <v>0.79090266086030681</v>
      </c>
      <c r="AE209" s="15">
        <f t="shared" si="987"/>
        <v>0.74805011669005728</v>
      </c>
      <c r="AF209" s="15">
        <f t="shared" si="987"/>
        <v>0.70751940127666868</v>
      </c>
      <c r="AG209" s="15">
        <f t="shared" si="987"/>
        <v>0.66918471371658739</v>
      </c>
      <c r="AH209" s="15">
        <f t="shared" si="987"/>
        <v>0.63292706922794317</v>
      </c>
      <c r="AI209" s="15">
        <f t="shared" si="987"/>
        <v>0.59863392984068375</v>
      </c>
      <c r="AJ209" s="15">
        <f t="shared" si="987"/>
        <v>0.56619885509658852</v>
      </c>
      <c r="AK209" s="15">
        <f t="shared" si="987"/>
        <v>0.53552117167499147</v>
      </c>
      <c r="AL209" s="15">
        <f t="shared" si="987"/>
        <v>0.50650566091878269</v>
      </c>
      <c r="AM209" s="114">
        <f t="shared" si="978"/>
        <v>-7.7988087135911766E-2</v>
      </c>
      <c r="AN209" s="21">
        <f t="shared" si="950"/>
        <v>0.01</v>
      </c>
      <c r="AO209" s="108">
        <f t="shared" si="979"/>
        <v>2.2238297776200766</v>
      </c>
    </row>
    <row r="210" spans="2:41" x14ac:dyDescent="0.15">
      <c r="B210" s="10" t="s">
        <v>215</v>
      </c>
      <c r="C210" s="15"/>
      <c r="D210" s="15"/>
      <c r="E210" s="15"/>
      <c r="F210" s="15"/>
      <c r="G210" s="15">
        <f t="shared" ref="G210" si="988">G205/G79</f>
        <v>0.38822085889570551</v>
      </c>
      <c r="H210" s="15">
        <f t="shared" ref="H210:I210" si="989">H205/H79</f>
        <v>0.60846153846153839</v>
      </c>
      <c r="I210" s="15">
        <f t="shared" si="989"/>
        <v>1.3916842105263159</v>
      </c>
      <c r="J210" s="15">
        <f t="shared" ref="J210:Q210" si="990">J205/J79</f>
        <v>1.6560344827586206</v>
      </c>
      <c r="K210" s="15">
        <f t="shared" si="990"/>
        <v>3.4458074534161494</v>
      </c>
      <c r="L210" s="15">
        <f t="shared" si="990"/>
        <v>0.79237113402061854</v>
      </c>
      <c r="M210" s="15">
        <f t="shared" si="990"/>
        <v>2.6576091081593924</v>
      </c>
      <c r="N210" s="15">
        <f t="shared" si="990"/>
        <v>2.5701592356687897</v>
      </c>
      <c r="O210" s="15">
        <f t="shared" si="990"/>
        <v>2.8819851116625306</v>
      </c>
      <c r="P210" s="15">
        <f t="shared" si="990"/>
        <v>4.8027255278310941</v>
      </c>
      <c r="Q210" s="15">
        <f t="shared" si="990"/>
        <v>5.0033605947955389</v>
      </c>
      <c r="R210" s="15">
        <f t="shared" ref="R210:V210" si="991">R205/R79</f>
        <v>8.4562998888552077</v>
      </c>
      <c r="S210" s="15">
        <f t="shared" si="991"/>
        <v>7.1876967370441456</v>
      </c>
      <c r="T210" s="15">
        <f t="shared" si="991"/>
        <v>5.9033786407766984</v>
      </c>
      <c r="U210" s="15">
        <f t="shared" si="991"/>
        <v>4.6502054794520538</v>
      </c>
      <c r="V210" s="15">
        <f t="shared" si="991"/>
        <v>3.70632911392405</v>
      </c>
      <c r="W210" s="15">
        <f t="shared" ref="W210" si="992">W205/W79</f>
        <v>2.1355866996427588</v>
      </c>
      <c r="X210" s="15">
        <f t="shared" ref="X210:Z210" si="993">X205/X79</f>
        <v>3.5031719532554257</v>
      </c>
      <c r="Y210" s="15">
        <f t="shared" ref="Y210" si="994">Y205/Y79</f>
        <v>2.0187166482910692</v>
      </c>
      <c r="Z210" s="15">
        <f t="shared" si="993"/>
        <v>1.2934494509655432</v>
      </c>
      <c r="AA210" s="101">
        <f t="shared" si="947"/>
        <v>0.12608674933461894</v>
      </c>
      <c r="AB210" s="109"/>
      <c r="AC210" s="15">
        <f t="shared" si="987"/>
        <v>1.739679712184049E-3</v>
      </c>
      <c r="AD210" s="102">
        <f t="shared" ref="AD210:AL210" si="995">AD205/AD79</f>
        <v>0.14179947365291756</v>
      </c>
      <c r="AE210" s="102">
        <f t="shared" si="995"/>
        <v>0.13411652035317767</v>
      </c>
      <c r="AF210" s="102">
        <f t="shared" si="995"/>
        <v>0.12684984343222364</v>
      </c>
      <c r="AG210" s="102">
        <f t="shared" si="995"/>
        <v>0.1199768882789868</v>
      </c>
      <c r="AH210" s="102">
        <f t="shared" si="995"/>
        <v>0.11347632233223442</v>
      </c>
      <c r="AI210" s="102">
        <f t="shared" si="995"/>
        <v>0.10732796886768792</v>
      </c>
      <c r="AJ210" s="102">
        <f t="shared" si="995"/>
        <v>0.10151274437267499</v>
      </c>
      <c r="AK210" s="102">
        <f t="shared" si="995"/>
        <v>9.6012599313937325E-2</v>
      </c>
      <c r="AL210" s="102">
        <f t="shared" si="995"/>
        <v>9.0810462114745805E-2</v>
      </c>
      <c r="AM210" s="114">
        <f t="shared" si="949"/>
        <v>-9.5268867819858105E-2</v>
      </c>
      <c r="AN210" s="21">
        <f t="shared" si="950"/>
        <v>0.01</v>
      </c>
      <c r="AO210" s="108">
        <f t="shared" si="951"/>
        <v>0.39123358191845647</v>
      </c>
    </row>
    <row r="211" spans="2:41" x14ac:dyDescent="0.15">
      <c r="B211" s="10" t="s">
        <v>216</v>
      </c>
      <c r="C211" s="15"/>
      <c r="D211" s="15"/>
      <c r="E211" s="15"/>
      <c r="F211" s="15"/>
      <c r="G211" s="15">
        <f t="shared" ref="G211" si="996">G205/G88</f>
        <v>1.7577777777777777</v>
      </c>
      <c r="H211" s="15">
        <f t="shared" ref="H211:I211" si="997">H205/H88</f>
        <v>2.5080487804878047</v>
      </c>
      <c r="I211" s="15">
        <f t="shared" si="997"/>
        <v>4.9890566037735846</v>
      </c>
      <c r="J211" s="15">
        <f t="shared" ref="J211:Q211" si="998">J205/J88</f>
        <v>9.1476190476190471</v>
      </c>
      <c r="K211" s="15">
        <f t="shared" si="998"/>
        <v>16.316911764705885</v>
      </c>
      <c r="L211" s="15">
        <f t="shared" si="998"/>
        <v>2.6276923076923073</v>
      </c>
      <c r="M211" s="15">
        <f t="shared" si="998"/>
        <v>17.955897435897434</v>
      </c>
      <c r="N211" s="15">
        <f t="shared" si="998"/>
        <v>28.822499999999994</v>
      </c>
      <c r="O211" s="15">
        <f t="shared" si="998"/>
        <v>9.4811428571428564</v>
      </c>
      <c r="P211" s="15">
        <f t="shared" si="998"/>
        <v>11.719999999999999</v>
      </c>
      <c r="Q211" s="15">
        <f t="shared" si="998"/>
        <v>21.638327974276525</v>
      </c>
      <c r="R211" s="15">
        <f t="shared" ref="R211:V211" si="999">R205/R88</f>
        <v>59.779999999999994</v>
      </c>
      <c r="S211" s="15">
        <f t="shared" si="999"/>
        <v>90.23590361445784</v>
      </c>
      <c r="T211" s="15">
        <f t="shared" si="999"/>
        <v>48.105063291139238</v>
      </c>
      <c r="U211" s="15">
        <f t="shared" si="999"/>
        <v>93.004109589041079</v>
      </c>
      <c r="V211" s="15">
        <f t="shared" si="999"/>
        <v>133.66956521739129</v>
      </c>
      <c r="W211" s="15">
        <f t="shared" ref="W211" si="1000">W205/W88</f>
        <v>32.246473029045646</v>
      </c>
      <c r="X211" s="15">
        <f t="shared" ref="X211:Z211" si="1001">X205/X88</f>
        <v>32.141794310722098</v>
      </c>
      <c r="Y211" s="15">
        <f t="shared" ref="Y211" si="1002">Y205/Y88</f>
        <v>17.571746641074856</v>
      </c>
      <c r="Z211" s="15">
        <f t="shared" si="1001"/>
        <v>12.842105263157894</v>
      </c>
      <c r="AA211" s="101">
        <f t="shared" si="947"/>
        <v>0.25604040058015753</v>
      </c>
      <c r="AB211" s="109"/>
      <c r="AC211" s="102">
        <f t="shared" ref="AC211:AL211" si="1003">AC205/AC88</f>
        <v>1.488516746411483</v>
      </c>
      <c r="AD211" s="102">
        <f t="shared" si="1003"/>
        <v>1.4078662026968243</v>
      </c>
      <c r="AE211" s="102">
        <f t="shared" si="1003"/>
        <v>1.3315854520779782</v>
      </c>
      <c r="AF211" s="102">
        <f t="shared" si="1003"/>
        <v>1.2594377312199347</v>
      </c>
      <c r="AG211" s="102">
        <f t="shared" si="1003"/>
        <v>1.1911991050556545</v>
      </c>
      <c r="AH211" s="102">
        <f t="shared" si="1003"/>
        <v>1.1266577717271846</v>
      </c>
      <c r="AI211" s="102">
        <f t="shared" si="1003"/>
        <v>1.0656134051863297</v>
      </c>
      <c r="AJ211" s="102">
        <f t="shared" si="1003"/>
        <v>1.007876533414416</v>
      </c>
      <c r="AK211" s="102">
        <f t="shared" si="1003"/>
        <v>0.95326795033123468</v>
      </c>
      <c r="AL211" s="102">
        <f t="shared" si="1003"/>
        <v>0.90161815956783331</v>
      </c>
      <c r="AM211" s="114">
        <f t="shared" si="949"/>
        <v>-7.6789994157714814E-2</v>
      </c>
      <c r="AN211" s="21">
        <f t="shared" si="950"/>
        <v>0.01</v>
      </c>
      <c r="AO211" s="108">
        <f t="shared" si="951"/>
        <v>3.9637281255339518</v>
      </c>
    </row>
    <row r="212" spans="2:41" x14ac:dyDescent="0.15">
      <c r="B212" s="10" t="s">
        <v>217</v>
      </c>
      <c r="C212" s="15"/>
      <c r="D212" s="15"/>
      <c r="E212" s="15"/>
      <c r="F212" s="15"/>
      <c r="G212" s="15">
        <f t="shared" ref="G212" si="1004">G205/G90</f>
        <v>0.93058823529411761</v>
      </c>
      <c r="H212" s="15">
        <f t="shared" ref="H212:I212" si="1005">H205/H90</f>
        <v>1.2241666666666666</v>
      </c>
      <c r="I212" s="15">
        <f t="shared" si="1005"/>
        <v>2.698163265306122</v>
      </c>
      <c r="J212" s="15">
        <f t="shared" ref="J212:Q212" si="1006">J205/J90</f>
        <v>1.8741463414634145</v>
      </c>
      <c r="K212" s="15">
        <f t="shared" si="1006"/>
        <v>2.9353174603174601</v>
      </c>
      <c r="L212" s="15">
        <f t="shared" si="1006"/>
        <v>0.95182662538699681</v>
      </c>
      <c r="M212" s="15">
        <f t="shared" si="1006"/>
        <v>4.8295172413793095</v>
      </c>
      <c r="N212" s="15">
        <f t="shared" si="1006"/>
        <v>4.3860326086956514</v>
      </c>
      <c r="O212" s="15">
        <f t="shared" si="1006"/>
        <v>4.6088888888888881</v>
      </c>
      <c r="P212" s="15">
        <f t="shared" si="1006"/>
        <v>7.4804783258594911</v>
      </c>
      <c r="Q212" s="15">
        <f t="shared" si="1006"/>
        <v>10.150105580693815</v>
      </c>
      <c r="R212" s="15">
        <f t="shared" ref="R212:V212" si="1007">R205/R90</f>
        <v>19.570343878954606</v>
      </c>
      <c r="S212" s="15">
        <f t="shared" si="1007"/>
        <v>20.775533980582523</v>
      </c>
      <c r="T212" s="15">
        <f t="shared" si="1007"/>
        <v>19.414048531289911</v>
      </c>
      <c r="U212" s="15">
        <f t="shared" si="1007"/>
        <v>13.170320077594567</v>
      </c>
      <c r="V212" s="15">
        <f t="shared" si="1007"/>
        <v>9.965640194489465</v>
      </c>
      <c r="W212" s="15">
        <f t="shared" ref="W212" si="1008">W205/W90</f>
        <v>8.8613454960091218</v>
      </c>
      <c r="X212" s="15">
        <f t="shared" ref="X212:Z212" si="1009">X205/X90</f>
        <v>13.365605095541399</v>
      </c>
      <c r="Y212" s="15">
        <f t="shared" ref="Y212" si="1010">Y205/Y90</f>
        <v>7.7847619047619032</v>
      </c>
      <c r="Z212" s="15">
        <f t="shared" si="1009"/>
        <v>4.0570071258907356</v>
      </c>
      <c r="AA212" s="101">
        <f t="shared" si="947"/>
        <v>0.13291478483340247</v>
      </c>
      <c r="AB212" s="109"/>
      <c r="AC212" s="102">
        <f t="shared" ref="AC212:AL212" si="1011">AC205/AC90</f>
        <v>0.4702440077736989</v>
      </c>
      <c r="AD212" s="102">
        <f t="shared" si="1011"/>
        <v>0.44476533244341482</v>
      </c>
      <c r="AE212" s="102">
        <f t="shared" si="1011"/>
        <v>0.42066713806738976</v>
      </c>
      <c r="AF212" s="102">
        <f t="shared" si="1011"/>
        <v>0.3978746276775566</v>
      </c>
      <c r="AG212" s="102">
        <f t="shared" si="1011"/>
        <v>0.37631705694157258</v>
      </c>
      <c r="AH212" s="102">
        <f t="shared" si="1011"/>
        <v>0.35592751458364735</v>
      </c>
      <c r="AI212" s="102">
        <f t="shared" si="1011"/>
        <v>0.33664271470256973</v>
      </c>
      <c r="AJ212" s="102">
        <f t="shared" si="1011"/>
        <v>0.31840280034232138</v>
      </c>
      <c r="AK212" s="102">
        <f t="shared" si="1011"/>
        <v>0.30115115770559198</v>
      </c>
      <c r="AL212" s="102">
        <f t="shared" si="1011"/>
        <v>0.2848342404335435</v>
      </c>
      <c r="AM212" s="114">
        <f t="shared" si="949"/>
        <v>-6.2900260607705483E-2</v>
      </c>
      <c r="AN212" s="21">
        <f t="shared" si="950"/>
        <v>0.01</v>
      </c>
      <c r="AO212" s="108">
        <f t="shared" si="951"/>
        <v>1.2710385356203608</v>
      </c>
    </row>
    <row r="213" spans="2:41" x14ac:dyDescent="0.15">
      <c r="B213" s="10" t="s">
        <v>231</v>
      </c>
      <c r="C213" s="15"/>
      <c r="D213" s="15"/>
      <c r="E213" s="15"/>
      <c r="F213" s="15"/>
      <c r="G213" s="153">
        <f t="shared" ref="G213" si="1012">G205/G84</f>
        <v>0.30423076923076919</v>
      </c>
      <c r="H213" s="153">
        <f t="shared" ref="H213:I213" si="1013">H205/H84</f>
        <v>0.45906249999999993</v>
      </c>
      <c r="I213" s="153">
        <f t="shared" si="1013"/>
        <v>1.17</v>
      </c>
      <c r="J213" s="153">
        <f t="shared" ref="J213:Q213" si="1014">J205/J84</f>
        <v>1.4891472868217053</v>
      </c>
      <c r="K213" s="153">
        <f t="shared" si="1014"/>
        <v>3.2067919075144511</v>
      </c>
      <c r="L213" s="153">
        <f t="shared" si="1014"/>
        <v>0.78629156010230161</v>
      </c>
      <c r="M213" s="153">
        <f t="shared" si="1014"/>
        <v>1.8165499351491567</v>
      </c>
      <c r="N213" s="153">
        <f t="shared" si="1014"/>
        <v>1.7207462686567163</v>
      </c>
      <c r="O213" s="153">
        <f t="shared" si="1014"/>
        <v>2.0094117647058818</v>
      </c>
      <c r="P213" s="153">
        <f t="shared" si="1014"/>
        <v>2.9095581395348833</v>
      </c>
      <c r="Q213" s="153">
        <f t="shared" si="1014"/>
        <v>3.3867740312028181</v>
      </c>
      <c r="R213" s="153">
        <f t="shared" ref="R213:V213" si="1015">R205/R84</f>
        <v>6.0057577036724359</v>
      </c>
      <c r="S213" s="153">
        <f t="shared" si="1015"/>
        <v>5.4728388746803063</v>
      </c>
      <c r="T213" s="153">
        <f t="shared" si="1015"/>
        <v>4.6758535835127644</v>
      </c>
      <c r="U213" s="153">
        <f t="shared" si="1015"/>
        <v>3.6199946680885096</v>
      </c>
      <c r="V213" s="153">
        <f t="shared" si="1015"/>
        <v>2.9747460087082724</v>
      </c>
      <c r="W213" s="153">
        <f t="shared" ref="W213" si="1016">W205/W84</f>
        <v>1.8251291686237667</v>
      </c>
      <c r="X213" s="153">
        <f t="shared" ref="X213:Z213" si="1017">X205/X84</f>
        <v>2.8705882352941177</v>
      </c>
      <c r="Y213" s="153">
        <f t="shared" ref="Y213" si="1018">Y205/Y84</f>
        <v>1.6209065155807363</v>
      </c>
      <c r="Z213" s="153">
        <f t="shared" si="1017"/>
        <v>1.0559505409582688</v>
      </c>
      <c r="AA213" s="101">
        <f t="shared" si="947"/>
        <v>0.12750441273929902</v>
      </c>
      <c r="AB213" s="109"/>
      <c r="AC213" s="111">
        <f t="shared" ref="AC213:AL213" si="1019">AC205/AC84</f>
        <v>0.1223942672474357</v>
      </c>
      <c r="AD213" s="111">
        <f t="shared" si="1019"/>
        <v>0.11576272331293826</v>
      </c>
      <c r="AE213" s="111">
        <f t="shared" si="1019"/>
        <v>0.10949048848616451</v>
      </c>
      <c r="AF213" s="111">
        <f t="shared" si="1019"/>
        <v>0.10355809474636866</v>
      </c>
      <c r="AG213" s="111">
        <f t="shared" si="1019"/>
        <v>9.7947128885565407E-2</v>
      </c>
      <c r="AH213" s="111">
        <f t="shared" si="1019"/>
        <v>9.2640175356856577E-2</v>
      </c>
      <c r="AI213" s="111">
        <f t="shared" si="1019"/>
        <v>8.7620762219339621E-2</v>
      </c>
      <c r="AJ213" s="111">
        <f t="shared" si="1019"/>
        <v>8.2873310011819024E-2</v>
      </c>
      <c r="AK213" s="111">
        <f t="shared" si="1019"/>
        <v>7.8383083396633205E-2</v>
      </c>
      <c r="AL213" s="111">
        <f t="shared" si="1019"/>
        <v>7.4136145423506536E-2</v>
      </c>
      <c r="AM213" s="114">
        <f t="shared" ref="AM213" si="1020">((AL213/J213)^(1/($AL$3-$K$1) ))-1</f>
        <v>-9.8279070762916754E-2</v>
      </c>
      <c r="AN213" s="21">
        <f t="shared" ref="AN213:AN216" si="1021">$O$1</f>
        <v>0.01</v>
      </c>
      <c r="AO213" s="108">
        <f t="shared" si="951"/>
        <v>0.31833387591114221</v>
      </c>
    </row>
    <row r="214" spans="2:41" x14ac:dyDescent="0.15">
      <c r="B214" s="10"/>
      <c r="C214" s="15"/>
      <c r="D214" s="15"/>
      <c r="E214" s="15"/>
      <c r="F214" s="15"/>
      <c r="G214" s="153"/>
      <c r="H214" s="153"/>
      <c r="I214" s="153"/>
      <c r="J214" s="153"/>
      <c r="K214" s="153"/>
      <c r="L214" s="153"/>
      <c r="M214" s="153"/>
      <c r="N214" s="153"/>
      <c r="O214" s="153"/>
      <c r="P214" s="153"/>
      <c r="Q214" s="153"/>
      <c r="R214" s="153"/>
      <c r="S214" s="153"/>
      <c r="T214" s="153"/>
      <c r="U214" s="153"/>
      <c r="V214" s="153"/>
      <c r="W214" s="153"/>
      <c r="X214" s="153"/>
      <c r="Y214" s="153"/>
      <c r="Z214" s="153"/>
      <c r="AA214" s="153"/>
      <c r="AB214" s="109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/>
      <c r="AN214" s="111"/>
      <c r="AO214" s="108"/>
    </row>
    <row r="215" spans="2:41" x14ac:dyDescent="0.15">
      <c r="B215" s="10" t="s">
        <v>264</v>
      </c>
      <c r="C215" s="127"/>
      <c r="D215" s="127"/>
      <c r="E215" s="127"/>
      <c r="F215" s="127"/>
      <c r="G215" s="127">
        <f t="shared" ref="G215" si="1022">G63/G205</f>
        <v>2.6785714285714284E-2</v>
      </c>
      <c r="H215" s="127">
        <f t="shared" ref="H215:I215" si="1023">H63/H205</f>
        <v>2.197802197802198E-2</v>
      </c>
      <c r="I215" s="127">
        <f t="shared" si="1023"/>
        <v>1.0683760683760684E-2</v>
      </c>
      <c r="J215" s="127">
        <f t="shared" ref="J215:Q215" si="1024">J63/J205</f>
        <v>1.0294117647058823E-2</v>
      </c>
      <c r="K215" s="127">
        <f t="shared" si="1024"/>
        <v>3.5897435897435893E-3</v>
      </c>
      <c r="L215" s="127">
        <f t="shared" si="1024"/>
        <v>2.2222222222222223E-2</v>
      </c>
      <c r="M215" s="127">
        <f t="shared" si="1024"/>
        <v>1.7682926829268291E-2</v>
      </c>
      <c r="N215" s="127">
        <f t="shared" si="1024"/>
        <v>2.4338624338624337E-2</v>
      </c>
      <c r="O215" s="127">
        <f t="shared" si="1024"/>
        <v>1.3897058823529412E-2</v>
      </c>
      <c r="P215" s="127">
        <f t="shared" si="1024"/>
        <v>8.6006825938566549E-3</v>
      </c>
      <c r="Q215" s="127">
        <f t="shared" si="1024"/>
        <v>8.1979695431472089E-3</v>
      </c>
      <c r="R215" s="127">
        <f t="shared" ref="R215:V215" si="1025">R63/R205</f>
        <v>4.3337334933973588E-3</v>
      </c>
      <c r="S215" s="127">
        <f t="shared" si="1025"/>
        <v>4.8460661345496011E-3</v>
      </c>
      <c r="T215" s="127">
        <f t="shared" si="1025"/>
        <v>4.7752808988764045E-3</v>
      </c>
      <c r="U215" s="127">
        <f t="shared" si="1025"/>
        <v>5.2201257861635222E-3</v>
      </c>
      <c r="V215" s="127">
        <f t="shared" si="1025"/>
        <v>7.0555555555555554E-3</v>
      </c>
      <c r="W215" s="127">
        <f t="shared" ref="W215" si="1026">W63/W205</f>
        <v>2.4175824175824177E-2</v>
      </c>
      <c r="X215" s="127">
        <f t="shared" ref="X215:Z215" si="1027">X63/X205</f>
        <v>1.2790697674418604E-2</v>
      </c>
      <c r="Y215" s="127">
        <f t="shared" ref="Y215" si="1028">Y63/Y205</f>
        <v>7.462686567164179E-3</v>
      </c>
      <c r="Z215" s="127">
        <f t="shared" si="1027"/>
        <v>1.525E-2</v>
      </c>
      <c r="AA215" s="101">
        <f t="shared" si="947"/>
        <v>-6.7805071250678473E-2</v>
      </c>
      <c r="AB215" s="109"/>
      <c r="AC215" s="127">
        <f t="shared" ref="AC215:AL215" si="1029">AC63/AC205</f>
        <v>0.12444</v>
      </c>
      <c r="AD215" s="127">
        <f t="shared" si="1029"/>
        <v>0.12444</v>
      </c>
      <c r="AE215" s="127">
        <f t="shared" si="1029"/>
        <v>0.12443999999999998</v>
      </c>
      <c r="AF215" s="127">
        <f t="shared" si="1029"/>
        <v>0.12443999999999998</v>
      </c>
      <c r="AG215" s="127">
        <f t="shared" si="1029"/>
        <v>0.12443999999999998</v>
      </c>
      <c r="AH215" s="127">
        <f t="shared" si="1029"/>
        <v>0.12443999999999997</v>
      </c>
      <c r="AI215" s="127">
        <f t="shared" si="1029"/>
        <v>0.12443999999999997</v>
      </c>
      <c r="AJ215" s="127">
        <f t="shared" si="1029"/>
        <v>0.12443999999999997</v>
      </c>
      <c r="AK215" s="127">
        <f t="shared" si="1029"/>
        <v>0.12443999999999997</v>
      </c>
      <c r="AL215" s="127">
        <f t="shared" si="1029"/>
        <v>0.12443999999999997</v>
      </c>
      <c r="AM215" s="114">
        <f t="shared" ref="AM215:AM220" si="1030">((AL215/J215)^(1/($AL$3-$K$1) ))-1</f>
        <v>8.9740605275967944E-2</v>
      </c>
      <c r="AN215" s="21">
        <f t="shared" si="1021"/>
        <v>0.01</v>
      </c>
      <c r="AO215" s="108">
        <f t="shared" si="951"/>
        <v>0.64574914724067345</v>
      </c>
    </row>
    <row r="216" spans="2:41" x14ac:dyDescent="0.15">
      <c r="B216" s="10" t="s">
        <v>132</v>
      </c>
      <c r="C216" s="127"/>
      <c r="D216" s="127"/>
      <c r="E216" s="127"/>
      <c r="F216" s="127"/>
      <c r="G216" s="137">
        <f t="shared" ref="G216" si="1031">G205*G61</f>
        <v>63.279999999999994</v>
      </c>
      <c r="H216" s="137">
        <f t="shared" ref="H216:I216" si="1032">H205*H61</f>
        <v>102.82999999999998</v>
      </c>
      <c r="I216" s="137">
        <f t="shared" si="1032"/>
        <v>264.41999999999996</v>
      </c>
      <c r="J216" s="137">
        <f t="shared" ref="J216:Q216" si="1033">J205*J61</f>
        <v>384.2</v>
      </c>
      <c r="K216" s="137">
        <f t="shared" si="1033"/>
        <v>1109.5500000000002</v>
      </c>
      <c r="L216" s="137">
        <f t="shared" si="1033"/>
        <v>307.43999999999994</v>
      </c>
      <c r="M216" s="137">
        <f t="shared" si="1033"/>
        <v>1400.56</v>
      </c>
      <c r="N216" s="137">
        <f t="shared" si="1033"/>
        <v>1614.06</v>
      </c>
      <c r="O216" s="137">
        <f t="shared" si="1033"/>
        <v>2322.8799999999997</v>
      </c>
      <c r="P216" s="137">
        <f t="shared" si="1033"/>
        <v>5004.4399999999996</v>
      </c>
      <c r="Q216" s="137">
        <f t="shared" si="1033"/>
        <v>6729.5199999999995</v>
      </c>
      <c r="R216" s="137">
        <f t="shared" ref="R216:V216" si="1034">R205*R61</f>
        <v>14227.64</v>
      </c>
      <c r="S216" s="137">
        <f t="shared" si="1034"/>
        <v>14979.159999999998</v>
      </c>
      <c r="T216" s="137">
        <f t="shared" si="1034"/>
        <v>15201.199999999999</v>
      </c>
      <c r="U216" s="137">
        <f t="shared" si="1034"/>
        <v>13578.599999999999</v>
      </c>
      <c r="V216" s="137">
        <f t="shared" si="1034"/>
        <v>12297.599999999999</v>
      </c>
      <c r="W216" s="137">
        <f t="shared" ref="W216" si="1035">W205*W61</f>
        <v>7771.4</v>
      </c>
      <c r="X216" s="137">
        <f t="shared" ref="X216:Z216" si="1036">X205*X61</f>
        <v>14688.8</v>
      </c>
      <c r="Y216" s="137">
        <f t="shared" ref="Y216" si="1037">Y205*Y61</f>
        <v>9154.8799999999992</v>
      </c>
      <c r="Z216" s="137">
        <f t="shared" si="1036"/>
        <v>6831.9999999999991</v>
      </c>
      <c r="AA216" s="101">
        <f t="shared" si="947"/>
        <v>0.31962399817472442</v>
      </c>
      <c r="AB216" s="109"/>
      <c r="AC216" s="137">
        <f t="shared" ref="AC216:AL216" si="1038">AC205*AC61</f>
        <v>871.07999999999993</v>
      </c>
      <c r="AD216" s="137">
        <f t="shared" si="1038"/>
        <v>906.27163199999984</v>
      </c>
      <c r="AE216" s="137">
        <f t="shared" si="1038"/>
        <v>942.8850059327998</v>
      </c>
      <c r="AF216" s="137">
        <f t="shared" si="1038"/>
        <v>980.97756017248491</v>
      </c>
      <c r="AG216" s="137">
        <f t="shared" si="1038"/>
        <v>1020.6090536034533</v>
      </c>
      <c r="AH216" s="137">
        <f t="shared" si="1038"/>
        <v>1061.8416593690329</v>
      </c>
      <c r="AI216" s="137">
        <f t="shared" si="1038"/>
        <v>1104.7400624075419</v>
      </c>
      <c r="AJ216" s="137">
        <f t="shared" si="1038"/>
        <v>1149.3715609288067</v>
      </c>
      <c r="AK216" s="137">
        <f t="shared" si="1038"/>
        <v>1195.8061719903303</v>
      </c>
      <c r="AL216" s="137">
        <f t="shared" si="1038"/>
        <v>1244.1167413387398</v>
      </c>
      <c r="AM216" s="114">
        <f t="shared" si="1030"/>
        <v>4.1349905247846763E-2</v>
      </c>
      <c r="AN216" s="21">
        <f t="shared" si="1021"/>
        <v>0.01</v>
      </c>
      <c r="AO216" s="108">
        <f t="shared" si="951"/>
        <v>6169.3373843350319</v>
      </c>
    </row>
    <row r="217" spans="2:41" x14ac:dyDescent="0.15">
      <c r="B217" s="10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  <c r="AA217" s="153"/>
      <c r="AB217" s="109"/>
      <c r="AC217" s="127"/>
      <c r="AD217" s="127"/>
      <c r="AE217" s="127"/>
      <c r="AF217" s="127"/>
      <c r="AG217" s="127"/>
      <c r="AH217" s="127"/>
      <c r="AI217" s="127"/>
      <c r="AJ217" s="127"/>
      <c r="AK217" s="127"/>
      <c r="AL217" s="111"/>
      <c r="AM217" s="111"/>
      <c r="AN217" s="111"/>
      <c r="AO217" s="108"/>
    </row>
    <row r="218" spans="2:41" x14ac:dyDescent="0.15">
      <c r="B218" s="10" t="s">
        <v>313</v>
      </c>
      <c r="C218" s="134"/>
      <c r="D218" s="134"/>
      <c r="E218" s="134"/>
      <c r="F218" s="134"/>
      <c r="G218" s="134">
        <f t="shared" ref="G218" si="1039">G76/G205</f>
        <v>1.5802781289506955E-2</v>
      </c>
      <c r="H218" s="134">
        <f t="shared" ref="H218:I218" si="1040">H76/H205</f>
        <v>8.7523096372653902E-2</v>
      </c>
      <c r="I218" s="134">
        <f t="shared" si="1040"/>
        <v>9.076469253460405E-2</v>
      </c>
      <c r="J218" s="134">
        <f t="shared" ref="J218:Q218" si="1041">J76/J205</f>
        <v>0.12233211868818326</v>
      </c>
      <c r="K218" s="134">
        <f t="shared" si="1041"/>
        <v>8.4719030237483645E-2</v>
      </c>
      <c r="L218" s="134">
        <f t="shared" si="1041"/>
        <v>0.26346604215456676</v>
      </c>
      <c r="M218" s="134">
        <f t="shared" si="1041"/>
        <v>0.11923801907808307</v>
      </c>
      <c r="N218" s="134">
        <f t="shared" si="1041"/>
        <v>9.1694236893300141E-2</v>
      </c>
      <c r="O218" s="134">
        <f t="shared" si="1041"/>
        <v>9.2557514809202379E-2</v>
      </c>
      <c r="P218" s="134">
        <f t="shared" si="1041"/>
        <v>5.7349074022268236E-2</v>
      </c>
      <c r="Q218" s="134">
        <f t="shared" si="1041"/>
        <v>5.4535836136901293E-2</v>
      </c>
      <c r="R218" s="134">
        <f t="shared" ref="R218:V218" si="1042">R76/R205</f>
        <v>2.8817147467886457E-2</v>
      </c>
      <c r="S218" s="134">
        <f t="shared" si="1042"/>
        <v>3.2645355280269392E-2</v>
      </c>
      <c r="T218" s="134">
        <f t="shared" si="1042"/>
        <v>3.1444885930058154E-2</v>
      </c>
      <c r="U218" s="134">
        <f t="shared" si="1042"/>
        <v>3.4686933851796213E-2</v>
      </c>
      <c r="V218" s="134">
        <f t="shared" si="1042"/>
        <v>3.9275956284153007E-2</v>
      </c>
      <c r="W218" s="134">
        <f t="shared" ref="W218" si="1043">W76/W205</f>
        <v>8.5055459762719735E-2</v>
      </c>
      <c r="X218" s="134">
        <f t="shared" ref="X218:Z218" si="1044">X76/X205</f>
        <v>4.4047165187081322E-2</v>
      </c>
      <c r="Y218" s="134">
        <f t="shared" ref="Y218" si="1045">Y76/Y205</f>
        <v>5.5926456709427107E-2</v>
      </c>
      <c r="Z218" s="134">
        <f t="shared" si="1044"/>
        <v>0.10158079625292742</v>
      </c>
      <c r="AA218" s="101">
        <f t="shared" si="947"/>
        <v>4.9083775263376817E-2</v>
      </c>
      <c r="AB218" s="109"/>
      <c r="AC218" s="134">
        <f t="shared" ref="AC218:AL218" si="1046">AC76/AC205</f>
        <v>0.87638334022133468</v>
      </c>
      <c r="AD218" s="134">
        <f t="shared" si="1046"/>
        <v>0.92658753771959645</v>
      </c>
      <c r="AE218" s="134">
        <f t="shared" si="1046"/>
        <v>0.97966771577427547</v>
      </c>
      <c r="AF218" s="134">
        <f t="shared" si="1046"/>
        <v>1.0357886268278576</v>
      </c>
      <c r="AG218" s="134">
        <f t="shared" si="1046"/>
        <v>1.0951244612751283</v>
      </c>
      <c r="AH218" s="134">
        <f t="shared" si="1046"/>
        <v>1.1578593881224923</v>
      </c>
      <c r="AI218" s="134">
        <f t="shared" si="1046"/>
        <v>1.2241881266193211</v>
      </c>
      <c r="AJ218" s="134">
        <f t="shared" si="1046"/>
        <v>1.294316550635576</v>
      </c>
      <c r="AK218" s="134">
        <f t="shared" si="1046"/>
        <v>1.368462327661605</v>
      </c>
      <c r="AL218" s="134">
        <f t="shared" si="1046"/>
        <v>1.4468555944134618</v>
      </c>
      <c r="AM218" s="114">
        <f t="shared" ref="AM218" si="1047">((AL218/J218)^(1/($AL$3-$K$1) ))-1</f>
        <v>8.8920123659921524E-2</v>
      </c>
      <c r="AN218" s="21">
        <f t="shared" ref="AN218" si="1048">$O$1</f>
        <v>0.01</v>
      </c>
      <c r="AO218" s="108">
        <f t="shared" ref="AO218" si="1049">(AL218*(1+AM218))/($C$1-AN218)</f>
        <v>7.5024293942226477</v>
      </c>
    </row>
    <row r="219" spans="2:41" x14ac:dyDescent="0.15">
      <c r="B219" s="10" t="str">
        <f>B207</f>
        <v>P/E (how many years it will take to recover invested amount)</v>
      </c>
      <c r="C219" s="127"/>
      <c r="D219" s="127"/>
      <c r="E219" s="127"/>
      <c r="F219" s="127"/>
      <c r="G219" s="152">
        <f t="shared" ref="G219" si="1050">G207</f>
        <v>63.279999999999994</v>
      </c>
      <c r="H219" s="152">
        <f t="shared" ref="H219:I219" si="1051">H207</f>
        <v>11.425555555555555</v>
      </c>
      <c r="I219" s="152">
        <f t="shared" si="1051"/>
        <v>11.0175</v>
      </c>
      <c r="J219" s="152">
        <f t="shared" ref="J219:Q219" si="1052">J207</f>
        <v>8.1744680851063816</v>
      </c>
      <c r="K219" s="152">
        <f t="shared" si="1052"/>
        <v>11.803723404255321</v>
      </c>
      <c r="L219" s="152">
        <f t="shared" si="1052"/>
        <v>3.7955555555555556</v>
      </c>
      <c r="M219" s="152">
        <f t="shared" si="1052"/>
        <v>8.3865868263473047</v>
      </c>
      <c r="N219" s="152">
        <f t="shared" si="1052"/>
        <v>10.905810810810809</v>
      </c>
      <c r="O219" s="152">
        <f t="shared" si="1052"/>
        <v>10.804093023255813</v>
      </c>
      <c r="P219" s="152">
        <f t="shared" si="1052"/>
        <v>17.437073170731704</v>
      </c>
      <c r="Q219" s="152">
        <f t="shared" si="1052"/>
        <v>18.336566757493188</v>
      </c>
      <c r="R219" s="152">
        <f t="shared" ref="R219:V219" si="1053">R207</f>
        <v>34.701560975609752</v>
      </c>
      <c r="S219" s="152">
        <f t="shared" si="1053"/>
        <v>30.632229038854803</v>
      </c>
      <c r="T219" s="152">
        <f t="shared" si="1053"/>
        <v>31.801673640167362</v>
      </c>
      <c r="U219" s="152">
        <f t="shared" si="1053"/>
        <v>28.829299363057324</v>
      </c>
      <c r="V219" s="152">
        <f t="shared" si="1053"/>
        <v>25.46086956521739</v>
      </c>
      <c r="W219" s="152">
        <f t="shared" ref="W219" si="1054">W207</f>
        <v>11.757034795763992</v>
      </c>
      <c r="X219" s="152">
        <f t="shared" ref="X219:Z219" si="1055">X207</f>
        <v>22.702936630602778</v>
      </c>
      <c r="Y219" s="152">
        <f t="shared" ref="Y219" si="1056">Y207</f>
        <v>17.880624999999998</v>
      </c>
      <c r="Z219" s="152">
        <f t="shared" si="1055"/>
        <v>9.8443804034582119</v>
      </c>
      <c r="AA219" s="101">
        <f t="shared" si="947"/>
        <v>-4.6787278976890168E-2</v>
      </c>
      <c r="AB219" s="109"/>
      <c r="AC219" s="127">
        <f t="shared" ref="AC219:AL219" si="1057">AC207</f>
        <v>1.1410531831281108</v>
      </c>
      <c r="AD219" s="127">
        <f t="shared" si="1057"/>
        <v>1.0792288470240785</v>
      </c>
      <c r="AE219" s="127">
        <f t="shared" si="1057"/>
        <v>1.0207542658580466</v>
      </c>
      <c r="AF219" s="127">
        <f t="shared" si="1057"/>
        <v>0.96544794381701049</v>
      </c>
      <c r="AG219" s="127">
        <f t="shared" si="1057"/>
        <v>0.91313821886110691</v>
      </c>
      <c r="AH219" s="127">
        <f t="shared" si="1057"/>
        <v>0.86366272991190518</v>
      </c>
      <c r="AI219" s="127">
        <f t="shared" si="1057"/>
        <v>0.81686791290940552</v>
      </c>
      <c r="AJ219" s="127">
        <f t="shared" si="1057"/>
        <v>0.77260852417358683</v>
      </c>
      <c r="AK219" s="127">
        <f t="shared" si="1057"/>
        <v>0.73074718959109064</v>
      </c>
      <c r="AL219" s="127">
        <f t="shared" si="1057"/>
        <v>0.69115397822779145</v>
      </c>
      <c r="AM219" s="114">
        <f t="shared" ref="AM219" si="1058">((AL219/J219)^(1/($AL$3-$K$1) ))-1</f>
        <v>-8.1658995667245104E-2</v>
      </c>
      <c r="AN219" s="21">
        <f t="shared" ref="AN219:AN221" si="1059">$O$1</f>
        <v>0.01</v>
      </c>
      <c r="AO219" s="152">
        <f>(AO206)/($O$2*100)</f>
        <v>2.0104563863921919E-2</v>
      </c>
    </row>
    <row r="220" spans="2:41" x14ac:dyDescent="0.15">
      <c r="B220" s="10" t="s">
        <v>431</v>
      </c>
      <c r="C220" s="152"/>
      <c r="D220" s="152"/>
      <c r="E220" s="152"/>
      <c r="F220" s="152"/>
      <c r="G220" s="152">
        <f t="shared" ref="G220" si="1060">(G207)/($O$2*100)</f>
        <v>6.3279999999999994</v>
      </c>
      <c r="H220" s="152">
        <f t="shared" ref="H220:I220" si="1061">(H207)/($O$2*100)</f>
        <v>1.1425555555555555</v>
      </c>
      <c r="I220" s="152">
        <f t="shared" si="1061"/>
        <v>1.10175</v>
      </c>
      <c r="J220" s="152">
        <f t="shared" ref="J220:Q220" si="1062">(J207)/($O$2*100)</f>
        <v>0.81744680851063811</v>
      </c>
      <c r="K220" s="152">
        <f t="shared" si="1062"/>
        <v>1.180372340425532</v>
      </c>
      <c r="L220" s="152">
        <f t="shared" si="1062"/>
        <v>0.37955555555555553</v>
      </c>
      <c r="M220" s="152">
        <f t="shared" si="1062"/>
        <v>0.83865868263473042</v>
      </c>
      <c r="N220" s="152">
        <f t="shared" si="1062"/>
        <v>1.090581081081081</v>
      </c>
      <c r="O220" s="152">
        <f t="shared" si="1062"/>
        <v>1.0804093023255814</v>
      </c>
      <c r="P220" s="152">
        <f t="shared" si="1062"/>
        <v>1.7437073170731705</v>
      </c>
      <c r="Q220" s="152">
        <f t="shared" si="1062"/>
        <v>1.8336566757493187</v>
      </c>
      <c r="R220" s="152">
        <f t="shared" ref="R220:V220" si="1063">(R207)/($O$2*100)</f>
        <v>3.4701560975609751</v>
      </c>
      <c r="S220" s="152">
        <f t="shared" si="1063"/>
        <v>3.0632229038854804</v>
      </c>
      <c r="T220" s="152">
        <f t="shared" si="1063"/>
        <v>3.1801673640167363</v>
      </c>
      <c r="U220" s="152">
        <f t="shared" si="1063"/>
        <v>2.8829299363057324</v>
      </c>
      <c r="V220" s="152">
        <f t="shared" si="1063"/>
        <v>2.546086956521739</v>
      </c>
      <c r="W220" s="152">
        <f t="shared" ref="W220" si="1064">(W207)/($O$2*100)</f>
        <v>1.1757034795763992</v>
      </c>
      <c r="X220" s="152">
        <f t="shared" ref="X220:Z220" si="1065">(X207)/($O$2*100)</f>
        <v>2.2702936630602779</v>
      </c>
      <c r="Y220" s="152">
        <f t="shared" ref="Y220" si="1066">(Y207)/($O$2*100)</f>
        <v>1.7880624999999999</v>
      </c>
      <c r="Z220" s="152">
        <f t="shared" si="1065"/>
        <v>0.98443804034582116</v>
      </c>
      <c r="AA220" s="101">
        <f t="shared" si="947"/>
        <v>-4.6787278976890168E-2</v>
      </c>
      <c r="AB220" s="109"/>
      <c r="AC220" s="152">
        <f t="shared" ref="AC220:AL220" si="1067">(AC207)/($O$2*100)</f>
        <v>0.11410531831281108</v>
      </c>
      <c r="AD220" s="152">
        <f t="shared" si="1067"/>
        <v>0.10792288470240785</v>
      </c>
      <c r="AE220" s="152">
        <f t="shared" si="1067"/>
        <v>0.10207542658580467</v>
      </c>
      <c r="AF220" s="152">
        <f t="shared" si="1067"/>
        <v>9.6544794381701049E-2</v>
      </c>
      <c r="AG220" s="152">
        <f t="shared" si="1067"/>
        <v>9.1313821886110688E-2</v>
      </c>
      <c r="AH220" s="152">
        <f t="shared" si="1067"/>
        <v>8.6366272991190512E-2</v>
      </c>
      <c r="AI220" s="152">
        <f t="shared" si="1067"/>
        <v>8.1686791290940558E-2</v>
      </c>
      <c r="AJ220" s="152">
        <f t="shared" si="1067"/>
        <v>7.726085241735868E-2</v>
      </c>
      <c r="AK220" s="152">
        <f t="shared" si="1067"/>
        <v>7.3074718959109067E-2</v>
      </c>
      <c r="AL220" s="152">
        <f t="shared" si="1067"/>
        <v>6.9115397822779145E-2</v>
      </c>
      <c r="AM220" s="114">
        <f t="shared" si="1030"/>
        <v>-8.1658995667245104E-2</v>
      </c>
      <c r="AN220" s="21">
        <f t="shared" si="1059"/>
        <v>0.01</v>
      </c>
      <c r="AO220" s="152">
        <f>(AO207)/($O$2*100)</f>
        <v>0.30224525643537575</v>
      </c>
    </row>
    <row r="221" spans="2:41" x14ac:dyDescent="0.15">
      <c r="B221" s="10" t="s">
        <v>432</v>
      </c>
      <c r="C221" s="127"/>
      <c r="D221" s="127"/>
      <c r="E221" s="127"/>
      <c r="F221" s="127"/>
      <c r="G221" s="127">
        <f t="shared" ref="G221" si="1068">G220-1</f>
        <v>5.3279999999999994</v>
      </c>
      <c r="H221" s="127">
        <f t="shared" ref="H221:I221" si="1069">H220-1</f>
        <v>0.14255555555555555</v>
      </c>
      <c r="I221" s="127">
        <f t="shared" si="1069"/>
        <v>0.10175000000000001</v>
      </c>
      <c r="J221" s="127">
        <f t="shared" ref="J221:Q221" si="1070">J220-1</f>
        <v>-0.18255319148936189</v>
      </c>
      <c r="K221" s="127">
        <f t="shared" si="1070"/>
        <v>0.18037234042553196</v>
      </c>
      <c r="L221" s="127">
        <f t="shared" si="1070"/>
        <v>-0.62044444444444447</v>
      </c>
      <c r="M221" s="127">
        <f t="shared" si="1070"/>
        <v>-0.16134131736526958</v>
      </c>
      <c r="N221" s="127">
        <f t="shared" si="1070"/>
        <v>9.0581081081080983E-2</v>
      </c>
      <c r="O221" s="127">
        <f t="shared" si="1070"/>
        <v>8.0409302325581411E-2</v>
      </c>
      <c r="P221" s="127">
        <f t="shared" si="1070"/>
        <v>0.7437073170731705</v>
      </c>
      <c r="Q221" s="127">
        <f t="shared" si="1070"/>
        <v>0.83365667574931868</v>
      </c>
      <c r="R221" s="127">
        <f t="shared" ref="R221:V221" si="1071">R220-1</f>
        <v>2.4701560975609751</v>
      </c>
      <c r="S221" s="127">
        <f t="shared" si="1071"/>
        <v>2.0632229038854804</v>
      </c>
      <c r="T221" s="127">
        <f t="shared" si="1071"/>
        <v>2.1801673640167363</v>
      </c>
      <c r="U221" s="127">
        <f t="shared" si="1071"/>
        <v>1.8829299363057324</v>
      </c>
      <c r="V221" s="127">
        <f t="shared" si="1071"/>
        <v>1.546086956521739</v>
      </c>
      <c r="W221" s="127">
        <f t="shared" ref="W221" si="1072">W220-1</f>
        <v>0.1757034795763992</v>
      </c>
      <c r="X221" s="127">
        <f t="shared" ref="X221:Z221" si="1073">X220-1</f>
        <v>1.2702936630602779</v>
      </c>
      <c r="Y221" s="127">
        <f t="shared" ref="Y221" si="1074">Y220-1</f>
        <v>0.78806249999999989</v>
      </c>
      <c r="Z221" s="127">
        <f t="shared" si="1073"/>
        <v>-1.5561959654178836E-2</v>
      </c>
      <c r="AA221" s="101">
        <f t="shared" si="947"/>
        <v>-6.3043436359831229E-2</v>
      </c>
      <c r="AB221" s="109"/>
      <c r="AC221" s="127">
        <f t="shared" ref="AC221:AL221" si="1075">AC220-1</f>
        <v>-0.88589468168718888</v>
      </c>
      <c r="AD221" s="127">
        <f t="shared" si="1075"/>
        <v>-0.89207711529759215</v>
      </c>
      <c r="AE221" s="127">
        <f t="shared" si="1075"/>
        <v>-0.89792457341419529</v>
      </c>
      <c r="AF221" s="127">
        <f t="shared" si="1075"/>
        <v>-0.90345520561829895</v>
      </c>
      <c r="AG221" s="127">
        <f t="shared" si="1075"/>
        <v>-0.9086861781138893</v>
      </c>
      <c r="AH221" s="127">
        <f t="shared" si="1075"/>
        <v>-0.91363372700880952</v>
      </c>
      <c r="AI221" s="127">
        <f t="shared" si="1075"/>
        <v>-0.91831320870905941</v>
      </c>
      <c r="AJ221" s="127">
        <f t="shared" si="1075"/>
        <v>-0.92273914758264131</v>
      </c>
      <c r="AK221" s="127">
        <f t="shared" si="1075"/>
        <v>-0.92692528104089089</v>
      </c>
      <c r="AL221" s="127">
        <f t="shared" si="1075"/>
        <v>-0.9308846021772208</v>
      </c>
      <c r="AM221" s="114">
        <f t="shared" ref="AM221" si="1076">((AL221/J221)^(1/($AL$3-$K$1) ))-1</f>
        <v>5.7783462651119777E-2</v>
      </c>
      <c r="AN221" s="21">
        <f t="shared" si="1059"/>
        <v>0.01</v>
      </c>
      <c r="AO221" s="152">
        <f>(AO208)/($O$2*100)</f>
        <v>0.16807332085354504</v>
      </c>
    </row>
    <row r="222" spans="2:41" x14ac:dyDescent="0.15">
      <c r="B222" s="10"/>
      <c r="C222" s="127"/>
      <c r="D222" s="127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  <c r="AA222" s="153"/>
      <c r="AB222" s="109"/>
      <c r="AC222" s="127"/>
      <c r="AD222" s="127"/>
      <c r="AE222" s="127"/>
      <c r="AF222" s="127"/>
      <c r="AG222" s="127"/>
      <c r="AH222" s="127"/>
      <c r="AI222" s="127"/>
      <c r="AJ222" s="127"/>
      <c r="AK222" s="127"/>
      <c r="AL222" s="111"/>
      <c r="AM222" s="113"/>
      <c r="AN222" s="10"/>
      <c r="AO222" s="108"/>
    </row>
    <row r="223" spans="2:41" x14ac:dyDescent="0.15">
      <c r="B223" s="10" t="s">
        <v>501</v>
      </c>
      <c r="C223" s="127"/>
      <c r="D223" s="127"/>
      <c r="E223" s="127"/>
      <c r="F223" s="127"/>
      <c r="G223" s="127">
        <f t="shared" ref="G223:Z223" si="1077">1/G224</f>
        <v>0.32854842756774844</v>
      </c>
      <c r="H223" s="127">
        <f t="shared" si="1077"/>
        <v>0.20218364773399905</v>
      </c>
      <c r="I223" s="127">
        <f t="shared" si="1077"/>
        <v>7.8626974118777407E-2</v>
      </c>
      <c r="J223" s="127">
        <f t="shared" si="1077"/>
        <v>5.4113858658217391E-2</v>
      </c>
      <c r="K223" s="127">
        <f t="shared" si="1077"/>
        <v>9.4352368942532891E-2</v>
      </c>
      <c r="L223" s="127">
        <f t="shared" si="1077"/>
        <v>0.51107533177205311</v>
      </c>
      <c r="M223" s="127">
        <f t="shared" si="1077"/>
        <v>0.11218726794996289</v>
      </c>
      <c r="N223" s="127">
        <f t="shared" si="1077"/>
        <v>9.7347682242295827E-2</v>
      </c>
      <c r="O223" s="127">
        <f t="shared" si="1077"/>
        <v>6.7642323322771744E-2</v>
      </c>
      <c r="P223" s="127">
        <f t="shared" si="1077"/>
        <v>6.2794238716020176E-2</v>
      </c>
      <c r="Q223" s="127">
        <f t="shared" si="1077"/>
        <v>4.6697238436025162E-2</v>
      </c>
      <c r="R223" s="127">
        <f t="shared" si="1077"/>
        <v>2.2087289248251995E-2</v>
      </c>
      <c r="S223" s="127">
        <f t="shared" si="1077"/>
        <v>2.0979147028271281E-2</v>
      </c>
      <c r="T223" s="127">
        <f t="shared" si="1077"/>
        <v>2.0672710049206643E-2</v>
      </c>
      <c r="U223" s="127">
        <f t="shared" si="1077"/>
        <v>2.314303389156467E-2</v>
      </c>
      <c r="V223" s="127">
        <f t="shared" si="1077"/>
        <v>2.5553766588602658E-2</v>
      </c>
      <c r="W223" s="127">
        <f t="shared" si="1077"/>
        <v>4.0436729546799811E-2</v>
      </c>
      <c r="X223" s="127">
        <f t="shared" si="1077"/>
        <v>2.1393851097434784E-2</v>
      </c>
      <c r="Y223" s="127">
        <f t="shared" si="1077"/>
        <v>3.4325955119018495E-2</v>
      </c>
      <c r="Z223" s="127">
        <f t="shared" si="1077"/>
        <v>4.5996779859484783E-2</v>
      </c>
      <c r="AA223" s="101">
        <f t="shared" si="947"/>
        <v>-0.12577348312278147</v>
      </c>
      <c r="AB223" s="109"/>
      <c r="AC223" s="127">
        <f t="shared" ref="AC223:AL223" si="1078">1/AC224</f>
        <v>0.36797423887587827</v>
      </c>
      <c r="AD223" s="127">
        <f t="shared" si="1078"/>
        <v>0.36075905772144923</v>
      </c>
      <c r="AE223" s="127">
        <f t="shared" si="1078"/>
        <v>0.35368535070730317</v>
      </c>
      <c r="AF223" s="127">
        <f t="shared" si="1078"/>
        <v>0.34675034383068937</v>
      </c>
      <c r="AG223" s="127">
        <f t="shared" si="1078"/>
        <v>0.33995131748106805</v>
      </c>
      <c r="AH223" s="127">
        <f t="shared" si="1078"/>
        <v>0.33328560537359608</v>
      </c>
      <c r="AI223" s="127">
        <f t="shared" si="1078"/>
        <v>0.32675059350352559</v>
      </c>
      <c r="AJ223" s="127">
        <f t="shared" si="1078"/>
        <v>0.32034371912110354</v>
      </c>
      <c r="AK223" s="127">
        <f t="shared" si="1078"/>
        <v>0.31406246972657209</v>
      </c>
      <c r="AL223" s="127">
        <f t="shared" si="1078"/>
        <v>0.30790438208487458</v>
      </c>
      <c r="AM223" s="114">
        <f t="shared" ref="AM223" si="1079">((AL223/J223)^(1/($AL$3-$K$1) ))-1</f>
        <v>6.1788910203544045E-2</v>
      </c>
      <c r="AN223" s="21">
        <f t="shared" ref="AN223:AN226" si="1080">$O$1</f>
        <v>0.01</v>
      </c>
      <c r="AO223" s="152">
        <f>(AO210)/($O$2*100)</f>
        <v>3.9123358191845647E-2</v>
      </c>
    </row>
    <row r="224" spans="2:41" x14ac:dyDescent="0.15">
      <c r="B224" s="10" t="s">
        <v>508</v>
      </c>
      <c r="C224" s="10"/>
      <c r="D224" s="10"/>
      <c r="E224" s="10"/>
      <c r="F224" s="10"/>
      <c r="G224" s="111">
        <f t="shared" ref="G224:Q224" si="1081">G205/$T$174</f>
        <v>3.0436913285600635</v>
      </c>
      <c r="H224" s="111">
        <f t="shared" si="1081"/>
        <v>4.9459984089101026</v>
      </c>
      <c r="I224" s="111">
        <f t="shared" si="1081"/>
        <v>12.718281622911693</v>
      </c>
      <c r="J224" s="111">
        <f t="shared" si="1081"/>
        <v>18.479554494828957</v>
      </c>
      <c r="K224" s="111">
        <f t="shared" si="1081"/>
        <v>10.598568019093078</v>
      </c>
      <c r="L224" s="111">
        <f t="shared" si="1081"/>
        <v>1.9566587112171836</v>
      </c>
      <c r="M224" s="111">
        <f t="shared" si="1081"/>
        <v>8.9136674622116132</v>
      </c>
      <c r="N224" s="111">
        <f t="shared" si="1081"/>
        <v>10.272458233890214</v>
      </c>
      <c r="O224" s="111">
        <f t="shared" si="1081"/>
        <v>14.783643595863165</v>
      </c>
      <c r="P224" s="111">
        <f t="shared" si="1081"/>
        <v>15.925027844073188</v>
      </c>
      <c r="Q224" s="111">
        <f t="shared" si="1081"/>
        <v>21.414542561654731</v>
      </c>
      <c r="R224" s="111">
        <f t="shared" ref="R224:V224" si="1082">R205/$T$174</f>
        <v>45.274908512330946</v>
      </c>
      <c r="S224" s="111">
        <f t="shared" si="1082"/>
        <v>47.666380270485277</v>
      </c>
      <c r="T224" s="111">
        <f t="shared" si="1082"/>
        <v>48.372951471758149</v>
      </c>
      <c r="U224" s="111">
        <f t="shared" si="1082"/>
        <v>43.209546539379474</v>
      </c>
      <c r="V224" s="111">
        <f t="shared" si="1082"/>
        <v>39.133174224343669</v>
      </c>
      <c r="W224" s="111">
        <f t="shared" ref="W224" si="1083">W205/$T$174</f>
        <v>24.729992044550514</v>
      </c>
      <c r="X224" s="111">
        <f t="shared" ref="X224:Z224" si="1084">X205/$T$174</f>
        <v>46.742402545743829</v>
      </c>
      <c r="Y224" s="111">
        <f t="shared" ref="Y224" si="1085">Y205/$T$174</f>
        <v>29.132474144789178</v>
      </c>
      <c r="Z224" s="111">
        <f t="shared" si="1084"/>
        <v>21.740652346857594</v>
      </c>
      <c r="AA224" s="101">
        <f t="shared" si="947"/>
        <v>0.14386830037145382</v>
      </c>
      <c r="AB224" s="109"/>
      <c r="AC224" s="111">
        <f t="shared" ref="AC224:AL224" si="1086">AC205/$T$174</f>
        <v>2.7175815433571993</v>
      </c>
      <c r="AD224" s="111">
        <f t="shared" si="1086"/>
        <v>2.7719331742243436</v>
      </c>
      <c r="AE224" s="111">
        <f t="shared" si="1086"/>
        <v>2.8273718377088306</v>
      </c>
      <c r="AF224" s="111">
        <f t="shared" si="1086"/>
        <v>2.8839192744630071</v>
      </c>
      <c r="AG224" s="111">
        <f t="shared" si="1086"/>
        <v>2.9415976599522673</v>
      </c>
      <c r="AH224" s="111">
        <f t="shared" si="1086"/>
        <v>3.0004296131513128</v>
      </c>
      <c r="AI224" s="111">
        <f t="shared" si="1086"/>
        <v>3.0604382054143389</v>
      </c>
      <c r="AJ224" s="111">
        <f t="shared" si="1086"/>
        <v>3.1216469695226254</v>
      </c>
      <c r="AK224" s="111">
        <f t="shared" si="1086"/>
        <v>3.1840799089130782</v>
      </c>
      <c r="AL224" s="111">
        <f t="shared" si="1086"/>
        <v>3.2477615070913397</v>
      </c>
      <c r="AM224" s="114">
        <f t="shared" ref="AM224:AM226" si="1087">((AL224/J224)^(1/($AL$3-$K$1) ))-1</f>
        <v>-5.8193214875166821E-2</v>
      </c>
      <c r="AN224" s="21">
        <f t="shared" si="1080"/>
        <v>0.01</v>
      </c>
      <c r="AO224" s="152">
        <f>(AO210)/($O$2*100)</f>
        <v>3.9123358191845647E-2</v>
      </c>
    </row>
    <row r="225" spans="2:41" x14ac:dyDescent="0.15">
      <c r="B225" s="10" t="s">
        <v>431</v>
      </c>
      <c r="C225" s="10"/>
      <c r="D225" s="10"/>
      <c r="E225" s="10"/>
      <c r="F225" s="10"/>
      <c r="G225" s="152">
        <f t="shared" ref="G225" si="1088">(G224)/($O$2*100)</f>
        <v>0.30436913285600636</v>
      </c>
      <c r="H225" s="152">
        <f t="shared" ref="H225:I225" si="1089">(H224)/($O$2*100)</f>
        <v>0.49459984089101028</v>
      </c>
      <c r="I225" s="152">
        <f t="shared" si="1089"/>
        <v>1.2718281622911694</v>
      </c>
      <c r="J225" s="152">
        <f t="shared" ref="J225:Q225" si="1090">(J224)/($O$2*100)</f>
        <v>1.8479554494828956</v>
      </c>
      <c r="K225" s="152">
        <f t="shared" si="1090"/>
        <v>1.0598568019093078</v>
      </c>
      <c r="L225" s="152">
        <f t="shared" si="1090"/>
        <v>0.19566587112171835</v>
      </c>
      <c r="M225" s="152">
        <f t="shared" si="1090"/>
        <v>0.8913667462211613</v>
      </c>
      <c r="N225" s="152">
        <f t="shared" si="1090"/>
        <v>1.0272458233890214</v>
      </c>
      <c r="O225" s="152">
        <f t="shared" si="1090"/>
        <v>1.4783643595863165</v>
      </c>
      <c r="P225" s="152">
        <f t="shared" si="1090"/>
        <v>1.5925027844073187</v>
      </c>
      <c r="Q225" s="152">
        <f t="shared" si="1090"/>
        <v>2.1414542561654732</v>
      </c>
      <c r="R225" s="152">
        <f t="shared" ref="R225:V225" si="1091">(R224)/($O$2*100)</f>
        <v>4.5274908512330949</v>
      </c>
      <c r="S225" s="152">
        <f t="shared" si="1091"/>
        <v>4.7666380270485273</v>
      </c>
      <c r="T225" s="152">
        <f t="shared" si="1091"/>
        <v>4.8372951471758148</v>
      </c>
      <c r="U225" s="152">
        <f t="shared" si="1091"/>
        <v>4.3209546539379478</v>
      </c>
      <c r="V225" s="152">
        <f t="shared" si="1091"/>
        <v>3.9133174224343668</v>
      </c>
      <c r="W225" s="152">
        <f t="shared" ref="W225" si="1092">(W224)/($O$2*100)</f>
        <v>2.4729992044550513</v>
      </c>
      <c r="X225" s="152">
        <f t="shared" ref="X225:Z225" si="1093">(X224)/($O$2*100)</f>
        <v>4.6742402545743831</v>
      </c>
      <c r="Y225" s="152">
        <f t="shared" ref="Y225" si="1094">(Y224)/($O$2*100)</f>
        <v>2.913247414478918</v>
      </c>
      <c r="Z225" s="152">
        <f t="shared" si="1093"/>
        <v>2.1740652346857594</v>
      </c>
      <c r="AA225" s="101">
        <f t="shared" si="947"/>
        <v>0.14386830037145382</v>
      </c>
      <c r="AB225" s="109"/>
      <c r="AC225" s="152">
        <f t="shared" ref="AC225:AL225" si="1095">(AC224)/($O$2*100)</f>
        <v>0.27175815433571993</v>
      </c>
      <c r="AD225" s="152">
        <f t="shared" si="1095"/>
        <v>0.27719331742243436</v>
      </c>
      <c r="AE225" s="152">
        <f t="shared" si="1095"/>
        <v>0.28273718377088308</v>
      </c>
      <c r="AF225" s="152">
        <f t="shared" si="1095"/>
        <v>0.28839192744630071</v>
      </c>
      <c r="AG225" s="152">
        <f t="shared" si="1095"/>
        <v>0.29415976599522675</v>
      </c>
      <c r="AH225" s="152">
        <f t="shared" si="1095"/>
        <v>0.30004296131513131</v>
      </c>
      <c r="AI225" s="152">
        <f t="shared" si="1095"/>
        <v>0.30604382054143386</v>
      </c>
      <c r="AJ225" s="152">
        <f t="shared" si="1095"/>
        <v>0.31216469695226257</v>
      </c>
      <c r="AK225" s="152">
        <f t="shared" si="1095"/>
        <v>0.31840799089130783</v>
      </c>
      <c r="AL225" s="152">
        <f t="shared" si="1095"/>
        <v>0.32477615070913396</v>
      </c>
      <c r="AM225" s="114">
        <f t="shared" si="1087"/>
        <v>-5.8193214875166821E-2</v>
      </c>
      <c r="AN225" s="21">
        <f t="shared" si="1080"/>
        <v>0.01</v>
      </c>
      <c r="AO225" s="152">
        <f>(AO211)/($O$2*100)</f>
        <v>0.39637281255339518</v>
      </c>
    </row>
    <row r="226" spans="2:41" x14ac:dyDescent="0.15">
      <c r="B226" s="10" t="s">
        <v>433</v>
      </c>
      <c r="C226" s="10"/>
      <c r="D226" s="10"/>
      <c r="E226" s="10"/>
      <c r="F226" s="10"/>
      <c r="G226" s="127">
        <f t="shared" ref="G226" si="1096">G225-1</f>
        <v>-0.69563086714399369</v>
      </c>
      <c r="H226" s="127">
        <f t="shared" ref="H226:I226" si="1097">H225-1</f>
        <v>-0.50540015910898972</v>
      </c>
      <c r="I226" s="127">
        <f t="shared" si="1097"/>
        <v>0.27182816229116935</v>
      </c>
      <c r="J226" s="127">
        <f t="shared" ref="J226:Q226" si="1098">J225-1</f>
        <v>0.84795544948289558</v>
      </c>
      <c r="K226" s="127">
        <f t="shared" si="1098"/>
        <v>5.9856801909307755E-2</v>
      </c>
      <c r="L226" s="127">
        <f t="shared" si="1098"/>
        <v>-0.80433412887828171</v>
      </c>
      <c r="M226" s="127">
        <f t="shared" si="1098"/>
        <v>-0.1086332537788387</v>
      </c>
      <c r="N226" s="127">
        <f t="shared" si="1098"/>
        <v>2.7245823389021373E-2</v>
      </c>
      <c r="O226" s="127">
        <f t="shared" si="1098"/>
        <v>0.47836435958631651</v>
      </c>
      <c r="P226" s="127">
        <f t="shared" si="1098"/>
        <v>0.59250278440731874</v>
      </c>
      <c r="Q226" s="127">
        <f t="shared" si="1098"/>
        <v>1.1414542561654732</v>
      </c>
      <c r="R226" s="127">
        <f t="shared" ref="R226:V226" si="1099">R225-1</f>
        <v>3.5274908512330949</v>
      </c>
      <c r="S226" s="127">
        <f t="shared" si="1099"/>
        <v>3.7666380270485273</v>
      </c>
      <c r="T226" s="127">
        <f t="shared" si="1099"/>
        <v>3.8372951471758148</v>
      </c>
      <c r="U226" s="127">
        <f t="shared" si="1099"/>
        <v>3.3209546539379478</v>
      </c>
      <c r="V226" s="127">
        <f t="shared" si="1099"/>
        <v>2.9133174224343668</v>
      </c>
      <c r="W226" s="127">
        <f t="shared" ref="W226" si="1100">W225-1</f>
        <v>1.4729992044550513</v>
      </c>
      <c r="X226" s="127">
        <f t="shared" ref="X226:Z226" si="1101">X225-1</f>
        <v>3.6742402545743831</v>
      </c>
      <c r="Y226" s="127">
        <f t="shared" ref="Y226" si="1102">Y225-1</f>
        <v>1.913247414478918</v>
      </c>
      <c r="Z226" s="127">
        <f t="shared" si="1101"/>
        <v>1.1740652346857594</v>
      </c>
      <c r="AA226" s="101">
        <f t="shared" si="947"/>
        <v>-2.0782943106207012</v>
      </c>
      <c r="AB226" s="109"/>
      <c r="AC226" s="127">
        <f t="shared" ref="AC226:AL226" si="1103">AC225-1</f>
        <v>-0.72824184566428007</v>
      </c>
      <c r="AD226" s="127">
        <f t="shared" si="1103"/>
        <v>-0.72280668257756564</v>
      </c>
      <c r="AE226" s="127">
        <f t="shared" si="1103"/>
        <v>-0.71726281622911692</v>
      </c>
      <c r="AF226" s="127">
        <f t="shared" si="1103"/>
        <v>-0.71160807255369929</v>
      </c>
      <c r="AG226" s="127">
        <f t="shared" si="1103"/>
        <v>-0.70584023400477325</v>
      </c>
      <c r="AH226" s="127">
        <f t="shared" si="1103"/>
        <v>-0.69995703868486869</v>
      </c>
      <c r="AI226" s="127">
        <f t="shared" si="1103"/>
        <v>-0.69395617945856614</v>
      </c>
      <c r="AJ226" s="127">
        <f t="shared" si="1103"/>
        <v>-0.68783530304773743</v>
      </c>
      <c r="AK226" s="127">
        <f t="shared" si="1103"/>
        <v>-0.68159200910869222</v>
      </c>
      <c r="AL226" s="127">
        <f t="shared" si="1103"/>
        <v>-0.67522384929086599</v>
      </c>
      <c r="AM226" s="114">
        <f t="shared" si="1087"/>
        <v>-1.9921761519176304</v>
      </c>
      <c r="AN226" s="21">
        <f t="shared" si="1080"/>
        <v>0.01</v>
      </c>
      <c r="AO226" s="152">
        <f>(AO212)/($O$2*100)</f>
        <v>0.12710385356203607</v>
      </c>
    </row>
    <row r="227" spans="2:41" x14ac:dyDescent="0.15">
      <c r="B227" s="10"/>
      <c r="C227" s="10"/>
      <c r="D227" s="10"/>
      <c r="E227" s="10"/>
      <c r="F227" s="10"/>
      <c r="G227" s="111"/>
      <c r="H227" s="111"/>
      <c r="I227" s="111"/>
      <c r="J227" s="111"/>
      <c r="K227" s="111"/>
      <c r="L227" s="111"/>
      <c r="M227" s="111"/>
      <c r="N227" s="170"/>
      <c r="O227" s="17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53"/>
      <c r="AB227" s="109"/>
      <c r="AC227" s="111"/>
      <c r="AD227" s="111"/>
      <c r="AE227" s="111"/>
      <c r="AF227" s="111"/>
      <c r="AG227" s="111"/>
      <c r="AH227" s="111"/>
      <c r="AI227" s="111"/>
      <c r="AJ227" s="111"/>
      <c r="AK227" s="111"/>
      <c r="AL227" s="111"/>
      <c r="AM227" s="113"/>
      <c r="AN227" s="10"/>
      <c r="AO227" s="10"/>
    </row>
    <row r="228" spans="2:41" x14ac:dyDescent="0.15">
      <c r="B228" s="10" t="s">
        <v>501</v>
      </c>
      <c r="C228" s="10"/>
      <c r="D228" s="10"/>
      <c r="E228" s="10"/>
      <c r="F228" s="10"/>
      <c r="G228" s="127">
        <f t="shared" ref="G228:Z228" si="1104">1/G229</f>
        <v>0.57959915523586492</v>
      </c>
      <c r="H228" s="127">
        <f t="shared" si="1104"/>
        <v>0.35667640322207073</v>
      </c>
      <c r="I228" s="127">
        <f t="shared" si="1104"/>
        <v>0.13870749014191638</v>
      </c>
      <c r="J228" s="127">
        <f t="shared" si="1104"/>
        <v>9.5463390274142454E-2</v>
      </c>
      <c r="K228" s="127">
        <f t="shared" si="1104"/>
        <v>0.16644898817029966</v>
      </c>
      <c r="L228" s="127">
        <f t="shared" si="1104"/>
        <v>0.90159868592245651</v>
      </c>
      <c r="M228" s="127">
        <f t="shared" si="1104"/>
        <v>0.19791190666590511</v>
      </c>
      <c r="N228" s="127">
        <f t="shared" si="1104"/>
        <v>0.17173308303284887</v>
      </c>
      <c r="O228" s="127">
        <f t="shared" si="1104"/>
        <v>0.11932923784267807</v>
      </c>
      <c r="P228" s="127">
        <f t="shared" si="1104"/>
        <v>0.11077663035224722</v>
      </c>
      <c r="Q228" s="127">
        <f t="shared" si="1104"/>
        <v>8.2379575363473179E-2</v>
      </c>
      <c r="R228" s="127">
        <f t="shared" si="1104"/>
        <v>3.8964649091486718E-2</v>
      </c>
      <c r="S228" s="127">
        <f t="shared" si="1104"/>
        <v>3.7009752215745075E-2</v>
      </c>
      <c r="T228" s="127">
        <f t="shared" si="1104"/>
        <v>3.6469160329447678E-2</v>
      </c>
      <c r="U228" s="127">
        <f t="shared" si="1104"/>
        <v>4.0827110305922558E-2</v>
      </c>
      <c r="V228" s="127">
        <f t="shared" si="1104"/>
        <v>4.507993429612283E-2</v>
      </c>
      <c r="W228" s="127">
        <f t="shared" si="1104"/>
        <v>7.1335280644414134E-2</v>
      </c>
      <c r="X228" s="127">
        <f t="shared" si="1104"/>
        <v>3.7741340340940038E-2</v>
      </c>
      <c r="Y228" s="127">
        <f t="shared" si="1104"/>
        <v>6.0555135621657534E-2</v>
      </c>
      <c r="Z228" s="127">
        <f t="shared" si="1104"/>
        <v>8.1143881733021089E-2</v>
      </c>
      <c r="AA228" s="101">
        <f t="shared" si="947"/>
        <v>-0.12577348312278147</v>
      </c>
      <c r="AB228" s="109"/>
      <c r="AC228" s="127">
        <f t="shared" ref="AC228:AL228" si="1105">1/AC229</f>
        <v>0.64915105386416871</v>
      </c>
      <c r="AD228" s="127">
        <f t="shared" si="1105"/>
        <v>0.63642260182761634</v>
      </c>
      <c r="AE228" s="127">
        <f t="shared" si="1105"/>
        <v>0.62394372728197678</v>
      </c>
      <c r="AF228" s="127">
        <f t="shared" si="1105"/>
        <v>0.61170953655095761</v>
      </c>
      <c r="AG228" s="127">
        <f t="shared" si="1105"/>
        <v>0.59971523191270359</v>
      </c>
      <c r="AH228" s="127">
        <f t="shared" si="1105"/>
        <v>0.58795610971833678</v>
      </c>
      <c r="AI228" s="127">
        <f t="shared" si="1105"/>
        <v>0.57642755854738903</v>
      </c>
      <c r="AJ228" s="127">
        <f t="shared" si="1105"/>
        <v>0.565125057399401</v>
      </c>
      <c r="AK228" s="127">
        <f t="shared" si="1105"/>
        <v>0.55404417392098138</v>
      </c>
      <c r="AL228" s="127">
        <f t="shared" si="1105"/>
        <v>0.54318056266762882</v>
      </c>
      <c r="AM228" s="114">
        <f t="shared" ref="AM228" si="1106">((AL228/J228)^(1/($AL$3-$K$1) ))-1</f>
        <v>6.1788910203544045E-2</v>
      </c>
      <c r="AN228" s="21">
        <f t="shared" ref="AN228" si="1107">$O$1</f>
        <v>0.01</v>
      </c>
      <c r="AO228" s="152">
        <f>(AO214)/($O$2*100)</f>
        <v>0</v>
      </c>
    </row>
    <row r="229" spans="2:41" x14ac:dyDescent="0.15">
      <c r="B229" s="10" t="s">
        <v>410</v>
      </c>
      <c r="C229" s="10"/>
      <c r="D229" s="10"/>
      <c r="E229" s="10"/>
      <c r="F229" s="10"/>
      <c r="G229" s="111">
        <f t="shared" ref="G229" si="1108">G205/$U$174</f>
        <v>1.7253303269447575</v>
      </c>
      <c r="H229" s="111">
        <f t="shared" ref="H229:Q229" si="1109">H205/$U$174</f>
        <v>2.8036617812852307</v>
      </c>
      <c r="I229" s="111">
        <f t="shared" si="1109"/>
        <v>7.209416009019165</v>
      </c>
      <c r="J229" s="111">
        <f t="shared" si="1109"/>
        <v>10.475219842164599</v>
      </c>
      <c r="K229" s="111">
        <f t="shared" si="1109"/>
        <v>6.0078466741826375</v>
      </c>
      <c r="L229" s="111">
        <f t="shared" si="1109"/>
        <v>1.109140924464487</v>
      </c>
      <c r="M229" s="111">
        <f t="shared" si="1109"/>
        <v>5.0527531003382178</v>
      </c>
      <c r="N229" s="111">
        <f t="shared" si="1109"/>
        <v>5.822989853438556</v>
      </c>
      <c r="O229" s="111">
        <f t="shared" si="1109"/>
        <v>8.3801758737316785</v>
      </c>
      <c r="P229" s="111">
        <f t="shared" si="1109"/>
        <v>9.0271747463359624</v>
      </c>
      <c r="Q229" s="111">
        <f t="shared" si="1109"/>
        <v>12.138931228861329</v>
      </c>
      <c r="R229" s="111">
        <f t="shared" ref="R229:V229" si="1110">R205/$U$174</f>
        <v>25.664288613303267</v>
      </c>
      <c r="S229" s="111">
        <f t="shared" si="1110"/>
        <v>27.019905298759863</v>
      </c>
      <c r="T229" s="111">
        <f t="shared" si="1110"/>
        <v>27.420428410372036</v>
      </c>
      <c r="U229" s="111">
        <f t="shared" si="1110"/>
        <v>24.493528748590752</v>
      </c>
      <c r="V229" s="111">
        <f t="shared" si="1110"/>
        <v>22.182818489289737</v>
      </c>
      <c r="W229" s="111">
        <f t="shared" ref="W229" si="1111">W205/$U$174</f>
        <v>14.018308906426155</v>
      </c>
      <c r="X229" s="111">
        <f t="shared" ref="X229:Z229" si="1112">X205/$U$174</f>
        <v>26.496144306651633</v>
      </c>
      <c r="Y229" s="111">
        <f t="shared" ref="Y229" si="1113">Y205/$U$174</f>
        <v>16.513875986471248</v>
      </c>
      <c r="Z229" s="111">
        <f t="shared" si="1112"/>
        <v>12.32378804960541</v>
      </c>
      <c r="AA229" s="101">
        <f t="shared" si="947"/>
        <v>0.14386830037145382</v>
      </c>
      <c r="AB229" s="109"/>
      <c r="AC229" s="111">
        <f t="shared" ref="AC229:AL229" si="1114">AC205/$U$174</f>
        <v>1.5404735062006762</v>
      </c>
      <c r="AD229" s="111">
        <f t="shared" si="1114"/>
        <v>1.5712829763246898</v>
      </c>
      <c r="AE229" s="111">
        <f t="shared" si="1114"/>
        <v>1.6027086358511837</v>
      </c>
      <c r="AF229" s="111">
        <f t="shared" si="1114"/>
        <v>1.6347628085682073</v>
      </c>
      <c r="AG229" s="111">
        <f t="shared" si="1114"/>
        <v>1.6674580647395714</v>
      </c>
      <c r="AH229" s="111">
        <f t="shared" si="1114"/>
        <v>1.700807226034363</v>
      </c>
      <c r="AI229" s="111">
        <f t="shared" si="1114"/>
        <v>1.7348233705550502</v>
      </c>
      <c r="AJ229" s="111">
        <f t="shared" si="1114"/>
        <v>1.7695198379661512</v>
      </c>
      <c r="AK229" s="111">
        <f t="shared" si="1114"/>
        <v>1.8049102347254742</v>
      </c>
      <c r="AL229" s="111">
        <f t="shared" si="1114"/>
        <v>1.8410084394199837</v>
      </c>
      <c r="AM229" s="114">
        <f t="shared" ref="AM229:AM231" si="1115">((AL229/J229)^(1/($AL$3-$K$1) ))-1</f>
        <v>-5.8193214875166821E-2</v>
      </c>
      <c r="AN229" s="21">
        <f t="shared" ref="AN229:AN231" si="1116">$O$1</f>
        <v>0.01</v>
      </c>
      <c r="AO229" s="152">
        <f>(AO214)/($O$2*100)</f>
        <v>0</v>
      </c>
    </row>
    <row r="230" spans="2:41" x14ac:dyDescent="0.15">
      <c r="B230" s="10" t="s">
        <v>431</v>
      </c>
      <c r="C230" s="10"/>
      <c r="D230" s="10"/>
      <c r="E230" s="10"/>
      <c r="F230" s="10"/>
      <c r="G230" s="152">
        <f t="shared" ref="G230" si="1117">(G229)/($O$2*100)</f>
        <v>0.17253303269447576</v>
      </c>
      <c r="H230" s="152">
        <f t="shared" ref="H230:I230" si="1118">(H229)/($O$2*100)</f>
        <v>0.28036617812852305</v>
      </c>
      <c r="I230" s="152">
        <f t="shared" si="1118"/>
        <v>0.7209416009019165</v>
      </c>
      <c r="J230" s="152">
        <f t="shared" ref="J230:Q230" si="1119">(J229)/($O$2*100)</f>
        <v>1.0475219842164598</v>
      </c>
      <c r="K230" s="152">
        <f t="shared" si="1119"/>
        <v>0.60078466741826375</v>
      </c>
      <c r="L230" s="152">
        <f t="shared" si="1119"/>
        <v>0.1109140924464487</v>
      </c>
      <c r="M230" s="152">
        <f t="shared" si="1119"/>
        <v>0.50527531003382176</v>
      </c>
      <c r="N230" s="152">
        <f t="shared" si="1119"/>
        <v>0.5822989853438556</v>
      </c>
      <c r="O230" s="152">
        <f t="shared" si="1119"/>
        <v>0.83801758737316789</v>
      </c>
      <c r="P230" s="152">
        <f t="shared" si="1119"/>
        <v>0.9027174746335962</v>
      </c>
      <c r="Q230" s="152">
        <f t="shared" si="1119"/>
        <v>1.2138931228861329</v>
      </c>
      <c r="R230" s="152">
        <f t="shared" ref="R230:V230" si="1120">(R229)/($O$2*100)</f>
        <v>2.5664288613303268</v>
      </c>
      <c r="S230" s="152">
        <f t="shared" si="1120"/>
        <v>2.7019905298759861</v>
      </c>
      <c r="T230" s="152">
        <f t="shared" si="1120"/>
        <v>2.7420428410372035</v>
      </c>
      <c r="U230" s="152">
        <f t="shared" si="1120"/>
        <v>2.4493528748590752</v>
      </c>
      <c r="V230" s="152">
        <f t="shared" si="1120"/>
        <v>2.2182818489289735</v>
      </c>
      <c r="W230" s="152">
        <f t="shared" ref="W230" si="1121">(W229)/($O$2*100)</f>
        <v>1.4018308906426156</v>
      </c>
      <c r="X230" s="152">
        <f t="shared" ref="X230:Z230" si="1122">(X229)/($O$2*100)</f>
        <v>2.6496144306651632</v>
      </c>
      <c r="Y230" s="152">
        <f t="shared" ref="Y230" si="1123">(Y229)/($O$2*100)</f>
        <v>1.6513875986471249</v>
      </c>
      <c r="Z230" s="152">
        <f t="shared" si="1122"/>
        <v>1.2323788049605411</v>
      </c>
      <c r="AA230" s="101">
        <f t="shared" si="947"/>
        <v>0.14386830037145382</v>
      </c>
      <c r="AB230" s="109"/>
      <c r="AC230" s="152">
        <f t="shared" ref="AC230:AL230" si="1124">(AC229)/($O$2*100)</f>
        <v>0.15404735062006764</v>
      </c>
      <c r="AD230" s="152">
        <f t="shared" si="1124"/>
        <v>0.15712829763246899</v>
      </c>
      <c r="AE230" s="152">
        <f t="shared" si="1124"/>
        <v>0.16027086358511838</v>
      </c>
      <c r="AF230" s="152">
        <f t="shared" si="1124"/>
        <v>0.16347628085682073</v>
      </c>
      <c r="AG230" s="152">
        <f t="shared" si="1124"/>
        <v>0.16674580647395715</v>
      </c>
      <c r="AH230" s="152">
        <f t="shared" si="1124"/>
        <v>0.17008072260343629</v>
      </c>
      <c r="AI230" s="152">
        <f t="shared" si="1124"/>
        <v>0.17348233705550503</v>
      </c>
      <c r="AJ230" s="152">
        <f t="shared" si="1124"/>
        <v>0.17695198379661511</v>
      </c>
      <c r="AK230" s="152">
        <f t="shared" si="1124"/>
        <v>0.18049102347254742</v>
      </c>
      <c r="AL230" s="152">
        <f t="shared" si="1124"/>
        <v>0.18410084394199838</v>
      </c>
      <c r="AM230" s="114">
        <f t="shared" si="1115"/>
        <v>-5.8193214875166821E-2</v>
      </c>
      <c r="AN230" s="21">
        <f t="shared" si="1116"/>
        <v>0.01</v>
      </c>
      <c r="AO230" s="152">
        <f>(AO215)/($O$2*100)</f>
        <v>6.4574914724067345E-2</v>
      </c>
    </row>
    <row r="231" spans="2:41" x14ac:dyDescent="0.15">
      <c r="B231" s="10" t="s">
        <v>433</v>
      </c>
      <c r="C231" s="10"/>
      <c r="D231" s="10"/>
      <c r="E231" s="10"/>
      <c r="F231" s="10"/>
      <c r="G231" s="127">
        <f t="shared" ref="G231" si="1125">G230-1</f>
        <v>-0.82746696730552427</v>
      </c>
      <c r="H231" s="127">
        <f t="shared" ref="H231:I231" si="1126">H230-1</f>
        <v>-0.71963382187147695</v>
      </c>
      <c r="I231" s="127">
        <f t="shared" si="1126"/>
        <v>-0.2790583990980835</v>
      </c>
      <c r="J231" s="127">
        <f t="shared" ref="J231:Q231" si="1127">J230-1</f>
        <v>4.7521984216459812E-2</v>
      </c>
      <c r="K231" s="127">
        <f t="shared" si="1127"/>
        <v>-0.39921533258173625</v>
      </c>
      <c r="L231" s="127">
        <f t="shared" si="1127"/>
        <v>-0.88908590755355132</v>
      </c>
      <c r="M231" s="127">
        <f t="shared" si="1127"/>
        <v>-0.49472468996617824</v>
      </c>
      <c r="N231" s="127">
        <f t="shared" si="1127"/>
        <v>-0.4177010146561444</v>
      </c>
      <c r="O231" s="127">
        <f t="shared" si="1127"/>
        <v>-0.16198241262683211</v>
      </c>
      <c r="P231" s="127">
        <f t="shared" si="1127"/>
        <v>-9.7282525366403805E-2</v>
      </c>
      <c r="Q231" s="127">
        <f t="shared" si="1127"/>
        <v>0.21389312288613294</v>
      </c>
      <c r="R231" s="127">
        <f t="shared" ref="R231:V231" si="1128">R230-1</f>
        <v>1.5664288613303268</v>
      </c>
      <c r="S231" s="127">
        <f t="shared" si="1128"/>
        <v>1.7019905298759861</v>
      </c>
      <c r="T231" s="127">
        <f t="shared" si="1128"/>
        <v>1.7420428410372035</v>
      </c>
      <c r="U231" s="127">
        <f t="shared" si="1128"/>
        <v>1.4493528748590752</v>
      </c>
      <c r="V231" s="127">
        <f t="shared" si="1128"/>
        <v>1.2182818489289735</v>
      </c>
      <c r="W231" s="127">
        <f t="shared" ref="W231" si="1129">W230-1</f>
        <v>0.40183089064261557</v>
      </c>
      <c r="X231" s="127">
        <f t="shared" ref="X231:Z231" si="1130">X230-1</f>
        <v>1.6496144306651632</v>
      </c>
      <c r="Y231" s="127">
        <f t="shared" ref="Y231" si="1131">Y230-1</f>
        <v>0.65138759864712492</v>
      </c>
      <c r="Z231" s="127">
        <f t="shared" si="1130"/>
        <v>0.23237880496054109</v>
      </c>
      <c r="AA231" s="101">
        <f t="shared" si="947"/>
        <v>-2.0205680145461589</v>
      </c>
      <c r="AB231" s="109"/>
      <c r="AC231" s="127">
        <f t="shared" ref="AC231:AL231" si="1132">AC230-1</f>
        <v>-0.84595264937993231</v>
      </c>
      <c r="AD231" s="127">
        <f t="shared" si="1132"/>
        <v>-0.84287170236753095</v>
      </c>
      <c r="AE231" s="127">
        <f t="shared" si="1132"/>
        <v>-0.83972913641488156</v>
      </c>
      <c r="AF231" s="127">
        <f t="shared" si="1132"/>
        <v>-0.83652371914317925</v>
      </c>
      <c r="AG231" s="127">
        <f t="shared" si="1132"/>
        <v>-0.83325419352604291</v>
      </c>
      <c r="AH231" s="127">
        <f t="shared" si="1132"/>
        <v>-0.82991927739656368</v>
      </c>
      <c r="AI231" s="127">
        <f t="shared" si="1132"/>
        <v>-0.82651766294449502</v>
      </c>
      <c r="AJ231" s="127">
        <f t="shared" si="1132"/>
        <v>-0.82304801620338486</v>
      </c>
      <c r="AK231" s="127">
        <f t="shared" si="1132"/>
        <v>-0.81950897652745258</v>
      </c>
      <c r="AL231" s="127">
        <f t="shared" si="1132"/>
        <v>-0.81589915605800156</v>
      </c>
      <c r="AM231" s="114">
        <f t="shared" si="1115"/>
        <v>-2.1030045590741491</v>
      </c>
      <c r="AN231" s="21">
        <f t="shared" si="1116"/>
        <v>0.01</v>
      </c>
      <c r="AO231" s="152">
        <f>(AO216)/($O$2*100)</f>
        <v>616.93373843350321</v>
      </c>
    </row>
    <row r="232" spans="2:41" x14ac:dyDescent="0.15">
      <c r="B232" s="10"/>
      <c r="C232" s="10"/>
      <c r="D232" s="10"/>
      <c r="E232" s="10"/>
      <c r="F232" s="10"/>
      <c r="G232" s="10"/>
      <c r="H232" s="10"/>
      <c r="I232" s="10"/>
      <c r="J232" s="111"/>
      <c r="K232" s="111"/>
      <c r="L232" s="111"/>
      <c r="M232" s="111"/>
      <c r="N232" s="170"/>
      <c r="O232" s="17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53"/>
      <c r="AB232" s="109"/>
      <c r="AC232" s="111"/>
      <c r="AD232" s="111"/>
      <c r="AE232" s="111"/>
      <c r="AF232" s="111"/>
      <c r="AG232" s="111"/>
      <c r="AH232" s="111"/>
      <c r="AI232" s="111"/>
      <c r="AJ232" s="111"/>
      <c r="AK232" s="111"/>
      <c r="AL232" s="111"/>
      <c r="AM232" s="113"/>
      <c r="AN232" s="10"/>
      <c r="AO232" s="10"/>
    </row>
    <row r="233" spans="2:41" x14ac:dyDescent="0.15">
      <c r="B233" s="10" t="s">
        <v>502</v>
      </c>
      <c r="C233" s="10"/>
      <c r="D233" s="10"/>
      <c r="E233" s="10"/>
      <c r="F233" s="10"/>
      <c r="G233" s="127">
        <f t="shared" ref="G233:Z233" si="1133">1/G234</f>
        <v>0.25785184009413753</v>
      </c>
      <c r="H233" s="127">
        <f t="shared" si="1133"/>
        <v>0.15867805544254618</v>
      </c>
      <c r="I233" s="127">
        <f t="shared" si="1133"/>
        <v>6.170813267210129E-2</v>
      </c>
      <c r="J233" s="127">
        <f t="shared" si="1133"/>
        <v>4.2469714839034417E-2</v>
      </c>
      <c r="K233" s="127">
        <f t="shared" si="1133"/>
        <v>7.4049759206521543E-2</v>
      </c>
      <c r="L233" s="127">
        <f t="shared" si="1133"/>
        <v>0.40110286236865844</v>
      </c>
      <c r="M233" s="127">
        <f t="shared" si="1133"/>
        <v>8.8046969788242085E-2</v>
      </c>
      <c r="N233" s="127">
        <f t="shared" si="1133"/>
        <v>7.6400545213077792E-2</v>
      </c>
      <c r="O233" s="127">
        <f t="shared" si="1133"/>
        <v>5.3087143548793028E-2</v>
      </c>
      <c r="P233" s="127">
        <f t="shared" si="1133"/>
        <v>4.9282262953145743E-2</v>
      </c>
      <c r="Q233" s="127">
        <f t="shared" si="1133"/>
        <v>3.6648992500689599E-2</v>
      </c>
      <c r="R233" s="127">
        <f t="shared" si="1133"/>
        <v>1.7334577485320173E-2</v>
      </c>
      <c r="S233" s="127">
        <f t="shared" si="1133"/>
        <v>1.646488374603387E-2</v>
      </c>
      <c r="T233" s="127">
        <f t="shared" si="1133"/>
        <v>1.6224385444125508E-2</v>
      </c>
      <c r="U233" s="127">
        <f t="shared" si="1133"/>
        <v>1.8163148484618492E-2</v>
      </c>
      <c r="V233" s="127">
        <f t="shared" si="1133"/>
        <v>2.0055143118432921E-2</v>
      </c>
      <c r="W233" s="127">
        <f t="shared" si="1133"/>
        <v>3.1735611088509239E-2</v>
      </c>
      <c r="X233" s="127">
        <f t="shared" si="1133"/>
        <v>1.6790352378222909E-2</v>
      </c>
      <c r="Y233" s="127">
        <f t="shared" si="1133"/>
        <v>2.6939744487447209E-2</v>
      </c>
      <c r="Z233" s="127">
        <f t="shared" si="1133"/>
        <v>3.6099257613179253E-2</v>
      </c>
      <c r="AA233" s="101">
        <f t="shared" si="947"/>
        <v>-0.12577348312278147</v>
      </c>
      <c r="AB233" s="109"/>
      <c r="AC233" s="127">
        <f t="shared" ref="AC233:AL233" si="1134">1/AC234</f>
        <v>18657.200210986077</v>
      </c>
      <c r="AD233" s="127">
        <f t="shared" si="1134"/>
        <v>228.89755410978998</v>
      </c>
      <c r="AE233" s="127">
        <f t="shared" si="1134"/>
        <v>242.01010142326888</v>
      </c>
      <c r="AF233" s="127">
        <f t="shared" si="1134"/>
        <v>255.87380965551316</v>
      </c>
      <c r="AG233" s="127">
        <f t="shared" si="1134"/>
        <v>270.53170955504078</v>
      </c>
      <c r="AH233" s="127">
        <f t="shared" si="1134"/>
        <v>286.02929691517193</v>
      </c>
      <c r="AI233" s="127">
        <f t="shared" si="1134"/>
        <v>302.41467378574498</v>
      </c>
      <c r="AJ233" s="127">
        <f t="shared" si="1134"/>
        <v>319.73869777424022</v>
      </c>
      <c r="AK233" s="127">
        <f t="shared" si="1134"/>
        <v>338.05513989971575</v>
      </c>
      <c r="AL233" s="127">
        <f t="shared" si="1134"/>
        <v>357.42085148951111</v>
      </c>
      <c r="AM233" s="114">
        <f t="shared" ref="AM233:AM236" si="1135">((AL233/J233)^(1/($AL$3-$K$1) ))-1</f>
        <v>0.36567794077538296</v>
      </c>
      <c r="AN233" s="21">
        <f t="shared" ref="AN233:AN236" si="1136">$O$1</f>
        <v>0.01</v>
      </c>
      <c r="AO233" s="152">
        <f>(AO218)/($O$2*100)</f>
        <v>0.75024293942226472</v>
      </c>
    </row>
    <row r="234" spans="2:41" x14ac:dyDescent="0.15">
      <c r="B234" s="10" t="s">
        <v>499</v>
      </c>
      <c r="C234" s="10"/>
      <c r="D234" s="10"/>
      <c r="E234" s="10"/>
      <c r="F234" s="10"/>
      <c r="G234" s="111">
        <f t="shared" ref="G234" si="1137">G205/$AC$175</f>
        <v>3.8781960975532157</v>
      </c>
      <c r="H234" s="111">
        <f t="shared" ref="H234:V234" si="1138">H205/$AC$175</f>
        <v>6.3020686585239751</v>
      </c>
      <c r="I234" s="111">
        <f t="shared" si="1138"/>
        <v>16.20531940763308</v>
      </c>
      <c r="J234" s="111">
        <f t="shared" si="1138"/>
        <v>23.546190592287381</v>
      </c>
      <c r="K234" s="111">
        <f t="shared" si="1138"/>
        <v>13.504432839694234</v>
      </c>
      <c r="L234" s="111">
        <f t="shared" si="1138"/>
        <v>2.4931260627127814</v>
      </c>
      <c r="M234" s="111">
        <f t="shared" si="1138"/>
        <v>11.357574285691561</v>
      </c>
      <c r="N234" s="111">
        <f t="shared" si="1138"/>
        <v>13.088911829242102</v>
      </c>
      <c r="O234" s="111">
        <f t="shared" si="1138"/>
        <v>18.836952473829903</v>
      </c>
      <c r="P234" s="111">
        <f t="shared" si="1138"/>
        <v>20.291276010412361</v>
      </c>
      <c r="Q234" s="111">
        <f t="shared" si="1138"/>
        <v>27.285879686356552</v>
      </c>
      <c r="R234" s="111">
        <f t="shared" si="1138"/>
        <v>57.68816695110408</v>
      </c>
      <c r="S234" s="111">
        <f t="shared" si="1138"/>
        <v>60.735321027753038</v>
      </c>
      <c r="T234" s="111">
        <f t="shared" si="1138"/>
        <v>61.63561655039932</v>
      </c>
      <c r="U234" s="111">
        <f t="shared" si="1138"/>
        <v>55.05653388490726</v>
      </c>
      <c r="V234" s="111">
        <f t="shared" si="1138"/>
        <v>49.862521254255626</v>
      </c>
      <c r="W234" s="111">
        <f t="shared" ref="W234" si="1139">W205/$AC$175</f>
        <v>31.510343292619876</v>
      </c>
      <c r="X234" s="111">
        <f t="shared" ref="X234:Z234" si="1140">X205/$AC$175</f>
        <v>59.558011498138669</v>
      </c>
      <c r="Y234" s="111">
        <f t="shared" ref="Y234" si="1141">Y205/$AC$175</f>
        <v>37.119876933723631</v>
      </c>
      <c r="Z234" s="111">
        <f t="shared" si="1140"/>
        <v>27.701400696808683</v>
      </c>
      <c r="AA234" s="101">
        <f t="shared" si="947"/>
        <v>0.14386830037145382</v>
      </c>
      <c r="AB234" s="109"/>
      <c r="AC234" s="111">
        <f t="shared" ref="AC234:AL234" si="1142">AC210/$U$174</f>
        <v>5.3598610117886908E-5</v>
      </c>
      <c r="AD234" s="111">
        <f t="shared" si="1142"/>
        <v>4.3687666471104065E-3</v>
      </c>
      <c r="AE234" s="111">
        <f t="shared" si="1142"/>
        <v>4.1320589269578795E-3</v>
      </c>
      <c r="AF234" s="111">
        <f t="shared" si="1142"/>
        <v>3.908176461460887E-3</v>
      </c>
      <c r="AG234" s="111">
        <f t="shared" si="1142"/>
        <v>3.6964243550035524E-3</v>
      </c>
      <c r="AH234" s="111">
        <f t="shared" si="1142"/>
        <v>3.4961453626779055E-3</v>
      </c>
      <c r="AI234" s="111">
        <f t="shared" si="1142"/>
        <v>3.3067178503000845E-3</v>
      </c>
      <c r="AJ234" s="111">
        <f t="shared" si="1142"/>
        <v>3.1275538649565521E-3</v>
      </c>
      <c r="AK234" s="111">
        <f t="shared" si="1142"/>
        <v>2.9580973100916336E-3</v>
      </c>
      <c r="AL234" s="111">
        <f t="shared" si="1142"/>
        <v>2.7978222194721229E-3</v>
      </c>
      <c r="AM234" s="114">
        <f t="shared" si="1135"/>
        <v>-0.26776294019054314</v>
      </c>
      <c r="AN234" s="21">
        <f t="shared" si="1136"/>
        <v>0.01</v>
      </c>
      <c r="AO234" s="152">
        <f>(AO219)/($O$2*100)</f>
        <v>2.010456386392192E-3</v>
      </c>
    </row>
    <row r="235" spans="2:41" x14ac:dyDescent="0.15">
      <c r="B235" s="10" t="s">
        <v>431</v>
      </c>
      <c r="C235" s="10"/>
      <c r="D235" s="10"/>
      <c r="E235" s="10"/>
      <c r="F235" s="10"/>
      <c r="G235" s="152">
        <f t="shared" ref="G235" si="1143">(G234)/($O$2*100)</f>
        <v>0.38781960975532159</v>
      </c>
      <c r="H235" s="152">
        <f t="shared" ref="H235:Q235" si="1144">(H234)/($O$2*100)</f>
        <v>0.63020686585239749</v>
      </c>
      <c r="I235" s="152">
        <f t="shared" si="1144"/>
        <v>1.6205319407633081</v>
      </c>
      <c r="J235" s="152">
        <f t="shared" si="1144"/>
        <v>2.3546190592287379</v>
      </c>
      <c r="K235" s="152">
        <f t="shared" si="1144"/>
        <v>1.3504432839694234</v>
      </c>
      <c r="L235" s="152">
        <f t="shared" si="1144"/>
        <v>0.24931260627127813</v>
      </c>
      <c r="M235" s="152">
        <f t="shared" si="1144"/>
        <v>1.1357574285691561</v>
      </c>
      <c r="N235" s="152">
        <f t="shared" si="1144"/>
        <v>1.3088911829242103</v>
      </c>
      <c r="O235" s="152">
        <f t="shared" si="1144"/>
        <v>1.8836952473829904</v>
      </c>
      <c r="P235" s="152">
        <f t="shared" si="1144"/>
        <v>2.0291276010412362</v>
      </c>
      <c r="Q235" s="152">
        <f t="shared" si="1144"/>
        <v>2.7285879686356553</v>
      </c>
      <c r="R235" s="152">
        <f t="shared" ref="R235:V235" si="1145">(R234)/($O$2*100)</f>
        <v>5.7688166951104076</v>
      </c>
      <c r="S235" s="152">
        <f t="shared" si="1145"/>
        <v>6.073532102775304</v>
      </c>
      <c r="T235" s="152">
        <f t="shared" si="1145"/>
        <v>6.1635616550399321</v>
      </c>
      <c r="U235" s="152">
        <f t="shared" si="1145"/>
        <v>5.5056533884907264</v>
      </c>
      <c r="V235" s="152">
        <f t="shared" si="1145"/>
        <v>4.9862521254255627</v>
      </c>
      <c r="W235" s="152">
        <f t="shared" ref="W235" si="1146">(W234)/($O$2*100)</f>
        <v>3.1510343292619876</v>
      </c>
      <c r="X235" s="152">
        <f t="shared" ref="X235:Z235" si="1147">(X234)/($O$2*100)</f>
        <v>5.9558011498138672</v>
      </c>
      <c r="Y235" s="152">
        <f t="shared" ref="Y235" si="1148">(Y234)/($O$2*100)</f>
        <v>3.7119876933723632</v>
      </c>
      <c r="Z235" s="152">
        <f t="shared" si="1147"/>
        <v>2.7701400696808682</v>
      </c>
      <c r="AA235" s="101">
        <f t="shared" si="947"/>
        <v>0.14386830037145382</v>
      </c>
      <c r="AB235" s="109"/>
      <c r="AC235" s="152">
        <f t="shared" ref="AC235:AL235" si="1149">(AC234)/($O$2*100)</f>
        <v>5.3598610117886904E-6</v>
      </c>
      <c r="AD235" s="152">
        <f t="shared" si="1149"/>
        <v>4.3687666471104065E-4</v>
      </c>
      <c r="AE235" s="152">
        <f t="shared" si="1149"/>
        <v>4.1320589269578794E-4</v>
      </c>
      <c r="AF235" s="152">
        <f t="shared" si="1149"/>
        <v>3.9081764614608868E-4</v>
      </c>
      <c r="AG235" s="152">
        <f t="shared" si="1149"/>
        <v>3.6964243550035523E-4</v>
      </c>
      <c r="AH235" s="152">
        <f t="shared" si="1149"/>
        <v>3.4961453626779053E-4</v>
      </c>
      <c r="AI235" s="152">
        <f t="shared" si="1149"/>
        <v>3.3067178503000844E-4</v>
      </c>
      <c r="AJ235" s="152">
        <f t="shared" si="1149"/>
        <v>3.1275538649565521E-4</v>
      </c>
      <c r="AK235" s="152">
        <f t="shared" si="1149"/>
        <v>2.9580973100916337E-4</v>
      </c>
      <c r="AL235" s="152">
        <f t="shared" si="1149"/>
        <v>2.797822219472123E-4</v>
      </c>
      <c r="AM235" s="114">
        <f t="shared" si="1135"/>
        <v>-0.26776294019054314</v>
      </c>
      <c r="AN235" s="21">
        <f t="shared" si="1136"/>
        <v>0.01</v>
      </c>
      <c r="AO235" s="152">
        <f>(AO220)/($O$2*100)</f>
        <v>3.0224525643537576E-2</v>
      </c>
    </row>
    <row r="236" spans="2:41" x14ac:dyDescent="0.15">
      <c r="B236" s="10" t="s">
        <v>433</v>
      </c>
      <c r="C236" s="10"/>
      <c r="D236" s="10"/>
      <c r="E236" s="10"/>
      <c r="F236" s="10"/>
      <c r="G236" s="127">
        <f t="shared" ref="G236" si="1150">G235-1</f>
        <v>-0.61218039024467841</v>
      </c>
      <c r="H236" s="127">
        <f t="shared" ref="H236:Q236" si="1151">H235-1</f>
        <v>-0.36979313414760251</v>
      </c>
      <c r="I236" s="127">
        <f t="shared" si="1151"/>
        <v>0.62053194076330809</v>
      </c>
      <c r="J236" s="127">
        <f t="shared" si="1151"/>
        <v>1.3546190592287379</v>
      </c>
      <c r="K236" s="127">
        <f t="shared" si="1151"/>
        <v>0.35044328396942337</v>
      </c>
      <c r="L236" s="127">
        <f t="shared" si="1151"/>
        <v>-0.75068739372872184</v>
      </c>
      <c r="M236" s="127">
        <f t="shared" si="1151"/>
        <v>0.13575742856915607</v>
      </c>
      <c r="N236" s="127">
        <f t="shared" si="1151"/>
        <v>0.30889118292421025</v>
      </c>
      <c r="O236" s="127">
        <f t="shared" si="1151"/>
        <v>0.88369524738299043</v>
      </c>
      <c r="P236" s="127">
        <f t="shared" si="1151"/>
        <v>1.0291276010412362</v>
      </c>
      <c r="Q236" s="127">
        <f t="shared" si="1151"/>
        <v>1.7285879686356553</v>
      </c>
      <c r="R236" s="127">
        <f t="shared" ref="R236:V236" si="1152">R235-1</f>
        <v>4.7688166951104076</v>
      </c>
      <c r="S236" s="127">
        <f t="shared" si="1152"/>
        <v>5.073532102775304</v>
      </c>
      <c r="T236" s="127">
        <f t="shared" si="1152"/>
        <v>5.1635616550399321</v>
      </c>
      <c r="U236" s="127">
        <f t="shared" si="1152"/>
        <v>4.5056533884907264</v>
      </c>
      <c r="V236" s="127">
        <f t="shared" si="1152"/>
        <v>3.9862521254255627</v>
      </c>
      <c r="W236" s="127">
        <f t="shared" ref="W236" si="1153">W235-1</f>
        <v>2.1510343292619876</v>
      </c>
      <c r="X236" s="127">
        <f t="shared" ref="X236:Z236" si="1154">X235-1</f>
        <v>4.9558011498138672</v>
      </c>
      <c r="Y236" s="127">
        <f t="shared" ref="Y236" si="1155">Y235-1</f>
        <v>2.7119876933723632</v>
      </c>
      <c r="Z236" s="127">
        <f t="shared" si="1154"/>
        <v>1.7701400696808682</v>
      </c>
      <c r="AA236" s="101">
        <f t="shared" si="947"/>
        <v>-2.1036352026872889</v>
      </c>
      <c r="AB236" s="109"/>
      <c r="AC236" s="127">
        <f t="shared" ref="AC236:AL236" si="1156">AC235-1</f>
        <v>-0.9999946401389882</v>
      </c>
      <c r="AD236" s="127">
        <f t="shared" si="1156"/>
        <v>-0.99956312333528896</v>
      </c>
      <c r="AE236" s="127">
        <f t="shared" si="1156"/>
        <v>-0.99958679410730422</v>
      </c>
      <c r="AF236" s="127">
        <f t="shared" si="1156"/>
        <v>-0.99960918235385388</v>
      </c>
      <c r="AG236" s="127">
        <f t="shared" si="1156"/>
        <v>-0.99963035756449969</v>
      </c>
      <c r="AH236" s="127">
        <f t="shared" si="1156"/>
        <v>-0.99965038546373219</v>
      </c>
      <c r="AI236" s="127">
        <f t="shared" si="1156"/>
        <v>-0.99966932821497001</v>
      </c>
      <c r="AJ236" s="127">
        <f t="shared" si="1156"/>
        <v>-0.99968724461350433</v>
      </c>
      <c r="AK236" s="127">
        <f t="shared" si="1156"/>
        <v>-0.99970419026899082</v>
      </c>
      <c r="AL236" s="127">
        <f t="shared" si="1156"/>
        <v>-0.99972021777805276</v>
      </c>
      <c r="AM236" s="114">
        <f t="shared" si="1135"/>
        <v>-1.9895788152841889</v>
      </c>
      <c r="AN236" s="21">
        <f t="shared" si="1136"/>
        <v>0.01</v>
      </c>
      <c r="AO236" s="152">
        <f>(AO221)/($O$2*100)</f>
        <v>1.6807332085354502E-2</v>
      </c>
    </row>
    <row r="237" spans="2:41" x14ac:dyDescent="0.15">
      <c r="B237" s="10"/>
      <c r="C237" s="10"/>
      <c r="D237" s="10"/>
      <c r="E237" s="10"/>
      <c r="F237" s="10"/>
      <c r="G237" s="10"/>
      <c r="H237" s="10"/>
      <c r="I237" s="10"/>
      <c r="J237" s="111"/>
      <c r="K237" s="111"/>
      <c r="L237" s="111"/>
      <c r="M237" s="111"/>
      <c r="N237" s="170"/>
      <c r="O237" s="17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53"/>
      <c r="AB237" s="109"/>
      <c r="AC237" s="111"/>
      <c r="AD237" s="111"/>
      <c r="AE237" s="111"/>
      <c r="AF237" s="111"/>
      <c r="AG237" s="111"/>
      <c r="AH237" s="111"/>
      <c r="AI237" s="111"/>
      <c r="AJ237" s="111"/>
      <c r="AK237" s="111"/>
      <c r="AL237" s="111"/>
      <c r="AM237" s="113"/>
      <c r="AN237" s="10"/>
      <c r="AO237" s="10"/>
    </row>
    <row r="238" spans="2:41" x14ac:dyDescent="0.15">
      <c r="B238" s="10" t="s">
        <v>509</v>
      </c>
      <c r="C238" s="10"/>
      <c r="D238" s="10"/>
      <c r="E238" s="10"/>
      <c r="F238" s="10"/>
      <c r="G238" s="15">
        <f>G216/L59</f>
        <v>0.78123456790123447</v>
      </c>
      <c r="H238" s="15">
        <f t="shared" ref="H238:L238" si="1157">H216/M59</f>
        <v>0.61574850299401185</v>
      </c>
      <c r="I238" s="15">
        <f t="shared" si="1157"/>
        <v>1.7866216216216213</v>
      </c>
      <c r="J238" s="15">
        <f t="shared" si="1157"/>
        <v>1.7869767441860465</v>
      </c>
      <c r="K238" s="15">
        <f t="shared" si="1157"/>
        <v>3.8660278745644607</v>
      </c>
      <c r="L238" s="15">
        <f t="shared" si="1157"/>
        <v>0.83771117166212516</v>
      </c>
      <c r="M238" s="15">
        <f>M216/S59</f>
        <v>2.8641308793456033</v>
      </c>
      <c r="N238" s="15">
        <f>N216/T59</f>
        <v>3.3766945606694558</v>
      </c>
      <c r="O238" s="15">
        <f>O216/U59</f>
        <v>4.9318046709129506</v>
      </c>
      <c r="P238" s="15">
        <f>P216/V59</f>
        <v>10.361159420289853</v>
      </c>
      <c r="Q238" s="15">
        <f t="shared" ref="Q238:W238" si="1158">Q216/Z59</f>
        <v>9.696714697406339</v>
      </c>
      <c r="R238" s="15">
        <f t="shared" si="1158"/>
        <v>34612.143285367783</v>
      </c>
      <c r="S238" s="15">
        <f t="shared" si="1158"/>
        <v>149791.59999999998</v>
      </c>
      <c r="T238" s="15">
        <f t="shared" si="1158"/>
        <v>19.912496725176837</v>
      </c>
      <c r="U238" s="15">
        <f t="shared" si="1158"/>
        <v>16.170005001548095</v>
      </c>
      <c r="V238" s="15">
        <f t="shared" si="1158"/>
        <v>13.313211665082479</v>
      </c>
      <c r="W238" s="15">
        <f t="shared" si="1158"/>
        <v>7.6483728631471308</v>
      </c>
      <c r="X238" s="15">
        <f>X216/AF59</f>
        <v>14.456265191882489</v>
      </c>
      <c r="Y238" s="15">
        <f t="shared" ref="Y238:Z238" si="1159">Y216/AF59</f>
        <v>9.0099513288942017</v>
      </c>
      <c r="Z238" s="15">
        <f t="shared" si="1159"/>
        <v>6.1125857048128909</v>
      </c>
      <c r="AA238" s="109"/>
      <c r="AB238" s="109"/>
      <c r="AC238" s="15">
        <f>AC216/AH59</f>
        <v>0.70850425214876689</v>
      </c>
      <c r="AD238" s="15">
        <f t="shared" ref="AD238:AG238" si="1160">AD216/AI59</f>
        <v>0.67011620357779722</v>
      </c>
      <c r="AE238" s="15">
        <f t="shared" si="1160"/>
        <v>0.63380808927485466</v>
      </c>
      <c r="AF238" s="15">
        <f t="shared" si="1160"/>
        <v>0.59946721461959884</v>
      </c>
      <c r="AG238" s="15">
        <f t="shared" si="1160"/>
        <v>0.56698699099111871</v>
      </c>
      <c r="AH238" s="15"/>
      <c r="AI238" s="111"/>
      <c r="AJ238" s="111"/>
      <c r="AK238" s="111"/>
      <c r="AL238" s="111"/>
      <c r="AM238" s="113"/>
      <c r="AN238" s="10"/>
      <c r="AO238" s="10"/>
    </row>
    <row r="239" spans="2:41" x14ac:dyDescent="0.15">
      <c r="B239" s="10"/>
      <c r="C239" s="10"/>
      <c r="D239" s="10"/>
      <c r="E239" s="10"/>
      <c r="F239" s="10"/>
      <c r="G239" s="10"/>
      <c r="H239" s="10"/>
      <c r="I239" s="10"/>
      <c r="J239" s="111"/>
      <c r="K239" s="111"/>
      <c r="L239" s="111"/>
      <c r="M239" s="111"/>
      <c r="N239" s="170"/>
      <c r="O239" s="17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09"/>
      <c r="AB239" s="109"/>
      <c r="AC239" s="111"/>
      <c r="AD239" s="111"/>
      <c r="AE239" s="111"/>
      <c r="AF239" s="111"/>
      <c r="AG239" s="111"/>
      <c r="AH239" s="111"/>
      <c r="AI239" s="111"/>
      <c r="AJ239" s="111"/>
      <c r="AK239" s="111"/>
      <c r="AL239" s="111"/>
      <c r="AM239" s="113"/>
      <c r="AN239" s="10"/>
      <c r="AO239" s="10"/>
    </row>
    <row r="240" spans="2:41" x14ac:dyDescent="0.15">
      <c r="B240" s="10"/>
      <c r="C240" s="10"/>
      <c r="D240" s="10"/>
      <c r="E240" s="10"/>
      <c r="F240" s="10"/>
      <c r="G240" s="10"/>
      <c r="H240" s="10"/>
      <c r="I240" s="10"/>
      <c r="J240" s="111"/>
      <c r="K240" s="111"/>
      <c r="L240" s="111"/>
      <c r="M240" s="111"/>
      <c r="N240" s="170"/>
      <c r="O240" s="17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09"/>
      <c r="AB240" s="109"/>
      <c r="AC240" s="111"/>
      <c r="AD240" s="111"/>
      <c r="AE240" s="111"/>
      <c r="AF240" s="111"/>
      <c r="AG240" s="111"/>
      <c r="AH240" s="111"/>
      <c r="AI240" s="111"/>
      <c r="AJ240" s="111"/>
      <c r="AK240" s="111"/>
      <c r="AL240" s="111"/>
      <c r="AM240" s="113"/>
      <c r="AN240" s="10"/>
      <c r="AO240" s="10"/>
    </row>
    <row r="241" spans="2:52" x14ac:dyDescent="0.15">
      <c r="B241" s="93" t="s">
        <v>250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299" t="s">
        <v>293</v>
      </c>
      <c r="O241" s="300"/>
      <c r="P241" s="10"/>
      <c r="Q241" s="10"/>
      <c r="R241" s="10"/>
      <c r="S241" s="10"/>
      <c r="T241" s="93" t="s">
        <v>372</v>
      </c>
      <c r="U241" s="165" t="s">
        <v>371</v>
      </c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13"/>
      <c r="AN241" s="10"/>
      <c r="AO241" s="10"/>
    </row>
    <row r="242" spans="2:52" x14ac:dyDescent="0.15">
      <c r="B242" s="10" t="s">
        <v>248</v>
      </c>
      <c r="C242" s="10" t="s">
        <v>260</v>
      </c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 t="s">
        <v>294</v>
      </c>
      <c r="O242" s="12">
        <v>1</v>
      </c>
      <c r="P242" s="10"/>
      <c r="Q242" s="10"/>
      <c r="R242" s="10"/>
      <c r="S242" s="10"/>
      <c r="T242" s="109" t="e">
        <f>(V205-AD192)/V205</f>
        <v>#DIV/0!</v>
      </c>
      <c r="U242" s="109">
        <f>(V205-AC192)/V205</f>
        <v>0.95056920435180303</v>
      </c>
      <c r="V242" s="109"/>
      <c r="W242" s="109"/>
      <c r="X242" s="109"/>
      <c r="Y242" s="109"/>
      <c r="Z242" s="109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13"/>
      <c r="AN242" s="10"/>
      <c r="AO242" s="10"/>
    </row>
    <row r="243" spans="2:52" x14ac:dyDescent="0.15">
      <c r="B243" s="10" t="s">
        <v>291</v>
      </c>
      <c r="C243" s="10" t="s">
        <v>260</v>
      </c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43">
        <f>$O$242</f>
        <v>1</v>
      </c>
      <c r="O243" s="10"/>
      <c r="P243" s="109" t="e">
        <f>(T205-(N243*AB183))/T205</f>
        <v>#DIV/0!</v>
      </c>
      <c r="Q243" s="10"/>
      <c r="R243" s="10"/>
      <c r="S243" s="10"/>
      <c r="T243" s="109" t="e">
        <f>(V205-AD183)/V205</f>
        <v>#DIV/0!</v>
      </c>
      <c r="U243" s="109">
        <f>(V205-AC183)/V205</f>
        <v>0.81303058216677093</v>
      </c>
      <c r="V243" s="109"/>
      <c r="W243" s="109"/>
      <c r="X243" s="109"/>
      <c r="Y243" s="109"/>
      <c r="Z243" s="109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13"/>
      <c r="AN243" s="10"/>
      <c r="AO243" s="10"/>
    </row>
    <row r="244" spans="2:52" x14ac:dyDescent="0.15">
      <c r="B244" s="10" t="s">
        <v>292</v>
      </c>
      <c r="C244" s="10" t="s">
        <v>260</v>
      </c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43">
        <f>$O$242</f>
        <v>1</v>
      </c>
      <c r="O244" s="10"/>
      <c r="P244" s="109" t="e">
        <f>(T205-(N244*AB176))/T205</f>
        <v>#DIV/0!</v>
      </c>
      <c r="Q244" s="10"/>
      <c r="R244" s="10"/>
      <c r="S244" s="10"/>
      <c r="T244" s="109" t="e">
        <f>(V205-AD176)/V205</f>
        <v>#DIV/0!</v>
      </c>
      <c r="U244" s="109">
        <f>(V205-AC176)/V205</f>
        <v>0.84687002394153299</v>
      </c>
      <c r="V244" s="109"/>
      <c r="W244" s="109"/>
      <c r="X244" s="109"/>
      <c r="Y244" s="109"/>
      <c r="Z244" s="109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13"/>
      <c r="AN244" s="10"/>
      <c r="AO244" s="10"/>
    </row>
    <row r="245" spans="2:52" x14ac:dyDescent="0.15">
      <c r="B245" s="10" t="s">
        <v>295</v>
      </c>
      <c r="C245" s="10" t="s">
        <v>260</v>
      </c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43">
        <f>$O$242</f>
        <v>1</v>
      </c>
      <c r="O245" s="10"/>
      <c r="P245" s="109" t="e">
        <f>(T205-(N245*AB189))/T205</f>
        <v>#DIV/0!</v>
      </c>
      <c r="Q245" s="10"/>
      <c r="R245" s="10"/>
      <c r="S245" s="10"/>
      <c r="T245" s="109" t="e">
        <f>(V205-AD189)/V205</f>
        <v>#DIV/0!</v>
      </c>
      <c r="U245" s="109">
        <f>(V205-AC189)/V205</f>
        <v>0.99630123012518101</v>
      </c>
      <c r="V245" s="109"/>
      <c r="W245" s="109"/>
      <c r="X245" s="109"/>
      <c r="Y245" s="109"/>
      <c r="Z245" s="109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13"/>
      <c r="AN245" s="10"/>
      <c r="AO245" s="10"/>
    </row>
    <row r="246" spans="2:52" x14ac:dyDescent="0.15">
      <c r="B246" s="10" t="s">
        <v>341</v>
      </c>
      <c r="C246" s="10" t="s">
        <v>260</v>
      </c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43">
        <f>$O$242</f>
        <v>1</v>
      </c>
      <c r="O246" s="10"/>
      <c r="P246" s="109" t="e">
        <f>(T205-(N246*AB202))/T205</f>
        <v>#DIV/0!</v>
      </c>
      <c r="Q246" s="10"/>
      <c r="R246" s="10"/>
      <c r="S246" s="10"/>
      <c r="T246" s="109" t="e">
        <f>(V205-AD202)/V205</f>
        <v>#DIV/0!</v>
      </c>
      <c r="U246" s="109">
        <f>(V205-AC202)/V205</f>
        <v>1</v>
      </c>
      <c r="V246" s="109"/>
      <c r="W246" s="109"/>
      <c r="X246" s="109"/>
      <c r="Y246" s="109"/>
      <c r="Z246" s="109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13"/>
      <c r="AN246" s="10"/>
      <c r="AO246" s="10"/>
    </row>
    <row r="247" spans="2:52" x14ac:dyDescent="0.15">
      <c r="B247" s="10" t="s">
        <v>249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5" t="e">
        <f>V205/AD175</f>
        <v>#DIV/0!</v>
      </c>
      <c r="U247" s="15">
        <f>V205/AC175</f>
        <v>49.862521254255626</v>
      </c>
      <c r="V247" s="15"/>
      <c r="W247" s="15"/>
      <c r="X247" s="15"/>
      <c r="Y247" s="15"/>
      <c r="Z247" s="98" t="s">
        <v>5</v>
      </c>
      <c r="AA247" s="98" t="s">
        <v>6</v>
      </c>
      <c r="AB247" s="98" t="s">
        <v>7</v>
      </c>
      <c r="AC247" s="98" t="s">
        <v>8</v>
      </c>
      <c r="AD247" s="98" t="s">
        <v>9</v>
      </c>
      <c r="AE247" s="98" t="s">
        <v>192</v>
      </c>
      <c r="AF247" s="98" t="s">
        <v>193</v>
      </c>
      <c r="AG247" s="98" t="s">
        <v>194</v>
      </c>
      <c r="AH247" s="98" t="s">
        <v>195</v>
      </c>
      <c r="AI247" s="98" t="s">
        <v>196</v>
      </c>
      <c r="AJ247" s="98" t="s">
        <v>349</v>
      </c>
      <c r="AK247" s="98" t="s">
        <v>350</v>
      </c>
      <c r="AL247" s="98" t="s">
        <v>351</v>
      </c>
      <c r="AM247" s="98" t="s">
        <v>352</v>
      </c>
      <c r="AN247" s="98" t="s">
        <v>353</v>
      </c>
      <c r="AO247" s="98" t="s">
        <v>354</v>
      </c>
      <c r="AP247" s="98" t="s">
        <v>355</v>
      </c>
      <c r="AQ247" s="98" t="s">
        <v>356</v>
      </c>
      <c r="AR247" s="98" t="s">
        <v>357</v>
      </c>
      <c r="AS247" s="98" t="s">
        <v>358</v>
      </c>
      <c r="AT247" s="98" t="s">
        <v>359</v>
      </c>
      <c r="AU247" s="98" t="s">
        <v>360</v>
      </c>
      <c r="AV247" s="98" t="s">
        <v>361</v>
      </c>
      <c r="AW247" s="98" t="s">
        <v>362</v>
      </c>
      <c r="AX247" s="98" t="s">
        <v>363</v>
      </c>
      <c r="AY247" s="98" t="s">
        <v>364</v>
      </c>
      <c r="AZ247" s="98" t="s">
        <v>365</v>
      </c>
    </row>
    <row r="248" spans="2:52" x14ac:dyDescent="0.15">
      <c r="B248" s="10" t="s">
        <v>313</v>
      </c>
      <c r="C248" s="10"/>
      <c r="D248" s="10"/>
      <c r="E248" s="10"/>
      <c r="F248" s="10"/>
      <c r="G248" s="10"/>
      <c r="H248" s="10"/>
      <c r="I248" s="10"/>
      <c r="J248" s="160" t="s">
        <v>388</v>
      </c>
      <c r="K248" s="161"/>
      <c r="L248" s="160" t="s">
        <v>389</v>
      </c>
      <c r="M248" s="161"/>
      <c r="N248" s="10"/>
      <c r="O248" s="160" t="s">
        <v>390</v>
      </c>
      <c r="P248" s="161"/>
      <c r="Q248" s="160" t="s">
        <v>391</v>
      </c>
      <c r="R248" s="160"/>
      <c r="S248" s="161"/>
      <c r="T248" s="127" t="e">
        <f>1/T247</f>
        <v>#DIV/0!</v>
      </c>
      <c r="U248" s="127">
        <f>1/U247</f>
        <v>2.0055143118432921E-2</v>
      </c>
      <c r="V248" s="127"/>
      <c r="W248" s="127"/>
      <c r="X248" s="127"/>
      <c r="Y248" s="127"/>
      <c r="Z248" s="10">
        <f>V205-Z249</f>
        <v>688.45579625292737</v>
      </c>
      <c r="AA248" s="156">
        <f>Z248-AA249</f>
        <v>652.17996194379384</v>
      </c>
      <c r="AB248" s="156">
        <f t="shared" ref="AB248:AD248" si="1161">AA248-AB249</f>
        <v>610.46275248829033</v>
      </c>
      <c r="AC248" s="156">
        <f t="shared" si="1161"/>
        <v>562.48796161446126</v>
      </c>
      <c r="AD248" s="156">
        <f t="shared" si="1161"/>
        <v>507.31695210955786</v>
      </c>
      <c r="AE248" s="156">
        <f>AD248-AE249</f>
        <v>443.87029117891899</v>
      </c>
      <c r="AF248" s="156">
        <f t="shared" ref="AF248:AI248" si="1162">AE248-AF249</f>
        <v>370.90663110868428</v>
      </c>
      <c r="AG248" s="156">
        <f t="shared" si="1162"/>
        <v>286.99842202791439</v>
      </c>
      <c r="AH248" s="156">
        <f t="shared" si="1162"/>
        <v>190.50398158502901</v>
      </c>
      <c r="AI248" s="156">
        <f t="shared" si="1162"/>
        <v>79.535375075710817</v>
      </c>
      <c r="AJ248" s="156">
        <f t="shared" ref="AJ248" si="1163">AI248-AJ249</f>
        <v>-48.078522410005093</v>
      </c>
      <c r="AK248" s="156">
        <f t="shared" ref="AK248" si="1164">AJ248-AK249</f>
        <v>-194.83450451857837</v>
      </c>
      <c r="AL248" s="156">
        <f t="shared" ref="AL248" si="1165">AK248-AL249</f>
        <v>-363.60388394343761</v>
      </c>
      <c r="AM248" s="156">
        <f t="shared" ref="AM248" si="1166">AL248-AM249</f>
        <v>-557.68867028202578</v>
      </c>
      <c r="AN248" s="156">
        <f t="shared" ref="AN248" si="1167">AM248-AN249</f>
        <v>-780.88617457140208</v>
      </c>
      <c r="AO248" s="156">
        <f t="shared" ref="AO248" si="1168">AN248-AO249</f>
        <v>-1037.563304504185</v>
      </c>
      <c r="AP248" s="156">
        <f t="shared" ref="AP248" si="1169">AO248-AP249</f>
        <v>-1332.7420039268852</v>
      </c>
      <c r="AQ248" s="156">
        <f t="shared" ref="AQ248" si="1170">AP248-AQ249</f>
        <v>-1672.1975082629904</v>
      </c>
      <c r="AR248" s="156">
        <f t="shared" ref="AR248" si="1171">AQ248-AR249</f>
        <v>-2062.5713382495114</v>
      </c>
      <c r="AS248" s="156">
        <f t="shared" ref="AS248" si="1172">AR248-AS249</f>
        <v>-2511.5012427340107</v>
      </c>
      <c r="AT248" s="156">
        <f t="shared" ref="AT248" si="1173">AS248-AT249</f>
        <v>-3027.7706328911845</v>
      </c>
      <c r="AU248" s="156">
        <f t="shared" ref="AU248" si="1174">AT248-AU249</f>
        <v>-3621.4804315719343</v>
      </c>
      <c r="AV248" s="156">
        <f t="shared" ref="AV248" si="1175">AU248-AV249</f>
        <v>-4304.2467000547967</v>
      </c>
      <c r="AW248" s="156">
        <f t="shared" ref="AW248" si="1176">AV248-AW249</f>
        <v>-5089.4279088100884</v>
      </c>
      <c r="AX248" s="156">
        <f t="shared" ref="AX248" si="1177">AW248-AX249</f>
        <v>-5992.3862988786741</v>
      </c>
      <c r="AY248" s="156">
        <f t="shared" ref="AY248" si="1178">AX248-AY249</f>
        <v>-7030.7884474575476</v>
      </c>
      <c r="AZ248" s="156">
        <f t="shared" ref="AZ248" si="1179">AY248-AZ249</f>
        <v>-8224.9509183232512</v>
      </c>
    </row>
    <row r="249" spans="2:52" x14ac:dyDescent="0.15">
      <c r="B249" s="10" t="s">
        <v>338</v>
      </c>
      <c r="C249" s="10"/>
      <c r="D249" s="10"/>
      <c r="E249" s="10"/>
      <c r="F249" s="10"/>
      <c r="G249" s="10"/>
      <c r="H249" s="10"/>
      <c r="I249" s="10"/>
      <c r="J249" s="162">
        <v>0</v>
      </c>
      <c r="K249" s="161"/>
      <c r="L249" s="162">
        <v>0.05</v>
      </c>
      <c r="M249" s="161"/>
      <c r="N249" s="155">
        <v>0.15</v>
      </c>
      <c r="O249" s="162">
        <v>0.12</v>
      </c>
      <c r="P249" s="161"/>
      <c r="Q249" s="162">
        <v>0.2</v>
      </c>
      <c r="R249" s="162"/>
      <c r="S249" s="169" t="s">
        <v>230</v>
      </c>
      <c r="T249" s="152">
        <f>V205/T174</f>
        <v>39.133174224343669</v>
      </c>
      <c r="U249" s="152" t="s">
        <v>408</v>
      </c>
      <c r="V249" s="152"/>
      <c r="W249" s="152"/>
      <c r="X249" s="152"/>
      <c r="Y249" s="152"/>
      <c r="Z249" s="157">
        <f>AA174*(1+$N$249)</f>
        <v>31.544203747072601</v>
      </c>
      <c r="AA249" s="157">
        <f>Z249*(1+$N$249)</f>
        <v>36.275834309133486</v>
      </c>
      <c r="AB249" s="157">
        <f t="shared" ref="AB249:AI249" si="1180">AA249*(1+$N$249)</f>
        <v>41.717209455503507</v>
      </c>
      <c r="AC249" s="157">
        <f t="shared" si="1180"/>
        <v>47.974790873829029</v>
      </c>
      <c r="AD249" s="157">
        <f t="shared" si="1180"/>
        <v>55.171009504903381</v>
      </c>
      <c r="AE249" s="157">
        <f t="shared" si="1180"/>
        <v>63.446660930638885</v>
      </c>
      <c r="AF249" s="157">
        <f t="shared" si="1180"/>
        <v>72.96366007023471</v>
      </c>
      <c r="AG249" s="157">
        <f t="shared" si="1180"/>
        <v>83.908209080769907</v>
      </c>
      <c r="AH249" s="157">
        <f t="shared" si="1180"/>
        <v>96.494440442885391</v>
      </c>
      <c r="AI249" s="157">
        <f t="shared" si="1180"/>
        <v>110.96860650931819</v>
      </c>
      <c r="AJ249" s="157">
        <f t="shared" ref="AJ249" si="1181">AI249*(1+$N$249)</f>
        <v>127.61389748571591</v>
      </c>
      <c r="AK249" s="157">
        <f t="shared" ref="AK249" si="1182">AJ249*(1+$N$249)</f>
        <v>146.75598210857328</v>
      </c>
      <c r="AL249" s="157">
        <f t="shared" ref="AL249" si="1183">AK249*(1+$N$249)</f>
        <v>168.76937942485927</v>
      </c>
      <c r="AM249" s="157">
        <f t="shared" ref="AM249" si="1184">AL249*(1+$N$249)</f>
        <v>194.08478633858815</v>
      </c>
      <c r="AN249" s="157">
        <f t="shared" ref="AN249" si="1185">AM249*(1+$N$249)</f>
        <v>223.19750428937635</v>
      </c>
      <c r="AO249" s="157">
        <f t="shared" ref="AO249" si="1186">AN249*(1+$N$249)</f>
        <v>256.6771299327828</v>
      </c>
      <c r="AP249" s="157">
        <f t="shared" ref="AP249" si="1187">AO249*(1+$N$249)</f>
        <v>295.17869942270022</v>
      </c>
      <c r="AQ249" s="157">
        <f t="shared" ref="AQ249" si="1188">AP249*(1+$N$249)</f>
        <v>339.45550433610521</v>
      </c>
      <c r="AR249" s="157">
        <f t="shared" ref="AR249" si="1189">AQ249*(1+$N$249)</f>
        <v>390.37382998652095</v>
      </c>
      <c r="AS249" s="157">
        <f t="shared" ref="AS249" si="1190">AR249*(1+$N$249)</f>
        <v>448.92990448449905</v>
      </c>
      <c r="AT249" s="157">
        <f t="shared" ref="AT249" si="1191">AS249*(1+$N$249)</f>
        <v>516.26939015717392</v>
      </c>
      <c r="AU249" s="157">
        <f t="shared" ref="AU249" si="1192">AT249*(1+$N$249)</f>
        <v>593.70979868074994</v>
      </c>
      <c r="AV249" s="157">
        <f t="shared" ref="AV249" si="1193">AU249*(1+$N$249)</f>
        <v>682.76626848286242</v>
      </c>
      <c r="AW249" s="157">
        <f t="shared" ref="AW249" si="1194">AV249*(1+$N$249)</f>
        <v>785.18120875529166</v>
      </c>
      <c r="AX249" s="157">
        <f t="shared" ref="AX249" si="1195">AW249*(1+$N$249)</f>
        <v>902.95839006858535</v>
      </c>
      <c r="AY249" s="157">
        <f t="shared" ref="AY249" si="1196">AX249*(1+$N$249)</f>
        <v>1038.402148578873</v>
      </c>
      <c r="AZ249" s="157">
        <f t="shared" ref="AZ249" si="1197">AY249*(1+$N$249)</f>
        <v>1194.1624708657039</v>
      </c>
    </row>
    <row r="250" spans="2:52" x14ac:dyDescent="0.15">
      <c r="B250" s="10" t="s">
        <v>337</v>
      </c>
      <c r="C250" s="10"/>
      <c r="D250" s="10"/>
      <c r="E250" s="13" t="s">
        <v>333</v>
      </c>
      <c r="F250" s="13"/>
      <c r="G250" s="13"/>
      <c r="H250" s="13"/>
      <c r="I250" s="12"/>
      <c r="J250" s="162">
        <v>0</v>
      </c>
      <c r="K250" s="163">
        <f>U207</f>
        <v>28.829299363057324</v>
      </c>
      <c r="L250" s="162">
        <v>0.05</v>
      </c>
      <c r="M250" s="161"/>
      <c r="N250" s="155">
        <v>0.15</v>
      </c>
      <c r="O250" s="162">
        <v>0.12</v>
      </c>
      <c r="P250" s="161"/>
      <c r="Q250" s="162">
        <v>0.2</v>
      </c>
      <c r="R250" s="162"/>
      <c r="S250" s="169" t="s">
        <v>407</v>
      </c>
      <c r="T250" s="152">
        <f>V205/V76</f>
        <v>25.46086956521739</v>
      </c>
      <c r="U250" s="152" t="s">
        <v>408</v>
      </c>
      <c r="V250" s="152"/>
      <c r="W250" s="152"/>
      <c r="X250" s="152"/>
      <c r="Y250" s="152"/>
      <c r="Z250" s="157">
        <f>U76*(1+$N$250)</f>
        <v>31.712529274004684</v>
      </c>
      <c r="AA250" s="157">
        <f>Z250*(1+$N$250)</f>
        <v>36.469408665105384</v>
      </c>
      <c r="AB250" s="157">
        <f t="shared" ref="AB250:AI250" si="1198">AA250*(1+$N$250)</f>
        <v>41.939819964871191</v>
      </c>
      <c r="AC250" s="157">
        <f t="shared" si="1198"/>
        <v>48.230792959601864</v>
      </c>
      <c r="AD250" s="157">
        <f t="shared" si="1198"/>
        <v>55.46541190354214</v>
      </c>
      <c r="AE250" s="157">
        <f t="shared" si="1198"/>
        <v>63.785223689073455</v>
      </c>
      <c r="AF250" s="157">
        <f t="shared" si="1198"/>
        <v>73.353007242434472</v>
      </c>
      <c r="AG250" s="157">
        <f t="shared" si="1198"/>
        <v>84.35595832879963</v>
      </c>
      <c r="AH250" s="157">
        <f t="shared" si="1198"/>
        <v>97.009352078119562</v>
      </c>
      <c r="AI250" s="157">
        <f t="shared" si="1198"/>
        <v>111.56075488983748</v>
      </c>
      <c r="AJ250" s="157">
        <f t="shared" ref="AJ250" si="1199">AI250*(1+$N$250)</f>
        <v>128.29486812331311</v>
      </c>
      <c r="AK250" s="157">
        <f t="shared" ref="AK250" si="1200">AJ250*(1+$N$250)</f>
        <v>147.53909834181007</v>
      </c>
      <c r="AL250" s="157">
        <f t="shared" ref="AL250" si="1201">AK250*(1+$N$250)</f>
        <v>169.66996309308158</v>
      </c>
      <c r="AM250" s="157">
        <f t="shared" ref="AM250" si="1202">AL250*(1+$N$250)</f>
        <v>195.12045755704381</v>
      </c>
      <c r="AN250" s="157">
        <f t="shared" ref="AN250" si="1203">AM250*(1+$N$250)</f>
        <v>224.38852619060037</v>
      </c>
      <c r="AO250" s="157">
        <f t="shared" ref="AO250" si="1204">AN250*(1+$N$250)</f>
        <v>258.04680511919042</v>
      </c>
      <c r="AP250" s="157">
        <f t="shared" ref="AP250" si="1205">AO250*(1+$N$250)</f>
        <v>296.75382588706896</v>
      </c>
      <c r="AQ250" s="157">
        <f t="shared" ref="AQ250" si="1206">AP250*(1+$N$250)</f>
        <v>341.26689977012927</v>
      </c>
      <c r="AR250" s="157">
        <f t="shared" ref="AR250" si="1207">AQ250*(1+$N$250)</f>
        <v>392.45693473564864</v>
      </c>
      <c r="AS250" s="157">
        <f t="shared" ref="AS250" si="1208">AR250*(1+$N$250)</f>
        <v>451.32547494599589</v>
      </c>
      <c r="AT250" s="157">
        <f t="shared" ref="AT250" si="1209">AS250*(1+$N$250)</f>
        <v>519.02429618789529</v>
      </c>
      <c r="AU250" s="157">
        <f t="shared" ref="AU250" si="1210">AT250*(1+$N$250)</f>
        <v>596.87794061607951</v>
      </c>
      <c r="AV250" s="157">
        <f t="shared" ref="AV250" si="1211">AU250*(1+$N$250)</f>
        <v>686.40963170849136</v>
      </c>
      <c r="AW250" s="157">
        <f t="shared" ref="AW250" si="1212">AV250*(1+$N$250)</f>
        <v>789.371076464765</v>
      </c>
      <c r="AX250" s="157">
        <f t="shared" ref="AX250" si="1213">AW250*(1+$N$250)</f>
        <v>907.77673793447968</v>
      </c>
      <c r="AY250" s="157">
        <f t="shared" ref="AY250" si="1214">AX250*(1+$N$250)</f>
        <v>1043.9432486246515</v>
      </c>
      <c r="AZ250" s="157">
        <f t="shared" ref="AZ250" si="1215">AY250*(1+$N$250)</f>
        <v>1200.534735918349</v>
      </c>
    </row>
    <row r="251" spans="2:52" x14ac:dyDescent="0.15">
      <c r="B251" s="10"/>
      <c r="C251" s="10"/>
      <c r="D251" s="10"/>
      <c r="E251" s="13" t="s">
        <v>393</v>
      </c>
      <c r="F251" s="13"/>
      <c r="G251" s="13"/>
      <c r="H251" s="13"/>
      <c r="I251" s="12"/>
      <c r="J251" s="162">
        <v>0</v>
      </c>
      <c r="K251" s="163"/>
      <c r="L251" s="162">
        <v>0.05</v>
      </c>
      <c r="M251" s="161"/>
      <c r="N251" s="161"/>
      <c r="O251" s="162">
        <v>0.12</v>
      </c>
      <c r="P251" s="161"/>
      <c r="Q251" s="162">
        <v>0.2</v>
      </c>
      <c r="R251" s="162"/>
      <c r="S251" s="10"/>
      <c r="T251" s="10"/>
      <c r="U251" s="10"/>
      <c r="V251" s="10"/>
      <c r="W251" s="10"/>
      <c r="X251" s="10"/>
      <c r="Y251" s="10"/>
      <c r="Z251" s="10">
        <f>V205-Z250</f>
        <v>688.28747072599526</v>
      </c>
      <c r="AA251" s="156">
        <f>Z251-AA250</f>
        <v>651.81806206088993</v>
      </c>
      <c r="AB251" s="156">
        <f t="shared" ref="AB251:AG251" si="1216">AA251-AB250</f>
        <v>609.87824209601877</v>
      </c>
      <c r="AC251" s="156">
        <f t="shared" si="1216"/>
        <v>561.64744913641687</v>
      </c>
      <c r="AD251" s="156">
        <f t="shared" si="1216"/>
        <v>506.18203723287473</v>
      </c>
      <c r="AE251" s="156">
        <f t="shared" si="1216"/>
        <v>442.39681354380127</v>
      </c>
      <c r="AF251" s="156">
        <f t="shared" si="1216"/>
        <v>369.04380630136677</v>
      </c>
      <c r="AG251" s="156">
        <f t="shared" si="1216"/>
        <v>284.68784797256717</v>
      </c>
      <c r="AH251" s="156">
        <f>AG251-AH250</f>
        <v>187.67849589444762</v>
      </c>
      <c r="AI251" s="156">
        <f t="shared" ref="AI251" si="1217">AH251-AI250</f>
        <v>76.117741004610139</v>
      </c>
      <c r="AJ251" s="156">
        <f t="shared" ref="AJ251" si="1218">AI251-AJ250</f>
        <v>-52.17712711870297</v>
      </c>
      <c r="AK251" s="156">
        <f t="shared" ref="AK251" si="1219">AJ251-AK250</f>
        <v>-199.71622546051304</v>
      </c>
      <c r="AL251" s="156">
        <f t="shared" ref="AL251" si="1220">AK251-AL250</f>
        <v>-369.38618855359459</v>
      </c>
      <c r="AM251" s="156">
        <f t="shared" ref="AM251" si="1221">AL251-AM250</f>
        <v>-564.50664611063837</v>
      </c>
      <c r="AN251" s="156">
        <f t="shared" ref="AN251" si="1222">AM251-AN250</f>
        <v>-788.89517230123874</v>
      </c>
      <c r="AO251" s="156">
        <f t="shared" ref="AO251" si="1223">AN251-AO250</f>
        <v>-1046.9419774204291</v>
      </c>
      <c r="AP251" s="156">
        <f t="shared" ref="AP251" si="1224">AO251-AP250</f>
        <v>-1343.695803307498</v>
      </c>
      <c r="AQ251" s="156">
        <f t="shared" ref="AQ251" si="1225">AP251-AQ250</f>
        <v>-1684.9627030776273</v>
      </c>
      <c r="AR251" s="156">
        <f t="shared" ref="AR251" si="1226">AQ251-AR250</f>
        <v>-2077.419637813276</v>
      </c>
      <c r="AS251" s="156">
        <f t="shared" ref="AS251" si="1227">AR251-AS250</f>
        <v>-2528.7451127592722</v>
      </c>
      <c r="AT251" s="156">
        <f t="shared" ref="AT251" si="1228">AS251-AT250</f>
        <v>-3047.7694089471674</v>
      </c>
      <c r="AU251" s="156">
        <f t="shared" ref="AU251" si="1229">AT251-AU250</f>
        <v>-3644.6473495632472</v>
      </c>
      <c r="AV251" s="156">
        <f t="shared" ref="AV251" si="1230">AU251-AV250</f>
        <v>-4331.0569812717386</v>
      </c>
      <c r="AW251" s="156">
        <f t="shared" ref="AW251" si="1231">AV251-AW250</f>
        <v>-5120.4280577365034</v>
      </c>
      <c r="AX251" s="156">
        <f t="shared" ref="AX251" si="1232">AW251-AX250</f>
        <v>-6028.204795670983</v>
      </c>
      <c r="AY251" s="156">
        <f t="shared" ref="AY251" si="1233">AX251-AY250</f>
        <v>-7072.1480442956345</v>
      </c>
      <c r="AZ251" s="156">
        <f t="shared" ref="AZ251" si="1234">AY251-AZ250</f>
        <v>-8272.6827802139833</v>
      </c>
    </row>
    <row r="252" spans="2:52" x14ac:dyDescent="0.15">
      <c r="B252" s="93" t="s">
        <v>251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</row>
    <row r="253" spans="2:52" x14ac:dyDescent="0.15">
      <c r="B253" s="10" t="s">
        <v>254</v>
      </c>
      <c r="C253" s="15"/>
      <c r="D253" s="15"/>
      <c r="E253" s="15"/>
      <c r="F253" s="15"/>
      <c r="G253" s="15"/>
      <c r="H253" s="15">
        <f t="shared" ref="H253:I253" si="1235">H10/H7</f>
        <v>0.1270718232044199</v>
      </c>
      <c r="I253" s="15">
        <f t="shared" si="1235"/>
        <v>0.1890547263681592</v>
      </c>
      <c r="J253" s="15">
        <f t="shared" ref="J253:U253" si="1236">J10/J7</f>
        <v>0.58024691358024694</v>
      </c>
      <c r="K253" s="15">
        <f t="shared" si="1236"/>
        <v>0.95195195195195192</v>
      </c>
      <c r="L253" s="15">
        <f t="shared" si="1236"/>
        <v>0.70443349753694584</v>
      </c>
      <c r="M253" s="15">
        <f t="shared" si="1236"/>
        <v>0.16758747697974216</v>
      </c>
      <c r="N253" s="15">
        <f t="shared" si="1236"/>
        <v>0.14705882352941177</v>
      </c>
      <c r="O253" s="15">
        <f t="shared" si="1236"/>
        <v>0.10206561360874848</v>
      </c>
      <c r="P253" s="15">
        <f t="shared" si="1236"/>
        <v>8.2152974504249299E-2</v>
      </c>
      <c r="Q253" s="15">
        <f t="shared" si="1236"/>
        <v>6.1674008810572688E-2</v>
      </c>
      <c r="R253" s="15">
        <f t="shared" ref="R253" si="1237">R10/R7</f>
        <v>4.3555032371983521E-2</v>
      </c>
      <c r="S253" s="15">
        <f t="shared" si="1236"/>
        <v>3.4269395525940029E-2</v>
      </c>
      <c r="T253" s="15">
        <f t="shared" si="1236"/>
        <v>2.7767065175472425E-2</v>
      </c>
      <c r="U253" s="15">
        <f t="shared" si="1236"/>
        <v>1.9748042219952331E-2</v>
      </c>
      <c r="V253" s="15">
        <f t="shared" ref="V253:Z253" si="1238">V10/V7</f>
        <v>0</v>
      </c>
      <c r="W253" s="15">
        <f t="shared" ref="W253:X253" si="1239">W10/W7</f>
        <v>0</v>
      </c>
      <c r="X253" s="15">
        <f t="shared" si="1239"/>
        <v>0</v>
      </c>
      <c r="Y253" s="15"/>
      <c r="Z253" s="15">
        <f t="shared" si="1238"/>
        <v>0</v>
      </c>
      <c r="AA253" s="101" t="e">
        <f t="shared" ref="AA253:AA255" si="1240">((V253/G253)^(1/($K$2-$K$1) ))-1</f>
        <v>#DIV/0!</v>
      </c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</row>
    <row r="254" spans="2:52" x14ac:dyDescent="0.15">
      <c r="B254" s="10" t="s">
        <v>255</v>
      </c>
      <c r="C254" s="96"/>
      <c r="D254" s="96"/>
      <c r="E254" s="96"/>
      <c r="F254" s="96"/>
      <c r="G254" s="96"/>
      <c r="H254" s="96">
        <f t="shared" ref="H254:I254" si="1241">H10/H12</f>
        <v>1.3529411764705883</v>
      </c>
      <c r="I254" s="96">
        <f t="shared" si="1241"/>
        <v>1.8095238095238095</v>
      </c>
      <c r="J254" s="96">
        <f t="shared" ref="J254:U254" si="1242">J10/J12</f>
        <v>5.4230769230769234</v>
      </c>
      <c r="K254" s="96">
        <f t="shared" si="1242"/>
        <v>6.0961538461538458</v>
      </c>
      <c r="L254" s="96">
        <f t="shared" si="1242"/>
        <v>4.0857142857142854</v>
      </c>
      <c r="M254" s="96">
        <f t="shared" si="1242"/>
        <v>1.467741935483871</v>
      </c>
      <c r="N254" s="96">
        <f t="shared" si="1242"/>
        <v>2.375</v>
      </c>
      <c r="O254" s="96">
        <f t="shared" si="1242"/>
        <v>0.36681222707423583</v>
      </c>
      <c r="P254" s="96">
        <f t="shared" si="1242"/>
        <v>0.21167883211678831</v>
      </c>
      <c r="Q254" s="96">
        <f t="shared" si="1242"/>
        <v>0.28474576271186441</v>
      </c>
      <c r="R254" s="96">
        <f t="shared" ref="R254" si="1243">R10/R12</f>
        <v>0.33333333333333331</v>
      </c>
      <c r="S254" s="96">
        <f t="shared" si="1242"/>
        <v>0.48</v>
      </c>
      <c r="T254" s="96">
        <f t="shared" si="1242"/>
        <v>0.42352941176470588</v>
      </c>
      <c r="U254" s="96">
        <f t="shared" si="1242"/>
        <v>0.52252252252252251</v>
      </c>
      <c r="V254" s="96">
        <f t="shared" ref="V254:Z254" si="1244">V10/V12</f>
        <v>0</v>
      </c>
      <c r="W254" s="96">
        <f t="shared" ref="W254:X254" si="1245">W10/W12</f>
        <v>0</v>
      </c>
      <c r="X254" s="96">
        <f t="shared" si="1245"/>
        <v>0</v>
      </c>
      <c r="Y254" s="96"/>
      <c r="Z254" s="96">
        <f t="shared" si="1244"/>
        <v>0</v>
      </c>
      <c r="AA254" s="101" t="e">
        <f t="shared" si="1240"/>
        <v>#DIV/0!</v>
      </c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</row>
    <row r="255" spans="2:52" x14ac:dyDescent="0.15">
      <c r="B255" s="10" t="s">
        <v>256</v>
      </c>
      <c r="C255" s="15"/>
      <c r="D255" s="15"/>
      <c r="E255" s="15"/>
      <c r="F255" s="15"/>
      <c r="G255" s="15"/>
      <c r="H255" s="15">
        <f t="shared" ref="H255:I255" si="1246">H10/(H12+H13)</f>
        <v>0.56097560975609762</v>
      </c>
      <c r="I255" s="15">
        <f t="shared" si="1246"/>
        <v>0.71698113207547165</v>
      </c>
      <c r="J255" s="15">
        <f t="shared" ref="J255:U255" si="1247">J10/(J12+J13)</f>
        <v>3.3571428571428572</v>
      </c>
      <c r="K255" s="15">
        <f t="shared" si="1247"/>
        <v>4.6617647058823533</v>
      </c>
      <c r="L255" s="15">
        <f t="shared" si="1247"/>
        <v>2.4444444444444446</v>
      </c>
      <c r="M255" s="15">
        <f t="shared" si="1247"/>
        <v>1.1666666666666667</v>
      </c>
      <c r="N255" s="15">
        <f t="shared" si="1247"/>
        <v>1.6964285714285714</v>
      </c>
      <c r="O255" s="15">
        <f t="shared" si="1247"/>
        <v>0.34285714285714286</v>
      </c>
      <c r="P255" s="15">
        <f t="shared" si="1247"/>
        <v>0.20374707259953162</v>
      </c>
      <c r="Q255" s="15">
        <f t="shared" si="1247"/>
        <v>0.27009646302250806</v>
      </c>
      <c r="R255" s="15">
        <f t="shared" ref="R255" si="1248">R10/(R12+R13)</f>
        <v>0.31092436974789917</v>
      </c>
      <c r="S255" s="15">
        <f t="shared" si="1247"/>
        <v>0.43373493975903615</v>
      </c>
      <c r="T255" s="15">
        <f t="shared" si="1247"/>
        <v>0.22784810126582278</v>
      </c>
      <c r="U255" s="15">
        <f t="shared" si="1247"/>
        <v>0.39726027397260272</v>
      </c>
      <c r="V255" s="15">
        <f t="shared" ref="V255:Z255" si="1249">V10/(V12+V13)</f>
        <v>0</v>
      </c>
      <c r="W255" s="15">
        <f t="shared" ref="W255:X255" si="1250">W10/(W12+W13)</f>
        <v>0</v>
      </c>
      <c r="X255" s="15">
        <f t="shared" si="1250"/>
        <v>0</v>
      </c>
      <c r="Y255" s="15"/>
      <c r="Z255" s="15">
        <f t="shared" si="1249"/>
        <v>0</v>
      </c>
      <c r="AA255" s="101" t="e">
        <f t="shared" si="1240"/>
        <v>#DIV/0!</v>
      </c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</row>
    <row r="256" spans="2:52" x14ac:dyDescent="0.15"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</row>
    <row r="257" spans="2:41" x14ac:dyDescent="0.15"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</row>
    <row r="258" spans="2:41" ht="15" customHeight="1" x14ac:dyDescent="0.15">
      <c r="B258" s="10"/>
      <c r="C258" s="145" t="s">
        <v>319</v>
      </c>
      <c r="D258" s="146"/>
      <c r="E258" s="146"/>
      <c r="F258" s="146"/>
      <c r="G258" s="146"/>
      <c r="H258" s="146"/>
      <c r="I258" s="146"/>
      <c r="J258" s="146"/>
      <c r="K258" s="146"/>
      <c r="L258" s="146"/>
      <c r="M258" s="301" t="s">
        <v>281</v>
      </c>
      <c r="N258" s="301"/>
      <c r="O258" s="301"/>
      <c r="P258" s="302"/>
      <c r="Q258" s="10"/>
      <c r="R258" s="10"/>
      <c r="S258" s="13"/>
      <c r="T258" s="139"/>
      <c r="U258" s="139"/>
      <c r="V258" s="139"/>
      <c r="W258" s="139"/>
      <c r="X258" s="139"/>
      <c r="Y258" s="139"/>
      <c r="Z258" s="139"/>
      <c r="AA258" s="140"/>
      <c r="AB258" s="14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</row>
    <row r="259" spans="2:41" x14ac:dyDescent="0.15">
      <c r="B259" s="10"/>
      <c r="C259" s="138" t="s">
        <v>282</v>
      </c>
      <c r="D259" s="138" t="s">
        <v>0</v>
      </c>
      <c r="E259" s="138" t="s">
        <v>320</v>
      </c>
      <c r="F259" s="138"/>
      <c r="G259" s="138" t="s">
        <v>321</v>
      </c>
      <c r="H259" s="138" t="s">
        <v>322</v>
      </c>
      <c r="I259" s="138" t="s">
        <v>323</v>
      </c>
      <c r="J259" s="138" t="s">
        <v>324</v>
      </c>
      <c r="K259" s="138" t="s">
        <v>325</v>
      </c>
      <c r="L259" s="10"/>
      <c r="M259" s="138" t="s">
        <v>282</v>
      </c>
      <c r="N259" s="138"/>
      <c r="O259" s="138" t="s">
        <v>0</v>
      </c>
      <c r="P259" s="138" t="s">
        <v>314</v>
      </c>
      <c r="Q259" s="10"/>
      <c r="R259" s="10"/>
      <c r="S259" s="10"/>
      <c r="T259" s="141"/>
      <c r="U259" s="141"/>
      <c r="V259" s="141"/>
      <c r="W259" s="141"/>
      <c r="X259" s="141"/>
      <c r="Y259" s="141"/>
      <c r="Z259" s="141"/>
      <c r="AA259" s="142"/>
      <c r="AB259" s="142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</row>
    <row r="260" spans="2:41" x14ac:dyDescent="0.15">
      <c r="B260" s="10"/>
      <c r="C260" s="139" t="s">
        <v>283</v>
      </c>
      <c r="D260" s="11"/>
      <c r="E260" s="147" t="s">
        <v>326</v>
      </c>
      <c r="F260" s="147"/>
      <c r="G260" s="12">
        <v>1</v>
      </c>
      <c r="H260" s="12">
        <v>1</v>
      </c>
      <c r="I260" s="139">
        <f>G260/H260</f>
        <v>1</v>
      </c>
      <c r="J260" s="139">
        <f>I260*D261</f>
        <v>0</v>
      </c>
      <c r="K260" s="148">
        <f>J260+D261</f>
        <v>0</v>
      </c>
      <c r="L260" s="10"/>
      <c r="M260" s="139" t="s">
        <v>283</v>
      </c>
      <c r="N260" s="139"/>
      <c r="O260" s="11">
        <v>1</v>
      </c>
      <c r="P260" s="144">
        <f>O260</f>
        <v>1</v>
      </c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</row>
    <row r="261" spans="2:41" x14ac:dyDescent="0.15">
      <c r="B261" s="10"/>
      <c r="C261" s="139" t="s">
        <v>284</v>
      </c>
      <c r="D261" s="11"/>
      <c r="E261" s="147" t="s">
        <v>327</v>
      </c>
      <c r="F261" s="147"/>
      <c r="G261" s="12">
        <v>0</v>
      </c>
      <c r="H261" s="12">
        <v>1</v>
      </c>
      <c r="I261" s="139">
        <f>G261/H261</f>
        <v>0</v>
      </c>
      <c r="J261" s="139">
        <f>I261*K260</f>
        <v>0</v>
      </c>
      <c r="K261" s="139">
        <f>J261+K260</f>
        <v>0</v>
      </c>
      <c r="L261" s="10"/>
      <c r="M261" s="139" t="s">
        <v>284</v>
      </c>
      <c r="N261" s="139"/>
      <c r="O261" s="11">
        <v>1</v>
      </c>
      <c r="P261" s="144">
        <f>O261</f>
        <v>1</v>
      </c>
      <c r="Q261" s="10"/>
      <c r="R261" s="10"/>
      <c r="S261" s="10"/>
      <c r="T261" s="139"/>
      <c r="U261" s="139"/>
      <c r="V261" s="139"/>
      <c r="W261" s="139"/>
      <c r="X261" s="139"/>
      <c r="Y261" s="139"/>
      <c r="Z261" s="139"/>
      <c r="AA261" s="140"/>
      <c r="AB261" s="14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</row>
    <row r="262" spans="2:41" x14ac:dyDescent="0.15">
      <c r="B262" s="10"/>
      <c r="C262" s="139" t="s">
        <v>286</v>
      </c>
      <c r="D262" s="140">
        <f>D260*D261</f>
        <v>0</v>
      </c>
      <c r="E262" s="147" t="s">
        <v>339</v>
      </c>
      <c r="F262" s="147"/>
      <c r="G262" s="12">
        <v>0</v>
      </c>
      <c r="H262" s="12">
        <v>1</v>
      </c>
      <c r="I262" s="139">
        <f>G262/H262</f>
        <v>0</v>
      </c>
      <c r="J262" s="139">
        <f>I262*K261</f>
        <v>0</v>
      </c>
      <c r="K262" s="139">
        <f>J262+K261</f>
        <v>0</v>
      </c>
      <c r="L262" s="10"/>
      <c r="M262" s="139" t="s">
        <v>285</v>
      </c>
      <c r="N262" s="139"/>
      <c r="O262" s="140">
        <f>O260*O261</f>
        <v>1</v>
      </c>
      <c r="P262" s="144">
        <f>O262</f>
        <v>1</v>
      </c>
      <c r="Q262" s="10"/>
      <c r="R262" s="10"/>
      <c r="S262" s="10"/>
      <c r="T262" s="141"/>
      <c r="U262" s="141"/>
      <c r="V262" s="141"/>
      <c r="W262" s="141"/>
      <c r="X262" s="141"/>
      <c r="Y262" s="141"/>
      <c r="Z262" s="141"/>
      <c r="AA262" s="142"/>
      <c r="AB262" s="142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</row>
    <row r="263" spans="2:41" x14ac:dyDescent="0.15">
      <c r="B263" s="10"/>
      <c r="C263" s="139"/>
      <c r="D263" s="140"/>
      <c r="E263" s="147" t="s">
        <v>394</v>
      </c>
      <c r="F263" s="147"/>
      <c r="G263" s="12">
        <v>0</v>
      </c>
      <c r="H263" s="12">
        <v>1</v>
      </c>
      <c r="I263" s="139">
        <f t="shared" ref="I263:I266" si="1251">G263/H263</f>
        <v>0</v>
      </c>
      <c r="J263" s="139">
        <f t="shared" ref="J263:J265" si="1252">I263*K262</f>
        <v>0</v>
      </c>
      <c r="K263" s="139">
        <f t="shared" ref="K263:K265" si="1253">J263+K262</f>
        <v>0</v>
      </c>
      <c r="L263" s="10"/>
      <c r="M263" s="139" t="s">
        <v>287</v>
      </c>
      <c r="N263" s="139"/>
      <c r="O263" s="11">
        <v>1</v>
      </c>
      <c r="P263" s="11">
        <v>1</v>
      </c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</row>
    <row r="264" spans="2:41" x14ac:dyDescent="0.15">
      <c r="B264" s="10"/>
      <c r="C264" s="139"/>
      <c r="D264" s="140"/>
      <c r="E264" s="147" t="s">
        <v>395</v>
      </c>
      <c r="F264" s="147"/>
      <c r="G264" s="12">
        <v>0</v>
      </c>
      <c r="H264" s="12">
        <v>1</v>
      </c>
      <c r="I264" s="139">
        <f t="shared" si="1251"/>
        <v>0</v>
      </c>
      <c r="J264" s="139">
        <f t="shared" si="1252"/>
        <v>0</v>
      </c>
      <c r="K264" s="139">
        <f t="shared" si="1253"/>
        <v>0</v>
      </c>
      <c r="L264" s="10"/>
      <c r="M264" s="139" t="s">
        <v>288</v>
      </c>
      <c r="N264" s="139"/>
      <c r="O264" s="140">
        <f>O263*O261</f>
        <v>1</v>
      </c>
      <c r="P264" s="140">
        <f>P263*P261</f>
        <v>1</v>
      </c>
      <c r="Q264" s="10"/>
      <c r="R264" s="10"/>
      <c r="S264" s="10"/>
      <c r="T264" s="139"/>
      <c r="U264" s="139"/>
      <c r="V264" s="139"/>
      <c r="W264" s="139"/>
      <c r="X264" s="139"/>
      <c r="Y264" s="139"/>
      <c r="Z264" s="139"/>
      <c r="AA264" s="140"/>
      <c r="AB264" s="14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</row>
    <row r="265" spans="2:41" x14ac:dyDescent="0.15">
      <c r="B265" s="10"/>
      <c r="C265" s="139"/>
      <c r="D265" s="140"/>
      <c r="E265" s="147" t="s">
        <v>396</v>
      </c>
      <c r="F265" s="147"/>
      <c r="G265" s="12">
        <v>0</v>
      </c>
      <c r="H265" s="12">
        <v>1</v>
      </c>
      <c r="I265" s="139">
        <f t="shared" si="1251"/>
        <v>0</v>
      </c>
      <c r="J265" s="139">
        <f t="shared" si="1252"/>
        <v>0</v>
      </c>
      <c r="K265" s="139">
        <f t="shared" si="1253"/>
        <v>0</v>
      </c>
      <c r="L265" s="10"/>
      <c r="M265" s="139"/>
      <c r="N265" s="139"/>
      <c r="O265" s="140"/>
      <c r="P265" s="140"/>
      <c r="Q265" s="10"/>
      <c r="R265" s="10"/>
      <c r="S265" s="10"/>
      <c r="T265" s="141"/>
      <c r="U265" s="141"/>
      <c r="V265" s="141"/>
      <c r="W265" s="141"/>
      <c r="X265" s="141"/>
      <c r="Y265" s="141"/>
      <c r="Z265" s="141"/>
      <c r="AA265" s="142"/>
      <c r="AB265" s="142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</row>
    <row r="266" spans="2:41" x14ac:dyDescent="0.15">
      <c r="B266" s="10"/>
      <c r="C266" s="139"/>
      <c r="D266" s="140"/>
      <c r="E266" s="147" t="s">
        <v>328</v>
      </c>
      <c r="F266" s="147"/>
      <c r="G266" s="12">
        <v>10</v>
      </c>
      <c r="H266" s="12">
        <v>1</v>
      </c>
      <c r="I266" s="139">
        <f t="shared" si="1251"/>
        <v>10</v>
      </c>
      <c r="J266" s="139">
        <f>I266*K265</f>
        <v>0</v>
      </c>
      <c r="K266" s="139">
        <f>J266</f>
        <v>0</v>
      </c>
      <c r="L266" s="10"/>
      <c r="M266" s="139"/>
      <c r="N266" s="139"/>
      <c r="O266" s="140"/>
      <c r="P266" s="14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</row>
    <row r="267" spans="2:41" x14ac:dyDescent="0.15">
      <c r="B267" s="10"/>
      <c r="C267" s="139"/>
      <c r="D267" s="140"/>
      <c r="E267" s="147" t="s">
        <v>397</v>
      </c>
      <c r="F267" s="147"/>
      <c r="G267" s="12">
        <v>0</v>
      </c>
      <c r="H267" s="12">
        <v>1</v>
      </c>
      <c r="I267" s="139">
        <f>G267/H267</f>
        <v>0</v>
      </c>
      <c r="J267" s="139">
        <f>I267*K266</f>
        <v>0</v>
      </c>
      <c r="K267" s="139">
        <f>J267</f>
        <v>0</v>
      </c>
      <c r="L267" s="10"/>
      <c r="M267" s="141" t="s">
        <v>289</v>
      </c>
      <c r="N267" s="141"/>
      <c r="O267" s="142">
        <f>O264/O262</f>
        <v>1</v>
      </c>
      <c r="P267" s="142">
        <f>P264/P262</f>
        <v>1</v>
      </c>
      <c r="Q267" s="10"/>
      <c r="R267" s="10"/>
      <c r="S267" s="10"/>
      <c r="T267" s="141"/>
      <c r="U267" s="141"/>
      <c r="V267" s="141"/>
      <c r="W267" s="141"/>
      <c r="X267" s="141"/>
      <c r="Y267" s="141"/>
      <c r="Z267" s="141"/>
      <c r="AA267" s="142"/>
      <c r="AB267" s="142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</row>
    <row r="268" spans="2:41" x14ac:dyDescent="0.15">
      <c r="B268" s="10"/>
      <c r="C268" s="139" t="s">
        <v>287</v>
      </c>
      <c r="D268" s="11"/>
      <c r="E268" s="147"/>
      <c r="F268" s="147"/>
      <c r="G268" s="139"/>
      <c r="H268" s="139"/>
      <c r="I268" s="141" t="s">
        <v>329</v>
      </c>
      <c r="J268" s="139"/>
      <c r="K268" s="139">
        <f>K267</f>
        <v>0</v>
      </c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</row>
    <row r="269" spans="2:41" x14ac:dyDescent="0.15">
      <c r="B269" s="10"/>
      <c r="C269" s="139" t="s">
        <v>284</v>
      </c>
      <c r="D269" s="11"/>
      <c r="E269" s="147" t="s">
        <v>328</v>
      </c>
      <c r="F269" s="147"/>
      <c r="G269" s="12">
        <v>10</v>
      </c>
      <c r="H269" s="12">
        <v>2</v>
      </c>
      <c r="I269" s="139">
        <f>G269/H269</f>
        <v>5</v>
      </c>
      <c r="J269" s="148">
        <f>I269*D261</f>
        <v>0</v>
      </c>
      <c r="K269" s="148">
        <f>J269</f>
        <v>0</v>
      </c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</row>
    <row r="270" spans="2:41" x14ac:dyDescent="0.15">
      <c r="B270" s="10"/>
      <c r="C270" s="139" t="s">
        <v>286</v>
      </c>
      <c r="D270" s="140">
        <f>D269*D268</f>
        <v>0</v>
      </c>
      <c r="E270" s="139"/>
      <c r="F270" s="139"/>
      <c r="G270" s="139"/>
      <c r="H270" s="139"/>
      <c r="I270" s="141" t="s">
        <v>329</v>
      </c>
      <c r="J270" s="139"/>
      <c r="K270" s="139">
        <f>K269</f>
        <v>0</v>
      </c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</row>
    <row r="271" spans="2:41" x14ac:dyDescent="0.15">
      <c r="B271" s="10"/>
      <c r="C271" s="139"/>
      <c r="D271" s="140"/>
      <c r="E271" s="147" t="s">
        <v>328</v>
      </c>
      <c r="F271" s="147"/>
      <c r="G271" s="12">
        <v>10</v>
      </c>
      <c r="H271" s="12">
        <v>2</v>
      </c>
      <c r="I271" s="139">
        <f>G271/H271</f>
        <v>5</v>
      </c>
      <c r="J271" s="139">
        <f>I271*K270</f>
        <v>0</v>
      </c>
      <c r="K271" s="139">
        <f>J271</f>
        <v>0</v>
      </c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</row>
    <row r="272" spans="2:41" x14ac:dyDescent="0.15">
      <c r="B272" s="10"/>
      <c r="C272" s="141" t="s">
        <v>289</v>
      </c>
      <c r="D272" s="142" t="e">
        <f>D270/D262</f>
        <v>#DIV/0!</v>
      </c>
      <c r="E272" s="147"/>
      <c r="F272" s="147"/>
      <c r="G272" s="139"/>
      <c r="H272" s="139"/>
      <c r="I272" s="141" t="s">
        <v>329</v>
      </c>
      <c r="J272" s="139"/>
      <c r="K272" s="139">
        <f>K271</f>
        <v>0</v>
      </c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</row>
    <row r="273" spans="2:39" x14ac:dyDescent="0.15"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</row>
    <row r="274" spans="2:39" x14ac:dyDescent="0.15">
      <c r="B274" s="10"/>
      <c r="C274" s="10"/>
      <c r="D274" s="113"/>
      <c r="E274" s="149"/>
      <c r="F274" s="149"/>
      <c r="G274" s="149"/>
      <c r="H274" s="149"/>
      <c r="I274" s="149"/>
      <c r="J274" s="150"/>
      <c r="K274" s="10"/>
      <c r="L274" s="113"/>
      <c r="M274" s="149"/>
      <c r="N274" s="15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</row>
    <row r="275" spans="2:39" ht="14" x14ac:dyDescent="0.15">
      <c r="B275" s="10"/>
      <c r="C275" s="10"/>
      <c r="D275" s="292" t="s">
        <v>15</v>
      </c>
      <c r="E275" s="293"/>
      <c r="F275" s="293"/>
      <c r="G275" s="293"/>
      <c r="H275" s="293"/>
      <c r="I275" s="293"/>
      <c r="J275" s="294"/>
      <c r="K275" s="10"/>
      <c r="L275" s="292" t="s">
        <v>334</v>
      </c>
      <c r="M275" s="293"/>
      <c r="N275" s="294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</row>
    <row r="276" spans="2:39" x14ac:dyDescent="0.15">
      <c r="B276" s="10"/>
      <c r="C276" s="10"/>
      <c r="D276" s="10" t="s">
        <v>16</v>
      </c>
      <c r="E276" s="108"/>
      <c r="F276" s="108"/>
      <c r="G276" s="108">
        <f>D262</f>
        <v>0</v>
      </c>
      <c r="H276" s="11">
        <f>D262</f>
        <v>0</v>
      </c>
      <c r="I276" s="10"/>
      <c r="J276" s="10"/>
      <c r="K276" s="10"/>
      <c r="L276" s="10" t="s">
        <v>16</v>
      </c>
      <c r="M276" s="108"/>
      <c r="N276" s="11">
        <f>H276</f>
        <v>0</v>
      </c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</row>
    <row r="277" spans="2:39" x14ac:dyDescent="0.15">
      <c r="B277" s="10"/>
      <c r="C277" s="10"/>
      <c r="D277" s="10" t="s">
        <v>17</v>
      </c>
      <c r="E277" s="108"/>
      <c r="F277" s="108"/>
      <c r="G277" s="108">
        <f>D270</f>
        <v>0</v>
      </c>
      <c r="H277" s="11">
        <f>D270</f>
        <v>0</v>
      </c>
      <c r="I277" s="10"/>
      <c r="J277" s="10"/>
      <c r="K277" s="10"/>
      <c r="L277" s="10" t="s">
        <v>17</v>
      </c>
      <c r="M277" s="10"/>
      <c r="N277" s="11">
        <f>H277</f>
        <v>0</v>
      </c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</row>
    <row r="278" spans="2:39" x14ac:dyDescent="0.15">
      <c r="B278" s="10"/>
      <c r="C278" s="10"/>
      <c r="D278" s="10" t="s">
        <v>18</v>
      </c>
      <c r="E278" s="10"/>
      <c r="F278" s="10"/>
      <c r="G278" s="12">
        <f>H278</f>
        <v>10</v>
      </c>
      <c r="H278" s="12">
        <v>10</v>
      </c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</row>
    <row r="279" spans="2:39" x14ac:dyDescent="0.15">
      <c r="B279" s="10"/>
      <c r="C279" s="10"/>
      <c r="D279" s="13" t="s">
        <v>19</v>
      </c>
      <c r="E279" s="3"/>
      <c r="F279" s="3"/>
      <c r="G279" s="3" t="e">
        <f>((G277/G276)^(1/G278))-1</f>
        <v>#DIV/0!</v>
      </c>
      <c r="H279" s="3" t="e">
        <f>((H277/H276)^(1/H278))-1</f>
        <v>#DIV/0!</v>
      </c>
      <c r="I279" s="10"/>
      <c r="J279" s="10"/>
      <c r="K279" s="10"/>
      <c r="L279" s="13" t="s">
        <v>335</v>
      </c>
      <c r="M279" s="13"/>
      <c r="N279" s="164" t="e">
        <f>(N277-N276)/N276</f>
        <v>#DIV/0!</v>
      </c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</row>
    <row r="280" spans="2:39" x14ac:dyDescent="0.15">
      <c r="B280" s="10"/>
      <c r="C280" s="10"/>
      <c r="D280" s="13" t="s">
        <v>20</v>
      </c>
      <c r="E280" s="137"/>
      <c r="F280" s="137"/>
      <c r="G280" s="137">
        <f>G278*12</f>
        <v>120</v>
      </c>
      <c r="H280" s="14">
        <f>H278*12</f>
        <v>120</v>
      </c>
      <c r="I280" s="10"/>
      <c r="J280" s="10"/>
      <c r="K280" s="10"/>
      <c r="L280" s="13" t="s">
        <v>336</v>
      </c>
      <c r="M280" s="13"/>
      <c r="N280" s="258" t="e">
        <f>N277/N276</f>
        <v>#DIV/0!</v>
      </c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</row>
    <row r="281" spans="2:39" x14ac:dyDescent="0.15">
      <c r="B281" s="10"/>
      <c r="C281" s="10"/>
      <c r="D281" s="10" t="s">
        <v>18</v>
      </c>
      <c r="E281" s="15"/>
      <c r="F281" s="15"/>
      <c r="G281" s="15">
        <f>G280/12</f>
        <v>10</v>
      </c>
      <c r="H281" s="15">
        <f>H280/12</f>
        <v>10</v>
      </c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</row>
    <row r="282" spans="2:39" x14ac:dyDescent="0.15">
      <c r="B282" s="10"/>
      <c r="C282" s="10"/>
      <c r="D282" s="13" t="s">
        <v>21</v>
      </c>
      <c r="E282" s="3"/>
      <c r="F282" s="3"/>
      <c r="G282" s="3" t="e">
        <f>((G277/G276)^(1/G281))-1</f>
        <v>#DIV/0!</v>
      </c>
      <c r="H282" s="3" t="e">
        <f>((H277/H276)^(1/H281))-1</f>
        <v>#DIV/0!</v>
      </c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</row>
    <row r="283" spans="2:39" x14ac:dyDescent="0.15"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</row>
    <row r="284" spans="2:39" x14ac:dyDescent="0.15"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</row>
  </sheetData>
  <mergeCells count="8">
    <mergeCell ref="A36:A45"/>
    <mergeCell ref="A128:A136"/>
    <mergeCell ref="D275:J275"/>
    <mergeCell ref="L275:N275"/>
    <mergeCell ref="AN2:AO2"/>
    <mergeCell ref="AN3:AO3"/>
    <mergeCell ref="N241:O241"/>
    <mergeCell ref="M258:P25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45"/>
  <sheetViews>
    <sheetView topLeftCell="A25" zoomScale="80" zoomScaleNormal="80" workbookViewId="0">
      <selection activeCell="M5" sqref="M5:N10"/>
    </sheetView>
  </sheetViews>
  <sheetFormatPr baseColWidth="10" defaultColWidth="9.1640625" defaultRowHeight="13" x14ac:dyDescent="0.15"/>
  <cols>
    <col min="1" max="1" width="9.1640625" style="6"/>
    <col min="2" max="2" width="16.1640625" style="9" bestFit="1" customWidth="1"/>
    <col min="3" max="3" width="11.6640625" style="6" bestFit="1" customWidth="1"/>
    <col min="4" max="4" width="13.5" style="6" bestFit="1" customWidth="1"/>
    <col min="5" max="5" width="16" style="6" bestFit="1" customWidth="1"/>
    <col min="6" max="6" width="8.33203125" style="6" customWidth="1"/>
    <col min="7" max="7" width="17.6640625" style="6" bestFit="1" customWidth="1"/>
    <col min="8" max="8" width="9.1640625" style="6"/>
    <col min="9" max="9" width="16.6640625" style="6" bestFit="1" customWidth="1"/>
    <col min="10" max="10" width="9.1640625" style="6" bestFit="1" customWidth="1"/>
    <col min="11" max="11" width="19.5" style="6" bestFit="1" customWidth="1"/>
    <col min="12" max="12" width="11.5" style="6" bestFit="1" customWidth="1"/>
    <col min="13" max="13" width="17.6640625" style="6" bestFit="1" customWidth="1"/>
    <col min="14" max="14" width="9.1640625" style="6"/>
    <col min="15" max="15" width="13" style="6" bestFit="1" customWidth="1"/>
    <col min="16" max="16" width="11.33203125" style="6" bestFit="1" customWidth="1"/>
    <col min="17" max="17" width="9.1640625" style="6"/>
    <col min="18" max="18" width="18.1640625" style="6" bestFit="1" customWidth="1"/>
    <col min="19" max="19" width="12.5" style="6" customWidth="1"/>
    <col min="20" max="20" width="12.33203125" style="6" bestFit="1" customWidth="1"/>
    <col min="21" max="16384" width="9.1640625" style="6"/>
  </cols>
  <sheetData>
    <row r="2" spans="2:14" x14ac:dyDescent="0.15">
      <c r="D2" s="6" t="s">
        <v>52</v>
      </c>
    </row>
    <row r="3" spans="2:14" x14ac:dyDescent="0.15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14" x14ac:dyDescent="0.15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" x14ac:dyDescent="0.2">
      <c r="B5" s="8">
        <v>1</v>
      </c>
      <c r="C5" s="1">
        <v>2001</v>
      </c>
      <c r="D5" s="1">
        <v>2.61</v>
      </c>
      <c r="E5" s="1"/>
      <c r="F5" s="1"/>
      <c r="G5" s="1">
        <v>115.93</v>
      </c>
      <c r="J5" s="278" t="s">
        <v>15</v>
      </c>
      <c r="K5" s="278"/>
      <c r="M5" s="278" t="s">
        <v>53</v>
      </c>
      <c r="N5" s="278"/>
    </row>
    <row r="6" spans="2:14" x14ac:dyDescent="0.15">
      <c r="B6" s="8">
        <v>2</v>
      </c>
      <c r="C6" s="1">
        <v>2002</v>
      </c>
      <c r="D6" s="1">
        <v>5.18</v>
      </c>
      <c r="E6" s="1"/>
      <c r="F6" s="1"/>
      <c r="G6" s="1">
        <v>230.21</v>
      </c>
      <c r="J6" s="10" t="s">
        <v>16</v>
      </c>
      <c r="K6" s="11">
        <v>2.61</v>
      </c>
      <c r="M6" s="19" t="s">
        <v>29</v>
      </c>
      <c r="N6" s="44">
        <v>38911</v>
      </c>
    </row>
    <row r="7" spans="2:14" x14ac:dyDescent="0.15">
      <c r="B7" s="8">
        <v>3</v>
      </c>
      <c r="C7" s="1">
        <v>2003</v>
      </c>
      <c r="D7" s="1">
        <v>9.35</v>
      </c>
      <c r="E7" s="1"/>
      <c r="F7" s="1"/>
      <c r="G7" s="1">
        <v>416.1</v>
      </c>
      <c r="J7" s="10" t="s">
        <v>17</v>
      </c>
      <c r="K7" s="11">
        <v>203.28</v>
      </c>
      <c r="M7" s="19" t="s">
        <v>26</v>
      </c>
      <c r="N7" s="21">
        <v>0.15</v>
      </c>
    </row>
    <row r="8" spans="2:14" x14ac:dyDescent="0.15">
      <c r="B8" s="8">
        <v>4</v>
      </c>
      <c r="C8" s="1">
        <v>2004</v>
      </c>
      <c r="D8" s="1">
        <v>9.41</v>
      </c>
      <c r="E8" s="1"/>
      <c r="F8" s="1"/>
      <c r="G8" s="1">
        <v>512.76</v>
      </c>
      <c r="J8" s="10" t="s">
        <v>18</v>
      </c>
      <c r="K8" s="12">
        <v>20</v>
      </c>
      <c r="M8" s="19" t="s">
        <v>27</v>
      </c>
      <c r="N8" s="22">
        <v>14</v>
      </c>
    </row>
    <row r="9" spans="2:14" x14ac:dyDescent="0.15">
      <c r="B9" s="8">
        <v>5</v>
      </c>
      <c r="C9" s="1">
        <v>2005</v>
      </c>
      <c r="D9" s="1">
        <v>11.96</v>
      </c>
      <c r="E9" s="1"/>
      <c r="F9" s="1"/>
      <c r="G9" s="1">
        <v>651.36</v>
      </c>
      <c r="J9" s="13" t="s">
        <v>19</v>
      </c>
      <c r="K9" s="3">
        <f>((K7/K6)^(1/K8))-1</f>
        <v>0.24329076344312006</v>
      </c>
      <c r="M9" s="19" t="s">
        <v>28</v>
      </c>
      <c r="N9" s="20">
        <v>0</v>
      </c>
    </row>
    <row r="10" spans="2:14" x14ac:dyDescent="0.15">
      <c r="B10" s="8">
        <v>6</v>
      </c>
      <c r="C10" s="1">
        <v>2006</v>
      </c>
      <c r="D10" s="1">
        <v>14.38</v>
      </c>
      <c r="E10" s="1"/>
      <c r="F10" s="1"/>
      <c r="G10" s="1">
        <v>783.34</v>
      </c>
      <c r="J10" s="13" t="s">
        <v>20</v>
      </c>
      <c r="K10" s="14">
        <v>140</v>
      </c>
      <c r="M10" s="24" t="s">
        <v>54</v>
      </c>
      <c r="N10" s="45">
        <f>PV(N7,N8,N9,-N6)</f>
        <v>5499.2394108985745</v>
      </c>
    </row>
    <row r="11" spans="2:14" x14ac:dyDescent="0.15">
      <c r="B11" s="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10" t="s">
        <v>18</v>
      </c>
      <c r="K11" s="15">
        <f>K10/12</f>
        <v>11.666666666666666</v>
      </c>
    </row>
    <row r="12" spans="2:14" x14ac:dyDescent="0.15">
      <c r="B12" s="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13" t="s">
        <v>21</v>
      </c>
      <c r="K12" s="3">
        <f>((K7/K6)^(1/K11))-1</f>
        <v>0.45252842827596251</v>
      </c>
    </row>
    <row r="13" spans="2:14" x14ac:dyDescent="0.15">
      <c r="B13" s="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" x14ac:dyDescent="0.2">
      <c r="B14" s="8">
        <v>10</v>
      </c>
      <c r="C14" s="1">
        <v>2010</v>
      </c>
      <c r="D14" s="1">
        <v>12.98</v>
      </c>
      <c r="E14" s="1"/>
      <c r="F14" s="1"/>
      <c r="G14" s="1">
        <v>706.96</v>
      </c>
      <c r="J14" s="278" t="s">
        <v>24</v>
      </c>
      <c r="K14" s="278"/>
      <c r="L14" s="278"/>
    </row>
    <row r="15" spans="2:14" x14ac:dyDescent="0.15">
      <c r="B15" s="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19" t="s">
        <v>25</v>
      </c>
      <c r="K15" s="19"/>
      <c r="L15" s="20">
        <v>100000</v>
      </c>
    </row>
    <row r="16" spans="2:14" x14ac:dyDescent="0.15">
      <c r="B16" s="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19" t="s">
        <v>26</v>
      </c>
      <c r="K16" s="19"/>
      <c r="L16" s="21">
        <v>0.15</v>
      </c>
    </row>
    <row r="17" spans="1:17" x14ac:dyDescent="0.15">
      <c r="B17" s="8"/>
      <c r="C17" s="1"/>
      <c r="D17" s="1"/>
      <c r="E17" s="1"/>
      <c r="F17" s="1"/>
      <c r="G17" s="1"/>
      <c r="J17" s="19" t="s">
        <v>27</v>
      </c>
      <c r="K17" s="19"/>
      <c r="L17" s="22">
        <v>10</v>
      </c>
    </row>
    <row r="18" spans="1:17" x14ac:dyDescent="0.15">
      <c r="B18" s="8"/>
      <c r="C18" s="1" t="s">
        <v>1</v>
      </c>
      <c r="D18" s="4">
        <v>0.14449999999999999</v>
      </c>
      <c r="E18" s="4"/>
      <c r="F18" s="4"/>
      <c r="G18" s="4">
        <v>0.2016</v>
      </c>
      <c r="J18" s="19" t="s">
        <v>28</v>
      </c>
      <c r="K18" s="19"/>
      <c r="L18" s="23">
        <v>0</v>
      </c>
    </row>
    <row r="19" spans="1:17" x14ac:dyDescent="0.15">
      <c r="B19" s="8"/>
      <c r="C19" s="1" t="s">
        <v>31</v>
      </c>
      <c r="D19" s="1"/>
      <c r="E19" s="1"/>
      <c r="F19" s="1">
        <v>4</v>
      </c>
      <c r="G19" s="1"/>
      <c r="J19" s="24" t="s">
        <v>29</v>
      </c>
      <c r="K19" s="24"/>
      <c r="L19" s="19">
        <f>FV(L16,L17,L18,-L15)</f>
        <v>404555.77357079065</v>
      </c>
    </row>
    <row r="20" spans="1:17" x14ac:dyDescent="0.15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17" x14ac:dyDescent="0.15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17" x14ac:dyDescent="0.15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15">
      <c r="B23" s="8" t="s">
        <v>34</v>
      </c>
      <c r="C23" s="1"/>
      <c r="D23" s="4">
        <v>0.1125</v>
      </c>
      <c r="E23" s="4"/>
      <c r="F23" s="1"/>
      <c r="G23" s="1"/>
    </row>
    <row r="27" spans="1:17" x14ac:dyDescent="0.15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17" x14ac:dyDescent="0.15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55</v>
      </c>
      <c r="P28" s="18" t="s">
        <v>47</v>
      </c>
      <c r="Q28" s="18" t="s">
        <v>48</v>
      </c>
    </row>
    <row r="29" spans="1:17" x14ac:dyDescent="0.15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7"/>
      <c r="P29" s="1"/>
      <c r="Q29" s="1"/>
    </row>
    <row r="30" spans="1:17" x14ac:dyDescent="0.15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>H30/G30</f>
        <v>0.12446159783867232</v>
      </c>
      <c r="L30" s="17"/>
      <c r="M30" s="37"/>
      <c r="N30" s="17"/>
      <c r="O30" s="17"/>
      <c r="P30" s="1"/>
      <c r="Q30" s="1"/>
    </row>
    <row r="31" spans="1:17" x14ac:dyDescent="0.15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0">E31/10000000</f>
        <v>44.48</v>
      </c>
      <c r="G31" s="34">
        <f t="shared" ref="G31:G41" si="1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v>0.09</v>
      </c>
      <c r="L31" s="38">
        <f>K31*J31</f>
        <v>6.9074999999999998E-2</v>
      </c>
      <c r="M31" s="39">
        <v>25.46</v>
      </c>
      <c r="N31" s="35">
        <f>H31</f>
        <v>5.18</v>
      </c>
      <c r="O31" s="35"/>
      <c r="P31" s="40">
        <f>N31*I31</f>
        <v>1.20435</v>
      </c>
      <c r="Q31" s="40">
        <f>N31*J31</f>
        <v>3.9756499999999995</v>
      </c>
    </row>
    <row r="32" spans="1:17" x14ac:dyDescent="0.15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0"/>
        <v>44.48</v>
      </c>
      <c r="G32" s="30">
        <f t="shared" si="1"/>
        <v>32.814523381294961</v>
      </c>
      <c r="H32" s="17">
        <v>9.35</v>
      </c>
      <c r="I32" s="36">
        <f t="shared" ref="I32:I41" si="2">100%-J32</f>
        <v>0.19359999999999999</v>
      </c>
      <c r="J32" s="33">
        <v>0.80640000000000001</v>
      </c>
      <c r="K32" s="33">
        <f t="shared" ref="K32:K41" si="3">H32/G32</f>
        <v>0.28493481046047181</v>
      </c>
      <c r="L32" s="17"/>
      <c r="M32" s="37">
        <f>G31*(1+$L$31)</f>
        <v>27.222716215152882</v>
      </c>
      <c r="N32" s="29">
        <f>N31*(1+$K$31)</f>
        <v>5.6462000000000003</v>
      </c>
      <c r="O32" s="3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15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0"/>
        <v>44.48</v>
      </c>
      <c r="G33" s="30">
        <f t="shared" si="1"/>
        <v>46.787095323741013</v>
      </c>
      <c r="H33" s="17">
        <v>9.41</v>
      </c>
      <c r="I33" s="36">
        <f t="shared" si="2"/>
        <v>0.24050000000000005</v>
      </c>
      <c r="J33" s="33">
        <v>0.75949999999999995</v>
      </c>
      <c r="K33" s="33">
        <f t="shared" si="3"/>
        <v>0.20112383414460688</v>
      </c>
      <c r="L33" s="17"/>
      <c r="M33" s="37">
        <f>M32*(1+$L$31)</f>
        <v>29.103125337714566</v>
      </c>
      <c r="N33" s="29">
        <f t="shared" ref="N33:N41" si="4">N32*(1+$K$31)</f>
        <v>6.1543580000000011</v>
      </c>
      <c r="O33" s="32">
        <f t="shared" ref="O33:O41" si="5">(N33-H33)/H33</f>
        <v>-0.34597683315621669</v>
      </c>
      <c r="P33" s="1"/>
      <c r="Q33" s="1"/>
    </row>
    <row r="34" spans="2:17" x14ac:dyDescent="0.15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0"/>
        <v>54.48</v>
      </c>
      <c r="G34" s="30">
        <f t="shared" si="1"/>
        <v>47.268538913362704</v>
      </c>
      <c r="H34" s="17">
        <v>11.96</v>
      </c>
      <c r="I34" s="36">
        <f t="shared" si="2"/>
        <v>0.22970000000000002</v>
      </c>
      <c r="J34" s="33">
        <v>0.77029999999999998</v>
      </c>
      <c r="K34" s="33">
        <f t="shared" si="3"/>
        <v>0.25302241776334949</v>
      </c>
      <c r="L34" s="17"/>
      <c r="M34" s="37">
        <f t="shared" ref="M34:M41" si="6">M33*(1+$L$31)</f>
        <v>31.113423720417199</v>
      </c>
      <c r="N34" s="29">
        <f t="shared" si="4"/>
        <v>6.7082502200000018</v>
      </c>
      <c r="O34" s="32">
        <f t="shared" si="5"/>
        <v>-0.43910951337792631</v>
      </c>
      <c r="P34" s="1"/>
      <c r="Q34" s="1"/>
    </row>
    <row r="35" spans="2:17" x14ac:dyDescent="0.15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0"/>
        <v>54.48</v>
      </c>
      <c r="G35" s="30">
        <f t="shared" si="1"/>
        <v>583.17621145374449</v>
      </c>
      <c r="H35" s="17">
        <v>14.38</v>
      </c>
      <c r="I35" s="36">
        <f t="shared" si="2"/>
        <v>0.21830000000000005</v>
      </c>
      <c r="J35" s="33">
        <v>0.78169999999999995</v>
      </c>
      <c r="K35" s="33">
        <f t="shared" si="3"/>
        <v>2.4658070266881202E-2</v>
      </c>
      <c r="L35" s="17"/>
      <c r="M35" s="37">
        <f t="shared" si="6"/>
        <v>33.262583463905017</v>
      </c>
      <c r="N35" s="29">
        <f t="shared" si="4"/>
        <v>7.3119927398000026</v>
      </c>
      <c r="O35" s="32">
        <f t="shared" si="5"/>
        <v>-0.49151649931849778</v>
      </c>
      <c r="P35" s="1"/>
      <c r="Q35" s="1"/>
    </row>
    <row r="36" spans="2:17" x14ac:dyDescent="0.15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0"/>
        <v>54.48</v>
      </c>
      <c r="G36" s="30">
        <f t="shared" si="1"/>
        <v>73.244493392070495</v>
      </c>
      <c r="H36" s="17">
        <v>18.510000000000002</v>
      </c>
      <c r="I36" s="36">
        <f t="shared" si="2"/>
        <v>0.18999999999999995</v>
      </c>
      <c r="J36" s="33">
        <v>0.81</v>
      </c>
      <c r="K36" s="33">
        <f t="shared" si="3"/>
        <v>0.25271524373740711</v>
      </c>
      <c r="L36" s="17"/>
      <c r="M36" s="37">
        <f t="shared" si="6"/>
        <v>35.560196416674259</v>
      </c>
      <c r="N36" s="29">
        <f t="shared" si="4"/>
        <v>7.9700720863820038</v>
      </c>
      <c r="O36" s="32">
        <f t="shared" si="5"/>
        <v>-0.56941803963360327</v>
      </c>
      <c r="P36" s="1"/>
      <c r="Q36" s="1"/>
    </row>
    <row r="37" spans="2:17" x14ac:dyDescent="0.15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0"/>
        <v>54.48</v>
      </c>
      <c r="G37" s="30">
        <f t="shared" si="1"/>
        <v>89.145925110132168</v>
      </c>
      <c r="H37" s="17">
        <v>22.07</v>
      </c>
      <c r="I37" s="36">
        <f t="shared" si="2"/>
        <v>0.16979999999999995</v>
      </c>
      <c r="J37" s="33">
        <v>0.83020000000000005</v>
      </c>
      <c r="K37" s="33">
        <f t="shared" si="3"/>
        <v>0.24757160770651493</v>
      </c>
      <c r="L37" s="17"/>
      <c r="M37" s="37">
        <f t="shared" si="6"/>
        <v>38.016516984156034</v>
      </c>
      <c r="N37" s="29">
        <f t="shared" si="4"/>
        <v>8.6873785741563854</v>
      </c>
      <c r="O37" s="32">
        <f t="shared" si="5"/>
        <v>-0.60637160968933457</v>
      </c>
      <c r="P37" s="1"/>
      <c r="Q37" s="1"/>
    </row>
    <row r="38" spans="2:17" x14ac:dyDescent="0.15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0"/>
        <v>54.48</v>
      </c>
      <c r="G38" s="30">
        <f t="shared" si="1"/>
        <v>131.25844346549192</v>
      </c>
      <c r="H38" s="17">
        <v>24.34</v>
      </c>
      <c r="I38" s="36">
        <f t="shared" si="2"/>
        <v>0.22809999999999997</v>
      </c>
      <c r="J38" s="33">
        <v>0.77190000000000003</v>
      </c>
      <c r="K38" s="33">
        <f t="shared" si="3"/>
        <v>0.18543568975354358</v>
      </c>
      <c r="L38" s="17"/>
      <c r="M38" s="37">
        <f t="shared" si="6"/>
        <v>40.642507894836612</v>
      </c>
      <c r="N38" s="29">
        <f t="shared" si="4"/>
        <v>9.4692426458304606</v>
      </c>
      <c r="O38" s="32">
        <f t="shared" si="5"/>
        <v>-0.61095962835536322</v>
      </c>
      <c r="P38" s="1"/>
      <c r="Q38" s="1"/>
    </row>
    <row r="39" spans="2:17" x14ac:dyDescent="0.15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0"/>
        <v>54.48</v>
      </c>
      <c r="G39" s="30">
        <f t="shared" si="1"/>
        <v>138.11637298091043</v>
      </c>
      <c r="H39" s="17">
        <v>12.98</v>
      </c>
      <c r="I39" s="36">
        <f t="shared" si="2"/>
        <v>0.31620000000000004</v>
      </c>
      <c r="J39" s="33">
        <v>0.68379999999999996</v>
      </c>
      <c r="K39" s="33">
        <f t="shared" si="3"/>
        <v>9.3978720406986169E-2</v>
      </c>
      <c r="L39" s="17"/>
      <c r="M39" s="37">
        <f t="shared" si="6"/>
        <v>43.449889127672449</v>
      </c>
      <c r="N39" s="29">
        <f t="shared" si="4"/>
        <v>10.321474483955203</v>
      </c>
      <c r="O39" s="32">
        <f t="shared" si="5"/>
        <v>-0.20481706595106294</v>
      </c>
      <c r="P39" s="1"/>
      <c r="Q39" s="1"/>
    </row>
    <row r="40" spans="2:17" x14ac:dyDescent="0.15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0"/>
        <v>61.8749343</v>
      </c>
      <c r="G40" s="30">
        <f t="shared" si="1"/>
        <v>150.70609941641587</v>
      </c>
      <c r="H40" s="17">
        <v>17.329999999999998</v>
      </c>
      <c r="I40" s="36">
        <f t="shared" si="2"/>
        <v>0.33550000000000002</v>
      </c>
      <c r="J40" s="33">
        <v>0.66449999999999998</v>
      </c>
      <c r="K40" s="33">
        <f t="shared" si="3"/>
        <v>0.11499202797436547</v>
      </c>
      <c r="L40" s="17"/>
      <c r="M40" s="37">
        <f t="shared" si="6"/>
        <v>46.451190219166421</v>
      </c>
      <c r="N40" s="29">
        <f t="shared" si="4"/>
        <v>11.250407187511172</v>
      </c>
      <c r="O40" s="32">
        <f t="shared" si="5"/>
        <v>-0.35081320325959764</v>
      </c>
      <c r="P40" s="1"/>
      <c r="Q40" s="1"/>
    </row>
    <row r="41" spans="2:17" x14ac:dyDescent="0.15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0"/>
        <v>79.6998198</v>
      </c>
      <c r="G41" s="30">
        <f t="shared" si="1"/>
        <v>149.65730198551842</v>
      </c>
      <c r="H41" s="17">
        <v>13.18</v>
      </c>
      <c r="I41" s="36">
        <f t="shared" si="2"/>
        <v>0.39780000000000004</v>
      </c>
      <c r="J41" s="33">
        <v>0.60219999999999996</v>
      </c>
      <c r="K41" s="33">
        <f t="shared" si="3"/>
        <v>8.806787123073595E-2</v>
      </c>
      <c r="L41" s="17"/>
      <c r="M41" s="37">
        <f t="shared" si="6"/>
        <v>49.659806183555339</v>
      </c>
      <c r="N41" s="29">
        <f t="shared" si="4"/>
        <v>12.262943834387178</v>
      </c>
      <c r="O41" s="32">
        <f t="shared" si="5"/>
        <v>-6.9579375236177674E-2</v>
      </c>
      <c r="P41" s="1"/>
      <c r="Q41" s="1"/>
    </row>
    <row r="42" spans="2:17" x14ac:dyDescent="0.15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61.314719171935891</v>
      </c>
      <c r="O42" s="17"/>
      <c r="P42" s="1"/>
      <c r="Q42" s="1"/>
    </row>
    <row r="43" spans="2:17" x14ac:dyDescent="0.15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P43" s="1"/>
      <c r="Q43" s="1"/>
    </row>
    <row r="44" spans="2:17" x14ac:dyDescent="0.15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7"/>
      <c r="P44" s="1"/>
      <c r="Q44" s="1"/>
    </row>
    <row r="45" spans="2:17" x14ac:dyDescent="0.15">
      <c r="L45" s="37">
        <v>103</v>
      </c>
      <c r="M45" s="1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T45"/>
  <sheetViews>
    <sheetView zoomScale="80" zoomScaleNormal="80" workbookViewId="0">
      <selection activeCell="B17" sqref="B17"/>
    </sheetView>
  </sheetViews>
  <sheetFormatPr baseColWidth="10" defaultColWidth="9.1640625" defaultRowHeight="13" x14ac:dyDescent="0.15"/>
  <cols>
    <col min="1" max="1" width="9.1640625" style="6"/>
    <col min="2" max="2" width="16.1640625" style="9" bestFit="1" customWidth="1"/>
    <col min="3" max="3" width="11.6640625" style="6" bestFit="1" customWidth="1"/>
    <col min="4" max="4" width="13.5" style="6" bestFit="1" customWidth="1"/>
    <col min="5" max="5" width="16" style="6" bestFit="1" customWidth="1"/>
    <col min="6" max="6" width="8.6640625" style="6" customWidth="1"/>
    <col min="7" max="7" width="17.6640625" style="6" bestFit="1" customWidth="1"/>
    <col min="8" max="8" width="9.1640625" style="6"/>
    <col min="9" max="9" width="16.6640625" style="6" bestFit="1" customWidth="1"/>
    <col min="10" max="10" width="9.1640625" style="6" bestFit="1" customWidth="1"/>
    <col min="11" max="11" width="19.5" style="6" bestFit="1" customWidth="1"/>
    <col min="12" max="12" width="9.5" style="6" bestFit="1" customWidth="1"/>
    <col min="13" max="13" width="17.6640625" style="6" bestFit="1" customWidth="1"/>
    <col min="14" max="14" width="9.1640625" style="6"/>
    <col min="15" max="15" width="13" style="6" bestFit="1" customWidth="1"/>
    <col min="16" max="16" width="11.33203125" style="6" bestFit="1" customWidth="1"/>
    <col min="17" max="17" width="9.1640625" style="6"/>
    <col min="18" max="18" width="18.1640625" style="6" bestFit="1" customWidth="1"/>
    <col min="19" max="19" width="12.5" style="6" customWidth="1"/>
    <col min="20" max="20" width="12.33203125" style="6" bestFit="1" customWidth="1"/>
    <col min="21" max="16384" width="9.1640625" style="6"/>
  </cols>
  <sheetData>
    <row r="2" spans="2:20" x14ac:dyDescent="0.15">
      <c r="D2" s="6" t="s">
        <v>35</v>
      </c>
    </row>
    <row r="3" spans="2:20" x14ac:dyDescent="0.15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20" x14ac:dyDescent="0.15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" x14ac:dyDescent="0.2">
      <c r="B5" s="8">
        <v>1</v>
      </c>
      <c r="C5" s="1">
        <v>2001</v>
      </c>
      <c r="D5" s="1"/>
      <c r="E5" s="1"/>
      <c r="F5" s="1"/>
      <c r="G5" s="1">
        <v>115.93</v>
      </c>
      <c r="R5" s="278" t="s">
        <v>15</v>
      </c>
      <c r="S5" s="278"/>
    </row>
    <row r="6" spans="2:20" x14ac:dyDescent="0.15">
      <c r="B6" s="8">
        <v>2</v>
      </c>
      <c r="C6" s="1">
        <v>2002</v>
      </c>
      <c r="D6" s="1">
        <v>26.5</v>
      </c>
      <c r="E6" s="1"/>
      <c r="F6" s="1"/>
      <c r="G6" s="1">
        <v>230.21</v>
      </c>
      <c r="R6" s="10" t="s">
        <v>16</v>
      </c>
      <c r="S6" s="11">
        <v>2.61</v>
      </c>
    </row>
    <row r="7" spans="2:20" x14ac:dyDescent="0.15">
      <c r="B7" s="8">
        <v>3</v>
      </c>
      <c r="C7" s="1">
        <v>2003</v>
      </c>
      <c r="D7" s="1">
        <v>31.74</v>
      </c>
      <c r="E7" s="1"/>
      <c r="F7" s="1"/>
      <c r="G7" s="1">
        <v>416.1</v>
      </c>
      <c r="R7" s="10" t="s">
        <v>17</v>
      </c>
      <c r="S7" s="11">
        <v>203.28</v>
      </c>
    </row>
    <row r="8" spans="2:20" x14ac:dyDescent="0.15">
      <c r="B8" s="8">
        <v>4</v>
      </c>
      <c r="C8" s="1">
        <v>2004</v>
      </c>
      <c r="D8" s="1">
        <v>45.28</v>
      </c>
      <c r="E8" s="1"/>
      <c r="F8" s="1"/>
      <c r="G8" s="1">
        <v>512.76</v>
      </c>
      <c r="R8" s="10" t="s">
        <v>18</v>
      </c>
      <c r="S8" s="12">
        <v>20</v>
      </c>
    </row>
    <row r="9" spans="2:20" x14ac:dyDescent="0.15">
      <c r="B9" s="8">
        <v>5</v>
      </c>
      <c r="C9" s="1">
        <v>2005</v>
      </c>
      <c r="D9" s="1">
        <v>42.52</v>
      </c>
      <c r="E9" s="1"/>
      <c r="F9" s="1"/>
      <c r="G9" s="1">
        <v>651.36</v>
      </c>
      <c r="R9" s="13" t="s">
        <v>19</v>
      </c>
      <c r="S9" s="3">
        <f>((S7/S6)^(1/S8))-1</f>
        <v>0.24329076344312006</v>
      </c>
    </row>
    <row r="10" spans="2:20" x14ac:dyDescent="0.15">
      <c r="B10" s="8">
        <v>6</v>
      </c>
      <c r="C10" s="1">
        <v>2006</v>
      </c>
      <c r="D10" s="1">
        <v>46.71</v>
      </c>
      <c r="E10" s="1"/>
      <c r="F10" s="1"/>
      <c r="G10" s="1">
        <v>783.34</v>
      </c>
      <c r="R10" s="13" t="s">
        <v>20</v>
      </c>
      <c r="S10" s="14">
        <v>140</v>
      </c>
    </row>
    <row r="11" spans="2:20" x14ac:dyDescent="0.15">
      <c r="B11" s="8">
        <v>7</v>
      </c>
      <c r="C11" s="1">
        <v>2007</v>
      </c>
      <c r="D11" s="1">
        <v>49.38</v>
      </c>
      <c r="E11" s="1"/>
      <c r="F11" s="1"/>
      <c r="G11" s="1">
        <v>1008.43</v>
      </c>
      <c r="R11" s="10" t="s">
        <v>18</v>
      </c>
      <c r="S11" s="15">
        <f>S10/12</f>
        <v>11.666666666666666</v>
      </c>
    </row>
    <row r="12" spans="2:20" x14ac:dyDescent="0.15">
      <c r="B12" s="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13" t="s">
        <v>21</v>
      </c>
      <c r="S12" s="3">
        <f>((S7/S6)^(1/S11))-1</f>
        <v>0.45252842827596251</v>
      </c>
    </row>
    <row r="13" spans="2:20" x14ac:dyDescent="0.15">
      <c r="B13" s="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" x14ac:dyDescent="0.2">
      <c r="B14" s="8">
        <v>10</v>
      </c>
      <c r="C14" s="1">
        <v>2010</v>
      </c>
      <c r="D14" s="1">
        <v>123.39</v>
      </c>
      <c r="E14" s="1"/>
      <c r="F14" s="1"/>
      <c r="G14" s="1">
        <v>706.96</v>
      </c>
      <c r="R14" s="278" t="s">
        <v>24</v>
      </c>
      <c r="S14" s="278"/>
      <c r="T14" s="278"/>
    </row>
    <row r="15" spans="2:20" x14ac:dyDescent="0.15">
      <c r="B15" s="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19" t="s">
        <v>25</v>
      </c>
      <c r="S15" s="19"/>
      <c r="T15" s="20">
        <v>100000</v>
      </c>
    </row>
    <row r="16" spans="2:20" x14ac:dyDescent="0.15">
      <c r="B16" s="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19" t="s">
        <v>26</v>
      </c>
      <c r="S16" s="19"/>
      <c r="T16" s="21">
        <v>0.15</v>
      </c>
    </row>
    <row r="17" spans="1:20" x14ac:dyDescent="0.15">
      <c r="B17" s="8"/>
      <c r="C17" s="1"/>
      <c r="D17" s="1"/>
      <c r="E17" s="1"/>
      <c r="F17" s="1"/>
      <c r="G17" s="1"/>
      <c r="R17" s="19" t="s">
        <v>27</v>
      </c>
      <c r="S17" s="19"/>
      <c r="T17" s="22">
        <v>10</v>
      </c>
    </row>
    <row r="18" spans="1:20" x14ac:dyDescent="0.15">
      <c r="B18" s="8"/>
      <c r="C18" s="1" t="s">
        <v>1</v>
      </c>
      <c r="D18" s="4">
        <v>0.14449999999999999</v>
      </c>
      <c r="E18" s="4"/>
      <c r="F18" s="4"/>
      <c r="G18" s="4">
        <v>0.2016</v>
      </c>
      <c r="R18" s="19" t="s">
        <v>28</v>
      </c>
      <c r="S18" s="19"/>
      <c r="T18" s="23">
        <v>0</v>
      </c>
    </row>
    <row r="19" spans="1:20" x14ac:dyDescent="0.15">
      <c r="B19" s="8"/>
      <c r="C19" s="1" t="s">
        <v>31</v>
      </c>
      <c r="D19" s="1"/>
      <c r="E19" s="1"/>
      <c r="F19" s="1">
        <v>4</v>
      </c>
      <c r="G19" s="1"/>
      <c r="R19" s="24" t="s">
        <v>29</v>
      </c>
      <c r="S19" s="24"/>
      <c r="T19" s="19">
        <f>FV(T16,T17,T18,-T15)</f>
        <v>404555.77357079065</v>
      </c>
    </row>
    <row r="20" spans="1:20" x14ac:dyDescent="0.15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20" x14ac:dyDescent="0.15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20" x14ac:dyDescent="0.15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15">
      <c r="B23" s="8" t="s">
        <v>34</v>
      </c>
      <c r="C23" s="1"/>
      <c r="D23" s="4">
        <v>0.1125</v>
      </c>
      <c r="E23" s="4"/>
      <c r="F23" s="1"/>
      <c r="G23" s="1"/>
    </row>
    <row r="27" spans="1:20" x14ac:dyDescent="0.15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20" x14ac:dyDescent="0.15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47</v>
      </c>
      <c r="P28" s="18" t="s">
        <v>48</v>
      </c>
    </row>
    <row r="29" spans="1:20" x14ac:dyDescent="0.15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"/>
      <c r="P29" s="1"/>
    </row>
    <row r="30" spans="1:20" x14ac:dyDescent="0.15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 t="shared" ref="K30:K41" si="0">H30/G30</f>
        <v>0.12446159783867232</v>
      </c>
      <c r="L30" s="17"/>
      <c r="M30" s="37"/>
      <c r="N30" s="17"/>
      <c r="O30" s="1"/>
      <c r="P30" s="1"/>
    </row>
    <row r="31" spans="1:20" x14ac:dyDescent="0.15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1">E31/10000000</f>
        <v>44.48</v>
      </c>
      <c r="G31" s="34">
        <f t="shared" ref="G31:G41" si="2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f t="shared" si="0"/>
        <v>0.20342600849350623</v>
      </c>
      <c r="L31" s="38">
        <f>K31*J31</f>
        <v>0.15612946151876603</v>
      </c>
      <c r="M31" s="39">
        <v>25.46</v>
      </c>
      <c r="N31" s="35">
        <f>H31</f>
        <v>5.18</v>
      </c>
      <c r="O31" s="40">
        <f>N31*I31</f>
        <v>1.20435</v>
      </c>
      <c r="P31" s="40">
        <f>N31*J31</f>
        <v>3.9756499999999995</v>
      </c>
    </row>
    <row r="32" spans="1:20" x14ac:dyDescent="0.15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1"/>
        <v>44.48</v>
      </c>
      <c r="G32" s="30">
        <f t="shared" si="2"/>
        <v>32.814523381294961</v>
      </c>
      <c r="H32" s="17">
        <v>9.35</v>
      </c>
      <c r="I32" s="36">
        <f t="shared" ref="I32:I41" si="3">100%-J32</f>
        <v>0.19359999999999999</v>
      </c>
      <c r="J32" s="33">
        <v>0.80640000000000001</v>
      </c>
      <c r="K32" s="33">
        <f t="shared" si="0"/>
        <v>0.28493481046047181</v>
      </c>
      <c r="L32" s="17"/>
      <c r="M32" s="37">
        <f>G31*(1+$L$31)</f>
        <v>29.439453956834537</v>
      </c>
      <c r="N32" s="2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15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1"/>
        <v>44.48</v>
      </c>
      <c r="G33" s="30">
        <f t="shared" si="2"/>
        <v>46.787095323741013</v>
      </c>
      <c r="H33" s="17">
        <v>9.41</v>
      </c>
      <c r="I33" s="36">
        <f t="shared" si="3"/>
        <v>0.24050000000000005</v>
      </c>
      <c r="J33" s="33">
        <v>0.75949999999999995</v>
      </c>
      <c r="K33" s="33">
        <f t="shared" si="0"/>
        <v>0.20112383414460688</v>
      </c>
      <c r="L33" s="17"/>
      <c r="M33" s="37">
        <f>M32*(1+$L$31)</f>
        <v>34.035820050521622</v>
      </c>
      <c r="N33" s="29">
        <f t="shared" ref="N33:N41" si="4">N32*(1+$K$31)</f>
        <v>7.5018529380184118</v>
      </c>
      <c r="O33" s="1"/>
      <c r="P33" s="1"/>
    </row>
    <row r="34" spans="2:16" x14ac:dyDescent="0.15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1"/>
        <v>54.48</v>
      </c>
      <c r="G34" s="30">
        <f t="shared" si="2"/>
        <v>47.268538913362704</v>
      </c>
      <c r="H34" s="17">
        <v>11.96</v>
      </c>
      <c r="I34" s="36">
        <f t="shared" si="3"/>
        <v>0.22970000000000002</v>
      </c>
      <c r="J34" s="33">
        <v>0.77029999999999998</v>
      </c>
      <c r="K34" s="33">
        <f t="shared" si="0"/>
        <v>0.25302241776334949</v>
      </c>
      <c r="L34" s="17"/>
      <c r="M34" s="37">
        <f t="shared" ref="M34:M41" si="5">M33*(1+$L$31)</f>
        <v>39.349814307359182</v>
      </c>
      <c r="N34" s="29">
        <f t="shared" si="4"/>
        <v>9.0279249375047801</v>
      </c>
      <c r="O34" s="1"/>
      <c r="P34" s="1"/>
    </row>
    <row r="35" spans="2:16" x14ac:dyDescent="0.15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1"/>
        <v>54.48</v>
      </c>
      <c r="G35" s="30">
        <f t="shared" si="2"/>
        <v>583.17621145374449</v>
      </c>
      <c r="H35" s="17">
        <v>14.38</v>
      </c>
      <c r="I35" s="36">
        <f t="shared" si="3"/>
        <v>0.21830000000000005</v>
      </c>
      <c r="J35" s="33">
        <v>0.78169999999999995</v>
      </c>
      <c r="K35" s="33">
        <f t="shared" si="0"/>
        <v>2.4658070266881202E-2</v>
      </c>
      <c r="L35" s="17"/>
      <c r="M35" s="37">
        <f t="shared" si="5"/>
        <v>45.493479626030606</v>
      </c>
      <c r="N35" s="29">
        <f t="shared" si="4"/>
        <v>10.864439672520364</v>
      </c>
      <c r="O35" s="1"/>
      <c r="P35" s="1"/>
    </row>
    <row r="36" spans="2:16" x14ac:dyDescent="0.15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1"/>
        <v>54.48</v>
      </c>
      <c r="G36" s="30">
        <f t="shared" si="2"/>
        <v>73.244493392070495</v>
      </c>
      <c r="H36" s="17">
        <v>18.510000000000002</v>
      </c>
      <c r="I36" s="36">
        <f t="shared" si="3"/>
        <v>0.18999999999999995</v>
      </c>
      <c r="J36" s="33">
        <v>0.81</v>
      </c>
      <c r="K36" s="33">
        <f t="shared" si="0"/>
        <v>0.25271524373740711</v>
      </c>
      <c r="L36" s="17"/>
      <c r="M36" s="37">
        <f t="shared" si="5"/>
        <v>52.596352102657718</v>
      </c>
      <c r="N36" s="29">
        <f t="shared" si="4"/>
        <v>13.074549269619677</v>
      </c>
      <c r="O36" s="1"/>
      <c r="P36" s="1"/>
    </row>
    <row r="37" spans="2:16" x14ac:dyDescent="0.15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1"/>
        <v>54.48</v>
      </c>
      <c r="G37" s="30">
        <f t="shared" si="2"/>
        <v>89.145925110132168</v>
      </c>
      <c r="H37" s="17">
        <v>22.07</v>
      </c>
      <c r="I37" s="36">
        <f t="shared" si="3"/>
        <v>0.16979999999999995</v>
      </c>
      <c r="J37" s="33">
        <v>0.83020000000000005</v>
      </c>
      <c r="K37" s="33">
        <f t="shared" si="0"/>
        <v>0.24757160770651493</v>
      </c>
      <c r="L37" s="17"/>
      <c r="M37" s="37">
        <f t="shared" si="5"/>
        <v>60.808192234297088</v>
      </c>
      <c r="N37" s="29">
        <f t="shared" si="4"/>
        <v>15.734252640390094</v>
      </c>
      <c r="O37" s="1"/>
      <c r="P37" s="1"/>
    </row>
    <row r="38" spans="2:16" x14ac:dyDescent="0.15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1"/>
        <v>54.48</v>
      </c>
      <c r="G38" s="30">
        <f t="shared" si="2"/>
        <v>131.25844346549192</v>
      </c>
      <c r="H38" s="17">
        <v>24.34</v>
      </c>
      <c r="I38" s="36">
        <f t="shared" si="3"/>
        <v>0.22809999999999997</v>
      </c>
      <c r="J38" s="33">
        <v>0.77190000000000003</v>
      </c>
      <c r="K38" s="33">
        <f t="shared" si="0"/>
        <v>0.18543568975354358</v>
      </c>
      <c r="L38" s="17"/>
      <c r="M38" s="37">
        <f t="shared" si="5"/>
        <v>70.302142543767502</v>
      </c>
      <c r="N38" s="29">
        <f t="shared" si="4"/>
        <v>18.935008851653063</v>
      </c>
      <c r="O38" s="1"/>
      <c r="P38" s="1"/>
    </row>
    <row r="39" spans="2:16" x14ac:dyDescent="0.15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1"/>
        <v>54.48</v>
      </c>
      <c r="G39" s="30">
        <f t="shared" si="2"/>
        <v>138.11637298091043</v>
      </c>
      <c r="H39" s="17">
        <v>12.98</v>
      </c>
      <c r="I39" s="36">
        <f t="shared" si="3"/>
        <v>0.31620000000000004</v>
      </c>
      <c r="J39" s="33">
        <v>0.68379999999999996</v>
      </c>
      <c r="K39" s="33">
        <f t="shared" si="0"/>
        <v>9.3978720406986169E-2</v>
      </c>
      <c r="L39" s="17"/>
      <c r="M39" s="37">
        <f t="shared" si="5"/>
        <v>81.27837820274145</v>
      </c>
      <c r="N39" s="29">
        <f t="shared" si="4"/>
        <v>22.786882123134053</v>
      </c>
      <c r="O39" s="1"/>
      <c r="P39" s="1"/>
    </row>
    <row r="40" spans="2:16" x14ac:dyDescent="0.15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1"/>
        <v>61.8749343</v>
      </c>
      <c r="G40" s="30">
        <f t="shared" si="2"/>
        <v>150.70609941641587</v>
      </c>
      <c r="H40" s="17">
        <v>17.329999999999998</v>
      </c>
      <c r="I40" s="36">
        <f t="shared" si="3"/>
        <v>0.33550000000000002</v>
      </c>
      <c r="J40" s="33">
        <v>0.66449999999999998</v>
      </c>
      <c r="K40" s="33">
        <f t="shared" si="0"/>
        <v>0.11499202797436547</v>
      </c>
      <c r="L40" s="17"/>
      <c r="M40" s="37">
        <f t="shared" si="5"/>
        <v>93.96832762465408</v>
      </c>
      <c r="N40" s="29">
        <f t="shared" si="4"/>
        <v>27.422326599455246</v>
      </c>
      <c r="O40" s="1"/>
      <c r="P40" s="1"/>
    </row>
    <row r="41" spans="2:16" x14ac:dyDescent="0.15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1"/>
        <v>79.6998198</v>
      </c>
      <c r="G41" s="30">
        <f t="shared" si="2"/>
        <v>149.65730198551842</v>
      </c>
      <c r="H41" s="17">
        <v>13.18</v>
      </c>
      <c r="I41" s="36">
        <f t="shared" si="3"/>
        <v>0.39780000000000004</v>
      </c>
      <c r="J41" s="33">
        <v>0.60219999999999996</v>
      </c>
      <c r="K41" s="33">
        <f t="shared" si="0"/>
        <v>8.806787123073595E-2</v>
      </c>
      <c r="L41" s="17"/>
      <c r="M41" s="37">
        <f t="shared" si="5"/>
        <v>108.63955201651031</v>
      </c>
      <c r="N41" s="29">
        <f t="shared" si="4"/>
        <v>33.00074104318773</v>
      </c>
      <c r="O41" s="1"/>
      <c r="P41" s="1"/>
    </row>
    <row r="42" spans="2:16" x14ac:dyDescent="0.15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165.00370521593865</v>
      </c>
      <c r="O42" s="1"/>
      <c r="P42" s="1"/>
    </row>
    <row r="43" spans="2:16" x14ac:dyDescent="0.15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O43" s="1"/>
      <c r="P43" s="1"/>
    </row>
    <row r="44" spans="2:16" x14ac:dyDescent="0.15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"/>
      <c r="P44" s="1"/>
    </row>
    <row r="45" spans="2:16" x14ac:dyDescent="0.15">
      <c r="L45" s="37">
        <v>103</v>
      </c>
      <c r="M45" s="1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L48"/>
  <sheetViews>
    <sheetView topLeftCell="A25" zoomScale="90" zoomScaleNormal="90" workbookViewId="0">
      <selection activeCell="G25" sqref="G25"/>
    </sheetView>
  </sheetViews>
  <sheetFormatPr baseColWidth="10" defaultColWidth="9.1640625" defaultRowHeight="15" x14ac:dyDescent="0.2"/>
  <cols>
    <col min="1" max="1" width="9.1640625" style="46"/>
    <col min="2" max="2" width="16.6640625" style="46" bestFit="1" customWidth="1"/>
    <col min="3" max="3" width="11.5" style="46" customWidth="1"/>
    <col min="4" max="4" width="12.83203125" style="46" customWidth="1"/>
    <col min="5" max="5" width="12.83203125" style="46" bestFit="1" customWidth="1"/>
    <col min="6" max="6" width="13" style="46" customWidth="1"/>
    <col min="7" max="7" width="11.6640625" style="46" customWidth="1"/>
    <col min="8" max="8" width="12.33203125" style="46" customWidth="1"/>
    <col min="9" max="9" width="12.1640625" style="46" bestFit="1" customWidth="1"/>
    <col min="10" max="10" width="11.5" style="46" bestFit="1" customWidth="1"/>
    <col min="11" max="11" width="11.33203125" style="46" customWidth="1"/>
    <col min="12" max="16384" width="9.1640625" style="46"/>
  </cols>
  <sheetData>
    <row r="2" spans="2:12" x14ac:dyDescent="0.2">
      <c r="B2" s="278" t="s">
        <v>15</v>
      </c>
      <c r="C2" s="278"/>
      <c r="E2" s="278" t="s">
        <v>53</v>
      </c>
      <c r="F2" s="278"/>
      <c r="H2" s="306" t="s">
        <v>24</v>
      </c>
      <c r="I2" s="307"/>
    </row>
    <row r="3" spans="2:12" x14ac:dyDescent="0.2">
      <c r="B3" s="10" t="s">
        <v>16</v>
      </c>
      <c r="C3" s="11">
        <v>2.61</v>
      </c>
      <c r="E3" s="19" t="s">
        <v>29</v>
      </c>
      <c r="F3" s="44">
        <v>399</v>
      </c>
      <c r="H3" s="19" t="s">
        <v>25</v>
      </c>
      <c r="I3" s="20">
        <v>100000</v>
      </c>
    </row>
    <row r="4" spans="2:12" x14ac:dyDescent="0.2">
      <c r="B4" s="10" t="s">
        <v>17</v>
      </c>
      <c r="C4" s="11">
        <v>17</v>
      </c>
      <c r="E4" s="19" t="s">
        <v>26</v>
      </c>
      <c r="F4" s="21">
        <v>0.2</v>
      </c>
      <c r="H4" s="19" t="s">
        <v>26</v>
      </c>
      <c r="I4" s="21">
        <v>0.15</v>
      </c>
    </row>
    <row r="5" spans="2:12" x14ac:dyDescent="0.2">
      <c r="B5" s="10" t="s">
        <v>18</v>
      </c>
      <c r="C5" s="12">
        <v>9</v>
      </c>
      <c r="E5" s="19" t="s">
        <v>27</v>
      </c>
      <c r="F5" s="22">
        <v>10</v>
      </c>
      <c r="H5" s="19" t="s">
        <v>27</v>
      </c>
      <c r="I5" s="22">
        <v>10</v>
      </c>
    </row>
    <row r="6" spans="2:12" x14ac:dyDescent="0.2">
      <c r="B6" s="13" t="s">
        <v>19</v>
      </c>
      <c r="C6" s="3">
        <f>((C4/C3)^(1/C5))-1</f>
        <v>0.23146807384688306</v>
      </c>
      <c r="E6" s="19" t="s">
        <v>28</v>
      </c>
      <c r="F6" s="20">
        <v>0</v>
      </c>
      <c r="H6" s="19" t="s">
        <v>28</v>
      </c>
      <c r="I6" s="23">
        <v>0</v>
      </c>
    </row>
    <row r="7" spans="2:12" x14ac:dyDescent="0.2">
      <c r="E7" s="24" t="s">
        <v>54</v>
      </c>
      <c r="F7" s="45">
        <f>PV(F4,F5,F6,-F3)</f>
        <v>64.440727573048449</v>
      </c>
      <c r="H7" s="24" t="s">
        <v>29</v>
      </c>
      <c r="I7" s="19">
        <f>FV(I4,I5,I6,-I3)</f>
        <v>404555.77357079065</v>
      </c>
    </row>
    <row r="9" spans="2:12" ht="16" thickBot="1" x14ac:dyDescent="0.25"/>
    <row r="10" spans="2:12" ht="16" thickBot="1" x14ac:dyDescent="0.25">
      <c r="B10" s="76"/>
      <c r="C10" s="77"/>
      <c r="D10" s="303" t="s">
        <v>56</v>
      </c>
      <c r="E10" s="304"/>
      <c r="F10" s="304"/>
      <c r="G10" s="304"/>
      <c r="H10" s="305"/>
      <c r="I10" s="303" t="s">
        <v>60</v>
      </c>
      <c r="J10" s="304"/>
      <c r="K10" s="304"/>
      <c r="L10" s="305"/>
    </row>
    <row r="11" spans="2:12" ht="28" x14ac:dyDescent="0.2">
      <c r="B11" s="78" t="s">
        <v>0</v>
      </c>
      <c r="C11" s="79" t="s">
        <v>59</v>
      </c>
      <c r="D11" s="71" t="s">
        <v>38</v>
      </c>
      <c r="E11" s="72" t="s">
        <v>39</v>
      </c>
      <c r="F11" s="73" t="s">
        <v>40</v>
      </c>
      <c r="G11" s="73" t="s">
        <v>58</v>
      </c>
      <c r="H11" s="74" t="s">
        <v>13</v>
      </c>
      <c r="I11" s="71" t="s">
        <v>38</v>
      </c>
      <c r="J11" s="73" t="s">
        <v>40</v>
      </c>
      <c r="K11" s="73" t="s">
        <v>58</v>
      </c>
      <c r="L11" s="74" t="s">
        <v>13</v>
      </c>
    </row>
    <row r="12" spans="2:12" x14ac:dyDescent="0.2">
      <c r="B12" s="80">
        <v>0</v>
      </c>
      <c r="C12" s="81">
        <v>2000</v>
      </c>
      <c r="D12" s="56">
        <v>749.84</v>
      </c>
      <c r="E12" s="49"/>
      <c r="F12" s="49"/>
      <c r="G12" s="49"/>
      <c r="H12" s="57"/>
      <c r="I12" s="67"/>
      <c r="J12" s="50"/>
      <c r="K12" s="50"/>
      <c r="L12" s="68"/>
    </row>
    <row r="13" spans="2:12" x14ac:dyDescent="0.2">
      <c r="B13" s="80">
        <v>1</v>
      </c>
      <c r="C13" s="81">
        <v>2001</v>
      </c>
      <c r="D13" s="56">
        <v>932.76</v>
      </c>
      <c r="E13" s="49">
        <v>444800000</v>
      </c>
      <c r="F13" s="49">
        <f>E13/10000000</f>
        <v>44.48</v>
      </c>
      <c r="G13" s="52">
        <f>D13/F13</f>
        <v>20.970323741007196</v>
      </c>
      <c r="H13" s="58">
        <v>2.61</v>
      </c>
      <c r="I13" s="67"/>
      <c r="J13" s="50"/>
      <c r="K13" s="50"/>
      <c r="L13" s="68"/>
    </row>
    <row r="14" spans="2:12" x14ac:dyDescent="0.2">
      <c r="B14" s="80">
        <v>2</v>
      </c>
      <c r="C14" s="81">
        <v>2002</v>
      </c>
      <c r="D14" s="56">
        <v>1132.6300000000001</v>
      </c>
      <c r="E14" s="49">
        <v>444800000</v>
      </c>
      <c r="F14" s="49">
        <f t="shared" ref="F14:F24" si="0">E14/10000000</f>
        <v>44.48</v>
      </c>
      <c r="G14" s="52">
        <f t="shared" ref="G14:G24" si="1">D14/F14</f>
        <v>25.463803956834536</v>
      </c>
      <c r="H14" s="58">
        <v>5.18</v>
      </c>
      <c r="I14" s="67"/>
      <c r="J14" s="50"/>
      <c r="K14" s="50"/>
      <c r="L14" s="68"/>
    </row>
    <row r="15" spans="2:12" x14ac:dyDescent="0.2">
      <c r="B15" s="80">
        <v>3</v>
      </c>
      <c r="C15" s="81">
        <v>2003</v>
      </c>
      <c r="D15" s="56">
        <v>1459.59</v>
      </c>
      <c r="E15" s="49">
        <v>444800000</v>
      </c>
      <c r="F15" s="49">
        <f t="shared" si="0"/>
        <v>44.48</v>
      </c>
      <c r="G15" s="52">
        <f t="shared" si="1"/>
        <v>32.814523381294961</v>
      </c>
      <c r="H15" s="58">
        <v>9.35</v>
      </c>
      <c r="I15" s="67"/>
      <c r="J15" s="50"/>
      <c r="K15" s="50"/>
      <c r="L15" s="68"/>
    </row>
    <row r="16" spans="2:12" x14ac:dyDescent="0.2">
      <c r="B16" s="80">
        <v>4</v>
      </c>
      <c r="C16" s="81">
        <v>2004</v>
      </c>
      <c r="D16" s="56">
        <v>2081.09</v>
      </c>
      <c r="E16" s="49">
        <v>444800000</v>
      </c>
      <c r="F16" s="49">
        <f t="shared" si="0"/>
        <v>44.48</v>
      </c>
      <c r="G16" s="52">
        <f t="shared" si="1"/>
        <v>46.787095323741013</v>
      </c>
      <c r="H16" s="58">
        <v>9.41</v>
      </c>
      <c r="I16" s="67"/>
      <c r="J16" s="50"/>
      <c r="K16" s="50"/>
      <c r="L16" s="68"/>
    </row>
    <row r="17" spans="2:12" x14ac:dyDescent="0.2">
      <c r="B17" s="80">
        <v>5</v>
      </c>
      <c r="C17" s="81">
        <v>2005</v>
      </c>
      <c r="D17" s="56">
        <v>2575.19</v>
      </c>
      <c r="E17" s="49">
        <v>544800000</v>
      </c>
      <c r="F17" s="49">
        <f t="shared" si="0"/>
        <v>54.48</v>
      </c>
      <c r="G17" s="52">
        <f t="shared" si="1"/>
        <v>47.268538913362704</v>
      </c>
      <c r="H17" s="58">
        <v>11.96</v>
      </c>
      <c r="I17" s="67"/>
      <c r="J17" s="50"/>
      <c r="K17" s="50"/>
      <c r="L17" s="68"/>
    </row>
    <row r="18" spans="2:12" x14ac:dyDescent="0.2">
      <c r="B18" s="80">
        <v>6</v>
      </c>
      <c r="C18" s="81">
        <v>2006</v>
      </c>
      <c r="D18" s="56">
        <v>31771.439999999999</v>
      </c>
      <c r="E18" s="49">
        <v>544800000</v>
      </c>
      <c r="F18" s="49">
        <f t="shared" si="0"/>
        <v>54.48</v>
      </c>
      <c r="G18" s="52">
        <f t="shared" si="1"/>
        <v>583.17621145374449</v>
      </c>
      <c r="H18" s="58">
        <v>14.38</v>
      </c>
      <c r="I18" s="67"/>
      <c r="J18" s="50"/>
      <c r="K18" s="50"/>
      <c r="L18" s="68"/>
    </row>
    <row r="19" spans="2:12" x14ac:dyDescent="0.2">
      <c r="B19" s="80">
        <v>7</v>
      </c>
      <c r="C19" s="81">
        <v>2007</v>
      </c>
      <c r="D19" s="56">
        <v>3990.36</v>
      </c>
      <c r="E19" s="49">
        <v>544800000</v>
      </c>
      <c r="F19" s="49">
        <f t="shared" si="0"/>
        <v>54.48</v>
      </c>
      <c r="G19" s="52">
        <f t="shared" si="1"/>
        <v>73.244493392070495</v>
      </c>
      <c r="H19" s="58">
        <v>18.510000000000002</v>
      </c>
      <c r="I19" s="67"/>
      <c r="J19" s="50"/>
      <c r="K19" s="50"/>
      <c r="L19" s="68"/>
    </row>
    <row r="20" spans="2:12" x14ac:dyDescent="0.2">
      <c r="B20" s="80">
        <v>8</v>
      </c>
      <c r="C20" s="81">
        <v>2008</v>
      </c>
      <c r="D20" s="56">
        <v>4856.67</v>
      </c>
      <c r="E20" s="49">
        <v>544800000</v>
      </c>
      <c r="F20" s="49">
        <f t="shared" si="0"/>
        <v>54.48</v>
      </c>
      <c r="G20" s="52">
        <f t="shared" si="1"/>
        <v>89.145925110132168</v>
      </c>
      <c r="H20" s="58">
        <v>22.07</v>
      </c>
      <c r="I20" s="67"/>
      <c r="J20" s="50"/>
      <c r="K20" s="50"/>
      <c r="L20" s="68"/>
    </row>
    <row r="21" spans="2:12" x14ac:dyDescent="0.2">
      <c r="B21" s="80">
        <v>9</v>
      </c>
      <c r="C21" s="81">
        <v>2009</v>
      </c>
      <c r="D21" s="56">
        <v>7150.96</v>
      </c>
      <c r="E21" s="49">
        <v>544800000</v>
      </c>
      <c r="F21" s="49">
        <f t="shared" si="0"/>
        <v>54.48</v>
      </c>
      <c r="G21" s="52">
        <f t="shared" si="1"/>
        <v>131.25844346549192</v>
      </c>
      <c r="H21" s="58">
        <v>24.34</v>
      </c>
      <c r="I21" s="67"/>
      <c r="J21" s="50"/>
      <c r="K21" s="50"/>
      <c r="L21" s="68"/>
    </row>
    <row r="22" spans="2:12" x14ac:dyDescent="0.2">
      <c r="B22" s="80">
        <v>10</v>
      </c>
      <c r="C22" s="81">
        <v>2010</v>
      </c>
      <c r="D22" s="56">
        <v>7524.58</v>
      </c>
      <c r="E22" s="49">
        <v>544800000</v>
      </c>
      <c r="F22" s="49">
        <f t="shared" si="0"/>
        <v>54.48</v>
      </c>
      <c r="G22" s="52">
        <f t="shared" si="1"/>
        <v>138.11637298091043</v>
      </c>
      <c r="H22" s="58">
        <v>12.98</v>
      </c>
      <c r="I22" s="67"/>
      <c r="J22" s="50"/>
      <c r="K22" s="50"/>
      <c r="L22" s="68"/>
    </row>
    <row r="23" spans="2:12" x14ac:dyDescent="0.2">
      <c r="B23" s="80">
        <v>11</v>
      </c>
      <c r="C23" s="81">
        <v>2011</v>
      </c>
      <c r="D23" s="56">
        <v>9324.93</v>
      </c>
      <c r="E23" s="49">
        <v>618749343</v>
      </c>
      <c r="F23" s="49">
        <f t="shared" si="0"/>
        <v>61.8749343</v>
      </c>
      <c r="G23" s="52">
        <f t="shared" si="1"/>
        <v>150.70609941641587</v>
      </c>
      <c r="H23" s="58">
        <v>17.329999999999998</v>
      </c>
      <c r="I23" s="67"/>
      <c r="J23" s="50"/>
      <c r="K23" s="50"/>
      <c r="L23" s="68"/>
    </row>
    <row r="24" spans="2:12" x14ac:dyDescent="0.2">
      <c r="B24" s="80">
        <v>12</v>
      </c>
      <c r="C24" s="81">
        <v>2012</v>
      </c>
      <c r="D24" s="56">
        <v>11927.66</v>
      </c>
      <c r="E24" s="49">
        <v>796998198</v>
      </c>
      <c r="F24" s="49">
        <f t="shared" si="0"/>
        <v>79.6998198</v>
      </c>
      <c r="G24" s="52">
        <f t="shared" si="1"/>
        <v>149.65730198551842</v>
      </c>
      <c r="H24" s="58">
        <v>13.18</v>
      </c>
      <c r="I24" s="67"/>
      <c r="J24" s="50"/>
      <c r="K24" s="50"/>
      <c r="L24" s="68"/>
    </row>
    <row r="25" spans="2:12" x14ac:dyDescent="0.2">
      <c r="B25" s="80">
        <v>13</v>
      </c>
      <c r="C25" s="81">
        <v>2013</v>
      </c>
      <c r="D25" s="56"/>
      <c r="E25" s="49"/>
      <c r="F25" s="49"/>
      <c r="G25" s="52"/>
      <c r="H25" s="58"/>
      <c r="I25" s="67">
        <f>D24*(1+$D$36)</f>
        <v>15390.259698</v>
      </c>
      <c r="J25" s="50">
        <f>F24*(1+$F$36)</f>
        <v>84.481808987999997</v>
      </c>
      <c r="K25" s="53">
        <f>G24*(1+$G$36)</f>
        <v>182.16286797677301</v>
      </c>
      <c r="L25" s="69">
        <f>H24*(1+$H$36)</f>
        <v>15.497043999999999</v>
      </c>
    </row>
    <row r="26" spans="2:12" x14ac:dyDescent="0.2">
      <c r="B26" s="80">
        <v>14</v>
      </c>
      <c r="C26" s="81">
        <v>2014</v>
      </c>
      <c r="D26" s="56"/>
      <c r="E26" s="49"/>
      <c r="F26" s="49"/>
      <c r="G26" s="52"/>
      <c r="H26" s="58"/>
      <c r="I26" s="67">
        <f>I25*(1+$D$36)</f>
        <v>19858.052088329401</v>
      </c>
      <c r="J26" s="50">
        <f>J25*(1+$F$36)</f>
        <v>89.55071752728</v>
      </c>
      <c r="K26" s="53">
        <f>K25*(1+$G$36)</f>
        <v>221.72864290132813</v>
      </c>
      <c r="L26" s="69">
        <f>L25*(1+$H$36)</f>
        <v>18.221424335199998</v>
      </c>
    </row>
    <row r="27" spans="2:12" x14ac:dyDescent="0.2">
      <c r="B27" s="80">
        <v>15</v>
      </c>
      <c r="C27" s="81">
        <v>2015</v>
      </c>
      <c r="D27" s="56"/>
      <c r="E27" s="49"/>
      <c r="F27" s="49"/>
      <c r="G27" s="52"/>
      <c r="H27" s="58"/>
      <c r="I27" s="67">
        <f t="shared" ref="I27:I34" si="2">I26*(1+$D$36)</f>
        <v>25622.844609571428</v>
      </c>
      <c r="J27" s="50">
        <f t="shared" ref="J27:J34" si="3">J26*(1+$F$36)</f>
        <v>94.923760578916799</v>
      </c>
      <c r="K27" s="53">
        <f t="shared" ref="K27:K34" si="4">K26*(1+$G$36)</f>
        <v>269.88810413949659</v>
      </c>
      <c r="L27" s="69">
        <f t="shared" ref="L27:L34" si="5">L26*(1+$H$36)</f>
        <v>21.424750733328157</v>
      </c>
    </row>
    <row r="28" spans="2:12" x14ac:dyDescent="0.2">
      <c r="B28" s="80">
        <v>16</v>
      </c>
      <c r="C28" s="81">
        <v>2016</v>
      </c>
      <c r="D28" s="56"/>
      <c r="E28" s="49"/>
      <c r="F28" s="49"/>
      <c r="G28" s="52"/>
      <c r="H28" s="58"/>
      <c r="I28" s="67">
        <f t="shared" si="2"/>
        <v>33061.156399730011</v>
      </c>
      <c r="J28" s="50">
        <f t="shared" si="3"/>
        <v>100.61918621365182</v>
      </c>
      <c r="K28" s="53">
        <f t="shared" si="4"/>
        <v>328.50780035859526</v>
      </c>
      <c r="L28" s="69">
        <f t="shared" si="5"/>
        <v>25.191221912247247</v>
      </c>
    </row>
    <row r="29" spans="2:12" x14ac:dyDescent="0.2">
      <c r="B29" s="80">
        <v>17</v>
      </c>
      <c r="C29" s="81">
        <v>2017</v>
      </c>
      <c r="D29" s="56"/>
      <c r="E29" s="49"/>
      <c r="F29" s="49"/>
      <c r="G29" s="52"/>
      <c r="H29" s="58"/>
      <c r="I29" s="67">
        <f t="shared" si="2"/>
        <v>42658.810102571631</v>
      </c>
      <c r="J29" s="50">
        <f t="shared" si="3"/>
        <v>106.65633738647092</v>
      </c>
      <c r="K29" s="53">
        <f t="shared" si="4"/>
        <v>399.8596945964822</v>
      </c>
      <c r="L29" s="69">
        <f t="shared" si="5"/>
        <v>29.619838724420312</v>
      </c>
    </row>
    <row r="30" spans="2:12" x14ac:dyDescent="0.2">
      <c r="B30" s="80">
        <v>18</v>
      </c>
      <c r="C30" s="81">
        <v>2018</v>
      </c>
      <c r="D30" s="56"/>
      <c r="E30" s="49"/>
      <c r="F30" s="49"/>
      <c r="G30" s="52"/>
      <c r="H30" s="58"/>
      <c r="I30" s="67">
        <f t="shared" si="2"/>
        <v>55042.662675348176</v>
      </c>
      <c r="J30" s="50">
        <f t="shared" si="3"/>
        <v>113.05571762965918</v>
      </c>
      <c r="K30" s="53">
        <f t="shared" si="4"/>
        <v>486.70922026283813</v>
      </c>
      <c r="L30" s="69">
        <f t="shared" si="5"/>
        <v>34.8270063721734</v>
      </c>
    </row>
    <row r="31" spans="2:12" x14ac:dyDescent="0.2">
      <c r="B31" s="80">
        <v>19</v>
      </c>
      <c r="C31" s="81">
        <v>2019</v>
      </c>
      <c r="D31" s="56"/>
      <c r="E31" s="49"/>
      <c r="F31" s="49"/>
      <c r="G31" s="52"/>
      <c r="H31" s="58"/>
      <c r="I31" s="67">
        <f t="shared" si="2"/>
        <v>71021.547650001754</v>
      </c>
      <c r="J31" s="50">
        <f t="shared" si="3"/>
        <v>119.83906068743875</v>
      </c>
      <c r="K31" s="53">
        <f t="shared" si="4"/>
        <v>592.42246290392666</v>
      </c>
      <c r="L31" s="69">
        <f t="shared" si="5"/>
        <v>40.949594092401483</v>
      </c>
    </row>
    <row r="32" spans="2:12" x14ac:dyDescent="0.2">
      <c r="B32" s="80">
        <v>20</v>
      </c>
      <c r="C32" s="81">
        <v>2020</v>
      </c>
      <c r="D32" s="56"/>
      <c r="E32" s="49"/>
      <c r="F32" s="49"/>
      <c r="G32" s="52"/>
      <c r="H32" s="58"/>
      <c r="I32" s="67">
        <f t="shared" si="2"/>
        <v>91639.102932797265</v>
      </c>
      <c r="J32" s="50">
        <f t="shared" si="3"/>
        <v>127.02940432868508</v>
      </c>
      <c r="K32" s="53">
        <f t="shared" si="4"/>
        <v>721.09662184665956</v>
      </c>
      <c r="L32" s="69">
        <f t="shared" si="5"/>
        <v>48.148532733845663</v>
      </c>
    </row>
    <row r="33" spans="2:12" x14ac:dyDescent="0.2">
      <c r="B33" s="80">
        <v>21</v>
      </c>
      <c r="C33" s="81">
        <v>2021</v>
      </c>
      <c r="D33" s="56"/>
      <c r="E33" s="49"/>
      <c r="F33" s="49"/>
      <c r="G33" s="52"/>
      <c r="H33" s="58"/>
      <c r="I33" s="67">
        <f t="shared" si="2"/>
        <v>118241.93451418831</v>
      </c>
      <c r="J33" s="50">
        <f t="shared" si="3"/>
        <v>134.65116858840619</v>
      </c>
      <c r="K33" s="53">
        <f t="shared" si="4"/>
        <v>877.71880811175402</v>
      </c>
      <c r="L33" s="69">
        <f t="shared" si="5"/>
        <v>56.613044788455731</v>
      </c>
    </row>
    <row r="34" spans="2:12" x14ac:dyDescent="0.2">
      <c r="B34" s="80">
        <v>22</v>
      </c>
      <c r="C34" s="81">
        <v>2022</v>
      </c>
      <c r="D34" s="56"/>
      <c r="E34" s="49"/>
      <c r="F34" s="49"/>
      <c r="G34" s="52"/>
      <c r="H34" s="58"/>
      <c r="I34" s="67">
        <f t="shared" si="2"/>
        <v>152567.56810365716</v>
      </c>
      <c r="J34" s="50">
        <f t="shared" si="3"/>
        <v>142.73023870371057</v>
      </c>
      <c r="K34" s="53">
        <f t="shared" si="4"/>
        <v>1068.359333233627</v>
      </c>
      <c r="L34" s="69">
        <f t="shared" si="5"/>
        <v>66.565618062266253</v>
      </c>
    </row>
    <row r="35" spans="2:12" x14ac:dyDescent="0.2">
      <c r="B35" s="80"/>
      <c r="C35" s="81"/>
      <c r="D35" s="56"/>
      <c r="E35" s="49"/>
      <c r="F35" s="49"/>
      <c r="G35" s="52"/>
      <c r="H35" s="58"/>
      <c r="I35" s="67"/>
      <c r="J35" s="50"/>
      <c r="K35" s="53"/>
      <c r="L35" s="69"/>
    </row>
    <row r="36" spans="2:12" x14ac:dyDescent="0.2">
      <c r="B36" s="80"/>
      <c r="C36" s="82" t="s">
        <v>1</v>
      </c>
      <c r="D36" s="83">
        <v>0.2903</v>
      </c>
      <c r="E36" s="51" t="s">
        <v>57</v>
      </c>
      <c r="F36" s="84">
        <v>0.06</v>
      </c>
      <c r="G36" s="5">
        <v>0.2172</v>
      </c>
      <c r="H36" s="85">
        <v>0.17580000000000001</v>
      </c>
      <c r="I36" s="86"/>
      <c r="J36" s="47"/>
      <c r="K36" s="4"/>
      <c r="L36" s="87"/>
    </row>
    <row r="37" spans="2:12" x14ac:dyDescent="0.2">
      <c r="B37" s="80"/>
      <c r="C37" s="82" t="s">
        <v>64</v>
      </c>
      <c r="D37" s="86"/>
      <c r="E37" s="8"/>
      <c r="F37" s="47"/>
      <c r="G37" s="4"/>
      <c r="H37" s="87"/>
      <c r="I37" s="86"/>
      <c r="J37" s="47"/>
      <c r="K37" s="53">
        <f>I34/J34</f>
        <v>1068.9225316883803</v>
      </c>
      <c r="L37" s="87"/>
    </row>
    <row r="38" spans="2:12" x14ac:dyDescent="0.2">
      <c r="B38" s="80"/>
      <c r="C38" s="82"/>
      <c r="D38" s="86"/>
      <c r="E38" s="8"/>
      <c r="F38" s="47"/>
      <c r="G38" s="4"/>
      <c r="H38" s="87"/>
      <c r="I38" s="86"/>
      <c r="J38" s="47"/>
      <c r="K38" s="4"/>
      <c r="L38" s="87"/>
    </row>
    <row r="39" spans="2:12" x14ac:dyDescent="0.2">
      <c r="B39" s="80"/>
      <c r="C39" s="81" t="s">
        <v>62</v>
      </c>
      <c r="D39" s="59">
        <v>6</v>
      </c>
      <c r="E39" s="1"/>
      <c r="F39" s="1"/>
      <c r="G39" s="55"/>
      <c r="H39" s="60">
        <f>H24*D39</f>
        <v>79.08</v>
      </c>
      <c r="I39" s="62"/>
      <c r="J39" s="48"/>
      <c r="K39" s="54"/>
      <c r="L39" s="70">
        <f>L34*D39</f>
        <v>399.39370837359752</v>
      </c>
    </row>
    <row r="40" spans="2:12" x14ac:dyDescent="0.2">
      <c r="B40" s="62"/>
      <c r="C40" s="63" t="s">
        <v>61</v>
      </c>
      <c r="D40" s="61">
        <v>1</v>
      </c>
      <c r="E40" s="48"/>
      <c r="F40" s="48"/>
      <c r="G40" s="55">
        <f>G24*D40</f>
        <v>149.65730198551842</v>
      </c>
      <c r="H40" s="60"/>
      <c r="I40" s="62"/>
      <c r="J40" s="48"/>
      <c r="K40" s="54">
        <f>K34*D40</f>
        <v>1068.359333233627</v>
      </c>
      <c r="L40" s="70"/>
    </row>
    <row r="41" spans="2:12" x14ac:dyDescent="0.2">
      <c r="B41" s="62"/>
      <c r="C41" s="63"/>
      <c r="D41" s="62"/>
      <c r="E41" s="48"/>
      <c r="F41" s="48"/>
      <c r="G41" s="48"/>
      <c r="H41" s="63"/>
      <c r="I41" s="62"/>
      <c r="J41" s="48"/>
      <c r="K41" s="54"/>
      <c r="L41" s="70"/>
    </row>
    <row r="42" spans="2:12" x14ac:dyDescent="0.2">
      <c r="B42" s="62"/>
      <c r="C42" s="63" t="s">
        <v>63</v>
      </c>
      <c r="D42" s="75">
        <v>0.2</v>
      </c>
      <c r="E42" s="48"/>
      <c r="F42" s="48"/>
      <c r="G42" s="48"/>
      <c r="H42" s="63"/>
      <c r="I42" s="62"/>
      <c r="J42" s="48"/>
      <c r="K42" s="54"/>
      <c r="L42" s="70"/>
    </row>
    <row r="43" spans="2:12" x14ac:dyDescent="0.2">
      <c r="B43" s="62"/>
      <c r="C43" s="63" t="s">
        <v>54</v>
      </c>
      <c r="D43" s="62"/>
      <c r="E43" s="48"/>
      <c r="F43" s="48"/>
      <c r="G43" s="48"/>
      <c r="H43" s="63"/>
      <c r="I43" s="62"/>
      <c r="J43" s="48"/>
      <c r="K43" s="48">
        <v>172</v>
      </c>
      <c r="L43" s="63">
        <v>64</v>
      </c>
    </row>
    <row r="44" spans="2:12" x14ac:dyDescent="0.2">
      <c r="B44" s="62"/>
      <c r="C44" s="63"/>
      <c r="D44" s="62"/>
      <c r="E44" s="48"/>
      <c r="F44" s="48"/>
      <c r="G44" s="48"/>
      <c r="H44" s="63"/>
      <c r="I44" s="62"/>
      <c r="J44" s="48"/>
      <c r="K44" s="48"/>
      <c r="L44" s="63"/>
    </row>
    <row r="45" spans="2:12" x14ac:dyDescent="0.2">
      <c r="B45" s="62"/>
      <c r="C45" s="63"/>
      <c r="D45" s="62"/>
      <c r="E45" s="48"/>
      <c r="F45" s="48"/>
      <c r="G45" s="48"/>
      <c r="H45" s="63"/>
      <c r="I45" s="62"/>
      <c r="J45" s="48"/>
      <c r="K45" s="48"/>
      <c r="L45" s="63"/>
    </row>
    <row r="46" spans="2:12" x14ac:dyDescent="0.2">
      <c r="B46" s="62"/>
      <c r="C46" s="63"/>
      <c r="D46" s="62"/>
      <c r="E46" s="48"/>
      <c r="F46" s="48"/>
      <c r="G46" s="48"/>
      <c r="H46" s="63"/>
      <c r="I46" s="62"/>
      <c r="J46" s="48"/>
      <c r="K46" s="48"/>
      <c r="L46" s="63"/>
    </row>
    <row r="47" spans="2:12" x14ac:dyDescent="0.2">
      <c r="B47" s="62"/>
      <c r="C47" s="63"/>
      <c r="D47" s="62"/>
      <c r="E47" s="48"/>
      <c r="F47" s="48"/>
      <c r="G47" s="48"/>
      <c r="H47" s="63"/>
      <c r="I47" s="62"/>
      <c r="J47" s="48"/>
      <c r="K47" s="48"/>
      <c r="L47" s="63"/>
    </row>
    <row r="48" spans="2:12" ht="16" thickBot="1" x14ac:dyDescent="0.25">
      <c r="B48" s="64"/>
      <c r="C48" s="66"/>
      <c r="D48" s="64"/>
      <c r="E48" s="65"/>
      <c r="F48" s="65"/>
      <c r="G48" s="65"/>
      <c r="H48" s="66"/>
      <c r="I48" s="64"/>
      <c r="J48" s="65"/>
      <c r="K48" s="65"/>
      <c r="L48" s="6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G13"/>
  <sheetViews>
    <sheetView workbookViewId="0">
      <selection activeCell="D19" sqref="D19"/>
    </sheetView>
  </sheetViews>
  <sheetFormatPr baseColWidth="10" defaultColWidth="9.1640625" defaultRowHeight="14" x14ac:dyDescent="0.15"/>
  <cols>
    <col min="1" max="1" width="9.1640625" style="158"/>
    <col min="2" max="2" width="16.5" style="158" customWidth="1"/>
    <col min="3" max="3" width="39.6640625" style="158" customWidth="1"/>
    <col min="4" max="5" width="9.1640625" style="158"/>
    <col min="6" max="6" width="19" style="158" bestFit="1" customWidth="1"/>
    <col min="7" max="7" width="49" style="158" customWidth="1"/>
    <col min="8" max="16384" width="9.1640625" style="158"/>
  </cols>
  <sheetData>
    <row r="3" spans="2:7" x14ac:dyDescent="0.15">
      <c r="B3" s="308" t="s">
        <v>373</v>
      </c>
      <c r="C3" s="309"/>
      <c r="F3" s="308" t="s">
        <v>374</v>
      </c>
      <c r="G3" s="309"/>
    </row>
    <row r="4" spans="2:7" x14ac:dyDescent="0.15">
      <c r="B4" s="159" t="s">
        <v>375</v>
      </c>
      <c r="C4" s="159"/>
      <c r="F4" s="159" t="s">
        <v>376</v>
      </c>
      <c r="G4" s="159"/>
    </row>
    <row r="5" spans="2:7" x14ac:dyDescent="0.15">
      <c r="B5" s="159" t="s">
        <v>377</v>
      </c>
      <c r="C5" s="159"/>
      <c r="F5" s="159" t="s">
        <v>241</v>
      </c>
      <c r="G5" s="159"/>
    </row>
    <row r="6" spans="2:7" x14ac:dyDescent="0.15">
      <c r="B6" s="159" t="s">
        <v>378</v>
      </c>
      <c r="C6" s="159"/>
      <c r="F6" s="159" t="s">
        <v>379</v>
      </c>
      <c r="G6" s="159"/>
    </row>
    <row r="7" spans="2:7" x14ac:dyDescent="0.15">
      <c r="B7" s="159" t="s">
        <v>380</v>
      </c>
      <c r="C7" s="159"/>
      <c r="F7" s="159" t="s">
        <v>381</v>
      </c>
      <c r="G7" s="159"/>
    </row>
    <row r="8" spans="2:7" x14ac:dyDescent="0.15">
      <c r="B8" s="159" t="s">
        <v>382</v>
      </c>
      <c r="C8" s="159"/>
      <c r="F8" s="159" t="s">
        <v>383</v>
      </c>
      <c r="G8" s="159"/>
    </row>
    <row r="9" spans="2:7" x14ac:dyDescent="0.15">
      <c r="B9" s="159" t="s">
        <v>384</v>
      </c>
      <c r="C9" s="159"/>
      <c r="F9" s="159" t="s">
        <v>385</v>
      </c>
      <c r="G9" s="159"/>
    </row>
    <row r="10" spans="2:7" x14ac:dyDescent="0.15">
      <c r="B10" s="159" t="s">
        <v>383</v>
      </c>
      <c r="C10" s="159"/>
      <c r="F10" s="159"/>
      <c r="G10" s="159"/>
    </row>
    <row r="11" spans="2:7" x14ac:dyDescent="0.15">
      <c r="B11" s="159" t="s">
        <v>386</v>
      </c>
      <c r="C11" s="159"/>
      <c r="F11" s="159"/>
      <c r="G11" s="159"/>
    </row>
    <row r="12" spans="2:7" x14ac:dyDescent="0.15">
      <c r="B12" s="159" t="s">
        <v>387</v>
      </c>
      <c r="C12" s="159"/>
      <c r="F12" s="159"/>
      <c r="G12" s="159"/>
    </row>
    <row r="13" spans="2:7" x14ac:dyDescent="0.15">
      <c r="B13" s="159"/>
      <c r="C13" s="159"/>
      <c r="F13" s="159"/>
      <c r="G13" s="159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2. Time value</vt:lpstr>
      <vt:lpstr>3 - Forecast</vt:lpstr>
      <vt:lpstr>Sheet1</vt:lpstr>
      <vt:lpstr>IOB</vt:lpstr>
      <vt:lpstr>Template</vt:lpstr>
      <vt:lpstr>4.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2023-06-25T21:05:04Z</dcterms:modified>
</cp:coreProperties>
</file>
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K189" i="18"/>
  <c r="K188"/>
  <c r="C1"/>
  <c r="H209" l="1"/>
  <c r="G11" l="1"/>
  <c r="O12"/>
  <c r="L12"/>
  <c r="Q200" l="1"/>
  <c r="Q199"/>
  <c r="Q198"/>
  <c r="Q180"/>
  <c r="Q50"/>
  <c r="Q173" s="1"/>
  <c r="Q51"/>
  <c r="Q52"/>
  <c r="Q91" s="1"/>
  <c r="Q54"/>
  <c r="P195" s="1"/>
  <c r="Q55"/>
  <c r="Q56"/>
  <c r="Q57"/>
  <c r="Q175" s="1"/>
  <c r="Q58"/>
  <c r="Q60"/>
  <c r="Q61"/>
  <c r="Q62"/>
  <c r="Q178" s="1"/>
  <c r="Q64"/>
  <c r="Q65"/>
  <c r="Q67"/>
  <c r="Q68"/>
  <c r="Q177" s="1"/>
  <c r="Q70"/>
  <c r="Q72"/>
  <c r="Q74" s="1"/>
  <c r="Q75"/>
  <c r="Q76"/>
  <c r="Q77"/>
  <c r="Q78"/>
  <c r="Q80"/>
  <c r="Q135" s="1"/>
  <c r="Q81"/>
  <c r="Q82"/>
  <c r="Q86"/>
  <c r="Q87"/>
  <c r="Q88"/>
  <c r="Q89"/>
  <c r="Q90"/>
  <c r="Q93"/>
  <c r="Q99" s="1"/>
  <c r="Q94"/>
  <c r="Q95"/>
  <c r="Q101" s="1"/>
  <c r="Q96"/>
  <c r="Q102" s="1"/>
  <c r="Q97"/>
  <c r="Q103" s="1"/>
  <c r="Q100"/>
  <c r="Q106"/>
  <c r="Q107"/>
  <c r="Q108"/>
  <c r="Q109"/>
  <c r="Q111"/>
  <c r="Q112" s="1"/>
  <c r="Q117"/>
  <c r="Q118"/>
  <c r="Q120"/>
  <c r="Q121"/>
  <c r="Q122"/>
  <c r="Q125"/>
  <c r="Q126"/>
  <c r="Q127"/>
  <c r="Q128"/>
  <c r="Q130"/>
  <c r="Q131"/>
  <c r="Q133"/>
  <c r="Q134" s="1"/>
  <c r="Q137"/>
  <c r="Q138"/>
  <c r="T17"/>
  <c r="T19"/>
  <c r="T24"/>
  <c r="T35"/>
  <c r="T42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8"/>
  <c r="Q11"/>
  <c r="Q26"/>
  <c r="Q28"/>
  <c r="Q30"/>
  <c r="Q37"/>
  <c r="Q39"/>
  <c r="Q41"/>
  <c r="Q43"/>
  <c r="Q113" l="1"/>
  <c r="Q114" s="1"/>
  <c r="Q115"/>
  <c r="Q179"/>
  <c r="Q174"/>
  <c r="Q181" s="1"/>
  <c r="Q182" s="1"/>
  <c r="Q195"/>
  <c r="Q66"/>
  <c r="Q176" s="1"/>
  <c r="AE52"/>
  <c r="H52"/>
  <c r="H91" s="1"/>
  <c r="I52"/>
  <c r="I91" s="1"/>
  <c r="J52"/>
  <c r="J91" s="1"/>
  <c r="K52"/>
  <c r="K91" s="1"/>
  <c r="L52"/>
  <c r="L91" s="1"/>
  <c r="M52"/>
  <c r="M91" s="1"/>
  <c r="N52"/>
  <c r="N91" s="1"/>
  <c r="O52"/>
  <c r="O91" s="1"/>
  <c r="P52"/>
  <c r="P91" s="1"/>
  <c r="G52"/>
  <c r="G91" s="1"/>
  <c r="P43"/>
  <c r="O43"/>
  <c r="N43"/>
  <c r="M43"/>
  <c r="L43"/>
  <c r="K43"/>
  <c r="J43"/>
  <c r="I43"/>
  <c r="H43"/>
  <c r="G43"/>
  <c r="R52" l="1"/>
  <c r="R91"/>
  <c r="S44"/>
  <c r="T44" s="1"/>
  <c r="K191" l="1"/>
  <c r="K190"/>
  <c r="K187"/>
  <c r="K186"/>
  <c r="AE38" l="1"/>
  <c r="S38"/>
  <c r="P39"/>
  <c r="O39"/>
  <c r="N39"/>
  <c r="M39"/>
  <c r="L39"/>
  <c r="K39"/>
  <c r="J39"/>
  <c r="I39"/>
  <c r="H39"/>
  <c r="G39"/>
  <c r="T38" l="1"/>
  <c r="U38" l="1"/>
  <c r="V38" s="1"/>
  <c r="W38" s="1"/>
  <c r="T195"/>
  <c r="T196" s="1"/>
  <c r="K194"/>
  <c r="X38" l="1"/>
  <c r="U209"/>
  <c r="U210" s="1"/>
  <c r="D207"/>
  <c r="G218" s="1"/>
  <c r="K218" s="1"/>
  <c r="H207"/>
  <c r="L26"/>
  <c r="L106"/>
  <c r="J106"/>
  <c r="H106"/>
  <c r="F106"/>
  <c r="G106"/>
  <c r="I106"/>
  <c r="K106"/>
  <c r="M106"/>
  <c r="N106"/>
  <c r="O106"/>
  <c r="P106"/>
  <c r="H138"/>
  <c r="I138"/>
  <c r="J138"/>
  <c r="K138"/>
  <c r="L138"/>
  <c r="M138"/>
  <c r="N138"/>
  <c r="O138"/>
  <c r="P138"/>
  <c r="H137"/>
  <c r="I137"/>
  <c r="J137"/>
  <c r="K137"/>
  <c r="L137"/>
  <c r="M137"/>
  <c r="N137"/>
  <c r="O137"/>
  <c r="P137"/>
  <c r="G222"/>
  <c r="G223" s="1"/>
  <c r="AE55"/>
  <c r="C55"/>
  <c r="D55"/>
  <c r="E55"/>
  <c r="F55"/>
  <c r="H55"/>
  <c r="I55"/>
  <c r="J55"/>
  <c r="K55"/>
  <c r="L55"/>
  <c r="M55"/>
  <c r="N55"/>
  <c r="O55"/>
  <c r="P55"/>
  <c r="G55"/>
  <c r="H213"/>
  <c r="D212"/>
  <c r="G219" s="1"/>
  <c r="K219" s="1"/>
  <c r="H211"/>
  <c r="I211" s="1"/>
  <c r="J211" s="1"/>
  <c r="J212" s="1"/>
  <c r="H208"/>
  <c r="H206"/>
  <c r="H205"/>
  <c r="I205" s="1"/>
  <c r="J205" s="1"/>
  <c r="G224" l="1"/>
  <c r="G221"/>
  <c r="Y38"/>
  <c r="D214"/>
  <c r="K222"/>
  <c r="R55"/>
  <c r="K221"/>
  <c r="I206"/>
  <c r="J206" s="1"/>
  <c r="I213"/>
  <c r="J213" s="1"/>
  <c r="J214" s="1"/>
  <c r="H90"/>
  <c r="I90"/>
  <c r="J90"/>
  <c r="K90"/>
  <c r="L90"/>
  <c r="M90"/>
  <c r="N90"/>
  <c r="O90"/>
  <c r="P90"/>
  <c r="G90"/>
  <c r="H41"/>
  <c r="I41"/>
  <c r="J41"/>
  <c r="K41"/>
  <c r="L41"/>
  <c r="M41"/>
  <c r="N41"/>
  <c r="O41"/>
  <c r="P41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38"/>
  <c r="G137"/>
  <c r="AE14"/>
  <c r="S14"/>
  <c r="U206"/>
  <c r="U205"/>
  <c r="O206"/>
  <c r="O209" s="1"/>
  <c r="O205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G94"/>
  <c r="G100" s="1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G95"/>
  <c r="G101" s="1"/>
  <c r="H133"/>
  <c r="H134" s="1"/>
  <c r="I133"/>
  <c r="I134" s="1"/>
  <c r="J133"/>
  <c r="J134" s="1"/>
  <c r="K133"/>
  <c r="K134" s="1"/>
  <c r="L133"/>
  <c r="L134" s="1"/>
  <c r="M133"/>
  <c r="M134" s="1"/>
  <c r="N133"/>
  <c r="N134" s="1"/>
  <c r="O133"/>
  <c r="O134" s="1"/>
  <c r="P133"/>
  <c r="P134" s="1"/>
  <c r="G133"/>
  <c r="G134" s="1"/>
  <c r="R100" l="1"/>
  <c r="R103"/>
  <c r="T14"/>
  <c r="U14" s="1"/>
  <c r="V14" s="1"/>
  <c r="W14" s="1"/>
  <c r="X14" s="1"/>
  <c r="Y14" s="1"/>
  <c r="Z14" s="1"/>
  <c r="AA14" s="1"/>
  <c r="AB14" s="1"/>
  <c r="AC14" s="1"/>
  <c r="Z38"/>
  <c r="R101"/>
  <c r="I207"/>
  <c r="J207" s="1"/>
  <c r="I208" s="1"/>
  <c r="J208" s="1"/>
  <c r="R137"/>
  <c r="R138"/>
  <c r="R90"/>
  <c r="R97"/>
  <c r="R94"/>
  <c r="R134"/>
  <c r="R133"/>
  <c r="R95"/>
  <c r="P89"/>
  <c r="P88"/>
  <c r="E89"/>
  <c r="F89"/>
  <c r="H89"/>
  <c r="I89"/>
  <c r="J89"/>
  <c r="K89"/>
  <c r="L89"/>
  <c r="M89"/>
  <c r="N89"/>
  <c r="O89"/>
  <c r="G89"/>
  <c r="G88"/>
  <c r="H131"/>
  <c r="I131"/>
  <c r="J131"/>
  <c r="K131"/>
  <c r="L131"/>
  <c r="M131"/>
  <c r="N131"/>
  <c r="O131"/>
  <c r="P131"/>
  <c r="G131"/>
  <c r="H130"/>
  <c r="I130"/>
  <c r="J130"/>
  <c r="K130"/>
  <c r="L130"/>
  <c r="M130"/>
  <c r="N130"/>
  <c r="O130"/>
  <c r="P130"/>
  <c r="G130"/>
  <c r="H127"/>
  <c r="I127"/>
  <c r="J127"/>
  <c r="K127"/>
  <c r="L127"/>
  <c r="M127"/>
  <c r="N127"/>
  <c r="O127"/>
  <c r="P127"/>
  <c r="G127"/>
  <c r="H128"/>
  <c r="I128"/>
  <c r="J128"/>
  <c r="K128"/>
  <c r="L128"/>
  <c r="M128"/>
  <c r="N128"/>
  <c r="O128"/>
  <c r="P128"/>
  <c r="G128"/>
  <c r="H126"/>
  <c r="I126"/>
  <c r="J126"/>
  <c r="K126"/>
  <c r="L126"/>
  <c r="M126"/>
  <c r="N126"/>
  <c r="O126"/>
  <c r="P126"/>
  <c r="G126"/>
  <c r="H125"/>
  <c r="I125"/>
  <c r="J125"/>
  <c r="K125"/>
  <c r="L125"/>
  <c r="M125"/>
  <c r="N125"/>
  <c r="O125"/>
  <c r="P125"/>
  <c r="G125"/>
  <c r="S172"/>
  <c r="H122"/>
  <c r="I122"/>
  <c r="J122"/>
  <c r="K122"/>
  <c r="L122"/>
  <c r="M122"/>
  <c r="N122"/>
  <c r="O122"/>
  <c r="P122"/>
  <c r="G122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G120"/>
  <c r="B122"/>
  <c r="B121"/>
  <c r="AE32"/>
  <c r="S32"/>
  <c r="G109"/>
  <c r="H109"/>
  <c r="I109"/>
  <c r="J109"/>
  <c r="K109"/>
  <c r="L109"/>
  <c r="M109"/>
  <c r="N109"/>
  <c r="O109"/>
  <c r="P109"/>
  <c r="T210"/>
  <c r="N209"/>
  <c r="T207"/>
  <c r="U207" s="1"/>
  <c r="U212" s="1"/>
  <c r="N207"/>
  <c r="O207" s="1"/>
  <c r="O212" s="1"/>
  <c r="F118"/>
  <c r="H118"/>
  <c r="I118"/>
  <c r="J118"/>
  <c r="K118"/>
  <c r="L118"/>
  <c r="M118"/>
  <c r="N118"/>
  <c r="O118"/>
  <c r="P118"/>
  <c r="G118"/>
  <c r="F117"/>
  <c r="H117"/>
  <c r="I117"/>
  <c r="J117"/>
  <c r="K117"/>
  <c r="L117"/>
  <c r="M117"/>
  <c r="N117"/>
  <c r="O117"/>
  <c r="P117"/>
  <c r="G117"/>
  <c r="J210" l="1"/>
  <c r="I209"/>
  <c r="J209" s="1"/>
  <c r="AD14"/>
  <c r="AF14"/>
  <c r="T32"/>
  <c r="U32" s="1"/>
  <c r="V32" s="1"/>
  <c r="W32" s="1"/>
  <c r="X32" s="1"/>
  <c r="Y32" s="1"/>
  <c r="Z32" s="1"/>
  <c r="AA32" s="1"/>
  <c r="AB32" s="1"/>
  <c r="AC32" s="1"/>
  <c r="AD32" s="1"/>
  <c r="AA38"/>
  <c r="R128"/>
  <c r="R89"/>
  <c r="R125"/>
  <c r="R131"/>
  <c r="R130"/>
  <c r="R126"/>
  <c r="R127"/>
  <c r="R120"/>
  <c r="R121"/>
  <c r="R122"/>
  <c r="R109"/>
  <c r="N212"/>
  <c r="T212"/>
  <c r="R118"/>
  <c r="R117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S40"/>
  <c r="T40" s="1"/>
  <c r="T52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4"/>
  <c r="AE56"/>
  <c r="AE57"/>
  <c r="AE58"/>
  <c r="AE60"/>
  <c r="AE61"/>
  <c r="AE62"/>
  <c r="AE64"/>
  <c r="AE65"/>
  <c r="AE66"/>
  <c r="AE67"/>
  <c r="AE69"/>
  <c r="AE70"/>
  <c r="AE72"/>
  <c r="AE74"/>
  <c r="AE75"/>
  <c r="AE76"/>
  <c r="AE77"/>
  <c r="AE78"/>
  <c r="AE80"/>
  <c r="AE81"/>
  <c r="AE82"/>
  <c r="AE7"/>
  <c r="AE6"/>
  <c r="AF32" l="1"/>
  <c r="T91"/>
  <c r="T31"/>
  <c r="U31" s="1"/>
  <c r="V31" s="1"/>
  <c r="W31" s="1"/>
  <c r="X31" s="1"/>
  <c r="Y31" s="1"/>
  <c r="Z31" s="1"/>
  <c r="AA31" s="1"/>
  <c r="AB31" s="1"/>
  <c r="AC31" s="1"/>
  <c r="AB38"/>
  <c r="R106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G93"/>
  <c r="G99" s="1"/>
  <c r="L30"/>
  <c r="K30"/>
  <c r="J30"/>
  <c r="I30"/>
  <c r="H30"/>
  <c r="G30"/>
  <c r="R99" l="1"/>
  <c r="AC38"/>
  <c r="R102"/>
  <c r="U29"/>
  <c r="R96"/>
  <c r="R93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AF38" l="1"/>
  <c r="AD38"/>
  <c r="V29"/>
  <c r="R107"/>
  <c r="R108"/>
  <c r="AF69"/>
  <c r="W29" l="1"/>
  <c r="C180"/>
  <c r="D180"/>
  <c r="E180"/>
  <c r="F180"/>
  <c r="G180"/>
  <c r="H180"/>
  <c r="I180"/>
  <c r="J180"/>
  <c r="K180"/>
  <c r="L180"/>
  <c r="M180"/>
  <c r="N180"/>
  <c r="O180"/>
  <c r="P180"/>
  <c r="C9" i="15"/>
  <c r="D70" i="18"/>
  <c r="E70"/>
  <c r="E111" s="1"/>
  <c r="E112" s="1"/>
  <c r="F70"/>
  <c r="F111" s="1"/>
  <c r="F112" s="1"/>
  <c r="F115" s="1"/>
  <c r="G70"/>
  <c r="G111" s="1"/>
  <c r="G112" s="1"/>
  <c r="G115" s="1"/>
  <c r="H70"/>
  <c r="H111" s="1"/>
  <c r="H112" s="1"/>
  <c r="H115" s="1"/>
  <c r="I70"/>
  <c r="I111" s="1"/>
  <c r="I112" s="1"/>
  <c r="I115" s="1"/>
  <c r="J70"/>
  <c r="J111" s="1"/>
  <c r="J112" s="1"/>
  <c r="J115" s="1"/>
  <c r="K70"/>
  <c r="K111" s="1"/>
  <c r="K112" s="1"/>
  <c r="K115" s="1"/>
  <c r="L70"/>
  <c r="L111" s="1"/>
  <c r="L112" s="1"/>
  <c r="L115" s="1"/>
  <c r="M70"/>
  <c r="M111" s="1"/>
  <c r="M112" s="1"/>
  <c r="M115" s="1"/>
  <c r="N70"/>
  <c r="N111" s="1"/>
  <c r="N112" s="1"/>
  <c r="N115" s="1"/>
  <c r="O70"/>
  <c r="O111" s="1"/>
  <c r="O112" s="1"/>
  <c r="O115" s="1"/>
  <c r="P70"/>
  <c r="P111" s="1"/>
  <c r="C70"/>
  <c r="T70" l="1"/>
  <c r="T111" s="1"/>
  <c r="T112" s="1"/>
  <c r="T115" s="1"/>
  <c r="X29"/>
  <c r="R180"/>
  <c r="N113"/>
  <c r="N114" s="1"/>
  <c r="J113"/>
  <c r="J114" s="1"/>
  <c r="L113"/>
  <c r="L114" s="1"/>
  <c r="H113"/>
  <c r="H114" s="1"/>
  <c r="M113"/>
  <c r="M114" s="1"/>
  <c r="I113"/>
  <c r="I114" s="1"/>
  <c r="F113"/>
  <c r="F114" s="1"/>
  <c r="O113"/>
  <c r="O114" s="1"/>
  <c r="K113"/>
  <c r="K114" s="1"/>
  <c r="G113"/>
  <c r="G114" s="1"/>
  <c r="P112"/>
  <c r="P115" s="1"/>
  <c r="R115" s="1"/>
  <c r="R111"/>
  <c r="U44"/>
  <c r="V44" l="1"/>
  <c r="Y29"/>
  <c r="P113"/>
  <c r="R112"/>
  <c r="U70"/>
  <c r="C80"/>
  <c r="D80"/>
  <c r="E80"/>
  <c r="F80"/>
  <c r="G80"/>
  <c r="G135" s="1"/>
  <c r="H80"/>
  <c r="H135" s="1"/>
  <c r="I80"/>
  <c r="I135" s="1"/>
  <c r="J80"/>
  <c r="J135" s="1"/>
  <c r="K80"/>
  <c r="K135" s="1"/>
  <c r="L80"/>
  <c r="L135" s="1"/>
  <c r="M80"/>
  <c r="M135" s="1"/>
  <c r="N80"/>
  <c r="N135" s="1"/>
  <c r="O80"/>
  <c r="O135" s="1"/>
  <c r="C81"/>
  <c r="D81"/>
  <c r="E81"/>
  <c r="F81"/>
  <c r="G81"/>
  <c r="H81"/>
  <c r="I81"/>
  <c r="J81"/>
  <c r="K81"/>
  <c r="L81"/>
  <c r="M81"/>
  <c r="N81"/>
  <c r="O81"/>
  <c r="C82"/>
  <c r="D82"/>
  <c r="E82"/>
  <c r="F82"/>
  <c r="G82"/>
  <c r="H82"/>
  <c r="I82"/>
  <c r="J82"/>
  <c r="K82"/>
  <c r="L82"/>
  <c r="M82"/>
  <c r="N82"/>
  <c r="O82"/>
  <c r="P82"/>
  <c r="P81"/>
  <c r="P80"/>
  <c r="P135" s="1"/>
  <c r="E88"/>
  <c r="F88"/>
  <c r="H88"/>
  <c r="I88"/>
  <c r="J88"/>
  <c r="K88"/>
  <c r="L88"/>
  <c r="M88"/>
  <c r="N88"/>
  <c r="O88"/>
  <c r="E86"/>
  <c r="E87"/>
  <c r="F87"/>
  <c r="G87"/>
  <c r="H87"/>
  <c r="I87"/>
  <c r="J87"/>
  <c r="K87"/>
  <c r="L87"/>
  <c r="M87"/>
  <c r="N87"/>
  <c r="O87"/>
  <c r="F86"/>
  <c r="G86"/>
  <c r="H86"/>
  <c r="I86"/>
  <c r="J86"/>
  <c r="K86"/>
  <c r="L86"/>
  <c r="M86"/>
  <c r="N86"/>
  <c r="O86"/>
  <c r="P87"/>
  <c r="G41"/>
  <c r="G28"/>
  <c r="G8"/>
  <c r="G26"/>
  <c r="W44" l="1"/>
  <c r="V70"/>
  <c r="R135"/>
  <c r="Z29"/>
  <c r="R82"/>
  <c r="R80"/>
  <c r="R81"/>
  <c r="R87"/>
  <c r="R88"/>
  <c r="P86"/>
  <c r="R86" s="1"/>
  <c r="C198"/>
  <c r="D198"/>
  <c r="E198"/>
  <c r="F198"/>
  <c r="C199"/>
  <c r="D199"/>
  <c r="E199"/>
  <c r="F199"/>
  <c r="C200"/>
  <c r="D200"/>
  <c r="E200"/>
  <c r="F200"/>
  <c r="H200"/>
  <c r="I200"/>
  <c r="J200"/>
  <c r="K200"/>
  <c r="L200"/>
  <c r="M200"/>
  <c r="N200"/>
  <c r="O200"/>
  <c r="P200"/>
  <c r="G200"/>
  <c r="H199"/>
  <c r="I199"/>
  <c r="J199"/>
  <c r="K199"/>
  <c r="L199"/>
  <c r="M199"/>
  <c r="N199"/>
  <c r="O199"/>
  <c r="P199"/>
  <c r="G199"/>
  <c r="H198"/>
  <c r="I198"/>
  <c r="J198"/>
  <c r="K198"/>
  <c r="L198"/>
  <c r="M198"/>
  <c r="N198"/>
  <c r="O198"/>
  <c r="P198"/>
  <c r="G198"/>
  <c r="H51"/>
  <c r="I51"/>
  <c r="J51"/>
  <c r="K51"/>
  <c r="L51"/>
  <c r="M51"/>
  <c r="N51"/>
  <c r="O51"/>
  <c r="P51"/>
  <c r="C51"/>
  <c r="D51"/>
  <c r="E51"/>
  <c r="F51"/>
  <c r="G51"/>
  <c r="G54"/>
  <c r="H50"/>
  <c r="H173" s="1"/>
  <c r="I50"/>
  <c r="I173" s="1"/>
  <c r="J50"/>
  <c r="J173" s="1"/>
  <c r="K50"/>
  <c r="K173" s="1"/>
  <c r="L50"/>
  <c r="L173" s="1"/>
  <c r="M50"/>
  <c r="M173" s="1"/>
  <c r="N50"/>
  <c r="N173" s="1"/>
  <c r="O50"/>
  <c r="O173" s="1"/>
  <c r="P50"/>
  <c r="P173" s="1"/>
  <c r="C50"/>
  <c r="C173" s="1"/>
  <c r="D50"/>
  <c r="D173" s="1"/>
  <c r="E50"/>
  <c r="E173" s="1"/>
  <c r="F50"/>
  <c r="F173" s="1"/>
  <c r="G50"/>
  <c r="G173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T94"/>
  <c r="T100" s="1"/>
  <c r="G179" l="1"/>
  <c r="X44"/>
  <c r="W70"/>
  <c r="R173"/>
  <c r="AA29"/>
  <c r="U36"/>
  <c r="U94" s="1"/>
  <c r="U100" s="1"/>
  <c r="R200"/>
  <c r="R51"/>
  <c r="R50"/>
  <c r="R199"/>
  <c r="R198"/>
  <c r="Y44" l="1"/>
  <c r="X70"/>
  <c r="AB29"/>
  <c r="V36"/>
  <c r="V94" s="1"/>
  <c r="V100" s="1"/>
  <c r="I77"/>
  <c r="J77"/>
  <c r="K77"/>
  <c r="L77"/>
  <c r="M77"/>
  <c r="N77"/>
  <c r="O77"/>
  <c r="P77"/>
  <c r="I78"/>
  <c r="J78"/>
  <c r="K78"/>
  <c r="L78"/>
  <c r="M78"/>
  <c r="N78"/>
  <c r="O78"/>
  <c r="P78"/>
  <c r="I72"/>
  <c r="I74" s="1"/>
  <c r="J72"/>
  <c r="J74" s="1"/>
  <c r="K72"/>
  <c r="K74" s="1"/>
  <c r="L72"/>
  <c r="L74" s="1"/>
  <c r="M72"/>
  <c r="M74" s="1"/>
  <c r="N72"/>
  <c r="N74" s="1"/>
  <c r="O72"/>
  <c r="O74" s="1"/>
  <c r="P72"/>
  <c r="P74" s="1"/>
  <c r="I75"/>
  <c r="J75"/>
  <c r="K75"/>
  <c r="L75"/>
  <c r="M75"/>
  <c r="N75"/>
  <c r="O75"/>
  <c r="P75"/>
  <c r="I76"/>
  <c r="J76"/>
  <c r="K76"/>
  <c r="L76"/>
  <c r="M76"/>
  <c r="N76"/>
  <c r="O76"/>
  <c r="P76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H78"/>
  <c r="H77"/>
  <c r="U22"/>
  <c r="V22" s="1"/>
  <c r="W22" s="1"/>
  <c r="X22" s="1"/>
  <c r="Y22" s="1"/>
  <c r="Z22" s="1"/>
  <c r="AA22" s="1"/>
  <c r="AB22" s="1"/>
  <c r="AC22" s="1"/>
  <c r="C72"/>
  <c r="C74" s="1"/>
  <c r="D72"/>
  <c r="D74" s="1"/>
  <c r="E72"/>
  <c r="E74" s="1"/>
  <c r="F72"/>
  <c r="F74" s="1"/>
  <c r="G72"/>
  <c r="G74" s="1"/>
  <c r="H72"/>
  <c r="H74" s="1"/>
  <c r="H76"/>
  <c r="H75"/>
  <c r="Z44" l="1"/>
  <c r="Y70"/>
  <c r="U23"/>
  <c r="T97"/>
  <c r="T103" s="1"/>
  <c r="AC29"/>
  <c r="AF31"/>
  <c r="AD31"/>
  <c r="AD22"/>
  <c r="AF22"/>
  <c r="W36"/>
  <c r="W94" s="1"/>
  <c r="W100" s="1"/>
  <c r="R77"/>
  <c r="R78"/>
  <c r="R76"/>
  <c r="R74"/>
  <c r="R75"/>
  <c r="R72"/>
  <c r="T55"/>
  <c r="U21"/>
  <c r="R70"/>
  <c r="R172"/>
  <c r="Z70" l="1"/>
  <c r="AA44"/>
  <c r="V23"/>
  <c r="U97"/>
  <c r="U103" s="1"/>
  <c r="AF29"/>
  <c r="AD29"/>
  <c r="U20"/>
  <c r="T72"/>
  <c r="V21"/>
  <c r="C19" i="15"/>
  <c r="U9" i="18"/>
  <c r="V9" s="1"/>
  <c r="W9" s="1"/>
  <c r="X9" s="1"/>
  <c r="Y9" s="1"/>
  <c r="Z9" s="1"/>
  <c r="AA9" s="1"/>
  <c r="AB9" s="1"/>
  <c r="AC9" s="1"/>
  <c r="AF9" s="1"/>
  <c r="T90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X94" s="1"/>
  <c r="X100" s="1"/>
  <c r="O68"/>
  <c r="O177" s="1"/>
  <c r="O67"/>
  <c r="O65"/>
  <c r="O64"/>
  <c r="O62"/>
  <c r="O178" s="1"/>
  <c r="O61"/>
  <c r="O60"/>
  <c r="O58"/>
  <c r="O57"/>
  <c r="O175" s="1"/>
  <c r="O56"/>
  <c r="O54"/>
  <c r="AA70" l="1"/>
  <c r="AB44"/>
  <c r="U72"/>
  <c r="T127"/>
  <c r="T137"/>
  <c r="T128"/>
  <c r="T138"/>
  <c r="W23"/>
  <c r="V97"/>
  <c r="V103" s="1"/>
  <c r="T121"/>
  <c r="T122"/>
  <c r="T120"/>
  <c r="T109"/>
  <c r="P114"/>
  <c r="R114" s="1"/>
  <c r="R113"/>
  <c r="T93"/>
  <c r="T99" s="1"/>
  <c r="T118"/>
  <c r="T117"/>
  <c r="U18"/>
  <c r="O174"/>
  <c r="O181" s="1"/>
  <c r="O182" s="1"/>
  <c r="O179"/>
  <c r="V20"/>
  <c r="U27"/>
  <c r="Y36"/>
  <c r="Y94" s="1"/>
  <c r="Y100" s="1"/>
  <c r="U25"/>
  <c r="U90" s="1"/>
  <c r="T86"/>
  <c r="W21"/>
  <c r="AD33"/>
  <c r="AD34"/>
  <c r="AD9"/>
  <c r="O66"/>
  <c r="O176" s="1"/>
  <c r="D62"/>
  <c r="E62"/>
  <c r="F62"/>
  <c r="G62"/>
  <c r="G178" s="1"/>
  <c r="H62"/>
  <c r="H178" s="1"/>
  <c r="I62"/>
  <c r="I178" s="1"/>
  <c r="J62"/>
  <c r="J178" s="1"/>
  <c r="K62"/>
  <c r="K178" s="1"/>
  <c r="L62"/>
  <c r="L178" s="1"/>
  <c r="M62"/>
  <c r="M178" s="1"/>
  <c r="N62"/>
  <c r="N178" s="1"/>
  <c r="P62"/>
  <c r="C62"/>
  <c r="C61"/>
  <c r="AC44" l="1"/>
  <c r="AB70"/>
  <c r="U128"/>
  <c r="U138"/>
  <c r="U127"/>
  <c r="U137"/>
  <c r="X23"/>
  <c r="W97"/>
  <c r="W103" s="1"/>
  <c r="U120"/>
  <c r="U122"/>
  <c r="U121"/>
  <c r="U109"/>
  <c r="U93"/>
  <c r="U99" s="1"/>
  <c r="U118"/>
  <c r="U117"/>
  <c r="V18"/>
  <c r="W20"/>
  <c r="V72"/>
  <c r="V27"/>
  <c r="V25"/>
  <c r="U86"/>
  <c r="Z36"/>
  <c r="Z94" s="1"/>
  <c r="Z100" s="1"/>
  <c r="X21"/>
  <c r="P178"/>
  <c r="R178" s="1"/>
  <c r="R62"/>
  <c r="D61"/>
  <c r="E61"/>
  <c r="F61"/>
  <c r="G61"/>
  <c r="H61"/>
  <c r="I61"/>
  <c r="J61"/>
  <c r="K61"/>
  <c r="L61"/>
  <c r="M61"/>
  <c r="N61"/>
  <c r="P61"/>
  <c r="D60"/>
  <c r="E60"/>
  <c r="F60"/>
  <c r="G60"/>
  <c r="H60"/>
  <c r="I60"/>
  <c r="J60"/>
  <c r="K60"/>
  <c r="L60"/>
  <c r="M60"/>
  <c r="N60"/>
  <c r="P60"/>
  <c r="C60"/>
  <c r="AF44" l="1"/>
  <c r="AC70"/>
  <c r="AD44"/>
  <c r="V127"/>
  <c r="V137"/>
  <c r="V128"/>
  <c r="V138"/>
  <c r="V90"/>
  <c r="Y23"/>
  <c r="X97"/>
  <c r="X103" s="1"/>
  <c r="V122"/>
  <c r="V121"/>
  <c r="V120"/>
  <c r="V109"/>
  <c r="V93"/>
  <c r="V99" s="1"/>
  <c r="V118"/>
  <c r="V117"/>
  <c r="W18"/>
  <c r="X20"/>
  <c r="W72"/>
  <c r="W27"/>
  <c r="W25"/>
  <c r="W90" s="1"/>
  <c r="V86"/>
  <c r="AA36"/>
  <c r="AA94" s="1"/>
  <c r="AA100" s="1"/>
  <c r="Y21"/>
  <c r="R60"/>
  <c r="R61"/>
  <c r="C46" i="15"/>
  <c r="T159" i="18" l="1"/>
  <c r="Q185" s="1"/>
  <c r="AF70"/>
  <c r="U159" s="1"/>
  <c r="AD70"/>
  <c r="W128"/>
  <c r="W138"/>
  <c r="W127"/>
  <c r="W137"/>
  <c r="Z23"/>
  <c r="Y97"/>
  <c r="Y103" s="1"/>
  <c r="W109"/>
  <c r="W122"/>
  <c r="W121"/>
  <c r="W120"/>
  <c r="W93"/>
  <c r="W99" s="1"/>
  <c r="W118"/>
  <c r="W117"/>
  <c r="X18"/>
  <c r="Y20"/>
  <c r="X72"/>
  <c r="X27"/>
  <c r="X25"/>
  <c r="W86"/>
  <c r="AB36"/>
  <c r="AB94" s="1"/>
  <c r="AB100" s="1"/>
  <c r="Z21"/>
  <c r="T172"/>
  <c r="T180" s="1"/>
  <c r="C54"/>
  <c r="D54"/>
  <c r="E54"/>
  <c r="F54"/>
  <c r="H54"/>
  <c r="I54"/>
  <c r="J54"/>
  <c r="K54"/>
  <c r="L54"/>
  <c r="L179" s="1"/>
  <c r="M54"/>
  <c r="N54"/>
  <c r="N179" s="1"/>
  <c r="P54"/>
  <c r="D68"/>
  <c r="D177" s="1"/>
  <c r="E68"/>
  <c r="E177" s="1"/>
  <c r="F68"/>
  <c r="F177" s="1"/>
  <c r="G68"/>
  <c r="H68"/>
  <c r="H177" s="1"/>
  <c r="I68"/>
  <c r="I177" s="1"/>
  <c r="J68"/>
  <c r="J177" s="1"/>
  <c r="K68"/>
  <c r="K177" s="1"/>
  <c r="L68"/>
  <c r="L177" s="1"/>
  <c r="M68"/>
  <c r="M177" s="1"/>
  <c r="N68"/>
  <c r="P68"/>
  <c r="D67"/>
  <c r="E67"/>
  <c r="F67"/>
  <c r="G67"/>
  <c r="H67"/>
  <c r="I67"/>
  <c r="J67"/>
  <c r="K67"/>
  <c r="L67"/>
  <c r="M67"/>
  <c r="N67"/>
  <c r="P67"/>
  <c r="D65"/>
  <c r="E65"/>
  <c r="F65"/>
  <c r="G65"/>
  <c r="H65"/>
  <c r="I65"/>
  <c r="J65"/>
  <c r="K65"/>
  <c r="L65"/>
  <c r="M65"/>
  <c r="N65"/>
  <c r="P65"/>
  <c r="D64"/>
  <c r="D66" s="1"/>
  <c r="D176" s="1"/>
  <c r="E64"/>
  <c r="E66" s="1"/>
  <c r="E176" s="1"/>
  <c r="F64"/>
  <c r="G64"/>
  <c r="H64"/>
  <c r="I64"/>
  <c r="J64"/>
  <c r="K64"/>
  <c r="L64"/>
  <c r="M64"/>
  <c r="N64"/>
  <c r="P64"/>
  <c r="D58"/>
  <c r="E58"/>
  <c r="F58"/>
  <c r="G58"/>
  <c r="H58"/>
  <c r="I58"/>
  <c r="J58"/>
  <c r="K58"/>
  <c r="L58"/>
  <c r="M58"/>
  <c r="N58"/>
  <c r="P58"/>
  <c r="D57"/>
  <c r="D175" s="1"/>
  <c r="E57"/>
  <c r="E175" s="1"/>
  <c r="F57"/>
  <c r="F175" s="1"/>
  <c r="G57"/>
  <c r="H57"/>
  <c r="H175" s="1"/>
  <c r="I57"/>
  <c r="I175" s="1"/>
  <c r="J57"/>
  <c r="J175" s="1"/>
  <c r="K57"/>
  <c r="K175" s="1"/>
  <c r="L57"/>
  <c r="L175" s="1"/>
  <c r="M57"/>
  <c r="M175" s="1"/>
  <c r="N57"/>
  <c r="P57"/>
  <c r="C68"/>
  <c r="C177" s="1"/>
  <c r="C67"/>
  <c r="C65"/>
  <c r="C64"/>
  <c r="C58"/>
  <c r="C57"/>
  <c r="C175" s="1"/>
  <c r="D56"/>
  <c r="E56"/>
  <c r="F56"/>
  <c r="G56"/>
  <c r="H56"/>
  <c r="I56"/>
  <c r="J56"/>
  <c r="K56"/>
  <c r="L56"/>
  <c r="M56"/>
  <c r="N56"/>
  <c r="P56"/>
  <c r="C56"/>
  <c r="T125"/>
  <c r="T133"/>
  <c r="T134" s="1"/>
  <c r="T95"/>
  <c r="T101" s="1"/>
  <c r="R141" l="1"/>
  <c r="Q194" s="1"/>
  <c r="T106"/>
  <c r="S159"/>
  <c r="P185" s="1"/>
  <c r="X127"/>
  <c r="X137"/>
  <c r="X90"/>
  <c r="X128"/>
  <c r="X138"/>
  <c r="AA23"/>
  <c r="Z97"/>
  <c r="Z103" s="1"/>
  <c r="T88"/>
  <c r="T89"/>
  <c r="T131"/>
  <c r="T130"/>
  <c r="T96"/>
  <c r="T102" s="1"/>
  <c r="T126"/>
  <c r="H179"/>
  <c r="H174"/>
  <c r="H181" s="1"/>
  <c r="H182" s="1"/>
  <c r="X109"/>
  <c r="X121"/>
  <c r="X120"/>
  <c r="X122"/>
  <c r="T108"/>
  <c r="T113"/>
  <c r="T114" s="1"/>
  <c r="X93"/>
  <c r="X99" s="1"/>
  <c r="X118"/>
  <c r="X117"/>
  <c r="T107"/>
  <c r="Y18"/>
  <c r="D174"/>
  <c r="D179"/>
  <c r="E174"/>
  <c r="E179"/>
  <c r="C174"/>
  <c r="C179"/>
  <c r="P174"/>
  <c r="P181" s="1"/>
  <c r="P179"/>
  <c r="R179" s="1"/>
  <c r="K174"/>
  <c r="K181" s="1"/>
  <c r="K182" s="1"/>
  <c r="K179"/>
  <c r="F174"/>
  <c r="F179"/>
  <c r="J174"/>
  <c r="J181" s="1"/>
  <c r="J182" s="1"/>
  <c r="J179"/>
  <c r="M174"/>
  <c r="M181" s="1"/>
  <c r="M182" s="1"/>
  <c r="M179"/>
  <c r="I174"/>
  <c r="I181" s="1"/>
  <c r="I182" s="1"/>
  <c r="I179"/>
  <c r="Z20"/>
  <c r="Y72"/>
  <c r="H66"/>
  <c r="H176" s="1"/>
  <c r="Y27"/>
  <c r="U12"/>
  <c r="U15"/>
  <c r="U125" s="1"/>
  <c r="U13"/>
  <c r="U10"/>
  <c r="U16"/>
  <c r="U133" s="1"/>
  <c r="U134" s="1"/>
  <c r="U6"/>
  <c r="U7"/>
  <c r="Y25"/>
  <c r="Y90" s="1"/>
  <c r="X86"/>
  <c r="U40"/>
  <c r="T87"/>
  <c r="AC36"/>
  <c r="F66"/>
  <c r="F176" s="1"/>
  <c r="L66"/>
  <c r="L176" s="1"/>
  <c r="K66"/>
  <c r="K176" s="1"/>
  <c r="J66"/>
  <c r="J176" s="1"/>
  <c r="AA21"/>
  <c r="C66"/>
  <c r="C176" s="1"/>
  <c r="U172"/>
  <c r="U180" s="1"/>
  <c r="I66"/>
  <c r="I176" s="1"/>
  <c r="R56"/>
  <c r="G175"/>
  <c r="R57"/>
  <c r="R58"/>
  <c r="R65"/>
  <c r="R67"/>
  <c r="G174"/>
  <c r="G181" s="1"/>
  <c r="G182" s="1"/>
  <c r="R54"/>
  <c r="G177"/>
  <c r="R68"/>
  <c r="G66"/>
  <c r="R64"/>
  <c r="N175"/>
  <c r="N174"/>
  <c r="N181" s="1"/>
  <c r="N182" s="1"/>
  <c r="N177"/>
  <c r="P175"/>
  <c r="L174"/>
  <c r="L181" s="1"/>
  <c r="L182" s="1"/>
  <c r="N66"/>
  <c r="M66"/>
  <c r="M176" s="1"/>
  <c r="P177"/>
  <c r="P66"/>
  <c r="T65"/>
  <c r="C6" i="12"/>
  <c r="C26" i="15"/>
  <c r="C58"/>
  <c r="C57"/>
  <c r="C54"/>
  <c r="C53"/>
  <c r="C50"/>
  <c r="C49"/>
  <c r="C45"/>
  <c r="E178" i="18" l="1"/>
  <c r="E181"/>
  <c r="C178"/>
  <c r="C181"/>
  <c r="D178"/>
  <c r="D181"/>
  <c r="P194"/>
  <c r="T194"/>
  <c r="T193" s="1"/>
  <c r="F178"/>
  <c r="F181"/>
  <c r="P182"/>
  <c r="R181"/>
  <c r="U95"/>
  <c r="U101" s="1"/>
  <c r="U52"/>
  <c r="U91" s="1"/>
  <c r="U195"/>
  <c r="V195" s="1"/>
  <c r="W195" s="1"/>
  <c r="X195" s="1"/>
  <c r="Y195" s="1"/>
  <c r="Z195" s="1"/>
  <c r="AA195" s="1"/>
  <c r="AB195" s="1"/>
  <c r="AC195" s="1"/>
  <c r="AD195" s="1"/>
  <c r="AE195" s="1"/>
  <c r="AF195" s="1"/>
  <c r="AG195" s="1"/>
  <c r="AH195" s="1"/>
  <c r="AI195" s="1"/>
  <c r="AJ195" s="1"/>
  <c r="AK195" s="1"/>
  <c r="AL195" s="1"/>
  <c r="AM195" s="1"/>
  <c r="AN195" s="1"/>
  <c r="AO195" s="1"/>
  <c r="AP195" s="1"/>
  <c r="AQ195" s="1"/>
  <c r="AR195" s="1"/>
  <c r="AS195" s="1"/>
  <c r="AT195" s="1"/>
  <c r="U106"/>
  <c r="Y127"/>
  <c r="Y137"/>
  <c r="Y128"/>
  <c r="Y138"/>
  <c r="AF36"/>
  <c r="AC94"/>
  <c r="AB23"/>
  <c r="AA97"/>
  <c r="AA103" s="1"/>
  <c r="U131"/>
  <c r="U130"/>
  <c r="U96"/>
  <c r="U102" s="1"/>
  <c r="U126"/>
  <c r="U89"/>
  <c r="Y120"/>
  <c r="Y121"/>
  <c r="Y122"/>
  <c r="Y109"/>
  <c r="Y93"/>
  <c r="Y99" s="1"/>
  <c r="Y118"/>
  <c r="Y117"/>
  <c r="U107"/>
  <c r="U108"/>
  <c r="Z18"/>
  <c r="AA20"/>
  <c r="Z72"/>
  <c r="T64"/>
  <c r="T66" s="1"/>
  <c r="T81"/>
  <c r="T60"/>
  <c r="T62"/>
  <c r="T178" s="1"/>
  <c r="T68"/>
  <c r="T177" s="1"/>
  <c r="T78"/>
  <c r="T80"/>
  <c r="T135" s="1"/>
  <c r="T51"/>
  <c r="T50"/>
  <c r="T173" s="1"/>
  <c r="T61"/>
  <c r="T57"/>
  <c r="T58"/>
  <c r="T67"/>
  <c r="T56"/>
  <c r="T82"/>
  <c r="T54"/>
  <c r="T179" s="1"/>
  <c r="Z27"/>
  <c r="V15"/>
  <c r="V125" s="1"/>
  <c r="V13"/>
  <c r="V12"/>
  <c r="V16"/>
  <c r="V133" s="1"/>
  <c r="V134" s="1"/>
  <c r="V10"/>
  <c r="V7"/>
  <c r="V6"/>
  <c r="AD36"/>
  <c r="Z25"/>
  <c r="Z90" s="1"/>
  <c r="Y86"/>
  <c r="V40"/>
  <c r="U88"/>
  <c r="U87"/>
  <c r="U42"/>
  <c r="T75"/>
  <c r="T76"/>
  <c r="T77"/>
  <c r="T74"/>
  <c r="AB21"/>
  <c r="V172"/>
  <c r="V180" s="1"/>
  <c r="R175"/>
  <c r="R174"/>
  <c r="R177"/>
  <c r="G176"/>
  <c r="R66"/>
  <c r="N176"/>
  <c r="P176"/>
  <c r="C16" i="15"/>
  <c r="C21"/>
  <c r="C10"/>
  <c r="V95" i="18" l="1"/>
  <c r="V101" s="1"/>
  <c r="V52"/>
  <c r="V91" s="1"/>
  <c r="U196"/>
  <c r="V196" s="1"/>
  <c r="W196" s="1"/>
  <c r="X196" s="1"/>
  <c r="Y196" s="1"/>
  <c r="Z196" s="1"/>
  <c r="AA196" s="1"/>
  <c r="AB196" s="1"/>
  <c r="AC196" s="1"/>
  <c r="AD196" s="1"/>
  <c r="AE196" s="1"/>
  <c r="AF196" s="1"/>
  <c r="AG196" s="1"/>
  <c r="AH196" s="1"/>
  <c r="AI196" s="1"/>
  <c r="AJ196" s="1"/>
  <c r="AK196" s="1"/>
  <c r="AL196" s="1"/>
  <c r="AM196" s="1"/>
  <c r="AN196" s="1"/>
  <c r="AO196" s="1"/>
  <c r="AP196" s="1"/>
  <c r="AQ196" s="1"/>
  <c r="AR196" s="1"/>
  <c r="AS196" s="1"/>
  <c r="AT196" s="1"/>
  <c r="AD94"/>
  <c r="AC100"/>
  <c r="AD100" s="1"/>
  <c r="U194"/>
  <c r="V194" s="1"/>
  <c r="W194" s="1"/>
  <c r="X194" s="1"/>
  <c r="Y194" s="1"/>
  <c r="Z194" s="1"/>
  <c r="AA194" s="1"/>
  <c r="AB194" s="1"/>
  <c r="AC194" s="1"/>
  <c r="AD194" s="1"/>
  <c r="V106"/>
  <c r="U111"/>
  <c r="U112" s="1"/>
  <c r="U55"/>
  <c r="Z127"/>
  <c r="Z137"/>
  <c r="Z128"/>
  <c r="Z138"/>
  <c r="AC23"/>
  <c r="AB97"/>
  <c r="AB103" s="1"/>
  <c r="V96"/>
  <c r="V102" s="1"/>
  <c r="V126"/>
  <c r="V131"/>
  <c r="V130"/>
  <c r="V89"/>
  <c r="Z122"/>
  <c r="Z121"/>
  <c r="Z120"/>
  <c r="Z109"/>
  <c r="U64"/>
  <c r="Z93"/>
  <c r="Z99" s="1"/>
  <c r="Z118"/>
  <c r="Z117"/>
  <c r="V107"/>
  <c r="V108"/>
  <c r="U60"/>
  <c r="AA18"/>
  <c r="AB20"/>
  <c r="AA72"/>
  <c r="U62"/>
  <c r="U178" s="1"/>
  <c r="U68"/>
  <c r="U177" s="1"/>
  <c r="U78"/>
  <c r="U80"/>
  <c r="U135" s="1"/>
  <c r="U50"/>
  <c r="U173" s="1"/>
  <c r="U51"/>
  <c r="U57"/>
  <c r="U56"/>
  <c r="U67"/>
  <c r="U82"/>
  <c r="U61"/>
  <c r="U58"/>
  <c r="U54"/>
  <c r="U179" s="1"/>
  <c r="U65"/>
  <c r="U81"/>
  <c r="AA27"/>
  <c r="W13"/>
  <c r="W12"/>
  <c r="W15"/>
  <c r="W125" s="1"/>
  <c r="W10"/>
  <c r="W16"/>
  <c r="W133" s="1"/>
  <c r="W134" s="1"/>
  <c r="W6"/>
  <c r="W7"/>
  <c r="W40"/>
  <c r="V88"/>
  <c r="V87"/>
  <c r="AA25"/>
  <c r="AA90" s="1"/>
  <c r="Z86"/>
  <c r="V42"/>
  <c r="U77"/>
  <c r="U76"/>
  <c r="U75"/>
  <c r="U74"/>
  <c r="AC21"/>
  <c r="AF21" s="1"/>
  <c r="T176"/>
  <c r="W172"/>
  <c r="W180" s="1"/>
  <c r="T174"/>
  <c r="T181" s="1"/>
  <c r="T175"/>
  <c r="R176"/>
  <c r="D31" i="8"/>
  <c r="D29"/>
  <c r="D28"/>
  <c r="D13"/>
  <c r="D30" s="1"/>
  <c r="E14"/>
  <c r="F14" s="1"/>
  <c r="G14" s="1"/>
  <c r="H14" s="1"/>
  <c r="I14" s="1"/>
  <c r="U113" i="18" l="1"/>
  <c r="U114" s="1"/>
  <c r="U115"/>
  <c r="W95"/>
  <c r="W101" s="1"/>
  <c r="W52"/>
  <c r="W91" s="1"/>
  <c r="U193"/>
  <c r="V193" s="1"/>
  <c r="W193" s="1"/>
  <c r="X193" s="1"/>
  <c r="Y193" s="1"/>
  <c r="Z193" s="1"/>
  <c r="AA193" s="1"/>
  <c r="AB193" s="1"/>
  <c r="AC193" s="1"/>
  <c r="AD193" s="1"/>
  <c r="AE194"/>
  <c r="AF194" s="1"/>
  <c r="AG194" s="1"/>
  <c r="AH194" s="1"/>
  <c r="AI194" s="1"/>
  <c r="AJ194" s="1"/>
  <c r="AK194" s="1"/>
  <c r="AL194" s="1"/>
  <c r="AM194" s="1"/>
  <c r="AN194" s="1"/>
  <c r="AO194" s="1"/>
  <c r="AP194" s="1"/>
  <c r="AQ194" s="1"/>
  <c r="AR194" s="1"/>
  <c r="AS194" s="1"/>
  <c r="AT194" s="1"/>
  <c r="W106"/>
  <c r="V111"/>
  <c r="V112" s="1"/>
  <c r="V55"/>
  <c r="AA127"/>
  <c r="AA137"/>
  <c r="AA128"/>
  <c r="AA138"/>
  <c r="AF23"/>
  <c r="AC97"/>
  <c r="AD23"/>
  <c r="W89"/>
  <c r="W130"/>
  <c r="W131"/>
  <c r="W96"/>
  <c r="W102" s="1"/>
  <c r="W126"/>
  <c r="AA122"/>
  <c r="AA121"/>
  <c r="AA120"/>
  <c r="AA109"/>
  <c r="V64"/>
  <c r="U66"/>
  <c r="U176" s="1"/>
  <c r="AA93"/>
  <c r="AA99" s="1"/>
  <c r="AA118"/>
  <c r="AA117"/>
  <c r="W108"/>
  <c r="W107"/>
  <c r="AB18"/>
  <c r="AC20"/>
  <c r="AB72"/>
  <c r="V82"/>
  <c r="V81"/>
  <c r="V60"/>
  <c r="V68"/>
  <c r="V177" s="1"/>
  <c r="V67"/>
  <c r="V62"/>
  <c r="V178" s="1"/>
  <c r="V65"/>
  <c r="V56"/>
  <c r="V78"/>
  <c r="V80"/>
  <c r="V135" s="1"/>
  <c r="V51"/>
  <c r="V50"/>
  <c r="V173" s="1"/>
  <c r="V61"/>
  <c r="V57"/>
  <c r="V58"/>
  <c r="V54"/>
  <c r="V179" s="1"/>
  <c r="AB27"/>
  <c r="X12"/>
  <c r="X15"/>
  <c r="X125" s="1"/>
  <c r="X13"/>
  <c r="X16"/>
  <c r="X133" s="1"/>
  <c r="X134" s="1"/>
  <c r="X10"/>
  <c r="X7"/>
  <c r="X6"/>
  <c r="AB25"/>
  <c r="AA86"/>
  <c r="X40"/>
  <c r="W87"/>
  <c r="W88"/>
  <c r="W42"/>
  <c r="V77"/>
  <c r="V75"/>
  <c r="V76"/>
  <c r="V74"/>
  <c r="AD21"/>
  <c r="X172"/>
  <c r="X180" s="1"/>
  <c r="U174"/>
  <c r="U181" s="1"/>
  <c r="U17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113" i="18" l="1"/>
  <c r="V114" s="1"/>
  <c r="V115"/>
  <c r="X95"/>
  <c r="X101" s="1"/>
  <c r="X52"/>
  <c r="X91" s="1"/>
  <c r="AE193"/>
  <c r="AF193" s="1"/>
  <c r="AG193" s="1"/>
  <c r="AH193" s="1"/>
  <c r="AI193" s="1"/>
  <c r="AJ193" s="1"/>
  <c r="AK193" s="1"/>
  <c r="AL193" s="1"/>
  <c r="AM193" s="1"/>
  <c r="AN193" s="1"/>
  <c r="AO193" s="1"/>
  <c r="AP193" s="1"/>
  <c r="AQ193" s="1"/>
  <c r="AR193" s="1"/>
  <c r="AS193" s="1"/>
  <c r="AT193" s="1"/>
  <c r="AD97"/>
  <c r="AC103"/>
  <c r="AD103" s="1"/>
  <c r="X106"/>
  <c r="W111"/>
  <c r="W112" s="1"/>
  <c r="W55"/>
  <c r="AB127"/>
  <c r="AB137"/>
  <c r="AB128"/>
  <c r="AB138"/>
  <c r="AF20"/>
  <c r="AB90"/>
  <c r="X131"/>
  <c r="X130"/>
  <c r="X96"/>
  <c r="X102" s="1"/>
  <c r="X126"/>
  <c r="X89"/>
  <c r="AB121"/>
  <c r="AB120"/>
  <c r="AB122"/>
  <c r="AB109"/>
  <c r="V66"/>
  <c r="V176" s="1"/>
  <c r="AB93"/>
  <c r="AB99" s="1"/>
  <c r="AB118"/>
  <c r="AB117"/>
  <c r="W67"/>
  <c r="X108"/>
  <c r="X107"/>
  <c r="AC18"/>
  <c r="W82"/>
  <c r="W58"/>
  <c r="W65"/>
  <c r="AD20"/>
  <c r="AC72"/>
  <c r="W56"/>
  <c r="W64"/>
  <c r="W61"/>
  <c r="W81"/>
  <c r="W57"/>
  <c r="W62"/>
  <c r="W178" s="1"/>
  <c r="W78"/>
  <c r="W80"/>
  <c r="W135" s="1"/>
  <c r="W50"/>
  <c r="W173" s="1"/>
  <c r="W51"/>
  <c r="W60"/>
  <c r="W68"/>
  <c r="W177" s="1"/>
  <c r="W54"/>
  <c r="W179" s="1"/>
  <c r="AC27"/>
  <c r="AC138" s="1"/>
  <c r="AD138" s="1"/>
  <c r="Y15"/>
  <c r="Y125" s="1"/>
  <c r="Y13"/>
  <c r="Y12"/>
  <c r="Y10"/>
  <c r="Y16"/>
  <c r="Y133" s="1"/>
  <c r="Y134" s="1"/>
  <c r="Y6"/>
  <c r="Y7"/>
  <c r="Y40"/>
  <c r="X88"/>
  <c r="X87"/>
  <c r="AC25"/>
  <c r="AC90" s="1"/>
  <c r="AD90" s="1"/>
  <c r="AB86"/>
  <c r="X42"/>
  <c r="W77"/>
  <c r="W75"/>
  <c r="W76"/>
  <c r="W74"/>
  <c r="Y172"/>
  <c r="Y180" s="1"/>
  <c r="V174"/>
  <c r="V181" s="1"/>
  <c r="V17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113" i="18" l="1"/>
  <c r="W114" s="1"/>
  <c r="W115"/>
  <c r="Y95"/>
  <c r="Y101" s="1"/>
  <c r="Y52"/>
  <c r="Y91" s="1"/>
  <c r="Y106"/>
  <c r="X111"/>
  <c r="X112" s="1"/>
  <c r="X55"/>
  <c r="AC127"/>
  <c r="AD127" s="1"/>
  <c r="AC137"/>
  <c r="AD137" s="1"/>
  <c r="Y96"/>
  <c r="Y102" s="1"/>
  <c r="Y126"/>
  <c r="Y131"/>
  <c r="Y130"/>
  <c r="AF27"/>
  <c r="AC128"/>
  <c r="AD128" s="1"/>
  <c r="Y89"/>
  <c r="AC120"/>
  <c r="AD120" s="1"/>
  <c r="AC122"/>
  <c r="AD122" s="1"/>
  <c r="AC121"/>
  <c r="AD121" s="1"/>
  <c r="N32" i="9"/>
  <c r="N33" s="1"/>
  <c r="N34" s="1"/>
  <c r="N35" s="1"/>
  <c r="N36" s="1"/>
  <c r="N37" s="1"/>
  <c r="N38" s="1"/>
  <c r="N39" s="1"/>
  <c r="N40" s="1"/>
  <c r="N41" s="1"/>
  <c r="N42" s="1"/>
  <c r="M45"/>
  <c r="AC109" i="18"/>
  <c r="AD109" s="1"/>
  <c r="W66"/>
  <c r="W176" s="1"/>
  <c r="X65"/>
  <c r="AC93"/>
  <c r="AC118"/>
  <c r="AD118" s="1"/>
  <c r="AC117"/>
  <c r="AD117" s="1"/>
  <c r="Y108"/>
  <c r="Y107"/>
  <c r="AF25"/>
  <c r="AF18"/>
  <c r="AD18"/>
  <c r="T161"/>
  <c r="AF72"/>
  <c r="AD72"/>
  <c r="M32" i="9"/>
  <c r="M33" s="1"/>
  <c r="M34" s="1"/>
  <c r="M35" s="1"/>
  <c r="M36" s="1"/>
  <c r="M37" s="1"/>
  <c r="M38" s="1"/>
  <c r="M39" s="1"/>
  <c r="M40" s="1"/>
  <c r="M41" s="1"/>
  <c r="P32"/>
  <c r="X68" i="18"/>
  <c r="X177" s="1"/>
  <c r="X67"/>
  <c r="X62"/>
  <c r="X178" s="1"/>
  <c r="X64"/>
  <c r="X61"/>
  <c r="X81"/>
  <c r="X60"/>
  <c r="X82"/>
  <c r="X78"/>
  <c r="X80"/>
  <c r="X135" s="1"/>
  <c r="X51"/>
  <c r="X50"/>
  <c r="X173" s="1"/>
  <c r="X56"/>
  <c r="X57"/>
  <c r="X58"/>
  <c r="X54"/>
  <c r="X179" s="1"/>
  <c r="AD27"/>
  <c r="Z12"/>
  <c r="Z15"/>
  <c r="Z125" s="1"/>
  <c r="Z13"/>
  <c r="Z10"/>
  <c r="Z16"/>
  <c r="Z133" s="1"/>
  <c r="Z134" s="1"/>
  <c r="Z7"/>
  <c r="Z6"/>
  <c r="AD25"/>
  <c r="AC86"/>
  <c r="AD86" s="1"/>
  <c r="Z40"/>
  <c r="Y88"/>
  <c r="Y87"/>
  <c r="O31" i="9"/>
  <c r="O32" s="1"/>
  <c r="Y42" i="18"/>
  <c r="X77"/>
  <c r="X75"/>
  <c r="X76"/>
  <c r="X74"/>
  <c r="Z172"/>
  <c r="Z180" s="1"/>
  <c r="W174"/>
  <c r="W181" s="1"/>
  <c r="W175"/>
  <c r="P31" i="11"/>
  <c r="N32"/>
  <c r="T19" i="9"/>
  <c r="D22"/>
  <c r="X113" i="18" l="1"/>
  <c r="X114" s="1"/>
  <c r="X115"/>
  <c r="Z95"/>
  <c r="Z101" s="1"/>
  <c r="Z52"/>
  <c r="Z91" s="1"/>
  <c r="AD93"/>
  <c r="AC99"/>
  <c r="AD99" s="1"/>
  <c r="Z106"/>
  <c r="Y111"/>
  <c r="Y112" s="1"/>
  <c r="Y55"/>
  <c r="Z131"/>
  <c r="Z130"/>
  <c r="Z96"/>
  <c r="Z102" s="1"/>
  <c r="Z126"/>
  <c r="Z89"/>
  <c r="X66"/>
  <c r="X176" s="1"/>
  <c r="Y58"/>
  <c r="Z107"/>
  <c r="Z108"/>
  <c r="U161"/>
  <c r="S161" s="1"/>
  <c r="Y60"/>
  <c r="Y67"/>
  <c r="Y54"/>
  <c r="Y179" s="1"/>
  <c r="Y62"/>
  <c r="Y178" s="1"/>
  <c r="Y57"/>
  <c r="Y56"/>
  <c r="Y78"/>
  <c r="Y80"/>
  <c r="Y135" s="1"/>
  <c r="Y51"/>
  <c r="Y50"/>
  <c r="Y173" s="1"/>
  <c r="Y82"/>
  <c r="Y61"/>
  <c r="Y68"/>
  <c r="Y177" s="1"/>
  <c r="Y65"/>
  <c r="Y64"/>
  <c r="Y81"/>
  <c r="AA13"/>
  <c r="AA12"/>
  <c r="AA15"/>
  <c r="AA125" s="1"/>
  <c r="AA10"/>
  <c r="AA16"/>
  <c r="AA133" s="1"/>
  <c r="AA134" s="1"/>
  <c r="AA6"/>
  <c r="AA7"/>
  <c r="AA40"/>
  <c r="Z88"/>
  <c r="Z87"/>
  <c r="Z42"/>
  <c r="Y77"/>
  <c r="Y75"/>
  <c r="Y76"/>
  <c r="Y74"/>
  <c r="AA172"/>
  <c r="AA180" s="1"/>
  <c r="X174"/>
  <c r="X181" s="1"/>
  <c r="X17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Y113" i="18" l="1"/>
  <c r="Y114" s="1"/>
  <c r="Y115"/>
  <c r="AA95"/>
  <c r="AA101" s="1"/>
  <c r="AA52"/>
  <c r="AA91" s="1"/>
  <c r="AA106"/>
  <c r="Z111"/>
  <c r="Z112" s="1"/>
  <c r="Z55"/>
  <c r="AA96"/>
  <c r="AA102" s="1"/>
  <c r="AA126"/>
  <c r="AA130"/>
  <c r="AA131"/>
  <c r="AA89"/>
  <c r="AA107"/>
  <c r="AA108"/>
  <c r="Y66"/>
  <c r="Y176" s="1"/>
  <c r="Z78"/>
  <c r="Z80"/>
  <c r="Z135" s="1"/>
  <c r="Z50"/>
  <c r="Z173" s="1"/>
  <c r="Z51"/>
  <c r="Z62"/>
  <c r="Z178" s="1"/>
  <c r="Z68"/>
  <c r="Z177" s="1"/>
  <c r="Z67"/>
  <c r="Z65"/>
  <c r="Z56"/>
  <c r="Z54"/>
  <c r="Z179" s="1"/>
  <c r="Z61"/>
  <c r="Z57"/>
  <c r="Z58"/>
  <c r="Z64"/>
  <c r="Z81"/>
  <c r="Z60"/>
  <c r="Z82"/>
  <c r="AB12"/>
  <c r="AB15"/>
  <c r="AB125" s="1"/>
  <c r="AB13"/>
  <c r="AB10"/>
  <c r="AB16"/>
  <c r="AB133" s="1"/>
  <c r="AB134" s="1"/>
  <c r="AB7"/>
  <c r="AB6"/>
  <c r="AB40"/>
  <c r="AA87"/>
  <c r="AA88"/>
  <c r="AA42"/>
  <c r="Z77"/>
  <c r="Z75"/>
  <c r="Z76"/>
  <c r="Z74"/>
  <c r="AB172"/>
  <c r="AB180" s="1"/>
  <c r="Y174"/>
  <c r="Y181" s="1"/>
  <c r="Y175"/>
  <c r="N34" i="11"/>
  <c r="O33"/>
  <c r="D25" i="8"/>
  <c r="D23"/>
  <c r="Z113" i="18" l="1"/>
  <c r="Z114" s="1"/>
  <c r="Z115"/>
  <c r="AB95"/>
  <c r="AB101" s="1"/>
  <c r="AB52"/>
  <c r="AB91" s="1"/>
  <c r="AB106"/>
  <c r="AA111"/>
  <c r="AA112" s="1"/>
  <c r="AA55"/>
  <c r="AB89"/>
  <c r="AB130"/>
  <c r="AB131"/>
  <c r="AB96"/>
  <c r="AB102" s="1"/>
  <c r="AB126"/>
  <c r="AB107"/>
  <c r="AB108"/>
  <c r="Z66"/>
  <c r="Z176" s="1"/>
  <c r="AA78"/>
  <c r="AA80"/>
  <c r="AA135" s="1"/>
  <c r="AA51"/>
  <c r="AA50"/>
  <c r="AA173" s="1"/>
  <c r="AA56"/>
  <c r="AA67"/>
  <c r="AA57"/>
  <c r="AA62"/>
  <c r="AA178" s="1"/>
  <c r="AA65"/>
  <c r="AA64"/>
  <c r="AA82"/>
  <c r="AA68"/>
  <c r="AA177" s="1"/>
  <c r="AA54"/>
  <c r="AA179" s="1"/>
  <c r="AA61"/>
  <c r="AA81"/>
  <c r="AA60"/>
  <c r="AA58"/>
  <c r="AC15"/>
  <c r="AC13"/>
  <c r="AF13" s="1"/>
  <c r="AC12"/>
  <c r="AC126" s="1"/>
  <c r="AD126" s="1"/>
  <c r="AC10"/>
  <c r="AC16"/>
  <c r="AC6"/>
  <c r="AF6" s="1"/>
  <c r="AC7"/>
  <c r="AF7" s="1"/>
  <c r="AC40"/>
  <c r="AB88"/>
  <c r="AB87"/>
  <c r="AB42"/>
  <c r="AA77"/>
  <c r="AA75"/>
  <c r="AA76"/>
  <c r="AA74"/>
  <c r="AC172"/>
  <c r="AC180" s="1"/>
  <c r="Z174"/>
  <c r="Z181" s="1"/>
  <c r="Z175"/>
  <c r="N35" i="11"/>
  <c r="O34"/>
  <c r="D35" i="8"/>
  <c r="E5"/>
  <c r="E18" s="1"/>
  <c r="D18"/>
  <c r="D19"/>
  <c r="D21"/>
  <c r="D20"/>
  <c r="AA113" i="18" l="1"/>
  <c r="AA114" s="1"/>
  <c r="AA115"/>
  <c r="AC95"/>
  <c r="AC101" s="1"/>
  <c r="AD101" s="1"/>
  <c r="AC52"/>
  <c r="AC106"/>
  <c r="AD106" s="1"/>
  <c r="AD180"/>
  <c r="AF180" s="1"/>
  <c r="AB111"/>
  <c r="AB112" s="1"/>
  <c r="AB55"/>
  <c r="AF16"/>
  <c r="AC133"/>
  <c r="AC131"/>
  <c r="AD131" s="1"/>
  <c r="AC130"/>
  <c r="AD130" s="1"/>
  <c r="AF15"/>
  <c r="AC125"/>
  <c r="AD125" s="1"/>
  <c r="AC89"/>
  <c r="AD89" s="1"/>
  <c r="AF10"/>
  <c r="AF12"/>
  <c r="AC96"/>
  <c r="AF40"/>
  <c r="AC107"/>
  <c r="AD107" s="1"/>
  <c r="AC108"/>
  <c r="AD108" s="1"/>
  <c r="AA66"/>
  <c r="AA176" s="1"/>
  <c r="AB78"/>
  <c r="AB80"/>
  <c r="AB135" s="1"/>
  <c r="AB50"/>
  <c r="AB173" s="1"/>
  <c r="AB51"/>
  <c r="AB60"/>
  <c r="AB68"/>
  <c r="AB177" s="1"/>
  <c r="AB54"/>
  <c r="AB179" s="1"/>
  <c r="AB62"/>
  <c r="AB178" s="1"/>
  <c r="AB65"/>
  <c r="AB81"/>
  <c r="AB56"/>
  <c r="AB57"/>
  <c r="AB58"/>
  <c r="AB61"/>
  <c r="AB82"/>
  <c r="AB64"/>
  <c r="AB67"/>
  <c r="AD15"/>
  <c r="AD13"/>
  <c r="T155"/>
  <c r="AD12"/>
  <c r="AD10"/>
  <c r="AD16"/>
  <c r="AD7"/>
  <c r="AD6"/>
  <c r="AC88"/>
  <c r="AD88" s="1"/>
  <c r="AC87"/>
  <c r="AD87" s="1"/>
  <c r="AD40"/>
  <c r="AC42"/>
  <c r="AB77"/>
  <c r="AB75"/>
  <c r="AB76"/>
  <c r="AB74"/>
  <c r="AD172"/>
  <c r="AF172" s="1"/>
  <c r="AA174"/>
  <c r="AA181" s="1"/>
  <c r="AA175"/>
  <c r="N36" i="11"/>
  <c r="O35"/>
  <c r="F5" i="8"/>
  <c r="G5" s="1"/>
  <c r="H5" s="1"/>
  <c r="I5" s="1"/>
  <c r="AD95" i="18" l="1"/>
  <c r="AB113"/>
  <c r="AB114" s="1"/>
  <c r="AB115"/>
  <c r="AC91"/>
  <c r="AD91" s="1"/>
  <c r="AD52"/>
  <c r="AF52"/>
  <c r="AD96"/>
  <c r="AC102"/>
  <c r="AD102" s="1"/>
  <c r="AC111"/>
  <c r="AC112" s="1"/>
  <c r="AC55"/>
  <c r="AD133"/>
  <c r="AC134"/>
  <c r="AD134" s="1"/>
  <c r="AF42"/>
  <c r="U155"/>
  <c r="U156" s="1"/>
  <c r="AB66"/>
  <c r="AB176" s="1"/>
  <c r="AC78"/>
  <c r="AC80"/>
  <c r="AC50"/>
  <c r="AC173" s="1"/>
  <c r="AD173" s="1"/>
  <c r="AF173" s="1"/>
  <c r="AC51"/>
  <c r="AC60"/>
  <c r="AC65"/>
  <c r="AC54"/>
  <c r="AC62"/>
  <c r="AC58"/>
  <c r="AC81"/>
  <c r="AC57"/>
  <c r="AF57" s="1"/>
  <c r="AC56"/>
  <c r="AC67"/>
  <c r="AC82"/>
  <c r="AC61"/>
  <c r="AC68"/>
  <c r="AC64"/>
  <c r="T156"/>
  <c r="Q190" s="1"/>
  <c r="AC77"/>
  <c r="AC75"/>
  <c r="AD42"/>
  <c r="AC76"/>
  <c r="AC74"/>
  <c r="AB174"/>
  <c r="AB181" s="1"/>
  <c r="AB175"/>
  <c r="N37" i="11"/>
  <c r="O36"/>
  <c r="F18" i="8"/>
  <c r="G18"/>
  <c r="AC113" i="18" l="1"/>
  <c r="AC114" s="1"/>
  <c r="AC115"/>
  <c r="AF54"/>
  <c r="AC179"/>
  <c r="AF55"/>
  <c r="AD55"/>
  <c r="AF80"/>
  <c r="AC135"/>
  <c r="AD135" s="1"/>
  <c r="AD111"/>
  <c r="S155"/>
  <c r="S156"/>
  <c r="AD81"/>
  <c r="AF81"/>
  <c r="AD51"/>
  <c r="AF51"/>
  <c r="T152"/>
  <c r="AF67"/>
  <c r="AC177"/>
  <c r="AD177" s="1"/>
  <c r="AF177" s="1"/>
  <c r="AF68"/>
  <c r="AD50"/>
  <c r="AF50"/>
  <c r="AD65"/>
  <c r="AF65"/>
  <c r="T146"/>
  <c r="AF64"/>
  <c r="T145"/>
  <c r="AF58"/>
  <c r="AC178"/>
  <c r="AD178" s="1"/>
  <c r="AF178" s="1"/>
  <c r="AF62"/>
  <c r="AD61"/>
  <c r="AF61"/>
  <c r="T143"/>
  <c r="Q187" s="1"/>
  <c r="AF56"/>
  <c r="T148"/>
  <c r="AF60"/>
  <c r="AD82"/>
  <c r="AF82"/>
  <c r="T169"/>
  <c r="Q191" s="1"/>
  <c r="AF78"/>
  <c r="T166"/>
  <c r="AF77"/>
  <c r="T165"/>
  <c r="AF76"/>
  <c r="T163"/>
  <c r="Q188" s="1"/>
  <c r="AF74"/>
  <c r="T164"/>
  <c r="AF75"/>
  <c r="AD67"/>
  <c r="T149"/>
  <c r="AD56"/>
  <c r="AD58"/>
  <c r="U145" s="1"/>
  <c r="AD60"/>
  <c r="T150"/>
  <c r="Q186" s="1"/>
  <c r="AD78"/>
  <c r="AD64"/>
  <c r="T153"/>
  <c r="AC66"/>
  <c r="AD62"/>
  <c r="AD68"/>
  <c r="AD80"/>
  <c r="AD76"/>
  <c r="AD75"/>
  <c r="AD74"/>
  <c r="AD77"/>
  <c r="T142"/>
  <c r="Q192" s="1"/>
  <c r="Q193" s="1"/>
  <c r="AD54"/>
  <c r="AC174"/>
  <c r="AC181" s="1"/>
  <c r="AD181" s="1"/>
  <c r="AD57"/>
  <c r="U144" s="1"/>
  <c r="AC175"/>
  <c r="T144"/>
  <c r="N38" i="11"/>
  <c r="O37"/>
  <c r="H18" i="8"/>
  <c r="T167" i="18" l="1"/>
  <c r="Q189" s="1"/>
  <c r="M190"/>
  <c r="P190"/>
  <c r="AD179"/>
  <c r="AF179" s="1"/>
  <c r="U142"/>
  <c r="S142" s="1"/>
  <c r="AD112"/>
  <c r="U153"/>
  <c r="S153" s="1"/>
  <c r="U143"/>
  <c r="S143" s="1"/>
  <c r="P187" s="1"/>
  <c r="U152"/>
  <c r="S152" s="1"/>
  <c r="U148"/>
  <c r="S148" s="1"/>
  <c r="U150"/>
  <c r="S150" s="1"/>
  <c r="P186" s="1"/>
  <c r="U169"/>
  <c r="S169" s="1"/>
  <c r="P191" s="1"/>
  <c r="U165"/>
  <c r="S165" s="1"/>
  <c r="AD66"/>
  <c r="AF66"/>
  <c r="U146"/>
  <c r="S146" s="1"/>
  <c r="S145"/>
  <c r="U149"/>
  <c r="S149" s="1"/>
  <c r="U163"/>
  <c r="S163" s="1"/>
  <c r="P188" s="1"/>
  <c r="AC176"/>
  <c r="AD176" s="1"/>
  <c r="AF176" s="1"/>
  <c r="U166"/>
  <c r="S166" s="1"/>
  <c r="U164"/>
  <c r="AD175"/>
  <c r="AF175" s="1"/>
  <c r="AD174"/>
  <c r="AF174" s="1"/>
  <c r="AF181" s="1"/>
  <c r="S144"/>
  <c r="N39" i="11"/>
  <c r="O38"/>
  <c r="I18" i="8"/>
  <c r="S164" i="18" l="1"/>
  <c r="U167"/>
  <c r="S167" s="1"/>
  <c r="P189" s="1"/>
  <c r="M187"/>
  <c r="P192"/>
  <c r="P193" s="1"/>
  <c r="M191"/>
  <c r="M186"/>
  <c r="AD114"/>
  <c r="AD113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<sst xmlns="http://schemas.openxmlformats.org/spreadsheetml/2006/main" count="658" uniqueCount="462">
  <si>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</si>
  <si>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</si>
  <si>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</si>
  <si>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</si>
  <si>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</si>
  <si>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</si>
  <si>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</si>
  <si>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</si>
  <si>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</si>
  <si>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</si>
  <si>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</si>
  <si>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</si>
  <si>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</si>
  <si>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</si>
  <si>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</si>
  <si>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</si>
  <si>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</si>
  <si>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</si>
  <si>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</si>
  <si>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</si>
  <si>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</si>
  <si>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</si>
  <si>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</si>
  <si>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</si>
  <si>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</si>
  <si>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</si>
  <si>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</si>
  <si>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</si>
  <si>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</si>
  <si>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</si>
  <si>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</si>
  <si>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</si>
  <si>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</si>
  <si>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</si>
  <si>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</si>
  <si>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</si>
  <si>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</si>
  <si>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</si>
  <si>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</si>
  <si>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</si>
  <si>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</si>
  <si>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</si>
  <si>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</si>
  <si>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</si>
  <si>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</si>
  <si>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</si>
  <si>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</si>
  <si>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</si>
  <si>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</si>
  <si>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</si>
  <si>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</si>
  <si>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</si>
  <si>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</si>
  <si>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</si>
  <si>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</si>
  <si>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</si>
  <si>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</si>
  <si>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</si>
  <si>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</si>
  <si>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</si>
  <si>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</si>
  <si>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</si>
  <si>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</si>
  <si>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</si>
  <si>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</si>
  <si>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</si>
  <si>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</si>
  <si>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</si>
  <si>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</si>
  <si>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</si>
  <si>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</si>
  <si>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</si>
  <si>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</si>
  <si>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</si>
  <si>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</si>
  <si>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</si>
  <si>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</si>
  <si>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</si>
  <si>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</si>
  <si>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</si>
  <si>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</si>
  <si>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</si>
  <si>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</si>
  <si>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</si>
  <si>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</si>
  <si>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</si>
  <si>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</si>
  <si>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</si>
  <si>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</si>
  <si>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</si>
  <si>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</si>
  <si>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</si>
  <si>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</si>
  <si>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</si>
  <si>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</si>
  <si>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</si>
  <si>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</si>
  <si>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</si>
  <si>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</si>
  <si>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</si>
  <si>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</si>
  <si>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</si>
  <si>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</si>
  <si>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</si>
  <si>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</si>
  <si>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</si>
  <si>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</si>
  <si>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</si>
  <si>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</si>
  <si>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</si>
  <si>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</si>
  <si>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</si>
  <si>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</si>
  <si>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</si>
  <si>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</si>
  <si>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</si>
  <si>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</si>
  <si>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</si>
  <si>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</si>
  <si>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</si>
  <si>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</si>
  <si>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</si>
  <si>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</si>
  <si>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</si>
  <si>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</si>
  <si>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</si>
  <si>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</si>
  <si>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</si>
  <si>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</si>
  <si>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</si>
  <si>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</si>
  <si>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</si>
  <si>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</si>
  <si>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</si>
  <si>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</si>
  <si>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</si>
  <si>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</si>
  <si>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</si>
  <si>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</si>
  <si>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</si>
  <si>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</si>
  <si>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</si>
  <si>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</si>
  <si>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</si>
  <si>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</si>
  <si>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</si>
  <si>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</si>
  <si>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</si>
  <si>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</si>
  <si>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</si>
  <si>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</si>
  <si>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</si>
  <si>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</si>
  <si>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</si>
  <si>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</si>
  <si>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</si>
  <si>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</si>
  <si>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</si>
  <si>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</si>
  <si>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</si>
  <si>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</si>
  <si>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</si>
  <si>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</si>
  <si>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</si>
  <si>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</si>
  <si>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</si>
  <si>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</si>
  <si>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</si>
  <si>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</si>
  <si>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</si>
  <si>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</si>
  <si>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</si>
  <si>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</si>
  <si>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</si>
  <si>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</si>
  <si>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</si>
  <si>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</si>
  <si>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</si>
  <si>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</si>
  <si>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</si>
  <si>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</si>
  <si>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</si>
  <si>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</si>
  <si>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</si>
  <si>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</si>
  <si>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</si>
  <si>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</si>
  <si>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</si>
  <si>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</si>
  <si>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</si>
  <si>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</si>
  <si>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</si>
  <si>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</si>
  <si>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</si>
  <si>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</si>
  <si>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</si>
  <si>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</si>
  <si>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</si>
  <si>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</si>
  <si>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</si>
  <si>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</si>
  <si>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</si>
  <si>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</si>
  <si>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</si>
  <si>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</si>
  <si>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</si>
  <si>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</si>
  <si>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</si>
  <si>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</si>
  <si>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</si>
  <si>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</si>
  <si>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</si>
  <si>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</si>
  <si>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</si>
  <si>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</si>
  <si>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</si>
  <si>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</si>
  <si>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</si>
  <si>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</si>
  <si>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</si>
  <si>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</si>
  <si>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</si>
  <si>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</si>
  <si>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</si>
  <si>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</si>
  <si>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</si>
  <si>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</si>
  <si>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</si>
  <si>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</si>
  <si>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</si>
  <si>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</si>
  <si>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</si>
  <si>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</si>
  <si>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</si>
  <si>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</si>
  <si>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</si>
  <si>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</si>
  <si>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</si>
  <si>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</si>
  <si>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</si>
  <si>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</si>
  <si>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</si>
  <si>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</si>
  <si>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</si>
  <si>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</si>
  <si>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</si>
  <si>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</si>
  <si>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</si>
  <si>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</si>
  <si>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</si>
  <si>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</si>
  <si>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</si>
  <si>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</si>
  <si>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</si>
  <si>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</si>
  <si>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</si>
  <si>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</si>
  <si>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</si>
  <si>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</si>
  <si>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</si>
  <si>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</si>
  <si>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</si>
  <si>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</si>
  <si>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</si>
  <si>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</si>
  <si>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</si>
  <si>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</si>
  <si>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</si>
  <si>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</si>
  <si>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</si>
  <si>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</si>
  <si>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</si>
  <si>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</si>
  <si>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</si>
  <si>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</si>
  <si>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</si>
  <si>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</si>
  <si>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</si>
  <si>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</si>
  <si>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</si>
  <si>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</si>
  <si>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</si>
  <si>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</si>
  <si>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</si>
  <si>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</si>
  <si>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</si>
  <si>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</si>
  <si>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</si>
  <si>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</si>
  <si>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</si>
  <si>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</si>
  <si>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</si>
  <si>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</si>
  <si>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</si>
  <si>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</si>
  <si>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</si>
  <si>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</si>
  <si>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</si>
  <si>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</si>
  <si>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</si>
  <si>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</si>
  <si>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</si>
  <si>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</si>
  <si>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</si>
  <si>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</si>
  <si>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</si>
  <si>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</si>
  <si>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</si>
  <si>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</si>
  <si>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</si>
  <si>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</si>
  <si>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</si>
  <si>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</si>
  <si>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</si>
  <si>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</si>
  <si>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</si>
  <si>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</si>
  <si>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</si>
  <si>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</si>
  <si>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</si>
  <si>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</si>
  <si>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</si>
  <si>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</si>
  <si>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</si>
  <si>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</si>
  <si>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</si>
  <si>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</si>
  <si>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</si>
  <si>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</si>
  <si>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</si>
  <si>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</si>
  <si>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</si>
  <si>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</si>
  <si>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</si>
  <si>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</si>
  <si>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</si>
  <si>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</si>
  <si>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</si>
  <si>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</si>
  <si>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</si>
  <si>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</si>
  <si>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</si>
  <si>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</si>
  <si>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</si>
  <si>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</si>
  <si>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</si>
  <si>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</si>
  <si>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</si>
  <si>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</si>
  <si>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</si>
  <si>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</si>
  <si>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</si>
  <si>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</si>
  <si>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</si>
  <si>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</si>
  <si>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</si>
  <si>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</si>
  <si>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</si>
  <si>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</si>
  <si>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</si>
  <si>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</si>
  <si>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</si>
  <si>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</si>
  <si>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</si>
  <si>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</si>
  <si>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</si>
  <si>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</si>
  <si>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</si>
  <si>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</si>
  <si>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</si>
  <si>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</si>
  <si>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</si>
  <si>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</si>
  <si>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</si>
  <si>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</si>
  <si>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</si>
  <si>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</si>
  <si>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</si>
  <si>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</si>
  <si>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</si>
  <si>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</si>
  <si>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</si>
  <si>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</si>
  <si>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</si>
  <si>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</si>
  <si>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</si>
  <si>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</si>
  <si>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</si>
  <si>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</si>
  <si>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</si>
  <si>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</si>
  <si>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</si>
  <si>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</si>
  <si>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</si>
  <si>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</si>
  <si>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</si>
  <si>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</si>
  <si>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</si>
  <si>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</si>
  <si>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</si>
  <si>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</si>
  <si>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</si>
  <si>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</si>
  <si>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</si>
  <si>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</si>
  <si>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</si>
  <si>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</si>
  <si>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</si>
  <si>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</si>
  <si>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</si>
  <si>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</si>
  <si>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</si>
  <si>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</si>
  <si>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</si>
  <si>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</si>
  <si>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</si>
  <si>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</si>
  <si>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</si>
  <si>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</si>
  <si>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</si>
  <si>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</si>
  <si>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</si>
  <si>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</si>
  <si>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</si>
  <si>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</si>
  <si>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</si>
  <si>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</si>
  <si>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</si>
  <si>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</si>
  <si>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</si>
  <si>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</si>
  <si>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</si>
  <si>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</si>
  <si>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</si>
  <si>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</si>
  <si>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</si>
  <si>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</si>
  <si>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</si>
  <si>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</si>
  <si>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</si>
  <si>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</si>
  <si>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</si>
  <si>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</si>
  <si>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</si>
  <si>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</si>
  <si>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</si>
  <si>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</si>
  <si>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</si>
  <si>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</si>
  <si>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</si>
  <si>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</si>
  <si>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</si>
  <si>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</si>
  <si>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</si>
  <si>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</si>
  <si>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1x2</t>
  </si>
  <si>
    <t>10x2</t>
  </si>
  <si>
    <t>2x1</t>
  </si>
  <si>
    <t>Net - Free Cash Flow (per Share)</t>
  </si>
  <si>
    <t>S-2</t>
  </si>
  <si>
    <t>% Discount (Price / Cash) Cash means net Free Cash Flow (ops- Investments) Per share</t>
  </si>
  <si>
    <t>% Discount (Price / Cash) Cash means net Free Cash Flow (ops + Inv + Finance) Per share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</si>
</sst>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Font="1" applyFill="1" applyBorder="1"/>
    <xf numFmtId="0" fontId="5" fillId="10" borderId="1" xfId="0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87707008"/>
        <c:axId val="88249472"/>
      </c:lineChart>
      <c:catAx>
        <c:axId val="87707008"/>
        <c:scaling>
          <c:orientation val="minMax"/>
        </c:scaling>
        <c:axPos val="b"/>
        <c:tickLblPos val="nextTo"/>
        <c:crossAx val="88249472"/>
        <c:crosses val="autoZero"/>
        <c:auto val="1"/>
        <c:lblAlgn val="ctr"/>
        <c:lblOffset val="100"/>
      </c:catAx>
      <c:valAx>
        <c:axId val="88249472"/>
        <c:scaling>
          <c:orientation val="minMax"/>
        </c:scaling>
        <c:axPos val="l"/>
        <c:majorGridlines/>
        <c:numFmt formatCode="General" sourceLinked="1"/>
        <c:tickLblPos val="nextTo"/>
        <c:crossAx val="8770700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1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26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9.28515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f>E1</f>
        <v>0.14000000000000001</v>
      </c>
      <c r="E1" s="124">
        <v>0.14000000000000001</v>
      </c>
      <c r="F1" s="104" t="s">
        <v>252</v>
      </c>
      <c r="H1" s="126">
        <v>2004</v>
      </c>
      <c r="J1" s="104" t="s">
        <v>327</v>
      </c>
      <c r="L1" s="163">
        <v>0.08</v>
      </c>
      <c r="N1" s="104" t="s">
        <v>398</v>
      </c>
      <c r="P1" s="163">
        <v>0.08</v>
      </c>
    </row>
    <row r="2" spans="2:32">
      <c r="B2" s="152" t="s">
        <v>315</v>
      </c>
      <c r="C2" s="120"/>
      <c r="F2" s="104" t="s">
        <v>253</v>
      </c>
      <c r="H2" s="126">
        <v>2013</v>
      </c>
      <c r="J2" s="104" t="s">
        <v>328</v>
      </c>
      <c r="L2" s="163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9" t="s">
        <v>291</v>
      </c>
      <c r="AF2" s="200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1" t="s">
        <v>292</v>
      </c>
      <c r="AF3" s="202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92"/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>
      <c r="B6" s="20" t="s">
        <v>16</v>
      </c>
      <c r="C6" s="140"/>
      <c r="D6" s="140"/>
      <c r="E6" s="146"/>
      <c r="F6" s="146"/>
      <c r="G6" s="146">
        <v>163</v>
      </c>
      <c r="H6" s="146">
        <v>169</v>
      </c>
      <c r="I6" s="146">
        <v>190</v>
      </c>
      <c r="J6" s="146">
        <v>232</v>
      </c>
      <c r="K6" s="146">
        <v>322</v>
      </c>
      <c r="L6" s="146">
        <v>388</v>
      </c>
      <c r="M6" s="146">
        <v>527</v>
      </c>
      <c r="N6" s="146">
        <v>628</v>
      </c>
      <c r="O6" s="146">
        <v>806</v>
      </c>
      <c r="P6" s="146">
        <v>1042</v>
      </c>
      <c r="Q6" s="146">
        <v>1345</v>
      </c>
      <c r="R6" s="118">
        <f>((Q6/G6)^(1/($H$2-$H$1) ))-1</f>
        <v>0.26426229733914841</v>
      </c>
      <c r="S6" s="31">
        <f>$L$2</f>
        <v>0.18</v>
      </c>
      <c r="T6" s="153">
        <f>Q6*(1+$S6)</f>
        <v>1587.1</v>
      </c>
      <c r="U6" s="153">
        <f>T6*(1+$S6)</f>
        <v>1872.7779999999998</v>
      </c>
      <c r="V6" s="153">
        <f t="shared" ref="V6:AC6" si="0">U6*(1+$S6)</f>
        <v>2209.8780399999996</v>
      </c>
      <c r="W6" s="153">
        <f t="shared" si="0"/>
        <v>2607.6560871999995</v>
      </c>
      <c r="X6" s="153">
        <f t="shared" si="0"/>
        <v>3077.0341828959995</v>
      </c>
      <c r="Y6" s="153">
        <f t="shared" si="0"/>
        <v>3630.900335817279</v>
      </c>
      <c r="Z6" s="153">
        <f t="shared" si="0"/>
        <v>4284.4623962643891</v>
      </c>
      <c r="AA6" s="153">
        <f t="shared" si="0"/>
        <v>5055.6656275919786</v>
      </c>
      <c r="AB6" s="153">
        <f t="shared" si="0"/>
        <v>5965.6854405585345</v>
      </c>
      <c r="AC6" s="153">
        <f t="shared" si="0"/>
        <v>7039.5088198590702</v>
      </c>
      <c r="AD6" s="137">
        <f>((AC6/G6)^(1/($AC$3-$H$1) ))-1</f>
        <v>0.20716806434328472</v>
      </c>
      <c r="AE6" s="31">
        <f>$L$1</f>
        <v>0.08</v>
      </c>
      <c r="AF6" s="145">
        <f t="shared" ref="AF6:AF44" si="1">(AC6*(1+AE6))/($C$1-AE6)</f>
        <v>126711.15875746324</v>
      </c>
    </row>
    <row r="7" spans="2:32">
      <c r="B7" s="20" t="s">
        <v>240</v>
      </c>
      <c r="C7" s="140"/>
      <c r="D7" s="140"/>
      <c r="E7" s="146"/>
      <c r="F7" s="146"/>
      <c r="G7" s="146">
        <v>175</v>
      </c>
      <c r="H7" s="146">
        <v>181</v>
      </c>
      <c r="I7" s="146">
        <v>201</v>
      </c>
      <c r="J7" s="146">
        <v>243</v>
      </c>
      <c r="K7" s="146">
        <v>333</v>
      </c>
      <c r="L7" s="146">
        <v>406</v>
      </c>
      <c r="M7" s="146">
        <v>543</v>
      </c>
      <c r="N7" s="146">
        <v>646</v>
      </c>
      <c r="O7" s="146">
        <v>823</v>
      </c>
      <c r="P7" s="146">
        <v>1059</v>
      </c>
      <c r="Q7" s="146">
        <v>1362</v>
      </c>
      <c r="R7" s="118">
        <f>((Q7/G7)^(1/($H$2-$H$1) ))-1</f>
        <v>0.25607465053690937</v>
      </c>
      <c r="S7" s="31">
        <f>$L$2</f>
        <v>0.18</v>
      </c>
      <c r="T7" s="153">
        <f t="shared" ref="T7:T44" si="2">Q7*(1+$S7)</f>
        <v>1607.1599999999999</v>
      </c>
      <c r="U7" s="153">
        <f t="shared" ref="U7:AC7" si="3">T7*(1+$S7)</f>
        <v>1896.4487999999997</v>
      </c>
      <c r="V7" s="153">
        <f t="shared" si="3"/>
        <v>2237.8095839999996</v>
      </c>
      <c r="W7" s="153">
        <f t="shared" si="3"/>
        <v>2640.6153091199994</v>
      </c>
      <c r="X7" s="153">
        <f t="shared" si="3"/>
        <v>3115.9260647615993</v>
      </c>
      <c r="Y7" s="153">
        <f t="shared" si="3"/>
        <v>3676.7927564186871</v>
      </c>
      <c r="Z7" s="153">
        <f t="shared" si="3"/>
        <v>4338.6154525740503</v>
      </c>
      <c r="AA7" s="153">
        <f t="shared" si="3"/>
        <v>5119.5662340373792</v>
      </c>
      <c r="AB7" s="153">
        <f t="shared" si="3"/>
        <v>6041.0881561641072</v>
      </c>
      <c r="AC7" s="153">
        <f t="shared" si="3"/>
        <v>7128.4840242736464</v>
      </c>
      <c r="AD7" s="137">
        <f>((AC7/G7)^(1/($AC$3-$H$1) ))-1</f>
        <v>0.20364372650424012</v>
      </c>
      <c r="AE7" s="31">
        <f>$L$1</f>
        <v>0.08</v>
      </c>
      <c r="AF7" s="145">
        <f t="shared" si="1"/>
        <v>128312.71243692562</v>
      </c>
    </row>
    <row r="8" spans="2:32">
      <c r="B8" s="20"/>
      <c r="C8" s="140"/>
      <c r="D8" s="140"/>
      <c r="E8" s="146"/>
      <c r="F8" s="146"/>
      <c r="G8" s="147">
        <f>(G7-F7)/G7</f>
        <v>1</v>
      </c>
      <c r="H8" s="150">
        <f>(H7-G7)/H7</f>
        <v>3.3149171270718231E-2</v>
      </c>
      <c r="I8" s="150">
        <f t="shared" ref="I8:Q8" si="4">(I7-H7)/I7</f>
        <v>9.950248756218906E-2</v>
      </c>
      <c r="J8" s="150">
        <f t="shared" si="4"/>
        <v>0.1728395061728395</v>
      </c>
      <c r="K8" s="150">
        <f t="shared" si="4"/>
        <v>0.27027027027027029</v>
      </c>
      <c r="L8" s="150">
        <f t="shared" si="4"/>
        <v>0.17980295566502463</v>
      </c>
      <c r="M8" s="150">
        <f t="shared" si="4"/>
        <v>0.25230202578268879</v>
      </c>
      <c r="N8" s="150">
        <f t="shared" si="4"/>
        <v>0.15944272445820434</v>
      </c>
      <c r="O8" s="150">
        <f t="shared" si="4"/>
        <v>0.21506682867557717</v>
      </c>
      <c r="P8" s="150">
        <f t="shared" si="4"/>
        <v>0.22285174693106705</v>
      </c>
      <c r="Q8" s="150">
        <f t="shared" si="4"/>
        <v>0.22246696035242292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>
      <c r="B9" s="20" t="s">
        <v>269</v>
      </c>
      <c r="C9" s="140"/>
      <c r="D9" s="140"/>
      <c r="E9" s="146"/>
      <c r="F9" s="146"/>
      <c r="G9" s="146">
        <v>31</v>
      </c>
      <c r="H9" s="146">
        <v>48</v>
      </c>
      <c r="I9" s="146">
        <v>82</v>
      </c>
      <c r="J9" s="146">
        <v>87</v>
      </c>
      <c r="K9" s="146">
        <v>120</v>
      </c>
      <c r="L9" s="146">
        <v>132</v>
      </c>
      <c r="M9" s="146">
        <v>187</v>
      </c>
      <c r="N9" s="146">
        <v>212</v>
      </c>
      <c r="O9" s="146">
        <v>223</v>
      </c>
      <c r="P9" s="146">
        <v>336</v>
      </c>
      <c r="Q9" s="146">
        <v>373</v>
      </c>
      <c r="R9" s="118">
        <f>((Q9/G9)^(1/($H$2-$H$1) ))-1</f>
        <v>0.31837382175808049</v>
      </c>
      <c r="S9" s="31">
        <f t="shared" ref="S9:S40" si="5">$L$2</f>
        <v>0.18</v>
      </c>
      <c r="T9" s="153">
        <f t="shared" si="2"/>
        <v>440.14</v>
      </c>
      <c r="U9" s="153">
        <f t="shared" ref="U9" si="6">T9*(1+$S9)</f>
        <v>519.36519999999996</v>
      </c>
      <c r="V9" s="153">
        <f t="shared" ref="V9" si="7">U9*(1+$S9)</f>
        <v>612.85093599999993</v>
      </c>
      <c r="W9" s="153">
        <f t="shared" ref="W9" si="8">V9*(1+$S9)</f>
        <v>723.16410447999988</v>
      </c>
      <c r="X9" s="153">
        <f t="shared" ref="X9" si="9">W9*(1+$S9)</f>
        <v>853.33364328639982</v>
      </c>
      <c r="Y9" s="153">
        <f t="shared" ref="Y9" si="10">X9*(1+$S9)</f>
        <v>1006.9336990779517</v>
      </c>
      <c r="Z9" s="153">
        <f t="shared" ref="Z9" si="11">Y9*(1+$S9)</f>
        <v>1188.181764911983</v>
      </c>
      <c r="AA9" s="153">
        <f t="shared" ref="AA9" si="12">Z9*(1+$S9)</f>
        <v>1402.0544825961399</v>
      </c>
      <c r="AB9" s="153">
        <f t="shared" ref="AB9" si="13">AA9*(1+$S9)</f>
        <v>1654.4242894634449</v>
      </c>
      <c r="AC9" s="153">
        <f t="shared" ref="AC9" si="14">AB9*(1+$S9)</f>
        <v>1952.2206615668649</v>
      </c>
      <c r="AD9" s="137">
        <f>((AC9/G9)^(1/($AC$3-$H$1) ))-1</f>
        <v>0.23015082029914025</v>
      </c>
      <c r="AE9" s="31">
        <f t="shared" ref="AE9:AE81" si="15">$L$1</f>
        <v>0.08</v>
      </c>
      <c r="AF9" s="145">
        <f t="shared" si="1"/>
        <v>35139.971908203566</v>
      </c>
    </row>
    <row r="10" spans="2:32">
      <c r="B10" s="20" t="s">
        <v>4</v>
      </c>
      <c r="C10" s="140"/>
      <c r="D10" s="140"/>
      <c r="E10" s="146"/>
      <c r="F10" s="146"/>
      <c r="G10" s="146">
        <v>15</v>
      </c>
      <c r="H10" s="146">
        <v>23</v>
      </c>
      <c r="I10" s="146">
        <v>38</v>
      </c>
      <c r="J10" s="146">
        <v>141</v>
      </c>
      <c r="K10" s="146">
        <v>317</v>
      </c>
      <c r="L10" s="146">
        <v>286</v>
      </c>
      <c r="M10" s="146">
        <v>91</v>
      </c>
      <c r="N10" s="146">
        <v>95</v>
      </c>
      <c r="O10" s="146">
        <v>84</v>
      </c>
      <c r="P10" s="146">
        <v>87</v>
      </c>
      <c r="Q10" s="146">
        <v>84</v>
      </c>
      <c r="R10" s="118">
        <f>((Q10/G10)^(1/($H$2-$H$1) ))-1</f>
        <v>0.21096614852932105</v>
      </c>
      <c r="S10" s="31">
        <f t="shared" si="5"/>
        <v>0.18</v>
      </c>
      <c r="T10" s="153">
        <f t="shared" si="2"/>
        <v>99.11999999999999</v>
      </c>
      <c r="U10" s="153">
        <f t="shared" ref="U10:AC10" si="16">T10*(1+$S10)</f>
        <v>116.96159999999998</v>
      </c>
      <c r="V10" s="153">
        <f t="shared" si="16"/>
        <v>138.01468799999998</v>
      </c>
      <c r="W10" s="153">
        <f t="shared" si="16"/>
        <v>162.85733183999997</v>
      </c>
      <c r="X10" s="153">
        <f t="shared" si="16"/>
        <v>192.17165157119996</v>
      </c>
      <c r="Y10" s="153">
        <f t="shared" si="16"/>
        <v>226.76254885401593</v>
      </c>
      <c r="Z10" s="153">
        <f t="shared" si="16"/>
        <v>267.57980764773879</v>
      </c>
      <c r="AA10" s="153">
        <f t="shared" si="16"/>
        <v>315.74417302433176</v>
      </c>
      <c r="AB10" s="153">
        <f t="shared" si="16"/>
        <v>372.57812416871144</v>
      </c>
      <c r="AC10" s="153">
        <f t="shared" si="16"/>
        <v>439.64218651907947</v>
      </c>
      <c r="AD10" s="137">
        <f t="shared" ref="AD10:AD42" si="17">((AC10/G10)^(1/($AC$3-$H$1) ))-1</f>
        <v>0.18399646299949213</v>
      </c>
      <c r="AE10" s="31">
        <f t="shared" si="15"/>
        <v>0.08</v>
      </c>
      <c r="AF10" s="145">
        <f t="shared" si="1"/>
        <v>7913.5593573434289</v>
      </c>
    </row>
    <row r="11" spans="2:32">
      <c r="B11" s="20"/>
      <c r="C11" s="140"/>
      <c r="D11" s="140"/>
      <c r="E11" s="146"/>
      <c r="F11" s="146"/>
      <c r="G11" s="147">
        <f>(G10-F10)/G10</f>
        <v>1</v>
      </c>
      <c r="H11" s="147">
        <f t="shared" ref="H11:Q11" si="18">(H10-G10)/H10</f>
        <v>0.34782608695652173</v>
      </c>
      <c r="I11" s="147">
        <f t="shared" si="18"/>
        <v>0.39473684210526316</v>
      </c>
      <c r="J11" s="147">
        <f t="shared" si="18"/>
        <v>0.73049645390070927</v>
      </c>
      <c r="K11" s="147">
        <f t="shared" si="18"/>
        <v>0.55520504731861198</v>
      </c>
      <c r="L11" s="147">
        <f t="shared" si="18"/>
        <v>-0.10839160839160839</v>
      </c>
      <c r="M11" s="147">
        <f t="shared" si="18"/>
        <v>-2.1428571428571428</v>
      </c>
      <c r="N11" s="147">
        <f t="shared" si="18"/>
        <v>4.2105263157894736E-2</v>
      </c>
      <c r="O11" s="147">
        <f t="shared" si="18"/>
        <v>-0.13095238095238096</v>
      </c>
      <c r="P11" s="147">
        <f t="shared" si="18"/>
        <v>3.4482758620689655E-2</v>
      </c>
      <c r="Q11" s="147">
        <f t="shared" si="18"/>
        <v>-3.5714285714285712E-2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0.08</v>
      </c>
      <c r="AF11" s="153"/>
    </row>
    <row r="12" spans="2:32">
      <c r="B12" s="20" t="s">
        <v>2</v>
      </c>
      <c r="C12" s="140"/>
      <c r="D12" s="140"/>
      <c r="E12" s="146"/>
      <c r="F12" s="146"/>
      <c r="G12" s="146">
        <v>15</v>
      </c>
      <c r="H12" s="146">
        <v>17</v>
      </c>
      <c r="I12" s="146">
        <v>21</v>
      </c>
      <c r="J12" s="146">
        <v>26</v>
      </c>
      <c r="K12" s="146">
        <v>52</v>
      </c>
      <c r="L12" s="146">
        <f>34+36</f>
        <v>70</v>
      </c>
      <c r="M12" s="146">
        <v>62</v>
      </c>
      <c r="N12" s="146">
        <v>40</v>
      </c>
      <c r="O12" s="146">
        <f>175+54</f>
        <v>229</v>
      </c>
      <c r="P12" s="146">
        <v>411</v>
      </c>
      <c r="Q12" s="146">
        <v>295</v>
      </c>
      <c r="R12" s="118">
        <f>((Q12/G12)^(1/($H$2-$H$1) ))-1</f>
        <v>0.39234821337436032</v>
      </c>
      <c r="S12" s="31">
        <f t="shared" si="5"/>
        <v>0.18</v>
      </c>
      <c r="T12" s="153">
        <f t="shared" si="2"/>
        <v>348.09999999999997</v>
      </c>
      <c r="U12" s="153">
        <f t="shared" ref="U12:AC12" si="19">T12*(1+$S12)</f>
        <v>410.75799999999992</v>
      </c>
      <c r="V12" s="153">
        <f t="shared" si="19"/>
        <v>484.69443999999987</v>
      </c>
      <c r="W12" s="153">
        <f t="shared" si="19"/>
        <v>571.93943919999981</v>
      </c>
      <c r="X12" s="153">
        <f t="shared" si="19"/>
        <v>674.88853825599972</v>
      </c>
      <c r="Y12" s="153">
        <f t="shared" si="19"/>
        <v>796.36847514207966</v>
      </c>
      <c r="Z12" s="153">
        <f t="shared" si="19"/>
        <v>939.714800667654</v>
      </c>
      <c r="AA12" s="153">
        <f t="shared" si="19"/>
        <v>1108.8634647878316</v>
      </c>
      <c r="AB12" s="153">
        <f t="shared" si="19"/>
        <v>1308.4588884496413</v>
      </c>
      <c r="AC12" s="153">
        <f t="shared" si="19"/>
        <v>1543.9814883705767</v>
      </c>
      <c r="AD12" s="137">
        <f t="shared" si="17"/>
        <v>0.26074583326087653</v>
      </c>
      <c r="AE12" s="31">
        <f t="shared" si="15"/>
        <v>0.08</v>
      </c>
      <c r="AF12" s="145">
        <f t="shared" si="1"/>
        <v>27791.666790670377</v>
      </c>
    </row>
    <row r="13" spans="2:32">
      <c r="B13" s="20" t="s">
        <v>218</v>
      </c>
      <c r="C13" s="140"/>
      <c r="D13" s="140"/>
      <c r="E13" s="146"/>
      <c r="F13" s="146"/>
      <c r="G13" s="146">
        <v>21</v>
      </c>
      <c r="H13" s="146">
        <v>24</v>
      </c>
      <c r="I13" s="146">
        <v>32</v>
      </c>
      <c r="J13" s="146">
        <v>16</v>
      </c>
      <c r="K13" s="146">
        <v>16</v>
      </c>
      <c r="L13" s="146">
        <v>47</v>
      </c>
      <c r="M13" s="146">
        <v>16</v>
      </c>
      <c r="N13" s="146">
        <v>16</v>
      </c>
      <c r="O13" s="146">
        <v>16</v>
      </c>
      <c r="P13" s="146">
        <v>16</v>
      </c>
      <c r="Q13" s="146">
        <v>16</v>
      </c>
      <c r="R13" s="118">
        <f>((Q13/G13)^(1/($H$2-$H$1) ))-1</f>
        <v>-2.9762951337248489E-2</v>
      </c>
      <c r="S13" s="31">
        <f t="shared" si="5"/>
        <v>0.18</v>
      </c>
      <c r="T13" s="153">
        <f t="shared" si="2"/>
        <v>18.88</v>
      </c>
      <c r="U13" s="153">
        <f t="shared" ref="U13:AC13" si="20">T13*(1+$S13)</f>
        <v>22.278399999999998</v>
      </c>
      <c r="V13" s="153">
        <f t="shared" si="20"/>
        <v>26.288511999999997</v>
      </c>
      <c r="W13" s="153">
        <f t="shared" si="20"/>
        <v>31.020444159999997</v>
      </c>
      <c r="X13" s="153">
        <f t="shared" si="20"/>
        <v>36.604124108799994</v>
      </c>
      <c r="Y13" s="153">
        <f t="shared" si="20"/>
        <v>43.192866448383988</v>
      </c>
      <c r="Z13" s="153">
        <f t="shared" si="20"/>
        <v>50.967582409093104</v>
      </c>
      <c r="AA13" s="153">
        <f t="shared" si="20"/>
        <v>60.141747242729863</v>
      </c>
      <c r="AB13" s="153">
        <f t="shared" si="20"/>
        <v>70.967261746421229</v>
      </c>
      <c r="AC13" s="153">
        <f t="shared" si="20"/>
        <v>83.741368860777044</v>
      </c>
      <c r="AD13" s="137">
        <f t="shared" si="17"/>
        <v>7.1608224321830116E-2</v>
      </c>
      <c r="AE13" s="31">
        <f t="shared" si="15"/>
        <v>0.08</v>
      </c>
      <c r="AF13" s="145">
        <f t="shared" si="1"/>
        <v>1507.3446394939867</v>
      </c>
    </row>
    <row r="14" spans="2:32">
      <c r="B14" s="20" t="s">
        <v>373</v>
      </c>
      <c r="C14" s="140"/>
      <c r="D14" s="140"/>
      <c r="E14" s="146"/>
      <c r="F14" s="146"/>
      <c r="G14" s="146">
        <v>31</v>
      </c>
      <c r="H14" s="146">
        <v>44</v>
      </c>
      <c r="I14" s="146">
        <v>57</v>
      </c>
      <c r="J14" s="146">
        <v>92</v>
      </c>
      <c r="K14" s="146">
        <v>194</v>
      </c>
      <c r="L14" s="146">
        <v>161</v>
      </c>
      <c r="M14" s="146">
        <v>218</v>
      </c>
      <c r="N14" s="146">
        <v>285</v>
      </c>
      <c r="O14" s="146">
        <v>266</v>
      </c>
      <c r="P14" s="146">
        <v>293</v>
      </c>
      <c r="Q14" s="146">
        <v>335</v>
      </c>
      <c r="R14" s="118">
        <f>((Q14/G14)^(1/($H$2-$H$1) ))-1</f>
        <v>0.30272779468163713</v>
      </c>
      <c r="S14" s="31">
        <f t="shared" si="5"/>
        <v>0.18</v>
      </c>
      <c r="T14" s="153">
        <f t="shared" si="2"/>
        <v>395.29999999999995</v>
      </c>
      <c r="U14" s="153">
        <f t="shared" ref="U14" si="21">T14*(1+$S14)</f>
        <v>466.45399999999989</v>
      </c>
      <c r="V14" s="153">
        <f t="shared" ref="V14" si="22">U14*(1+$S14)</f>
        <v>550.41571999999985</v>
      </c>
      <c r="W14" s="153">
        <f t="shared" ref="W14" si="23">V14*(1+$S14)</f>
        <v>649.49054959999978</v>
      </c>
      <c r="X14" s="153">
        <f t="shared" ref="X14" si="24">W14*(1+$S14)</f>
        <v>766.39884852799969</v>
      </c>
      <c r="Y14" s="153">
        <f t="shared" ref="Y14" si="25">X14*(1+$S14)</f>
        <v>904.35064126303962</v>
      </c>
      <c r="Z14" s="153">
        <f t="shared" ref="Z14" si="26">Y14*(1+$S14)</f>
        <v>1067.1337566903867</v>
      </c>
      <c r="AA14" s="153">
        <f t="shared" ref="AA14" si="27">Z14*(1+$S14)</f>
        <v>1259.2178328946563</v>
      </c>
      <c r="AB14" s="153">
        <f t="shared" ref="AB14" si="28">AA14*(1+$S14)</f>
        <v>1485.8770428156945</v>
      </c>
      <c r="AC14" s="153">
        <f t="shared" ref="AC14" si="29">AB14*(1+$S14)</f>
        <v>1753.3349105225195</v>
      </c>
      <c r="AD14" s="137">
        <f t="shared" ref="AD14" si="30">((AC14/G14)^(1/($AC$3-$H$1) ))-1</f>
        <v>0.22355968587208164</v>
      </c>
      <c r="AE14" s="31">
        <f t="shared" si="15"/>
        <v>0.08</v>
      </c>
      <c r="AF14" s="145">
        <f t="shared" ref="AF14" si="31">(AC14*(1+AE14))/($C$1-AE14)</f>
        <v>31560.028389405346</v>
      </c>
    </row>
    <row r="15" spans="2:32">
      <c r="B15" s="20" t="s">
        <v>19</v>
      </c>
      <c r="C15" s="140"/>
      <c r="D15" s="140"/>
      <c r="E15" s="146"/>
      <c r="F15" s="146"/>
      <c r="G15" s="146">
        <v>79</v>
      </c>
      <c r="H15" s="146">
        <v>114</v>
      </c>
      <c r="I15" s="146">
        <v>145</v>
      </c>
      <c r="J15" s="146">
        <v>243</v>
      </c>
      <c r="K15" s="146">
        <v>450</v>
      </c>
      <c r="L15" s="146">
        <v>403</v>
      </c>
      <c r="M15" s="146">
        <v>506</v>
      </c>
      <c r="N15" s="146">
        <v>599</v>
      </c>
      <c r="O15" s="146">
        <v>640</v>
      </c>
      <c r="P15" s="146">
        <v>1084</v>
      </c>
      <c r="Q15" s="146">
        <v>1082</v>
      </c>
      <c r="R15" s="118">
        <f>((Q15/G15)^(1/($H$2-$H$1) ))-1</f>
        <v>0.33748496195488542</v>
      </c>
      <c r="S15" s="31">
        <f t="shared" si="5"/>
        <v>0.18</v>
      </c>
      <c r="T15" s="153">
        <f t="shared" si="2"/>
        <v>1276.76</v>
      </c>
      <c r="U15" s="153">
        <f t="shared" ref="U15:AC15" si="32">T15*(1+$S15)</f>
        <v>1506.5767999999998</v>
      </c>
      <c r="V15" s="153">
        <f t="shared" si="32"/>
        <v>1777.7606239999998</v>
      </c>
      <c r="W15" s="153">
        <f t="shared" si="32"/>
        <v>2097.7575363199994</v>
      </c>
      <c r="X15" s="153">
        <f t="shared" si="32"/>
        <v>2475.353892857599</v>
      </c>
      <c r="Y15" s="153">
        <f t="shared" si="32"/>
        <v>2920.9175935719668</v>
      </c>
      <c r="Z15" s="153">
        <f t="shared" si="32"/>
        <v>3446.6827604149207</v>
      </c>
      <c r="AA15" s="153">
        <f t="shared" si="32"/>
        <v>4067.0856572896064</v>
      </c>
      <c r="AB15" s="153">
        <f t="shared" si="32"/>
        <v>4799.1610756017353</v>
      </c>
      <c r="AC15" s="153">
        <f t="shared" si="32"/>
        <v>5663.0100692100477</v>
      </c>
      <c r="AD15" s="137">
        <f t="shared" si="17"/>
        <v>0.23814358577635297</v>
      </c>
      <c r="AE15" s="31">
        <f t="shared" si="15"/>
        <v>0.08</v>
      </c>
      <c r="AF15" s="145">
        <f t="shared" si="1"/>
        <v>101934.18124578084</v>
      </c>
    </row>
    <row r="16" spans="2:32">
      <c r="B16" s="20" t="s">
        <v>23</v>
      </c>
      <c r="C16" s="140"/>
      <c r="D16" s="140"/>
      <c r="E16" s="146"/>
      <c r="F16" s="146"/>
      <c r="G16" s="146">
        <v>68</v>
      </c>
      <c r="H16" s="146">
        <v>84</v>
      </c>
      <c r="I16" s="146">
        <v>98</v>
      </c>
      <c r="J16" s="146">
        <v>205</v>
      </c>
      <c r="K16" s="146">
        <v>378</v>
      </c>
      <c r="L16" s="146">
        <v>323</v>
      </c>
      <c r="M16" s="146">
        <v>290</v>
      </c>
      <c r="N16" s="146">
        <v>368</v>
      </c>
      <c r="O16" s="146">
        <v>504</v>
      </c>
      <c r="P16" s="146">
        <v>669</v>
      </c>
      <c r="Q16" s="146">
        <v>663</v>
      </c>
      <c r="R16" s="118">
        <f>((Q16/G16)^(1/($H$2-$H$1) ))-1</f>
        <v>0.28792152539083271</v>
      </c>
      <c r="S16" s="31">
        <f t="shared" si="5"/>
        <v>0.18</v>
      </c>
      <c r="T16" s="153">
        <f t="shared" si="2"/>
        <v>782.33999999999992</v>
      </c>
      <c r="U16" s="153">
        <f t="shared" ref="U16:AC16" si="33">T16*(1+$S16)</f>
        <v>923.16119999999989</v>
      </c>
      <c r="V16" s="153">
        <f t="shared" si="33"/>
        <v>1089.3302159999998</v>
      </c>
      <c r="W16" s="153">
        <f t="shared" si="33"/>
        <v>1285.4096548799998</v>
      </c>
      <c r="X16" s="153">
        <f t="shared" si="33"/>
        <v>1516.7833927583997</v>
      </c>
      <c r="Y16" s="153">
        <f t="shared" si="33"/>
        <v>1789.8044034549116</v>
      </c>
      <c r="Z16" s="153">
        <f t="shared" si="33"/>
        <v>2111.9691960767955</v>
      </c>
      <c r="AA16" s="153">
        <f t="shared" si="33"/>
        <v>2492.1236513706185</v>
      </c>
      <c r="AB16" s="153">
        <f t="shared" si="33"/>
        <v>2940.7059086173299</v>
      </c>
      <c r="AC16" s="153">
        <f t="shared" si="33"/>
        <v>3470.0329721684493</v>
      </c>
      <c r="AD16" s="137">
        <f t="shared" si="17"/>
        <v>0.21728209615126426</v>
      </c>
      <c r="AE16" s="31">
        <f t="shared" si="15"/>
        <v>0.08</v>
      </c>
      <c r="AF16" s="145">
        <f t="shared" si="1"/>
        <v>62460.593499032075</v>
      </c>
    </row>
    <row r="17" spans="2:3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>
      <c r="B18" s="20" t="s">
        <v>277</v>
      </c>
      <c r="C18" s="140"/>
      <c r="D18" s="140"/>
      <c r="E18" s="146"/>
      <c r="F18" s="146"/>
      <c r="G18" s="146">
        <v>99</v>
      </c>
      <c r="H18" s="146">
        <v>95</v>
      </c>
      <c r="I18" s="146">
        <v>104</v>
      </c>
      <c r="J18" s="146">
        <v>157</v>
      </c>
      <c r="K18" s="146">
        <v>189</v>
      </c>
      <c r="L18" s="146">
        <v>281</v>
      </c>
      <c r="M18" s="146">
        <v>306</v>
      </c>
      <c r="N18" s="146">
        <v>315</v>
      </c>
      <c r="O18" s="146">
        <v>355</v>
      </c>
      <c r="P18" s="146">
        <v>358</v>
      </c>
      <c r="Q18" s="146">
        <v>623</v>
      </c>
      <c r="R18" s="118">
        <f>((Q18/G18)^(1/($H$2-$H$1) ))-1</f>
        <v>0.22676514428978445</v>
      </c>
      <c r="S18" s="31">
        <f t="shared" si="5"/>
        <v>0.18</v>
      </c>
      <c r="T18" s="153">
        <f t="shared" si="2"/>
        <v>735.14</v>
      </c>
      <c r="U18" s="153">
        <f t="shared" ref="U18:U34" si="34">T18*(1+$S18)</f>
        <v>867.46519999999998</v>
      </c>
      <c r="V18" s="153">
        <f t="shared" ref="V18:V34" si="35">U18*(1+$S18)</f>
        <v>1023.608936</v>
      </c>
      <c r="W18" s="153">
        <f t="shared" ref="W18:W34" si="36">V18*(1+$S18)</f>
        <v>1207.8585444799999</v>
      </c>
      <c r="X18" s="153">
        <f t="shared" ref="X18:X36" si="37">W18*(1+$S18)</f>
        <v>1425.2730824863997</v>
      </c>
      <c r="Y18" s="153">
        <f t="shared" ref="Y18:Y36" si="38">X18*(1+$S18)</f>
        <v>1681.8222373339515</v>
      </c>
      <c r="Z18" s="153">
        <f t="shared" ref="Z18:Z36" si="39">Y18*(1+$S18)</f>
        <v>1984.5502400540627</v>
      </c>
      <c r="AA18" s="153">
        <f t="shared" ref="AA18:AA36" si="40">Z18*(1+$S18)</f>
        <v>2341.769283263794</v>
      </c>
      <c r="AB18" s="153">
        <f t="shared" ref="AB18:AB36" si="41">AA18*(1+$S18)</f>
        <v>2763.287754251277</v>
      </c>
      <c r="AC18" s="153">
        <f t="shared" ref="AC18:AC36" si="42">AB18*(1+$S18)</f>
        <v>3260.6795500165067</v>
      </c>
      <c r="AD18" s="137">
        <f t="shared" si="17"/>
        <v>0.19092289989290445</v>
      </c>
      <c r="AE18" s="31">
        <f t="shared" si="15"/>
        <v>0.08</v>
      </c>
      <c r="AF18" s="145">
        <f t="shared" si="1"/>
        <v>58692.231900297113</v>
      </c>
    </row>
    <row r="19" spans="2:3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>
      <c r="B20" s="20" t="s">
        <v>283</v>
      </c>
      <c r="C20" s="140"/>
      <c r="D20" s="140"/>
      <c r="E20" s="146"/>
      <c r="F20" s="146"/>
      <c r="G20" s="146">
        <v>6</v>
      </c>
      <c r="H20" s="146">
        <v>7</v>
      </c>
      <c r="I20" s="146">
        <v>26</v>
      </c>
      <c r="J20" s="146">
        <v>-38</v>
      </c>
      <c r="K20" s="146">
        <v>-30</v>
      </c>
      <c r="L20" s="146">
        <v>223</v>
      </c>
      <c r="M20" s="146">
        <v>214</v>
      </c>
      <c r="N20" s="146">
        <v>85</v>
      </c>
      <c r="O20" s="146">
        <v>296</v>
      </c>
      <c r="P20" s="146">
        <v>335</v>
      </c>
      <c r="Q20" s="146">
        <v>279</v>
      </c>
      <c r="R20" s="118">
        <f>((Q20/G20)^(1/($H$2-$H$1) ))-1</f>
        <v>0.53204862827785093</v>
      </c>
      <c r="S20" s="31">
        <f t="shared" si="5"/>
        <v>0.18</v>
      </c>
      <c r="T20" s="153">
        <f t="shared" si="2"/>
        <v>329.21999999999997</v>
      </c>
      <c r="U20" s="153">
        <f t="shared" ref="U20:U22" si="43">T20*(1+$S20)</f>
        <v>388.47959999999995</v>
      </c>
      <c r="V20" s="153">
        <f t="shared" ref="V20:V22" si="44">U20*(1+$S20)</f>
        <v>458.4059279999999</v>
      </c>
      <c r="W20" s="153">
        <f t="shared" ref="W20:W22" si="45">V20*(1+$S20)</f>
        <v>540.91899503999991</v>
      </c>
      <c r="X20" s="153">
        <f t="shared" ref="X20:X22" si="46">W20*(1+$S20)</f>
        <v>638.28441414719987</v>
      </c>
      <c r="Y20" s="153">
        <f t="shared" ref="Y20:Y22" si="47">X20*(1+$S20)</f>
        <v>753.17560869369584</v>
      </c>
      <c r="Z20" s="153">
        <f t="shared" ref="Z20:Z22" si="48">Y20*(1+$S20)</f>
        <v>888.74721825856102</v>
      </c>
      <c r="AA20" s="153">
        <f t="shared" ref="AA20:AA22" si="49">Z20*(1+$S20)</f>
        <v>1048.7217175451019</v>
      </c>
      <c r="AB20" s="153">
        <f t="shared" ref="AB20:AB22" si="50">AA20*(1+$S20)</f>
        <v>1237.4916267032202</v>
      </c>
      <c r="AC20" s="153">
        <f t="shared" ref="AC20:AC22" si="51">AB20*(1+$S20)</f>
        <v>1460.2401195097998</v>
      </c>
      <c r="AD20" s="137">
        <f t="shared" ref="AD20:AD22" si="52">((AC20/G20)^(1/($AC$3-$H$1) ))-1</f>
        <v>0.3161750422265921</v>
      </c>
      <c r="AE20" s="31">
        <f t="shared" si="15"/>
        <v>0.08</v>
      </c>
      <c r="AF20" s="145">
        <f t="shared" si="1"/>
        <v>26284.322151176391</v>
      </c>
    </row>
    <row r="21" spans="2:32">
      <c r="B21" s="20" t="s">
        <v>284</v>
      </c>
      <c r="C21" s="140"/>
      <c r="D21" s="140"/>
      <c r="E21" s="146"/>
      <c r="F21" s="146"/>
      <c r="G21" s="146">
        <v>-10</v>
      </c>
      <c r="H21" s="146">
        <v>-11</v>
      </c>
      <c r="I21" s="146">
        <v>-35</v>
      </c>
      <c r="J21" s="146">
        <v>-54</v>
      </c>
      <c r="K21" s="146">
        <v>-115</v>
      </c>
      <c r="L21" s="146">
        <v>-132</v>
      </c>
      <c r="M21" s="146">
        <v>-18</v>
      </c>
      <c r="N21" s="146">
        <v>-61</v>
      </c>
      <c r="O21" s="146">
        <v>-70</v>
      </c>
      <c r="P21" s="146">
        <v>-120</v>
      </c>
      <c r="Q21" s="146">
        <v>-344</v>
      </c>
      <c r="R21" s="118">
        <f>((Q21/G21)^(1/($H$2-$H$1) ))-1</f>
        <v>0.48159231219366849</v>
      </c>
      <c r="S21" s="31">
        <f t="shared" si="5"/>
        <v>0.18</v>
      </c>
      <c r="T21" s="153">
        <f t="shared" si="2"/>
        <v>-405.91999999999996</v>
      </c>
      <c r="U21" s="153">
        <f t="shared" si="43"/>
        <v>-478.98559999999992</v>
      </c>
      <c r="V21" s="153">
        <f t="shared" si="44"/>
        <v>-565.20300799999984</v>
      </c>
      <c r="W21" s="153">
        <f t="shared" si="45"/>
        <v>-666.93954943999972</v>
      </c>
      <c r="X21" s="153">
        <f t="shared" si="46"/>
        <v>-786.98866833919965</v>
      </c>
      <c r="Y21" s="153">
        <f t="shared" si="47"/>
        <v>-928.64662864025559</v>
      </c>
      <c r="Z21" s="153">
        <f t="shared" si="48"/>
        <v>-1095.8030217955015</v>
      </c>
      <c r="AA21" s="153">
        <f t="shared" si="49"/>
        <v>-1293.0475657186917</v>
      </c>
      <c r="AB21" s="153">
        <f t="shared" si="50"/>
        <v>-1525.7961275480561</v>
      </c>
      <c r="AC21" s="153">
        <f t="shared" si="51"/>
        <v>-1800.4394305067062</v>
      </c>
      <c r="AD21" s="137">
        <f t="shared" si="52"/>
        <v>0.29648926691883704</v>
      </c>
      <c r="AE21" s="31">
        <f t="shared" si="15"/>
        <v>0.08</v>
      </c>
      <c r="AF21" s="145">
        <f t="shared" si="1"/>
        <v>-32407.909749120707</v>
      </c>
    </row>
    <row r="22" spans="2:32">
      <c r="B22" s="20" t="s">
        <v>285</v>
      </c>
      <c r="C22" s="140"/>
      <c r="D22" s="140"/>
      <c r="E22" s="146"/>
      <c r="F22" s="146"/>
      <c r="G22" s="146">
        <v>3</v>
      </c>
      <c r="H22" s="146">
        <v>7</v>
      </c>
      <c r="I22" s="146">
        <v>12</v>
      </c>
      <c r="J22" s="146">
        <v>97</v>
      </c>
      <c r="K22" s="146">
        <v>171</v>
      </c>
      <c r="L22" s="146">
        <v>-73</v>
      </c>
      <c r="M22" s="146">
        <v>-204</v>
      </c>
      <c r="N22" s="146">
        <v>-46</v>
      </c>
      <c r="O22" s="146">
        <v>-42</v>
      </c>
      <c r="P22" s="146">
        <v>-35</v>
      </c>
      <c r="Q22" s="146">
        <v>-53</v>
      </c>
      <c r="R22" s="118">
        <f>((Q22/G22)^(1/($H$2-$H$1) ))-1</f>
        <v>-2.3758552171436005</v>
      </c>
      <c r="S22" s="31">
        <f t="shared" si="5"/>
        <v>0.18</v>
      </c>
      <c r="T22" s="153">
        <f t="shared" si="2"/>
        <v>-62.54</v>
      </c>
      <c r="U22" s="153">
        <f t="shared" si="43"/>
        <v>-73.797199999999989</v>
      </c>
      <c r="V22" s="153">
        <f t="shared" si="44"/>
        <v>-87.080695999999989</v>
      </c>
      <c r="W22" s="153">
        <f t="shared" si="45"/>
        <v>-102.75522127999999</v>
      </c>
      <c r="X22" s="153">
        <f t="shared" si="46"/>
        <v>-121.25116111039998</v>
      </c>
      <c r="Y22" s="153">
        <f t="shared" si="47"/>
        <v>-143.07637011027197</v>
      </c>
      <c r="Z22" s="153">
        <f t="shared" si="48"/>
        <v>-168.83011673012092</v>
      </c>
      <c r="AA22" s="153">
        <f t="shared" si="49"/>
        <v>-199.21953774154267</v>
      </c>
      <c r="AB22" s="153">
        <f t="shared" si="50"/>
        <v>-235.07905453502033</v>
      </c>
      <c r="AC22" s="153">
        <f t="shared" si="51"/>
        <v>-277.39328435132398</v>
      </c>
      <c r="AD22" s="137" t="e">
        <f t="shared" si="52"/>
        <v>#NUM!</v>
      </c>
      <c r="AE22" s="31">
        <f t="shared" si="15"/>
        <v>0.08</v>
      </c>
      <c r="AF22" s="145">
        <f t="shared" si="1"/>
        <v>-4993.0791183238316</v>
      </c>
    </row>
    <row r="23" spans="2:32">
      <c r="B23" s="20" t="s">
        <v>295</v>
      </c>
      <c r="C23" s="140"/>
      <c r="D23" s="140"/>
      <c r="E23" s="146"/>
      <c r="F23" s="146"/>
      <c r="G23" s="146">
        <v>15</v>
      </c>
      <c r="H23" s="146">
        <v>17</v>
      </c>
      <c r="I23" s="146">
        <v>21</v>
      </c>
      <c r="J23" s="146">
        <v>26</v>
      </c>
      <c r="K23" s="146">
        <v>51</v>
      </c>
      <c r="L23" s="146">
        <v>70</v>
      </c>
      <c r="M23" s="146">
        <v>62</v>
      </c>
      <c r="N23" s="146">
        <v>40</v>
      </c>
      <c r="O23" s="146">
        <v>229</v>
      </c>
      <c r="P23" s="146">
        <v>409</v>
      </c>
      <c r="Q23" s="146">
        <v>293</v>
      </c>
      <c r="R23" s="118">
        <f>((Q23/G23)^(1/($H$2-$H$1) ))-1</f>
        <v>0.39129618956280465</v>
      </c>
      <c r="S23" s="31">
        <f t="shared" si="5"/>
        <v>0.18</v>
      </c>
      <c r="T23" s="153">
        <f t="shared" si="2"/>
        <v>345.74</v>
      </c>
      <c r="U23" s="153">
        <f t="shared" ref="U23" si="53">T23*(1+$S23)</f>
        <v>407.97319999999996</v>
      </c>
      <c r="V23" s="153">
        <f t="shared" ref="V23" si="54">U23*(1+$S23)</f>
        <v>481.40837599999992</v>
      </c>
      <c r="W23" s="153">
        <f t="shared" ref="W23" si="55">V23*(1+$S23)</f>
        <v>568.06188367999982</v>
      </c>
      <c r="X23" s="153">
        <f t="shared" ref="X23" si="56">W23*(1+$S23)</f>
        <v>670.31302274239977</v>
      </c>
      <c r="Y23" s="153">
        <f t="shared" ref="Y23" si="57">X23*(1+$S23)</f>
        <v>790.96936683603167</v>
      </c>
      <c r="Z23" s="153">
        <f t="shared" ref="Z23" si="58">Y23*(1+$S23)</f>
        <v>933.3438528665173</v>
      </c>
      <c r="AA23" s="153">
        <f t="shared" ref="AA23" si="59">Z23*(1+$S23)</f>
        <v>1101.3457463824905</v>
      </c>
      <c r="AB23" s="153">
        <f t="shared" ref="AB23" si="60">AA23*(1+$S23)</f>
        <v>1299.5879807313386</v>
      </c>
      <c r="AC23" s="153">
        <f t="shared" ref="AC23" si="61">AB23*(1+$S23)</f>
        <v>1533.5138172629795</v>
      </c>
      <c r="AD23" s="137">
        <f t="shared" ref="AD23" si="62">((AC23/G23)^(1/($AC$3-$H$1) ))-1</f>
        <v>0.26031707941551763</v>
      </c>
      <c r="AE23" s="31">
        <f t="shared" si="15"/>
        <v>0.08</v>
      </c>
      <c r="AF23" s="145">
        <f t="shared" si="1"/>
        <v>27603.248710733627</v>
      </c>
    </row>
    <row r="24" spans="2:3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>
      <c r="B25" s="20" t="s">
        <v>89</v>
      </c>
      <c r="C25" s="140"/>
      <c r="D25" s="140"/>
      <c r="E25" s="146"/>
      <c r="F25" s="146"/>
      <c r="G25" s="146">
        <v>180</v>
      </c>
      <c r="H25" s="146">
        <v>246</v>
      </c>
      <c r="I25" s="146">
        <v>402</v>
      </c>
      <c r="J25" s="146">
        <v>620</v>
      </c>
      <c r="K25" s="146">
        <v>1162</v>
      </c>
      <c r="L25" s="146">
        <v>1293</v>
      </c>
      <c r="M25" s="146">
        <v>1523</v>
      </c>
      <c r="N25" s="146">
        <v>1794</v>
      </c>
      <c r="O25" s="146">
        <v>2363</v>
      </c>
      <c r="P25" s="146">
        <v>3030</v>
      </c>
      <c r="Q25" s="146">
        <v>3507</v>
      </c>
      <c r="R25" s="118">
        <f>((Q25/G25)^(1/($H$2-$H$1) ))-1</f>
        <v>0.39090003439718002</v>
      </c>
      <c r="S25" s="31">
        <f t="shared" si="5"/>
        <v>0.18</v>
      </c>
      <c r="T25" s="153">
        <f t="shared" si="2"/>
        <v>4138.26</v>
      </c>
      <c r="U25" s="153">
        <f t="shared" si="34"/>
        <v>4883.1468000000004</v>
      </c>
      <c r="V25" s="153">
        <f t="shared" si="35"/>
        <v>5762.1132240000006</v>
      </c>
      <c r="W25" s="153">
        <f t="shared" si="36"/>
        <v>6799.2936043200007</v>
      </c>
      <c r="X25" s="153">
        <f t="shared" si="37"/>
        <v>8023.1664530976004</v>
      </c>
      <c r="Y25" s="153">
        <f t="shared" si="38"/>
        <v>9467.3364146551685</v>
      </c>
      <c r="Z25" s="153">
        <f t="shared" si="39"/>
        <v>11171.456969293098</v>
      </c>
      <c r="AA25" s="153">
        <f t="shared" si="40"/>
        <v>13182.319223765855</v>
      </c>
      <c r="AB25" s="153">
        <f t="shared" si="41"/>
        <v>15555.136684043708</v>
      </c>
      <c r="AC25" s="153">
        <f t="shared" si="42"/>
        <v>18355.061287171575</v>
      </c>
      <c r="AD25" s="137">
        <f t="shared" si="17"/>
        <v>0.26015557958412305</v>
      </c>
      <c r="AE25" s="31">
        <f t="shared" si="15"/>
        <v>0.08</v>
      </c>
      <c r="AF25" s="145">
        <f t="shared" si="1"/>
        <v>330391.10316908831</v>
      </c>
    </row>
    <row r="26" spans="2:32" s="123" customFormat="1">
      <c r="B26" s="23"/>
      <c r="C26" s="148"/>
      <c r="D26" s="148"/>
      <c r="E26" s="149"/>
      <c r="F26" s="149"/>
      <c r="G26" s="147">
        <f>(G25-F25)/G25</f>
        <v>1</v>
      </c>
      <c r="H26" s="147">
        <f>(H25-G25)/H25</f>
        <v>0.26829268292682928</v>
      </c>
      <c r="I26" s="147">
        <f t="shared" ref="I26" si="63">(I25-H25)/I25</f>
        <v>0.38805970149253732</v>
      </c>
      <c r="J26" s="147">
        <f t="shared" ref="J26" si="64">(J25-I25)/J25</f>
        <v>0.35161290322580646</v>
      </c>
      <c r="K26" s="147">
        <f t="shared" ref="K26" si="65">(K25-J25)/K25</f>
        <v>0.46643717728055079</v>
      </c>
      <c r="L26" s="147">
        <f t="shared" ref="L26" si="66">(L25-K25)/L25</f>
        <v>0.10131477184841454</v>
      </c>
      <c r="M26" s="147">
        <f t="shared" ref="M26" si="67">(M25-L25)/M25</f>
        <v>0.15101772816808931</v>
      </c>
      <c r="N26" s="147">
        <f t="shared" ref="N26" si="68">(N25-M25)/N25</f>
        <v>0.15105908584169453</v>
      </c>
      <c r="O26" s="147">
        <f t="shared" ref="O26" si="69">(O25-N25)/O25</f>
        <v>0.2407955988150656</v>
      </c>
      <c r="P26" s="147">
        <f t="shared" ref="P26:Q26" si="70">(P25-O25)/P25</f>
        <v>0.22013201320132014</v>
      </c>
      <c r="Q26" s="147">
        <f t="shared" si="70"/>
        <v>0.1360136869118905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>
      <c r="B27" s="20" t="s">
        <v>261</v>
      </c>
      <c r="C27" s="140"/>
      <c r="D27" s="140"/>
      <c r="E27" s="146"/>
      <c r="F27" s="146"/>
      <c r="G27" s="146">
        <v>156</v>
      </c>
      <c r="H27" s="146">
        <v>220</v>
      </c>
      <c r="I27" s="146">
        <v>348</v>
      </c>
      <c r="J27" s="146">
        <v>527</v>
      </c>
      <c r="K27" s="146">
        <v>977</v>
      </c>
      <c r="L27" s="146">
        <v>1114</v>
      </c>
      <c r="M27" s="146">
        <v>1216</v>
      </c>
      <c r="N27" s="146">
        <v>1530</v>
      </c>
      <c r="O27" s="146">
        <v>1996</v>
      </c>
      <c r="P27" s="146">
        <v>2541</v>
      </c>
      <c r="Q27" s="146">
        <v>2905</v>
      </c>
      <c r="R27" s="118">
        <f>((Q27/G27)^(1/($H$2-$H$1) ))-1</f>
        <v>0.38392802576395813</v>
      </c>
      <c r="S27" s="31">
        <f t="shared" si="5"/>
        <v>0.18</v>
      </c>
      <c r="T27" s="153">
        <f t="shared" si="2"/>
        <v>3427.8999999999996</v>
      </c>
      <c r="U27" s="153">
        <f t="shared" si="34"/>
        <v>4044.9219999999996</v>
      </c>
      <c r="V27" s="153">
        <f t="shared" si="35"/>
        <v>4773.007959999999</v>
      </c>
      <c r="W27" s="153">
        <f t="shared" si="36"/>
        <v>5632.1493927999982</v>
      </c>
      <c r="X27" s="153">
        <f t="shared" si="37"/>
        <v>6645.9362835039974</v>
      </c>
      <c r="Y27" s="153">
        <f t="shared" si="38"/>
        <v>7842.2048145347162</v>
      </c>
      <c r="Z27" s="153">
        <f t="shared" si="39"/>
        <v>9253.8016811509642</v>
      </c>
      <c r="AA27" s="153">
        <f t="shared" si="40"/>
        <v>10919.485983758137</v>
      </c>
      <c r="AB27" s="153">
        <f t="shared" si="41"/>
        <v>12884.993460834601</v>
      </c>
      <c r="AC27" s="153">
        <f t="shared" si="42"/>
        <v>15204.292283784829</v>
      </c>
      <c r="AD27" s="137">
        <f t="shared" si="17"/>
        <v>0.25730916288828554</v>
      </c>
      <c r="AE27" s="31">
        <f t="shared" si="15"/>
        <v>0.08</v>
      </c>
      <c r="AF27" s="145">
        <f t="shared" si="1"/>
        <v>273677.26110812684</v>
      </c>
    </row>
    <row r="28" spans="2:32" s="123" customFormat="1">
      <c r="B28" s="23"/>
      <c r="C28" s="148"/>
      <c r="D28" s="148"/>
      <c r="E28" s="149"/>
      <c r="F28" s="149"/>
      <c r="G28" s="147">
        <f t="shared" ref="G28:M28" si="71">(G27-F27)/G27</f>
        <v>1</v>
      </c>
      <c r="H28" s="147">
        <f t="shared" si="71"/>
        <v>0.29090909090909089</v>
      </c>
      <c r="I28" s="147">
        <f t="shared" si="71"/>
        <v>0.36781609195402298</v>
      </c>
      <c r="J28" s="147">
        <f t="shared" si="71"/>
        <v>0.3396584440227704</v>
      </c>
      <c r="K28" s="147">
        <f t="shared" si="71"/>
        <v>0.46059365404298874</v>
      </c>
      <c r="L28" s="147">
        <f t="shared" si="71"/>
        <v>0.12298025134649911</v>
      </c>
      <c r="M28" s="147">
        <f t="shared" si="71"/>
        <v>8.3881578947368418E-2</v>
      </c>
      <c r="N28" s="147">
        <f t="shared" ref="N28" si="72">(N27-M27)/N27</f>
        <v>0.20522875816993463</v>
      </c>
      <c r="O28" s="147">
        <f t="shared" ref="O28" si="73">(O27-N27)/O27</f>
        <v>0.23346693386773548</v>
      </c>
      <c r="P28" s="147">
        <f t="shared" ref="P28:Q28" si="74">(P27-O27)/P27</f>
        <v>0.21448248720975993</v>
      </c>
      <c r="Q28" s="147">
        <f t="shared" si="74"/>
        <v>0.12530120481927712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>
      <c r="B29" s="20" t="s">
        <v>324</v>
      </c>
      <c r="C29" s="148"/>
      <c r="D29" s="148"/>
      <c r="E29" s="149"/>
      <c r="F29" s="146"/>
      <c r="G29" s="146">
        <v>0.18</v>
      </c>
      <c r="H29" s="146">
        <v>0.14000000000000001</v>
      </c>
      <c r="I29" s="146">
        <v>1</v>
      </c>
      <c r="J29" s="146">
        <v>5</v>
      </c>
      <c r="K29" s="146">
        <v>15</v>
      </c>
      <c r="L29" s="146">
        <v>21</v>
      </c>
      <c r="M29" s="146">
        <v>8</v>
      </c>
      <c r="N29" s="146">
        <v>3</v>
      </c>
      <c r="O29" s="146">
        <v>2</v>
      </c>
      <c r="P29" s="146">
        <v>1</v>
      </c>
      <c r="Q29" s="146">
        <v>0.72</v>
      </c>
      <c r="R29" s="118">
        <f>((Q29/G29)^(1/($H$2-$H$1) ))-1</f>
        <v>0.16652903957611653</v>
      </c>
      <c r="S29" s="31">
        <f t="shared" si="5"/>
        <v>0.18</v>
      </c>
      <c r="T29" s="153">
        <f t="shared" si="2"/>
        <v>0.84959999999999991</v>
      </c>
      <c r="U29" s="153">
        <f t="shared" ref="U29" si="75">T29*(1+$S29)</f>
        <v>1.0025279999999999</v>
      </c>
      <c r="V29" s="153">
        <f t="shared" ref="V29" si="76">U29*(1+$S29)</f>
        <v>1.1829830399999999</v>
      </c>
      <c r="W29" s="153">
        <f t="shared" ref="W29" si="77">V29*(1+$S29)</f>
        <v>1.3959199871999999</v>
      </c>
      <c r="X29" s="153">
        <f t="shared" ref="X29" si="78">W29*(1+$S29)</f>
        <v>1.6471855848959998</v>
      </c>
      <c r="Y29" s="153">
        <f t="shared" ref="Y29" si="79">X29*(1+$S29)</f>
        <v>1.9436789901772795</v>
      </c>
      <c r="Z29" s="153">
        <f t="shared" ref="Z29" si="80">Y29*(1+$S29)</f>
        <v>2.2935412084091897</v>
      </c>
      <c r="AA29" s="153">
        <f t="shared" ref="AA29" si="81">Z29*(1+$S29)</f>
        <v>2.7063786259228437</v>
      </c>
      <c r="AB29" s="153">
        <f t="shared" ref="AB29" si="82">AA29*(1+$S29)</f>
        <v>3.1935267785889554</v>
      </c>
      <c r="AC29" s="153">
        <f t="shared" ref="AC29" si="83">AB29*(1+$S29)</f>
        <v>3.768361598734967</v>
      </c>
      <c r="AD29" s="137">
        <f t="shared" ref="AD29" si="84">((AC29/G29)^(1/($AC$3-$H$1) ))-1</f>
        <v>0.16424398598253509</v>
      </c>
      <c r="AE29" s="31">
        <f t="shared" si="15"/>
        <v>0.08</v>
      </c>
      <c r="AF29" s="145">
        <f t="shared" ref="AF29" si="85">(AC29*(1+AE29))/($C$1-AE29)</f>
        <v>67.830508777229397</v>
      </c>
    </row>
    <row r="30" spans="2:32" s="123" customFormat="1">
      <c r="B30" s="23"/>
      <c r="C30" s="148"/>
      <c r="D30" s="148"/>
      <c r="E30" s="149"/>
      <c r="F30" s="149"/>
      <c r="G30" s="147">
        <f t="shared" ref="G30:L30" si="86">(G29-F29)/G29</f>
        <v>1</v>
      </c>
      <c r="H30" s="147">
        <f t="shared" si="86"/>
        <v>-0.28571428571428553</v>
      </c>
      <c r="I30" s="147">
        <f t="shared" si="86"/>
        <v>0.86</v>
      </c>
      <c r="J30" s="147">
        <f t="shared" si="86"/>
        <v>0.8</v>
      </c>
      <c r="K30" s="147">
        <f t="shared" si="86"/>
        <v>0.66666666666666663</v>
      </c>
      <c r="L30" s="147">
        <f t="shared" si="86"/>
        <v>0.2857142857142857</v>
      </c>
      <c r="M30" s="147">
        <f t="shared" ref="M30" si="87">(M29-L29)/M29</f>
        <v>-1.625</v>
      </c>
      <c r="N30" s="147">
        <f t="shared" ref="N30" si="88">(N29-M29)/N29</f>
        <v>-1.6666666666666667</v>
      </c>
      <c r="O30" s="147">
        <f t="shared" ref="O30" si="89">(O29-N29)/O29</f>
        <v>-0.5</v>
      </c>
      <c r="P30" s="147">
        <f t="shared" ref="P30:Q30" si="90">(P29-O29)/P29</f>
        <v>-1</v>
      </c>
      <c r="Q30" s="147">
        <f t="shared" si="90"/>
        <v>-0.38888888888888895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>
      <c r="B31" s="20" t="s">
        <v>332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0.18</v>
      </c>
      <c r="T31" s="153">
        <f t="shared" si="2"/>
        <v>0</v>
      </c>
      <c r="U31" s="153">
        <f>T31*(1+$S31)</f>
        <v>0</v>
      </c>
      <c r="V31" s="153">
        <f t="shared" ref="V31:AC32" si="91">U31*(1+$S31)</f>
        <v>0</v>
      </c>
      <c r="W31" s="153">
        <f t="shared" si="91"/>
        <v>0</v>
      </c>
      <c r="X31" s="153">
        <f t="shared" si="91"/>
        <v>0</v>
      </c>
      <c r="Y31" s="153">
        <f t="shared" si="91"/>
        <v>0</v>
      </c>
      <c r="Z31" s="153">
        <f t="shared" si="91"/>
        <v>0</v>
      </c>
      <c r="AA31" s="153">
        <f t="shared" si="91"/>
        <v>0</v>
      </c>
      <c r="AB31" s="153">
        <f t="shared" si="91"/>
        <v>0</v>
      </c>
      <c r="AC31" s="153">
        <f t="shared" si="91"/>
        <v>0</v>
      </c>
      <c r="AD31" s="137" t="e">
        <f t="shared" ref="AD31" si="92">((AC31/G31)^(1/($AC$3-$H$1) ))-1</f>
        <v>#DIV/0!</v>
      </c>
      <c r="AE31" s="31">
        <f t="shared" si="15"/>
        <v>0.08</v>
      </c>
      <c r="AF31" s="145">
        <f t="shared" si="1"/>
        <v>0</v>
      </c>
    </row>
    <row r="32" spans="2:32">
      <c r="B32" s="20" t="s">
        <v>331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0.18</v>
      </c>
      <c r="T32" s="153">
        <f t="shared" si="2"/>
        <v>0</v>
      </c>
      <c r="U32" s="153">
        <f>T32*(1+$S32)</f>
        <v>0</v>
      </c>
      <c r="V32" s="153">
        <f t="shared" si="91"/>
        <v>0</v>
      </c>
      <c r="W32" s="153">
        <f t="shared" si="91"/>
        <v>0</v>
      </c>
      <c r="X32" s="153">
        <f t="shared" si="91"/>
        <v>0</v>
      </c>
      <c r="Y32" s="153">
        <f t="shared" si="91"/>
        <v>0</v>
      </c>
      <c r="Z32" s="153">
        <f t="shared" si="91"/>
        <v>0</v>
      </c>
      <c r="AA32" s="153">
        <f t="shared" si="91"/>
        <v>0</v>
      </c>
      <c r="AB32" s="153">
        <f t="shared" si="91"/>
        <v>0</v>
      </c>
      <c r="AC32" s="153">
        <f t="shared" si="91"/>
        <v>0</v>
      </c>
      <c r="AD32" s="137" t="e">
        <f t="shared" ref="AD32" si="93">((AC32/G32)^(1/($AC$3-$H$1) ))-1</f>
        <v>#DIV/0!</v>
      </c>
      <c r="AE32" s="31">
        <f t="shared" si="15"/>
        <v>0.08</v>
      </c>
      <c r="AF32" s="145">
        <f t="shared" si="1"/>
        <v>0</v>
      </c>
    </row>
    <row r="33" spans="2:32">
      <c r="B33" s="20" t="s">
        <v>316</v>
      </c>
      <c r="C33" s="140"/>
      <c r="D33" s="140"/>
      <c r="E33" s="146"/>
      <c r="F33" s="146"/>
      <c r="G33" s="146">
        <v>85</v>
      </c>
      <c r="H33" s="146">
        <v>140</v>
      </c>
      <c r="I33" s="146">
        <v>229</v>
      </c>
      <c r="J33" s="146">
        <v>401</v>
      </c>
      <c r="K33" s="146">
        <v>789</v>
      </c>
      <c r="L33" s="146">
        <v>884</v>
      </c>
      <c r="M33" s="146">
        <v>938</v>
      </c>
      <c r="N33" s="146">
        <v>1218</v>
      </c>
      <c r="O33" s="146">
        <v>1614</v>
      </c>
      <c r="P33" s="146">
        <v>2065</v>
      </c>
      <c r="Q33" s="146">
        <v>2357</v>
      </c>
      <c r="R33" s="118">
        <f>((Q33/G33)^(1/($H$2-$H$1) ))-1</f>
        <v>0.44652765051990118</v>
      </c>
      <c r="S33" s="31">
        <f t="shared" si="5"/>
        <v>0.18</v>
      </c>
      <c r="T33" s="153">
        <f t="shared" si="2"/>
        <v>2781.2599999999998</v>
      </c>
      <c r="U33" s="153">
        <f t="shared" si="34"/>
        <v>3281.8867999999998</v>
      </c>
      <c r="V33" s="153">
        <f t="shared" si="35"/>
        <v>3872.6264239999996</v>
      </c>
      <c r="W33" s="153">
        <f t="shared" si="36"/>
        <v>4569.699180319999</v>
      </c>
      <c r="X33" s="153">
        <f t="shared" si="37"/>
        <v>5392.2450327775987</v>
      </c>
      <c r="Y33" s="153">
        <f t="shared" si="38"/>
        <v>6362.8491386775659</v>
      </c>
      <c r="Z33" s="153">
        <f t="shared" si="39"/>
        <v>7508.1619836395275</v>
      </c>
      <c r="AA33" s="153">
        <f t="shared" si="40"/>
        <v>8859.6311406946425</v>
      </c>
      <c r="AB33" s="153">
        <f t="shared" si="41"/>
        <v>10454.364746019677</v>
      </c>
      <c r="AC33" s="153">
        <f t="shared" si="42"/>
        <v>12336.150400303219</v>
      </c>
      <c r="AD33" s="137">
        <f t="shared" si="17"/>
        <v>0.28259055218316953</v>
      </c>
      <c r="AE33" s="31">
        <f t="shared" si="15"/>
        <v>0.08</v>
      </c>
      <c r="AF33" s="145">
        <f t="shared" si="1"/>
        <v>222050.7072054579</v>
      </c>
    </row>
    <row r="34" spans="2:32">
      <c r="B34" s="20" t="s">
        <v>308</v>
      </c>
      <c r="C34" s="140"/>
      <c r="D34" s="140"/>
      <c r="E34" s="146"/>
      <c r="F34" s="146"/>
      <c r="G34" s="146">
        <v>16</v>
      </c>
      <c r="H34" s="146">
        <v>18</v>
      </c>
      <c r="I34" s="146">
        <v>24</v>
      </c>
      <c r="J34" s="146">
        <v>33</v>
      </c>
      <c r="K34" s="146">
        <v>53</v>
      </c>
      <c r="L34" s="146">
        <v>62</v>
      </c>
      <c r="M34" s="146">
        <v>84</v>
      </c>
      <c r="N34" s="146">
        <v>97</v>
      </c>
      <c r="O34" s="146">
        <v>111</v>
      </c>
      <c r="P34" s="146">
        <v>127</v>
      </c>
      <c r="Q34" s="146">
        <v>158</v>
      </c>
      <c r="R34" s="118">
        <f>((Q34/G34)^(1/($H$2-$H$1) ))-1</f>
        <v>0.28974580122622329</v>
      </c>
      <c r="S34" s="31">
        <f t="shared" si="5"/>
        <v>0.18</v>
      </c>
      <c r="T34" s="153">
        <f t="shared" si="2"/>
        <v>186.44</v>
      </c>
      <c r="U34" s="153">
        <f t="shared" si="34"/>
        <v>219.99919999999997</v>
      </c>
      <c r="V34" s="153">
        <f t="shared" si="35"/>
        <v>259.59905599999996</v>
      </c>
      <c r="W34" s="153">
        <f t="shared" si="36"/>
        <v>306.32688607999995</v>
      </c>
      <c r="X34" s="153">
        <f t="shared" si="37"/>
        <v>361.46572557439993</v>
      </c>
      <c r="Y34" s="153">
        <f t="shared" si="38"/>
        <v>426.5295561777919</v>
      </c>
      <c r="Z34" s="153">
        <f t="shared" si="39"/>
        <v>503.30487628979444</v>
      </c>
      <c r="AA34" s="153">
        <f t="shared" si="40"/>
        <v>593.89975402195739</v>
      </c>
      <c r="AB34" s="153">
        <f t="shared" si="41"/>
        <v>700.80170974590965</v>
      </c>
      <c r="AC34" s="153">
        <f t="shared" si="42"/>
        <v>826.9460175001733</v>
      </c>
      <c r="AD34" s="137">
        <f t="shared" si="17"/>
        <v>0.21805769253366347</v>
      </c>
      <c r="AE34" s="31">
        <f t="shared" si="15"/>
        <v>0.08</v>
      </c>
      <c r="AF34" s="145">
        <f t="shared" si="1"/>
        <v>14885.028315003117</v>
      </c>
    </row>
    <row r="35" spans="2:3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>
      <c r="B36" s="20" t="s">
        <v>278</v>
      </c>
      <c r="C36" s="140"/>
      <c r="D36" s="140"/>
      <c r="E36" s="146"/>
      <c r="F36" s="146"/>
      <c r="G36" s="146">
        <v>22</v>
      </c>
      <c r="H36" s="146">
        <v>24</v>
      </c>
      <c r="I36" s="146">
        <v>53</v>
      </c>
      <c r="J36" s="146">
        <v>93</v>
      </c>
      <c r="K36" s="146">
        <v>182</v>
      </c>
      <c r="L36" s="146">
        <v>208</v>
      </c>
      <c r="M36" s="146">
        <v>293</v>
      </c>
      <c r="N36" s="146">
        <v>258</v>
      </c>
      <c r="O36" s="146">
        <v>356</v>
      </c>
      <c r="P36" s="146">
        <v>452</v>
      </c>
      <c r="Q36" s="146">
        <v>560</v>
      </c>
      <c r="R36" s="118">
        <f>((Q36/G36)^(1/($H$2-$H$1) ))-1</f>
        <v>0.43283489459596858</v>
      </c>
      <c r="S36" s="31">
        <f t="shared" si="5"/>
        <v>0.18</v>
      </c>
      <c r="T36" s="153">
        <f t="shared" si="2"/>
        <v>660.8</v>
      </c>
      <c r="U36" s="153">
        <f t="shared" ref="U36" si="94">T36*(1+$S36)</f>
        <v>779.74399999999991</v>
      </c>
      <c r="V36" s="153">
        <f t="shared" ref="V36" si="95">U36*(1+$S36)</f>
        <v>920.09791999999982</v>
      </c>
      <c r="W36" s="153">
        <f t="shared" ref="W36" si="96">V36*(1+$S36)</f>
        <v>1085.7155455999998</v>
      </c>
      <c r="X36" s="153">
        <f t="shared" si="37"/>
        <v>1281.1443438079998</v>
      </c>
      <c r="Y36" s="153">
        <f t="shared" si="38"/>
        <v>1511.7503256934397</v>
      </c>
      <c r="Z36" s="153">
        <f t="shared" si="39"/>
        <v>1783.8653843182587</v>
      </c>
      <c r="AA36" s="153">
        <f t="shared" si="40"/>
        <v>2104.9611534955452</v>
      </c>
      <c r="AB36" s="153">
        <f t="shared" si="41"/>
        <v>2483.8541611247433</v>
      </c>
      <c r="AC36" s="153">
        <f t="shared" si="42"/>
        <v>2930.9479101271968</v>
      </c>
      <c r="AD36" s="137">
        <f t="shared" si="17"/>
        <v>0.27711283905383066</v>
      </c>
      <c r="AE36" s="31">
        <f t="shared" si="15"/>
        <v>0.08</v>
      </c>
      <c r="AF36" s="145">
        <f t="shared" si="1"/>
        <v>52757.062382289536</v>
      </c>
    </row>
    <row r="37" spans="2:32" s="123" customFormat="1">
      <c r="B37" s="23"/>
      <c r="C37" s="148"/>
      <c r="D37" s="148"/>
      <c r="E37" s="149"/>
      <c r="F37" s="149"/>
      <c r="G37" s="147">
        <f t="shared" ref="G37" si="97">(G36-F36)/G36</f>
        <v>1</v>
      </c>
      <c r="H37" s="147">
        <f t="shared" ref="H37" si="98">(H36-G36)/H36</f>
        <v>8.3333333333333329E-2</v>
      </c>
      <c r="I37" s="147">
        <f t="shared" ref="I37" si="99">(I36-H36)/I36</f>
        <v>0.54716981132075471</v>
      </c>
      <c r="J37" s="147">
        <f t="shared" ref="J37" si="100">(J36-I36)/J36</f>
        <v>0.43010752688172044</v>
      </c>
      <c r="K37" s="147">
        <f t="shared" ref="K37" si="101">(K36-J36)/K36</f>
        <v>0.48901098901098899</v>
      </c>
      <c r="L37" s="147">
        <f t="shared" ref="L37" si="102">(L36-K36)/L36</f>
        <v>0.125</v>
      </c>
      <c r="M37" s="147">
        <f t="shared" ref="M37" si="103">(M36-L36)/M36</f>
        <v>0.29010238907849828</v>
      </c>
      <c r="N37" s="147">
        <f t="shared" ref="N37" si="104">(N36-M36)/N36</f>
        <v>-0.13565891472868216</v>
      </c>
      <c r="O37" s="147">
        <f t="shared" ref="O37" si="105">(O36-N36)/O36</f>
        <v>0.2752808988764045</v>
      </c>
      <c r="P37" s="147">
        <f t="shared" ref="P37:Q37" si="106">(P36-O36)/P36</f>
        <v>0.21238938053097345</v>
      </c>
      <c r="Q37" s="147">
        <f t="shared" si="106"/>
        <v>0.19285714285714287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>
      <c r="B38" s="20" t="s">
        <v>400</v>
      </c>
      <c r="C38" s="148"/>
      <c r="D38" s="148"/>
      <c r="E38" s="149"/>
      <c r="F38" s="149"/>
      <c r="G38" s="146">
        <v>1</v>
      </c>
      <c r="H38" s="146">
        <v>12</v>
      </c>
      <c r="I38" s="146">
        <v>37</v>
      </c>
      <c r="J38" s="146">
        <v>72</v>
      </c>
      <c r="K38" s="146">
        <v>146</v>
      </c>
      <c r="L38" s="146">
        <v>124</v>
      </c>
      <c r="M38" s="146">
        <v>255</v>
      </c>
      <c r="N38" s="146">
        <v>220</v>
      </c>
      <c r="O38" s="146">
        <v>318</v>
      </c>
      <c r="P38" s="146">
        <v>422</v>
      </c>
      <c r="Q38" s="146">
        <v>536</v>
      </c>
      <c r="R38" s="118">
        <f>((Q38/G38)^(1/($H$2-$H$1) ))-1</f>
        <v>1.01020584848311</v>
      </c>
      <c r="S38" s="31">
        <f t="shared" si="5"/>
        <v>0.18</v>
      </c>
      <c r="T38" s="153">
        <f t="shared" si="2"/>
        <v>632.48</v>
      </c>
      <c r="U38" s="153">
        <f t="shared" ref="U38" si="107">T38*(1+$S38)</f>
        <v>746.32640000000004</v>
      </c>
      <c r="V38" s="153">
        <f t="shared" ref="V38" si="108">U38*(1+$S38)</f>
        <v>880.66515200000003</v>
      </c>
      <c r="W38" s="153">
        <f t="shared" ref="W38" si="109">V38*(1+$S38)</f>
        <v>1039.18487936</v>
      </c>
      <c r="X38" s="153">
        <f t="shared" ref="X38" si="110">W38*(1+$S38)</f>
        <v>1226.2381576447999</v>
      </c>
      <c r="Y38" s="153">
        <f t="shared" ref="Y38" si="111">X38*(1+$S38)</f>
        <v>1446.9610260208638</v>
      </c>
      <c r="Z38" s="153">
        <f t="shared" ref="Z38" si="112">Y38*(1+$S38)</f>
        <v>1707.4140107046192</v>
      </c>
      <c r="AA38" s="153">
        <f t="shared" ref="AA38" si="113">Z38*(1+$S38)</f>
        <v>2014.7485326314504</v>
      </c>
      <c r="AB38" s="153">
        <f t="shared" ref="AB38" si="114">AA38*(1+$S38)</f>
        <v>2377.4032685051116</v>
      </c>
      <c r="AC38" s="153">
        <f t="shared" ref="AC38" si="115">AB38*(1+$S38)</f>
        <v>2805.3358568360313</v>
      </c>
      <c r="AD38" s="137">
        <f t="shared" ref="AD38" si="116">((AC38/G38)^(1/($AC$3-$H$1) ))-1</f>
        <v>0.48730227806332804</v>
      </c>
      <c r="AE38" s="31">
        <f t="shared" si="15"/>
        <v>0.08</v>
      </c>
      <c r="AF38" s="145">
        <f t="shared" ref="AF38" si="117">(AC38*(1+AE38))/($C$1-AE38)</f>
        <v>50496.045423048556</v>
      </c>
    </row>
    <row r="39" spans="2:32" s="123" customFormat="1">
      <c r="B39" s="23"/>
      <c r="C39" s="148"/>
      <c r="D39" s="148"/>
      <c r="E39" s="149"/>
      <c r="F39" s="149"/>
      <c r="G39" s="147">
        <f t="shared" ref="G39" si="118">(G38-F38)/G38</f>
        <v>1</v>
      </c>
      <c r="H39" s="147">
        <f t="shared" ref="H39" si="119">(H38-G38)/H38</f>
        <v>0.91666666666666663</v>
      </c>
      <c r="I39" s="147">
        <f t="shared" ref="I39" si="120">(I38-H38)/I38</f>
        <v>0.67567567567567566</v>
      </c>
      <c r="J39" s="147">
        <f t="shared" ref="J39" si="121">(J38-I38)/J38</f>
        <v>0.4861111111111111</v>
      </c>
      <c r="K39" s="147">
        <f t="shared" ref="K39" si="122">(K38-J38)/K38</f>
        <v>0.50684931506849318</v>
      </c>
      <c r="L39" s="147">
        <f t="shared" ref="L39" si="123">(L38-K38)/L38</f>
        <v>-0.17741935483870969</v>
      </c>
      <c r="M39" s="147">
        <f t="shared" ref="M39" si="124">(M38-L38)/M38</f>
        <v>0.51372549019607838</v>
      </c>
      <c r="N39" s="147">
        <f t="shared" ref="N39" si="125">(N38-M38)/N38</f>
        <v>-0.15909090909090909</v>
      </c>
      <c r="O39" s="147">
        <f t="shared" ref="O39" si="126">(O38-N38)/O38</f>
        <v>0.3081761006289308</v>
      </c>
      <c r="P39" s="147">
        <f t="shared" ref="P39:Q39" si="127">(P38-O38)/P38</f>
        <v>0.24644549763033174</v>
      </c>
      <c r="Q39" s="147">
        <f t="shared" si="127"/>
        <v>0.21268656716417911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>
      <c r="B40" s="20" t="s">
        <v>401</v>
      </c>
      <c r="C40" s="140"/>
      <c r="D40" s="140"/>
      <c r="E40" s="146"/>
      <c r="F40" s="146"/>
      <c r="G40" s="146">
        <v>1</v>
      </c>
      <c r="H40" s="146">
        <v>9</v>
      </c>
      <c r="I40" s="146">
        <v>24</v>
      </c>
      <c r="J40" s="146">
        <v>47</v>
      </c>
      <c r="K40" s="146">
        <v>94</v>
      </c>
      <c r="L40" s="146">
        <v>81</v>
      </c>
      <c r="M40" s="146">
        <v>167</v>
      </c>
      <c r="N40" s="146">
        <v>148</v>
      </c>
      <c r="O40" s="146">
        <v>215</v>
      </c>
      <c r="P40" s="146">
        <v>287</v>
      </c>
      <c r="Q40" s="146">
        <v>367</v>
      </c>
      <c r="R40" s="118">
        <f>((Q40/G40)^(1/($H$2-$H$1) ))-1</f>
        <v>0.92736024203265832</v>
      </c>
      <c r="S40" s="31">
        <f t="shared" si="5"/>
        <v>0.18</v>
      </c>
      <c r="T40" s="153">
        <f t="shared" si="2"/>
        <v>433.06</v>
      </c>
      <c r="U40" s="153">
        <f t="shared" ref="U40:AC40" si="128">T40*(1+$S40)</f>
        <v>511.01079999999996</v>
      </c>
      <c r="V40" s="153">
        <f t="shared" si="128"/>
        <v>602.9927439999999</v>
      </c>
      <c r="W40" s="153">
        <f t="shared" si="128"/>
        <v>711.5314379199998</v>
      </c>
      <c r="X40" s="153">
        <f t="shared" si="128"/>
        <v>839.60709674559973</v>
      </c>
      <c r="Y40" s="153">
        <f t="shared" si="128"/>
        <v>990.73637415980761</v>
      </c>
      <c r="Z40" s="153">
        <f t="shared" si="128"/>
        <v>1169.0689215085729</v>
      </c>
      <c r="AA40" s="153">
        <f t="shared" si="128"/>
        <v>1379.501327380116</v>
      </c>
      <c r="AB40" s="153">
        <f t="shared" si="128"/>
        <v>1627.8115663085368</v>
      </c>
      <c r="AC40" s="153">
        <f t="shared" si="128"/>
        <v>1920.8176482440733</v>
      </c>
      <c r="AD40" s="137">
        <f t="shared" si="17"/>
        <v>0.45939988221494299</v>
      </c>
      <c r="AE40" s="31">
        <f t="shared" si="15"/>
        <v>0.08</v>
      </c>
      <c r="AF40" s="145">
        <f t="shared" si="1"/>
        <v>34574.717668393314</v>
      </c>
    </row>
    <row r="41" spans="2:32" s="123" customFormat="1">
      <c r="B41" s="23"/>
      <c r="C41" s="148"/>
      <c r="D41" s="148"/>
      <c r="E41" s="149"/>
      <c r="F41" s="149"/>
      <c r="G41" s="147">
        <f>(G40-F40)/G40</f>
        <v>1</v>
      </c>
      <c r="H41" s="147">
        <f t="shared" ref="H41:Q41" si="129">(H40-G40)/H40</f>
        <v>0.88888888888888884</v>
      </c>
      <c r="I41" s="147">
        <f t="shared" si="129"/>
        <v>0.625</v>
      </c>
      <c r="J41" s="147">
        <f t="shared" si="129"/>
        <v>0.48936170212765956</v>
      </c>
      <c r="K41" s="147">
        <f t="shared" si="129"/>
        <v>0.5</v>
      </c>
      <c r="L41" s="147">
        <f t="shared" si="129"/>
        <v>-0.16049382716049382</v>
      </c>
      <c r="M41" s="147">
        <f t="shared" si="129"/>
        <v>0.51497005988023947</v>
      </c>
      <c r="N41" s="147">
        <f t="shared" si="129"/>
        <v>-0.12837837837837837</v>
      </c>
      <c r="O41" s="147">
        <f t="shared" si="129"/>
        <v>0.3116279069767442</v>
      </c>
      <c r="P41" s="147">
        <f t="shared" si="129"/>
        <v>0.25087108013937282</v>
      </c>
      <c r="Q41" s="147">
        <f t="shared" si="129"/>
        <v>0.21798365122615804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>
      <c r="B42" s="20" t="s">
        <v>239</v>
      </c>
      <c r="C42" s="141">
        <v>1</v>
      </c>
      <c r="D42" s="141">
        <v>1</v>
      </c>
      <c r="E42" s="144">
        <v>1</v>
      </c>
      <c r="F42" s="144">
        <v>1.1299999999999999</v>
      </c>
      <c r="G42" s="144">
        <v>1.1299999999999999</v>
      </c>
      <c r="H42" s="144">
        <v>1.1299999999999999</v>
      </c>
      <c r="I42" s="144">
        <v>1.1299999999999999</v>
      </c>
      <c r="J42" s="144">
        <v>1.1299999999999999</v>
      </c>
      <c r="K42" s="144">
        <v>5.69</v>
      </c>
      <c r="L42" s="144">
        <v>8.5399999999999991</v>
      </c>
      <c r="M42" s="144">
        <v>8.5399999999999991</v>
      </c>
      <c r="N42" s="144">
        <v>8.5399999999999991</v>
      </c>
      <c r="O42" s="144">
        <v>8.5399999999999991</v>
      </c>
      <c r="P42" s="144">
        <v>17.079999999999998</v>
      </c>
      <c r="Q42" s="144">
        <v>17.079999999999998</v>
      </c>
      <c r="R42" s="118">
        <f>((Q42/G42)^(1/($H$2-$H$1) ))-1</f>
        <v>0.35221419735813497</v>
      </c>
      <c r="S42" s="31">
        <v>0.01</v>
      </c>
      <c r="T42" s="153">
        <f t="shared" si="2"/>
        <v>17.250799999999998</v>
      </c>
      <c r="U42" s="153">
        <f t="shared" ref="U42:AC42" si="130">T42*(1+$S42)</f>
        <v>17.423307999999999</v>
      </c>
      <c r="V42" s="153">
        <f t="shared" si="130"/>
        <v>17.597541079999999</v>
      </c>
      <c r="W42" s="153">
        <f t="shared" si="130"/>
        <v>17.773516490799999</v>
      </c>
      <c r="X42" s="153">
        <f t="shared" si="130"/>
        <v>17.951251655707999</v>
      </c>
      <c r="Y42" s="153">
        <f t="shared" si="130"/>
        <v>18.130764172265078</v>
      </c>
      <c r="Z42" s="153">
        <f t="shared" si="130"/>
        <v>18.312071813987728</v>
      </c>
      <c r="AA42" s="153">
        <f t="shared" si="130"/>
        <v>18.495192532127607</v>
      </c>
      <c r="AB42" s="153">
        <f t="shared" si="130"/>
        <v>18.680144457448883</v>
      </c>
      <c r="AC42" s="153">
        <f t="shared" si="130"/>
        <v>18.866945902023371</v>
      </c>
      <c r="AD42" s="137">
        <f t="shared" si="17"/>
        <v>0.15114798606501001</v>
      </c>
      <c r="AE42" s="31">
        <f t="shared" si="15"/>
        <v>0.08</v>
      </c>
      <c r="AF42" s="145">
        <f t="shared" si="1"/>
        <v>339.6050262364206</v>
      </c>
    </row>
    <row r="43" spans="2:32">
      <c r="B43" s="20"/>
      <c r="C43" s="141"/>
      <c r="D43" s="141"/>
      <c r="E43" s="142"/>
      <c r="F43" s="146"/>
      <c r="G43" s="147">
        <f>(G42-F42)/G42</f>
        <v>0</v>
      </c>
      <c r="H43" s="147">
        <f t="shared" ref="H43" si="131">(H42-G42)/H42</f>
        <v>0</v>
      </c>
      <c r="I43" s="147">
        <f t="shared" ref="I43" si="132">(I42-H42)/I42</f>
        <v>0</v>
      </c>
      <c r="J43" s="147">
        <f t="shared" ref="J43" si="133">(J42-I42)/J42</f>
        <v>0</v>
      </c>
      <c r="K43" s="147">
        <f t="shared" ref="K43" si="134">(K42-J42)/K42</f>
        <v>0.80140597539543057</v>
      </c>
      <c r="L43" s="147">
        <f t="shared" ref="L43" si="135">(L42-K42)/L42</f>
        <v>0.33372365339578441</v>
      </c>
      <c r="M43" s="147">
        <f t="shared" ref="M43" si="136">(M42-L42)/M42</f>
        <v>0</v>
      </c>
      <c r="N43" s="147">
        <f t="shared" ref="N43" si="137">(N42-M42)/N42</f>
        <v>0</v>
      </c>
      <c r="O43" s="147">
        <f t="shared" ref="O43" si="138">(O42-N42)/O42</f>
        <v>0</v>
      </c>
      <c r="P43" s="147">
        <f t="shared" ref="P43:Q43" si="139">(P42-O42)/P42</f>
        <v>0.5</v>
      </c>
      <c r="Q43" s="193">
        <f t="shared" si="139"/>
        <v>0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>
      <c r="B44" s="20" t="s">
        <v>282</v>
      </c>
      <c r="C44" s="144"/>
      <c r="D44" s="144"/>
      <c r="E44" s="144"/>
      <c r="F44" s="146"/>
      <c r="G44" s="144">
        <v>1.5</v>
      </c>
      <c r="H44" s="144">
        <v>2</v>
      </c>
      <c r="I44" s="144">
        <v>2.5</v>
      </c>
      <c r="J44" s="144">
        <v>3.5</v>
      </c>
      <c r="K44" s="144">
        <v>0.7</v>
      </c>
      <c r="L44" s="144">
        <v>0.8</v>
      </c>
      <c r="M44" s="144">
        <v>2.9</v>
      </c>
      <c r="N44" s="144">
        <v>4.5999999999999996</v>
      </c>
      <c r="O44" s="144">
        <v>3.78</v>
      </c>
      <c r="P44" s="144">
        <v>2.52</v>
      </c>
      <c r="Q44" s="144">
        <v>3.23</v>
      </c>
      <c r="R44" s="118">
        <f>((Q44/G44)^(1/($H$2-$H$1) ))-1</f>
        <v>8.8961091156950722E-2</v>
      </c>
      <c r="S44" s="31">
        <f>P1</f>
        <v>0.08</v>
      </c>
      <c r="T44" s="153">
        <f t="shared" si="2"/>
        <v>3.4884000000000004</v>
      </c>
      <c r="U44" s="153">
        <f t="shared" ref="U44" si="140">T44*(1+$S44)</f>
        <v>3.7674720000000006</v>
      </c>
      <c r="V44" s="153">
        <f t="shared" ref="V44" si="141">U44*(1+$S44)</f>
        <v>4.068869760000001</v>
      </c>
      <c r="W44" s="153">
        <f t="shared" ref="W44" si="142">V44*(1+$S44)</f>
        <v>4.3943793408000014</v>
      </c>
      <c r="X44" s="153">
        <f t="shared" ref="X44" si="143">W44*(1+$S44)</f>
        <v>4.7459296880640016</v>
      </c>
      <c r="Y44" s="153">
        <f t="shared" ref="Y44" si="144">X44*(1+$S44)</f>
        <v>5.1256040631091224</v>
      </c>
      <c r="Z44" s="153">
        <f t="shared" ref="Z44" si="145">Y44*(1+$S44)</f>
        <v>5.5356523881578523</v>
      </c>
      <c r="AA44" s="153">
        <f t="shared" ref="AA44" si="146">Z44*(1+$S44)</f>
        <v>5.9785045792104805</v>
      </c>
      <c r="AB44" s="153">
        <f t="shared" ref="AB44" si="147">AA44*(1+$S44)</f>
        <v>6.4567849455473194</v>
      </c>
      <c r="AC44" s="153">
        <f t="shared" ref="AC44" si="148">AB44*(1+$S44)</f>
        <v>6.9733277411911052</v>
      </c>
      <c r="AD44" s="137">
        <f t="shared" ref="AD44" si="149">((AC44/G44)^(1/($AC$3-$H$1) ))-1</f>
        <v>7.9859966438526442E-2</v>
      </c>
      <c r="AE44" s="31">
        <f t="shared" si="15"/>
        <v>0.08</v>
      </c>
      <c r="AF44" s="145">
        <f t="shared" si="1"/>
        <v>125.51989934143988</v>
      </c>
    </row>
    <row r="45" spans="2:32">
      <c r="B45" s="20" t="s">
        <v>426</v>
      </c>
      <c r="C45" s="20"/>
      <c r="D45" s="20"/>
      <c r="E45" s="127"/>
      <c r="F45" s="127"/>
      <c r="G45" s="146">
        <v>0</v>
      </c>
      <c r="H45" s="146">
        <v>0</v>
      </c>
      <c r="I45" s="146">
        <v>0</v>
      </c>
      <c r="J45" s="146">
        <v>0</v>
      </c>
      <c r="K45" s="146" t="s">
        <v>456</v>
      </c>
      <c r="L45" s="146">
        <v>0</v>
      </c>
      <c r="M45" s="146">
        <v>0</v>
      </c>
      <c r="N45" s="146">
        <v>0</v>
      </c>
      <c r="O45" s="146">
        <v>0</v>
      </c>
      <c r="P45" s="146" t="s">
        <v>457</v>
      </c>
      <c r="Q45" s="144">
        <v>0</v>
      </c>
      <c r="R45" s="146">
        <v>0</v>
      </c>
      <c r="S45" s="128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8"/>
      <c r="AE45" s="136"/>
      <c r="AF45" s="153"/>
    </row>
    <row r="46" spans="2:32">
      <c r="B46" s="20" t="s">
        <v>424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 t="s">
        <v>455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>
      <c r="B47" s="20" t="s">
        <v>425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159.2920353982301</v>
      </c>
      <c r="H50" s="133">
        <f t="shared" si="150"/>
        <v>217.6991150442478</v>
      </c>
      <c r="I50" s="133">
        <f t="shared" si="150"/>
        <v>355.75221238938059</v>
      </c>
      <c r="J50" s="133">
        <f t="shared" si="150"/>
        <v>548.67256637168146</v>
      </c>
      <c r="K50" s="133">
        <f t="shared" si="150"/>
        <v>204.21792618629172</v>
      </c>
      <c r="L50" s="133">
        <f t="shared" si="150"/>
        <v>151.40515222482438</v>
      </c>
      <c r="M50" s="133">
        <f t="shared" si="150"/>
        <v>178.33723653395785</v>
      </c>
      <c r="N50" s="133">
        <f t="shared" si="150"/>
        <v>210.07025761124123</v>
      </c>
      <c r="O50" s="133">
        <f t="shared" si="150"/>
        <v>276.69789227166279</v>
      </c>
      <c r="P50" s="133">
        <f t="shared" si="150"/>
        <v>177.40046838407497</v>
      </c>
      <c r="Q50" s="133">
        <f t="shared" ref="Q50" si="151">Q25/Q42</f>
        <v>205.32786885245903</v>
      </c>
      <c r="R50" s="118">
        <f>((P50/G50)^(1/($H$2-$H$1) ))-1</f>
        <v>1.203523555115682E-2</v>
      </c>
      <c r="S50" s="128"/>
      <c r="T50" s="157">
        <f t="shared" ref="T50:AC50" si="152">T25/T42</f>
        <v>239.88800519396204</v>
      </c>
      <c r="U50" s="157">
        <f t="shared" si="152"/>
        <v>280.26519418700519</v>
      </c>
      <c r="V50" s="157">
        <f t="shared" si="152"/>
        <v>327.43854370362982</v>
      </c>
      <c r="W50" s="157">
        <f t="shared" si="152"/>
        <v>382.55196195077542</v>
      </c>
      <c r="X50" s="157">
        <f t="shared" si="152"/>
        <v>446.94189614050987</v>
      </c>
      <c r="Y50" s="157">
        <f t="shared" si="152"/>
        <v>522.16974004534825</v>
      </c>
      <c r="Z50" s="157">
        <f t="shared" si="152"/>
        <v>610.05969629060485</v>
      </c>
      <c r="AA50" s="157">
        <f t="shared" si="152"/>
        <v>712.74301150783526</v>
      </c>
      <c r="AB50" s="157">
        <f t="shared" si="152"/>
        <v>832.70965700915394</v>
      </c>
      <c r="AC50" s="157">
        <f t="shared" si="152"/>
        <v>972.86870818891259</v>
      </c>
      <c r="AD50" s="137">
        <f t="shared" ref="AD50" si="153">((AC50/G50)^(1/($AC$3-$H$1) ))-1</f>
        <v>9.4694682906700578E-2</v>
      </c>
      <c r="AE50" s="31">
        <f t="shared" si="15"/>
        <v>0.08</v>
      </c>
      <c r="AF50" s="145">
        <f t="shared" ref="AF50:AF51" si="154">(AC50*(1+AE50))/($C$1-AE50)</f>
        <v>17511.636747400426</v>
      </c>
    </row>
    <row r="51" spans="2:3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138.05309734513276</v>
      </c>
      <c r="H51" s="133">
        <f t="shared" si="155"/>
        <v>194.69026548672568</v>
      </c>
      <c r="I51" s="133">
        <f t="shared" si="155"/>
        <v>307.96460176991155</v>
      </c>
      <c r="J51" s="133">
        <f t="shared" si="155"/>
        <v>466.37168141592923</v>
      </c>
      <c r="K51" s="133">
        <f t="shared" si="155"/>
        <v>171.70474516695955</v>
      </c>
      <c r="L51" s="133">
        <f t="shared" si="155"/>
        <v>130.4449648711944</v>
      </c>
      <c r="M51" s="133">
        <f t="shared" si="155"/>
        <v>142.38875878220142</v>
      </c>
      <c r="N51" s="133">
        <f t="shared" si="155"/>
        <v>179.15690866510539</v>
      </c>
      <c r="O51" s="133">
        <f t="shared" si="155"/>
        <v>233.72365339578457</v>
      </c>
      <c r="P51" s="133">
        <f t="shared" si="155"/>
        <v>148.7704918032787</v>
      </c>
      <c r="Q51" s="133">
        <f t="shared" ref="Q51" si="156">Q27/Q42</f>
        <v>170.08196721311478</v>
      </c>
      <c r="R51" s="118">
        <f>((P51/G51)^(1/($H$2-$H$1) ))-1</f>
        <v>8.3419820809482736E-3</v>
      </c>
      <c r="S51" s="128"/>
      <c r="T51" s="157">
        <f t="shared" ref="T51:AC51" si="157">T27/T42</f>
        <v>198.70962506086676</v>
      </c>
      <c r="U51" s="157">
        <f t="shared" si="157"/>
        <v>232.15579957606212</v>
      </c>
      <c r="V51" s="157">
        <f t="shared" si="157"/>
        <v>271.23152821757748</v>
      </c>
      <c r="W51" s="157">
        <f t="shared" si="157"/>
        <v>316.88435969974398</v>
      </c>
      <c r="X51" s="157">
        <f t="shared" si="157"/>
        <v>370.22133113435433</v>
      </c>
      <c r="Y51" s="157">
        <f t="shared" si="157"/>
        <v>432.53581261241396</v>
      </c>
      <c r="Z51" s="157">
        <f t="shared" si="157"/>
        <v>505.33887018083999</v>
      </c>
      <c r="AA51" s="157">
        <f t="shared" si="157"/>
        <v>590.39590773603084</v>
      </c>
      <c r="AB51" s="157">
        <f t="shared" si="157"/>
        <v>689.76947636486773</v>
      </c>
      <c r="AC51" s="157">
        <f t="shared" si="157"/>
        <v>805.86928921836022</v>
      </c>
      <c r="AD51" s="137">
        <f t="shared" ref="AD51" si="158">((AC51/G51)^(1/($AC$3-$H$1) ))-1</f>
        <v>9.2222006300135329E-2</v>
      </c>
      <c r="AE51" s="31">
        <f t="shared" si="15"/>
        <v>0.08</v>
      </c>
      <c r="AF51" s="145">
        <f t="shared" si="154"/>
        <v>14505.647205930483</v>
      </c>
    </row>
    <row r="52" spans="2:32">
      <c r="B52" s="20" t="s">
        <v>427</v>
      </c>
      <c r="C52" s="133"/>
      <c r="D52" s="133"/>
      <c r="E52" s="133"/>
      <c r="F52" s="133"/>
      <c r="G52" s="133">
        <f>G38-G40</f>
        <v>0</v>
      </c>
      <c r="H52" s="133">
        <f t="shared" ref="H52:P52" si="159">H38-H40</f>
        <v>3</v>
      </c>
      <c r="I52" s="133">
        <f t="shared" si="159"/>
        <v>13</v>
      </c>
      <c r="J52" s="133">
        <f t="shared" si="159"/>
        <v>25</v>
      </c>
      <c r="K52" s="133">
        <f t="shared" si="159"/>
        <v>52</v>
      </c>
      <c r="L52" s="133">
        <f t="shared" si="159"/>
        <v>43</v>
      </c>
      <c r="M52" s="133">
        <f t="shared" si="159"/>
        <v>88</v>
      </c>
      <c r="N52" s="133">
        <f t="shared" si="159"/>
        <v>72</v>
      </c>
      <c r="O52" s="133">
        <f t="shared" si="159"/>
        <v>103</v>
      </c>
      <c r="P52" s="133">
        <f t="shared" si="159"/>
        <v>135</v>
      </c>
      <c r="Q52" s="133">
        <f t="shared" ref="Q52" si="160">Q38-Q40</f>
        <v>169</v>
      </c>
      <c r="R52" s="118" t="e">
        <f>((P52/G52)^(1/($H$2-$H$1) ))-1</f>
        <v>#DIV/0!</v>
      </c>
      <c r="S52" s="128"/>
      <c r="T52" s="133">
        <f t="shared" ref="T52:AC52" si="161">T38-T40</f>
        <v>199.42000000000002</v>
      </c>
      <c r="U52" s="133">
        <f t="shared" si="161"/>
        <v>235.31560000000007</v>
      </c>
      <c r="V52" s="133">
        <f t="shared" si="161"/>
        <v>277.67240800000013</v>
      </c>
      <c r="W52" s="133">
        <f t="shared" si="161"/>
        <v>327.65344144000017</v>
      </c>
      <c r="X52" s="133">
        <f t="shared" si="161"/>
        <v>386.63106089920018</v>
      </c>
      <c r="Y52" s="133">
        <f t="shared" si="161"/>
        <v>456.22465186105615</v>
      </c>
      <c r="Z52" s="133">
        <f t="shared" si="161"/>
        <v>538.34508919604627</v>
      </c>
      <c r="AA52" s="133">
        <f t="shared" si="161"/>
        <v>635.24720525133444</v>
      </c>
      <c r="AB52" s="133">
        <f t="shared" si="161"/>
        <v>749.59170219657472</v>
      </c>
      <c r="AC52" s="133">
        <f t="shared" si="161"/>
        <v>884.518208591958</v>
      </c>
      <c r="AD52" s="137" t="e">
        <f t="shared" ref="AD52" si="162">((AC52/G52)^(1/($AC$3-$H$1) ))-1</f>
        <v>#DIV/0!</v>
      </c>
      <c r="AE52" s="31">
        <f t="shared" si="15"/>
        <v>0.08</v>
      </c>
      <c r="AF52" s="145">
        <f t="shared" ref="AF52" si="163">(AC52*(1+AE52))/($C$1-AE52)</f>
        <v>15921.327754655242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19"/>
      <c r="AE53" s="136"/>
      <c r="AF53" s="145"/>
    </row>
    <row r="54" spans="2:3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0.88495575221238942</v>
      </c>
      <c r="H54" s="133">
        <f t="shared" si="164"/>
        <v>7.9646017699115053</v>
      </c>
      <c r="I54" s="133">
        <f t="shared" si="164"/>
        <v>21.238938053097346</v>
      </c>
      <c r="J54" s="133">
        <f t="shared" si="164"/>
        <v>41.592920353982308</v>
      </c>
      <c r="K54" s="133">
        <f t="shared" si="164"/>
        <v>16.520210896309312</v>
      </c>
      <c r="L54" s="133">
        <f t="shared" si="164"/>
        <v>9.4847775175644031</v>
      </c>
      <c r="M54" s="133">
        <f t="shared" si="164"/>
        <v>19.555035128805624</v>
      </c>
      <c r="N54" s="133">
        <f t="shared" si="164"/>
        <v>17.330210772833727</v>
      </c>
      <c r="O54" s="133">
        <f t="shared" si="164"/>
        <v>25.175644028103047</v>
      </c>
      <c r="P54" s="133">
        <f t="shared" si="164"/>
        <v>16.803278688524593</v>
      </c>
      <c r="Q54" s="133">
        <f t="shared" ref="Q54" si="165">Q40/Q42</f>
        <v>21.487119437939111</v>
      </c>
      <c r="R54" s="118">
        <f>((P54/G54)^(1/($H$2-$H$1) ))-1</f>
        <v>0.38692346870428262</v>
      </c>
      <c r="S54" s="128"/>
      <c r="T54" s="157">
        <f t="shared" ref="T54:AC54" si="166">T40/T42</f>
        <v>25.103763303730844</v>
      </c>
      <c r="U54" s="157">
        <f t="shared" si="166"/>
        <v>29.329149206339004</v>
      </c>
      <c r="V54" s="157">
        <f t="shared" si="166"/>
        <v>34.265738676712893</v>
      </c>
      <c r="W54" s="157">
        <f t="shared" si="166"/>
        <v>40.033239246060603</v>
      </c>
      <c r="X54" s="157">
        <f t="shared" si="166"/>
        <v>46.77150723797179</v>
      </c>
      <c r="Y54" s="157">
        <f t="shared" si="166"/>
        <v>54.643939149313574</v>
      </c>
      <c r="Z54" s="157">
        <f t="shared" si="166"/>
        <v>63.841433857613872</v>
      </c>
      <c r="AA54" s="157">
        <f t="shared" si="166"/>
        <v>74.587021734637986</v>
      </c>
      <c r="AB54" s="157">
        <f t="shared" si="166"/>
        <v>87.141272917695872</v>
      </c>
      <c r="AC54" s="157">
        <f t="shared" si="166"/>
        <v>101.80861588404071</v>
      </c>
      <c r="AD54" s="137">
        <f t="shared" ref="AD54:AD68" si="167">((AC54/G54)^(1/($AC$3-$H$1) ))-1</f>
        <v>0.26777781821400404</v>
      </c>
      <c r="AE54" s="31">
        <f t="shared" si="15"/>
        <v>0.08</v>
      </c>
      <c r="AF54" s="145">
        <f t="shared" ref="AF54:AF82" si="168">(AC54*(1+AE54))/($C$1-AE54)</f>
        <v>1832.5550859127325</v>
      </c>
    </row>
    <row r="55" spans="2:3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5.3097345132743365</v>
      </c>
      <c r="H55" s="133">
        <f t="shared" ref="H55:P55" si="170">H20/H42</f>
        <v>6.1946902654867264</v>
      </c>
      <c r="I55" s="133">
        <f t="shared" si="170"/>
        <v>23.008849557522126</v>
      </c>
      <c r="J55" s="133">
        <f t="shared" si="170"/>
        <v>-33.628318584070797</v>
      </c>
      <c r="K55" s="133">
        <f t="shared" si="170"/>
        <v>-5.2724077328646741</v>
      </c>
      <c r="L55" s="133">
        <f t="shared" si="170"/>
        <v>26.112412177985952</v>
      </c>
      <c r="M55" s="133">
        <f t="shared" si="170"/>
        <v>25.058548009367684</v>
      </c>
      <c r="N55" s="133">
        <f t="shared" si="170"/>
        <v>9.9531615925058556</v>
      </c>
      <c r="O55" s="133">
        <f t="shared" si="170"/>
        <v>34.660421545667454</v>
      </c>
      <c r="P55" s="133">
        <f t="shared" si="170"/>
        <v>19.613583138173304</v>
      </c>
      <c r="Q55" s="133">
        <f t="shared" ref="Q55" si="171">Q20/Q42</f>
        <v>16.334894613583138</v>
      </c>
      <c r="R55" s="118">
        <f>((P55/G55)^(1/($H$2-$H$1) ))-1</f>
        <v>0.15625544959386017</v>
      </c>
      <c r="S55" s="128"/>
      <c r="T55" s="133">
        <f t="shared" ref="T55:AC55" si="172">T20/T42</f>
        <v>19.084332320819904</v>
      </c>
      <c r="U55" s="133">
        <f t="shared" si="172"/>
        <v>22.296546671848997</v>
      </c>
      <c r="V55" s="133">
        <f t="shared" si="172"/>
        <v>26.049430765130506</v>
      </c>
      <c r="W55" s="133">
        <f t="shared" si="172"/>
        <v>30.433988418667326</v>
      </c>
      <c r="X55" s="133">
        <f t="shared" si="172"/>
        <v>35.556540924779647</v>
      </c>
      <c r="Y55" s="133">
        <f t="shared" si="172"/>
        <v>41.541305238851471</v>
      </c>
      <c r="Z55" s="133">
        <f t="shared" si="172"/>
        <v>48.533406120638347</v>
      </c>
      <c r="AA55" s="133">
        <f t="shared" si="172"/>
        <v>56.702395269656677</v>
      </c>
      <c r="AB55" s="133">
        <f t="shared" si="172"/>
        <v>66.246362790291954</v>
      </c>
      <c r="AC55" s="133">
        <f t="shared" si="172"/>
        <v>77.396740685687632</v>
      </c>
      <c r="AD55" s="137">
        <f t="shared" ref="AD55" si="173">((AC55/G55)^(1/($AC$3-$H$1) ))-1</f>
        <v>0.14335868034282639</v>
      </c>
      <c r="AE55" s="31">
        <f t="shared" si="15"/>
        <v>0.08</v>
      </c>
      <c r="AF55" s="145">
        <f t="shared" si="168"/>
        <v>1393.1413323423774</v>
      </c>
    </row>
    <row r="56" spans="2:3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154.86725663716817</v>
      </c>
      <c r="H56" s="133">
        <f t="shared" si="174"/>
        <v>160.17699115044249</v>
      </c>
      <c r="I56" s="133">
        <f t="shared" si="174"/>
        <v>177.87610619469029</v>
      </c>
      <c r="J56" s="133">
        <f t="shared" si="174"/>
        <v>215.04424778761063</v>
      </c>
      <c r="K56" s="133">
        <f t="shared" si="174"/>
        <v>58.523725834797887</v>
      </c>
      <c r="L56" s="133">
        <f t="shared" si="174"/>
        <v>47.540983606557383</v>
      </c>
      <c r="M56" s="133">
        <f t="shared" si="174"/>
        <v>63.583138173302117</v>
      </c>
      <c r="N56" s="133">
        <f t="shared" si="174"/>
        <v>75.644028103044505</v>
      </c>
      <c r="O56" s="133">
        <f t="shared" si="174"/>
        <v>96.370023419203761</v>
      </c>
      <c r="P56" s="133">
        <f t="shared" si="174"/>
        <v>62.002341920374711</v>
      </c>
      <c r="Q56" s="133">
        <f t="shared" ref="Q56" si="175">Q7/Q42</f>
        <v>79.742388758782212</v>
      </c>
      <c r="R56" s="118">
        <f>((P56/G56)^(1/($H$2-$H$1) ))-1</f>
        <v>-9.6709152442279733E-2</v>
      </c>
      <c r="S56" s="128"/>
      <c r="T56" s="157">
        <f t="shared" ref="T56:AC56" si="176">T7/T42</f>
        <v>93.164374985507919</v>
      </c>
      <c r="U56" s="157">
        <f t="shared" si="176"/>
        <v>108.84550740881122</v>
      </c>
      <c r="V56" s="157">
        <f t="shared" si="176"/>
        <v>127.16603835880915</v>
      </c>
      <c r="W56" s="157">
        <f t="shared" si="176"/>
        <v>148.57022303306414</v>
      </c>
      <c r="X56" s="157">
        <f t="shared" si="176"/>
        <v>173.57709225645118</v>
      </c>
      <c r="Y56" s="157">
        <f t="shared" si="176"/>
        <v>202.79303847783405</v>
      </c>
      <c r="Z56" s="157">
        <f t="shared" si="176"/>
        <v>236.92652020182589</v>
      </c>
      <c r="AA56" s="157">
        <f t="shared" si="176"/>
        <v>276.80524142391539</v>
      </c>
      <c r="AB56" s="157">
        <f t="shared" si="176"/>
        <v>323.39622265368331</v>
      </c>
      <c r="AC56" s="157">
        <f t="shared" si="176"/>
        <v>377.82925022905579</v>
      </c>
      <c r="AD56" s="137">
        <f t="shared" si="167"/>
        <v>4.5602946862355331E-2</v>
      </c>
      <c r="AE56" s="31">
        <f t="shared" si="15"/>
        <v>0.08</v>
      </c>
      <c r="AF56" s="145">
        <f t="shared" si="168"/>
        <v>6800.9265041230037</v>
      </c>
    </row>
    <row r="57" spans="2:3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3">
        <f t="shared" si="177"/>
        <v>0</v>
      </c>
      <c r="G57" s="143">
        <f t="shared" si="177"/>
        <v>144.24778761061947</v>
      </c>
      <c r="H57" s="143">
        <f t="shared" si="177"/>
        <v>149.55752212389382</v>
      </c>
      <c r="I57" s="143">
        <f t="shared" si="177"/>
        <v>168.14159292035399</v>
      </c>
      <c r="J57" s="143">
        <f t="shared" si="177"/>
        <v>205.30973451327435</v>
      </c>
      <c r="K57" s="143">
        <f t="shared" si="177"/>
        <v>56.590509666080841</v>
      </c>
      <c r="L57" s="143">
        <f t="shared" si="177"/>
        <v>45.433255269320846</v>
      </c>
      <c r="M57" s="143">
        <f t="shared" si="177"/>
        <v>61.709601873536307</v>
      </c>
      <c r="N57" s="143">
        <f t="shared" si="177"/>
        <v>73.536299765807968</v>
      </c>
      <c r="O57" s="143">
        <f t="shared" si="177"/>
        <v>94.379391100702591</v>
      </c>
      <c r="P57" s="143">
        <f t="shared" si="177"/>
        <v>61.007025761124126</v>
      </c>
      <c r="Q57" s="143">
        <f t="shared" ref="Q57" si="178">Q6/Q42</f>
        <v>78.74707259953162</v>
      </c>
      <c r="R57" s="118">
        <f>((P57/G57)^(1/($H$2-$H$1) ))-1</f>
        <v>-9.1187019718088402E-2</v>
      </c>
      <c r="S57" s="128"/>
      <c r="T57" s="156">
        <f t="shared" ref="T57:AC57" si="179">T6/T42</f>
        <v>92.001530363809223</v>
      </c>
      <c r="U57" s="156">
        <f t="shared" si="179"/>
        <v>107.48693646464838</v>
      </c>
      <c r="V57" s="156">
        <f t="shared" si="179"/>
        <v>125.578797057708</v>
      </c>
      <c r="W57" s="156">
        <f t="shared" si="179"/>
        <v>146.71582230504501</v>
      </c>
      <c r="X57" s="156">
        <f t="shared" si="179"/>
        <v>171.41056467322088</v>
      </c>
      <c r="Y57" s="156">
        <f t="shared" si="179"/>
        <v>200.26184783604023</v>
      </c>
      <c r="Z57" s="156">
        <f t="shared" si="179"/>
        <v>233.96928757081929</v>
      </c>
      <c r="AA57" s="156">
        <f t="shared" si="179"/>
        <v>273.3502567659076</v>
      </c>
      <c r="AB57" s="156">
        <f t="shared" si="179"/>
        <v>319.35970592452571</v>
      </c>
      <c r="AC57" s="156">
        <f t="shared" si="179"/>
        <v>373.11331979301025</v>
      </c>
      <c r="AD57" s="137">
        <f t="shared" si="167"/>
        <v>4.8664532237743918E-2</v>
      </c>
      <c r="AE57" s="31">
        <f t="shared" si="15"/>
        <v>0.08</v>
      </c>
      <c r="AF57" s="145">
        <f t="shared" si="168"/>
        <v>6716.0397562741837</v>
      </c>
    </row>
    <row r="58" spans="2:3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3">
        <f t="shared" si="180"/>
        <v>0</v>
      </c>
      <c r="G58" s="143">
        <f t="shared" si="180"/>
        <v>13.274336283185843</v>
      </c>
      <c r="H58" s="143">
        <f t="shared" si="180"/>
        <v>20.353982300884958</v>
      </c>
      <c r="I58" s="143">
        <f t="shared" si="180"/>
        <v>33.628318584070797</v>
      </c>
      <c r="J58" s="143">
        <f t="shared" si="180"/>
        <v>124.77876106194691</v>
      </c>
      <c r="K58" s="143">
        <f t="shared" si="180"/>
        <v>55.711775043936726</v>
      </c>
      <c r="L58" s="143">
        <f t="shared" si="180"/>
        <v>33.489461358313818</v>
      </c>
      <c r="M58" s="143">
        <f t="shared" si="180"/>
        <v>10.655737704918034</v>
      </c>
      <c r="N58" s="143">
        <f t="shared" si="180"/>
        <v>11.124121779859486</v>
      </c>
      <c r="O58" s="143">
        <f t="shared" si="180"/>
        <v>9.8360655737704921</v>
      </c>
      <c r="P58" s="143">
        <f t="shared" si="180"/>
        <v>5.0936768149882905</v>
      </c>
      <c r="Q58" s="143">
        <f t="shared" ref="Q58" si="181">Q10/Q42</f>
        <v>4.918032786885246</v>
      </c>
      <c r="R58" s="118">
        <f>((P58/G58)^(1/($H$2-$H$1) ))-1</f>
        <v>-0.10095828917715277</v>
      </c>
      <c r="S58" s="128"/>
      <c r="T58" s="156">
        <f t="shared" ref="T58:AC58" si="182">T10/T42</f>
        <v>5.7458204836877131</v>
      </c>
      <c r="U58" s="156">
        <f t="shared" si="182"/>
        <v>6.7129387829222775</v>
      </c>
      <c r="V58" s="156">
        <f t="shared" si="182"/>
        <v>7.8428393701468195</v>
      </c>
      <c r="W58" s="156">
        <f t="shared" si="182"/>
        <v>9.1629212443299473</v>
      </c>
      <c r="X58" s="156">
        <f t="shared" si="182"/>
        <v>10.705195117137958</v>
      </c>
      <c r="Y58" s="156">
        <f t="shared" si="182"/>
        <v>12.507059641804743</v>
      </c>
      <c r="Z58" s="156">
        <f t="shared" si="182"/>
        <v>14.61220829438574</v>
      </c>
      <c r="AA58" s="156">
        <f t="shared" si="182"/>
        <v>17.071688898391258</v>
      </c>
      <c r="AB58" s="156">
        <f t="shared" si="182"/>
        <v>19.945141485249192</v>
      </c>
      <c r="AC58" s="156">
        <f t="shared" si="182"/>
        <v>23.302244507518857</v>
      </c>
      <c r="AD58" s="137">
        <f t="shared" si="167"/>
        <v>2.8535407551524949E-2</v>
      </c>
      <c r="AE58" s="31">
        <f t="shared" si="15"/>
        <v>0.08</v>
      </c>
      <c r="AF58" s="145">
        <f t="shared" si="168"/>
        <v>419.44040113533936</v>
      </c>
    </row>
    <row r="59" spans="2:32">
      <c r="B59" s="20"/>
      <c r="C59" s="127"/>
      <c r="D59" s="127"/>
      <c r="E59" s="127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28"/>
      <c r="S59" s="128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38"/>
      <c r="AE59" s="136"/>
      <c r="AF59" s="145"/>
    </row>
    <row r="60" spans="2:3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3">
        <f t="shared" si="183"/>
        <v>0</v>
      </c>
      <c r="G60" s="143">
        <f t="shared" si="183"/>
        <v>141.59292035398232</v>
      </c>
      <c r="H60" s="143">
        <f t="shared" si="183"/>
        <v>139.82300884955754</v>
      </c>
      <c r="I60" s="143">
        <f t="shared" si="183"/>
        <v>144.24778761061947</v>
      </c>
      <c r="J60" s="143">
        <f t="shared" si="183"/>
        <v>90.26548672566372</v>
      </c>
      <c r="K60" s="143">
        <f t="shared" si="183"/>
        <v>2.8119507908611596</v>
      </c>
      <c r="L60" s="143">
        <f t="shared" si="183"/>
        <v>14.051522248243561</v>
      </c>
      <c r="M60" s="143">
        <f t="shared" si="183"/>
        <v>52.927400468384079</v>
      </c>
      <c r="N60" s="143">
        <f t="shared" si="183"/>
        <v>64.519906323185012</v>
      </c>
      <c r="O60" s="143">
        <f t="shared" si="183"/>
        <v>86.533957845433264</v>
      </c>
      <c r="P60" s="143">
        <f t="shared" si="183"/>
        <v>56.908665105386426</v>
      </c>
      <c r="Q60" s="143">
        <f t="shared" ref="Q60" si="184">(Q7-Q10)/Q42</f>
        <v>74.824355971896964</v>
      </c>
      <c r="R60" s="118">
        <f>((P60/G60)^(1/($H$2-$H$1) ))-1</f>
        <v>-9.6318884897676815E-2</v>
      </c>
      <c r="S60" s="128"/>
      <c r="T60" s="156">
        <f t="shared" ref="T60:AC60" si="185">(T7-T10)/T42</f>
        <v>87.418554501820211</v>
      </c>
      <c r="U60" s="156">
        <f t="shared" si="185"/>
        <v>102.13256862588894</v>
      </c>
      <c r="V60" s="156">
        <f t="shared" si="185"/>
        <v>119.32319898866231</v>
      </c>
      <c r="W60" s="156">
        <f t="shared" si="185"/>
        <v>139.4073017887342</v>
      </c>
      <c r="X60" s="156">
        <f t="shared" si="185"/>
        <v>162.87189713931321</v>
      </c>
      <c r="Y60" s="156">
        <f t="shared" si="185"/>
        <v>190.2859788360293</v>
      </c>
      <c r="Z60" s="156">
        <f t="shared" si="185"/>
        <v>222.31431190744019</v>
      </c>
      <c r="AA60" s="156">
        <f t="shared" si="185"/>
        <v>259.73355252552415</v>
      </c>
      <c r="AB60" s="156">
        <f t="shared" si="185"/>
        <v>303.45108116843409</v>
      </c>
      <c r="AC60" s="156">
        <f t="shared" si="185"/>
        <v>354.52700572153691</v>
      </c>
      <c r="AD60" s="137">
        <f t="shared" si="167"/>
        <v>4.69607226649007E-2</v>
      </c>
      <c r="AE60" s="31">
        <f t="shared" si="15"/>
        <v>0.08</v>
      </c>
      <c r="AF60" s="145">
        <f t="shared" si="168"/>
        <v>6381.4861029876629</v>
      </c>
    </row>
    <row r="61" spans="2:3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3">
        <f t="shared" si="186"/>
        <v>0</v>
      </c>
      <c r="G61" s="143">
        <f t="shared" si="186"/>
        <v>114.15929203539824</v>
      </c>
      <c r="H61" s="143">
        <f t="shared" si="186"/>
        <v>97.345132743362839</v>
      </c>
      <c r="I61" s="143">
        <f t="shared" si="186"/>
        <v>71.681415929203553</v>
      </c>
      <c r="J61" s="143">
        <f t="shared" si="186"/>
        <v>13.274336283185843</v>
      </c>
      <c r="K61" s="143">
        <f t="shared" si="186"/>
        <v>-18.277680140597539</v>
      </c>
      <c r="L61" s="143">
        <f t="shared" si="186"/>
        <v>-1.4051522248243562</v>
      </c>
      <c r="M61" s="143">
        <f t="shared" si="186"/>
        <v>31.030444964871197</v>
      </c>
      <c r="N61" s="143">
        <f t="shared" si="186"/>
        <v>39.695550351288063</v>
      </c>
      <c r="O61" s="143">
        <f t="shared" si="186"/>
        <v>60.421545667447312</v>
      </c>
      <c r="P61" s="143">
        <f t="shared" si="186"/>
        <v>37.236533957845438</v>
      </c>
      <c r="Q61" s="143">
        <f t="shared" ref="Q61" si="187">(Q7-Q10-Q9)/Q42</f>
        <v>52.985948477751762</v>
      </c>
      <c r="R61" s="118">
        <f>((P61/G61)^(1/($H$2-$H$1) ))-1</f>
        <v>-0.11704254890564214</v>
      </c>
      <c r="S61" s="128"/>
      <c r="T61" s="156">
        <f t="shared" ref="T61:AC61" si="188">(T7-T10-T9)/T42</f>
        <v>61.904375449254538</v>
      </c>
      <c r="U61" s="156">
        <f t="shared" si="188"/>
        <v>72.323923792198343</v>
      </c>
      <c r="V61" s="156">
        <f t="shared" si="188"/>
        <v>84.497257499796078</v>
      </c>
      <c r="W61" s="156">
        <f t="shared" si="188"/>
        <v>98.719568168078595</v>
      </c>
      <c r="X61" s="156">
        <f t="shared" si="188"/>
        <v>115.33573310726014</v>
      </c>
      <c r="Y61" s="156">
        <f t="shared" si="188"/>
        <v>134.74867828372967</v>
      </c>
      <c r="Z61" s="156">
        <f t="shared" si="188"/>
        <v>157.4291488859416</v>
      </c>
      <c r="AA61" s="156">
        <f t="shared" si="188"/>
        <v>183.92712444100104</v>
      </c>
      <c r="AB61" s="156">
        <f t="shared" si="188"/>
        <v>214.88515528750614</v>
      </c>
      <c r="AC61" s="156">
        <f t="shared" si="188"/>
        <v>251.05394380124486</v>
      </c>
      <c r="AD61" s="137">
        <f t="shared" si="167"/>
        <v>4.0190274841680695E-2</v>
      </c>
      <c r="AE61" s="31">
        <f t="shared" si="15"/>
        <v>0.08</v>
      </c>
      <c r="AF61" s="145">
        <f t="shared" si="168"/>
        <v>4518.9709884224067</v>
      </c>
    </row>
    <row r="62" spans="2:3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3">
        <f t="shared" si="189"/>
        <v>0</v>
      </c>
      <c r="G62" s="143">
        <f t="shared" si="189"/>
        <v>184.07079646017701</v>
      </c>
      <c r="H62" s="143">
        <f t="shared" si="189"/>
        <v>198.23008849557525</v>
      </c>
      <c r="I62" s="143">
        <f t="shared" si="189"/>
        <v>200.00000000000003</v>
      </c>
      <c r="J62" s="143">
        <f t="shared" si="189"/>
        <v>228.31858407079648</v>
      </c>
      <c r="K62" s="143">
        <f t="shared" si="189"/>
        <v>60.808435852372583</v>
      </c>
      <c r="L62" s="143">
        <f t="shared" si="189"/>
        <v>45.78454332552694</v>
      </c>
      <c r="M62" s="143">
        <f t="shared" si="189"/>
        <v>90.281030444964884</v>
      </c>
      <c r="N62" s="143">
        <f t="shared" si="189"/>
        <v>109.8360655737705</v>
      </c>
      <c r="O62" s="143">
        <f t="shared" si="189"/>
        <v>135.36299765807965</v>
      </c>
      <c r="P62" s="143">
        <f t="shared" si="189"/>
        <v>100.70257611241219</v>
      </c>
      <c r="Q62" s="143">
        <f t="shared" ref="Q62" si="190">(Q7+Q15-Q10-Q9)/Q42</f>
        <v>116.33489461358315</v>
      </c>
      <c r="R62" s="118">
        <f>((P62/G62)^(1/($H$2-$H$1) ))-1</f>
        <v>-6.4820288020319805E-2</v>
      </c>
      <c r="S62" s="128"/>
      <c r="T62" s="156">
        <f t="shared" ref="T62:AC62" si="191">(T7+T15-T10-T9)/T42</f>
        <v>135.91601548913678</v>
      </c>
      <c r="U62" s="156">
        <f t="shared" si="191"/>
        <v>158.79296859126862</v>
      </c>
      <c r="V62" s="156">
        <f t="shared" si="191"/>
        <v>185.52049795811581</v>
      </c>
      <c r="W62" s="156">
        <f t="shared" si="191"/>
        <v>216.74672038670957</v>
      </c>
      <c r="X62" s="156">
        <f t="shared" si="191"/>
        <v>253.22884163991813</v>
      </c>
      <c r="Y62" s="156">
        <f t="shared" si="191"/>
        <v>295.85151795554782</v>
      </c>
      <c r="Z62" s="156">
        <f t="shared" si="191"/>
        <v>345.64830810648169</v>
      </c>
      <c r="AA62" s="156">
        <f t="shared" si="191"/>
        <v>403.82673620361226</v>
      </c>
      <c r="AB62" s="156">
        <f t="shared" si="191"/>
        <v>471.79757299035896</v>
      </c>
      <c r="AC62" s="156">
        <f t="shared" si="191"/>
        <v>551.20904567190439</v>
      </c>
      <c r="AD62" s="137">
        <f t="shared" si="167"/>
        <v>5.6371248069444269E-2</v>
      </c>
      <c r="AE62" s="31">
        <f t="shared" si="15"/>
        <v>0.08</v>
      </c>
      <c r="AF62" s="145">
        <f t="shared" si="168"/>
        <v>9921.7628220942788</v>
      </c>
    </row>
    <row r="63" spans="2:32">
      <c r="B63" s="20"/>
      <c r="C63" s="127"/>
      <c r="D63" s="127"/>
      <c r="E63" s="127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28"/>
      <c r="S63" s="128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38"/>
      <c r="AE63" s="136"/>
      <c r="AF63" s="153"/>
    </row>
    <row r="64" spans="2:3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3">
        <f t="shared" si="192"/>
        <v>0</v>
      </c>
      <c r="G64" s="143">
        <f t="shared" si="192"/>
        <v>13.274336283185843</v>
      </c>
      <c r="H64" s="143">
        <f t="shared" si="192"/>
        <v>15.044247787610621</v>
      </c>
      <c r="I64" s="143">
        <f t="shared" si="192"/>
        <v>18.584070796460178</v>
      </c>
      <c r="J64" s="143">
        <f t="shared" si="192"/>
        <v>23.008849557522126</v>
      </c>
      <c r="K64" s="143">
        <f t="shared" si="192"/>
        <v>9.1388400702987695</v>
      </c>
      <c r="L64" s="143">
        <f t="shared" si="192"/>
        <v>8.1967213114754109</v>
      </c>
      <c r="M64" s="143">
        <f t="shared" si="192"/>
        <v>7.2599531615925068</v>
      </c>
      <c r="N64" s="143">
        <f t="shared" si="192"/>
        <v>4.6838407494145207</v>
      </c>
      <c r="O64" s="143">
        <f t="shared" si="192"/>
        <v>26.81498829039813</v>
      </c>
      <c r="P64" s="143">
        <f t="shared" si="192"/>
        <v>24.063231850117099</v>
      </c>
      <c r="Q64" s="143">
        <f t="shared" ref="Q64" si="193">Q12/Q42</f>
        <v>17.271662763466043</v>
      </c>
      <c r="R64" s="118">
        <f>((P64/G64)^(1/($H$2-$H$1) ))-1</f>
        <v>6.832790175258241E-2</v>
      </c>
      <c r="S64" s="128"/>
      <c r="T64" s="156">
        <f t="shared" ref="T64:AC64" si="194">T12/T42</f>
        <v>20.178774317712801</v>
      </c>
      <c r="U64" s="156">
        <f t="shared" si="194"/>
        <v>23.575201678119903</v>
      </c>
      <c r="V64" s="156">
        <f t="shared" si="194"/>
        <v>27.543304930872758</v>
      </c>
      <c r="W64" s="156">
        <f t="shared" si="194"/>
        <v>32.179306750920645</v>
      </c>
      <c r="X64" s="156">
        <f t="shared" si="194"/>
        <v>37.595625708996394</v>
      </c>
      <c r="Y64" s="156">
        <f t="shared" si="194"/>
        <v>43.923602313480934</v>
      </c>
      <c r="Z64" s="156">
        <f t="shared" si="194"/>
        <v>51.316683890997531</v>
      </c>
      <c r="AA64" s="156">
        <f t="shared" si="194"/>
        <v>59.95414553601691</v>
      </c>
      <c r="AB64" s="156">
        <f t="shared" si="194"/>
        <v>70.045437358910846</v>
      </c>
      <c r="AC64" s="156">
        <f t="shared" si="194"/>
        <v>81.835263449024552</v>
      </c>
      <c r="AD64" s="137">
        <f t="shared" si="167"/>
        <v>9.5207435119186501E-2</v>
      </c>
      <c r="AE64" s="31">
        <f t="shared" si="15"/>
        <v>0.08</v>
      </c>
      <c r="AF64" s="145">
        <f t="shared" si="168"/>
        <v>1473.0347420824417</v>
      </c>
    </row>
    <row r="65" spans="2:3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3">
        <f t="shared" si="195"/>
        <v>0</v>
      </c>
      <c r="G65" s="143">
        <f t="shared" si="195"/>
        <v>18.584070796460178</v>
      </c>
      <c r="H65" s="143">
        <f t="shared" si="195"/>
        <v>21.238938053097346</v>
      </c>
      <c r="I65" s="143">
        <f t="shared" si="195"/>
        <v>28.318584070796462</v>
      </c>
      <c r="J65" s="143">
        <f t="shared" si="195"/>
        <v>14.159292035398231</v>
      </c>
      <c r="K65" s="143">
        <f t="shared" si="195"/>
        <v>2.8119507908611596</v>
      </c>
      <c r="L65" s="143">
        <f t="shared" si="195"/>
        <v>5.5035128805620612</v>
      </c>
      <c r="M65" s="143">
        <f t="shared" si="195"/>
        <v>1.873536299765808</v>
      </c>
      <c r="N65" s="143">
        <f t="shared" si="195"/>
        <v>1.873536299765808</v>
      </c>
      <c r="O65" s="143">
        <f t="shared" si="195"/>
        <v>1.873536299765808</v>
      </c>
      <c r="P65" s="143">
        <f t="shared" si="195"/>
        <v>0.93676814988290402</v>
      </c>
      <c r="Q65" s="143">
        <f t="shared" ref="Q65" si="196">Q13/Q42</f>
        <v>0.93676814988290402</v>
      </c>
      <c r="R65" s="118">
        <f>((P65/G65)^(1/($H$2-$H$1) ))-1</f>
        <v>-0.28248272310826539</v>
      </c>
      <c r="S65" s="128"/>
      <c r="T65" s="156">
        <f t="shared" ref="T65:AC65" si="197">T13/T42</f>
        <v>1.0944419968928978</v>
      </c>
      <c r="U65" s="156">
        <f t="shared" si="197"/>
        <v>1.2786550062709101</v>
      </c>
      <c r="V65" s="156">
        <f t="shared" si="197"/>
        <v>1.4938741657422514</v>
      </c>
      <c r="W65" s="156">
        <f t="shared" si="197"/>
        <v>1.7453183322533234</v>
      </c>
      <c r="X65" s="156">
        <f t="shared" si="197"/>
        <v>2.0390847842167541</v>
      </c>
      <c r="Y65" s="156">
        <f t="shared" si="197"/>
        <v>2.3822970746294749</v>
      </c>
      <c r="Z65" s="156">
        <f t="shared" si="197"/>
        <v>2.7832777703591884</v>
      </c>
      <c r="AA65" s="156">
        <f t="shared" si="197"/>
        <v>3.2517502663602396</v>
      </c>
      <c r="AB65" s="156">
        <f t="shared" si="197"/>
        <v>3.7990745686188934</v>
      </c>
      <c r="AC65" s="156">
        <f t="shared" si="197"/>
        <v>4.4385227633369251</v>
      </c>
      <c r="AD65" s="137">
        <f t="shared" si="167"/>
        <v>-6.9096035180561066E-2</v>
      </c>
      <c r="AE65" s="31">
        <f t="shared" si="15"/>
        <v>0.08</v>
      </c>
      <c r="AF65" s="145">
        <f t="shared" si="168"/>
        <v>79.893409740064641</v>
      </c>
    </row>
    <row r="66" spans="2:3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3">
        <f t="shared" si="198"/>
        <v>0</v>
      </c>
      <c r="G66" s="143">
        <f t="shared" si="198"/>
        <v>31.858407079646021</v>
      </c>
      <c r="H66" s="143">
        <f t="shared" si="198"/>
        <v>36.283185840707965</v>
      </c>
      <c r="I66" s="143">
        <f t="shared" si="198"/>
        <v>46.902654867256643</v>
      </c>
      <c r="J66" s="143">
        <f t="shared" si="198"/>
        <v>37.168141592920357</v>
      </c>
      <c r="K66" s="143">
        <f t="shared" si="198"/>
        <v>11.950790861159929</v>
      </c>
      <c r="L66" s="143">
        <f t="shared" si="198"/>
        <v>13.700234192037472</v>
      </c>
      <c r="M66" s="143">
        <f t="shared" si="198"/>
        <v>9.1334894613583142</v>
      </c>
      <c r="N66" s="143">
        <f t="shared" si="198"/>
        <v>6.5573770491803289</v>
      </c>
      <c r="O66" s="143">
        <f t="shared" ref="O66" si="199">(O64+O65)</f>
        <v>28.688524590163937</v>
      </c>
      <c r="P66" s="143">
        <f t="shared" si="198"/>
        <v>25.000000000000004</v>
      </c>
      <c r="Q66" s="143">
        <f t="shared" ref="Q66" si="200">(Q64+Q65)</f>
        <v>18.208430913348948</v>
      </c>
      <c r="R66" s="118">
        <f>((P66/G66)^(1/($H$2-$H$1) ))-1</f>
        <v>-2.6576621530211009E-2</v>
      </c>
      <c r="S66" s="128"/>
      <c r="T66" s="156">
        <f t="shared" ref="T66:AC66" si="201">(T64+T65)</f>
        <v>21.273216314605698</v>
      </c>
      <c r="U66" s="156">
        <f t="shared" si="201"/>
        <v>24.853856684390813</v>
      </c>
      <c r="V66" s="156">
        <f t="shared" si="201"/>
        <v>29.037179096615009</v>
      </c>
      <c r="W66" s="156">
        <f t="shared" si="201"/>
        <v>33.924625083173972</v>
      </c>
      <c r="X66" s="156">
        <f t="shared" si="201"/>
        <v>39.634710493213149</v>
      </c>
      <c r="Y66" s="156">
        <f t="shared" si="201"/>
        <v>46.305899388110412</v>
      </c>
      <c r="Z66" s="156">
        <f t="shared" si="201"/>
        <v>54.099961661356723</v>
      </c>
      <c r="AA66" s="156">
        <f t="shared" si="201"/>
        <v>63.20589580237715</v>
      </c>
      <c r="AB66" s="156">
        <f t="shared" si="201"/>
        <v>73.844511927529737</v>
      </c>
      <c r="AC66" s="156">
        <f t="shared" si="201"/>
        <v>86.273786212361472</v>
      </c>
      <c r="AD66" s="137">
        <f t="shared" si="167"/>
        <v>5.1072661107249395E-2</v>
      </c>
      <c r="AE66" s="31">
        <f t="shared" si="15"/>
        <v>0.08</v>
      </c>
      <c r="AF66" s="145">
        <f t="shared" si="168"/>
        <v>1552.9281518225064</v>
      </c>
    </row>
    <row r="67" spans="2:3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3">
        <f t="shared" si="202"/>
        <v>0</v>
      </c>
      <c r="G67" s="143">
        <f t="shared" si="202"/>
        <v>69.911504424778769</v>
      </c>
      <c r="H67" s="143">
        <f t="shared" si="202"/>
        <v>100.88495575221241</v>
      </c>
      <c r="I67" s="143">
        <f t="shared" si="202"/>
        <v>128.31858407079648</v>
      </c>
      <c r="J67" s="143">
        <f t="shared" si="202"/>
        <v>215.04424778761063</v>
      </c>
      <c r="K67" s="143">
        <f t="shared" si="202"/>
        <v>79.086115992970122</v>
      </c>
      <c r="L67" s="143">
        <f t="shared" si="202"/>
        <v>47.189695550351296</v>
      </c>
      <c r="M67" s="143">
        <f t="shared" si="202"/>
        <v>59.250585480093683</v>
      </c>
      <c r="N67" s="143">
        <f t="shared" si="202"/>
        <v>70.140515222482449</v>
      </c>
      <c r="O67" s="143">
        <f t="shared" si="202"/>
        <v>74.941451990632331</v>
      </c>
      <c r="P67" s="143">
        <f t="shared" si="202"/>
        <v>63.46604215456675</v>
      </c>
      <c r="Q67" s="143">
        <f t="shared" ref="Q67" si="203">Q15/Q42</f>
        <v>63.34894613583139</v>
      </c>
      <c r="R67" s="118">
        <f>((P67/G67)^(1/($H$2-$H$1) ))-1</f>
        <v>-1.0689702017884328E-2</v>
      </c>
      <c r="S67" s="128"/>
      <c r="T67" s="156">
        <f t="shared" ref="T67:AC67" si="204">T15/T42</f>
        <v>74.011640039882209</v>
      </c>
      <c r="U67" s="156">
        <f t="shared" si="204"/>
        <v>86.469044799070303</v>
      </c>
      <c r="V67" s="156">
        <f t="shared" si="204"/>
        <v>101.02324045831975</v>
      </c>
      <c r="W67" s="156">
        <f t="shared" si="204"/>
        <v>118.02715221863099</v>
      </c>
      <c r="X67" s="156">
        <f t="shared" si="204"/>
        <v>137.89310853265795</v>
      </c>
      <c r="Y67" s="156">
        <f t="shared" si="204"/>
        <v>161.10283967181823</v>
      </c>
      <c r="Z67" s="156">
        <f t="shared" si="204"/>
        <v>188.21915922054009</v>
      </c>
      <c r="AA67" s="156">
        <f t="shared" si="204"/>
        <v>219.89961176261119</v>
      </c>
      <c r="AB67" s="156">
        <f t="shared" si="204"/>
        <v>256.91241770285268</v>
      </c>
      <c r="AC67" s="156">
        <f t="shared" si="204"/>
        <v>300.15510187065956</v>
      </c>
      <c r="AD67" s="137">
        <f t="shared" si="167"/>
        <v>7.5572907014954449E-2</v>
      </c>
      <c r="AE67" s="31">
        <f t="shared" si="15"/>
        <v>0.08</v>
      </c>
      <c r="AF67" s="145">
        <f t="shared" si="168"/>
        <v>5402.7918336718712</v>
      </c>
    </row>
    <row r="68" spans="2:3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3">
        <f t="shared" si="205"/>
        <v>0</v>
      </c>
      <c r="G68" s="143">
        <f t="shared" si="205"/>
        <v>60.176991150442483</v>
      </c>
      <c r="H68" s="143">
        <f t="shared" si="205"/>
        <v>74.336283185840713</v>
      </c>
      <c r="I68" s="143">
        <f t="shared" si="205"/>
        <v>86.725663716814168</v>
      </c>
      <c r="J68" s="143">
        <f t="shared" si="205"/>
        <v>181.41592920353983</v>
      </c>
      <c r="K68" s="143">
        <f t="shared" si="205"/>
        <v>66.432337434094904</v>
      </c>
      <c r="L68" s="143">
        <f t="shared" si="205"/>
        <v>37.822014051522252</v>
      </c>
      <c r="M68" s="143">
        <f t="shared" si="205"/>
        <v>33.957845433255272</v>
      </c>
      <c r="N68" s="143">
        <f t="shared" si="205"/>
        <v>43.091334894613588</v>
      </c>
      <c r="O68" s="143">
        <f t="shared" si="205"/>
        <v>59.016393442622956</v>
      </c>
      <c r="P68" s="143">
        <f t="shared" si="205"/>
        <v>39.168618266978925</v>
      </c>
      <c r="Q68" s="143">
        <f t="shared" ref="Q68" si="206">Q16/Q42</f>
        <v>38.817330210772838</v>
      </c>
      <c r="R68" s="118">
        <f>((P68/G68)^(1/($H$2-$H$1) ))-1</f>
        <v>-4.6592327724300442E-2</v>
      </c>
      <c r="S68" s="128"/>
      <c r="T68" s="156">
        <f t="shared" ref="T68:AC68" si="207">T16/T42</f>
        <v>45.350940246249451</v>
      </c>
      <c r="U68" s="156">
        <f t="shared" si="207"/>
        <v>52.98426682235084</v>
      </c>
      <c r="V68" s="156">
        <f t="shared" si="207"/>
        <v>61.902410742944539</v>
      </c>
      <c r="W68" s="156">
        <f t="shared" si="207"/>
        <v>72.321628392747087</v>
      </c>
      <c r="X68" s="156">
        <f t="shared" si="207"/>
        <v>84.494575745981749</v>
      </c>
      <c r="Y68" s="156">
        <f t="shared" si="207"/>
        <v>98.716435029958873</v>
      </c>
      <c r="Z68" s="156">
        <f t="shared" si="207"/>
        <v>115.33207260925887</v>
      </c>
      <c r="AA68" s="156">
        <f t="shared" si="207"/>
        <v>134.74440166230244</v>
      </c>
      <c r="AB68" s="156">
        <f t="shared" si="207"/>
        <v>157.42415243714541</v>
      </c>
      <c r="AC68" s="156">
        <f t="shared" si="207"/>
        <v>183.92128700577385</v>
      </c>
      <c r="AD68" s="137">
        <f t="shared" si="167"/>
        <v>5.7450571852470267E-2</v>
      </c>
      <c r="AE68" s="136"/>
      <c r="AF68" s="145">
        <f t="shared" si="168"/>
        <v>1313.7234786126703</v>
      </c>
    </row>
    <row r="69" spans="2:32">
      <c r="B69" s="20"/>
      <c r="C69" s="127"/>
      <c r="D69" s="127"/>
      <c r="E69" s="127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28"/>
      <c r="S69" s="128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38"/>
      <c r="AE69" s="31">
        <f t="shared" si="15"/>
        <v>0.08</v>
      </c>
      <c r="AF69" s="145">
        <f t="shared" si="168"/>
        <v>0</v>
      </c>
    </row>
    <row r="70" spans="2:32">
      <c r="B70" s="20" t="s">
        <v>282</v>
      </c>
      <c r="C70" s="158">
        <f>C44</f>
        <v>0</v>
      </c>
      <c r="D70" s="158">
        <f t="shared" ref="D70:P70" si="208">D44</f>
        <v>0</v>
      </c>
      <c r="E70" s="158">
        <f t="shared" si="208"/>
        <v>0</v>
      </c>
      <c r="F70" s="158">
        <f t="shared" si="208"/>
        <v>0</v>
      </c>
      <c r="G70" s="158">
        <f t="shared" si="208"/>
        <v>1.5</v>
      </c>
      <c r="H70" s="158">
        <f t="shared" si="208"/>
        <v>2</v>
      </c>
      <c r="I70" s="158">
        <f t="shared" si="208"/>
        <v>2.5</v>
      </c>
      <c r="J70" s="158">
        <f t="shared" si="208"/>
        <v>3.5</v>
      </c>
      <c r="K70" s="158">
        <f t="shared" si="208"/>
        <v>0.7</v>
      </c>
      <c r="L70" s="158">
        <f t="shared" si="208"/>
        <v>0.8</v>
      </c>
      <c r="M70" s="158">
        <f t="shared" si="208"/>
        <v>2.9</v>
      </c>
      <c r="N70" s="158">
        <f t="shared" si="208"/>
        <v>4.5999999999999996</v>
      </c>
      <c r="O70" s="158">
        <f t="shared" si="208"/>
        <v>3.78</v>
      </c>
      <c r="P70" s="158">
        <f t="shared" si="208"/>
        <v>2.52</v>
      </c>
      <c r="Q70" s="158">
        <f t="shared" ref="Q70" si="209">Q44</f>
        <v>3.23</v>
      </c>
      <c r="R70" s="118">
        <f>((P70/G70)^(1/($H$2-$H$1) ))-1</f>
        <v>5.9337544591594904E-2</v>
      </c>
      <c r="S70" s="128"/>
      <c r="T70" s="158">
        <f t="shared" ref="T70:AC70" si="210">T44</f>
        <v>3.4884000000000004</v>
      </c>
      <c r="U70" s="158">
        <f t="shared" si="210"/>
        <v>3.7674720000000006</v>
      </c>
      <c r="V70" s="158">
        <f t="shared" si="210"/>
        <v>4.068869760000001</v>
      </c>
      <c r="W70" s="158">
        <f t="shared" si="210"/>
        <v>4.3943793408000014</v>
      </c>
      <c r="X70" s="158">
        <f t="shared" si="210"/>
        <v>4.7459296880640016</v>
      </c>
      <c r="Y70" s="158">
        <f t="shared" si="210"/>
        <v>5.1256040631091224</v>
      </c>
      <c r="Z70" s="158">
        <f t="shared" si="210"/>
        <v>5.5356523881578523</v>
      </c>
      <c r="AA70" s="158">
        <f t="shared" si="210"/>
        <v>5.9785045792104805</v>
      </c>
      <c r="AB70" s="158">
        <f t="shared" si="210"/>
        <v>6.4567849455473194</v>
      </c>
      <c r="AC70" s="158">
        <f t="shared" si="210"/>
        <v>6.9733277411911052</v>
      </c>
      <c r="AD70" s="137">
        <f t="shared" ref="AD70" si="211">((AC70/G70)^(1/($AC$3-$H$1) ))-1</f>
        <v>7.9859966438526442E-2</v>
      </c>
      <c r="AE70" s="31">
        <f t="shared" si="15"/>
        <v>0.08</v>
      </c>
      <c r="AF70" s="145">
        <f t="shared" si="168"/>
        <v>125.51989934143988</v>
      </c>
    </row>
    <row r="71" spans="2:32">
      <c r="B71" s="20"/>
      <c r="C71" s="127"/>
      <c r="D71" s="127"/>
      <c r="E71" s="127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28"/>
      <c r="S71" s="128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38"/>
      <c r="AE71" s="136"/>
      <c r="AF71" s="153"/>
    </row>
    <row r="72" spans="2:3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3">
        <f t="shared" si="212"/>
        <v>0</v>
      </c>
      <c r="G72" s="143">
        <f t="shared" si="212"/>
        <v>-4</v>
      </c>
      <c r="H72" s="143">
        <f t="shared" si="212"/>
        <v>-4</v>
      </c>
      <c r="I72" s="143">
        <f t="shared" si="212"/>
        <v>-9</v>
      </c>
      <c r="J72" s="143">
        <f t="shared" si="212"/>
        <v>-92</v>
      </c>
      <c r="K72" s="143">
        <f t="shared" si="212"/>
        <v>-145</v>
      </c>
      <c r="L72" s="143">
        <f t="shared" si="212"/>
        <v>91</v>
      </c>
      <c r="M72" s="143">
        <f t="shared" si="212"/>
        <v>196</v>
      </c>
      <c r="N72" s="143">
        <f t="shared" si="212"/>
        <v>24</v>
      </c>
      <c r="O72" s="143">
        <f t="shared" si="212"/>
        <v>226</v>
      </c>
      <c r="P72" s="143">
        <f t="shared" si="212"/>
        <v>215</v>
      </c>
      <c r="Q72" s="143">
        <f t="shared" ref="Q72" si="213">Q20+Q21</f>
        <v>-65</v>
      </c>
      <c r="R72" s="118">
        <f>((P72/G72)^(1/($H$2-$H$1) ))-1</f>
        <v>-2.5569127466668995</v>
      </c>
      <c r="S72" s="128"/>
      <c r="T72" s="143">
        <f t="shared" ref="T72:AC72" si="214">T20+T21</f>
        <v>-76.699999999999989</v>
      </c>
      <c r="U72" s="143">
        <f t="shared" si="214"/>
        <v>-90.505999999999972</v>
      </c>
      <c r="V72" s="143">
        <f t="shared" si="214"/>
        <v>-106.79707999999994</v>
      </c>
      <c r="W72" s="143">
        <f t="shared" si="214"/>
        <v>-126.02055439999981</v>
      </c>
      <c r="X72" s="143">
        <f t="shared" si="214"/>
        <v>-148.70425419199978</v>
      </c>
      <c r="Y72" s="143">
        <f t="shared" si="214"/>
        <v>-175.47101994655975</v>
      </c>
      <c r="Z72" s="143">
        <f t="shared" si="214"/>
        <v>-207.05580353694052</v>
      </c>
      <c r="AA72" s="143">
        <f t="shared" si="214"/>
        <v>-244.32584817358975</v>
      </c>
      <c r="AB72" s="143">
        <f t="shared" si="214"/>
        <v>-288.30450084483596</v>
      </c>
      <c r="AC72" s="143">
        <f t="shared" si="214"/>
        <v>-340.19931099690643</v>
      </c>
      <c r="AD72" s="137">
        <f t="shared" ref="AD72:AD77" si="215">((AC72/G72)^(1/($AC$3-$H$1) ))-1</f>
        <v>0.24877349382506564</v>
      </c>
      <c r="AE72" s="31">
        <f t="shared" si="15"/>
        <v>0.08</v>
      </c>
      <c r="AF72" s="145">
        <f t="shared" si="168"/>
        <v>-6123.5875979443153</v>
      </c>
    </row>
    <row r="73" spans="2:3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28"/>
      <c r="S73" s="128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38"/>
      <c r="AE73" s="136"/>
      <c r="AF73" s="145"/>
    </row>
    <row r="74" spans="2:3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3">
        <f t="shared" si="216"/>
        <v>0</v>
      </c>
      <c r="G74" s="143">
        <f t="shared" si="216"/>
        <v>-3.5398230088495577</v>
      </c>
      <c r="H74" s="143">
        <f t="shared" si="216"/>
        <v>-3.5398230088495577</v>
      </c>
      <c r="I74" s="143">
        <f t="shared" si="216"/>
        <v>-7.9646017699115053</v>
      </c>
      <c r="J74" s="143">
        <f t="shared" si="216"/>
        <v>-81.415929203539832</v>
      </c>
      <c r="K74" s="143">
        <f t="shared" si="216"/>
        <v>-25.48330404217926</v>
      </c>
      <c r="L74" s="143">
        <f t="shared" si="216"/>
        <v>10.655737704918034</v>
      </c>
      <c r="M74" s="143">
        <f t="shared" si="216"/>
        <v>22.95081967213115</v>
      </c>
      <c r="N74" s="143">
        <f t="shared" si="216"/>
        <v>2.8103044496487124</v>
      </c>
      <c r="O74" s="143">
        <f t="shared" si="216"/>
        <v>26.463700234192039</v>
      </c>
      <c r="P74" s="143">
        <f t="shared" si="216"/>
        <v>12.587822014051524</v>
      </c>
      <c r="Q74" s="143">
        <f t="shared" ref="Q74" si="217">Q72/Q42</f>
        <v>-3.8056206088992979</v>
      </c>
      <c r="R74" s="118">
        <f>((P74/G74)^(1/($H$2-$H$1) ))-1</f>
        <v>-2.1513802692714594</v>
      </c>
      <c r="S74" s="128"/>
      <c r="T74" s="145">
        <f t="shared" ref="T74:AC74" si="218">T72/T42</f>
        <v>-4.4461706123773972</v>
      </c>
      <c r="U74" s="145">
        <f t="shared" si="218"/>
        <v>-5.1945359629755714</v>
      </c>
      <c r="V74" s="145">
        <f t="shared" si="218"/>
        <v>-6.0688637983278939</v>
      </c>
      <c r="W74" s="145">
        <f t="shared" si="218"/>
        <v>-7.0903557247791165</v>
      </c>
      <c r="X74" s="145">
        <f t="shared" si="218"/>
        <v>-8.2837819358805529</v>
      </c>
      <c r="Y74" s="145">
        <f t="shared" si="218"/>
        <v>-9.6780818656822305</v>
      </c>
      <c r="Z74" s="145">
        <f t="shared" si="218"/>
        <v>-11.307065942084192</v>
      </c>
      <c r="AA74" s="145">
        <f t="shared" si="218"/>
        <v>-13.210235457088457</v>
      </c>
      <c r="AB74" s="145">
        <f t="shared" si="218"/>
        <v>-15.43374043501424</v>
      </c>
      <c r="AC74" s="145">
        <f t="shared" si="218"/>
        <v>-18.031498726056242</v>
      </c>
      <c r="AD74" s="137">
        <f t="shared" si="215"/>
        <v>8.4807087309226592E-2</v>
      </c>
      <c r="AE74" s="31">
        <f t="shared" si="15"/>
        <v>0.08</v>
      </c>
      <c r="AF74" s="145">
        <f t="shared" si="168"/>
        <v>-324.56697706901235</v>
      </c>
    </row>
    <row r="75" spans="2:3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3">
        <f t="shared" si="219"/>
        <v>0</v>
      </c>
      <c r="G75" s="143">
        <f t="shared" si="219"/>
        <v>5.3097345132743365</v>
      </c>
      <c r="H75" s="143">
        <f t="shared" si="219"/>
        <v>6.1946902654867264</v>
      </c>
      <c r="I75" s="143">
        <f t="shared" si="219"/>
        <v>23.008849557522126</v>
      </c>
      <c r="J75" s="143">
        <f t="shared" si="219"/>
        <v>-33.628318584070797</v>
      </c>
      <c r="K75" s="143">
        <f t="shared" si="219"/>
        <v>-5.2724077328646741</v>
      </c>
      <c r="L75" s="143">
        <f t="shared" si="219"/>
        <v>26.112412177985952</v>
      </c>
      <c r="M75" s="143">
        <f t="shared" si="219"/>
        <v>25.058548009367684</v>
      </c>
      <c r="N75" s="143">
        <f t="shared" si="219"/>
        <v>9.9531615925058556</v>
      </c>
      <c r="O75" s="143">
        <f t="shared" si="219"/>
        <v>34.660421545667454</v>
      </c>
      <c r="P75" s="143">
        <f t="shared" si="219"/>
        <v>19.613583138173304</v>
      </c>
      <c r="Q75" s="143">
        <f t="shared" ref="Q75" si="220">Q20/Q42</f>
        <v>16.334894613583138</v>
      </c>
      <c r="R75" s="118">
        <f>((P75/G75)^(1/($H$2-$H$1) ))-1</f>
        <v>0.15625544959386017</v>
      </c>
      <c r="S75" s="128"/>
      <c r="T75" s="145">
        <f t="shared" ref="T75:AC75" si="221">T20/T42</f>
        <v>19.084332320819904</v>
      </c>
      <c r="U75" s="145">
        <f t="shared" si="221"/>
        <v>22.296546671848997</v>
      </c>
      <c r="V75" s="145">
        <f t="shared" si="221"/>
        <v>26.049430765130506</v>
      </c>
      <c r="W75" s="145">
        <f t="shared" si="221"/>
        <v>30.433988418667326</v>
      </c>
      <c r="X75" s="145">
        <f t="shared" si="221"/>
        <v>35.556540924779647</v>
      </c>
      <c r="Y75" s="145">
        <f t="shared" si="221"/>
        <v>41.541305238851471</v>
      </c>
      <c r="Z75" s="145">
        <f t="shared" si="221"/>
        <v>48.533406120638347</v>
      </c>
      <c r="AA75" s="145">
        <f t="shared" si="221"/>
        <v>56.702395269656677</v>
      </c>
      <c r="AB75" s="145">
        <f t="shared" si="221"/>
        <v>66.246362790291954</v>
      </c>
      <c r="AC75" s="145">
        <f t="shared" si="221"/>
        <v>77.396740685687632</v>
      </c>
      <c r="AD75" s="137">
        <f t="shared" si="215"/>
        <v>0.14335868034282639</v>
      </c>
      <c r="AE75" s="31">
        <f t="shared" si="15"/>
        <v>0.08</v>
      </c>
      <c r="AF75" s="145">
        <f t="shared" si="168"/>
        <v>1393.1413323423774</v>
      </c>
    </row>
    <row r="76" spans="2:3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3">
        <f t="shared" si="222"/>
        <v>0</v>
      </c>
      <c r="G76" s="143">
        <f t="shared" si="222"/>
        <v>-8.8495575221238951</v>
      </c>
      <c r="H76" s="143">
        <f t="shared" si="222"/>
        <v>-9.7345132743362832</v>
      </c>
      <c r="I76" s="143">
        <f t="shared" si="222"/>
        <v>-30.973451327433633</v>
      </c>
      <c r="J76" s="143">
        <f t="shared" si="222"/>
        <v>-47.787610619469028</v>
      </c>
      <c r="K76" s="143">
        <f t="shared" si="222"/>
        <v>-20.210896309314585</v>
      </c>
      <c r="L76" s="143">
        <f t="shared" si="222"/>
        <v>-15.456674473067917</v>
      </c>
      <c r="M76" s="143">
        <f t="shared" si="222"/>
        <v>-2.1077283372365341</v>
      </c>
      <c r="N76" s="143">
        <f t="shared" si="222"/>
        <v>-7.1428571428571432</v>
      </c>
      <c r="O76" s="143">
        <f t="shared" si="222"/>
        <v>-8.1967213114754109</v>
      </c>
      <c r="P76" s="143">
        <f t="shared" si="222"/>
        <v>-7.0257611241217806</v>
      </c>
      <c r="Q76" s="143">
        <f t="shared" ref="Q76" si="223">Q21/Q42</f>
        <v>-20.140515222482438</v>
      </c>
      <c r="R76" s="118">
        <f>((P76/G76)^(1/($H$2-$H$1) ))-1</f>
        <v>-2.5316675577002568E-2</v>
      </c>
      <c r="S76" s="128"/>
      <c r="T76" s="145">
        <f t="shared" ref="T76:AC76" si="224">T21/T42</f>
        <v>-23.530502933197301</v>
      </c>
      <c r="U76" s="145">
        <f t="shared" si="224"/>
        <v>-27.491082634824568</v>
      </c>
      <c r="V76" s="145">
        <f t="shared" si="224"/>
        <v>-32.118294563458399</v>
      </c>
      <c r="W76" s="145">
        <f t="shared" si="224"/>
        <v>-37.524344143446442</v>
      </c>
      <c r="X76" s="145">
        <f t="shared" si="224"/>
        <v>-43.840322860660201</v>
      </c>
      <c r="Y76" s="145">
        <f t="shared" si="224"/>
        <v>-51.219387104533702</v>
      </c>
      <c r="Z76" s="145">
        <f t="shared" si="224"/>
        <v>-59.84047206272254</v>
      </c>
      <c r="AA76" s="145">
        <f t="shared" si="224"/>
        <v>-69.912630726745135</v>
      </c>
      <c r="AB76" s="145">
        <f t="shared" si="224"/>
        <v>-81.680103225306198</v>
      </c>
      <c r="AC76" s="145">
        <f t="shared" si="224"/>
        <v>-95.428239411743874</v>
      </c>
      <c r="AD76" s="137">
        <f t="shared" si="215"/>
        <v>0.12625768590418152</v>
      </c>
      <c r="AE76" s="31">
        <f t="shared" si="15"/>
        <v>0.08</v>
      </c>
      <c r="AF76" s="145">
        <f t="shared" si="168"/>
        <v>-1717.7083094113896</v>
      </c>
    </row>
    <row r="77" spans="2:3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3">
        <f t="shared" si="225"/>
        <v>0</v>
      </c>
      <c r="G77" s="143">
        <f t="shared" si="225"/>
        <v>2.6548672566371683</v>
      </c>
      <c r="H77" s="143">
        <f t="shared" si="225"/>
        <v>6.1946902654867264</v>
      </c>
      <c r="I77" s="143">
        <f t="shared" si="225"/>
        <v>10.619469026548673</v>
      </c>
      <c r="J77" s="143">
        <f t="shared" si="225"/>
        <v>85.840707964601776</v>
      </c>
      <c r="K77" s="143">
        <f t="shared" si="225"/>
        <v>30.052724077328644</v>
      </c>
      <c r="L77" s="143">
        <f t="shared" si="225"/>
        <v>-8.5480093676814999</v>
      </c>
      <c r="M77" s="143">
        <f t="shared" si="225"/>
        <v>-23.887587822014055</v>
      </c>
      <c r="N77" s="143">
        <f t="shared" si="225"/>
        <v>-5.3864168618266985</v>
      </c>
      <c r="O77" s="143">
        <f t="shared" si="225"/>
        <v>-4.918032786885246</v>
      </c>
      <c r="P77" s="143">
        <f t="shared" si="225"/>
        <v>-2.0491803278688527</v>
      </c>
      <c r="Q77" s="143">
        <f t="shared" ref="Q77" si="226">Q22/Q42</f>
        <v>-3.1030444964871196</v>
      </c>
      <c r="R77" s="118">
        <f>((P77/G77)^(1/($H$2-$H$1) ))-1</f>
        <v>-1.9716372404005895</v>
      </c>
      <c r="S77" s="128"/>
      <c r="T77" s="145">
        <f t="shared" ref="T77:AC77" si="227">T22/T42</f>
        <v>-3.6253391147077241</v>
      </c>
      <c r="U77" s="145">
        <f t="shared" si="227"/>
        <v>-4.23554470827239</v>
      </c>
      <c r="V77" s="145">
        <f t="shared" si="227"/>
        <v>-4.9484581740212077</v>
      </c>
      <c r="W77" s="145">
        <f t="shared" si="227"/>
        <v>-5.7813669755891341</v>
      </c>
      <c r="X77" s="145">
        <f t="shared" si="227"/>
        <v>-6.7544683477179976</v>
      </c>
      <c r="Y77" s="145">
        <f t="shared" si="227"/>
        <v>-7.891359059710136</v>
      </c>
      <c r="Z77" s="145">
        <f t="shared" si="227"/>
        <v>-9.2196076143148122</v>
      </c>
      <c r="AA77" s="145">
        <f t="shared" si="227"/>
        <v>-10.771422757318295</v>
      </c>
      <c r="AB77" s="145">
        <f t="shared" si="227"/>
        <v>-12.584434508550085</v>
      </c>
      <c r="AC77" s="145">
        <f t="shared" si="227"/>
        <v>-14.702606653553564</v>
      </c>
      <c r="AD77" s="137" t="e">
        <f t="shared" si="215"/>
        <v>#NUM!</v>
      </c>
      <c r="AE77" s="31">
        <f t="shared" si="15"/>
        <v>0.08</v>
      </c>
      <c r="AF77" s="145">
        <f t="shared" si="168"/>
        <v>-264.64691976396415</v>
      </c>
    </row>
    <row r="78" spans="2:3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3">
        <f t="shared" si="228"/>
        <v>0</v>
      </c>
      <c r="G78" s="143">
        <f t="shared" si="228"/>
        <v>13.274336283185843</v>
      </c>
      <c r="H78" s="143">
        <f t="shared" si="228"/>
        <v>15.044247787610621</v>
      </c>
      <c r="I78" s="143">
        <f t="shared" si="228"/>
        <v>18.584070796460178</v>
      </c>
      <c r="J78" s="143">
        <f t="shared" si="228"/>
        <v>23.008849557522126</v>
      </c>
      <c r="K78" s="143">
        <f t="shared" si="228"/>
        <v>8.9630931458699461</v>
      </c>
      <c r="L78" s="143">
        <f t="shared" si="228"/>
        <v>8.1967213114754109</v>
      </c>
      <c r="M78" s="143">
        <f t="shared" si="228"/>
        <v>7.2599531615925068</v>
      </c>
      <c r="N78" s="143">
        <f t="shared" si="228"/>
        <v>4.6838407494145207</v>
      </c>
      <c r="O78" s="143">
        <f t="shared" si="228"/>
        <v>26.81498829039813</v>
      </c>
      <c r="P78" s="143">
        <f t="shared" si="228"/>
        <v>23.946135831381735</v>
      </c>
      <c r="Q78" s="143">
        <f t="shared" ref="Q78" si="229">Q23/Q42</f>
        <v>17.15456674473068</v>
      </c>
      <c r="R78" s="118">
        <f>((P78/G78)^(1/($H$2-$H$1) ))-1</f>
        <v>6.7749017984781501E-2</v>
      </c>
      <c r="S78" s="128"/>
      <c r="T78" s="145">
        <f t="shared" ref="T78:AC78" si="230">T23/T42</f>
        <v>20.041969068101192</v>
      </c>
      <c r="U78" s="145">
        <f t="shared" si="230"/>
        <v>23.415369802336041</v>
      </c>
      <c r="V78" s="145">
        <f t="shared" si="230"/>
        <v>27.356570660154979</v>
      </c>
      <c r="W78" s="145">
        <f t="shared" si="230"/>
        <v>31.961141959388979</v>
      </c>
      <c r="X78" s="145">
        <f t="shared" si="230"/>
        <v>37.3407401109693</v>
      </c>
      <c r="Y78" s="145">
        <f t="shared" si="230"/>
        <v>43.625815179152255</v>
      </c>
      <c r="Z78" s="145">
        <f t="shared" si="230"/>
        <v>50.968774169702627</v>
      </c>
      <c r="AA78" s="145">
        <f t="shared" si="230"/>
        <v>59.547676752721884</v>
      </c>
      <c r="AB78" s="145">
        <f t="shared" si="230"/>
        <v>69.570553037833477</v>
      </c>
      <c r="AC78" s="145">
        <f t="shared" si="230"/>
        <v>81.280448103607426</v>
      </c>
      <c r="AD78" s="137">
        <f t="shared" ref="AD78" si="231">((AC78/G78)^(1/($AC$3-$H$1) ))-1</f>
        <v>9.4834977493799322E-2</v>
      </c>
      <c r="AE78" s="31">
        <f t="shared" si="15"/>
        <v>0.08</v>
      </c>
      <c r="AF78" s="145">
        <f t="shared" si="168"/>
        <v>1463.0480658649335</v>
      </c>
    </row>
    <row r="79" spans="2:32">
      <c r="B79" s="20"/>
      <c r="C79" s="127"/>
      <c r="D79" s="127"/>
      <c r="E79" s="127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8"/>
      <c r="AE79" s="136"/>
      <c r="AF79" s="153"/>
    </row>
    <row r="80" spans="2:32">
      <c r="B80" s="20" t="s">
        <v>311</v>
      </c>
      <c r="C80" s="143">
        <f t="shared" ref="C80:P80" si="232">C36/C42</f>
        <v>0</v>
      </c>
      <c r="D80" s="143">
        <f t="shared" si="232"/>
        <v>0</v>
      </c>
      <c r="E80" s="143">
        <f t="shared" si="232"/>
        <v>0</v>
      </c>
      <c r="F80" s="143">
        <f t="shared" si="232"/>
        <v>0</v>
      </c>
      <c r="G80" s="143">
        <f t="shared" si="232"/>
        <v>19.469026548672566</v>
      </c>
      <c r="H80" s="143">
        <f t="shared" si="232"/>
        <v>21.238938053097346</v>
      </c>
      <c r="I80" s="143">
        <f t="shared" si="232"/>
        <v>46.902654867256643</v>
      </c>
      <c r="J80" s="143">
        <f t="shared" si="232"/>
        <v>82.300884955752224</v>
      </c>
      <c r="K80" s="143">
        <f t="shared" si="232"/>
        <v>31.985940246045693</v>
      </c>
      <c r="L80" s="143">
        <f t="shared" si="232"/>
        <v>24.355971896955506</v>
      </c>
      <c r="M80" s="143">
        <f t="shared" si="232"/>
        <v>34.30913348946136</v>
      </c>
      <c r="N80" s="143">
        <f t="shared" si="232"/>
        <v>30.210772833723656</v>
      </c>
      <c r="O80" s="143">
        <f t="shared" si="232"/>
        <v>41.686182669789233</v>
      </c>
      <c r="P80" s="143">
        <f t="shared" si="232"/>
        <v>26.463700234192039</v>
      </c>
      <c r="Q80" s="143">
        <f t="shared" ref="Q80" si="233">Q36/Q42</f>
        <v>32.786885245901644</v>
      </c>
      <c r="R80" s="118">
        <f>((P80/G80)^(1/($H$2-$H$1) ))-1</f>
        <v>3.4693723319463965E-2</v>
      </c>
      <c r="S80" s="128"/>
      <c r="T80" s="143">
        <f t="shared" ref="T80:AC80" si="234">T36/T42</f>
        <v>38.30546989125142</v>
      </c>
      <c r="U80" s="143">
        <f t="shared" si="234"/>
        <v>44.752925219481853</v>
      </c>
      <c r="V80" s="143">
        <f t="shared" si="234"/>
        <v>52.285595800978797</v>
      </c>
      <c r="W80" s="143">
        <f t="shared" si="234"/>
        <v>61.086141628866322</v>
      </c>
      <c r="X80" s="143">
        <f t="shared" si="234"/>
        <v>71.367967447586395</v>
      </c>
      <c r="Y80" s="143">
        <f t="shared" si="234"/>
        <v>83.380397612031629</v>
      </c>
      <c r="Z80" s="143">
        <f t="shared" si="234"/>
        <v>97.414721962571605</v>
      </c>
      <c r="AA80" s="143">
        <f t="shared" si="234"/>
        <v>113.81125932260839</v>
      </c>
      <c r="AB80" s="143">
        <f t="shared" si="234"/>
        <v>132.96760990166129</v>
      </c>
      <c r="AC80" s="143">
        <f t="shared" si="234"/>
        <v>155.34829671679239</v>
      </c>
      <c r="AD80" s="137">
        <f t="shared" ref="AD80:AD82" si="235">((AC80/G80)^(1/($AC$3-$H$1) ))-1</f>
        <v>0.10942542098293417</v>
      </c>
      <c r="AE80" s="31">
        <f t="shared" si="15"/>
        <v>0.08</v>
      </c>
      <c r="AF80" s="145">
        <f t="shared" si="168"/>
        <v>2796.2693409022627</v>
      </c>
    </row>
    <row r="81" spans="2:32">
      <c r="B81" s="20" t="s">
        <v>312</v>
      </c>
      <c r="C81" s="143">
        <f t="shared" ref="C81:P81" si="236">C40/C42</f>
        <v>0</v>
      </c>
      <c r="D81" s="143">
        <f t="shared" si="236"/>
        <v>0</v>
      </c>
      <c r="E81" s="143">
        <f t="shared" si="236"/>
        <v>0</v>
      </c>
      <c r="F81" s="143">
        <f t="shared" si="236"/>
        <v>0</v>
      </c>
      <c r="G81" s="143">
        <f t="shared" si="236"/>
        <v>0.88495575221238942</v>
      </c>
      <c r="H81" s="143">
        <f t="shared" si="236"/>
        <v>7.9646017699115053</v>
      </c>
      <c r="I81" s="143">
        <f t="shared" si="236"/>
        <v>21.238938053097346</v>
      </c>
      <c r="J81" s="143">
        <f t="shared" si="236"/>
        <v>41.592920353982308</v>
      </c>
      <c r="K81" s="143">
        <f t="shared" si="236"/>
        <v>16.520210896309312</v>
      </c>
      <c r="L81" s="143">
        <f t="shared" si="236"/>
        <v>9.4847775175644031</v>
      </c>
      <c r="M81" s="143">
        <f t="shared" si="236"/>
        <v>19.555035128805624</v>
      </c>
      <c r="N81" s="143">
        <f t="shared" si="236"/>
        <v>17.330210772833727</v>
      </c>
      <c r="O81" s="143">
        <f t="shared" si="236"/>
        <v>25.175644028103047</v>
      </c>
      <c r="P81" s="143">
        <f t="shared" si="236"/>
        <v>16.803278688524593</v>
      </c>
      <c r="Q81" s="143">
        <f t="shared" ref="Q81" si="237">Q40/Q42</f>
        <v>21.487119437939111</v>
      </c>
      <c r="R81" s="118">
        <f>((P81/G81)^(1/($H$2-$H$1) ))-1</f>
        <v>0.38692346870428262</v>
      </c>
      <c r="S81" s="128"/>
      <c r="T81" s="143">
        <f t="shared" ref="T81:AC81" si="238">T40/T42</f>
        <v>25.103763303730844</v>
      </c>
      <c r="U81" s="143">
        <f t="shared" si="238"/>
        <v>29.329149206339004</v>
      </c>
      <c r="V81" s="143">
        <f t="shared" si="238"/>
        <v>34.265738676712893</v>
      </c>
      <c r="W81" s="143">
        <f t="shared" si="238"/>
        <v>40.033239246060603</v>
      </c>
      <c r="X81" s="143">
        <f t="shared" si="238"/>
        <v>46.77150723797179</v>
      </c>
      <c r="Y81" s="143">
        <f t="shared" si="238"/>
        <v>54.643939149313574</v>
      </c>
      <c r="Z81" s="143">
        <f t="shared" si="238"/>
        <v>63.841433857613872</v>
      </c>
      <c r="AA81" s="143">
        <f t="shared" si="238"/>
        <v>74.587021734637986</v>
      </c>
      <c r="AB81" s="143">
        <f t="shared" si="238"/>
        <v>87.141272917695872</v>
      </c>
      <c r="AC81" s="143">
        <f t="shared" si="238"/>
        <v>101.80861588404071</v>
      </c>
      <c r="AD81" s="137">
        <f t="shared" si="235"/>
        <v>0.26777781821400404</v>
      </c>
      <c r="AE81" s="31">
        <f t="shared" si="15"/>
        <v>0.08</v>
      </c>
      <c r="AF81" s="145">
        <f t="shared" si="168"/>
        <v>1832.5550859127325</v>
      </c>
    </row>
    <row r="82" spans="2:32">
      <c r="B82" s="20" t="s">
        <v>313</v>
      </c>
      <c r="C82" s="143">
        <f t="shared" ref="C82:P82" si="239">C6/C42</f>
        <v>0</v>
      </c>
      <c r="D82" s="143">
        <f t="shared" si="239"/>
        <v>0</v>
      </c>
      <c r="E82" s="143">
        <f t="shared" si="239"/>
        <v>0</v>
      </c>
      <c r="F82" s="143">
        <f t="shared" si="239"/>
        <v>0</v>
      </c>
      <c r="G82" s="143">
        <f t="shared" si="239"/>
        <v>144.24778761061947</v>
      </c>
      <c r="H82" s="143">
        <f t="shared" si="239"/>
        <v>149.55752212389382</v>
      </c>
      <c r="I82" s="143">
        <f t="shared" si="239"/>
        <v>168.14159292035399</v>
      </c>
      <c r="J82" s="143">
        <f t="shared" si="239"/>
        <v>205.30973451327435</v>
      </c>
      <c r="K82" s="143">
        <f t="shared" si="239"/>
        <v>56.590509666080841</v>
      </c>
      <c r="L82" s="143">
        <f t="shared" si="239"/>
        <v>45.433255269320846</v>
      </c>
      <c r="M82" s="143">
        <f t="shared" si="239"/>
        <v>61.709601873536307</v>
      </c>
      <c r="N82" s="143">
        <f t="shared" si="239"/>
        <v>73.536299765807968</v>
      </c>
      <c r="O82" s="143">
        <f t="shared" si="239"/>
        <v>94.379391100702591</v>
      </c>
      <c r="P82" s="143">
        <f t="shared" si="239"/>
        <v>61.007025761124126</v>
      </c>
      <c r="Q82" s="143">
        <f t="shared" ref="Q82" si="240">Q6/Q42</f>
        <v>78.74707259953162</v>
      </c>
      <c r="R82" s="118">
        <f>((P82/G82)^(1/($H$2-$H$1) ))-1</f>
        <v>-9.1187019718088402E-2</v>
      </c>
      <c r="S82" s="128"/>
      <c r="T82" s="143">
        <f t="shared" ref="T82:AC82" si="241">T6/T42</f>
        <v>92.001530363809223</v>
      </c>
      <c r="U82" s="143">
        <f t="shared" si="241"/>
        <v>107.48693646464838</v>
      </c>
      <c r="V82" s="143">
        <f t="shared" si="241"/>
        <v>125.578797057708</v>
      </c>
      <c r="W82" s="143">
        <f t="shared" si="241"/>
        <v>146.71582230504501</v>
      </c>
      <c r="X82" s="143">
        <f t="shared" si="241"/>
        <v>171.41056467322088</v>
      </c>
      <c r="Y82" s="143">
        <f t="shared" si="241"/>
        <v>200.26184783604023</v>
      </c>
      <c r="Z82" s="143">
        <f t="shared" si="241"/>
        <v>233.96928757081929</v>
      </c>
      <c r="AA82" s="143">
        <f t="shared" si="241"/>
        <v>273.3502567659076</v>
      </c>
      <c r="AB82" s="143">
        <f t="shared" si="241"/>
        <v>319.35970592452571</v>
      </c>
      <c r="AC82" s="143">
        <f t="shared" si="241"/>
        <v>373.11331979301025</v>
      </c>
      <c r="AD82" s="137">
        <f t="shared" si="235"/>
        <v>4.8664532237743918E-2</v>
      </c>
      <c r="AE82" s="31">
        <f t="shared" ref="AE82" si="242">$L$1</f>
        <v>0.08</v>
      </c>
      <c r="AF82" s="145">
        <f t="shared" si="168"/>
        <v>6716.0397562741837</v>
      </c>
    </row>
    <row r="83" spans="2:32">
      <c r="B83" s="20"/>
      <c r="C83" s="127"/>
      <c r="D83" s="127"/>
      <c r="E83" s="127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8"/>
      <c r="AE83" s="20"/>
      <c r="AF83" s="153"/>
    </row>
    <row r="84" spans="2:32">
      <c r="B84" s="20"/>
      <c r="C84" s="127"/>
      <c r="D84" s="127"/>
      <c r="E84" s="127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8"/>
      <c r="AE84" s="20"/>
      <c r="AF84" s="153"/>
    </row>
    <row r="85" spans="2:3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>
      <c r="B86" s="20" t="s">
        <v>309</v>
      </c>
      <c r="C86" s="151"/>
      <c r="D86" s="151"/>
      <c r="E86" s="151" t="e">
        <f t="shared" ref="E86:P86" si="243">E36/E25</f>
        <v>#DIV/0!</v>
      </c>
      <c r="F86" s="151" t="e">
        <f t="shared" si="243"/>
        <v>#DIV/0!</v>
      </c>
      <c r="G86" s="151">
        <f t="shared" si="243"/>
        <v>0.12222222222222222</v>
      </c>
      <c r="H86" s="151">
        <f t="shared" si="243"/>
        <v>9.7560975609756101E-2</v>
      </c>
      <c r="I86" s="151">
        <f t="shared" si="243"/>
        <v>0.13184079601990051</v>
      </c>
      <c r="J86" s="151">
        <f t="shared" si="243"/>
        <v>0.15</v>
      </c>
      <c r="K86" s="151">
        <f t="shared" si="243"/>
        <v>0.15662650602409639</v>
      </c>
      <c r="L86" s="151">
        <f t="shared" si="243"/>
        <v>0.16086620262954371</v>
      </c>
      <c r="M86" s="151">
        <f t="shared" si="243"/>
        <v>0.19238345370978333</v>
      </c>
      <c r="N86" s="151">
        <f t="shared" si="243"/>
        <v>0.14381270903010032</v>
      </c>
      <c r="O86" s="151">
        <f t="shared" si="243"/>
        <v>0.15065594583157005</v>
      </c>
      <c r="P86" s="151">
        <f t="shared" si="243"/>
        <v>0.14917491749174919</v>
      </c>
      <c r="Q86" s="151">
        <f t="shared" ref="Q86" si="244">Q36/Q25</f>
        <v>0.15968063872255489</v>
      </c>
      <c r="R86" s="118">
        <f t="shared" ref="R86:R138" si="245">((P86/G86)^(1/($H$2-$H$1) ))-1</f>
        <v>2.23890305123291E-2</v>
      </c>
      <c r="S86" s="151"/>
      <c r="T86" s="151">
        <f t="shared" ref="T86:AC86" si="246">T36/T25</f>
        <v>0.15968063872255486</v>
      </c>
      <c r="U86" s="151">
        <f t="shared" si="246"/>
        <v>0.15968063872255486</v>
      </c>
      <c r="V86" s="151">
        <f t="shared" si="246"/>
        <v>0.15968063872255484</v>
      </c>
      <c r="W86" s="151">
        <f t="shared" si="246"/>
        <v>0.15968063872255484</v>
      </c>
      <c r="X86" s="151">
        <f t="shared" si="246"/>
        <v>0.15968063872255486</v>
      </c>
      <c r="Y86" s="151">
        <f t="shared" si="246"/>
        <v>0.15968063872255484</v>
      </c>
      <c r="Z86" s="151">
        <f t="shared" si="246"/>
        <v>0.15968063872255486</v>
      </c>
      <c r="AA86" s="151">
        <f t="shared" si="246"/>
        <v>0.15968063872255486</v>
      </c>
      <c r="AB86" s="151">
        <f t="shared" si="246"/>
        <v>0.15968063872255486</v>
      </c>
      <c r="AC86" s="151">
        <f t="shared" si="246"/>
        <v>0.15968063872255484</v>
      </c>
      <c r="AD86" s="137">
        <f t="shared" ref="AD86:AD125" si="247">((AC86/G86)^(1/($AC$3-$H$1) ))-1</f>
        <v>1.3456480885720268E-2</v>
      </c>
      <c r="AE86" s="145"/>
      <c r="AF86" s="145"/>
    </row>
    <row r="87" spans="2:32">
      <c r="B87" s="20" t="s">
        <v>266</v>
      </c>
      <c r="C87" s="151"/>
      <c r="D87" s="151"/>
      <c r="E87" s="151" t="e">
        <f t="shared" ref="E87:P87" si="248">E40/E25</f>
        <v>#DIV/0!</v>
      </c>
      <c r="F87" s="151" t="e">
        <f t="shared" si="248"/>
        <v>#DIV/0!</v>
      </c>
      <c r="G87" s="151">
        <f t="shared" si="248"/>
        <v>5.5555555555555558E-3</v>
      </c>
      <c r="H87" s="151">
        <f t="shared" si="248"/>
        <v>3.6585365853658534E-2</v>
      </c>
      <c r="I87" s="151">
        <f t="shared" si="248"/>
        <v>5.9701492537313432E-2</v>
      </c>
      <c r="J87" s="151">
        <f t="shared" si="248"/>
        <v>7.5806451612903225E-2</v>
      </c>
      <c r="K87" s="151">
        <f t="shared" si="248"/>
        <v>8.0895008605851984E-2</v>
      </c>
      <c r="L87" s="151">
        <f t="shared" si="248"/>
        <v>6.2645011600928072E-2</v>
      </c>
      <c r="M87" s="151">
        <f t="shared" si="248"/>
        <v>0.10965200262639527</v>
      </c>
      <c r="N87" s="151">
        <f t="shared" si="248"/>
        <v>8.2497212931995537E-2</v>
      </c>
      <c r="O87" s="151">
        <f t="shared" si="248"/>
        <v>9.0986034701650439E-2</v>
      </c>
      <c r="P87" s="151">
        <f t="shared" si="248"/>
        <v>9.4719471947194725E-2</v>
      </c>
      <c r="Q87" s="151">
        <f t="shared" ref="Q87" si="249">Q40/Q25</f>
        <v>0.10464784716281722</v>
      </c>
      <c r="R87" s="118">
        <f t="shared" si="245"/>
        <v>0.37043002059998509</v>
      </c>
      <c r="S87" s="151"/>
      <c r="T87" s="151">
        <f t="shared" ref="T87:AC87" si="250">T40/T25</f>
        <v>0.10464784716281722</v>
      </c>
      <c r="U87" s="151">
        <f t="shared" si="250"/>
        <v>0.10464784716281721</v>
      </c>
      <c r="V87" s="151">
        <f t="shared" si="250"/>
        <v>0.10464784716281719</v>
      </c>
      <c r="W87" s="151">
        <f t="shared" si="250"/>
        <v>0.10464784716281718</v>
      </c>
      <c r="X87" s="151">
        <f t="shared" si="250"/>
        <v>0.10464784716281718</v>
      </c>
      <c r="Y87" s="151">
        <f t="shared" si="250"/>
        <v>0.10464784716281718</v>
      </c>
      <c r="Z87" s="151">
        <f t="shared" si="250"/>
        <v>0.10464784716281718</v>
      </c>
      <c r="AA87" s="151">
        <f t="shared" si="250"/>
        <v>0.10464784716281718</v>
      </c>
      <c r="AB87" s="151">
        <f t="shared" si="250"/>
        <v>0.10464784716281719</v>
      </c>
      <c r="AC87" s="151">
        <f t="shared" si="250"/>
        <v>0.10464784716281718</v>
      </c>
      <c r="AD87" s="137">
        <f t="shared" si="247"/>
        <v>0.15811087603688967</v>
      </c>
      <c r="AE87" s="145"/>
      <c r="AF87" s="145"/>
    </row>
    <row r="88" spans="2:32">
      <c r="B88" s="20" t="s">
        <v>359</v>
      </c>
      <c r="C88" s="151"/>
      <c r="D88" s="151"/>
      <c r="E88" s="151" t="e">
        <f t="shared" ref="E88:O88" si="251">E40/E7</f>
        <v>#DIV/0!</v>
      </c>
      <c r="F88" s="151" t="e">
        <f t="shared" si="251"/>
        <v>#DIV/0!</v>
      </c>
      <c r="G88" s="151">
        <f>G40/G7</f>
        <v>5.7142857142857143E-3</v>
      </c>
      <c r="H88" s="151">
        <f t="shared" si="251"/>
        <v>4.9723756906077346E-2</v>
      </c>
      <c r="I88" s="151">
        <f t="shared" si="251"/>
        <v>0.11940298507462686</v>
      </c>
      <c r="J88" s="151">
        <f t="shared" si="251"/>
        <v>0.19341563786008231</v>
      </c>
      <c r="K88" s="151">
        <f t="shared" si="251"/>
        <v>0.2822822822822823</v>
      </c>
      <c r="L88" s="151">
        <f t="shared" si="251"/>
        <v>0.19950738916256158</v>
      </c>
      <c r="M88" s="151">
        <f t="shared" si="251"/>
        <v>0.30755064456721914</v>
      </c>
      <c r="N88" s="151">
        <f t="shared" si="251"/>
        <v>0.22910216718266255</v>
      </c>
      <c r="O88" s="151">
        <f t="shared" si="251"/>
        <v>0.26123936816524906</v>
      </c>
      <c r="P88" s="151">
        <f t="shared" ref="P88:Q88" si="252">P40/P7</f>
        <v>0.27101038715769593</v>
      </c>
      <c r="Q88" s="151">
        <f t="shared" si="252"/>
        <v>0.26945668135095446</v>
      </c>
      <c r="R88" s="118">
        <f t="shared" si="245"/>
        <v>0.53541184708578404</v>
      </c>
      <c r="S88" s="20"/>
      <c r="T88" s="151">
        <f t="shared" ref="T88" si="253">T40/T7</f>
        <v>0.26945668135095452</v>
      </c>
      <c r="U88" s="151">
        <f t="shared" ref="U88:AC88" si="254">U40/U7</f>
        <v>0.26945668135095452</v>
      </c>
      <c r="V88" s="151">
        <f t="shared" si="254"/>
        <v>0.26945668135095446</v>
      </c>
      <c r="W88" s="151">
        <f t="shared" si="254"/>
        <v>0.26945668135095446</v>
      </c>
      <c r="X88" s="151">
        <f t="shared" si="254"/>
        <v>0.26945668135095446</v>
      </c>
      <c r="Y88" s="151">
        <f t="shared" si="254"/>
        <v>0.26945668135095446</v>
      </c>
      <c r="Z88" s="151">
        <f t="shared" si="254"/>
        <v>0.26945668135095446</v>
      </c>
      <c r="AA88" s="151">
        <f t="shared" si="254"/>
        <v>0.26945668135095446</v>
      </c>
      <c r="AB88" s="151">
        <f t="shared" si="254"/>
        <v>0.26945668135095446</v>
      </c>
      <c r="AC88" s="151">
        <f t="shared" si="254"/>
        <v>0.26945668135095446</v>
      </c>
      <c r="AD88" s="137">
        <f t="shared" si="247"/>
        <v>0.21248493227601428</v>
      </c>
      <c r="AE88" s="145"/>
      <c r="AF88" s="145"/>
    </row>
    <row r="89" spans="2:32">
      <c r="B89" s="20" t="s">
        <v>360</v>
      </c>
      <c r="C89" s="151"/>
      <c r="D89" s="151"/>
      <c r="E89" s="151" t="e">
        <f t="shared" ref="E89:F89" si="255">(E40)/(E7+E10)</f>
        <v>#DIV/0!</v>
      </c>
      <c r="F89" s="151" t="e">
        <f t="shared" si="255"/>
        <v>#DIV/0!</v>
      </c>
      <c r="G89" s="151">
        <f>(G40)/(G7+G10)</f>
        <v>5.263157894736842E-3</v>
      </c>
      <c r="H89" s="151">
        <f t="shared" ref="H89:O89" si="256">(H40)/(H7+H10)</f>
        <v>4.4117647058823532E-2</v>
      </c>
      <c r="I89" s="151">
        <f t="shared" si="256"/>
        <v>0.100418410041841</v>
      </c>
      <c r="J89" s="151">
        <f t="shared" si="256"/>
        <v>0.12239583333333333</v>
      </c>
      <c r="K89" s="151">
        <f t="shared" si="256"/>
        <v>0.14461538461538462</v>
      </c>
      <c r="L89" s="151">
        <f t="shared" si="256"/>
        <v>0.11705202312138728</v>
      </c>
      <c r="M89" s="151">
        <f t="shared" si="256"/>
        <v>0.26340694006309151</v>
      </c>
      <c r="N89" s="151">
        <f t="shared" si="256"/>
        <v>0.19973009446693657</v>
      </c>
      <c r="O89" s="151">
        <f t="shared" si="256"/>
        <v>0.23704520396912901</v>
      </c>
      <c r="P89" s="151">
        <f t="shared" ref="P89:Q89" si="257">(P40)/(P7+P10)</f>
        <v>0.25043630017452007</v>
      </c>
      <c r="Q89" s="151">
        <f t="shared" si="257"/>
        <v>0.25380359612724757</v>
      </c>
      <c r="R89" s="118">
        <f t="shared" si="245"/>
        <v>0.53597246797856579</v>
      </c>
      <c r="S89" s="20"/>
      <c r="T89" s="151">
        <f t="shared" ref="T89:AC89" si="258">(T40)/(T7+T10)</f>
        <v>0.25380359612724762</v>
      </c>
      <c r="U89" s="151">
        <f t="shared" si="258"/>
        <v>0.25380359612724757</v>
      </c>
      <c r="V89" s="151">
        <f t="shared" si="258"/>
        <v>0.25380359612724757</v>
      </c>
      <c r="W89" s="151">
        <f t="shared" si="258"/>
        <v>0.25380359612724757</v>
      </c>
      <c r="X89" s="151">
        <f t="shared" si="258"/>
        <v>0.25380359612724757</v>
      </c>
      <c r="Y89" s="151">
        <f t="shared" si="258"/>
        <v>0.25380359612724751</v>
      </c>
      <c r="Z89" s="151">
        <f t="shared" si="258"/>
        <v>0.25380359612724757</v>
      </c>
      <c r="AA89" s="151">
        <f t="shared" si="258"/>
        <v>0.25380359612724757</v>
      </c>
      <c r="AB89" s="151">
        <f t="shared" si="258"/>
        <v>0.25380359612724757</v>
      </c>
      <c r="AC89" s="151">
        <f t="shared" si="258"/>
        <v>0.25380359612724757</v>
      </c>
      <c r="AD89" s="137">
        <f t="shared" si="247"/>
        <v>0.21384314098496349</v>
      </c>
      <c r="AE89" s="145"/>
      <c r="AF89" s="145"/>
    </row>
    <row r="90" spans="2:32">
      <c r="B90" s="20" t="s">
        <v>376</v>
      </c>
      <c r="C90" s="151"/>
      <c r="D90" s="151"/>
      <c r="E90" s="151"/>
      <c r="F90" s="151"/>
      <c r="G90" s="151">
        <f>G20/G25</f>
        <v>3.3333333333333333E-2</v>
      </c>
      <c r="H90" s="151">
        <f t="shared" ref="H90:P90" si="259">H20/H25</f>
        <v>2.8455284552845527E-2</v>
      </c>
      <c r="I90" s="151">
        <f t="shared" si="259"/>
        <v>6.4676616915422883E-2</v>
      </c>
      <c r="J90" s="151">
        <f t="shared" si="259"/>
        <v>-6.1290322580645158E-2</v>
      </c>
      <c r="K90" s="151">
        <f t="shared" si="259"/>
        <v>-2.5817555938037865E-2</v>
      </c>
      <c r="L90" s="151">
        <f t="shared" si="259"/>
        <v>0.17246713070378963</v>
      </c>
      <c r="M90" s="151">
        <f t="shared" si="259"/>
        <v>0.14051214707813525</v>
      </c>
      <c r="N90" s="151">
        <f t="shared" si="259"/>
        <v>4.7380156075808248E-2</v>
      </c>
      <c r="O90" s="151">
        <f t="shared" si="259"/>
        <v>0.12526449428692341</v>
      </c>
      <c r="P90" s="151">
        <f t="shared" si="259"/>
        <v>0.11056105610561057</v>
      </c>
      <c r="Q90" s="151">
        <f t="shared" ref="Q90" si="260">Q20/Q25</f>
        <v>7.9555175363558592E-2</v>
      </c>
      <c r="R90" s="118">
        <f t="shared" si="245"/>
        <v>0.14250513122120756</v>
      </c>
      <c r="S90" s="20"/>
      <c r="T90" s="151">
        <f t="shared" ref="T90:AC90" si="261">T20/T25</f>
        <v>7.9555175363558592E-2</v>
      </c>
      <c r="U90" s="151">
        <f t="shared" si="261"/>
        <v>7.9555175363558578E-2</v>
      </c>
      <c r="V90" s="151">
        <f t="shared" si="261"/>
        <v>7.9555175363558578E-2</v>
      </c>
      <c r="W90" s="151">
        <f t="shared" si="261"/>
        <v>7.9555175363558578E-2</v>
      </c>
      <c r="X90" s="151">
        <f t="shared" si="261"/>
        <v>7.9555175363558578E-2</v>
      </c>
      <c r="Y90" s="151">
        <f t="shared" si="261"/>
        <v>7.9555175363558578E-2</v>
      </c>
      <c r="Z90" s="151">
        <f t="shared" si="261"/>
        <v>7.9555175363558578E-2</v>
      </c>
      <c r="AA90" s="151">
        <f t="shared" si="261"/>
        <v>7.9555175363558578E-2</v>
      </c>
      <c r="AB90" s="151">
        <f t="shared" si="261"/>
        <v>7.9555175363558578E-2</v>
      </c>
      <c r="AC90" s="151">
        <f t="shared" si="261"/>
        <v>7.9555175363558578E-2</v>
      </c>
      <c r="AD90" s="137">
        <f t="shared" si="247"/>
        <v>4.445440194055772E-2</v>
      </c>
      <c r="AE90" s="145"/>
      <c r="AF90" s="145"/>
    </row>
    <row r="91" spans="2:32">
      <c r="B91" s="20" t="s">
        <v>428</v>
      </c>
      <c r="C91" s="151"/>
      <c r="D91" s="151"/>
      <c r="E91" s="151"/>
      <c r="F91" s="151"/>
      <c r="G91" s="151">
        <f>G52/G25</f>
        <v>0</v>
      </c>
      <c r="H91" s="151">
        <f t="shared" ref="H91:P91" si="262">H52/H25</f>
        <v>1.2195121951219513E-2</v>
      </c>
      <c r="I91" s="151">
        <f t="shared" si="262"/>
        <v>3.2338308457711441E-2</v>
      </c>
      <c r="J91" s="151">
        <f t="shared" si="262"/>
        <v>4.0322580645161289E-2</v>
      </c>
      <c r="K91" s="151">
        <f t="shared" si="262"/>
        <v>4.4750430292598967E-2</v>
      </c>
      <c r="L91" s="151">
        <f t="shared" si="262"/>
        <v>3.3255993812838364E-2</v>
      </c>
      <c r="M91" s="151">
        <f t="shared" si="262"/>
        <v>5.7780695994747208E-2</v>
      </c>
      <c r="N91" s="151">
        <f t="shared" si="262"/>
        <v>4.0133779264214048E-2</v>
      </c>
      <c r="O91" s="151">
        <f t="shared" si="262"/>
        <v>4.3588658484976728E-2</v>
      </c>
      <c r="P91" s="151">
        <f t="shared" si="262"/>
        <v>4.4554455445544552E-2</v>
      </c>
      <c r="Q91" s="151">
        <f t="shared" ref="Q91" si="263">Q52/Q25</f>
        <v>4.8189335614485317E-2</v>
      </c>
      <c r="R91" s="118" t="e">
        <f t="shared" si="245"/>
        <v>#DIV/0!</v>
      </c>
      <c r="S91" s="20"/>
      <c r="T91" s="151">
        <f t="shared" ref="T91:AC91" si="264">T52/T25</f>
        <v>4.8189335614485317E-2</v>
      </c>
      <c r="U91" s="151">
        <f t="shared" si="264"/>
        <v>4.8189335614485324E-2</v>
      </c>
      <c r="V91" s="151">
        <f t="shared" si="264"/>
        <v>4.818933561448533E-2</v>
      </c>
      <c r="W91" s="151">
        <f t="shared" si="264"/>
        <v>4.8189335614485337E-2</v>
      </c>
      <c r="X91" s="151">
        <f t="shared" si="264"/>
        <v>4.8189335614485337E-2</v>
      </c>
      <c r="Y91" s="151">
        <f t="shared" si="264"/>
        <v>4.818933561448533E-2</v>
      </c>
      <c r="Z91" s="151">
        <f t="shared" si="264"/>
        <v>4.818933561448533E-2</v>
      </c>
      <c r="AA91" s="151">
        <f t="shared" si="264"/>
        <v>4.8189335614485324E-2</v>
      </c>
      <c r="AB91" s="151">
        <f t="shared" si="264"/>
        <v>4.818933561448533E-2</v>
      </c>
      <c r="AC91" s="151">
        <f t="shared" si="264"/>
        <v>4.8189335614485324E-2</v>
      </c>
      <c r="AD91" s="137" t="e">
        <f t="shared" si="247"/>
        <v>#DIV/0!</v>
      </c>
      <c r="AE91" s="145"/>
      <c r="AF91" s="145"/>
    </row>
    <row r="92" spans="2:32">
      <c r="B92" s="20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20"/>
      <c r="T92" s="151"/>
      <c r="U92" s="151"/>
      <c r="V92" s="151"/>
      <c r="W92" s="151"/>
      <c r="X92" s="151"/>
      <c r="Y92" s="151"/>
      <c r="Z92" s="151"/>
      <c r="AA92" s="151"/>
      <c r="AB92" s="151"/>
      <c r="AC92" s="151"/>
      <c r="AD92" s="3"/>
      <c r="AE92" s="145"/>
      <c r="AF92" s="145"/>
    </row>
    <row r="93" spans="2:32">
      <c r="B93" s="20" t="s">
        <v>323</v>
      </c>
      <c r="C93" s="151"/>
      <c r="D93" s="151"/>
      <c r="E93" s="151"/>
      <c r="F93" s="151"/>
      <c r="G93" s="151">
        <f>G29/G25</f>
        <v>1E-3</v>
      </c>
      <c r="H93" s="151">
        <f t="shared" ref="H93:P93" si="265">H29/H25</f>
        <v>5.6910569105691068E-4</v>
      </c>
      <c r="I93" s="151">
        <f t="shared" si="265"/>
        <v>2.4875621890547263E-3</v>
      </c>
      <c r="J93" s="151">
        <f t="shared" si="265"/>
        <v>8.0645161290322578E-3</v>
      </c>
      <c r="K93" s="151">
        <f t="shared" si="265"/>
        <v>1.2908777969018933E-2</v>
      </c>
      <c r="L93" s="151">
        <f t="shared" si="265"/>
        <v>1.6241299303944315E-2</v>
      </c>
      <c r="M93" s="151">
        <f t="shared" si="265"/>
        <v>5.2527905449770186E-3</v>
      </c>
      <c r="N93" s="151">
        <f t="shared" si="265"/>
        <v>1.6722408026755853E-3</v>
      </c>
      <c r="O93" s="151">
        <f t="shared" si="265"/>
        <v>8.4638171815488788E-4</v>
      </c>
      <c r="P93" s="151">
        <f t="shared" si="265"/>
        <v>3.3003300330033004E-4</v>
      </c>
      <c r="Q93" s="151">
        <f t="shared" ref="Q93" si="266">Q29/Q25</f>
        <v>2.0530367835757058E-4</v>
      </c>
      <c r="R93" s="118">
        <f t="shared" si="245"/>
        <v>-0.11588985385181594</v>
      </c>
      <c r="S93" s="20"/>
      <c r="T93" s="151">
        <f t="shared" ref="T93:AC93" si="267">T29/T25</f>
        <v>2.0530367835757055E-4</v>
      </c>
      <c r="U93" s="151">
        <f t="shared" si="267"/>
        <v>2.0530367835757052E-4</v>
      </c>
      <c r="V93" s="151">
        <f t="shared" si="267"/>
        <v>2.0530367835757052E-4</v>
      </c>
      <c r="W93" s="151">
        <f t="shared" si="267"/>
        <v>2.0530367835757052E-4</v>
      </c>
      <c r="X93" s="151">
        <f t="shared" si="267"/>
        <v>2.0530367835757052E-4</v>
      </c>
      <c r="Y93" s="151">
        <f t="shared" si="267"/>
        <v>2.0530367835757052E-4</v>
      </c>
      <c r="Z93" s="151">
        <f t="shared" si="267"/>
        <v>2.0530367835757052E-4</v>
      </c>
      <c r="AA93" s="151">
        <f t="shared" si="267"/>
        <v>2.0530367835757052E-4</v>
      </c>
      <c r="AB93" s="151">
        <f t="shared" si="267"/>
        <v>2.0530367835757052E-4</v>
      </c>
      <c r="AC93" s="151">
        <f t="shared" si="267"/>
        <v>2.053036783575705E-4</v>
      </c>
      <c r="AD93" s="137">
        <f t="shared" si="247"/>
        <v>-7.6110914521555162E-2</v>
      </c>
      <c r="AE93" s="145"/>
      <c r="AF93" s="145"/>
    </row>
    <row r="94" spans="2:32">
      <c r="B94" s="20" t="s">
        <v>369</v>
      </c>
      <c r="C94" s="151"/>
      <c r="D94" s="151"/>
      <c r="E94" s="151"/>
      <c r="F94" s="151"/>
      <c r="G94" s="151">
        <f>G29/G36</f>
        <v>8.1818181818181807E-3</v>
      </c>
      <c r="H94" s="151">
        <f t="shared" ref="H94:P94" si="268">H29/H36</f>
        <v>5.8333333333333336E-3</v>
      </c>
      <c r="I94" s="151">
        <f t="shared" si="268"/>
        <v>1.8867924528301886E-2</v>
      </c>
      <c r="J94" s="151">
        <f t="shared" si="268"/>
        <v>5.3763440860215055E-2</v>
      </c>
      <c r="K94" s="151">
        <f t="shared" si="268"/>
        <v>8.2417582417582416E-2</v>
      </c>
      <c r="L94" s="151">
        <f t="shared" si="268"/>
        <v>0.10096153846153846</v>
      </c>
      <c r="M94" s="151">
        <f t="shared" si="268"/>
        <v>2.7303754266211604E-2</v>
      </c>
      <c r="N94" s="151">
        <f t="shared" si="268"/>
        <v>1.1627906976744186E-2</v>
      </c>
      <c r="O94" s="151">
        <f t="shared" si="268"/>
        <v>5.6179775280898875E-3</v>
      </c>
      <c r="P94" s="151">
        <f t="shared" si="268"/>
        <v>2.2123893805309734E-3</v>
      </c>
      <c r="Q94" s="151">
        <f t="shared" ref="Q94" si="269">Q29/Q36</f>
        <v>1.2857142857142856E-3</v>
      </c>
      <c r="R94" s="118">
        <f t="shared" ref="R94" si="270">((P94/G94)^(1/($H$2-$H$1) ))-1</f>
        <v>-0.135250751169398</v>
      </c>
      <c r="S94" s="20"/>
      <c r="T94" s="151">
        <f t="shared" ref="T94:AC94" si="271">T29/T36</f>
        <v>1.2857142857142856E-3</v>
      </c>
      <c r="U94" s="151">
        <f t="shared" si="271"/>
        <v>1.2857142857142856E-3</v>
      </c>
      <c r="V94" s="151">
        <f t="shared" si="271"/>
        <v>1.2857142857142859E-3</v>
      </c>
      <c r="W94" s="151">
        <f t="shared" si="271"/>
        <v>1.2857142857142859E-3</v>
      </c>
      <c r="X94" s="151">
        <f t="shared" si="271"/>
        <v>1.2857142857142856E-3</v>
      </c>
      <c r="Y94" s="151">
        <f t="shared" si="271"/>
        <v>1.2857142857142856E-3</v>
      </c>
      <c r="Z94" s="151">
        <f t="shared" si="271"/>
        <v>1.2857142857142856E-3</v>
      </c>
      <c r="AA94" s="151">
        <f t="shared" si="271"/>
        <v>1.2857142857142856E-3</v>
      </c>
      <c r="AB94" s="151">
        <f t="shared" si="271"/>
        <v>1.2857142857142856E-3</v>
      </c>
      <c r="AC94" s="151">
        <f t="shared" si="271"/>
        <v>1.2857142857142856E-3</v>
      </c>
      <c r="AD94" s="137">
        <f t="shared" ref="AD94" si="272">((AC94/G94)^(1/($AC$3-$H$1) ))-1</f>
        <v>-8.8378136700055565E-2</v>
      </c>
      <c r="AE94" s="145"/>
      <c r="AF94" s="145"/>
    </row>
    <row r="95" spans="2:32" ht="12" customHeight="1">
      <c r="B95" s="20" t="s">
        <v>368</v>
      </c>
      <c r="C95" s="151"/>
      <c r="D95" s="151"/>
      <c r="E95" s="151"/>
      <c r="F95" s="151"/>
      <c r="G95" s="170">
        <f t="shared" ref="G95:P95" si="273">G29/G40</f>
        <v>0.18</v>
      </c>
      <c r="H95" s="170">
        <f t="shared" si="273"/>
        <v>1.5555555555555557E-2</v>
      </c>
      <c r="I95" s="170">
        <f t="shared" si="273"/>
        <v>4.1666666666666664E-2</v>
      </c>
      <c r="J95" s="170">
        <f t="shared" si="273"/>
        <v>0.10638297872340426</v>
      </c>
      <c r="K95" s="170">
        <f t="shared" si="273"/>
        <v>0.15957446808510639</v>
      </c>
      <c r="L95" s="170">
        <f t="shared" si="273"/>
        <v>0.25925925925925924</v>
      </c>
      <c r="M95" s="170">
        <f t="shared" si="273"/>
        <v>4.790419161676647E-2</v>
      </c>
      <c r="N95" s="170">
        <f t="shared" si="273"/>
        <v>2.0270270270270271E-2</v>
      </c>
      <c r="O95" s="170">
        <f t="shared" si="273"/>
        <v>9.3023255813953487E-3</v>
      </c>
      <c r="P95" s="170">
        <f t="shared" si="273"/>
        <v>3.4843205574912892E-3</v>
      </c>
      <c r="Q95" s="170">
        <f t="shared" ref="Q95" si="274">Q29/Q40</f>
        <v>1.9618528610354223E-3</v>
      </c>
      <c r="R95" s="118">
        <f t="shared" ref="R95" si="275">((P95/G95)^(1/($H$2-$H$1) ))-1</f>
        <v>-0.35486662371777755</v>
      </c>
      <c r="S95" s="20"/>
      <c r="T95" s="170">
        <f t="shared" ref="T95:AC95" si="276">T29/T40</f>
        <v>1.9618528610354223E-3</v>
      </c>
      <c r="U95" s="170">
        <f t="shared" si="276"/>
        <v>1.9618528610354223E-3</v>
      </c>
      <c r="V95" s="170">
        <f t="shared" si="276"/>
        <v>1.9618528610354223E-3</v>
      </c>
      <c r="W95" s="170">
        <f t="shared" si="276"/>
        <v>1.9618528610354227E-3</v>
      </c>
      <c r="X95" s="170">
        <f t="shared" si="276"/>
        <v>1.9618528610354227E-3</v>
      </c>
      <c r="Y95" s="170">
        <f t="shared" si="276"/>
        <v>1.9618528610354227E-3</v>
      </c>
      <c r="Z95" s="170">
        <f t="shared" si="276"/>
        <v>1.9618528610354227E-3</v>
      </c>
      <c r="AA95" s="170">
        <f t="shared" si="276"/>
        <v>1.9618528610354227E-3</v>
      </c>
      <c r="AB95" s="170">
        <f t="shared" si="276"/>
        <v>1.9618528610354227E-3</v>
      </c>
      <c r="AC95" s="170">
        <f t="shared" si="276"/>
        <v>1.9618528610354227E-3</v>
      </c>
      <c r="AD95" s="137">
        <f t="shared" ref="AD95" si="277">((AC95/G95)^(1/($AC$3-$H$1) ))-1</f>
        <v>-0.20224470333959965</v>
      </c>
      <c r="AE95" s="145"/>
      <c r="AF95" s="145"/>
    </row>
    <row r="96" spans="2:32" ht="12" customHeight="1">
      <c r="B96" s="20" t="s">
        <v>325</v>
      </c>
      <c r="C96" s="151"/>
      <c r="D96" s="151"/>
      <c r="E96" s="151"/>
      <c r="F96" s="151"/>
      <c r="G96" s="170">
        <f t="shared" ref="G96:P96" si="278">G29/G12</f>
        <v>1.2E-2</v>
      </c>
      <c r="H96" s="170">
        <f t="shared" si="278"/>
        <v>8.2352941176470594E-3</v>
      </c>
      <c r="I96" s="170">
        <f t="shared" si="278"/>
        <v>4.7619047619047616E-2</v>
      </c>
      <c r="J96" s="170">
        <f t="shared" si="278"/>
        <v>0.19230769230769232</v>
      </c>
      <c r="K96" s="170">
        <f t="shared" si="278"/>
        <v>0.28846153846153844</v>
      </c>
      <c r="L96" s="170">
        <f t="shared" si="278"/>
        <v>0.3</v>
      </c>
      <c r="M96" s="170">
        <f t="shared" si="278"/>
        <v>0.12903225806451613</v>
      </c>
      <c r="N96" s="170">
        <f t="shared" si="278"/>
        <v>7.4999999999999997E-2</v>
      </c>
      <c r="O96" s="170">
        <f t="shared" si="278"/>
        <v>8.7336244541484712E-3</v>
      </c>
      <c r="P96" s="170">
        <f t="shared" si="278"/>
        <v>2.4330900243309003E-3</v>
      </c>
      <c r="Q96" s="170">
        <f t="shared" ref="Q96" si="279">Q29/Q12</f>
        <v>2.4406779661016948E-3</v>
      </c>
      <c r="R96" s="118">
        <f t="shared" si="245"/>
        <v>-0.16247566075695052</v>
      </c>
      <c r="S96" s="20"/>
      <c r="T96" s="151">
        <f t="shared" ref="T96:AC96" si="280">T29/T12</f>
        <v>2.4406779661016948E-3</v>
      </c>
      <c r="U96" s="151">
        <f t="shared" si="280"/>
        <v>2.4406779661016952E-3</v>
      </c>
      <c r="V96" s="151">
        <f t="shared" si="280"/>
        <v>2.4406779661016952E-3</v>
      </c>
      <c r="W96" s="151">
        <f t="shared" si="280"/>
        <v>2.4406779661016956E-3</v>
      </c>
      <c r="X96" s="151">
        <f t="shared" si="280"/>
        <v>2.4406779661016956E-3</v>
      </c>
      <c r="Y96" s="151">
        <f t="shared" si="280"/>
        <v>2.4406779661016952E-3</v>
      </c>
      <c r="Z96" s="151">
        <f t="shared" si="280"/>
        <v>2.4406779661016952E-3</v>
      </c>
      <c r="AA96" s="151">
        <f t="shared" si="280"/>
        <v>2.4406779661016952E-3</v>
      </c>
      <c r="AB96" s="151">
        <f t="shared" si="280"/>
        <v>2.4406779661016952E-3</v>
      </c>
      <c r="AC96" s="151">
        <f t="shared" si="280"/>
        <v>2.4406779661016952E-3</v>
      </c>
      <c r="AD96" s="137">
        <f t="shared" si="247"/>
        <v>-7.654345922265926E-2</v>
      </c>
      <c r="AE96" s="145"/>
      <c r="AF96" s="145"/>
    </row>
    <row r="97" spans="2:32" ht="12" customHeight="1">
      <c r="B97" s="20" t="s">
        <v>370</v>
      </c>
      <c r="C97" s="151"/>
      <c r="D97" s="151"/>
      <c r="E97" s="151"/>
      <c r="F97" s="151"/>
      <c r="G97" s="170">
        <f>G29/G23</f>
        <v>1.2E-2</v>
      </c>
      <c r="H97" s="170">
        <f t="shared" ref="H97:P97" si="281">H29/H23</f>
        <v>8.2352941176470594E-3</v>
      </c>
      <c r="I97" s="170">
        <f t="shared" si="281"/>
        <v>4.7619047619047616E-2</v>
      </c>
      <c r="J97" s="170">
        <f t="shared" si="281"/>
        <v>0.19230769230769232</v>
      </c>
      <c r="K97" s="170">
        <f t="shared" si="281"/>
        <v>0.29411764705882354</v>
      </c>
      <c r="L97" s="170">
        <f t="shared" si="281"/>
        <v>0.3</v>
      </c>
      <c r="M97" s="170">
        <f t="shared" si="281"/>
        <v>0.12903225806451613</v>
      </c>
      <c r="N97" s="170">
        <f t="shared" si="281"/>
        <v>7.4999999999999997E-2</v>
      </c>
      <c r="O97" s="170">
        <f t="shared" si="281"/>
        <v>8.7336244541484712E-3</v>
      </c>
      <c r="P97" s="170">
        <f t="shared" si="281"/>
        <v>2.4449877750611247E-3</v>
      </c>
      <c r="Q97" s="170">
        <f t="shared" ref="Q97" si="282">Q29/Q23</f>
        <v>2.4573378839590444E-3</v>
      </c>
      <c r="R97" s="118">
        <f t="shared" ref="R97" si="283">((P97/G97)^(1/($H$2-$H$1) ))-1</f>
        <v>-0.16202159408307881</v>
      </c>
      <c r="S97" s="20"/>
      <c r="T97" s="170">
        <f t="shared" ref="T97:AC97" si="284">T29/T23</f>
        <v>2.457337883959044E-3</v>
      </c>
      <c r="U97" s="170">
        <f t="shared" si="284"/>
        <v>2.4573378839590444E-3</v>
      </c>
      <c r="V97" s="170">
        <f t="shared" si="284"/>
        <v>2.4573378839590444E-3</v>
      </c>
      <c r="W97" s="170">
        <f t="shared" si="284"/>
        <v>2.4573378839590448E-3</v>
      </c>
      <c r="X97" s="170">
        <f t="shared" si="284"/>
        <v>2.4573378839590448E-3</v>
      </c>
      <c r="Y97" s="170">
        <f t="shared" si="284"/>
        <v>2.4573378839590448E-3</v>
      </c>
      <c r="Z97" s="170">
        <f t="shared" si="284"/>
        <v>2.4573378839590448E-3</v>
      </c>
      <c r="AA97" s="170">
        <f t="shared" si="284"/>
        <v>2.4573378839590448E-3</v>
      </c>
      <c r="AB97" s="170">
        <f t="shared" si="284"/>
        <v>2.4573378839590448E-3</v>
      </c>
      <c r="AC97" s="170">
        <f t="shared" si="284"/>
        <v>2.4573378839590444E-3</v>
      </c>
      <c r="AD97" s="137">
        <f t="shared" ref="AD97" si="285">((AC97/G97)^(1/($AC$3-$H$1) ))-1</f>
        <v>-7.6229303722153308E-2</v>
      </c>
      <c r="AE97" s="145"/>
      <c r="AF97" s="145"/>
    </row>
    <row r="98" spans="2:32" ht="12" customHeight="1">
      <c r="B98" s="20"/>
      <c r="C98" s="151"/>
      <c r="D98" s="151"/>
      <c r="E98" s="151"/>
      <c r="F98" s="151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20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45"/>
      <c r="AF98" s="145"/>
    </row>
    <row r="99" spans="2:32" ht="12" customHeight="1">
      <c r="B99" s="20" t="s">
        <v>402</v>
      </c>
      <c r="C99" s="151"/>
      <c r="D99" s="151"/>
      <c r="E99" s="151"/>
      <c r="F99" s="151"/>
      <c r="G99" s="127">
        <f>1/G93</f>
        <v>1000</v>
      </c>
      <c r="H99" s="127">
        <f t="shared" ref="H99:P99" si="286">1/H93</f>
        <v>1757.1428571428569</v>
      </c>
      <c r="I99" s="127">
        <f t="shared" si="286"/>
        <v>402</v>
      </c>
      <c r="J99" s="127">
        <f t="shared" si="286"/>
        <v>124</v>
      </c>
      <c r="K99" s="127">
        <f t="shared" si="286"/>
        <v>77.466666666666669</v>
      </c>
      <c r="L99" s="127">
        <f t="shared" si="286"/>
        <v>61.571428571428577</v>
      </c>
      <c r="M99" s="127">
        <f t="shared" si="286"/>
        <v>190.37500000000003</v>
      </c>
      <c r="N99" s="127">
        <f t="shared" si="286"/>
        <v>598</v>
      </c>
      <c r="O99" s="127">
        <f t="shared" si="286"/>
        <v>1181.5</v>
      </c>
      <c r="P99" s="127">
        <f t="shared" si="286"/>
        <v>3030</v>
      </c>
      <c r="Q99" s="127">
        <f t="shared" ref="Q99" si="287">1/Q93</f>
        <v>4870.833333333333</v>
      </c>
      <c r="R99" s="118">
        <f t="shared" si="245"/>
        <v>0.13108078711313853</v>
      </c>
      <c r="S99" s="20"/>
      <c r="T99" s="127">
        <f t="shared" ref="T99:AC99" si="288">1/T93</f>
        <v>4870.8333333333339</v>
      </c>
      <c r="U99" s="127">
        <f t="shared" si="288"/>
        <v>4870.8333333333348</v>
      </c>
      <c r="V99" s="127">
        <f t="shared" si="288"/>
        <v>4870.8333333333348</v>
      </c>
      <c r="W99" s="127">
        <f t="shared" si="288"/>
        <v>4870.8333333333348</v>
      </c>
      <c r="X99" s="127">
        <f t="shared" si="288"/>
        <v>4870.8333333333348</v>
      </c>
      <c r="Y99" s="127">
        <f t="shared" si="288"/>
        <v>4870.8333333333348</v>
      </c>
      <c r="Z99" s="127">
        <f t="shared" si="288"/>
        <v>4870.8333333333348</v>
      </c>
      <c r="AA99" s="127">
        <f t="shared" si="288"/>
        <v>4870.8333333333348</v>
      </c>
      <c r="AB99" s="127">
        <f t="shared" si="288"/>
        <v>4870.8333333333348</v>
      </c>
      <c r="AC99" s="127">
        <f t="shared" si="288"/>
        <v>4870.8333333333348</v>
      </c>
      <c r="AD99" s="137">
        <f t="shared" si="247"/>
        <v>8.2381008410918E-2</v>
      </c>
      <c r="AE99" s="145"/>
      <c r="AF99" s="145"/>
    </row>
    <row r="100" spans="2:32" ht="12" customHeight="1">
      <c r="B100" s="20" t="s">
        <v>403</v>
      </c>
      <c r="C100" s="151"/>
      <c r="D100" s="151"/>
      <c r="E100" s="151"/>
      <c r="F100" s="151"/>
      <c r="G100" s="127">
        <f t="shared" ref="G100:P103" si="289">1/G94</f>
        <v>122.22222222222224</v>
      </c>
      <c r="H100" s="127">
        <f t="shared" si="289"/>
        <v>171.42857142857142</v>
      </c>
      <c r="I100" s="127">
        <f t="shared" si="289"/>
        <v>53</v>
      </c>
      <c r="J100" s="127">
        <f t="shared" si="289"/>
        <v>18.600000000000001</v>
      </c>
      <c r="K100" s="127">
        <f t="shared" si="289"/>
        <v>12.133333333333333</v>
      </c>
      <c r="L100" s="127">
        <f t="shared" si="289"/>
        <v>9.9047619047619051</v>
      </c>
      <c r="M100" s="127">
        <f t="shared" si="289"/>
        <v>36.625</v>
      </c>
      <c r="N100" s="127">
        <f t="shared" si="289"/>
        <v>86</v>
      </c>
      <c r="O100" s="127">
        <f t="shared" si="289"/>
        <v>178</v>
      </c>
      <c r="P100" s="127">
        <f t="shared" si="289"/>
        <v>452</v>
      </c>
      <c r="Q100" s="127">
        <f t="shared" ref="Q100" si="290">1/Q94</f>
        <v>777.77777777777783</v>
      </c>
      <c r="R100" s="118">
        <f t="shared" si="245"/>
        <v>0.15640458936772395</v>
      </c>
      <c r="S100" s="20"/>
      <c r="T100" s="127">
        <f t="shared" ref="T100:AC100" si="291">1/T94</f>
        <v>777.77777777777783</v>
      </c>
      <c r="U100" s="127">
        <f t="shared" si="291"/>
        <v>777.77777777777783</v>
      </c>
      <c r="V100" s="127">
        <f t="shared" si="291"/>
        <v>777.77777777777771</v>
      </c>
      <c r="W100" s="127">
        <f t="shared" si="291"/>
        <v>777.77777777777771</v>
      </c>
      <c r="X100" s="127">
        <f t="shared" si="291"/>
        <v>777.77777777777783</v>
      </c>
      <c r="Y100" s="127">
        <f t="shared" si="291"/>
        <v>777.77777777777783</v>
      </c>
      <c r="Z100" s="127">
        <f t="shared" si="291"/>
        <v>777.77777777777783</v>
      </c>
      <c r="AA100" s="127">
        <f t="shared" si="291"/>
        <v>777.77777777777783</v>
      </c>
      <c r="AB100" s="127">
        <f t="shared" si="291"/>
        <v>777.77777777777783</v>
      </c>
      <c r="AC100" s="127">
        <f t="shared" si="291"/>
        <v>777.77777777777783</v>
      </c>
      <c r="AD100" s="137">
        <f t="shared" si="247"/>
        <v>9.6946047761666376E-2</v>
      </c>
      <c r="AE100" s="145"/>
      <c r="AF100" s="145"/>
    </row>
    <row r="101" spans="2:32" ht="12" customHeight="1">
      <c r="B101" s="20" t="s">
        <v>404</v>
      </c>
      <c r="C101" s="151"/>
      <c r="D101" s="151"/>
      <c r="E101" s="151"/>
      <c r="F101" s="151"/>
      <c r="G101" s="127">
        <f t="shared" si="289"/>
        <v>5.5555555555555554</v>
      </c>
      <c r="H101" s="127">
        <f t="shared" si="289"/>
        <v>64.285714285714278</v>
      </c>
      <c r="I101" s="127">
        <f t="shared" si="289"/>
        <v>24</v>
      </c>
      <c r="J101" s="127">
        <f t="shared" si="289"/>
        <v>9.4</v>
      </c>
      <c r="K101" s="127">
        <f t="shared" si="289"/>
        <v>6.2666666666666666</v>
      </c>
      <c r="L101" s="127">
        <f t="shared" si="289"/>
        <v>3.8571428571428572</v>
      </c>
      <c r="M101" s="127">
        <f t="shared" si="289"/>
        <v>20.875</v>
      </c>
      <c r="N101" s="127">
        <f t="shared" si="289"/>
        <v>49.333333333333329</v>
      </c>
      <c r="O101" s="127">
        <f t="shared" si="289"/>
        <v>107.5</v>
      </c>
      <c r="P101" s="127">
        <f t="shared" si="289"/>
        <v>287</v>
      </c>
      <c r="Q101" s="127">
        <f t="shared" ref="Q101" si="292">1/Q95</f>
        <v>509.72222222222223</v>
      </c>
      <c r="R101" s="118">
        <f t="shared" si="245"/>
        <v>0.55006706638370595</v>
      </c>
      <c r="S101" s="20"/>
      <c r="T101" s="127">
        <f t="shared" ref="T101:AC101" si="293">1/T95</f>
        <v>509.72222222222223</v>
      </c>
      <c r="U101" s="127">
        <f t="shared" si="293"/>
        <v>509.72222222222223</v>
      </c>
      <c r="V101" s="127">
        <f t="shared" si="293"/>
        <v>509.72222222222223</v>
      </c>
      <c r="W101" s="127">
        <f t="shared" si="293"/>
        <v>509.72222222222211</v>
      </c>
      <c r="X101" s="127">
        <f t="shared" si="293"/>
        <v>509.72222222222211</v>
      </c>
      <c r="Y101" s="127">
        <f t="shared" si="293"/>
        <v>509.72222222222211</v>
      </c>
      <c r="Z101" s="127">
        <f t="shared" si="293"/>
        <v>509.72222222222211</v>
      </c>
      <c r="AA101" s="127">
        <f t="shared" si="293"/>
        <v>509.72222222222211</v>
      </c>
      <c r="AB101" s="127">
        <f t="shared" si="293"/>
        <v>509.72222222222211</v>
      </c>
      <c r="AC101" s="127">
        <f t="shared" si="293"/>
        <v>509.72222222222211</v>
      </c>
      <c r="AD101" s="137">
        <f t="shared" si="247"/>
        <v>0.2535172178564602</v>
      </c>
      <c r="AE101" s="145"/>
      <c r="AF101" s="145"/>
    </row>
    <row r="102" spans="2:32" ht="12" customHeight="1">
      <c r="B102" s="20" t="s">
        <v>405</v>
      </c>
      <c r="C102" s="151"/>
      <c r="D102" s="151"/>
      <c r="E102" s="151"/>
      <c r="F102" s="151"/>
      <c r="G102" s="127">
        <f t="shared" si="289"/>
        <v>83.333333333333329</v>
      </c>
      <c r="H102" s="127">
        <f t="shared" si="289"/>
        <v>121.42857142857142</v>
      </c>
      <c r="I102" s="127">
        <f t="shared" si="289"/>
        <v>21</v>
      </c>
      <c r="J102" s="127">
        <f t="shared" si="289"/>
        <v>5.1999999999999993</v>
      </c>
      <c r="K102" s="127">
        <f t="shared" si="289"/>
        <v>3.4666666666666668</v>
      </c>
      <c r="L102" s="127">
        <f t="shared" si="289"/>
        <v>3.3333333333333335</v>
      </c>
      <c r="M102" s="127">
        <f t="shared" si="289"/>
        <v>7.75</v>
      </c>
      <c r="N102" s="127">
        <f t="shared" si="289"/>
        <v>13.333333333333334</v>
      </c>
      <c r="O102" s="127">
        <f t="shared" si="289"/>
        <v>114.5</v>
      </c>
      <c r="P102" s="127">
        <f t="shared" si="289"/>
        <v>411</v>
      </c>
      <c r="Q102" s="127">
        <f t="shared" ref="Q102" si="294">1/Q96</f>
        <v>409.72222222222223</v>
      </c>
      <c r="R102" s="118">
        <f t="shared" si="245"/>
        <v>0.19399515111858756</v>
      </c>
      <c r="S102" s="20"/>
      <c r="T102" s="127">
        <f t="shared" ref="T102:AC102" si="295">1/T96</f>
        <v>409.72222222222223</v>
      </c>
      <c r="U102" s="127">
        <f t="shared" si="295"/>
        <v>409.72222222222217</v>
      </c>
      <c r="V102" s="127">
        <f t="shared" si="295"/>
        <v>409.72222222222217</v>
      </c>
      <c r="W102" s="127">
        <f t="shared" si="295"/>
        <v>409.72222222222211</v>
      </c>
      <c r="X102" s="127">
        <f t="shared" si="295"/>
        <v>409.72222222222211</v>
      </c>
      <c r="Y102" s="127">
        <f t="shared" si="295"/>
        <v>409.72222222222217</v>
      </c>
      <c r="Z102" s="127">
        <f t="shared" si="295"/>
        <v>409.72222222222217</v>
      </c>
      <c r="AA102" s="127">
        <f t="shared" si="295"/>
        <v>409.72222222222217</v>
      </c>
      <c r="AB102" s="127">
        <f t="shared" si="295"/>
        <v>409.72222222222217</v>
      </c>
      <c r="AC102" s="127">
        <f t="shared" si="295"/>
        <v>409.72222222222217</v>
      </c>
      <c r="AD102" s="137">
        <f t="shared" si="247"/>
        <v>8.2887992929507215E-2</v>
      </c>
      <c r="AE102" s="145"/>
      <c r="AF102" s="145"/>
    </row>
    <row r="103" spans="2:32" ht="12" customHeight="1">
      <c r="B103" s="20" t="s">
        <v>406</v>
      </c>
      <c r="C103" s="151"/>
      <c r="D103" s="151"/>
      <c r="E103" s="151"/>
      <c r="F103" s="151"/>
      <c r="G103" s="127">
        <f t="shared" si="289"/>
        <v>83.333333333333329</v>
      </c>
      <c r="H103" s="127">
        <f t="shared" si="289"/>
        <v>121.42857142857142</v>
      </c>
      <c r="I103" s="127">
        <f t="shared" si="289"/>
        <v>21</v>
      </c>
      <c r="J103" s="127">
        <f t="shared" si="289"/>
        <v>5.1999999999999993</v>
      </c>
      <c r="K103" s="127">
        <f t="shared" si="289"/>
        <v>3.4</v>
      </c>
      <c r="L103" s="127">
        <f t="shared" si="289"/>
        <v>3.3333333333333335</v>
      </c>
      <c r="M103" s="127">
        <f t="shared" si="289"/>
        <v>7.75</v>
      </c>
      <c r="N103" s="127">
        <f t="shared" si="289"/>
        <v>13.333333333333334</v>
      </c>
      <c r="O103" s="127">
        <f t="shared" si="289"/>
        <v>114.5</v>
      </c>
      <c r="P103" s="127">
        <f t="shared" si="289"/>
        <v>409</v>
      </c>
      <c r="Q103" s="127">
        <f t="shared" ref="Q103" si="296">1/Q97</f>
        <v>406.94444444444446</v>
      </c>
      <c r="R103" s="118">
        <f t="shared" si="245"/>
        <v>0.193348173340808</v>
      </c>
      <c r="S103" s="20"/>
      <c r="T103" s="127">
        <f t="shared" ref="T103:AC103" si="297">1/T97</f>
        <v>406.94444444444451</v>
      </c>
      <c r="U103" s="127">
        <f t="shared" si="297"/>
        <v>406.94444444444446</v>
      </c>
      <c r="V103" s="127">
        <f t="shared" si="297"/>
        <v>406.94444444444446</v>
      </c>
      <c r="W103" s="127">
        <f t="shared" si="297"/>
        <v>406.94444444444434</v>
      </c>
      <c r="X103" s="127">
        <f t="shared" si="297"/>
        <v>406.94444444444434</v>
      </c>
      <c r="Y103" s="127">
        <f t="shared" si="297"/>
        <v>406.94444444444434</v>
      </c>
      <c r="Z103" s="127">
        <f t="shared" si="297"/>
        <v>406.94444444444434</v>
      </c>
      <c r="AA103" s="127">
        <f t="shared" si="297"/>
        <v>406.94444444444434</v>
      </c>
      <c r="AB103" s="127">
        <f t="shared" si="297"/>
        <v>406.94444444444434</v>
      </c>
      <c r="AC103" s="127">
        <f t="shared" si="297"/>
        <v>406.94444444444446</v>
      </c>
      <c r="AD103" s="137">
        <f t="shared" si="247"/>
        <v>8.2519724894180246E-2</v>
      </c>
      <c r="AE103" s="145"/>
      <c r="AF103" s="145"/>
    </row>
    <row r="104" spans="2:32" ht="12" customHeight="1">
      <c r="B104" s="20"/>
      <c r="C104" s="151"/>
      <c r="D104" s="151"/>
      <c r="E104" s="151"/>
      <c r="F104" s="151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20"/>
      <c r="T104" s="151"/>
      <c r="U104" s="151"/>
      <c r="V104" s="151"/>
      <c r="W104" s="151"/>
      <c r="X104" s="151"/>
      <c r="Y104" s="151"/>
      <c r="Z104" s="151"/>
      <c r="AA104" s="151"/>
      <c r="AB104" s="151"/>
      <c r="AC104" s="151"/>
      <c r="AD104" s="151"/>
      <c r="AE104" s="145"/>
      <c r="AF104" s="145"/>
    </row>
    <row r="105" spans="2:32" ht="12" customHeight="1">
      <c r="B105" s="20"/>
      <c r="C105" s="151"/>
      <c r="D105" s="151"/>
      <c r="E105" s="151"/>
      <c r="F105" s="151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20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45"/>
      <c r="AF105" s="145"/>
    </row>
    <row r="106" spans="2:32">
      <c r="B106" s="20" t="s">
        <v>326</v>
      </c>
      <c r="C106" s="151"/>
      <c r="D106" s="151"/>
      <c r="E106" s="151"/>
      <c r="F106" s="162">
        <f t="shared" ref="F106:O106" si="298">F10-(F12+F13)</f>
        <v>0</v>
      </c>
      <c r="G106" s="162">
        <f t="shared" si="298"/>
        <v>-21</v>
      </c>
      <c r="H106" s="162">
        <f t="shared" si="298"/>
        <v>-18</v>
      </c>
      <c r="I106" s="162">
        <f t="shared" si="298"/>
        <v>-15</v>
      </c>
      <c r="J106" s="162">
        <f t="shared" si="298"/>
        <v>99</v>
      </c>
      <c r="K106" s="162">
        <f t="shared" si="298"/>
        <v>249</v>
      </c>
      <c r="L106" s="162">
        <f t="shared" si="298"/>
        <v>169</v>
      </c>
      <c r="M106" s="162">
        <f t="shared" si="298"/>
        <v>13</v>
      </c>
      <c r="N106" s="162">
        <f t="shared" si="298"/>
        <v>39</v>
      </c>
      <c r="O106" s="162">
        <f t="shared" si="298"/>
        <v>-161</v>
      </c>
      <c r="P106" s="162">
        <f>P10-(P12+P13)</f>
        <v>-340</v>
      </c>
      <c r="Q106" s="162">
        <f>Q10-(Q12+Q13)</f>
        <v>-227</v>
      </c>
      <c r="R106" s="118">
        <f t="shared" si="245"/>
        <v>0.36258053398547041</v>
      </c>
      <c r="S106" s="20"/>
      <c r="T106" s="162">
        <f>T10-(T12+T13)</f>
        <v>-267.85999999999996</v>
      </c>
      <c r="U106" s="162">
        <f t="shared" ref="U106:AC106" si="299">U10-(U12+U13)</f>
        <v>-316.07479999999993</v>
      </c>
      <c r="V106" s="162">
        <f t="shared" si="299"/>
        <v>-372.96826399999986</v>
      </c>
      <c r="W106" s="162">
        <f t="shared" si="299"/>
        <v>-440.10255151999985</v>
      </c>
      <c r="X106" s="162">
        <f t="shared" si="299"/>
        <v>-519.32101079359973</v>
      </c>
      <c r="Y106" s="162">
        <f t="shared" si="299"/>
        <v>-612.79879273644769</v>
      </c>
      <c r="Z106" s="162">
        <f t="shared" si="299"/>
        <v>-723.10257542900831</v>
      </c>
      <c r="AA106" s="162">
        <f t="shared" si="299"/>
        <v>-853.26103900622979</v>
      </c>
      <c r="AB106" s="162">
        <f t="shared" si="299"/>
        <v>-1006.8480260273511</v>
      </c>
      <c r="AC106" s="162">
        <f t="shared" si="299"/>
        <v>-1188.0806707122742</v>
      </c>
      <c r="AD106" s="137">
        <f t="shared" si="247"/>
        <v>0.22357707598562837</v>
      </c>
      <c r="AE106" s="145"/>
      <c r="AF106" s="145"/>
    </row>
    <row r="107" spans="2:32" ht="12" customHeight="1">
      <c r="B107" s="20" t="s">
        <v>321</v>
      </c>
      <c r="C107" s="20"/>
      <c r="D107" s="20"/>
      <c r="E107" s="20"/>
      <c r="F107" s="20"/>
      <c r="G107" s="151">
        <f t="shared" ref="G107:P107" si="300">G40/G18</f>
        <v>1.0101010101010102E-2</v>
      </c>
      <c r="H107" s="151">
        <f t="shared" si="300"/>
        <v>9.4736842105263161E-2</v>
      </c>
      <c r="I107" s="151">
        <f t="shared" si="300"/>
        <v>0.23076923076923078</v>
      </c>
      <c r="J107" s="151">
        <f t="shared" si="300"/>
        <v>0.29936305732484075</v>
      </c>
      <c r="K107" s="151">
        <f t="shared" si="300"/>
        <v>0.49735449735449733</v>
      </c>
      <c r="L107" s="151">
        <f t="shared" si="300"/>
        <v>0.28825622775800713</v>
      </c>
      <c r="M107" s="151">
        <f t="shared" si="300"/>
        <v>0.54575163398692805</v>
      </c>
      <c r="N107" s="151">
        <f t="shared" si="300"/>
        <v>0.46984126984126984</v>
      </c>
      <c r="O107" s="151">
        <f t="shared" si="300"/>
        <v>0.60563380281690138</v>
      </c>
      <c r="P107" s="151">
        <f t="shared" si="300"/>
        <v>0.8016759776536313</v>
      </c>
      <c r="Q107" s="151">
        <f t="shared" ref="Q107" si="301">Q40/Q18</f>
        <v>0.58908507223113959</v>
      </c>
      <c r="R107" s="118">
        <f t="shared" si="245"/>
        <v>0.62581247508593085</v>
      </c>
      <c r="S107" s="20"/>
      <c r="T107" s="151">
        <f t="shared" ref="T107:AC107" si="302">T40/T18</f>
        <v>0.58908507223113971</v>
      </c>
      <c r="U107" s="151">
        <f t="shared" si="302"/>
        <v>0.58908507223113959</v>
      </c>
      <c r="V107" s="151">
        <f t="shared" si="302"/>
        <v>0.58908507223113959</v>
      </c>
      <c r="W107" s="151">
        <f t="shared" si="302"/>
        <v>0.58908507223113959</v>
      </c>
      <c r="X107" s="151">
        <f t="shared" si="302"/>
        <v>0.58908507223113959</v>
      </c>
      <c r="Y107" s="151">
        <f t="shared" si="302"/>
        <v>0.58908507223113959</v>
      </c>
      <c r="Z107" s="151">
        <f t="shared" si="302"/>
        <v>0.58908507223113959</v>
      </c>
      <c r="AA107" s="151">
        <f t="shared" si="302"/>
        <v>0.58908507223113959</v>
      </c>
      <c r="AB107" s="151">
        <f t="shared" si="302"/>
        <v>0.58908507223113948</v>
      </c>
      <c r="AC107" s="151">
        <f t="shared" si="302"/>
        <v>0.58908507223113948</v>
      </c>
      <c r="AD107" s="137">
        <f t="shared" si="247"/>
        <v>0.22543607344033911</v>
      </c>
      <c r="AE107" s="20"/>
      <c r="AF107" s="20"/>
    </row>
    <row r="108" spans="2:32">
      <c r="B108" s="20" t="s">
        <v>322</v>
      </c>
      <c r="C108" s="20"/>
      <c r="D108" s="20"/>
      <c r="E108" s="20"/>
      <c r="F108" s="20"/>
      <c r="G108" s="151">
        <f t="shared" ref="G108:P108" si="303">G40/G25</f>
        <v>5.5555555555555558E-3</v>
      </c>
      <c r="H108" s="151">
        <f t="shared" si="303"/>
        <v>3.6585365853658534E-2</v>
      </c>
      <c r="I108" s="151">
        <f t="shared" si="303"/>
        <v>5.9701492537313432E-2</v>
      </c>
      <c r="J108" s="151">
        <f t="shared" si="303"/>
        <v>7.5806451612903225E-2</v>
      </c>
      <c r="K108" s="151">
        <f t="shared" si="303"/>
        <v>8.0895008605851984E-2</v>
      </c>
      <c r="L108" s="151">
        <f t="shared" si="303"/>
        <v>6.2645011600928072E-2</v>
      </c>
      <c r="M108" s="151">
        <f t="shared" si="303"/>
        <v>0.10965200262639527</v>
      </c>
      <c r="N108" s="151">
        <f t="shared" si="303"/>
        <v>8.2497212931995537E-2</v>
      </c>
      <c r="O108" s="151">
        <f t="shared" si="303"/>
        <v>9.0986034701650439E-2</v>
      </c>
      <c r="P108" s="151">
        <f t="shared" si="303"/>
        <v>9.4719471947194725E-2</v>
      </c>
      <c r="Q108" s="151">
        <f t="shared" ref="Q108" si="304">Q40/Q25</f>
        <v>0.10464784716281722</v>
      </c>
      <c r="R108" s="118">
        <f t="shared" si="245"/>
        <v>0.37043002059998509</v>
      </c>
      <c r="S108" s="20"/>
      <c r="T108" s="151">
        <f t="shared" ref="T108:AC108" si="305">T40/T25</f>
        <v>0.10464784716281722</v>
      </c>
      <c r="U108" s="151">
        <f t="shared" si="305"/>
        <v>0.10464784716281721</v>
      </c>
      <c r="V108" s="151">
        <f t="shared" si="305"/>
        <v>0.10464784716281719</v>
      </c>
      <c r="W108" s="151">
        <f t="shared" si="305"/>
        <v>0.10464784716281718</v>
      </c>
      <c r="X108" s="151">
        <f t="shared" si="305"/>
        <v>0.10464784716281718</v>
      </c>
      <c r="Y108" s="151">
        <f t="shared" si="305"/>
        <v>0.10464784716281718</v>
      </c>
      <c r="Z108" s="151">
        <f t="shared" si="305"/>
        <v>0.10464784716281718</v>
      </c>
      <c r="AA108" s="151">
        <f t="shared" si="305"/>
        <v>0.10464784716281718</v>
      </c>
      <c r="AB108" s="151">
        <f t="shared" si="305"/>
        <v>0.10464784716281719</v>
      </c>
      <c r="AC108" s="151">
        <f t="shared" si="305"/>
        <v>0.10464784716281718</v>
      </c>
      <c r="AD108" s="137">
        <f t="shared" si="247"/>
        <v>0.15811087603688967</v>
      </c>
      <c r="AE108" s="20"/>
      <c r="AF108" s="20"/>
    </row>
    <row r="109" spans="2:32">
      <c r="B109" s="20" t="s">
        <v>348</v>
      </c>
      <c r="C109" s="20"/>
      <c r="D109" s="20"/>
      <c r="E109" s="151"/>
      <c r="F109" s="151"/>
      <c r="G109" s="151">
        <f t="shared" ref="G109:O109" si="306">G25/G18</f>
        <v>1.8181818181818181</v>
      </c>
      <c r="H109" s="151">
        <f t="shared" si="306"/>
        <v>2.5894736842105264</v>
      </c>
      <c r="I109" s="151">
        <f t="shared" si="306"/>
        <v>3.8653846153846154</v>
      </c>
      <c r="J109" s="151">
        <f t="shared" si="306"/>
        <v>3.9490445859872612</v>
      </c>
      <c r="K109" s="151">
        <f t="shared" si="306"/>
        <v>6.1481481481481479</v>
      </c>
      <c r="L109" s="151">
        <f t="shared" si="306"/>
        <v>4.6014234875444844</v>
      </c>
      <c r="M109" s="151">
        <f t="shared" si="306"/>
        <v>4.977124183006536</v>
      </c>
      <c r="N109" s="151">
        <f t="shared" si="306"/>
        <v>5.6952380952380954</v>
      </c>
      <c r="O109" s="151">
        <f t="shared" si="306"/>
        <v>6.6563380281690137</v>
      </c>
      <c r="P109" s="151">
        <f>P25/P18</f>
        <v>8.4636871508379894</v>
      </c>
      <c r="Q109" s="151">
        <f>Q25/Q18</f>
        <v>5.6292134831460672</v>
      </c>
      <c r="R109" s="118">
        <f t="shared" si="245"/>
        <v>0.18635205785563391</v>
      </c>
      <c r="S109" s="20"/>
      <c r="T109" s="151">
        <f>T25/T18</f>
        <v>5.6292134831460681</v>
      </c>
      <c r="U109" s="151">
        <f t="shared" ref="U109:AC109" si="307">U25/U18</f>
        <v>5.6292134831460681</v>
      </c>
      <c r="V109" s="151">
        <f t="shared" si="307"/>
        <v>5.6292134831460681</v>
      </c>
      <c r="W109" s="151">
        <f t="shared" si="307"/>
        <v>5.629213483146069</v>
      </c>
      <c r="X109" s="151">
        <f t="shared" si="307"/>
        <v>5.629213483146069</v>
      </c>
      <c r="Y109" s="151">
        <f t="shared" si="307"/>
        <v>5.629213483146069</v>
      </c>
      <c r="Z109" s="151">
        <f t="shared" si="307"/>
        <v>5.629213483146069</v>
      </c>
      <c r="AA109" s="151">
        <f t="shared" si="307"/>
        <v>5.629213483146069</v>
      </c>
      <c r="AB109" s="151">
        <f t="shared" si="307"/>
        <v>5.6292134831460681</v>
      </c>
      <c r="AC109" s="151">
        <f t="shared" si="307"/>
        <v>5.6292134831460681</v>
      </c>
      <c r="AD109" s="137">
        <f t="shared" si="247"/>
        <v>5.8133637112397718E-2</v>
      </c>
      <c r="AE109" s="20"/>
      <c r="AF109" s="20"/>
    </row>
    <row r="110" spans="2:32">
      <c r="B110" s="20"/>
      <c r="C110" s="20"/>
      <c r="D110" s="20"/>
      <c r="E110" s="20"/>
      <c r="F110" s="20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28"/>
      <c r="S110" s="20"/>
      <c r="T110" s="151"/>
      <c r="U110" s="151"/>
      <c r="V110" s="151"/>
      <c r="W110" s="151"/>
      <c r="X110" s="151"/>
      <c r="Y110" s="151"/>
      <c r="Z110" s="151"/>
      <c r="AA110" s="151"/>
      <c r="AB110" s="151"/>
      <c r="AC110" s="151"/>
      <c r="AD110" s="128"/>
      <c r="AE110" s="20"/>
      <c r="AF110" s="20"/>
    </row>
    <row r="111" spans="2:32">
      <c r="B111" s="20" t="s">
        <v>334</v>
      </c>
      <c r="C111" s="20"/>
      <c r="D111" s="20"/>
      <c r="E111" s="164">
        <f t="shared" ref="E111:F111" si="308">E70*E42</f>
        <v>0</v>
      </c>
      <c r="F111" s="164">
        <f t="shared" si="308"/>
        <v>0</v>
      </c>
      <c r="G111" s="164">
        <f>G70*G42</f>
        <v>1.6949999999999998</v>
      </c>
      <c r="H111" s="164">
        <f t="shared" ref="H111:P111" si="309">H70*H42</f>
        <v>2.2599999999999998</v>
      </c>
      <c r="I111" s="164">
        <f t="shared" si="309"/>
        <v>2.8249999999999997</v>
      </c>
      <c r="J111" s="164">
        <f t="shared" si="309"/>
        <v>3.9549999999999996</v>
      </c>
      <c r="K111" s="164">
        <f t="shared" si="309"/>
        <v>3.9830000000000001</v>
      </c>
      <c r="L111" s="164">
        <f t="shared" si="309"/>
        <v>6.8319999999999999</v>
      </c>
      <c r="M111" s="164">
        <f t="shared" si="309"/>
        <v>24.765999999999998</v>
      </c>
      <c r="N111" s="164">
        <f t="shared" si="309"/>
        <v>39.283999999999992</v>
      </c>
      <c r="O111" s="164">
        <f t="shared" si="309"/>
        <v>32.281199999999998</v>
      </c>
      <c r="P111" s="164">
        <f t="shared" si="309"/>
        <v>43.041599999999995</v>
      </c>
      <c r="Q111" s="164">
        <f t="shared" ref="Q111" si="310">Q70*Q42</f>
        <v>55.168399999999991</v>
      </c>
      <c r="R111" s="118">
        <f t="shared" si="245"/>
        <v>0.43245126759126107</v>
      </c>
      <c r="S111" s="20"/>
      <c r="T111" s="164">
        <f t="shared" ref="T111:AC111" si="311">T70*T42</f>
        <v>60.177690720000001</v>
      </c>
      <c r="U111" s="164">
        <f t="shared" si="311"/>
        <v>65.641825037376009</v>
      </c>
      <c r="V111" s="164">
        <f t="shared" si="311"/>
        <v>71.60210275076976</v>
      </c>
      <c r="W111" s="164">
        <f t="shared" si="311"/>
        <v>78.103573680539654</v>
      </c>
      <c r="X111" s="164">
        <f t="shared" si="311"/>
        <v>85.195378170732653</v>
      </c>
      <c r="Y111" s="164">
        <f t="shared" si="311"/>
        <v>92.931118508635194</v>
      </c>
      <c r="Z111" s="164">
        <f t="shared" si="311"/>
        <v>101.36926406921927</v>
      </c>
      <c r="AA111" s="164">
        <f t="shared" si="311"/>
        <v>110.57359324670438</v>
      </c>
      <c r="AB111" s="164">
        <f t="shared" si="311"/>
        <v>120.61367551350514</v>
      </c>
      <c r="AC111" s="164">
        <f t="shared" si="311"/>
        <v>131.56539725013141</v>
      </c>
      <c r="AD111" s="137">
        <f t="shared" si="247"/>
        <v>0.24307862559793891</v>
      </c>
      <c r="AE111" s="20"/>
      <c r="AF111" s="20"/>
    </row>
    <row r="112" spans="2:32">
      <c r="B112" s="20" t="s">
        <v>335</v>
      </c>
      <c r="C112" s="20"/>
      <c r="D112" s="20"/>
      <c r="E112" s="164">
        <f>(E111*0.17)+E111</f>
        <v>0</v>
      </c>
      <c r="F112" s="164">
        <f>(F111*0.17)+F111</f>
        <v>0</v>
      </c>
      <c r="G112" s="164">
        <f t="shared" ref="G112:P112" si="312">(G111*0.17)+G111</f>
        <v>1.9831499999999997</v>
      </c>
      <c r="H112" s="164">
        <f t="shared" si="312"/>
        <v>2.6441999999999997</v>
      </c>
      <c r="I112" s="164">
        <f t="shared" si="312"/>
        <v>3.3052499999999996</v>
      </c>
      <c r="J112" s="164">
        <f t="shared" si="312"/>
        <v>4.6273499999999999</v>
      </c>
      <c r="K112" s="164">
        <f t="shared" si="312"/>
        <v>4.6601100000000004</v>
      </c>
      <c r="L112" s="164">
        <f t="shared" si="312"/>
        <v>7.9934399999999997</v>
      </c>
      <c r="M112" s="164">
        <f t="shared" si="312"/>
        <v>28.976219999999998</v>
      </c>
      <c r="N112" s="164">
        <f t="shared" si="312"/>
        <v>45.962279999999993</v>
      </c>
      <c r="O112" s="164">
        <f t="shared" si="312"/>
        <v>37.769003999999995</v>
      </c>
      <c r="P112" s="164">
        <f t="shared" si="312"/>
        <v>50.358671999999999</v>
      </c>
      <c r="Q112" s="164">
        <f t="shared" ref="Q112" si="313">(Q111*0.17)+Q111</f>
        <v>64.547027999999983</v>
      </c>
      <c r="R112" s="118">
        <f t="shared" si="245"/>
        <v>0.43245126759126107</v>
      </c>
      <c r="S112" s="20"/>
      <c r="T112" s="164">
        <f t="shared" ref="T112:AC112" si="314">(T111*0.17)+T111</f>
        <v>70.407898142400001</v>
      </c>
      <c r="U112" s="164">
        <f t="shared" si="314"/>
        <v>76.800935293729935</v>
      </c>
      <c r="V112" s="164">
        <f t="shared" si="314"/>
        <v>83.77446021840062</v>
      </c>
      <c r="W112" s="164">
        <f t="shared" si="314"/>
        <v>91.381181206231389</v>
      </c>
      <c r="X112" s="164">
        <f t="shared" si="314"/>
        <v>99.678592459757198</v>
      </c>
      <c r="Y112" s="164">
        <f t="shared" si="314"/>
        <v>108.72940865510319</v>
      </c>
      <c r="Z112" s="164">
        <f t="shared" si="314"/>
        <v>118.60203896098655</v>
      </c>
      <c r="AA112" s="164">
        <f t="shared" si="314"/>
        <v>129.37110409864411</v>
      </c>
      <c r="AB112" s="164">
        <f t="shared" si="314"/>
        <v>141.11800035080103</v>
      </c>
      <c r="AC112" s="164">
        <f t="shared" si="314"/>
        <v>153.93151478265375</v>
      </c>
      <c r="AD112" s="137">
        <f t="shared" si="247"/>
        <v>0.24307862559793891</v>
      </c>
      <c r="AE112" s="20"/>
      <c r="AF112" s="20"/>
    </row>
    <row r="113" spans="2:32">
      <c r="B113" s="20" t="s">
        <v>336</v>
      </c>
      <c r="C113" s="20"/>
      <c r="D113" s="20"/>
      <c r="E113" s="20"/>
      <c r="F113" s="151" t="e">
        <f t="shared" ref="F113:P113" si="315">F112/F40</f>
        <v>#DIV/0!</v>
      </c>
      <c r="G113" s="151">
        <f t="shared" si="315"/>
        <v>1.9831499999999997</v>
      </c>
      <c r="H113" s="151">
        <f t="shared" si="315"/>
        <v>0.29379999999999995</v>
      </c>
      <c r="I113" s="151">
        <f t="shared" si="315"/>
        <v>0.13771874999999997</v>
      </c>
      <c r="J113" s="151">
        <f t="shared" si="315"/>
        <v>9.8454255319148934E-2</v>
      </c>
      <c r="K113" s="151">
        <f t="shared" si="315"/>
        <v>4.9575638297872343E-2</v>
      </c>
      <c r="L113" s="151">
        <f t="shared" si="315"/>
        <v>9.8684444444444436E-2</v>
      </c>
      <c r="M113" s="151">
        <f t="shared" si="315"/>
        <v>0.17351029940119758</v>
      </c>
      <c r="N113" s="151">
        <f t="shared" si="315"/>
        <v>0.31055594594594588</v>
      </c>
      <c r="O113" s="151">
        <f t="shared" si="315"/>
        <v>0.17566978604651159</v>
      </c>
      <c r="P113" s="151">
        <f t="shared" si="315"/>
        <v>0.17546575609756096</v>
      </c>
      <c r="Q113" s="151">
        <f t="shared" ref="Q113" si="316">Q112/Q40</f>
        <v>0.17587746049046318</v>
      </c>
      <c r="R113" s="118">
        <f t="shared" si="245"/>
        <v>-0.23619610707051564</v>
      </c>
      <c r="S113" s="20"/>
      <c r="T113" s="151">
        <f t="shared" ref="T113:AC113" si="317">T112/T40</f>
        <v>0.16258231686694685</v>
      </c>
      <c r="U113" s="151">
        <f t="shared" si="317"/>
        <v>0.15029219596480142</v>
      </c>
      <c r="V113" s="151">
        <f t="shared" si="317"/>
        <v>0.13893112488000459</v>
      </c>
      <c r="W113" s="151">
        <f t="shared" si="317"/>
        <v>0.12842887374500764</v>
      </c>
      <c r="X113" s="151">
        <f t="shared" si="317"/>
        <v>0.11872052159411384</v>
      </c>
      <c r="Y113" s="151">
        <f t="shared" si="317"/>
        <v>0.10974605504649104</v>
      </c>
      <c r="Z113" s="151">
        <f t="shared" si="317"/>
        <v>0.10144999732602748</v>
      </c>
      <c r="AA113" s="151">
        <f t="shared" si="317"/>
        <v>9.3781065324771831E-2</v>
      </c>
      <c r="AB113" s="151">
        <f t="shared" si="317"/>
        <v>8.6691852590051813E-2</v>
      </c>
      <c r="AC113" s="151">
        <f t="shared" si="317"/>
        <v>8.0138536275617386E-2</v>
      </c>
      <c r="AD113" s="137">
        <f t="shared" si="247"/>
        <v>-0.14822617108115121</v>
      </c>
      <c r="AE113" s="20"/>
      <c r="AF113" s="20"/>
    </row>
    <row r="114" spans="2:32">
      <c r="B114" s="20" t="s">
        <v>329</v>
      </c>
      <c r="C114" s="20"/>
      <c r="D114" s="20"/>
      <c r="E114" s="20"/>
      <c r="F114" s="151" t="e">
        <f>1-F113</f>
        <v>#DIV/0!</v>
      </c>
      <c r="G114" s="151">
        <f>1-G113</f>
        <v>-0.98314999999999975</v>
      </c>
      <c r="H114" s="151">
        <f t="shared" ref="H114:P114" si="318">1-H113</f>
        <v>0.70620000000000005</v>
      </c>
      <c r="I114" s="151">
        <f t="shared" si="318"/>
        <v>0.86228125</v>
      </c>
      <c r="J114" s="151">
        <f t="shared" si="318"/>
        <v>0.90154574468085102</v>
      </c>
      <c r="K114" s="151">
        <f t="shared" si="318"/>
        <v>0.95042436170212763</v>
      </c>
      <c r="L114" s="151">
        <f t="shared" si="318"/>
        <v>0.90131555555555554</v>
      </c>
      <c r="M114" s="151">
        <f t="shared" si="318"/>
        <v>0.82648970059880245</v>
      </c>
      <c r="N114" s="151">
        <f t="shared" si="318"/>
        <v>0.68944405405405407</v>
      </c>
      <c r="O114" s="151">
        <f t="shared" si="318"/>
        <v>0.82433021395348838</v>
      </c>
      <c r="P114" s="151">
        <f t="shared" si="318"/>
        <v>0.82453424390243901</v>
      </c>
      <c r="Q114" s="151">
        <f t="shared" ref="Q114" si="319">1-Q113</f>
        <v>0.82412253950953684</v>
      </c>
      <c r="R114" s="118">
        <f t="shared" si="245"/>
        <v>-1.9806406215806114</v>
      </c>
      <c r="S114" s="20"/>
      <c r="T114" s="151">
        <f t="shared" ref="T114:AC114" si="320">1-T113</f>
        <v>0.83741768313305309</v>
      </c>
      <c r="U114" s="151">
        <f t="shared" si="320"/>
        <v>0.84970780403519863</v>
      </c>
      <c r="V114" s="151">
        <f t="shared" si="320"/>
        <v>0.86106887511999541</v>
      </c>
      <c r="W114" s="151">
        <f t="shared" si="320"/>
        <v>0.87157112625499233</v>
      </c>
      <c r="X114" s="151">
        <f t="shared" si="320"/>
        <v>0.88127947840588616</v>
      </c>
      <c r="Y114" s="151">
        <f t="shared" si="320"/>
        <v>0.89025394495350896</v>
      </c>
      <c r="Z114" s="151">
        <f t="shared" si="320"/>
        <v>0.89855000267397256</v>
      </c>
      <c r="AA114" s="151">
        <f t="shared" si="320"/>
        <v>0.90621893467522818</v>
      </c>
      <c r="AB114" s="151">
        <f t="shared" si="320"/>
        <v>0.91330814740994815</v>
      </c>
      <c r="AC114" s="151">
        <f t="shared" si="320"/>
        <v>0.9198614637243826</v>
      </c>
      <c r="AD114" s="137" t="e">
        <f t="shared" si="247"/>
        <v>#NUM!</v>
      </c>
      <c r="AE114" s="20"/>
      <c r="AF114" s="20"/>
    </row>
    <row r="115" spans="2:32">
      <c r="B115" s="20" t="s">
        <v>452</v>
      </c>
      <c r="C115" s="20"/>
      <c r="D115" s="20"/>
      <c r="E115" s="20"/>
      <c r="F115" s="151" t="e">
        <f t="shared" ref="F115:P115" si="321">F112/F20</f>
        <v>#DIV/0!</v>
      </c>
      <c r="G115" s="151">
        <f t="shared" si="321"/>
        <v>0.33052499999999996</v>
      </c>
      <c r="H115" s="151">
        <f t="shared" si="321"/>
        <v>0.3777428571428571</v>
      </c>
      <c r="I115" s="151">
        <f t="shared" si="321"/>
        <v>0.12712499999999999</v>
      </c>
      <c r="J115" s="151">
        <f t="shared" si="321"/>
        <v>-0.12177236842105263</v>
      </c>
      <c r="K115" s="151">
        <f t="shared" si="321"/>
        <v>-0.155337</v>
      </c>
      <c r="L115" s="151">
        <f t="shared" si="321"/>
        <v>3.584502242152466E-2</v>
      </c>
      <c r="M115" s="151">
        <f t="shared" si="321"/>
        <v>0.13540289719626167</v>
      </c>
      <c r="N115" s="151">
        <f t="shared" si="321"/>
        <v>0.54073270588235289</v>
      </c>
      <c r="O115" s="151">
        <f t="shared" si="321"/>
        <v>0.12759798648648646</v>
      </c>
      <c r="P115" s="151">
        <f t="shared" si="321"/>
        <v>0.15032439402985073</v>
      </c>
      <c r="Q115" s="151">
        <f>Q112/Q20</f>
        <v>0.23135135483870961</v>
      </c>
      <c r="R115" s="118">
        <f t="shared" si="245"/>
        <v>-8.3820495753173074E-2</v>
      </c>
      <c r="S115" s="20"/>
      <c r="T115" s="151">
        <f>T112/T20</f>
        <v>0.21386276089666487</v>
      </c>
      <c r="U115" s="151">
        <f t="shared" ref="U115:AC115" si="322">U112/U20</f>
        <v>0.19769618608990008</v>
      </c>
      <c r="V115" s="151">
        <f t="shared" si="322"/>
        <v>0.18275169473462968</v>
      </c>
      <c r="W115" s="151">
        <f t="shared" si="322"/>
        <v>0.16893690560723224</v>
      </c>
      <c r="X115" s="151">
        <f t="shared" si="322"/>
        <v>0.15616642087827876</v>
      </c>
      <c r="Y115" s="151">
        <f t="shared" si="322"/>
        <v>0.14436129821527671</v>
      </c>
      <c r="Z115" s="151">
        <f t="shared" si="322"/>
        <v>0.13344856279086767</v>
      </c>
      <c r="AA115" s="151">
        <f t="shared" si="322"/>
        <v>0.12336075617989699</v>
      </c>
      <c r="AB115" s="151">
        <f t="shared" si="322"/>
        <v>0.1140355193568065</v>
      </c>
      <c r="AC115" s="151">
        <f t="shared" si="322"/>
        <v>0.10541520721559705</v>
      </c>
      <c r="AD115" s="137" t="s">
        <v>453</v>
      </c>
      <c r="AE115" s="20"/>
      <c r="AF115" s="20"/>
    </row>
    <row r="116" spans="2:32">
      <c r="B116" s="20"/>
      <c r="C116" s="20"/>
      <c r="D116" s="20"/>
      <c r="E116" s="20"/>
      <c r="F116" s="20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28"/>
      <c r="S116" s="20"/>
      <c r="T116" s="151"/>
      <c r="U116" s="151"/>
      <c r="V116" s="151"/>
      <c r="W116" s="151"/>
      <c r="X116" s="151"/>
      <c r="Y116" s="151"/>
      <c r="Z116" s="151"/>
      <c r="AA116" s="151"/>
      <c r="AB116" s="151"/>
      <c r="AC116" s="151"/>
      <c r="AD116" s="128"/>
      <c r="AE116" s="20"/>
      <c r="AF116" s="20"/>
    </row>
    <row r="117" spans="2:32">
      <c r="B117" s="20" t="s">
        <v>333</v>
      </c>
      <c r="C117" s="151"/>
      <c r="D117" s="151"/>
      <c r="E117" s="151"/>
      <c r="F117" s="151" t="e">
        <f>F31/F25</f>
        <v>#DIV/0!</v>
      </c>
      <c r="G117" s="151">
        <f>G31/G25</f>
        <v>0</v>
      </c>
      <c r="H117" s="151">
        <f t="shared" ref="H117:P117" si="323">H31/H25</f>
        <v>0</v>
      </c>
      <c r="I117" s="151">
        <f t="shared" si="323"/>
        <v>0</v>
      </c>
      <c r="J117" s="151">
        <f t="shared" si="323"/>
        <v>0</v>
      </c>
      <c r="K117" s="151">
        <f t="shared" si="323"/>
        <v>0</v>
      </c>
      <c r="L117" s="151">
        <f t="shared" si="323"/>
        <v>0</v>
      </c>
      <c r="M117" s="151">
        <f t="shared" si="323"/>
        <v>0</v>
      </c>
      <c r="N117" s="151">
        <f t="shared" si="323"/>
        <v>0</v>
      </c>
      <c r="O117" s="151">
        <f t="shared" si="323"/>
        <v>0</v>
      </c>
      <c r="P117" s="151">
        <f t="shared" si="323"/>
        <v>0</v>
      </c>
      <c r="Q117" s="151">
        <f t="shared" ref="Q117" si="324">Q31/Q25</f>
        <v>0</v>
      </c>
      <c r="R117" s="118" t="e">
        <f t="shared" si="245"/>
        <v>#DIV/0!</v>
      </c>
      <c r="S117" s="20"/>
      <c r="T117" s="151">
        <f t="shared" ref="T117:AC117" si="325">T31/T25</f>
        <v>0</v>
      </c>
      <c r="U117" s="151">
        <f t="shared" si="325"/>
        <v>0</v>
      </c>
      <c r="V117" s="151">
        <f t="shared" si="325"/>
        <v>0</v>
      </c>
      <c r="W117" s="151">
        <f t="shared" si="325"/>
        <v>0</v>
      </c>
      <c r="X117" s="151">
        <f t="shared" si="325"/>
        <v>0</v>
      </c>
      <c r="Y117" s="151">
        <f t="shared" si="325"/>
        <v>0</v>
      </c>
      <c r="Z117" s="151">
        <f t="shared" si="325"/>
        <v>0</v>
      </c>
      <c r="AA117" s="151">
        <f t="shared" si="325"/>
        <v>0</v>
      </c>
      <c r="AB117" s="151">
        <f t="shared" si="325"/>
        <v>0</v>
      </c>
      <c r="AC117" s="151">
        <f t="shared" si="325"/>
        <v>0</v>
      </c>
      <c r="AD117" s="137" t="e">
        <f t="shared" si="247"/>
        <v>#DIV/0!</v>
      </c>
      <c r="AE117" s="20"/>
      <c r="AF117" s="20"/>
    </row>
    <row r="118" spans="2:32">
      <c r="B118" s="20" t="s">
        <v>330</v>
      </c>
      <c r="C118" s="151"/>
      <c r="D118" s="151"/>
      <c r="E118" s="151"/>
      <c r="F118" s="151" t="e">
        <f>F32/F25</f>
        <v>#DIV/0!</v>
      </c>
      <c r="G118" s="151">
        <f>G32/G25</f>
        <v>0</v>
      </c>
      <c r="H118" s="151">
        <f t="shared" ref="H118:P118" si="326">H32/H25</f>
        <v>0</v>
      </c>
      <c r="I118" s="151">
        <f t="shared" si="326"/>
        <v>0</v>
      </c>
      <c r="J118" s="151">
        <f t="shared" si="326"/>
        <v>0</v>
      </c>
      <c r="K118" s="151">
        <f t="shared" si="326"/>
        <v>0</v>
      </c>
      <c r="L118" s="151">
        <f t="shared" si="326"/>
        <v>0</v>
      </c>
      <c r="M118" s="151">
        <f t="shared" si="326"/>
        <v>0</v>
      </c>
      <c r="N118" s="151">
        <f t="shared" si="326"/>
        <v>0</v>
      </c>
      <c r="O118" s="151">
        <f t="shared" si="326"/>
        <v>0</v>
      </c>
      <c r="P118" s="151">
        <f t="shared" si="326"/>
        <v>0</v>
      </c>
      <c r="Q118" s="151">
        <f t="shared" ref="Q118" si="327">Q32/Q25</f>
        <v>0</v>
      </c>
      <c r="R118" s="118" t="e">
        <f t="shared" si="245"/>
        <v>#DIV/0!</v>
      </c>
      <c r="S118" s="20"/>
      <c r="T118" s="151">
        <f t="shared" ref="T118:AC118" si="328">T32/T25</f>
        <v>0</v>
      </c>
      <c r="U118" s="151">
        <f t="shared" si="328"/>
        <v>0</v>
      </c>
      <c r="V118" s="151">
        <f t="shared" si="328"/>
        <v>0</v>
      </c>
      <c r="W118" s="151">
        <f t="shared" si="328"/>
        <v>0</v>
      </c>
      <c r="X118" s="151">
        <f t="shared" si="328"/>
        <v>0</v>
      </c>
      <c r="Y118" s="151">
        <f t="shared" si="328"/>
        <v>0</v>
      </c>
      <c r="Z118" s="151">
        <f t="shared" si="328"/>
        <v>0</v>
      </c>
      <c r="AA118" s="151">
        <f t="shared" si="328"/>
        <v>0</v>
      </c>
      <c r="AB118" s="151">
        <f t="shared" si="328"/>
        <v>0</v>
      </c>
      <c r="AC118" s="151">
        <f t="shared" si="328"/>
        <v>0</v>
      </c>
      <c r="AD118" s="137" t="e">
        <f t="shared" si="247"/>
        <v>#DIV/0!</v>
      </c>
      <c r="AE118" s="20"/>
      <c r="AF118" s="20"/>
    </row>
    <row r="119" spans="2:32">
      <c r="B119" s="20"/>
      <c r="C119" s="20"/>
      <c r="D119" s="20"/>
      <c r="E119" s="20"/>
      <c r="F119" s="2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28"/>
      <c r="S119" s="20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28"/>
      <c r="AE119" s="20"/>
      <c r="AF119" s="20"/>
    </row>
    <row r="120" spans="2:32">
      <c r="B120" s="20" t="s">
        <v>354</v>
      </c>
      <c r="C120" s="20"/>
      <c r="D120" s="20"/>
      <c r="E120" s="20"/>
      <c r="F120" s="20"/>
      <c r="G120" s="151">
        <f>G27/G25</f>
        <v>0.8666666666666667</v>
      </c>
      <c r="H120" s="151">
        <f t="shared" ref="H120:P120" si="329">H27/H25</f>
        <v>0.89430894308943087</v>
      </c>
      <c r="I120" s="151">
        <f t="shared" si="329"/>
        <v>0.86567164179104472</v>
      </c>
      <c r="J120" s="151">
        <f t="shared" si="329"/>
        <v>0.85</v>
      </c>
      <c r="K120" s="151">
        <f t="shared" si="329"/>
        <v>0.84079173838209986</v>
      </c>
      <c r="L120" s="151">
        <f t="shared" si="329"/>
        <v>0.86156225831399846</v>
      </c>
      <c r="M120" s="151">
        <f t="shared" si="329"/>
        <v>0.79842416283650686</v>
      </c>
      <c r="N120" s="151">
        <f t="shared" si="329"/>
        <v>0.85284280936454848</v>
      </c>
      <c r="O120" s="151">
        <f t="shared" si="329"/>
        <v>0.84468895471857808</v>
      </c>
      <c r="P120" s="151">
        <f t="shared" si="329"/>
        <v>0.83861386138613858</v>
      </c>
      <c r="Q120" s="151">
        <f t="shared" ref="Q120" si="330">Q27/Q25</f>
        <v>0.82834331337325351</v>
      </c>
      <c r="R120" s="118">
        <f t="shared" si="245"/>
        <v>-3.6493328892814869E-3</v>
      </c>
      <c r="S120" s="20"/>
      <c r="T120" s="151">
        <f t="shared" ref="T120:AC120" si="331">T27/T25</f>
        <v>0.8283433133732534</v>
      </c>
      <c r="U120" s="151">
        <f t="shared" si="331"/>
        <v>0.82834331337325329</v>
      </c>
      <c r="V120" s="151">
        <f t="shared" si="331"/>
        <v>0.82834331337325318</v>
      </c>
      <c r="W120" s="151">
        <f t="shared" si="331"/>
        <v>0.82834331337325318</v>
      </c>
      <c r="X120" s="151">
        <f t="shared" si="331"/>
        <v>0.82834331337325318</v>
      </c>
      <c r="Y120" s="151">
        <f t="shared" si="331"/>
        <v>0.82834331337325307</v>
      </c>
      <c r="Z120" s="151">
        <f t="shared" si="331"/>
        <v>0.82834331337325307</v>
      </c>
      <c r="AA120" s="151">
        <f t="shared" si="331"/>
        <v>0.82834331337325307</v>
      </c>
      <c r="AB120" s="151">
        <f t="shared" si="331"/>
        <v>0.82834331337325307</v>
      </c>
      <c r="AC120" s="151">
        <f t="shared" si="331"/>
        <v>0.82834331337325307</v>
      </c>
      <c r="AD120" s="137">
        <f t="shared" si="247"/>
        <v>-2.2587819646656682E-3</v>
      </c>
      <c r="AE120" s="20"/>
      <c r="AF120" s="20"/>
    </row>
    <row r="121" spans="2:32">
      <c r="B121" s="20" t="str">
        <f>B33</f>
        <v>Top Expenses ( Raw material )</v>
      </c>
      <c r="C121" s="20"/>
      <c r="D121" s="20"/>
      <c r="E121" s="20"/>
      <c r="F121" s="20"/>
      <c r="G121" s="151">
        <f>G33/G25</f>
        <v>0.47222222222222221</v>
      </c>
      <c r="H121" s="151">
        <f t="shared" ref="H121:P121" si="332">H33/H25</f>
        <v>0.56910569105691056</v>
      </c>
      <c r="I121" s="151">
        <f t="shared" si="332"/>
        <v>0.56965174129353235</v>
      </c>
      <c r="J121" s="151">
        <f t="shared" si="332"/>
        <v>0.64677419354838706</v>
      </c>
      <c r="K121" s="151">
        <f t="shared" si="332"/>
        <v>0.67900172117039592</v>
      </c>
      <c r="L121" s="151">
        <f t="shared" si="332"/>
        <v>0.68368136117556066</v>
      </c>
      <c r="M121" s="151">
        <f t="shared" si="332"/>
        <v>0.61588969139855543</v>
      </c>
      <c r="N121" s="151">
        <f t="shared" si="332"/>
        <v>0.67892976588628762</v>
      </c>
      <c r="O121" s="151">
        <f t="shared" si="332"/>
        <v>0.68303004655099453</v>
      </c>
      <c r="P121" s="151">
        <f t="shared" si="332"/>
        <v>0.68151815181518149</v>
      </c>
      <c r="Q121" s="151">
        <f t="shared" ref="Q121" si="333">Q33/Q25</f>
        <v>0.67208440262332481</v>
      </c>
      <c r="R121" s="118">
        <f t="shared" si="245"/>
        <v>4.1605933554039742E-2</v>
      </c>
      <c r="S121" s="20"/>
      <c r="T121" s="151">
        <f t="shared" ref="T121:AC121" si="334">T33/T25</f>
        <v>0.67208440262332469</v>
      </c>
      <c r="U121" s="151">
        <f t="shared" si="334"/>
        <v>0.67208440262332469</v>
      </c>
      <c r="V121" s="151">
        <f t="shared" si="334"/>
        <v>0.67208440262332458</v>
      </c>
      <c r="W121" s="151">
        <f t="shared" si="334"/>
        <v>0.67208440262332458</v>
      </c>
      <c r="X121" s="151">
        <f t="shared" si="334"/>
        <v>0.67208440262332458</v>
      </c>
      <c r="Y121" s="151">
        <f t="shared" si="334"/>
        <v>0.67208440262332447</v>
      </c>
      <c r="Z121" s="151">
        <f t="shared" si="334"/>
        <v>0.67208440262332458</v>
      </c>
      <c r="AA121" s="151">
        <f t="shared" si="334"/>
        <v>0.67208440262332458</v>
      </c>
      <c r="AB121" s="151">
        <f t="shared" si="334"/>
        <v>0.67208440262332458</v>
      </c>
      <c r="AC121" s="151">
        <f t="shared" si="334"/>
        <v>0.67208440262332458</v>
      </c>
      <c r="AD121" s="137">
        <f t="shared" si="247"/>
        <v>1.7803335526594743E-2</v>
      </c>
      <c r="AE121" s="20"/>
      <c r="AF121" s="20"/>
    </row>
    <row r="122" spans="2:32">
      <c r="B122" s="20" t="str">
        <f>B34</f>
        <v>2nd highest Expenses Comp. ( Empl )</v>
      </c>
      <c r="C122" s="20"/>
      <c r="D122" s="20"/>
      <c r="E122" s="20"/>
      <c r="F122" s="20"/>
      <c r="G122" s="151">
        <f>G34/G25</f>
        <v>8.8888888888888892E-2</v>
      </c>
      <c r="H122" s="151">
        <f t="shared" ref="H122:P122" si="335">H34/H25</f>
        <v>7.3170731707317069E-2</v>
      </c>
      <c r="I122" s="151">
        <f t="shared" si="335"/>
        <v>5.9701492537313432E-2</v>
      </c>
      <c r="J122" s="151">
        <f t="shared" si="335"/>
        <v>5.32258064516129E-2</v>
      </c>
      <c r="K122" s="151">
        <f t="shared" si="335"/>
        <v>4.5611015490533563E-2</v>
      </c>
      <c r="L122" s="151">
        <f t="shared" si="335"/>
        <v>4.7950502706883218E-2</v>
      </c>
      <c r="M122" s="151">
        <f t="shared" si="335"/>
        <v>5.5154300722258701E-2</v>
      </c>
      <c r="N122" s="151">
        <f t="shared" si="335"/>
        <v>5.4069119286510592E-2</v>
      </c>
      <c r="O122" s="151">
        <f t="shared" si="335"/>
        <v>4.6974185357596274E-2</v>
      </c>
      <c r="P122" s="151">
        <f t="shared" si="335"/>
        <v>4.1914191419141912E-2</v>
      </c>
      <c r="Q122" s="151">
        <f t="shared" ref="Q122" si="336">Q34/Q25</f>
        <v>4.505275163957799E-2</v>
      </c>
      <c r="R122" s="118">
        <f t="shared" si="245"/>
        <v>-8.0135761838405095E-2</v>
      </c>
      <c r="S122" s="20"/>
      <c r="T122" s="151">
        <f t="shared" ref="T122:AC122" si="337">T34/T25</f>
        <v>4.5052751639577983E-2</v>
      </c>
      <c r="U122" s="151">
        <f t="shared" si="337"/>
        <v>4.5052751639577976E-2</v>
      </c>
      <c r="V122" s="151">
        <f t="shared" si="337"/>
        <v>4.5052751639577976E-2</v>
      </c>
      <c r="W122" s="151">
        <f t="shared" si="337"/>
        <v>4.5052751639577976E-2</v>
      </c>
      <c r="X122" s="151">
        <f t="shared" si="337"/>
        <v>4.5052751639577976E-2</v>
      </c>
      <c r="Y122" s="151">
        <f t="shared" si="337"/>
        <v>4.5052751639577976E-2</v>
      </c>
      <c r="Z122" s="151">
        <f t="shared" si="337"/>
        <v>4.5052751639577976E-2</v>
      </c>
      <c r="AA122" s="151">
        <f t="shared" si="337"/>
        <v>4.5052751639577976E-2</v>
      </c>
      <c r="AB122" s="151">
        <f t="shared" si="337"/>
        <v>4.5052751639577976E-2</v>
      </c>
      <c r="AC122" s="151">
        <f t="shared" si="337"/>
        <v>4.5052751639577969E-2</v>
      </c>
      <c r="AD122" s="137">
        <f t="shared" si="247"/>
        <v>-3.3406896523326624E-2</v>
      </c>
      <c r="AE122" s="20"/>
      <c r="AF122" s="20"/>
    </row>
    <row r="123" spans="2:3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8"/>
      <c r="AE123" s="20"/>
      <c r="AF123" s="20"/>
    </row>
    <row r="124" spans="2:3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7"/>
      <c r="AE124" s="20"/>
      <c r="AF124" s="20"/>
    </row>
    <row r="125" spans="2:32">
      <c r="B125" s="20" t="s">
        <v>365</v>
      </c>
      <c r="C125" s="20"/>
      <c r="D125" s="20"/>
      <c r="E125" s="20"/>
      <c r="F125" s="20"/>
      <c r="G125" s="25">
        <f>G15/G9</f>
        <v>2.5483870967741935</v>
      </c>
      <c r="H125" s="25">
        <f t="shared" ref="H125:AC125" si="338">H15/H9</f>
        <v>2.375</v>
      </c>
      <c r="I125" s="25">
        <f t="shared" si="338"/>
        <v>1.7682926829268293</v>
      </c>
      <c r="J125" s="25">
        <f t="shared" si="338"/>
        <v>2.7931034482758621</v>
      </c>
      <c r="K125" s="25">
        <f t="shared" si="338"/>
        <v>3.75</v>
      </c>
      <c r="L125" s="25">
        <f t="shared" si="338"/>
        <v>3.0530303030303032</v>
      </c>
      <c r="M125" s="25">
        <f t="shared" si="338"/>
        <v>2.7058823529411766</v>
      </c>
      <c r="N125" s="25">
        <f t="shared" si="338"/>
        <v>2.8254716981132075</v>
      </c>
      <c r="O125" s="25">
        <f t="shared" si="338"/>
        <v>2.8699551569506725</v>
      </c>
      <c r="P125" s="25">
        <f t="shared" si="338"/>
        <v>3.2261904761904763</v>
      </c>
      <c r="Q125" s="25">
        <f t="shared" ref="Q125" si="339">Q15/Q9</f>
        <v>2.9008042895442361</v>
      </c>
      <c r="R125" s="118">
        <f t="shared" si="245"/>
        <v>2.655095635550242E-2</v>
      </c>
      <c r="S125" s="20"/>
      <c r="T125" s="20">
        <f t="shared" si="338"/>
        <v>2.9008042895442361</v>
      </c>
      <c r="U125" s="20">
        <f t="shared" si="338"/>
        <v>2.9008042895442356</v>
      </c>
      <c r="V125" s="20">
        <f t="shared" si="338"/>
        <v>2.9008042895442361</v>
      </c>
      <c r="W125" s="20">
        <f t="shared" si="338"/>
        <v>2.9008042895442356</v>
      </c>
      <c r="X125" s="20">
        <f t="shared" si="338"/>
        <v>2.9008042895442352</v>
      </c>
      <c r="Y125" s="20">
        <f t="shared" si="338"/>
        <v>2.9008042895442356</v>
      </c>
      <c r="Z125" s="20">
        <f t="shared" si="338"/>
        <v>2.9008042895442356</v>
      </c>
      <c r="AA125" s="20">
        <f t="shared" si="338"/>
        <v>2.9008042895442356</v>
      </c>
      <c r="AB125" s="20">
        <f t="shared" si="338"/>
        <v>2.9008042895442356</v>
      </c>
      <c r="AC125" s="20">
        <f t="shared" si="338"/>
        <v>2.9008042895442361</v>
      </c>
      <c r="AD125" s="137">
        <f t="shared" si="247"/>
        <v>6.4973866174140582E-3</v>
      </c>
      <c r="AE125" s="20"/>
      <c r="AF125" s="20"/>
    </row>
    <row r="126" spans="2:32">
      <c r="B126" s="20" t="s">
        <v>355</v>
      </c>
      <c r="C126" s="20"/>
      <c r="D126" s="20"/>
      <c r="E126" s="20"/>
      <c r="F126" s="20"/>
      <c r="G126" s="25">
        <f>G12/G9</f>
        <v>0.4838709677419355</v>
      </c>
      <c r="H126" s="25">
        <f t="shared" ref="H126:P126" si="340">H12/H9</f>
        <v>0.35416666666666669</v>
      </c>
      <c r="I126" s="25">
        <f t="shared" si="340"/>
        <v>0.25609756097560976</v>
      </c>
      <c r="J126" s="25">
        <f t="shared" si="340"/>
        <v>0.2988505747126437</v>
      </c>
      <c r="K126" s="25">
        <f t="shared" si="340"/>
        <v>0.43333333333333335</v>
      </c>
      <c r="L126" s="25">
        <f t="shared" si="340"/>
        <v>0.53030303030303028</v>
      </c>
      <c r="M126" s="25">
        <f t="shared" si="340"/>
        <v>0.33155080213903743</v>
      </c>
      <c r="N126" s="25">
        <f t="shared" si="340"/>
        <v>0.18867924528301888</v>
      </c>
      <c r="O126" s="25">
        <f t="shared" si="340"/>
        <v>1.0269058295964126</v>
      </c>
      <c r="P126" s="25">
        <f t="shared" si="340"/>
        <v>1.2232142857142858</v>
      </c>
      <c r="Q126" s="25">
        <f t="shared" ref="Q126" si="341">Q12/Q9</f>
        <v>0.79088471849865949</v>
      </c>
      <c r="R126" s="118">
        <f t="shared" si="245"/>
        <v>0.10854302384428038</v>
      </c>
      <c r="S126" s="128"/>
      <c r="T126" s="20">
        <f t="shared" ref="T126:AC126" si="342">T12/T9</f>
        <v>0.79088471849865949</v>
      </c>
      <c r="U126" s="20">
        <f t="shared" si="342"/>
        <v>0.79088471849865949</v>
      </c>
      <c r="V126" s="20">
        <f t="shared" si="342"/>
        <v>0.79088471849865938</v>
      </c>
      <c r="W126" s="20">
        <f t="shared" si="342"/>
        <v>0.79088471849865938</v>
      </c>
      <c r="X126" s="20">
        <f t="shared" si="342"/>
        <v>0.79088471849865938</v>
      </c>
      <c r="Y126" s="20">
        <f t="shared" si="342"/>
        <v>0.79088471849865938</v>
      </c>
      <c r="Z126" s="20">
        <f t="shared" si="342"/>
        <v>0.79088471849865938</v>
      </c>
      <c r="AA126" s="20">
        <f t="shared" si="342"/>
        <v>0.79088471849865938</v>
      </c>
      <c r="AB126" s="20">
        <f t="shared" si="342"/>
        <v>0.79088471849865949</v>
      </c>
      <c r="AC126" s="20">
        <f t="shared" si="342"/>
        <v>0.79088471849865949</v>
      </c>
      <c r="AD126" s="118">
        <f t="shared" ref="AD126" si="343">((AC126/T126)^(1/($H$2-$H$1) ))-1</f>
        <v>0</v>
      </c>
      <c r="AE126" s="20"/>
      <c r="AF126" s="20"/>
    </row>
    <row r="127" spans="2:32">
      <c r="B127" s="20" t="s">
        <v>357</v>
      </c>
      <c r="C127" s="20"/>
      <c r="D127" s="20"/>
      <c r="E127" s="20"/>
      <c r="F127" s="20"/>
      <c r="G127" s="25">
        <f>G25/360</f>
        <v>0.5</v>
      </c>
      <c r="H127" s="25">
        <f t="shared" ref="H127:P127" si="344">H25/360</f>
        <v>0.68333333333333335</v>
      </c>
      <c r="I127" s="25">
        <f t="shared" si="344"/>
        <v>1.1166666666666667</v>
      </c>
      <c r="J127" s="25">
        <f t="shared" si="344"/>
        <v>1.7222222222222223</v>
      </c>
      <c r="K127" s="25">
        <f t="shared" si="344"/>
        <v>3.2277777777777779</v>
      </c>
      <c r="L127" s="25">
        <f t="shared" si="344"/>
        <v>3.5916666666666668</v>
      </c>
      <c r="M127" s="25">
        <f t="shared" si="344"/>
        <v>4.2305555555555552</v>
      </c>
      <c r="N127" s="25">
        <f t="shared" si="344"/>
        <v>4.9833333333333334</v>
      </c>
      <c r="O127" s="25">
        <f t="shared" si="344"/>
        <v>6.5638888888888891</v>
      </c>
      <c r="P127" s="25">
        <f t="shared" si="344"/>
        <v>8.4166666666666661</v>
      </c>
      <c r="Q127" s="25">
        <f t="shared" ref="Q127" si="345">Q25/360</f>
        <v>9.7416666666666671</v>
      </c>
      <c r="R127" s="118">
        <f t="shared" si="245"/>
        <v>0.36848841373895858</v>
      </c>
      <c r="S127" s="128"/>
      <c r="T127" s="25">
        <f t="shared" ref="T127:AC127" si="346">T25/360</f>
        <v>11.495166666666668</v>
      </c>
      <c r="U127" s="25">
        <f t="shared" si="346"/>
        <v>13.564296666666667</v>
      </c>
      <c r="V127" s="25">
        <f t="shared" si="346"/>
        <v>16.005870066666667</v>
      </c>
      <c r="W127" s="25">
        <f t="shared" si="346"/>
        <v>18.886926678666669</v>
      </c>
      <c r="X127" s="25">
        <f t="shared" si="346"/>
        <v>22.286573480826668</v>
      </c>
      <c r="Y127" s="25">
        <f t="shared" si="346"/>
        <v>26.298156707375469</v>
      </c>
      <c r="Z127" s="25">
        <f t="shared" si="346"/>
        <v>31.031824914703051</v>
      </c>
      <c r="AA127" s="25">
        <f t="shared" si="346"/>
        <v>36.617553399349596</v>
      </c>
      <c r="AB127" s="25">
        <f t="shared" si="346"/>
        <v>43.208713011232518</v>
      </c>
      <c r="AC127" s="25">
        <f t="shared" si="346"/>
        <v>50.986281353254377</v>
      </c>
      <c r="AD127" s="118">
        <f t="shared" ref="AD127:AD138" si="347">((AC127/T127)^(1/($H$2-$H$1) ))-1</f>
        <v>0.17999999999999994</v>
      </c>
      <c r="AE127" s="20"/>
      <c r="AF127" s="20"/>
    </row>
    <row r="128" spans="2:32">
      <c r="B128" s="20" t="s">
        <v>356</v>
      </c>
      <c r="C128" s="20"/>
      <c r="D128" s="20"/>
      <c r="E128" s="20"/>
      <c r="F128" s="20"/>
      <c r="G128" s="25">
        <f>G27/360</f>
        <v>0.43333333333333335</v>
      </c>
      <c r="H128" s="25">
        <f t="shared" ref="H128:P128" si="348">H27/360</f>
        <v>0.61111111111111116</v>
      </c>
      <c r="I128" s="25">
        <f t="shared" si="348"/>
        <v>0.96666666666666667</v>
      </c>
      <c r="J128" s="25">
        <f t="shared" si="348"/>
        <v>1.4638888888888888</v>
      </c>
      <c r="K128" s="25">
        <f t="shared" si="348"/>
        <v>2.713888888888889</v>
      </c>
      <c r="L128" s="25">
        <f t="shared" si="348"/>
        <v>3.0944444444444446</v>
      </c>
      <c r="M128" s="25">
        <f t="shared" si="348"/>
        <v>3.3777777777777778</v>
      </c>
      <c r="N128" s="25">
        <f t="shared" si="348"/>
        <v>4.25</v>
      </c>
      <c r="O128" s="25">
        <f t="shared" si="348"/>
        <v>5.5444444444444443</v>
      </c>
      <c r="P128" s="25">
        <f t="shared" si="348"/>
        <v>7.0583333333333336</v>
      </c>
      <c r="Q128" s="25">
        <f t="shared" ref="Q128" si="349">Q27/360</f>
        <v>8.0694444444444446</v>
      </c>
      <c r="R128" s="118">
        <f t="shared" si="245"/>
        <v>0.36349434396210056</v>
      </c>
      <c r="S128" s="128"/>
      <c r="T128" s="25">
        <f t="shared" ref="T128:AC128" si="350">T27/360</f>
        <v>9.5219444444444434</v>
      </c>
      <c r="U128" s="25">
        <f t="shared" si="350"/>
        <v>11.235894444444444</v>
      </c>
      <c r="V128" s="25">
        <f t="shared" si="350"/>
        <v>13.258355444444442</v>
      </c>
      <c r="W128" s="25">
        <f t="shared" si="350"/>
        <v>15.644859424444439</v>
      </c>
      <c r="X128" s="25">
        <f t="shared" si="350"/>
        <v>18.460934120844438</v>
      </c>
      <c r="Y128" s="25">
        <f t="shared" si="350"/>
        <v>21.783902262596435</v>
      </c>
      <c r="Z128" s="25">
        <f t="shared" si="350"/>
        <v>25.70500466986379</v>
      </c>
      <c r="AA128" s="25">
        <f t="shared" si="350"/>
        <v>30.33190551043927</v>
      </c>
      <c r="AB128" s="25">
        <f t="shared" si="350"/>
        <v>35.791648502318338</v>
      </c>
      <c r="AC128" s="25">
        <f t="shared" si="350"/>
        <v>42.234145232735635</v>
      </c>
      <c r="AD128" s="118">
        <f t="shared" si="347"/>
        <v>0.17999999999999994</v>
      </c>
      <c r="AE128" s="20"/>
      <c r="AF128" s="20"/>
    </row>
    <row r="129" spans="2:3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>
      <c r="B130" s="20" t="s">
        <v>366</v>
      </c>
      <c r="C130" s="20"/>
      <c r="D130" s="20"/>
      <c r="E130" s="20"/>
      <c r="F130" s="20"/>
      <c r="G130" s="25">
        <f>G10/G7</f>
        <v>8.5714285714285715E-2</v>
      </c>
      <c r="H130" s="25">
        <f t="shared" ref="H130:P130" si="351">H10/H7</f>
        <v>0.1270718232044199</v>
      </c>
      <c r="I130" s="25">
        <f t="shared" si="351"/>
        <v>0.1890547263681592</v>
      </c>
      <c r="J130" s="25">
        <f t="shared" si="351"/>
        <v>0.58024691358024694</v>
      </c>
      <c r="K130" s="25">
        <f t="shared" si="351"/>
        <v>0.95195195195195192</v>
      </c>
      <c r="L130" s="25">
        <f t="shared" si="351"/>
        <v>0.70443349753694584</v>
      </c>
      <c r="M130" s="25">
        <f t="shared" si="351"/>
        <v>0.16758747697974216</v>
      </c>
      <c r="N130" s="25">
        <f t="shared" si="351"/>
        <v>0.14705882352941177</v>
      </c>
      <c r="O130" s="25">
        <f t="shared" si="351"/>
        <v>0.10206561360874848</v>
      </c>
      <c r="P130" s="25">
        <f t="shared" si="351"/>
        <v>8.2152974504249299E-2</v>
      </c>
      <c r="Q130" s="25">
        <f t="shared" ref="Q130" si="352">Q10/Q7</f>
        <v>6.1674008810572688E-2</v>
      </c>
      <c r="R130" s="118">
        <f t="shared" si="245"/>
        <v>-4.7040626464462942E-3</v>
      </c>
      <c r="S130" s="128"/>
      <c r="T130" s="25">
        <f t="shared" ref="T130:AC130" si="353">T10/T7</f>
        <v>6.1674008810572688E-2</v>
      </c>
      <c r="U130" s="25">
        <f t="shared" si="353"/>
        <v>6.1674008810572688E-2</v>
      </c>
      <c r="V130" s="25">
        <f t="shared" si="353"/>
        <v>6.1674008810572688E-2</v>
      </c>
      <c r="W130" s="25">
        <f t="shared" si="353"/>
        <v>6.1674008810572688E-2</v>
      </c>
      <c r="X130" s="25">
        <f t="shared" si="353"/>
        <v>6.1674008810572688E-2</v>
      </c>
      <c r="Y130" s="25">
        <f t="shared" si="353"/>
        <v>6.1674008810572688E-2</v>
      </c>
      <c r="Z130" s="25">
        <f t="shared" si="353"/>
        <v>6.1674008810572688E-2</v>
      </c>
      <c r="AA130" s="25">
        <f t="shared" si="353"/>
        <v>6.1674008810572688E-2</v>
      </c>
      <c r="AB130" s="25">
        <f t="shared" si="353"/>
        <v>6.1674008810572688E-2</v>
      </c>
      <c r="AC130" s="25">
        <f t="shared" si="353"/>
        <v>6.1674008810572681E-2</v>
      </c>
      <c r="AD130" s="118">
        <f t="shared" si="347"/>
        <v>0</v>
      </c>
      <c r="AE130" s="20"/>
      <c r="AF130" s="20"/>
    </row>
    <row r="131" spans="2:32">
      <c r="B131" s="20" t="s">
        <v>358</v>
      </c>
      <c r="C131" s="20"/>
      <c r="D131" s="20"/>
      <c r="E131" s="20"/>
      <c r="F131" s="20"/>
      <c r="G131" s="25">
        <f>G10/(G10+G7)</f>
        <v>7.8947368421052627E-2</v>
      </c>
      <c r="H131" s="25">
        <f t="shared" ref="H131:P131" si="354">H10/(H10+H7)</f>
        <v>0.11274509803921569</v>
      </c>
      <c r="I131" s="25">
        <f t="shared" si="354"/>
        <v>0.15899581589958159</v>
      </c>
      <c r="J131" s="25">
        <f t="shared" si="354"/>
        <v>0.3671875</v>
      </c>
      <c r="K131" s="25">
        <f t="shared" si="354"/>
        <v>0.4876923076923077</v>
      </c>
      <c r="L131" s="25">
        <f t="shared" si="354"/>
        <v>0.41329479768786126</v>
      </c>
      <c r="M131" s="25">
        <f t="shared" si="354"/>
        <v>0.14353312302839116</v>
      </c>
      <c r="N131" s="25">
        <f t="shared" si="354"/>
        <v>0.12820512820512819</v>
      </c>
      <c r="O131" s="25">
        <f t="shared" si="354"/>
        <v>9.2613009922822495E-2</v>
      </c>
      <c r="P131" s="25">
        <f t="shared" si="354"/>
        <v>7.5916230366492143E-2</v>
      </c>
      <c r="Q131" s="25">
        <f t="shared" ref="Q131" si="355">Q10/(Q10+Q7)</f>
        <v>5.8091286307053944E-2</v>
      </c>
      <c r="R131" s="118">
        <f t="shared" si="245"/>
        <v>-4.3406528564018387E-3</v>
      </c>
      <c r="S131" s="128"/>
      <c r="T131" s="25">
        <f t="shared" ref="T131:AC131" si="356">T10/(T10+T7)</f>
        <v>5.8091286307053944E-2</v>
      </c>
      <c r="U131" s="25">
        <f t="shared" si="356"/>
        <v>5.8091286307053937E-2</v>
      </c>
      <c r="V131" s="25">
        <f t="shared" si="356"/>
        <v>5.8091286307053937E-2</v>
      </c>
      <c r="W131" s="25">
        <f t="shared" si="356"/>
        <v>5.8091286307053944E-2</v>
      </c>
      <c r="X131" s="25">
        <f t="shared" si="356"/>
        <v>5.8091286307053944E-2</v>
      </c>
      <c r="Y131" s="25">
        <f t="shared" si="356"/>
        <v>5.8091286307053937E-2</v>
      </c>
      <c r="Z131" s="25">
        <f t="shared" si="356"/>
        <v>5.8091286307053944E-2</v>
      </c>
      <c r="AA131" s="25">
        <f t="shared" si="356"/>
        <v>5.8091286307053944E-2</v>
      </c>
      <c r="AB131" s="25">
        <f t="shared" si="356"/>
        <v>5.8091286307053937E-2</v>
      </c>
      <c r="AC131" s="25">
        <f t="shared" si="356"/>
        <v>5.8091286307053937E-2</v>
      </c>
      <c r="AD131" s="118">
        <f t="shared" si="347"/>
        <v>0</v>
      </c>
      <c r="AE131" s="20"/>
      <c r="AF131" s="20"/>
    </row>
    <row r="132" spans="2:3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6"/>
      <c r="AE132" s="20"/>
      <c r="AF132" s="20"/>
    </row>
    <row r="133" spans="2:32">
      <c r="B133" s="20" t="s">
        <v>363</v>
      </c>
      <c r="C133" s="20"/>
      <c r="D133" s="20"/>
      <c r="E133" s="20"/>
      <c r="F133" s="20"/>
      <c r="G133" s="25">
        <f>G16</f>
        <v>68</v>
      </c>
      <c r="H133" s="25">
        <f t="shared" ref="H133:P133" si="357">H16</f>
        <v>84</v>
      </c>
      <c r="I133" s="25">
        <f t="shared" si="357"/>
        <v>98</v>
      </c>
      <c r="J133" s="25">
        <f t="shared" si="357"/>
        <v>205</v>
      </c>
      <c r="K133" s="25">
        <f t="shared" si="357"/>
        <v>378</v>
      </c>
      <c r="L133" s="25">
        <f t="shared" si="357"/>
        <v>323</v>
      </c>
      <c r="M133" s="25">
        <f t="shared" si="357"/>
        <v>290</v>
      </c>
      <c r="N133" s="25">
        <f t="shared" si="357"/>
        <v>368</v>
      </c>
      <c r="O133" s="25">
        <f t="shared" si="357"/>
        <v>504</v>
      </c>
      <c r="P133" s="25">
        <f t="shared" si="357"/>
        <v>669</v>
      </c>
      <c r="Q133" s="25">
        <f t="shared" ref="Q133" si="358">Q16</f>
        <v>663</v>
      </c>
      <c r="R133" s="118">
        <f t="shared" si="245"/>
        <v>0.28921139032137289</v>
      </c>
      <c r="S133" s="128"/>
      <c r="T133" s="25">
        <f t="shared" ref="T133:AC133" si="359">T16</f>
        <v>782.33999999999992</v>
      </c>
      <c r="U133" s="25">
        <f t="shared" si="359"/>
        <v>923.16119999999989</v>
      </c>
      <c r="V133" s="25">
        <f t="shared" si="359"/>
        <v>1089.3302159999998</v>
      </c>
      <c r="W133" s="25">
        <f t="shared" si="359"/>
        <v>1285.4096548799998</v>
      </c>
      <c r="X133" s="25">
        <f t="shared" si="359"/>
        <v>1516.7833927583997</v>
      </c>
      <c r="Y133" s="25">
        <f t="shared" si="359"/>
        <v>1789.8044034549116</v>
      </c>
      <c r="Z133" s="25">
        <f t="shared" si="359"/>
        <v>2111.9691960767955</v>
      </c>
      <c r="AA133" s="25">
        <f t="shared" si="359"/>
        <v>2492.1236513706185</v>
      </c>
      <c r="AB133" s="25">
        <f t="shared" si="359"/>
        <v>2940.7059086173299</v>
      </c>
      <c r="AC133" s="25">
        <f t="shared" si="359"/>
        <v>3470.0329721684493</v>
      </c>
      <c r="AD133" s="118">
        <f t="shared" si="347"/>
        <v>0.17999999999999994</v>
      </c>
      <c r="AE133" s="20"/>
      <c r="AF133" s="20"/>
    </row>
    <row r="134" spans="2:32">
      <c r="B134" s="20" t="s">
        <v>364</v>
      </c>
      <c r="C134" s="20"/>
      <c r="D134" s="20"/>
      <c r="E134" s="20"/>
      <c r="F134" s="20"/>
      <c r="G134" s="119">
        <f t="shared" ref="G134:P134" si="360">G133*365/G25</f>
        <v>137.88888888888889</v>
      </c>
      <c r="H134" s="119">
        <f t="shared" si="360"/>
        <v>124.63414634146342</v>
      </c>
      <c r="I134" s="119">
        <f t="shared" si="360"/>
        <v>88.980099502487562</v>
      </c>
      <c r="J134" s="119">
        <f t="shared" si="360"/>
        <v>120.68548387096774</v>
      </c>
      <c r="K134" s="119">
        <f t="shared" si="360"/>
        <v>118.73493975903614</v>
      </c>
      <c r="L134" s="119">
        <f t="shared" si="360"/>
        <v>91.17942768754834</v>
      </c>
      <c r="M134" s="119">
        <f t="shared" si="360"/>
        <v>69.500984898227188</v>
      </c>
      <c r="N134" s="119">
        <f t="shared" si="360"/>
        <v>74.871794871794876</v>
      </c>
      <c r="O134" s="119">
        <f t="shared" si="360"/>
        <v>77.850190435886589</v>
      </c>
      <c r="P134" s="119">
        <f t="shared" si="360"/>
        <v>80.589108910891085</v>
      </c>
      <c r="Q134" s="119">
        <f t="shared" ref="Q134" si="361">Q133*365/Q25</f>
        <v>69.003421727972622</v>
      </c>
      <c r="R134" s="118">
        <f t="shared" si="245"/>
        <v>-5.7930357774083396E-2</v>
      </c>
      <c r="S134" s="128"/>
      <c r="T134" s="119">
        <f t="shared" ref="T134:AC134" si="362">T133*365/T25</f>
        <v>69.003421727972622</v>
      </c>
      <c r="U134" s="119">
        <f t="shared" si="362"/>
        <v>69.003421727972622</v>
      </c>
      <c r="V134" s="119">
        <f t="shared" si="362"/>
        <v>69.003421727972608</v>
      </c>
      <c r="W134" s="119">
        <f t="shared" si="362"/>
        <v>69.003421727972608</v>
      </c>
      <c r="X134" s="119">
        <f t="shared" si="362"/>
        <v>69.003421727972608</v>
      </c>
      <c r="Y134" s="119">
        <f t="shared" si="362"/>
        <v>69.003421727972608</v>
      </c>
      <c r="Z134" s="119">
        <f t="shared" si="362"/>
        <v>69.003421727972608</v>
      </c>
      <c r="AA134" s="119">
        <f t="shared" si="362"/>
        <v>69.003421727972608</v>
      </c>
      <c r="AB134" s="119">
        <f t="shared" si="362"/>
        <v>69.003421727972622</v>
      </c>
      <c r="AC134" s="119">
        <f t="shared" si="362"/>
        <v>69.003421727972608</v>
      </c>
      <c r="AD134" s="118">
        <f t="shared" si="347"/>
        <v>0</v>
      </c>
      <c r="AE134" s="20"/>
      <c r="AF134" s="20"/>
    </row>
    <row r="135" spans="2:32">
      <c r="B135" s="20" t="s">
        <v>367</v>
      </c>
      <c r="C135" s="20"/>
      <c r="D135" s="20"/>
      <c r="E135" s="20"/>
      <c r="F135" s="20"/>
      <c r="G135" s="133">
        <f>G80/G29</f>
        <v>108.16125860373648</v>
      </c>
      <c r="H135" s="133">
        <f t="shared" ref="H135:P135" si="363">H80/H29</f>
        <v>151.70670037926675</v>
      </c>
      <c r="I135" s="133">
        <f t="shared" si="363"/>
        <v>46.902654867256643</v>
      </c>
      <c r="J135" s="133">
        <f t="shared" si="363"/>
        <v>16.460176991150444</v>
      </c>
      <c r="K135" s="133">
        <f t="shared" si="363"/>
        <v>2.1323960164030464</v>
      </c>
      <c r="L135" s="133">
        <f t="shared" si="363"/>
        <v>1.1598081855693099</v>
      </c>
      <c r="M135" s="133">
        <f t="shared" si="363"/>
        <v>4.2886416861826699</v>
      </c>
      <c r="N135" s="133">
        <f t="shared" si="363"/>
        <v>10.070257611241219</v>
      </c>
      <c r="O135" s="133">
        <f t="shared" si="363"/>
        <v>20.843091334894616</v>
      </c>
      <c r="P135" s="133">
        <f t="shared" si="363"/>
        <v>26.463700234192039</v>
      </c>
      <c r="Q135" s="133">
        <f t="shared" ref="Q135" si="364">Q80/Q29</f>
        <v>45.537340619307841</v>
      </c>
      <c r="R135" s="118">
        <f t="shared" si="245"/>
        <v>-0.14480664999152548</v>
      </c>
      <c r="S135" s="128"/>
      <c r="T135" s="133">
        <f t="shared" ref="T135:AC135" si="365">T80/T29</f>
        <v>45.08647586070083</v>
      </c>
      <c r="U135" s="133">
        <f t="shared" si="365"/>
        <v>44.64007510960478</v>
      </c>
      <c r="V135" s="133">
        <f t="shared" si="365"/>
        <v>44.198094167925518</v>
      </c>
      <c r="W135" s="133">
        <f t="shared" si="365"/>
        <v>43.760489275173782</v>
      </c>
      <c r="X135" s="133">
        <f t="shared" si="365"/>
        <v>43.327217104132465</v>
      </c>
      <c r="Y135" s="133">
        <f t="shared" si="365"/>
        <v>42.898234756566801</v>
      </c>
      <c r="Z135" s="133">
        <f t="shared" si="365"/>
        <v>42.473499758977027</v>
      </c>
      <c r="AA135" s="133">
        <f t="shared" si="365"/>
        <v>42.052970058393093</v>
      </c>
      <c r="AB135" s="133">
        <f t="shared" si="365"/>
        <v>41.636604018210988</v>
      </c>
      <c r="AC135" s="133">
        <f t="shared" si="365"/>
        <v>41.224360414070283</v>
      </c>
      <c r="AD135" s="118">
        <f t="shared" si="347"/>
        <v>-9.9009900990099098E-3</v>
      </c>
      <c r="AE135" s="20"/>
      <c r="AF135" s="20"/>
    </row>
    <row r="136" spans="2:3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6"/>
      <c r="AE136" s="20"/>
      <c r="AF136" s="20"/>
    </row>
    <row r="137" spans="2:32">
      <c r="B137" s="20" t="s">
        <v>374</v>
      </c>
      <c r="C137" s="20"/>
      <c r="D137" s="20"/>
      <c r="E137" s="20"/>
      <c r="F137" s="20"/>
      <c r="G137" s="179">
        <f>G25/G14</f>
        <v>5.806451612903226</v>
      </c>
      <c r="H137" s="179">
        <f t="shared" ref="H137:P137" si="366">H25/H14</f>
        <v>5.5909090909090908</v>
      </c>
      <c r="I137" s="179">
        <f t="shared" si="366"/>
        <v>7.0526315789473681</v>
      </c>
      <c r="J137" s="179">
        <f t="shared" si="366"/>
        <v>6.7391304347826084</v>
      </c>
      <c r="K137" s="179">
        <f t="shared" si="366"/>
        <v>5.9896907216494846</v>
      </c>
      <c r="L137" s="179">
        <f t="shared" si="366"/>
        <v>8.0310559006211175</v>
      </c>
      <c r="M137" s="179">
        <f t="shared" si="366"/>
        <v>6.9862385321100922</v>
      </c>
      <c r="N137" s="179">
        <f t="shared" si="366"/>
        <v>6.2947368421052632</v>
      </c>
      <c r="O137" s="179">
        <f t="shared" si="366"/>
        <v>8.8834586466165408</v>
      </c>
      <c r="P137" s="179">
        <f t="shared" si="366"/>
        <v>10.341296928327646</v>
      </c>
      <c r="Q137" s="179">
        <f t="shared" ref="Q137" si="367">Q25/Q14</f>
        <v>10.468656716417911</v>
      </c>
      <c r="R137" s="118">
        <f t="shared" si="245"/>
        <v>6.623166831889149E-2</v>
      </c>
      <c r="S137" s="128"/>
      <c r="T137" s="20">
        <f t="shared" ref="T137" si="368">T25/T14</f>
        <v>10.468656716417913</v>
      </c>
      <c r="U137" s="20">
        <f t="shared" ref="U137:AC137" si="369">U25/U14</f>
        <v>10.468656716417915</v>
      </c>
      <c r="V137" s="20">
        <f t="shared" si="369"/>
        <v>10.468656716417915</v>
      </c>
      <c r="W137" s="20">
        <f t="shared" si="369"/>
        <v>10.468656716417915</v>
      </c>
      <c r="X137" s="20">
        <f t="shared" si="369"/>
        <v>10.468656716417915</v>
      </c>
      <c r="Y137" s="20">
        <f t="shared" si="369"/>
        <v>10.468656716417915</v>
      </c>
      <c r="Z137" s="20">
        <f t="shared" si="369"/>
        <v>10.468656716417915</v>
      </c>
      <c r="AA137" s="20">
        <f t="shared" si="369"/>
        <v>10.468656716417915</v>
      </c>
      <c r="AB137" s="20">
        <f t="shared" si="369"/>
        <v>10.468656716417913</v>
      </c>
      <c r="AC137" s="20">
        <f t="shared" si="369"/>
        <v>10.468656716417913</v>
      </c>
      <c r="AD137" s="118">
        <f t="shared" si="347"/>
        <v>0</v>
      </c>
      <c r="AE137" s="20"/>
      <c r="AF137" s="20"/>
    </row>
    <row r="138" spans="2:32">
      <c r="B138" s="20" t="s">
        <v>375</v>
      </c>
      <c r="C138" s="20"/>
      <c r="D138" s="20"/>
      <c r="E138" s="20"/>
      <c r="F138" s="20"/>
      <c r="G138" s="179">
        <f>G27/G14</f>
        <v>5.032258064516129</v>
      </c>
      <c r="H138" s="179">
        <f t="shared" ref="H138:P138" si="370">H27/H14</f>
        <v>5</v>
      </c>
      <c r="I138" s="179">
        <f t="shared" si="370"/>
        <v>6.1052631578947372</v>
      </c>
      <c r="J138" s="179">
        <f t="shared" si="370"/>
        <v>5.7282608695652177</v>
      </c>
      <c r="K138" s="179">
        <f t="shared" si="370"/>
        <v>5.036082474226804</v>
      </c>
      <c r="L138" s="179">
        <f t="shared" si="370"/>
        <v>6.9192546583850936</v>
      </c>
      <c r="M138" s="179">
        <f t="shared" si="370"/>
        <v>5.5779816513761471</v>
      </c>
      <c r="N138" s="179">
        <f t="shared" si="370"/>
        <v>5.3684210526315788</v>
      </c>
      <c r="O138" s="179">
        <f t="shared" si="370"/>
        <v>7.503759398496241</v>
      </c>
      <c r="P138" s="179">
        <f t="shared" si="370"/>
        <v>8.6723549488054612</v>
      </c>
      <c r="Q138" s="179">
        <f t="shared" ref="Q138" si="371">Q27/Q14</f>
        <v>8.6716417910447756</v>
      </c>
      <c r="R138" s="118">
        <f t="shared" si="245"/>
        <v>6.2340634024101949E-2</v>
      </c>
      <c r="S138" s="128"/>
      <c r="T138" s="20">
        <f t="shared" ref="T138:AC138" si="372">T27/T14</f>
        <v>8.6716417910447756</v>
      </c>
      <c r="U138" s="20">
        <f t="shared" si="372"/>
        <v>8.6716417910447774</v>
      </c>
      <c r="V138" s="20">
        <f t="shared" si="372"/>
        <v>8.6716417910447774</v>
      </c>
      <c r="W138" s="20">
        <f t="shared" si="372"/>
        <v>8.6716417910447756</v>
      </c>
      <c r="X138" s="20">
        <f t="shared" si="372"/>
        <v>8.6716417910447756</v>
      </c>
      <c r="Y138" s="20">
        <f t="shared" si="372"/>
        <v>8.6716417910447756</v>
      </c>
      <c r="Z138" s="20">
        <f t="shared" si="372"/>
        <v>8.6716417910447756</v>
      </c>
      <c r="AA138" s="20">
        <f t="shared" si="372"/>
        <v>8.6716417910447738</v>
      </c>
      <c r="AB138" s="20">
        <f t="shared" si="372"/>
        <v>8.6716417910447738</v>
      </c>
      <c r="AC138" s="20">
        <f t="shared" si="372"/>
        <v>8.6716417910447738</v>
      </c>
      <c r="AD138" s="118">
        <f t="shared" si="347"/>
        <v>0</v>
      </c>
      <c r="AE138" s="20"/>
      <c r="AF138" s="20"/>
    </row>
    <row r="139" spans="2:3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6"/>
      <c r="AE139" s="20"/>
      <c r="AF139" s="20"/>
    </row>
    <row r="140" spans="2:3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59">
        <f>AVERAGE(G54:Q54)</f>
        <v>18.003426581753033</v>
      </c>
      <c r="S141" s="23"/>
      <c r="T141" s="194" t="s">
        <v>429</v>
      </c>
      <c r="U141" s="108" t="s">
        <v>430</v>
      </c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39">
        <f>T142+U142</f>
        <v>594.83220266622368</v>
      </c>
      <c r="T142" s="133">
        <f>PV($C$1, ($AC$3-$T$3), 0, -AC54)</f>
        <v>31.306958035064408</v>
      </c>
      <c r="U142" s="133">
        <f>PV($C$1, ($AC$3-$T$3), 0, -AF54)</f>
        <v>563.52524463115924</v>
      </c>
      <c r="V142" s="20"/>
      <c r="W142" s="20"/>
      <c r="X142" s="20"/>
      <c r="Y142" s="20"/>
      <c r="Z142" s="20"/>
      <c r="AA142" s="20"/>
      <c r="AB142" s="20"/>
      <c r="AC142" s="20"/>
      <c r="AD142" s="136"/>
      <c r="AE142" s="20"/>
      <c r="AF142" s="20"/>
    </row>
    <row r="143" spans="2:3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39">
        <f t="shared" ref="S143:S161" si="373">T143+U143</f>
        <v>2207.5244142544875</v>
      </c>
      <c r="T143" s="133">
        <f>PV($C$1, ($AC$3-$T$3), 0, -AC56)</f>
        <v>116.18549548707828</v>
      </c>
      <c r="U143" s="133">
        <f>PV($C$1, ($AC$3-$T$3), 0, -AF56)</f>
        <v>2091.3389187674093</v>
      </c>
      <c r="V143" s="20"/>
      <c r="W143" s="20"/>
      <c r="X143" s="20"/>
      <c r="Y143" s="20"/>
      <c r="Z143" s="20"/>
      <c r="AA143" s="20"/>
      <c r="AB143" s="20"/>
      <c r="AC143" s="20"/>
      <c r="AD143" s="136"/>
      <c r="AE143" s="20"/>
      <c r="AF143" s="20"/>
    </row>
    <row r="144" spans="2:3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39">
        <f t="shared" si="373"/>
        <v>2179.9708789811198</v>
      </c>
      <c r="T144" s="133">
        <f>PV($C$1, ($AC$3-$T$3), 0, -AC57)</f>
        <v>114.73530942005894</v>
      </c>
      <c r="U144" s="133">
        <f>PV($C$1, ($AC$3-$T$3), 0, -AF57)</f>
        <v>2065.2355695610609</v>
      </c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39">
        <f t="shared" si="373"/>
        <v>136.14688017428554</v>
      </c>
      <c r="T145" s="133">
        <f>PV($C$1, ($AC$3-$T$3), 0, -AC58)</f>
        <v>7.1656252723308187</v>
      </c>
      <c r="U145" s="133">
        <f>PV($C$1, ($AC$3-$T$3), 0, -AF58)</f>
        <v>128.98125490195471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 t="shared" si="373"/>
        <v>478.13487680255037</v>
      </c>
      <c r="T146" s="133">
        <f>PV($C$1, ($AC$3-$T$3), 0, -AC64)</f>
        <v>25.164993515923708</v>
      </c>
      <c r="U146" s="133">
        <f>PV($C$1, ($AC$3-$T$3), 0, -AF64)</f>
        <v>452.96988328662667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73"/>
        <v>2071.3775340802013</v>
      </c>
      <c r="T148" s="133">
        <f>PV($C$1, ($AC$3-$T$3), 0, -AC60)</f>
        <v>109.01987021474747</v>
      </c>
      <c r="U148" s="133">
        <f>PV($C$1, ($AC$3-$T$3), 0, -$AF$60)</f>
        <v>1962.357663865454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73"/>
        <v>1466.8205542586718</v>
      </c>
      <c r="T149" s="133">
        <f>PV($C$1, ($AC$3-$T$3), 0, -AC61)</f>
        <v>77.201081803088002</v>
      </c>
      <c r="U149" s="133">
        <f>PV($C$1, ($AC$3-$T$3), 0, -$AF$61)</f>
        <v>1389.6194724555837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73"/>
        <v>3220.5220345988741</v>
      </c>
      <c r="T150" s="133">
        <f>PV($C$1, ($AC$3-$T$3), 0, -AC62)</f>
        <v>169.50115971573021</v>
      </c>
      <c r="U150" s="133">
        <f>PV($C$1, ($AC$3-$T$3), 0, -$AF$62)</f>
        <v>3051.0208748831437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73"/>
        <v>1753.7014803402017</v>
      </c>
      <c r="T152" s="133">
        <f>PV($C$1, ($AC$3-$T$3), 0, -AC67)</f>
        <v>92.300077912642223</v>
      </c>
      <c r="U152" s="133">
        <f>PV($C$1, ($AC$3-$T$3), 0, -AF67)</f>
        <v>1661.4014024275596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73"/>
        <v>460.53766099771087</v>
      </c>
      <c r="T153" s="133">
        <f>PV($C$1, ($AC$3-$T$3), 0, -AC68)</f>
        <v>56.557256613753971</v>
      </c>
      <c r="U153" s="133">
        <f>PV($C$1, ($AC$3-$T$3), 0, -AF68)</f>
        <v>403.98040438395691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ref="S155" si="374">T155+U155</f>
        <v>9020.9448545043269</v>
      </c>
      <c r="T155" s="133">
        <f>PV($C$1, ($AC$3-$T$3), 0, -AC12)</f>
        <v>474.7865712897015</v>
      </c>
      <c r="U155" s="133">
        <f>PV($C$1, ($AC$3-$T$3), 0, -AF12)</f>
        <v>8546.158283214625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>T156+U156</f>
        <v>528.15836384685758</v>
      </c>
      <c r="T156" s="139">
        <f>T155/P42</f>
        <v>27.797808623518826</v>
      </c>
      <c r="U156" s="139">
        <f>U155/P42</f>
        <v>500.36055522333874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/>
      <c r="T157" s="139"/>
      <c r="U157" s="139"/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 t="shared" ref="S159" si="375">T159+U159</f>
        <v>80.064365722237454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41.465999688818378</v>
      </c>
      <c r="U159" s="133">
        <f>PV($C$1, ($AC$3-$T$3), 0, -AF70)</f>
        <v>38.598366033419076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 t="shared" si="373"/>
        <v>-3906.0034269172402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-2022.951601802155</v>
      </c>
      <c r="U161" s="133">
        <f>PV($C$1, ($AC$3-$T$3), 0, -AF72)</f>
        <v>-1883.0518251150854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>
        <f t="shared" ref="S163:S167" si="376">T163+U163</f>
        <v>-207.02891963549564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-107.22199619945934</v>
      </c>
      <c r="U163" s="133">
        <f>PV($C$1, ($AC$3-$T$3), 0, -AF74)</f>
        <v>-99.806923436036314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si="376"/>
        <v>888.63182428159007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460.22979907152603</v>
      </c>
      <c r="U164" s="133">
        <f>PV($C$1, ($AC$3-$T$3), 0, -AF75)</f>
        <v>428.40202521006398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>
        <f t="shared" si="376"/>
        <v>-1095.6607439170855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-567.45179527098526</v>
      </c>
      <c r="U165" s="133">
        <f>PV($C$1, ($AC$3-$T$3), 0, -AF76)</f>
        <v>-528.20894864610023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76"/>
        <v>-168.80819601048123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-87.427166131866926</v>
      </c>
      <c r="U166" s="133">
        <f>PV($C$1, ($AC$3-$T$3), 0, -AF77)</f>
        <v>-81.381029878614299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>
      <c r="B167" s="20" t="s">
        <v>458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si="376"/>
        <v>-375.83711564597672</v>
      </c>
      <c r="T167" s="133">
        <f>T164+T165+T166</f>
        <v>-194.64916233132615</v>
      </c>
      <c r="U167" s="133">
        <f>U164+U165+U166</f>
        <v>-181.18795331465054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/>
      <c r="T168" s="133"/>
      <c r="U168" s="133"/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>
      <c r="B169" s="20" t="s">
        <v>298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>T169+U169</f>
        <v>933.22266851077325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483.32376748371701</v>
      </c>
      <c r="U169" s="133">
        <f>PV($C$1, ($AC$3-$T$3), 0, -AF78)</f>
        <v>449.8989010270563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182">
        <v>41729</v>
      </c>
      <c r="P170" s="20">
        <v>360</v>
      </c>
      <c r="Q170" s="20"/>
      <c r="R170" s="20"/>
      <c r="S170" s="20"/>
      <c r="T170" s="121"/>
      <c r="U170" s="20"/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>
      <c r="B171" s="108" t="s">
        <v>251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3" t="s">
        <v>390</v>
      </c>
      <c r="P171" s="20">
        <v>540</v>
      </c>
      <c r="Q171" s="20"/>
      <c r="R171" s="20">
        <v>200</v>
      </c>
      <c r="S171" s="23" t="s">
        <v>391</v>
      </c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>
      <c r="B172" s="20" t="s">
        <v>204</v>
      </c>
      <c r="C172" s="22">
        <v>0</v>
      </c>
      <c r="D172" s="22">
        <v>0</v>
      </c>
      <c r="E172" s="22">
        <v>0</v>
      </c>
      <c r="F172" s="22">
        <v>47</v>
      </c>
      <c r="G172" s="22">
        <v>48</v>
      </c>
      <c r="H172" s="22">
        <v>86</v>
      </c>
      <c r="I172" s="22">
        <v>225</v>
      </c>
      <c r="J172" s="22">
        <v>308</v>
      </c>
      <c r="K172" s="22">
        <v>165</v>
      </c>
      <c r="L172" s="22">
        <v>31</v>
      </c>
      <c r="M172" s="22">
        <v>145</v>
      </c>
      <c r="N172" s="22">
        <v>163</v>
      </c>
      <c r="O172" s="22">
        <v>272</v>
      </c>
      <c r="P172" s="22">
        <v>238</v>
      </c>
      <c r="Q172" s="22">
        <v>250</v>
      </c>
      <c r="R172" s="118">
        <f t="shared" ref="R172:R177" si="377">((P172/G172)^(1/($H$2-$H$1) ))-1</f>
        <v>0.19470181756409666</v>
      </c>
      <c r="S172" s="31">
        <f>L2-3%</f>
        <v>0.15</v>
      </c>
      <c r="T172" s="119">
        <f t="shared" ref="T172" si="378">P172*(1+$S172)</f>
        <v>273.7</v>
      </c>
      <c r="U172" s="119">
        <f t="shared" ref="U172:AC172" si="379">T172*(1+$S172)</f>
        <v>314.75499999999994</v>
      </c>
      <c r="V172" s="119">
        <f t="shared" si="379"/>
        <v>361.9682499999999</v>
      </c>
      <c r="W172" s="119">
        <f t="shared" si="379"/>
        <v>416.26348749999983</v>
      </c>
      <c r="X172" s="119">
        <f t="shared" si="379"/>
        <v>478.70301062499976</v>
      </c>
      <c r="Y172" s="119">
        <f t="shared" si="379"/>
        <v>550.50846221874974</v>
      </c>
      <c r="Z172" s="119">
        <f t="shared" si="379"/>
        <v>633.08473155156219</v>
      </c>
      <c r="AA172" s="119">
        <f t="shared" si="379"/>
        <v>728.0474412842965</v>
      </c>
      <c r="AB172" s="119">
        <f t="shared" si="379"/>
        <v>837.25455747694093</v>
      </c>
      <c r="AC172" s="119">
        <f t="shared" si="379"/>
        <v>962.84274109848195</v>
      </c>
      <c r="AD172" s="137">
        <f t="shared" ref="AD172:AD177" si="380">((AC172/G172)^(1/($AC$3-$H$1) ))-1</f>
        <v>0.16175809201518887</v>
      </c>
      <c r="AE172" s="31">
        <v>0.08</v>
      </c>
      <c r="AF172" s="127">
        <f t="shared" ref="AF172:AF180" si="381">(AC172*(1+AD172))/($C$1-AE172)</f>
        <v>18643.172430154111</v>
      </c>
    </row>
    <row r="173" spans="2:32">
      <c r="B173" s="20" t="s">
        <v>361</v>
      </c>
      <c r="C173" s="25" t="e">
        <f t="shared" ref="C173:P173" si="382">C172/C50</f>
        <v>#DIV/0!</v>
      </c>
      <c r="D173" s="25" t="e">
        <f t="shared" si="382"/>
        <v>#DIV/0!</v>
      </c>
      <c r="E173" s="25" t="e">
        <f t="shared" si="382"/>
        <v>#DIV/0!</v>
      </c>
      <c r="F173" s="25" t="e">
        <f t="shared" si="382"/>
        <v>#DIV/0!</v>
      </c>
      <c r="G173" s="25">
        <f t="shared" si="382"/>
        <v>0.30133333333333334</v>
      </c>
      <c r="H173" s="25">
        <f t="shared" si="382"/>
        <v>0.39504065040650405</v>
      </c>
      <c r="I173" s="25">
        <f t="shared" si="382"/>
        <v>0.63246268656716409</v>
      </c>
      <c r="J173" s="25">
        <f t="shared" si="382"/>
        <v>0.5613548387096774</v>
      </c>
      <c r="K173" s="25">
        <f t="shared" si="382"/>
        <v>0.80796041308089506</v>
      </c>
      <c r="L173" s="25">
        <f t="shared" si="382"/>
        <v>0.20474864655839131</v>
      </c>
      <c r="M173" s="25">
        <f t="shared" si="382"/>
        <v>0.81306631648063032</v>
      </c>
      <c r="N173" s="25">
        <f t="shared" si="382"/>
        <v>0.77593088071348937</v>
      </c>
      <c r="O173" s="25">
        <f t="shared" si="382"/>
        <v>0.98302158273381279</v>
      </c>
      <c r="P173" s="25">
        <f t="shared" si="382"/>
        <v>1.3415973597359734</v>
      </c>
      <c r="Q173" s="25">
        <f t="shared" ref="Q173" si="383">Q172/Q50</f>
        <v>1.217564870259481</v>
      </c>
      <c r="R173" s="118">
        <f t="shared" ref="R173" si="384">((P173/G173)^(1/($H$2-$H$1) ))-1</f>
        <v>0.18049429070862266</v>
      </c>
      <c r="S173" s="128"/>
      <c r="T173" s="25">
        <f t="shared" ref="T173:AC173" si="385">T172/T50</f>
        <v>1.140949084881085</v>
      </c>
      <c r="U173" s="25">
        <f t="shared" si="385"/>
        <v>1.1230613238045593</v>
      </c>
      <c r="V173" s="25">
        <f t="shared" si="385"/>
        <v>1.1054540064398268</v>
      </c>
      <c r="W173" s="25">
        <f t="shared" si="385"/>
        <v>1.0881227359998802</v>
      </c>
      <c r="X173" s="25">
        <f t="shared" si="385"/>
        <v>1.0710631846303906</v>
      </c>
      <c r="Y173" s="25">
        <f t="shared" si="385"/>
        <v>1.0542710923289818</v>
      </c>
      <c r="Z173" s="25">
        <f t="shared" si="385"/>
        <v>1.0377422658814512</v>
      </c>
      <c r="AA173" s="25">
        <f t="shared" si="385"/>
        <v>1.0214725778146658</v>
      </c>
      <c r="AB173" s="25">
        <f t="shared" si="385"/>
        <v>1.0054579653658766</v>
      </c>
      <c r="AC173" s="25">
        <f t="shared" si="385"/>
        <v>0.98969442946819108</v>
      </c>
      <c r="AD173" s="137">
        <f t="shared" ref="AD173" si="386">((AC173/G173)^(1/($AC$3-$H$1) ))-1</f>
        <v>6.1262204115596353E-2</v>
      </c>
      <c r="AE173" s="31">
        <v>0.08</v>
      </c>
      <c r="AF173" s="127">
        <f t="shared" ref="AF173" si="387">(AC173*(1+AD173))/($C$1-AE173)</f>
        <v>17.505421526972331</v>
      </c>
    </row>
    <row r="174" spans="2:32">
      <c r="B174" s="20" t="s">
        <v>389</v>
      </c>
      <c r="C174" s="25" t="e">
        <f t="shared" ref="C174:P174" si="388">C172/C54</f>
        <v>#DIV/0!</v>
      </c>
      <c r="D174" s="25" t="e">
        <f t="shared" si="388"/>
        <v>#DIV/0!</v>
      </c>
      <c r="E174" s="25" t="e">
        <f t="shared" si="388"/>
        <v>#DIV/0!</v>
      </c>
      <c r="F174" s="25" t="e">
        <f t="shared" si="388"/>
        <v>#DIV/0!</v>
      </c>
      <c r="G174" s="25">
        <f t="shared" si="388"/>
        <v>54.239999999999995</v>
      </c>
      <c r="H174" s="25">
        <f t="shared" si="388"/>
        <v>10.797777777777776</v>
      </c>
      <c r="I174" s="25">
        <f t="shared" si="388"/>
        <v>10.59375</v>
      </c>
      <c r="J174" s="25">
        <f t="shared" si="388"/>
        <v>7.4051063829787225</v>
      </c>
      <c r="K174" s="25">
        <f t="shared" si="388"/>
        <v>9.9877659574468094</v>
      </c>
      <c r="L174" s="25">
        <f t="shared" si="388"/>
        <v>3.2683950617283948</v>
      </c>
      <c r="M174" s="25">
        <f t="shared" si="388"/>
        <v>7.4149700598802379</v>
      </c>
      <c r="N174" s="25">
        <f t="shared" si="388"/>
        <v>9.4055405405405388</v>
      </c>
      <c r="O174" s="25">
        <f t="shared" si="388"/>
        <v>10.804093023255813</v>
      </c>
      <c r="P174" s="25">
        <f t="shared" si="388"/>
        <v>14.163902439024389</v>
      </c>
      <c r="Q174" s="25">
        <f t="shared" ref="Q174" si="389">Q172/Q54</f>
        <v>11.634877384196185</v>
      </c>
      <c r="R174" s="118">
        <f t="shared" si="377"/>
        <v>-0.13859571596965392</v>
      </c>
      <c r="S174" s="128"/>
      <c r="T174" s="119">
        <f t="shared" ref="T174:AC174" si="390">T172/T54</f>
        <v>10.902747794762849</v>
      </c>
      <c r="U174" s="119">
        <f t="shared" si="390"/>
        <v>10.731814884421228</v>
      </c>
      <c r="V174" s="119">
        <f t="shared" si="390"/>
        <v>10.563561854453607</v>
      </c>
      <c r="W174" s="119">
        <f t="shared" si="390"/>
        <v>10.397946689786325</v>
      </c>
      <c r="X174" s="119">
        <f t="shared" si="390"/>
        <v>10.234928034056624</v>
      </c>
      <c r="Y174" s="119">
        <f t="shared" si="390"/>
        <v>10.074465179285397</v>
      </c>
      <c r="Z174" s="119">
        <f t="shared" si="390"/>
        <v>9.9165180557118564</v>
      </c>
      <c r="AA174" s="119">
        <f t="shared" si="390"/>
        <v>9.7610472217875603</v>
      </c>
      <c r="AB174" s="119">
        <f t="shared" si="390"/>
        <v>9.6080138543273303</v>
      </c>
      <c r="AC174" s="119">
        <f t="shared" si="390"/>
        <v>9.4573797388145717</v>
      </c>
      <c r="AD174" s="137">
        <f t="shared" si="380"/>
        <v>-8.3626424658676868E-2</v>
      </c>
      <c r="AE174" s="31">
        <v>0.08</v>
      </c>
      <c r="AF174" s="127">
        <f t="shared" si="381"/>
        <v>144.44154807696827</v>
      </c>
    </row>
    <row r="175" spans="2:32">
      <c r="B175" s="20" t="s">
        <v>258</v>
      </c>
      <c r="C175" s="25" t="e">
        <f t="shared" ref="C175:P175" si="391">C172/C57</f>
        <v>#DIV/0!</v>
      </c>
      <c r="D175" s="25" t="e">
        <f t="shared" si="391"/>
        <v>#DIV/0!</v>
      </c>
      <c r="E175" s="25" t="e">
        <f t="shared" si="391"/>
        <v>#DIV/0!</v>
      </c>
      <c r="F175" s="25" t="e">
        <f t="shared" si="391"/>
        <v>#DIV/0!</v>
      </c>
      <c r="G175" s="25">
        <f t="shared" si="391"/>
        <v>0.33276073619631902</v>
      </c>
      <c r="H175" s="25">
        <f t="shared" si="391"/>
        <v>0.57502958579881647</v>
      </c>
      <c r="I175" s="25">
        <f t="shared" si="391"/>
        <v>1.338157894736842</v>
      </c>
      <c r="J175" s="25">
        <f t="shared" si="391"/>
        <v>1.5001724137931034</v>
      </c>
      <c r="K175" s="25">
        <f t="shared" si="391"/>
        <v>2.9156832298136646</v>
      </c>
      <c r="L175" s="25">
        <f t="shared" si="391"/>
        <v>0.68231958762886591</v>
      </c>
      <c r="M175" s="25">
        <f t="shared" si="391"/>
        <v>2.3497153700189752</v>
      </c>
      <c r="N175" s="25">
        <f t="shared" si="391"/>
        <v>2.2165923566878978</v>
      </c>
      <c r="O175" s="25">
        <f t="shared" si="391"/>
        <v>2.8819851116625306</v>
      </c>
      <c r="P175" s="25">
        <f t="shared" si="391"/>
        <v>3.9011900191938578</v>
      </c>
      <c r="Q175" s="25">
        <f t="shared" ref="Q175" si="392">Q172/Q57</f>
        <v>3.1747211895910779</v>
      </c>
      <c r="R175" s="118">
        <f t="shared" si="377"/>
        <v>0.31457389307259143</v>
      </c>
      <c r="S175" s="128"/>
      <c r="T175" s="119">
        <f t="shared" ref="T175:AC175" si="393">T172/T57</f>
        <v>2.9749505135152159</v>
      </c>
      <c r="U175" s="119">
        <f t="shared" si="393"/>
        <v>2.9283093402101046</v>
      </c>
      <c r="V175" s="119">
        <f t="shared" si="393"/>
        <v>2.8823994056390139</v>
      </c>
      <c r="W175" s="119">
        <f t="shared" si="393"/>
        <v>2.8372092454658593</v>
      </c>
      <c r="X175" s="119">
        <f t="shared" si="393"/>
        <v>2.7927275750920302</v>
      </c>
      <c r="Y175" s="119">
        <f t="shared" si="393"/>
        <v>2.7489432868384687</v>
      </c>
      <c r="Z175" s="119">
        <f t="shared" si="393"/>
        <v>2.7058454471719333</v>
      </c>
      <c r="AA175" s="119">
        <f t="shared" si="393"/>
        <v>2.6634232939747471</v>
      </c>
      <c r="AB175" s="119">
        <f t="shared" si="393"/>
        <v>2.6216662338573462</v>
      </c>
      <c r="AC175" s="119">
        <f t="shared" si="393"/>
        <v>2.5805638395129722</v>
      </c>
      <c r="AD175" s="137">
        <f t="shared" si="380"/>
        <v>0.10784531783116069</v>
      </c>
      <c r="AE175" s="31">
        <v>0.08</v>
      </c>
      <c r="AF175" s="127">
        <f t="shared" si="381"/>
        <v>47.647759449480809</v>
      </c>
    </row>
    <row r="176" spans="2:32">
      <c r="B176" s="20" t="s">
        <v>259</v>
      </c>
      <c r="C176" s="25" t="e">
        <f t="shared" ref="C176:P176" si="394">C172/C66</f>
        <v>#DIV/0!</v>
      </c>
      <c r="D176" s="25" t="e">
        <f t="shared" si="394"/>
        <v>#DIV/0!</v>
      </c>
      <c r="E176" s="25" t="e">
        <f t="shared" si="394"/>
        <v>#DIV/0!</v>
      </c>
      <c r="F176" s="25" t="e">
        <f t="shared" si="394"/>
        <v>#DIV/0!</v>
      </c>
      <c r="G176" s="25">
        <f t="shared" si="394"/>
        <v>1.5066666666666666</v>
      </c>
      <c r="H176" s="25">
        <f t="shared" si="394"/>
        <v>2.3702439024390243</v>
      </c>
      <c r="I176" s="25">
        <f t="shared" si="394"/>
        <v>4.7971698113207539</v>
      </c>
      <c r="J176" s="25">
        <f t="shared" si="394"/>
        <v>8.2866666666666653</v>
      </c>
      <c r="K176" s="25">
        <f t="shared" si="394"/>
        <v>13.806617647058825</v>
      </c>
      <c r="L176" s="25">
        <f t="shared" si="394"/>
        <v>2.2627350427350423</v>
      </c>
      <c r="M176" s="25">
        <f t="shared" si="394"/>
        <v>15.875641025641025</v>
      </c>
      <c r="N176" s="25">
        <f t="shared" si="394"/>
        <v>24.857499999999995</v>
      </c>
      <c r="O176" s="25">
        <f t="shared" si="394"/>
        <v>9.4811428571428564</v>
      </c>
      <c r="P176" s="25">
        <f t="shared" si="394"/>
        <v>9.5199999999999978</v>
      </c>
      <c r="Q176" s="25">
        <f t="shared" ref="Q176" si="395">Q172/Q66</f>
        <v>13.72990353697749</v>
      </c>
      <c r="R176" s="118">
        <f t="shared" si="377"/>
        <v>0.22731983224211749</v>
      </c>
      <c r="S176" s="128"/>
      <c r="T176" s="119">
        <f t="shared" ref="T176:AC176" si="396">T172/T66</f>
        <v>12.865943539157447</v>
      </c>
      <c r="U176" s="119">
        <f t="shared" si="396"/>
        <v>12.664231712484217</v>
      </c>
      <c r="V176" s="119">
        <f t="shared" si="396"/>
        <v>12.465682316991877</v>
      </c>
      <c r="W176" s="119">
        <f t="shared" si="396"/>
        <v>12.270245772191579</v>
      </c>
      <c r="X176" s="119">
        <f t="shared" si="396"/>
        <v>12.077873274915696</v>
      </c>
      <c r="Y176" s="119">
        <f t="shared" si="396"/>
        <v>11.888516787131</v>
      </c>
      <c r="Z176" s="119">
        <f t="shared" si="396"/>
        <v>11.702129023942929</v>
      </c>
      <c r="AA176" s="119">
        <f t="shared" si="396"/>
        <v>11.518663441787893</v>
      </c>
      <c r="AB176" s="119">
        <f t="shared" si="396"/>
        <v>11.33807422681071</v>
      </c>
      <c r="AC176" s="119">
        <f t="shared" si="396"/>
        <v>11.160316283424269</v>
      </c>
      <c r="AD176" s="137">
        <f t="shared" si="380"/>
        <v>0.105307116247642</v>
      </c>
      <c r="AE176" s="31">
        <v>0.08</v>
      </c>
      <c r="AF176" s="127">
        <f t="shared" si="381"/>
        <v>205.59295012738798</v>
      </c>
    </row>
    <row r="177" spans="2:46">
      <c r="B177" s="20" t="s">
        <v>260</v>
      </c>
      <c r="C177" s="25" t="e">
        <f t="shared" ref="C177:P177" si="397">C172/C68</f>
        <v>#DIV/0!</v>
      </c>
      <c r="D177" s="25" t="e">
        <f t="shared" si="397"/>
        <v>#DIV/0!</v>
      </c>
      <c r="E177" s="25" t="e">
        <f t="shared" si="397"/>
        <v>#DIV/0!</v>
      </c>
      <c r="F177" s="25" t="e">
        <f t="shared" si="397"/>
        <v>#DIV/0!</v>
      </c>
      <c r="G177" s="25">
        <f t="shared" si="397"/>
        <v>0.79764705882352938</v>
      </c>
      <c r="H177" s="25">
        <f t="shared" si="397"/>
        <v>1.1569047619047619</v>
      </c>
      <c r="I177" s="25">
        <f t="shared" si="397"/>
        <v>2.5943877551020407</v>
      </c>
      <c r="J177" s="25">
        <f t="shared" si="397"/>
        <v>1.6977560975609756</v>
      </c>
      <c r="K177" s="25">
        <f t="shared" si="397"/>
        <v>2.4837301587301588</v>
      </c>
      <c r="L177" s="25">
        <f t="shared" si="397"/>
        <v>0.81962848297213609</v>
      </c>
      <c r="M177" s="25">
        <f t="shared" si="397"/>
        <v>4.2699999999999996</v>
      </c>
      <c r="N177" s="25">
        <f t="shared" si="397"/>
        <v>3.7826630434782604</v>
      </c>
      <c r="O177" s="25">
        <f t="shared" si="397"/>
        <v>4.6088888888888881</v>
      </c>
      <c r="P177" s="25">
        <f t="shared" si="397"/>
        <v>6.076292974588938</v>
      </c>
      <c r="Q177" s="25">
        <f t="shared" ref="Q177" si="398">Q172/Q68</f>
        <v>6.4404223227752633</v>
      </c>
      <c r="R177" s="118">
        <f t="shared" si="377"/>
        <v>0.25308601168737122</v>
      </c>
      <c r="S177" s="128"/>
      <c r="T177" s="119">
        <f t="shared" ref="T177:AC177" si="399">T172/T68</f>
        <v>6.0351560191221205</v>
      </c>
      <c r="U177" s="119">
        <f t="shared" si="399"/>
        <v>5.9405370476358836</v>
      </c>
      <c r="V177" s="119">
        <f t="shared" si="399"/>
        <v>5.8474015091771854</v>
      </c>
      <c r="W177" s="119">
        <f t="shared" si="399"/>
        <v>5.7557261465333047</v>
      </c>
      <c r="X177" s="119">
        <f t="shared" si="399"/>
        <v>5.665488067117316</v>
      </c>
      <c r="Y177" s="119">
        <f t="shared" si="399"/>
        <v>5.5766647372514937</v>
      </c>
      <c r="Z177" s="119">
        <f t="shared" si="399"/>
        <v>5.4892339765403477</v>
      </c>
      <c r="AA177" s="119">
        <f t="shared" si="399"/>
        <v>5.4031739523318763</v>
      </c>
      <c r="AB177" s="119">
        <f t="shared" si="399"/>
        <v>5.3184631742656565</v>
      </c>
      <c r="AC177" s="119">
        <f t="shared" si="399"/>
        <v>5.235080488906406</v>
      </c>
      <c r="AD177" s="137">
        <f t="shared" si="380"/>
        <v>9.8640563388215918E-2</v>
      </c>
      <c r="AE177" s="31">
        <v>0.08</v>
      </c>
      <c r="AF177" s="127">
        <f t="shared" si="381"/>
        <v>95.857862961913156</v>
      </c>
    </row>
    <row r="178" spans="2:46">
      <c r="B178" s="20" t="s">
        <v>281</v>
      </c>
      <c r="C178" s="25" t="e">
        <f>C174/C123</f>
        <v>#DIV/0!</v>
      </c>
      <c r="D178" s="25" t="e">
        <f>D174/D123</f>
        <v>#DIV/0!</v>
      </c>
      <c r="E178" s="25" t="e">
        <f>E174/E123</f>
        <v>#DIV/0!</v>
      </c>
      <c r="F178" s="25" t="e">
        <f>F174/F123</f>
        <v>#DIV/0!</v>
      </c>
      <c r="G178" s="181">
        <f t="shared" ref="G178:P178" si="400">G172/G62</f>
        <v>0.26076923076923075</v>
      </c>
      <c r="H178" s="181">
        <f t="shared" si="400"/>
        <v>0.43383928571428565</v>
      </c>
      <c r="I178" s="181">
        <f t="shared" si="400"/>
        <v>1.1249999999999998</v>
      </c>
      <c r="J178" s="181">
        <f t="shared" si="400"/>
        <v>1.3489922480620153</v>
      </c>
      <c r="K178" s="181">
        <f t="shared" si="400"/>
        <v>2.7134393063583815</v>
      </c>
      <c r="L178" s="181">
        <f t="shared" si="400"/>
        <v>0.67708439897698203</v>
      </c>
      <c r="M178" s="181">
        <f t="shared" si="400"/>
        <v>1.6060959792477301</v>
      </c>
      <c r="N178" s="181">
        <f t="shared" si="400"/>
        <v>1.4840298507462686</v>
      </c>
      <c r="O178" s="181">
        <f t="shared" si="400"/>
        <v>2.0094117647058818</v>
      </c>
      <c r="P178" s="181">
        <f t="shared" si="400"/>
        <v>2.363395348837209</v>
      </c>
      <c r="Q178" s="181">
        <f t="shared" ref="Q178" si="401">Q172/Q62</f>
        <v>2.1489682939104178</v>
      </c>
      <c r="R178" s="118">
        <f t="shared" ref="R178:R181" si="402">((P178/G178)^(1/($H$2-$H$1) ))-1</f>
        <v>0.27751041030930268</v>
      </c>
      <c r="S178" s="128"/>
      <c r="T178" s="134">
        <f t="shared" ref="T178:AC178" si="403">T172/T62</f>
        <v>2.0137435534363184</v>
      </c>
      <c r="U178" s="134">
        <f t="shared" si="403"/>
        <v>1.9821721502680381</v>
      </c>
      <c r="V178" s="134">
        <f t="shared" si="403"/>
        <v>1.9510957224884118</v>
      </c>
      <c r="W178" s="134">
        <f t="shared" si="403"/>
        <v>1.9205065098900762</v>
      </c>
      <c r="X178" s="134">
        <f t="shared" si="403"/>
        <v>1.8903968739299348</v>
      </c>
      <c r="Y178" s="134">
        <f t="shared" si="403"/>
        <v>1.8607592958217121</v>
      </c>
      <c r="Z178" s="134">
        <f t="shared" si="403"/>
        <v>1.8315863746584049</v>
      </c>
      <c r="AA178" s="134">
        <f t="shared" si="403"/>
        <v>1.8028708255641843</v>
      </c>
      <c r="AB178" s="134">
        <f t="shared" si="403"/>
        <v>1.7746054778752538</v>
      </c>
      <c r="AC178" s="134">
        <f t="shared" si="403"/>
        <v>1.7467832733492437</v>
      </c>
      <c r="AD178" s="137">
        <f t="shared" ref="AD178" si="404">((AC178/G178)^(1/($AC$3-$H$1) ))-1</f>
        <v>9.9763074902258886E-2</v>
      </c>
      <c r="AE178" s="31">
        <v>0.08</v>
      </c>
      <c r="AF178" s="127">
        <f t="shared" si="381"/>
        <v>32.017462398106616</v>
      </c>
    </row>
    <row r="179" spans="2:46">
      <c r="B179" s="20" t="s">
        <v>371</v>
      </c>
      <c r="C179" s="160" t="e">
        <f t="shared" ref="C179:P179" si="405">C54/C172</f>
        <v>#DIV/0!</v>
      </c>
      <c r="D179" s="160" t="e">
        <f t="shared" si="405"/>
        <v>#DIV/0!</v>
      </c>
      <c r="E179" s="160" t="e">
        <f t="shared" si="405"/>
        <v>#DIV/0!</v>
      </c>
      <c r="F179" s="160">
        <f t="shared" si="405"/>
        <v>0</v>
      </c>
      <c r="G179" s="160">
        <f t="shared" si="405"/>
        <v>1.8436578171091445E-2</v>
      </c>
      <c r="H179" s="160">
        <f t="shared" si="405"/>
        <v>9.2611648487343087E-2</v>
      </c>
      <c r="I179" s="160">
        <f t="shared" si="405"/>
        <v>9.4395280235988199E-2</v>
      </c>
      <c r="J179" s="160">
        <f t="shared" si="405"/>
        <v>0.13504194920124127</v>
      </c>
      <c r="K179" s="160">
        <f t="shared" si="405"/>
        <v>0.1001224902806625</v>
      </c>
      <c r="L179" s="160">
        <f t="shared" si="405"/>
        <v>0.30596056508272268</v>
      </c>
      <c r="M179" s="160">
        <f t="shared" si="405"/>
        <v>0.13486231123314224</v>
      </c>
      <c r="N179" s="160">
        <f t="shared" si="405"/>
        <v>0.10632031148977747</v>
      </c>
      <c r="O179" s="160">
        <f t="shared" si="405"/>
        <v>9.2557514809202379E-2</v>
      </c>
      <c r="P179" s="160">
        <f t="shared" si="405"/>
        <v>7.060201129632182E-2</v>
      </c>
      <c r="Q179" s="160">
        <f t="shared" ref="Q179" si="406">Q54/Q172</f>
        <v>8.5948477751756444E-2</v>
      </c>
      <c r="R179" s="118">
        <f t="shared" si="402"/>
        <v>0.16089508554704546</v>
      </c>
      <c r="S179" s="128"/>
      <c r="T179" s="160">
        <f t="shared" ref="T179:AC179" si="407">T54/T172</f>
        <v>9.1719997456086388E-2</v>
      </c>
      <c r="U179" s="160">
        <f t="shared" si="407"/>
        <v>9.3180884199898367E-2</v>
      </c>
      <c r="V179" s="160">
        <f t="shared" si="407"/>
        <v>9.4665039479879531E-2</v>
      </c>
      <c r="W179" s="160">
        <f t="shared" si="407"/>
        <v>9.6172833909821648E-2</v>
      </c>
      <c r="X179" s="160">
        <f t="shared" si="407"/>
        <v>9.7704644006534266E-2</v>
      </c>
      <c r="Y179" s="160">
        <f t="shared" si="407"/>
        <v>9.9260852283866052E-2</v>
      </c>
      <c r="Z179" s="160">
        <f t="shared" si="407"/>
        <v>0.1008418473482238</v>
      </c>
      <c r="AA179" s="160">
        <f t="shared" si="407"/>
        <v>0.10244802399561263</v>
      </c>
      <c r="AB179" s="160">
        <f t="shared" si="407"/>
        <v>0.10407978331022207</v>
      </c>
      <c r="AC179" s="160">
        <f t="shared" si="407"/>
        <v>0.10573753276458203</v>
      </c>
      <c r="AD179" s="137">
        <f t="shared" ref="AD179:AD181" si="408">((AC179/G179)^(1/($AC$3-$H$1) ))-1</f>
        <v>9.1258005369184048E-2</v>
      </c>
      <c r="AE179" s="31">
        <v>0.08</v>
      </c>
      <c r="AF179" s="127">
        <f t="shared" si="381"/>
        <v>1.9231154849556085</v>
      </c>
    </row>
    <row r="180" spans="2:46">
      <c r="B180" s="20" t="s">
        <v>320</v>
      </c>
      <c r="C180" s="151" t="e">
        <f t="shared" ref="C180:P180" si="409">C44/C172</f>
        <v>#DIV/0!</v>
      </c>
      <c r="D180" s="151" t="e">
        <f t="shared" si="409"/>
        <v>#DIV/0!</v>
      </c>
      <c r="E180" s="151" t="e">
        <f t="shared" si="409"/>
        <v>#DIV/0!</v>
      </c>
      <c r="F180" s="151">
        <f t="shared" si="409"/>
        <v>0</v>
      </c>
      <c r="G180" s="151">
        <f t="shared" si="409"/>
        <v>3.125E-2</v>
      </c>
      <c r="H180" s="151">
        <f t="shared" si="409"/>
        <v>2.3255813953488372E-2</v>
      </c>
      <c r="I180" s="151">
        <f t="shared" si="409"/>
        <v>1.1111111111111112E-2</v>
      </c>
      <c r="J180" s="151">
        <f t="shared" si="409"/>
        <v>1.1363636363636364E-2</v>
      </c>
      <c r="K180" s="151">
        <f t="shared" si="409"/>
        <v>4.242424242424242E-3</v>
      </c>
      <c r="L180" s="151">
        <f t="shared" si="409"/>
        <v>2.5806451612903226E-2</v>
      </c>
      <c r="M180" s="151">
        <f t="shared" si="409"/>
        <v>0.02</v>
      </c>
      <c r="N180" s="151">
        <f t="shared" si="409"/>
        <v>2.8220858895705518E-2</v>
      </c>
      <c r="O180" s="151">
        <f t="shared" si="409"/>
        <v>1.3897058823529412E-2</v>
      </c>
      <c r="P180" s="151">
        <f t="shared" si="409"/>
        <v>1.0588235294117647E-2</v>
      </c>
      <c r="Q180" s="151">
        <f t="shared" ref="Q180" si="410">Q44/Q172</f>
        <v>1.2919999999999999E-2</v>
      </c>
      <c r="R180" s="118">
        <f t="shared" si="402"/>
        <v>-0.11330381437646009</v>
      </c>
      <c r="S180" s="128"/>
      <c r="T180" s="151">
        <f t="shared" ref="T180:AC180" si="411">T44/T172</f>
        <v>1.2745341614906834E-2</v>
      </c>
      <c r="U180" s="151">
        <f t="shared" si="411"/>
        <v>1.1969538212260334E-2</v>
      </c>
      <c r="V180" s="151">
        <f t="shared" si="411"/>
        <v>1.1240957625427098E-2</v>
      </c>
      <c r="W180" s="151">
        <f t="shared" si="411"/>
        <v>1.0556725422140234E-2</v>
      </c>
      <c r="X180" s="151">
        <f t="shared" si="411"/>
        <v>9.9141421355751769E-3</v>
      </c>
      <c r="Y180" s="151">
        <f t="shared" si="411"/>
        <v>9.3106726142792966E-3</v>
      </c>
      <c r="Z180" s="151">
        <f t="shared" si="411"/>
        <v>8.7439360203666449E-3</v>
      </c>
      <c r="AA180" s="151">
        <f t="shared" si="411"/>
        <v>8.2116964365182409E-3</v>
      </c>
      <c r="AB180" s="151">
        <f t="shared" si="411"/>
        <v>7.7118540447301751E-3</v>
      </c>
      <c r="AC180" s="151">
        <f t="shared" si="411"/>
        <v>7.2424368420074695E-3</v>
      </c>
      <c r="AD180" s="137">
        <f t="shared" si="408"/>
        <v>-7.0494990428344506E-2</v>
      </c>
      <c r="AE180" s="31">
        <v>0.08</v>
      </c>
      <c r="AF180" s="127">
        <f t="shared" si="381"/>
        <v>0.11219802210253771</v>
      </c>
    </row>
    <row r="181" spans="2:46">
      <c r="B181" s="20" t="s">
        <v>446</v>
      </c>
      <c r="C181" s="180" t="e">
        <f t="shared" ref="C181:O181" si="412">(C174)/($L$2*100)</f>
        <v>#DIV/0!</v>
      </c>
      <c r="D181" s="180" t="e">
        <f t="shared" si="412"/>
        <v>#DIV/0!</v>
      </c>
      <c r="E181" s="180" t="e">
        <f t="shared" si="412"/>
        <v>#DIV/0!</v>
      </c>
      <c r="F181" s="180" t="e">
        <f t="shared" si="412"/>
        <v>#DIV/0!</v>
      </c>
      <c r="G181" s="180">
        <f t="shared" si="412"/>
        <v>3.0133333333333332</v>
      </c>
      <c r="H181" s="180">
        <f t="shared" si="412"/>
        <v>0.59987654320987649</v>
      </c>
      <c r="I181" s="180">
        <f t="shared" si="412"/>
        <v>0.58854166666666663</v>
      </c>
      <c r="J181" s="180">
        <f t="shared" si="412"/>
        <v>0.41139479905437348</v>
      </c>
      <c r="K181" s="180">
        <f t="shared" si="412"/>
        <v>0.55487588652482278</v>
      </c>
      <c r="L181" s="180">
        <f t="shared" si="412"/>
        <v>0.18157750342935527</v>
      </c>
      <c r="M181" s="180">
        <f t="shared" si="412"/>
        <v>0.41194278110445764</v>
      </c>
      <c r="N181" s="180">
        <f t="shared" si="412"/>
        <v>0.52253003003002996</v>
      </c>
      <c r="O181" s="180">
        <f t="shared" si="412"/>
        <v>0.60022739018087856</v>
      </c>
      <c r="P181" s="180">
        <f>(P174)/($L$2*100)</f>
        <v>0.78688346883468829</v>
      </c>
      <c r="Q181" s="180">
        <f>(Q174)/($L$2*100)</f>
        <v>0.6463820768997881</v>
      </c>
      <c r="R181" s="118">
        <f t="shared" si="402"/>
        <v>-0.13859571596965392</v>
      </c>
      <c r="S181" s="128"/>
      <c r="T181" s="180">
        <f>(T174)/($L$2*100)</f>
        <v>0.60570821082015824</v>
      </c>
      <c r="U181" s="180">
        <f t="shared" ref="U181:AC181" si="413">(U174)/($L$2*100)</f>
        <v>0.59621193802340156</v>
      </c>
      <c r="V181" s="180">
        <f t="shared" si="413"/>
        <v>0.58686454746964478</v>
      </c>
      <c r="W181" s="180">
        <f t="shared" si="413"/>
        <v>0.57766370498812913</v>
      </c>
      <c r="X181" s="180">
        <f t="shared" si="413"/>
        <v>0.56860711300314581</v>
      </c>
      <c r="Y181" s="180">
        <f t="shared" si="413"/>
        <v>0.55969250996029984</v>
      </c>
      <c r="Z181" s="180">
        <f t="shared" si="413"/>
        <v>0.55091766976176981</v>
      </c>
      <c r="AA181" s="180">
        <f t="shared" si="413"/>
        <v>0.54228040121041998</v>
      </c>
      <c r="AB181" s="180">
        <f t="shared" si="413"/>
        <v>0.53377854746262943</v>
      </c>
      <c r="AC181" s="180">
        <f t="shared" si="413"/>
        <v>0.52540998548969842</v>
      </c>
      <c r="AD181" s="137">
        <f t="shared" si="408"/>
        <v>-8.3626424658676868E-2</v>
      </c>
      <c r="AE181" s="31">
        <v>0.08</v>
      </c>
      <c r="AF181" s="180">
        <f>(AF174)/($L$2*100)</f>
        <v>8.0245304487204603</v>
      </c>
    </row>
    <row r="182" spans="2:46">
      <c r="B182" s="20" t="s">
        <v>447</v>
      </c>
      <c r="C182" s="151"/>
      <c r="D182" s="151"/>
      <c r="E182" s="151"/>
      <c r="F182" s="151"/>
      <c r="G182" s="151">
        <f t="shared" ref="G182:P182" si="414">G181-1</f>
        <v>2.0133333333333332</v>
      </c>
      <c r="H182" s="151">
        <f t="shared" si="414"/>
        <v>-0.40012345679012351</v>
      </c>
      <c r="I182" s="151">
        <f t="shared" si="414"/>
        <v>-0.41145833333333337</v>
      </c>
      <c r="J182" s="151">
        <f t="shared" si="414"/>
        <v>-0.58860520094562652</v>
      </c>
      <c r="K182" s="151">
        <f t="shared" si="414"/>
        <v>-0.44512411347517722</v>
      </c>
      <c r="L182" s="151">
        <f t="shared" si="414"/>
        <v>-0.8184224965706447</v>
      </c>
      <c r="M182" s="151">
        <f t="shared" si="414"/>
        <v>-0.58805721889554241</v>
      </c>
      <c r="N182" s="151">
        <f t="shared" si="414"/>
        <v>-0.47746996996997004</v>
      </c>
      <c r="O182" s="151">
        <f t="shared" si="414"/>
        <v>-0.39977260981912144</v>
      </c>
      <c r="P182" s="151">
        <f t="shared" si="414"/>
        <v>-0.21311653116531171</v>
      </c>
      <c r="Q182" s="151">
        <f>Q181-1</f>
        <v>-0.3536179231002119</v>
      </c>
      <c r="R182" s="128"/>
      <c r="S182" s="128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6"/>
      <c r="AE182" s="20"/>
      <c r="AF182" s="127"/>
    </row>
    <row r="183" spans="2:46">
      <c r="B183" s="20"/>
      <c r="C183" s="129"/>
      <c r="D183" s="129"/>
      <c r="E183" s="129"/>
      <c r="F183" s="129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28"/>
      <c r="S183" s="128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6"/>
      <c r="AE183" s="20"/>
      <c r="AF183" s="20"/>
    </row>
    <row r="184" spans="2:46">
      <c r="B184" s="108" t="s">
        <v>301</v>
      </c>
      <c r="C184" s="20"/>
      <c r="D184" s="20"/>
      <c r="E184" s="20"/>
      <c r="F184" s="20"/>
      <c r="G184" s="20"/>
      <c r="H184" s="20"/>
      <c r="I184" s="20"/>
      <c r="J184" s="20"/>
      <c r="K184" s="206" t="s">
        <v>351</v>
      </c>
      <c r="L184" s="207"/>
      <c r="M184" s="20"/>
      <c r="N184" s="20"/>
      <c r="O184" s="20"/>
      <c r="P184" s="108" t="s">
        <v>430</v>
      </c>
      <c r="Q184" s="194" t="s">
        <v>429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6"/>
      <c r="AE184" s="20"/>
      <c r="AF184" s="20"/>
    </row>
    <row r="185" spans="2:46">
      <c r="B185" s="20" t="s">
        <v>299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20" t="s">
        <v>352</v>
      </c>
      <c r="L185" s="22">
        <v>1</v>
      </c>
      <c r="M185" s="20"/>
      <c r="N185" s="20"/>
      <c r="O185" s="20"/>
      <c r="P185" s="128">
        <f>(Q172-S159)/Q172</f>
        <v>0.67974253711105015</v>
      </c>
      <c r="Q185" s="128">
        <f>(Q172-T159)/Q172</f>
        <v>0.83413600124472642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6"/>
      <c r="AE185" s="20"/>
      <c r="AF185" s="20"/>
    </row>
    <row r="186" spans="2:46">
      <c r="B186" s="20" t="s">
        <v>349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1">
        <f t="shared" ref="K186:K191" si="415">$L$185</f>
        <v>1</v>
      </c>
      <c r="L186" s="20"/>
      <c r="M186" s="128">
        <f>(P172-(K186*S150))/P172</f>
        <v>-12.531605187390227</v>
      </c>
      <c r="N186" s="20"/>
      <c r="O186" s="20"/>
      <c r="P186" s="128">
        <f>(Q172-S150)/Q172</f>
        <v>-11.882088138395497</v>
      </c>
      <c r="Q186" s="128">
        <f>(Q172-T150)/Q172</f>
        <v>0.32199536113707916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6"/>
      <c r="AE186" s="20"/>
      <c r="AF186" s="20"/>
    </row>
    <row r="187" spans="2:46">
      <c r="B187" s="20" t="s">
        <v>350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1">
        <f t="shared" si="415"/>
        <v>1</v>
      </c>
      <c r="L187" s="20"/>
      <c r="M187" s="128">
        <f>(P172-(K187*S143))/P172</f>
        <v>-8.2753126649348214</v>
      </c>
      <c r="N187" s="20"/>
      <c r="O187" s="20"/>
      <c r="P187" s="128">
        <f>(Q172-S143)/Q172</f>
        <v>-7.8300976570179497</v>
      </c>
      <c r="Q187" s="128">
        <f>(Q172-T143)/Q172</f>
        <v>0.53525801805168682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6"/>
      <c r="AE187" s="20"/>
      <c r="AF187" s="20"/>
    </row>
    <row r="188" spans="2:46">
      <c r="B188" s="20" t="s">
        <v>460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1">
        <f t="shared" si="415"/>
        <v>1</v>
      </c>
      <c r="L188" s="20"/>
      <c r="M188" s="128"/>
      <c r="N188" s="20"/>
      <c r="O188" s="20"/>
      <c r="P188" s="128">
        <f>(Q172-S163)/Q172</f>
        <v>1.8281156785419825</v>
      </c>
      <c r="Q188" s="128">
        <f>(Q172-T163)/Q172</f>
        <v>1.4288879847978373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6"/>
      <c r="AE188" s="20"/>
      <c r="AF188" s="20"/>
    </row>
    <row r="189" spans="2:46">
      <c r="B189" s="20" t="s">
        <v>461</v>
      </c>
      <c r="C189" s="20" t="s">
        <v>314</v>
      </c>
      <c r="D189" s="20"/>
      <c r="E189" s="20"/>
      <c r="F189" s="20"/>
      <c r="G189" s="20"/>
      <c r="H189" s="20"/>
      <c r="I189" s="20"/>
      <c r="J189" s="20"/>
      <c r="K189" s="171">
        <f t="shared" si="415"/>
        <v>1</v>
      </c>
      <c r="L189" s="20"/>
      <c r="M189" s="128"/>
      <c r="N189" s="20"/>
      <c r="O189" s="20"/>
      <c r="P189" s="128">
        <f>(Q172-S167)/Q172</f>
        <v>2.5033484625839071</v>
      </c>
      <c r="Q189" s="128">
        <f>(Q172-T167)/Q172</f>
        <v>1.7785966493253045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6"/>
      <c r="AE189" s="20"/>
      <c r="AF189" s="20"/>
    </row>
    <row r="190" spans="2:46">
      <c r="B190" s="20" t="s">
        <v>353</v>
      </c>
      <c r="C190" s="20" t="s">
        <v>314</v>
      </c>
      <c r="D190" s="20"/>
      <c r="E190" s="20"/>
      <c r="F190" s="20"/>
      <c r="G190" s="20"/>
      <c r="H190" s="20"/>
      <c r="I190" s="20"/>
      <c r="J190" s="20"/>
      <c r="K190" s="171">
        <f t="shared" si="415"/>
        <v>1</v>
      </c>
      <c r="L190" s="20"/>
      <c r="M190" s="128">
        <f>(P172-(K190*S156))/P172</f>
        <v>-1.2191527892725109</v>
      </c>
      <c r="N190" s="20"/>
      <c r="O190" s="20"/>
      <c r="P190" s="128">
        <f>(Q172-S156)/Q172</f>
        <v>-1.1126334553874304</v>
      </c>
      <c r="Q190" s="128">
        <f>(Q172-T156)/Q172</f>
        <v>0.88880876550592469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46">
      <c r="B191" s="20" t="s">
        <v>399</v>
      </c>
      <c r="C191" s="20" t="s">
        <v>314</v>
      </c>
      <c r="D191" s="20"/>
      <c r="E191" s="20"/>
      <c r="F191" s="20"/>
      <c r="G191" s="20"/>
      <c r="H191" s="20"/>
      <c r="I191" s="20"/>
      <c r="J191" s="20"/>
      <c r="K191" s="171">
        <f t="shared" si="415"/>
        <v>1</v>
      </c>
      <c r="L191" s="20"/>
      <c r="M191" s="128">
        <f>(P172-(K191*S169))/P172</f>
        <v>-2.9211036492049298</v>
      </c>
      <c r="N191" s="20"/>
      <c r="O191" s="20"/>
      <c r="P191" s="128">
        <f>(Q172-S169)/Q172</f>
        <v>-2.7328906740430932</v>
      </c>
      <c r="Q191" s="128">
        <f>(Q172-T169)/Q172</f>
        <v>-0.93329506993486799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46">
      <c r="B192" s="20" t="s">
        <v>300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5">
        <f>Q172/S142</f>
        <v>0.42028659322649636</v>
      </c>
      <c r="Q192" s="25">
        <f>Q172/T142</f>
        <v>7.9854452713034298</v>
      </c>
      <c r="R192" s="20"/>
      <c r="S192" s="20"/>
      <c r="T192" s="115" t="s">
        <v>11</v>
      </c>
      <c r="U192" s="115" t="s">
        <v>12</v>
      </c>
      <c r="V192" s="115" t="s">
        <v>13</v>
      </c>
      <c r="W192" s="115" t="s">
        <v>14</v>
      </c>
      <c r="X192" s="115" t="s">
        <v>15</v>
      </c>
      <c r="Y192" s="115" t="s">
        <v>234</v>
      </c>
      <c r="Z192" s="115" t="s">
        <v>235</v>
      </c>
      <c r="AA192" s="115" t="s">
        <v>236</v>
      </c>
      <c r="AB192" s="115" t="s">
        <v>237</v>
      </c>
      <c r="AC192" s="115" t="s">
        <v>238</v>
      </c>
      <c r="AD192" s="115" t="s">
        <v>407</v>
      </c>
      <c r="AE192" s="115" t="s">
        <v>408</v>
      </c>
      <c r="AF192" s="115" t="s">
        <v>409</v>
      </c>
      <c r="AG192" s="115" t="s">
        <v>410</v>
      </c>
      <c r="AH192" s="115" t="s">
        <v>411</v>
      </c>
      <c r="AI192" s="115" t="s">
        <v>412</v>
      </c>
      <c r="AJ192" s="115" t="s">
        <v>413</v>
      </c>
      <c r="AK192" s="115" t="s">
        <v>414</v>
      </c>
      <c r="AL192" s="115" t="s">
        <v>415</v>
      </c>
      <c r="AM192" s="115" t="s">
        <v>416</v>
      </c>
      <c r="AN192" s="115" t="s">
        <v>417</v>
      </c>
      <c r="AO192" s="115" t="s">
        <v>418</v>
      </c>
      <c r="AP192" s="115" t="s">
        <v>419</v>
      </c>
      <c r="AQ192" s="115" t="s">
        <v>420</v>
      </c>
      <c r="AR192" s="115" t="s">
        <v>421</v>
      </c>
      <c r="AS192" s="115" t="s">
        <v>422</v>
      </c>
      <c r="AT192" s="115" t="s">
        <v>423</v>
      </c>
    </row>
    <row r="193" spans="2:46">
      <c r="B193" s="20" t="s">
        <v>371</v>
      </c>
      <c r="C193" s="20"/>
      <c r="D193" s="20"/>
      <c r="E193" s="20"/>
      <c r="F193" s="20"/>
      <c r="G193" s="188" t="s">
        <v>448</v>
      </c>
      <c r="H193" s="189"/>
      <c r="I193" s="188" t="s">
        <v>449</v>
      </c>
      <c r="J193" s="189"/>
      <c r="K193" s="20"/>
      <c r="L193" s="188" t="s">
        <v>450</v>
      </c>
      <c r="M193" s="189"/>
      <c r="N193" s="188" t="s">
        <v>451</v>
      </c>
      <c r="O193" s="189"/>
      <c r="P193" s="151">
        <f>1/P192</f>
        <v>2.3793288106648949</v>
      </c>
      <c r="Q193" s="151">
        <f>1/Q192</f>
        <v>0.12522783214025762</v>
      </c>
      <c r="R193" s="20"/>
      <c r="S193" s="20"/>
      <c r="T193" s="129">
        <f>Q172-T194</f>
        <v>230.55629929170672</v>
      </c>
      <c r="U193" s="184">
        <f>T193-U194</f>
        <v>209.55710252674999</v>
      </c>
      <c r="V193" s="184">
        <f t="shared" ref="V193:X193" si="416">U193-V194</f>
        <v>186.87797002059671</v>
      </c>
      <c r="W193" s="184">
        <f t="shared" si="416"/>
        <v>162.38450691395116</v>
      </c>
      <c r="X193" s="184">
        <f t="shared" si="416"/>
        <v>135.93156675877395</v>
      </c>
      <c r="Y193" s="184">
        <f>X193-Y194</f>
        <v>107.36239139118258</v>
      </c>
      <c r="Z193" s="184">
        <f t="shared" ref="Z193:AC193" si="417">Y193-Z194</f>
        <v>76.507681994183898</v>
      </c>
      <c r="AA193" s="184">
        <f t="shared" si="417"/>
        <v>43.184595845425314</v>
      </c>
      <c r="AB193" s="184">
        <f t="shared" si="417"/>
        <v>7.1956628047660374</v>
      </c>
      <c r="AC193" s="184">
        <f t="shared" si="417"/>
        <v>-31.67238487914598</v>
      </c>
      <c r="AD193" s="184">
        <f t="shared" ref="AD193" si="418">AC193-AD194</f>
        <v>-73.649876377770966</v>
      </c>
      <c r="AE193" s="184">
        <f t="shared" ref="AE193" si="419">AD193-AE194</f>
        <v>-118.98556719628594</v>
      </c>
      <c r="AF193" s="184">
        <f t="shared" ref="AF193" si="420">AE193-AF194</f>
        <v>-167.94811328028212</v>
      </c>
      <c r="AG193" s="184">
        <f t="shared" ref="AG193" si="421">AF193-AG194</f>
        <v>-220.82766305099798</v>
      </c>
      <c r="AH193" s="184">
        <f t="shared" ref="AH193" si="422">AG193-AH194</f>
        <v>-277.93757680337114</v>
      </c>
      <c r="AI193" s="184">
        <f t="shared" ref="AI193" si="423">AH193-AI194</f>
        <v>-339.61628365593413</v>
      </c>
      <c r="AJ193" s="184">
        <f t="shared" ref="AJ193" si="424">AI193-AJ194</f>
        <v>-406.22928705670216</v>
      </c>
      <c r="AK193" s="184">
        <f t="shared" ref="AK193" si="425">AJ193-AK194</f>
        <v>-478.17133072953163</v>
      </c>
      <c r="AL193" s="184">
        <f t="shared" ref="AL193" si="426">AK193-AL194</f>
        <v>-555.86873789618744</v>
      </c>
      <c r="AM193" s="184">
        <f t="shared" ref="AM193" si="427">AL193-AM194</f>
        <v>-639.78193763617583</v>
      </c>
      <c r="AN193" s="184">
        <f t="shared" ref="AN193" si="428">AM193-AN194</f>
        <v>-730.40819335536321</v>
      </c>
      <c r="AO193" s="184">
        <f t="shared" ref="AO193" si="429">AN193-AO194</f>
        <v>-828.28454953208563</v>
      </c>
      <c r="AP193" s="184">
        <f t="shared" ref="AP193" si="430">AO193-AP194</f>
        <v>-933.99101420294585</v>
      </c>
      <c r="AQ193" s="184">
        <f t="shared" ref="AQ193" si="431">AP193-AQ194</f>
        <v>-1048.1539960474749</v>
      </c>
      <c r="AR193" s="184">
        <f t="shared" ref="AR193" si="432">AQ193-AR194</f>
        <v>-1171.4500164395663</v>
      </c>
      <c r="AS193" s="184">
        <f t="shared" ref="AS193" si="433">AR193-AS194</f>
        <v>-1304.609718463025</v>
      </c>
      <c r="AT193" s="184">
        <f t="shared" ref="AT193" si="434">AS193-AT194</f>
        <v>-1448.4221966483606</v>
      </c>
    </row>
    <row r="194" spans="2:46">
      <c r="B194" s="20" t="s">
        <v>396</v>
      </c>
      <c r="C194" s="20"/>
      <c r="D194" s="20"/>
      <c r="E194" s="20"/>
      <c r="F194" s="20"/>
      <c r="G194" s="190">
        <v>0</v>
      </c>
      <c r="H194" s="189"/>
      <c r="I194" s="190">
        <v>0.05</v>
      </c>
      <c r="J194" s="189"/>
      <c r="K194" s="183">
        <f>P1</f>
        <v>0.08</v>
      </c>
      <c r="L194" s="190">
        <v>0.12</v>
      </c>
      <c r="M194" s="189"/>
      <c r="N194" s="190">
        <v>0.2</v>
      </c>
      <c r="O194" s="189"/>
      <c r="P194" s="180">
        <f>Q172/R141</f>
        <v>13.886245424711642</v>
      </c>
      <c r="Q194" s="180">
        <f>Q172/R141</f>
        <v>13.886245424711642</v>
      </c>
      <c r="R194" s="20"/>
      <c r="S194" s="20"/>
      <c r="T194" s="185">
        <f>R141*(1+$K$194)</f>
        <v>19.443700708293278</v>
      </c>
      <c r="U194" s="185">
        <f>T194*(1+$K$194)</f>
        <v>20.999196764956743</v>
      </c>
      <c r="V194" s="185">
        <f t="shared" ref="V194:AC194" si="435">U194*(1+$K$194)</f>
        <v>22.679132506153284</v>
      </c>
      <c r="W194" s="185">
        <f t="shared" si="435"/>
        <v>24.493463106645549</v>
      </c>
      <c r="X194" s="185">
        <f t="shared" si="435"/>
        <v>26.452940155177195</v>
      </c>
      <c r="Y194" s="185">
        <f t="shared" si="435"/>
        <v>28.569175367591374</v>
      </c>
      <c r="Z194" s="185">
        <f t="shared" si="435"/>
        <v>30.854709396998686</v>
      </c>
      <c r="AA194" s="185">
        <f t="shared" si="435"/>
        <v>33.323086148758584</v>
      </c>
      <c r="AB194" s="185">
        <f t="shared" si="435"/>
        <v>35.988933040659276</v>
      </c>
      <c r="AC194" s="185">
        <f t="shared" si="435"/>
        <v>38.868047683912017</v>
      </c>
      <c r="AD194" s="185">
        <f t="shared" ref="AD194" si="436">AC194*(1+$K$194)</f>
        <v>41.977491498624978</v>
      </c>
      <c r="AE194" s="185">
        <f t="shared" ref="AE194" si="437">AD194*(1+$K$194)</f>
        <v>45.335690818514976</v>
      </c>
      <c r="AF194" s="185">
        <f t="shared" ref="AF194" si="438">AE194*(1+$K$194)</f>
        <v>48.96254608399618</v>
      </c>
      <c r="AG194" s="185">
        <f t="shared" ref="AG194" si="439">AF194*(1+$K$194)</f>
        <v>52.879549770715876</v>
      </c>
      <c r="AH194" s="185">
        <f t="shared" ref="AH194" si="440">AG194*(1+$K$194)</f>
        <v>57.109913752373153</v>
      </c>
      <c r="AI194" s="185">
        <f t="shared" ref="AI194" si="441">AH194*(1+$K$194)</f>
        <v>61.67870685256301</v>
      </c>
      <c r="AJ194" s="185">
        <f t="shared" ref="AJ194" si="442">AI194*(1+$K$194)</f>
        <v>66.613003400768051</v>
      </c>
      <c r="AK194" s="185">
        <f t="shared" ref="AK194" si="443">AJ194*(1+$K$194)</f>
        <v>71.942043672829499</v>
      </c>
      <c r="AL194" s="185">
        <f t="shared" ref="AL194" si="444">AK194*(1+$K$194)</f>
        <v>77.697407166655864</v>
      </c>
      <c r="AM194" s="185">
        <f t="shared" ref="AM194" si="445">AL194*(1+$K$194)</f>
        <v>83.913199739988343</v>
      </c>
      <c r="AN194" s="185">
        <f t="shared" ref="AN194" si="446">AM194*(1+$K$194)</f>
        <v>90.626255719187412</v>
      </c>
      <c r="AO194" s="185">
        <f t="shared" ref="AO194" si="447">AN194*(1+$K$194)</f>
        <v>97.87635617672241</v>
      </c>
      <c r="AP194" s="185">
        <f t="shared" ref="AP194" si="448">AO194*(1+$K$194)</f>
        <v>105.70646467086021</v>
      </c>
      <c r="AQ194" s="185">
        <f t="shared" ref="AQ194" si="449">AP194*(1+$K$194)</f>
        <v>114.16298184452904</v>
      </c>
      <c r="AR194" s="185">
        <f t="shared" ref="AR194" si="450">AQ194*(1+$K$194)</f>
        <v>123.29602039209138</v>
      </c>
      <c r="AS194" s="185">
        <f t="shared" ref="AS194" si="451">AR194*(1+$K$194)</f>
        <v>133.15970202345869</v>
      </c>
      <c r="AT194" s="185">
        <f t="shared" ref="AT194" si="452">AS194*(1+$K$194)</f>
        <v>143.81247818533541</v>
      </c>
    </row>
    <row r="195" spans="2:46">
      <c r="B195" s="20" t="s">
        <v>395</v>
      </c>
      <c r="C195" s="20"/>
      <c r="D195" s="20"/>
      <c r="E195" s="23" t="s">
        <v>391</v>
      </c>
      <c r="F195" s="22">
        <v>250</v>
      </c>
      <c r="G195" s="190">
        <v>0</v>
      </c>
      <c r="H195" s="191">
        <v>12</v>
      </c>
      <c r="I195" s="190">
        <v>0.05</v>
      </c>
      <c r="J195" s="189">
        <v>9</v>
      </c>
      <c r="K195" s="183">
        <v>0.12</v>
      </c>
      <c r="L195" s="190">
        <v>0.12</v>
      </c>
      <c r="M195" s="189">
        <v>7</v>
      </c>
      <c r="N195" s="190">
        <v>0.2</v>
      </c>
      <c r="O195" s="189">
        <v>5</v>
      </c>
      <c r="P195" s="180">
        <f>Q172/Q54</f>
        <v>11.634877384196185</v>
      </c>
      <c r="Q195" s="180">
        <f>Q172/Q54</f>
        <v>11.634877384196185</v>
      </c>
      <c r="R195" s="20"/>
      <c r="S195" s="20"/>
      <c r="T195" s="185">
        <f>Q54*(1+$K$195)</f>
        <v>24.065573770491806</v>
      </c>
      <c r="U195" s="185">
        <f>T195*(1+$K$195)</f>
        <v>26.953442622950824</v>
      </c>
      <c r="V195" s="185">
        <f t="shared" ref="V195:AC195" si="453">U195*(1+$K$195)</f>
        <v>30.187855737704925</v>
      </c>
      <c r="W195" s="185">
        <f t="shared" si="453"/>
        <v>33.810398426229519</v>
      </c>
      <c r="X195" s="185">
        <f t="shared" si="453"/>
        <v>37.867646237377066</v>
      </c>
      <c r="Y195" s="185">
        <f t="shared" si="453"/>
        <v>42.41176378586232</v>
      </c>
      <c r="Z195" s="185">
        <f t="shared" si="453"/>
        <v>47.501175440165802</v>
      </c>
      <c r="AA195" s="185">
        <f t="shared" si="453"/>
        <v>53.201316492985704</v>
      </c>
      <c r="AB195" s="185">
        <f t="shared" si="453"/>
        <v>59.585474472143993</v>
      </c>
      <c r="AC195" s="185">
        <f t="shared" si="453"/>
        <v>66.735731408801271</v>
      </c>
      <c r="AD195" s="185">
        <f t="shared" ref="AD195" si="454">AC195*(1+$K$195)</f>
        <v>74.744019177857425</v>
      </c>
      <c r="AE195" s="185">
        <f t="shared" ref="AE195" si="455">AD195*(1+$K$195)</f>
        <v>83.713301479200325</v>
      </c>
      <c r="AF195" s="185">
        <f t="shared" ref="AF195" si="456">AE195*(1+$K$195)</f>
        <v>93.758897656704377</v>
      </c>
      <c r="AG195" s="185">
        <f t="shared" ref="AG195" si="457">AF195*(1+$K$195)</f>
        <v>105.00996537550891</v>
      </c>
      <c r="AH195" s="185">
        <f t="shared" ref="AH195" si="458">AG195*(1+$K$195)</f>
        <v>117.61116122057</v>
      </c>
      <c r="AI195" s="185">
        <f t="shared" ref="AI195" si="459">AH195*(1+$K$195)</f>
        <v>131.7245005670384</v>
      </c>
      <c r="AJ195" s="185">
        <f t="shared" ref="AJ195" si="460">AI195*(1+$K$195)</f>
        <v>147.53144063508302</v>
      </c>
      <c r="AK195" s="185">
        <f t="shared" ref="AK195" si="461">AJ195*(1+$K$195)</f>
        <v>165.23521351129298</v>
      </c>
      <c r="AL195" s="185">
        <f t="shared" ref="AL195" si="462">AK195*(1+$K$195)</f>
        <v>185.06343913264817</v>
      </c>
      <c r="AM195" s="185">
        <f t="shared" ref="AM195" si="463">AL195*(1+$K$195)</f>
        <v>207.27105182856596</v>
      </c>
      <c r="AN195" s="185">
        <f t="shared" ref="AN195" si="464">AM195*(1+$K$195)</f>
        <v>232.14357804799388</v>
      </c>
      <c r="AO195" s="185">
        <f t="shared" ref="AO195" si="465">AN195*(1+$K$195)</f>
        <v>260.00080741375319</v>
      </c>
      <c r="AP195" s="185">
        <f t="shared" ref="AP195" si="466">AO195*(1+$K$195)</f>
        <v>291.2009043034036</v>
      </c>
      <c r="AQ195" s="185">
        <f t="shared" ref="AQ195" si="467">AP195*(1+$K$195)</f>
        <v>326.14501281981205</v>
      </c>
      <c r="AR195" s="185">
        <f t="shared" ref="AR195" si="468">AQ195*(1+$K$195)</f>
        <v>365.28241435818956</v>
      </c>
      <c r="AS195" s="185">
        <f t="shared" ref="AS195" si="469">AR195*(1+$K$195)</f>
        <v>409.11630408117236</v>
      </c>
      <c r="AT195" s="185">
        <f t="shared" ref="AT195" si="470">AS195*(1+$K$195)</f>
        <v>458.21026057091308</v>
      </c>
    </row>
    <row r="196" spans="2:46">
      <c r="B196" s="20"/>
      <c r="C196" s="20"/>
      <c r="D196" s="20"/>
      <c r="E196" s="23" t="s">
        <v>454</v>
      </c>
      <c r="F196" s="22">
        <v>540</v>
      </c>
      <c r="G196" s="190">
        <v>0</v>
      </c>
      <c r="H196" s="191">
        <v>25</v>
      </c>
      <c r="I196" s="190">
        <v>0.05</v>
      </c>
      <c r="J196" s="189">
        <v>16</v>
      </c>
      <c r="K196" s="189"/>
      <c r="L196" s="190">
        <v>0.12</v>
      </c>
      <c r="M196" s="189">
        <v>11</v>
      </c>
      <c r="N196" s="190">
        <v>0.2</v>
      </c>
      <c r="O196" s="189">
        <v>9</v>
      </c>
      <c r="P196" s="20"/>
      <c r="Q196" s="20"/>
      <c r="R196" s="20"/>
      <c r="S196" s="20"/>
      <c r="T196" s="129">
        <f>Q172-T195</f>
        <v>225.9344262295082</v>
      </c>
      <c r="U196" s="184">
        <f>T196-U195</f>
        <v>198.98098360655737</v>
      </c>
      <c r="V196" s="184">
        <f t="shared" ref="V196:AA196" si="471">U196-V195</f>
        <v>168.79312786885245</v>
      </c>
      <c r="W196" s="184">
        <f t="shared" si="471"/>
        <v>134.98272944262294</v>
      </c>
      <c r="X196" s="184">
        <f t="shared" si="471"/>
        <v>97.115083205245867</v>
      </c>
      <c r="Y196" s="184">
        <f t="shared" si="471"/>
        <v>54.703319419383547</v>
      </c>
      <c r="Z196" s="184">
        <f t="shared" si="471"/>
        <v>7.2021439792177446</v>
      </c>
      <c r="AA196" s="184">
        <f t="shared" si="471"/>
        <v>-45.999172513767959</v>
      </c>
      <c r="AB196" s="184">
        <f>AA196-AB195</f>
        <v>-105.58464698591195</v>
      </c>
      <c r="AC196" s="184">
        <f t="shared" ref="AC196" si="472">AB196-AC195</f>
        <v>-172.3203783947132</v>
      </c>
      <c r="AD196" s="184">
        <f t="shared" ref="AD196" si="473">AC196-AD195</f>
        <v>-247.06439757257061</v>
      </c>
      <c r="AE196" s="184">
        <f t="shared" ref="AE196" si="474">AD196-AE195</f>
        <v>-330.77769905177092</v>
      </c>
      <c r="AF196" s="184">
        <f t="shared" ref="AF196" si="475">AE196-AF195</f>
        <v>-424.53659670847532</v>
      </c>
      <c r="AG196" s="184">
        <f t="shared" ref="AG196" si="476">AF196-AG195</f>
        <v>-529.54656208398421</v>
      </c>
      <c r="AH196" s="184">
        <f t="shared" ref="AH196" si="477">AG196-AH195</f>
        <v>-647.15772330455422</v>
      </c>
      <c r="AI196" s="184">
        <f t="shared" ref="AI196" si="478">AH196-AI195</f>
        <v>-778.8822238715926</v>
      </c>
      <c r="AJ196" s="184">
        <f t="shared" ref="AJ196" si="479">AI196-AJ195</f>
        <v>-926.41366450667556</v>
      </c>
      <c r="AK196" s="184">
        <f t="shared" ref="AK196" si="480">AJ196-AK195</f>
        <v>-1091.6488780179686</v>
      </c>
      <c r="AL196" s="184">
        <f t="shared" ref="AL196" si="481">AK196-AL195</f>
        <v>-1276.7123171506169</v>
      </c>
      <c r="AM196" s="184">
        <f t="shared" ref="AM196" si="482">AL196-AM195</f>
        <v>-1483.9833689791828</v>
      </c>
      <c r="AN196" s="184">
        <f t="shared" ref="AN196" si="483">AM196-AN195</f>
        <v>-1716.1269470271768</v>
      </c>
      <c r="AO196" s="184">
        <f t="shared" ref="AO196" si="484">AN196-AO195</f>
        <v>-1976.1277544409299</v>
      </c>
      <c r="AP196" s="184">
        <f t="shared" ref="AP196" si="485">AO196-AP195</f>
        <v>-2267.3286587443336</v>
      </c>
      <c r="AQ196" s="184">
        <f t="shared" ref="AQ196" si="486">AP196-AQ195</f>
        <v>-2593.4736715641457</v>
      </c>
      <c r="AR196" s="184">
        <f t="shared" ref="AR196" si="487">AQ196-AR195</f>
        <v>-2958.7560859223354</v>
      </c>
      <c r="AS196" s="184">
        <f t="shared" ref="AS196" si="488">AR196-AS195</f>
        <v>-3367.8723900035079</v>
      </c>
      <c r="AT196" s="184">
        <f t="shared" ref="AT196" si="489">AS196-AT195</f>
        <v>-3826.0826505744208</v>
      </c>
    </row>
    <row r="197" spans="2:46">
      <c r="B197" s="108" t="s">
        <v>302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>
      <c r="B198" s="20" t="s">
        <v>305</v>
      </c>
      <c r="C198" s="25" t="e">
        <f t="shared" ref="C198:P198" si="490">C10/C7</f>
        <v>#DIV/0!</v>
      </c>
      <c r="D198" s="25" t="e">
        <f t="shared" si="490"/>
        <v>#DIV/0!</v>
      </c>
      <c r="E198" s="25" t="e">
        <f t="shared" si="490"/>
        <v>#DIV/0!</v>
      </c>
      <c r="F198" s="25" t="e">
        <f t="shared" si="490"/>
        <v>#DIV/0!</v>
      </c>
      <c r="G198" s="25">
        <f t="shared" si="490"/>
        <v>8.5714285714285715E-2</v>
      </c>
      <c r="H198" s="25">
        <f t="shared" si="490"/>
        <v>0.1270718232044199</v>
      </c>
      <c r="I198" s="25">
        <f t="shared" si="490"/>
        <v>0.1890547263681592</v>
      </c>
      <c r="J198" s="25">
        <f t="shared" si="490"/>
        <v>0.58024691358024694</v>
      </c>
      <c r="K198" s="25">
        <f t="shared" si="490"/>
        <v>0.95195195195195192</v>
      </c>
      <c r="L198" s="25">
        <f t="shared" si="490"/>
        <v>0.70443349753694584</v>
      </c>
      <c r="M198" s="25">
        <f t="shared" si="490"/>
        <v>0.16758747697974216</v>
      </c>
      <c r="N198" s="25">
        <f t="shared" si="490"/>
        <v>0.14705882352941177</v>
      </c>
      <c r="O198" s="25">
        <f t="shared" si="490"/>
        <v>0.10206561360874848</v>
      </c>
      <c r="P198" s="25">
        <f t="shared" si="490"/>
        <v>8.2152974504249299E-2</v>
      </c>
      <c r="Q198" s="25">
        <f t="shared" ref="Q198" si="491">Q10/Q7</f>
        <v>6.1674008810572688E-2</v>
      </c>
      <c r="R198" s="118">
        <f t="shared" ref="R198:R200" si="492">((P198/G198)^(1/($H$2-$H$1) ))-1</f>
        <v>-4.7040626464462942E-3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>
      <c r="B199" s="20" t="s">
        <v>306</v>
      </c>
      <c r="C199" s="112" t="e">
        <f>C10/C12</f>
        <v>#DIV/0!</v>
      </c>
      <c r="D199" s="112" t="e">
        <f>D10/D12</f>
        <v>#DIV/0!</v>
      </c>
      <c r="E199" s="112" t="e">
        <f>E10/E12</f>
        <v>#DIV/0!</v>
      </c>
      <c r="F199" s="112" t="e">
        <f>F10/F12</f>
        <v>#DIV/0!</v>
      </c>
      <c r="G199" s="112">
        <f>G10/G12</f>
        <v>1</v>
      </c>
      <c r="H199" s="112">
        <f t="shared" ref="H199:P199" si="493">H10/H12</f>
        <v>1.3529411764705883</v>
      </c>
      <c r="I199" s="112">
        <f t="shared" si="493"/>
        <v>1.8095238095238095</v>
      </c>
      <c r="J199" s="112">
        <f t="shared" si="493"/>
        <v>5.4230769230769234</v>
      </c>
      <c r="K199" s="112">
        <f t="shared" si="493"/>
        <v>6.0961538461538458</v>
      </c>
      <c r="L199" s="112">
        <f t="shared" si="493"/>
        <v>4.0857142857142854</v>
      </c>
      <c r="M199" s="112">
        <f t="shared" si="493"/>
        <v>1.467741935483871</v>
      </c>
      <c r="N199" s="112">
        <f t="shared" si="493"/>
        <v>2.375</v>
      </c>
      <c r="O199" s="112">
        <f t="shared" si="493"/>
        <v>0.36681222707423583</v>
      </c>
      <c r="P199" s="112">
        <f t="shared" si="493"/>
        <v>0.21167883211678831</v>
      </c>
      <c r="Q199" s="112">
        <f t="shared" ref="Q199" si="494">Q10/Q12</f>
        <v>0.28474576271186441</v>
      </c>
      <c r="R199" s="118">
        <f t="shared" si="492"/>
        <v>-0.15845901867022549</v>
      </c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>
      <c r="B200" s="20" t="s">
        <v>307</v>
      </c>
      <c r="C200" s="25" t="e">
        <f>C10/(C12+C13)</f>
        <v>#DIV/0!</v>
      </c>
      <c r="D200" s="25" t="e">
        <f>D10/(D12+D13)</f>
        <v>#DIV/0!</v>
      </c>
      <c r="E200" s="25" t="e">
        <f>E10/(E12+E13)</f>
        <v>#DIV/0!</v>
      </c>
      <c r="F200" s="25" t="e">
        <f>F10/(F12+F13)</f>
        <v>#DIV/0!</v>
      </c>
      <c r="G200" s="25">
        <f>G10/(G12+G13)</f>
        <v>0.41666666666666669</v>
      </c>
      <c r="H200" s="25">
        <f t="shared" ref="H200:P200" si="495">H10/(H12+H13)</f>
        <v>0.56097560975609762</v>
      </c>
      <c r="I200" s="25">
        <f t="shared" si="495"/>
        <v>0.71698113207547165</v>
      </c>
      <c r="J200" s="25">
        <f t="shared" si="495"/>
        <v>3.3571428571428572</v>
      </c>
      <c r="K200" s="25">
        <f t="shared" si="495"/>
        <v>4.6617647058823533</v>
      </c>
      <c r="L200" s="25">
        <f t="shared" si="495"/>
        <v>2.4444444444444446</v>
      </c>
      <c r="M200" s="25">
        <f t="shared" si="495"/>
        <v>1.1666666666666667</v>
      </c>
      <c r="N200" s="25">
        <f t="shared" si="495"/>
        <v>1.6964285714285714</v>
      </c>
      <c r="O200" s="25">
        <f t="shared" si="495"/>
        <v>0.34285714285714286</v>
      </c>
      <c r="P200" s="25">
        <f t="shared" si="495"/>
        <v>0.20374707259953162</v>
      </c>
      <c r="Q200" s="25">
        <f t="shared" ref="Q200" si="496">Q10/(Q12+Q13)</f>
        <v>0.27009646302250806</v>
      </c>
      <c r="R200" s="118">
        <f t="shared" si="492"/>
        <v>-7.6412452476607773E-2</v>
      </c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>
      <c r="B203" s="20"/>
      <c r="C203" s="173" t="s">
        <v>377</v>
      </c>
      <c r="D203" s="174"/>
      <c r="E203" s="174"/>
      <c r="F203" s="174"/>
      <c r="G203" s="174"/>
      <c r="H203" s="174"/>
      <c r="I203" s="174"/>
      <c r="J203" s="174"/>
      <c r="K203" s="20"/>
      <c r="L203" s="203" t="s">
        <v>337</v>
      </c>
      <c r="M203" s="204"/>
      <c r="N203" s="205"/>
      <c r="O203" s="23" t="s">
        <v>340</v>
      </c>
      <c r="P203" s="20"/>
      <c r="Q203" s="136"/>
      <c r="R203" s="203" t="s">
        <v>338</v>
      </c>
      <c r="S203" s="204"/>
      <c r="T203" s="205"/>
      <c r="U203" s="23" t="s">
        <v>340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>
      <c r="B204" s="20"/>
      <c r="C204" s="165" t="s">
        <v>339</v>
      </c>
      <c r="D204" s="165" t="s">
        <v>0</v>
      </c>
      <c r="E204" s="165" t="s">
        <v>378</v>
      </c>
      <c r="F204" s="165" t="s">
        <v>379</v>
      </c>
      <c r="G204" s="165" t="s">
        <v>380</v>
      </c>
      <c r="H204" s="165" t="s">
        <v>381</v>
      </c>
      <c r="I204" s="165" t="s">
        <v>382</v>
      </c>
      <c r="J204" s="165" t="s">
        <v>383</v>
      </c>
      <c r="K204" s="20"/>
      <c r="L204" s="165" t="s">
        <v>339</v>
      </c>
      <c r="M204" s="165"/>
      <c r="N204" s="165" t="s">
        <v>0</v>
      </c>
      <c r="O204" s="165" t="s">
        <v>372</v>
      </c>
      <c r="P204" s="20"/>
      <c r="Q204" s="20"/>
      <c r="R204" s="165" t="s">
        <v>339</v>
      </c>
      <c r="S204" s="165"/>
      <c r="T204" s="165" t="s">
        <v>0</v>
      </c>
      <c r="U204" s="165" t="s">
        <v>372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>
      <c r="B205" s="20"/>
      <c r="C205" s="166" t="s">
        <v>341</v>
      </c>
      <c r="D205" s="21">
        <v>200</v>
      </c>
      <c r="E205" s="175" t="s">
        <v>384</v>
      </c>
      <c r="F205" s="22">
        <v>1</v>
      </c>
      <c r="G205" s="22">
        <v>2</v>
      </c>
      <c r="H205" s="166">
        <f>F205/G205</f>
        <v>0.5</v>
      </c>
      <c r="I205" s="166">
        <f>H205*D206</f>
        <v>1</v>
      </c>
      <c r="J205" s="176">
        <f>I205+D206</f>
        <v>3</v>
      </c>
      <c r="K205" s="20"/>
      <c r="L205" s="166" t="s">
        <v>341</v>
      </c>
      <c r="M205" s="166"/>
      <c r="N205" s="21">
        <v>4</v>
      </c>
      <c r="O205" s="172">
        <f>N205</f>
        <v>4</v>
      </c>
      <c r="P205" s="20"/>
      <c r="Q205" s="20"/>
      <c r="R205" s="166" t="s">
        <v>341</v>
      </c>
      <c r="S205" s="166"/>
      <c r="T205" s="21">
        <v>48</v>
      </c>
      <c r="U205" s="172">
        <f>T205</f>
        <v>48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>
      <c r="B206" s="20"/>
      <c r="C206" s="166" t="s">
        <v>342</v>
      </c>
      <c r="D206" s="21">
        <v>2</v>
      </c>
      <c r="E206" s="175" t="s">
        <v>385</v>
      </c>
      <c r="F206" s="22">
        <v>0</v>
      </c>
      <c r="G206" s="22">
        <v>1</v>
      </c>
      <c r="H206" s="166">
        <f>F206/G206</f>
        <v>0</v>
      </c>
      <c r="I206" s="166">
        <f>H206*J205</f>
        <v>0</v>
      </c>
      <c r="J206" s="166">
        <f>I206+J205</f>
        <v>3</v>
      </c>
      <c r="K206" s="20"/>
      <c r="L206" s="166" t="s">
        <v>342</v>
      </c>
      <c r="M206" s="166"/>
      <c r="N206" s="21">
        <v>1</v>
      </c>
      <c r="O206" s="172">
        <f>N206</f>
        <v>1</v>
      </c>
      <c r="P206" s="20"/>
      <c r="Q206" s="20"/>
      <c r="R206" s="166" t="s">
        <v>342</v>
      </c>
      <c r="S206" s="166"/>
      <c r="T206" s="21">
        <v>1</v>
      </c>
      <c r="U206" s="172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>
      <c r="B207" s="20"/>
      <c r="C207" s="166" t="s">
        <v>344</v>
      </c>
      <c r="D207" s="167">
        <f>D205*D206</f>
        <v>400</v>
      </c>
      <c r="E207" s="175" t="s">
        <v>397</v>
      </c>
      <c r="F207" s="22">
        <v>0</v>
      </c>
      <c r="G207" s="22">
        <v>1</v>
      </c>
      <c r="H207" s="166">
        <f>F207/G207</f>
        <v>0</v>
      </c>
      <c r="I207" s="166">
        <f>H207*J206</f>
        <v>0</v>
      </c>
      <c r="J207" s="166">
        <f>I207+J206</f>
        <v>3</v>
      </c>
      <c r="K207" s="20"/>
      <c r="L207" s="166" t="s">
        <v>343</v>
      </c>
      <c r="M207" s="166"/>
      <c r="N207" s="167">
        <f>N205*N206</f>
        <v>4</v>
      </c>
      <c r="O207" s="172">
        <f>N207</f>
        <v>4</v>
      </c>
      <c r="P207" s="20"/>
      <c r="Q207" s="20"/>
      <c r="R207" s="166" t="s">
        <v>344</v>
      </c>
      <c r="S207" s="166"/>
      <c r="T207" s="167">
        <f>T205*T206</f>
        <v>48</v>
      </c>
      <c r="U207" s="172">
        <f>T207</f>
        <v>48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>
      <c r="B208" s="20"/>
      <c r="C208" s="166"/>
      <c r="D208" s="167"/>
      <c r="E208" s="175" t="s">
        <v>386</v>
      </c>
      <c r="F208" s="22">
        <v>10</v>
      </c>
      <c r="G208" s="22">
        <v>2</v>
      </c>
      <c r="H208" s="166">
        <f>F208/G208</f>
        <v>5</v>
      </c>
      <c r="I208" s="166">
        <f>H208*J207</f>
        <v>15</v>
      </c>
      <c r="J208" s="166">
        <f>I208</f>
        <v>15</v>
      </c>
      <c r="K208" s="20"/>
      <c r="L208" s="166" t="s">
        <v>345</v>
      </c>
      <c r="M208" s="166"/>
      <c r="N208" s="21">
        <v>500</v>
      </c>
      <c r="O208" s="21">
        <v>540</v>
      </c>
      <c r="P208" s="20"/>
      <c r="Q208" s="20"/>
      <c r="R208" s="166" t="s">
        <v>345</v>
      </c>
      <c r="S208" s="166"/>
      <c r="T208" s="21">
        <v>1</v>
      </c>
      <c r="U208" s="21"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166"/>
      <c r="D209" s="167"/>
      <c r="E209" s="175" t="s">
        <v>459</v>
      </c>
      <c r="F209" s="22">
        <v>2</v>
      </c>
      <c r="G209" s="22">
        <v>1</v>
      </c>
      <c r="H209" s="166">
        <f>F209/G209</f>
        <v>2</v>
      </c>
      <c r="I209" s="166">
        <f>H209*J208</f>
        <v>30</v>
      </c>
      <c r="J209" s="166">
        <f>I209</f>
        <v>30</v>
      </c>
      <c r="K209" s="20"/>
      <c r="L209" s="166" t="s">
        <v>346</v>
      </c>
      <c r="M209" s="166"/>
      <c r="N209" s="167">
        <f>N208*N206</f>
        <v>500</v>
      </c>
      <c r="O209" s="167">
        <f>O208*O206</f>
        <v>540</v>
      </c>
      <c r="P209" s="20"/>
      <c r="Q209" s="20"/>
      <c r="R209" s="166" t="s">
        <v>342</v>
      </c>
      <c r="S209" s="166"/>
      <c r="T209" s="21">
        <v>1</v>
      </c>
      <c r="U209" s="127">
        <f>T209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166" t="s">
        <v>345</v>
      </c>
      <c r="D210" s="21">
        <v>240</v>
      </c>
      <c r="E210" s="175"/>
      <c r="F210" s="166"/>
      <c r="G210" s="166"/>
      <c r="H210" s="168" t="s">
        <v>387</v>
      </c>
      <c r="I210" s="166"/>
      <c r="J210" s="166">
        <f>J208</f>
        <v>15</v>
      </c>
      <c r="K210" s="20"/>
      <c r="L210" s="166"/>
      <c r="M210" s="166"/>
      <c r="N210" s="167"/>
      <c r="O210" s="167"/>
      <c r="P210" s="20"/>
      <c r="Q210" s="20"/>
      <c r="R210" s="166" t="s">
        <v>344</v>
      </c>
      <c r="S210" s="166"/>
      <c r="T210" s="167">
        <f>T209*T208</f>
        <v>1</v>
      </c>
      <c r="U210" s="167">
        <f>U209*U208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>
      <c r="B211" s="20"/>
      <c r="C211" s="166" t="s">
        <v>342</v>
      </c>
      <c r="D211" s="21">
        <v>30</v>
      </c>
      <c r="E211" s="175" t="s">
        <v>386</v>
      </c>
      <c r="F211" s="22">
        <v>10</v>
      </c>
      <c r="G211" s="22">
        <v>2</v>
      </c>
      <c r="H211" s="166">
        <f>F211/G211</f>
        <v>5</v>
      </c>
      <c r="I211" s="176">
        <f>H211*D206</f>
        <v>10</v>
      </c>
      <c r="J211" s="176">
        <f>I211</f>
        <v>10</v>
      </c>
      <c r="K211" s="20"/>
      <c r="L211" s="166"/>
      <c r="M211" s="166"/>
      <c r="N211" s="167"/>
      <c r="O211" s="167"/>
      <c r="P211" s="20"/>
      <c r="Q211" s="20"/>
      <c r="R211" s="166"/>
      <c r="S211" s="166"/>
      <c r="T211" s="167"/>
      <c r="U211" s="167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>
      <c r="B212" s="20"/>
      <c r="C212" s="166" t="s">
        <v>344</v>
      </c>
      <c r="D212" s="167">
        <f>D211*D210</f>
        <v>7200</v>
      </c>
      <c r="E212" s="166"/>
      <c r="F212" s="166"/>
      <c r="G212" s="166"/>
      <c r="H212" s="168" t="s">
        <v>387</v>
      </c>
      <c r="I212" s="166"/>
      <c r="J212" s="166">
        <f>J211</f>
        <v>10</v>
      </c>
      <c r="K212" s="20"/>
      <c r="L212" s="168" t="s">
        <v>347</v>
      </c>
      <c r="M212" s="168"/>
      <c r="N212" s="169">
        <f>N209/N207</f>
        <v>125</v>
      </c>
      <c r="O212" s="169">
        <f>O209/O207</f>
        <v>135</v>
      </c>
      <c r="P212" s="20"/>
      <c r="Q212" s="20"/>
      <c r="R212" s="168" t="s">
        <v>347</v>
      </c>
      <c r="S212" s="168"/>
      <c r="T212" s="169">
        <f>T210/T207</f>
        <v>2.0833333333333332E-2</v>
      </c>
      <c r="U212" s="169">
        <f>U210/U207</f>
        <v>2.0833333333333332E-2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>
      <c r="B213" s="20"/>
      <c r="C213" s="166"/>
      <c r="D213" s="167"/>
      <c r="E213" s="175" t="s">
        <v>386</v>
      </c>
      <c r="F213" s="22">
        <v>10</v>
      </c>
      <c r="G213" s="22">
        <v>2</v>
      </c>
      <c r="H213" s="166">
        <f>F213/G213</f>
        <v>5</v>
      </c>
      <c r="I213" s="166">
        <f>H213*J212</f>
        <v>50</v>
      </c>
      <c r="J213" s="166">
        <f>I213</f>
        <v>50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168" t="s">
        <v>347</v>
      </c>
      <c r="D214" s="169">
        <f>D212/D207</f>
        <v>18</v>
      </c>
      <c r="E214" s="175"/>
      <c r="F214" s="166"/>
      <c r="G214" s="166"/>
      <c r="H214" s="168" t="s">
        <v>387</v>
      </c>
      <c r="I214" s="166"/>
      <c r="J214" s="166">
        <f>J213</f>
        <v>50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20"/>
      <c r="D216" s="136"/>
      <c r="E216" s="177"/>
      <c r="F216" s="177"/>
      <c r="G216" s="178"/>
      <c r="H216" s="20"/>
      <c r="I216" s="136"/>
      <c r="J216" s="177"/>
      <c r="K216" s="178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ht="14.25">
      <c r="B217" s="20"/>
      <c r="C217" s="20"/>
      <c r="D217" s="196" t="s">
        <v>27</v>
      </c>
      <c r="E217" s="197"/>
      <c r="F217" s="197"/>
      <c r="G217" s="198"/>
      <c r="H217" s="20"/>
      <c r="I217" s="196" t="s">
        <v>392</v>
      </c>
      <c r="J217" s="197"/>
      <c r="K217" s="198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20"/>
      <c r="D218" s="20" t="s">
        <v>28</v>
      </c>
      <c r="E218" s="127"/>
      <c r="F218" s="127"/>
      <c r="G218" s="21">
        <f>D207</f>
        <v>400</v>
      </c>
      <c r="H218" s="20"/>
      <c r="I218" s="20" t="s">
        <v>28</v>
      </c>
      <c r="J218" s="127"/>
      <c r="K218" s="21">
        <f>G218</f>
        <v>400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20"/>
      <c r="D219" s="20" t="s">
        <v>29</v>
      </c>
      <c r="E219" s="127"/>
      <c r="F219" s="127"/>
      <c r="G219" s="21">
        <f>D212</f>
        <v>7200</v>
      </c>
      <c r="H219" s="20"/>
      <c r="I219" s="20" t="s">
        <v>29</v>
      </c>
      <c r="J219" s="20"/>
      <c r="K219" s="21">
        <f>G219</f>
        <v>7200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B220" s="20"/>
      <c r="C220" s="20"/>
      <c r="D220" s="20" t="s">
        <v>30</v>
      </c>
      <c r="E220" s="20"/>
      <c r="F220" s="20"/>
      <c r="G220" s="22">
        <v>10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>
      <c r="B221" s="20"/>
      <c r="C221" s="20"/>
      <c r="D221" s="23" t="s">
        <v>31</v>
      </c>
      <c r="E221" s="3"/>
      <c r="F221" s="3"/>
      <c r="G221" s="3">
        <f>((G219/G218)^(1/G220))-1</f>
        <v>0.33514136254031301</v>
      </c>
      <c r="H221" s="20"/>
      <c r="I221" s="23" t="s">
        <v>393</v>
      </c>
      <c r="J221" s="23"/>
      <c r="K221" s="195">
        <f>(K219-K218)/K218</f>
        <v>17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>
      <c r="B222" s="20"/>
      <c r="C222" s="20"/>
      <c r="D222" s="23" t="s">
        <v>32</v>
      </c>
      <c r="E222" s="164"/>
      <c r="F222" s="164"/>
      <c r="G222" s="24">
        <f>G220*12</f>
        <v>120</v>
      </c>
      <c r="H222" s="20"/>
      <c r="I222" s="23" t="s">
        <v>394</v>
      </c>
      <c r="J222" s="23"/>
      <c r="K222" s="23">
        <f>K219/K218</f>
        <v>18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>
      <c r="B223" s="20"/>
      <c r="C223" s="20"/>
      <c r="D223" s="20" t="s">
        <v>30</v>
      </c>
      <c r="E223" s="25"/>
      <c r="F223" s="25"/>
      <c r="G223" s="25">
        <f>G222/12</f>
        <v>10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>
      <c r="B224" s="20"/>
      <c r="C224" s="20"/>
      <c r="D224" s="23" t="s">
        <v>33</v>
      </c>
      <c r="E224" s="3"/>
      <c r="F224" s="3"/>
      <c r="G224" s="3">
        <f>((G219/G218)^(1/G223))-1</f>
        <v>0.33514136254031301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3:11"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3:11">
      <c r="C226" s="20"/>
      <c r="D226" s="20"/>
      <c r="E226" s="20"/>
      <c r="F226" s="20"/>
      <c r="G226" s="20"/>
      <c r="H226" s="20"/>
      <c r="I226" s="20"/>
      <c r="J226" s="20"/>
      <c r="K226" s="20"/>
    </row>
  </sheetData>
  <mergeCells count="7">
    <mergeCell ref="D217:G217"/>
    <mergeCell ref="I217:K217"/>
    <mergeCell ref="AE2:AF2"/>
    <mergeCell ref="AE3:AF3"/>
    <mergeCell ref="L203:N203"/>
    <mergeCell ref="R203:T203"/>
    <mergeCell ref="K184:L184"/>
  </mergeCells>
  <pageMargins left="0.7" right="0.7" top="0.75" bottom="0.75" header="0.3" footer="0.3"/>
  <pageSetup orientation="portrait" r:id="rId1"/>
  <ignoredErrors>
    <ignoredError sqref="C174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8" t="s">
        <v>27</v>
      </c>
      <c r="K5" s="208"/>
      <c r="M5" s="208" t="s">
        <v>65</v>
      </c>
      <c r="N5" s="20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8" t="s">
        <v>36</v>
      </c>
      <c r="K14" s="208"/>
      <c r="L14" s="20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8" t="s">
        <v>27</v>
      </c>
      <c r="S5" s="20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8" t="s">
        <v>36</v>
      </c>
      <c r="S14" s="208"/>
      <c r="T14" s="20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8" t="s">
        <v>27</v>
      </c>
      <c r="C2" s="208"/>
      <c r="E2" s="208" t="s">
        <v>65</v>
      </c>
      <c r="F2" s="208"/>
      <c r="H2" s="212" t="s">
        <v>36</v>
      </c>
      <c r="I2" s="21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9" t="s">
        <v>68</v>
      </c>
      <c r="E10" s="210"/>
      <c r="F10" s="210"/>
      <c r="G10" s="210"/>
      <c r="H10" s="211"/>
      <c r="I10" s="209" t="s">
        <v>72</v>
      </c>
      <c r="J10" s="210"/>
      <c r="K10" s="210"/>
      <c r="L10" s="21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>
      <c r="B3" s="214" t="s">
        <v>431</v>
      </c>
      <c r="C3" s="215"/>
      <c r="F3" s="214" t="s">
        <v>432</v>
      </c>
      <c r="G3" s="215"/>
    </row>
    <row r="4" spans="2:7">
      <c r="B4" s="187" t="s">
        <v>433</v>
      </c>
      <c r="C4" s="187"/>
      <c r="F4" s="187" t="s">
        <v>434</v>
      </c>
      <c r="G4" s="187"/>
    </row>
    <row r="5" spans="2:7">
      <c r="B5" s="187" t="s">
        <v>435</v>
      </c>
      <c r="C5" s="187"/>
      <c r="F5" s="187" t="s">
        <v>292</v>
      </c>
      <c r="G5" s="187"/>
    </row>
    <row r="6" spans="2:7">
      <c r="B6" s="187" t="s">
        <v>436</v>
      </c>
      <c r="C6" s="187"/>
      <c r="F6" s="187" t="s">
        <v>437</v>
      </c>
      <c r="G6" s="187"/>
    </row>
    <row r="7" spans="2:7">
      <c r="B7" s="187" t="s">
        <v>438</v>
      </c>
      <c r="C7" s="187"/>
      <c r="F7" s="187" t="s">
        <v>439</v>
      </c>
      <c r="G7" s="187"/>
    </row>
    <row r="8" spans="2:7">
      <c r="B8" s="187" t="s">
        <v>440</v>
      </c>
      <c r="C8" s="187"/>
      <c r="F8" s="187" t="s">
        <v>441</v>
      </c>
      <c r="G8" s="187"/>
    </row>
    <row r="9" spans="2:7">
      <c r="B9" s="187" t="s">
        <v>442</v>
      </c>
      <c r="C9" s="187"/>
      <c r="F9" s="187" t="s">
        <v>443</v>
      </c>
      <c r="G9" s="187"/>
    </row>
    <row r="10" spans="2:7">
      <c r="B10" s="187" t="s">
        <v>441</v>
      </c>
      <c r="C10" s="187"/>
      <c r="F10" s="187"/>
      <c r="G10" s="187"/>
    </row>
    <row r="11" spans="2:7">
      <c r="B11" s="187" t="s">
        <v>444</v>
      </c>
      <c r="C11" s="187"/>
      <c r="F11" s="187"/>
      <c r="G11" s="187"/>
    </row>
    <row r="12" spans="2:7">
      <c r="B12" s="187" t="s">
        <v>445</v>
      </c>
      <c r="C12" s="187"/>
      <c r="F12" s="187"/>
      <c r="G12" s="187"/>
    </row>
    <row r="13" spans="2:7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2016-09-18T21:04:29Z</dcterms:modified>
</cp:coreProperties>
</file>
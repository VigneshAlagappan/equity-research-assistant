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G23" i="18" l="1"/>
  <c r="G22" i="18"/>
  <c r="G21" i="18"/>
  <c r="G20" i="18"/>
  <c r="M12" i="18"/>
  <c r="C1" i="18" l="1"/>
  <c r="AE55" i="18" l="1"/>
  <c r="AE54" i="18"/>
  <c r="AE52" i="18"/>
  <c r="G55" i="18"/>
  <c r="G179" i="18" s="1"/>
  <c r="H55" i="18"/>
  <c r="H179" i="18" s="1"/>
  <c r="I55" i="18"/>
  <c r="I179" i="18" s="1"/>
  <c r="J55" i="18"/>
  <c r="J179" i="18" s="1"/>
  <c r="K55" i="18"/>
  <c r="K179" i="18" s="1"/>
  <c r="L55" i="18"/>
  <c r="L179" i="18" s="1"/>
  <c r="M55" i="18"/>
  <c r="M179" i="18" s="1"/>
  <c r="N55" i="18"/>
  <c r="N179" i="18" s="1"/>
  <c r="O55" i="18"/>
  <c r="O179" i="18" s="1"/>
  <c r="P55" i="18"/>
  <c r="P179" i="18" s="1"/>
  <c r="Q55" i="18"/>
  <c r="Q179" i="18" s="1"/>
  <c r="G54" i="18"/>
  <c r="G178" i="18" s="1"/>
  <c r="H54" i="18"/>
  <c r="H178" i="18" s="1"/>
  <c r="I54" i="18"/>
  <c r="I178" i="18" s="1"/>
  <c r="J54" i="18"/>
  <c r="J178" i="18" s="1"/>
  <c r="K54" i="18"/>
  <c r="K178" i="18" s="1"/>
  <c r="L54" i="18"/>
  <c r="L178" i="18" s="1"/>
  <c r="M54" i="18"/>
  <c r="M178" i="18" s="1"/>
  <c r="N54" i="18"/>
  <c r="N178" i="18" s="1"/>
  <c r="O54" i="18"/>
  <c r="O178" i="18" s="1"/>
  <c r="P54" i="18"/>
  <c r="P178" i="18" s="1"/>
  <c r="Q54" i="18"/>
  <c r="Q178" i="18" s="1"/>
  <c r="R179" i="18" l="1"/>
  <c r="R55" i="18"/>
  <c r="R54" i="18"/>
  <c r="R178" i="18"/>
  <c r="G121" i="18" l="1"/>
  <c r="H121" i="18"/>
  <c r="I121" i="18"/>
  <c r="J121" i="18"/>
  <c r="K121" i="18"/>
  <c r="L121" i="18"/>
  <c r="M121" i="18"/>
  <c r="N121" i="18"/>
  <c r="O121" i="18"/>
  <c r="P121" i="18"/>
  <c r="Q121" i="18"/>
  <c r="Q120" i="18"/>
  <c r="R121" i="18" l="1"/>
  <c r="H214" i="18"/>
  <c r="H211" i="18"/>
  <c r="H212" i="18"/>
  <c r="H213" i="18"/>
  <c r="Q203" i="18" l="1"/>
  <c r="Q202" i="18"/>
  <c r="Q201" i="18"/>
  <c r="Q185" i="18"/>
  <c r="Q50" i="18"/>
  <c r="Q176" i="18" s="1"/>
  <c r="Q51" i="18"/>
  <c r="Q52" i="18"/>
  <c r="Q93" i="18" s="1"/>
  <c r="Q56" i="18"/>
  <c r="P198" i="18" s="1"/>
  <c r="Q57" i="18"/>
  <c r="Q58" i="18"/>
  <c r="Q59" i="18"/>
  <c r="Q180" i="18" s="1"/>
  <c r="Q60" i="18"/>
  <c r="Q62" i="18"/>
  <c r="Q63" i="18"/>
  <c r="Q64" i="18"/>
  <c r="Q183" i="18" s="1"/>
  <c r="Q66" i="18"/>
  <c r="Q67" i="18"/>
  <c r="Q69" i="18"/>
  <c r="Q70" i="18"/>
  <c r="Q182" i="18" s="1"/>
  <c r="Q72" i="18"/>
  <c r="Q74" i="18"/>
  <c r="Q76" i="18" s="1"/>
  <c r="Q77" i="18"/>
  <c r="Q78" i="18"/>
  <c r="Q79" i="18"/>
  <c r="Q80" i="18"/>
  <c r="Q82" i="18"/>
  <c r="Q138" i="18" s="1"/>
  <c r="Q83" i="18"/>
  <c r="Q84" i="18"/>
  <c r="Q88" i="18"/>
  <c r="Q89" i="18"/>
  <c r="Q90" i="18"/>
  <c r="Q91" i="18"/>
  <c r="Q92" i="18"/>
  <c r="Q95" i="18"/>
  <c r="Q101" i="18" s="1"/>
  <c r="Q96" i="18"/>
  <c r="Q97" i="18"/>
  <c r="Q103" i="18" s="1"/>
  <c r="Q98" i="18"/>
  <c r="Q104" i="18" s="1"/>
  <c r="Q99" i="18"/>
  <c r="Q105" i="18" s="1"/>
  <c r="Q102" i="18"/>
  <c r="Q108" i="18"/>
  <c r="Q109" i="18"/>
  <c r="Q110" i="18"/>
  <c r="Q111" i="18"/>
  <c r="Q113" i="18"/>
  <c r="Q114" i="18" s="1"/>
  <c r="Q119" i="18"/>
  <c r="Q123" i="18"/>
  <c r="Q124" i="18"/>
  <c r="Q125" i="18"/>
  <c r="Q128" i="18"/>
  <c r="Q129" i="18"/>
  <c r="Q130" i="18"/>
  <c r="Q131" i="18"/>
  <c r="Q133" i="18"/>
  <c r="Q134" i="18"/>
  <c r="Q136" i="18"/>
  <c r="Q137" i="18" s="1"/>
  <c r="Q140" i="18"/>
  <c r="Q141" i="18"/>
  <c r="T17" i="18"/>
  <c r="T19" i="18"/>
  <c r="T24" i="18"/>
  <c r="T35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8" i="18"/>
  <c r="Q11" i="18"/>
  <c r="Q26" i="18"/>
  <c r="Q28" i="18"/>
  <c r="Q30" i="18"/>
  <c r="Q37" i="18"/>
  <c r="Q39" i="18"/>
  <c r="Q41" i="18"/>
  <c r="Q43" i="18"/>
  <c r="Q198" i="18" l="1"/>
  <c r="Q177" i="18"/>
  <c r="Q186" i="18" s="1"/>
  <c r="Q187" i="18" s="1"/>
  <c r="Q68" i="18"/>
  <c r="Q181" i="18" s="1"/>
  <c r="Q115" i="18"/>
  <c r="Q116" i="18" s="1"/>
  <c r="Q117" i="18"/>
  <c r="Q184" i="18"/>
  <c r="H52" i="18"/>
  <c r="H93" i="18" s="1"/>
  <c r="I52" i="18"/>
  <c r="I93" i="18" s="1"/>
  <c r="J52" i="18"/>
  <c r="J93" i="18" s="1"/>
  <c r="K52" i="18"/>
  <c r="K93" i="18" s="1"/>
  <c r="L52" i="18"/>
  <c r="L93" i="18" s="1"/>
  <c r="M52" i="18"/>
  <c r="M93" i="18" s="1"/>
  <c r="N52" i="18"/>
  <c r="N93" i="18" s="1"/>
  <c r="O52" i="18"/>
  <c r="O93" i="18" s="1"/>
  <c r="P52" i="18"/>
  <c r="P93" i="18" s="1"/>
  <c r="G52" i="18"/>
  <c r="G93" i="18" s="1"/>
  <c r="P43" i="18"/>
  <c r="O43" i="18"/>
  <c r="N43" i="18"/>
  <c r="M43" i="18"/>
  <c r="L43" i="18"/>
  <c r="K43" i="18"/>
  <c r="J43" i="18"/>
  <c r="I43" i="18"/>
  <c r="H43" i="18"/>
  <c r="G43" i="18"/>
  <c r="H198" i="18" l="1"/>
  <c r="R93" i="18"/>
  <c r="R52" i="18"/>
  <c r="S44" i="18"/>
  <c r="T44" i="18" s="1"/>
  <c r="S42" i="18"/>
  <c r="T42" i="18" s="1"/>
  <c r="K194" i="18" l="1"/>
  <c r="K193" i="18"/>
  <c r="K192" i="18"/>
  <c r="K191" i="18"/>
  <c r="AE38" i="18" l="1"/>
  <c r="S38" i="18"/>
  <c r="P39" i="18"/>
  <c r="O39" i="18"/>
  <c r="N39" i="18"/>
  <c r="M39" i="18"/>
  <c r="L39" i="18"/>
  <c r="K39" i="18"/>
  <c r="J39" i="18"/>
  <c r="I39" i="18"/>
  <c r="H39" i="18"/>
  <c r="G39" i="18"/>
  <c r="T38" i="18" l="1"/>
  <c r="T55" i="18" s="1"/>
  <c r="U38" i="18" l="1"/>
  <c r="K198" i="18"/>
  <c r="T198" i="18" s="1"/>
  <c r="T199" i="18" s="1"/>
  <c r="K197" i="18"/>
  <c r="V38" i="18" l="1"/>
  <c r="U212" i="18"/>
  <c r="U213" i="18" s="1"/>
  <c r="D210" i="18"/>
  <c r="G224" i="18" s="1"/>
  <c r="K224" i="18" s="1"/>
  <c r="H210" i="18"/>
  <c r="L26" i="18"/>
  <c r="L108" i="18"/>
  <c r="J108" i="18"/>
  <c r="H108" i="18"/>
  <c r="G108" i="18"/>
  <c r="I108" i="18"/>
  <c r="K108" i="18"/>
  <c r="M108" i="18"/>
  <c r="N108" i="18"/>
  <c r="O108" i="18"/>
  <c r="P108" i="18"/>
  <c r="H141" i="18"/>
  <c r="I141" i="18"/>
  <c r="J141" i="18"/>
  <c r="K141" i="18"/>
  <c r="L141" i="18"/>
  <c r="M141" i="18"/>
  <c r="N141" i="18"/>
  <c r="O141" i="18"/>
  <c r="P141" i="18"/>
  <c r="H140" i="18"/>
  <c r="I140" i="18"/>
  <c r="J140" i="18"/>
  <c r="K140" i="18"/>
  <c r="L140" i="18"/>
  <c r="M140" i="18"/>
  <c r="N140" i="18"/>
  <c r="O140" i="18"/>
  <c r="P140" i="18"/>
  <c r="G228" i="18"/>
  <c r="G229" i="18" s="1"/>
  <c r="AE57" i="18"/>
  <c r="H57" i="18"/>
  <c r="I57" i="18"/>
  <c r="J57" i="18"/>
  <c r="K57" i="18"/>
  <c r="L57" i="18"/>
  <c r="M57" i="18"/>
  <c r="N57" i="18"/>
  <c r="O57" i="18"/>
  <c r="P57" i="18"/>
  <c r="G57" i="18"/>
  <c r="H219" i="18"/>
  <c r="D218" i="18"/>
  <c r="G225" i="18" s="1"/>
  <c r="K225" i="18" s="1"/>
  <c r="H217" i="18"/>
  <c r="I217" i="18" s="1"/>
  <c r="J217" i="18" s="1"/>
  <c r="J218" i="18" s="1"/>
  <c r="H215" i="18"/>
  <c r="H209" i="18"/>
  <c r="H208" i="18"/>
  <c r="I208" i="18" s="1"/>
  <c r="J208" i="18" s="1"/>
  <c r="W38" i="18" l="1"/>
  <c r="G230" i="18"/>
  <c r="G227" i="18"/>
  <c r="D220" i="18"/>
  <c r="K228" i="18"/>
  <c r="R57" i="18"/>
  <c r="K227" i="18"/>
  <c r="I209" i="18"/>
  <c r="J209" i="18" s="1"/>
  <c r="I219" i="18"/>
  <c r="J219" i="18" s="1"/>
  <c r="J220" i="18" s="1"/>
  <c r="H92" i="18"/>
  <c r="I92" i="18"/>
  <c r="J92" i="18"/>
  <c r="K92" i="18"/>
  <c r="L92" i="18"/>
  <c r="M92" i="18"/>
  <c r="N92" i="18"/>
  <c r="O92" i="18"/>
  <c r="P92" i="18"/>
  <c r="G92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41" i="18"/>
  <c r="G140" i="18"/>
  <c r="AE14" i="18"/>
  <c r="S14" i="18"/>
  <c r="U209" i="18"/>
  <c r="U208" i="18"/>
  <c r="O209" i="18"/>
  <c r="O212" i="18" s="1"/>
  <c r="O208" i="18"/>
  <c r="H99" i="18"/>
  <c r="H105" i="18" s="1"/>
  <c r="I99" i="18"/>
  <c r="I105" i="18" s="1"/>
  <c r="J99" i="18"/>
  <c r="J105" i="18" s="1"/>
  <c r="K99" i="18"/>
  <c r="K105" i="18" s="1"/>
  <c r="L99" i="18"/>
  <c r="L105" i="18" s="1"/>
  <c r="M99" i="18"/>
  <c r="M105" i="18" s="1"/>
  <c r="N99" i="18"/>
  <c r="N105" i="18" s="1"/>
  <c r="O99" i="18"/>
  <c r="O105" i="18" s="1"/>
  <c r="P99" i="18"/>
  <c r="P105" i="18" s="1"/>
  <c r="G99" i="18"/>
  <c r="G105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G97" i="18"/>
  <c r="G103" i="18" s="1"/>
  <c r="H136" i="18"/>
  <c r="H137" i="18" s="1"/>
  <c r="I136" i="18"/>
  <c r="I137" i="18" s="1"/>
  <c r="J136" i="18"/>
  <c r="J137" i="18" s="1"/>
  <c r="K136" i="18"/>
  <c r="K137" i="18" s="1"/>
  <c r="L136" i="18"/>
  <c r="L137" i="18" s="1"/>
  <c r="M136" i="18"/>
  <c r="M137" i="18" s="1"/>
  <c r="N136" i="18"/>
  <c r="N137" i="18" s="1"/>
  <c r="O136" i="18"/>
  <c r="O137" i="18" s="1"/>
  <c r="P136" i="18"/>
  <c r="P137" i="18" s="1"/>
  <c r="G136" i="18"/>
  <c r="G137" i="18" s="1"/>
  <c r="X38" i="18" l="1"/>
  <c r="R105" i="18"/>
  <c r="R102" i="18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R103" i="18"/>
  <c r="I210" i="18"/>
  <c r="J210" i="18" s="1"/>
  <c r="R140" i="18"/>
  <c r="R141" i="18"/>
  <c r="R92" i="18"/>
  <c r="R99" i="18"/>
  <c r="R96" i="18"/>
  <c r="R137" i="18"/>
  <c r="R136" i="18"/>
  <c r="R97" i="18"/>
  <c r="P91" i="18"/>
  <c r="P90" i="18"/>
  <c r="H91" i="18"/>
  <c r="I91" i="18"/>
  <c r="J91" i="18"/>
  <c r="K91" i="18"/>
  <c r="L91" i="18"/>
  <c r="M91" i="18"/>
  <c r="N91" i="18"/>
  <c r="O91" i="18"/>
  <c r="G91" i="18"/>
  <c r="G90" i="18"/>
  <c r="H134" i="18"/>
  <c r="I134" i="18"/>
  <c r="J134" i="18"/>
  <c r="K134" i="18"/>
  <c r="L134" i="18"/>
  <c r="M134" i="18"/>
  <c r="N134" i="18"/>
  <c r="O134" i="18"/>
  <c r="P134" i="18"/>
  <c r="G134" i="18"/>
  <c r="H133" i="18"/>
  <c r="I133" i="18"/>
  <c r="J133" i="18"/>
  <c r="K133" i="18"/>
  <c r="L133" i="18"/>
  <c r="M133" i="18"/>
  <c r="N133" i="18"/>
  <c r="O133" i="18"/>
  <c r="P133" i="18"/>
  <c r="G133" i="18"/>
  <c r="H130" i="18"/>
  <c r="I130" i="18"/>
  <c r="J130" i="18"/>
  <c r="K130" i="18"/>
  <c r="L130" i="18"/>
  <c r="M130" i="18"/>
  <c r="N130" i="18"/>
  <c r="O130" i="18"/>
  <c r="P130" i="18"/>
  <c r="G130" i="18"/>
  <c r="H131" i="18"/>
  <c r="I131" i="18"/>
  <c r="J131" i="18"/>
  <c r="K131" i="18"/>
  <c r="L131" i="18"/>
  <c r="M131" i="18"/>
  <c r="N131" i="18"/>
  <c r="O131" i="18"/>
  <c r="P131" i="18"/>
  <c r="G131" i="18"/>
  <c r="H129" i="18"/>
  <c r="I129" i="18"/>
  <c r="J129" i="18"/>
  <c r="K129" i="18"/>
  <c r="L129" i="18"/>
  <c r="M129" i="18"/>
  <c r="N129" i="18"/>
  <c r="O129" i="18"/>
  <c r="P129" i="18"/>
  <c r="G129" i="18"/>
  <c r="H128" i="18"/>
  <c r="I128" i="18"/>
  <c r="J128" i="18"/>
  <c r="K128" i="18"/>
  <c r="L128" i="18"/>
  <c r="M128" i="18"/>
  <c r="N128" i="18"/>
  <c r="O128" i="18"/>
  <c r="P128" i="18"/>
  <c r="G128" i="18"/>
  <c r="S175" i="18"/>
  <c r="H125" i="18"/>
  <c r="I125" i="18"/>
  <c r="J125" i="18"/>
  <c r="K125" i="18"/>
  <c r="L125" i="18"/>
  <c r="M125" i="18"/>
  <c r="N125" i="18"/>
  <c r="O125" i="18"/>
  <c r="P125" i="18"/>
  <c r="G125" i="18"/>
  <c r="H124" i="18"/>
  <c r="I124" i="18"/>
  <c r="J124" i="18"/>
  <c r="K124" i="18"/>
  <c r="L124" i="18"/>
  <c r="M124" i="18"/>
  <c r="N124" i="18"/>
  <c r="O124" i="18"/>
  <c r="P124" i="18"/>
  <c r="G124" i="18"/>
  <c r="H123" i="18"/>
  <c r="I123" i="18"/>
  <c r="J123" i="18"/>
  <c r="K123" i="18"/>
  <c r="L123" i="18"/>
  <c r="M123" i="18"/>
  <c r="N123" i="18"/>
  <c r="O123" i="18"/>
  <c r="P123" i="18"/>
  <c r="G123" i="18"/>
  <c r="B125" i="18"/>
  <c r="B124" i="18"/>
  <c r="AE32" i="18"/>
  <c r="S32" i="18"/>
  <c r="G111" i="18"/>
  <c r="H111" i="18"/>
  <c r="I111" i="18"/>
  <c r="J111" i="18"/>
  <c r="K111" i="18"/>
  <c r="L111" i="18"/>
  <c r="M111" i="18"/>
  <c r="N111" i="18"/>
  <c r="O111" i="18"/>
  <c r="P111" i="18"/>
  <c r="T213" i="18"/>
  <c r="N212" i="18"/>
  <c r="T210" i="18"/>
  <c r="U210" i="18" s="1"/>
  <c r="U215" i="18" s="1"/>
  <c r="N210" i="18"/>
  <c r="O210" i="18" s="1"/>
  <c r="O215" i="18" s="1"/>
  <c r="H120" i="18"/>
  <c r="I120" i="18"/>
  <c r="J120" i="18"/>
  <c r="K120" i="18"/>
  <c r="L120" i="18"/>
  <c r="M120" i="18"/>
  <c r="N120" i="18"/>
  <c r="O120" i="18"/>
  <c r="P120" i="18"/>
  <c r="G120" i="18"/>
  <c r="H119" i="18"/>
  <c r="I119" i="18"/>
  <c r="J119" i="18"/>
  <c r="K119" i="18"/>
  <c r="L119" i="18"/>
  <c r="M119" i="18"/>
  <c r="N119" i="18"/>
  <c r="O119" i="18"/>
  <c r="P119" i="18"/>
  <c r="G119" i="18"/>
  <c r="I211" i="18" l="1"/>
  <c r="J211" i="18" s="1"/>
  <c r="I212" i="18" s="1"/>
  <c r="J212" i="18" s="1"/>
  <c r="I213" i="18" s="1"/>
  <c r="J213" i="18" s="1"/>
  <c r="I214" i="18" s="1"/>
  <c r="J214" i="18" s="1"/>
  <c r="I215" i="18" s="1"/>
  <c r="J215" i="18" s="1"/>
  <c r="J216" i="18" s="1"/>
  <c r="Y38" i="18"/>
  <c r="AD14" i="18"/>
  <c r="AF14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R131" i="18"/>
  <c r="R91" i="18"/>
  <c r="R128" i="18"/>
  <c r="R134" i="18"/>
  <c r="R133" i="18"/>
  <c r="R129" i="18"/>
  <c r="R130" i="18"/>
  <c r="R123" i="18"/>
  <c r="R124" i="18"/>
  <c r="R125" i="18"/>
  <c r="R111" i="18"/>
  <c r="N215" i="18"/>
  <c r="T215" i="18"/>
  <c r="R120" i="18"/>
  <c r="R119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T54" i="18" s="1"/>
  <c r="S40" i="18"/>
  <c r="T40" i="18" s="1"/>
  <c r="T52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6" i="18"/>
  <c r="AE58" i="18"/>
  <c r="AE59" i="18"/>
  <c r="AE60" i="18"/>
  <c r="AE62" i="18"/>
  <c r="AE63" i="18"/>
  <c r="AE64" i="18"/>
  <c r="AE66" i="18"/>
  <c r="AE67" i="18"/>
  <c r="AE68" i="18"/>
  <c r="AE69" i="18"/>
  <c r="AE71" i="18"/>
  <c r="AE72" i="18"/>
  <c r="AE74" i="18"/>
  <c r="AE76" i="18"/>
  <c r="AE77" i="18"/>
  <c r="AE78" i="18"/>
  <c r="AE79" i="18"/>
  <c r="AE80" i="18"/>
  <c r="AE82" i="18"/>
  <c r="AE83" i="18"/>
  <c r="AE84" i="18"/>
  <c r="AE7" i="18"/>
  <c r="AE6" i="18"/>
  <c r="Z38" i="18" l="1"/>
  <c r="AF32" i="18"/>
  <c r="T93" i="18"/>
  <c r="T31" i="18"/>
  <c r="R108" i="18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H98" i="18"/>
  <c r="H104" i="18" s="1"/>
  <c r="I98" i="18"/>
  <c r="I104" i="18" s="1"/>
  <c r="J98" i="18"/>
  <c r="J104" i="18" s="1"/>
  <c r="K98" i="18"/>
  <c r="K104" i="18" s="1"/>
  <c r="L98" i="18"/>
  <c r="L104" i="18" s="1"/>
  <c r="M98" i="18"/>
  <c r="M104" i="18" s="1"/>
  <c r="N98" i="18"/>
  <c r="N104" i="18" s="1"/>
  <c r="O98" i="18"/>
  <c r="O104" i="18" s="1"/>
  <c r="P98" i="18"/>
  <c r="P104" i="18" s="1"/>
  <c r="G98" i="18"/>
  <c r="G104" i="18" s="1"/>
  <c r="G95" i="18"/>
  <c r="G101" i="18" s="1"/>
  <c r="L30" i="18"/>
  <c r="K30" i="18"/>
  <c r="J30" i="18"/>
  <c r="I30" i="18"/>
  <c r="H30" i="18"/>
  <c r="G30" i="18"/>
  <c r="AA38" i="18" l="1"/>
  <c r="U31" i="18"/>
  <c r="T121" i="18"/>
  <c r="R101" i="18"/>
  <c r="R104" i="18"/>
  <c r="U29" i="18"/>
  <c r="R98" i="18"/>
  <c r="R95" i="18"/>
  <c r="H110" i="18"/>
  <c r="I110" i="18"/>
  <c r="J110" i="18"/>
  <c r="K110" i="18"/>
  <c r="L110" i="18"/>
  <c r="M110" i="18"/>
  <c r="N110" i="18"/>
  <c r="O110" i="18"/>
  <c r="P110" i="18"/>
  <c r="G110" i="18"/>
  <c r="H109" i="18"/>
  <c r="I109" i="18"/>
  <c r="J109" i="18"/>
  <c r="K109" i="18"/>
  <c r="L109" i="18"/>
  <c r="M109" i="18"/>
  <c r="N109" i="18"/>
  <c r="O109" i="18"/>
  <c r="P109" i="18"/>
  <c r="G109" i="18"/>
  <c r="AB38" i="18" l="1"/>
  <c r="V31" i="18"/>
  <c r="V29" i="18"/>
  <c r="R109" i="18"/>
  <c r="R110" i="18"/>
  <c r="AF71" i="18"/>
  <c r="AC38" i="18" l="1"/>
  <c r="W31" i="18"/>
  <c r="W29" i="18"/>
  <c r="G185" i="18"/>
  <c r="H185" i="18"/>
  <c r="I185" i="18"/>
  <c r="J185" i="18"/>
  <c r="K185" i="18"/>
  <c r="L185" i="18"/>
  <c r="M185" i="18"/>
  <c r="N185" i="18"/>
  <c r="O185" i="18"/>
  <c r="P185" i="18"/>
  <c r="C9" i="15"/>
  <c r="G72" i="18"/>
  <c r="G113" i="18" s="1"/>
  <c r="G114" i="18" s="1"/>
  <c r="G117" i="18" s="1"/>
  <c r="H72" i="18"/>
  <c r="H113" i="18" s="1"/>
  <c r="H114" i="18" s="1"/>
  <c r="H117" i="18" s="1"/>
  <c r="I72" i="18"/>
  <c r="I113" i="18" s="1"/>
  <c r="I114" i="18" s="1"/>
  <c r="I117" i="18" s="1"/>
  <c r="J72" i="18"/>
  <c r="J113" i="18" s="1"/>
  <c r="J114" i="18" s="1"/>
  <c r="J117" i="18" s="1"/>
  <c r="K72" i="18"/>
  <c r="K113" i="18" s="1"/>
  <c r="K114" i="18" s="1"/>
  <c r="K117" i="18" s="1"/>
  <c r="L72" i="18"/>
  <c r="L113" i="18" s="1"/>
  <c r="L114" i="18" s="1"/>
  <c r="L117" i="18" s="1"/>
  <c r="M72" i="18"/>
  <c r="M113" i="18" s="1"/>
  <c r="M114" i="18" s="1"/>
  <c r="M117" i="18" s="1"/>
  <c r="N72" i="18"/>
  <c r="N113" i="18" s="1"/>
  <c r="N114" i="18" s="1"/>
  <c r="N117" i="18" s="1"/>
  <c r="O72" i="18"/>
  <c r="O113" i="18" s="1"/>
  <c r="O114" i="18" s="1"/>
  <c r="O117" i="18" s="1"/>
  <c r="P72" i="18"/>
  <c r="P113" i="18" s="1"/>
  <c r="AD38" i="18" l="1"/>
  <c r="AF38" i="18"/>
  <c r="X31" i="18"/>
  <c r="T72" i="18"/>
  <c r="T113" i="18" s="1"/>
  <c r="T114" i="18" s="1"/>
  <c r="T117" i="18" s="1"/>
  <c r="X29" i="18"/>
  <c r="R185" i="18"/>
  <c r="N115" i="18"/>
  <c r="N116" i="18" s="1"/>
  <c r="J115" i="18"/>
  <c r="J116" i="18" s="1"/>
  <c r="L115" i="18"/>
  <c r="L116" i="18" s="1"/>
  <c r="H115" i="18"/>
  <c r="H116" i="18" s="1"/>
  <c r="M115" i="18"/>
  <c r="M116" i="18" s="1"/>
  <c r="I115" i="18"/>
  <c r="I116" i="18" s="1"/>
  <c r="O115" i="18"/>
  <c r="O116" i="18" s="1"/>
  <c r="K115" i="18"/>
  <c r="K116" i="18" s="1"/>
  <c r="G115" i="18"/>
  <c r="G116" i="18" s="1"/>
  <c r="P114" i="18"/>
  <c r="P117" i="18" s="1"/>
  <c r="R117" i="18" s="1"/>
  <c r="R113" i="18"/>
  <c r="U44" i="18"/>
  <c r="Y31" i="18" l="1"/>
  <c r="V44" i="18"/>
  <c r="Y29" i="18"/>
  <c r="P115" i="18"/>
  <c r="R114" i="18"/>
  <c r="U72" i="18"/>
  <c r="G82" i="18"/>
  <c r="G138" i="18" s="1"/>
  <c r="H82" i="18"/>
  <c r="H138" i="18" s="1"/>
  <c r="I82" i="18"/>
  <c r="I138" i="18" s="1"/>
  <c r="J82" i="18"/>
  <c r="J138" i="18" s="1"/>
  <c r="K82" i="18"/>
  <c r="K138" i="18" s="1"/>
  <c r="L82" i="18"/>
  <c r="L138" i="18" s="1"/>
  <c r="M82" i="18"/>
  <c r="M138" i="18" s="1"/>
  <c r="N82" i="18"/>
  <c r="N138" i="18" s="1"/>
  <c r="O82" i="18"/>
  <c r="O138" i="18" s="1"/>
  <c r="G83" i="18"/>
  <c r="H83" i="18"/>
  <c r="I83" i="18"/>
  <c r="J83" i="18"/>
  <c r="K83" i="18"/>
  <c r="L83" i="18"/>
  <c r="M83" i="18"/>
  <c r="N83" i="18"/>
  <c r="O83" i="18"/>
  <c r="G84" i="18"/>
  <c r="H84" i="18"/>
  <c r="I84" i="18"/>
  <c r="J84" i="18"/>
  <c r="K84" i="18"/>
  <c r="L84" i="18"/>
  <c r="M84" i="18"/>
  <c r="N84" i="18"/>
  <c r="O84" i="18"/>
  <c r="P84" i="18"/>
  <c r="P83" i="18"/>
  <c r="P82" i="18"/>
  <c r="P138" i="18" s="1"/>
  <c r="H90" i="18"/>
  <c r="I90" i="18"/>
  <c r="J90" i="18"/>
  <c r="K90" i="18"/>
  <c r="L90" i="18"/>
  <c r="M90" i="18"/>
  <c r="N90" i="18"/>
  <c r="O90" i="18"/>
  <c r="G89" i="18"/>
  <c r="H89" i="18"/>
  <c r="I89" i="18"/>
  <c r="J89" i="18"/>
  <c r="K89" i="18"/>
  <c r="L89" i="18"/>
  <c r="M89" i="18"/>
  <c r="N89" i="18"/>
  <c r="O89" i="18"/>
  <c r="G88" i="18"/>
  <c r="H88" i="18"/>
  <c r="I88" i="18"/>
  <c r="J88" i="18"/>
  <c r="K88" i="18"/>
  <c r="L88" i="18"/>
  <c r="M88" i="18"/>
  <c r="N88" i="18"/>
  <c r="O88" i="18"/>
  <c r="P89" i="18"/>
  <c r="G41" i="18"/>
  <c r="G28" i="18"/>
  <c r="G11" i="18"/>
  <c r="G8" i="18"/>
  <c r="G26" i="18"/>
  <c r="Z31" i="18" l="1"/>
  <c r="W44" i="18"/>
  <c r="V72" i="18"/>
  <c r="R138" i="18"/>
  <c r="Z29" i="18"/>
  <c r="R84" i="18"/>
  <c r="R82" i="18"/>
  <c r="R83" i="18"/>
  <c r="R89" i="18"/>
  <c r="R90" i="18"/>
  <c r="P88" i="18"/>
  <c r="R88" i="18" s="1"/>
  <c r="H203" i="18"/>
  <c r="I203" i="18"/>
  <c r="J203" i="18"/>
  <c r="K203" i="18"/>
  <c r="L203" i="18"/>
  <c r="M203" i="18"/>
  <c r="N203" i="18"/>
  <c r="O203" i="18"/>
  <c r="P203" i="18"/>
  <c r="G203" i="18"/>
  <c r="H202" i="18"/>
  <c r="I202" i="18"/>
  <c r="J202" i="18"/>
  <c r="K202" i="18"/>
  <c r="L202" i="18"/>
  <c r="M202" i="18"/>
  <c r="N202" i="18"/>
  <c r="O202" i="18"/>
  <c r="P202" i="18"/>
  <c r="G202" i="18"/>
  <c r="H201" i="18"/>
  <c r="I201" i="18"/>
  <c r="J201" i="18"/>
  <c r="K201" i="18"/>
  <c r="L201" i="18"/>
  <c r="M201" i="18"/>
  <c r="N201" i="18"/>
  <c r="O201" i="18"/>
  <c r="P201" i="18"/>
  <c r="G201" i="18"/>
  <c r="H51" i="18"/>
  <c r="I51" i="18"/>
  <c r="J51" i="18"/>
  <c r="K51" i="18"/>
  <c r="L51" i="18"/>
  <c r="M51" i="18"/>
  <c r="N51" i="18"/>
  <c r="O51" i="18"/>
  <c r="P51" i="18"/>
  <c r="G51" i="18"/>
  <c r="G56" i="18"/>
  <c r="H50" i="18"/>
  <c r="H176" i="18" s="1"/>
  <c r="I50" i="18"/>
  <c r="I176" i="18" s="1"/>
  <c r="J50" i="18"/>
  <c r="J176" i="18" s="1"/>
  <c r="K50" i="18"/>
  <c r="K176" i="18" s="1"/>
  <c r="L50" i="18"/>
  <c r="L176" i="18" s="1"/>
  <c r="M50" i="18"/>
  <c r="M176" i="18" s="1"/>
  <c r="N50" i="18"/>
  <c r="N176" i="18" s="1"/>
  <c r="O50" i="18"/>
  <c r="O176" i="18" s="1"/>
  <c r="P50" i="18"/>
  <c r="P176" i="18" s="1"/>
  <c r="G50" i="18"/>
  <c r="G176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T96" i="18"/>
  <c r="T102" i="18" s="1"/>
  <c r="AA31" i="18" l="1"/>
  <c r="G184" i="18"/>
  <c r="X44" i="18"/>
  <c r="W72" i="18"/>
  <c r="R176" i="18"/>
  <c r="AA29" i="18"/>
  <c r="U36" i="18"/>
  <c r="R203" i="18"/>
  <c r="R51" i="18"/>
  <c r="R50" i="18"/>
  <c r="R202" i="18"/>
  <c r="R201" i="18"/>
  <c r="U96" i="18" l="1"/>
  <c r="U102" i="18" s="1"/>
  <c r="AB31" i="18"/>
  <c r="Y44" i="18"/>
  <c r="X72" i="18"/>
  <c r="AB29" i="18"/>
  <c r="V36" i="18"/>
  <c r="I79" i="18"/>
  <c r="J79" i="18"/>
  <c r="K79" i="18"/>
  <c r="L79" i="18"/>
  <c r="M79" i="18"/>
  <c r="N79" i="18"/>
  <c r="O79" i="18"/>
  <c r="P79" i="18"/>
  <c r="I80" i="18"/>
  <c r="J80" i="18"/>
  <c r="K80" i="18"/>
  <c r="L80" i="18"/>
  <c r="M80" i="18"/>
  <c r="N80" i="18"/>
  <c r="O80" i="18"/>
  <c r="P80" i="18"/>
  <c r="I74" i="18"/>
  <c r="I76" i="18" s="1"/>
  <c r="J74" i="18"/>
  <c r="J76" i="18" s="1"/>
  <c r="K74" i="18"/>
  <c r="K76" i="18" s="1"/>
  <c r="L74" i="18"/>
  <c r="L76" i="18" s="1"/>
  <c r="M74" i="18"/>
  <c r="M76" i="18" s="1"/>
  <c r="N74" i="18"/>
  <c r="N76" i="18" s="1"/>
  <c r="O74" i="18"/>
  <c r="O76" i="18" s="1"/>
  <c r="P74" i="18"/>
  <c r="P76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G77" i="18"/>
  <c r="G78" i="18"/>
  <c r="G79" i="18"/>
  <c r="G80" i="18"/>
  <c r="H80" i="18"/>
  <c r="H79" i="18"/>
  <c r="U22" i="18"/>
  <c r="V22" i="18" s="1"/>
  <c r="W22" i="18" s="1"/>
  <c r="X22" i="18" s="1"/>
  <c r="Y22" i="18" s="1"/>
  <c r="Z22" i="18" s="1"/>
  <c r="AA22" i="18" s="1"/>
  <c r="AB22" i="18" s="1"/>
  <c r="AC22" i="18" s="1"/>
  <c r="G74" i="18"/>
  <c r="G76" i="18" s="1"/>
  <c r="H74" i="18"/>
  <c r="H76" i="18" s="1"/>
  <c r="H78" i="18"/>
  <c r="H77" i="18"/>
  <c r="V96" i="18" l="1"/>
  <c r="V102" i="18" s="1"/>
  <c r="AC31" i="18"/>
  <c r="AD31" i="18" s="1"/>
  <c r="Z44" i="18"/>
  <c r="Y72" i="18"/>
  <c r="U23" i="18"/>
  <c r="T99" i="18"/>
  <c r="T105" i="18" s="1"/>
  <c r="AC29" i="18"/>
  <c r="AD22" i="18"/>
  <c r="AF22" i="18"/>
  <c r="W36" i="18"/>
  <c r="R79" i="18"/>
  <c r="R80" i="18"/>
  <c r="R78" i="18"/>
  <c r="R76" i="18"/>
  <c r="R77" i="18"/>
  <c r="R74" i="18"/>
  <c r="T57" i="18"/>
  <c r="U21" i="18"/>
  <c r="R72" i="18"/>
  <c r="R175" i="18"/>
  <c r="AF31" i="18" l="1"/>
  <c r="W96" i="18"/>
  <c r="W102" i="18" s="1"/>
  <c r="Z72" i="18"/>
  <c r="AA44" i="18"/>
  <c r="V23" i="18"/>
  <c r="U99" i="18"/>
  <c r="U105" i="18" s="1"/>
  <c r="AF29" i="18"/>
  <c r="AD29" i="18"/>
  <c r="U20" i="18"/>
  <c r="T74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2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O70" i="18"/>
  <c r="O182" i="18" s="1"/>
  <c r="O69" i="18"/>
  <c r="O67" i="18"/>
  <c r="O66" i="18"/>
  <c r="O64" i="18"/>
  <c r="O183" i="18" s="1"/>
  <c r="O63" i="18"/>
  <c r="O62" i="18"/>
  <c r="O60" i="18"/>
  <c r="O59" i="18"/>
  <c r="O180" i="18" s="1"/>
  <c r="O58" i="18"/>
  <c r="O56" i="18"/>
  <c r="X96" i="18" l="1"/>
  <c r="X102" i="18" s="1"/>
  <c r="AA72" i="18"/>
  <c r="AB44" i="18"/>
  <c r="U74" i="18"/>
  <c r="T130" i="18"/>
  <c r="T140" i="18"/>
  <c r="T131" i="18"/>
  <c r="T141" i="18"/>
  <c r="W23" i="18"/>
  <c r="V99" i="18"/>
  <c r="V105" i="18" s="1"/>
  <c r="T124" i="18"/>
  <c r="T125" i="18"/>
  <c r="T123" i="18"/>
  <c r="T111" i="18"/>
  <c r="P116" i="18"/>
  <c r="R116" i="18" s="1"/>
  <c r="R115" i="18"/>
  <c r="T95" i="18"/>
  <c r="T101" i="18" s="1"/>
  <c r="T120" i="18"/>
  <c r="T119" i="18"/>
  <c r="U18" i="18"/>
  <c r="O177" i="18"/>
  <c r="O186" i="18" s="1"/>
  <c r="O187" i="18" s="1"/>
  <c r="O184" i="18"/>
  <c r="V20" i="18"/>
  <c r="U27" i="18"/>
  <c r="Y36" i="18"/>
  <c r="U25" i="18"/>
  <c r="T88" i="18"/>
  <c r="W21" i="18"/>
  <c r="AD33" i="18"/>
  <c r="AD34" i="18"/>
  <c r="AD9" i="18"/>
  <c r="O68" i="18"/>
  <c r="O181" i="18" s="1"/>
  <c r="G64" i="18"/>
  <c r="G183" i="18" s="1"/>
  <c r="H64" i="18"/>
  <c r="H183" i="18" s="1"/>
  <c r="I64" i="18"/>
  <c r="I183" i="18" s="1"/>
  <c r="J64" i="18"/>
  <c r="J183" i="18" s="1"/>
  <c r="K64" i="18"/>
  <c r="K183" i="18" s="1"/>
  <c r="L64" i="18"/>
  <c r="L183" i="18" s="1"/>
  <c r="M64" i="18"/>
  <c r="M183" i="18" s="1"/>
  <c r="N64" i="18"/>
  <c r="N183" i="18" s="1"/>
  <c r="P64" i="18"/>
  <c r="Y96" i="18" l="1"/>
  <c r="Y102" i="18" s="1"/>
  <c r="U92" i="18"/>
  <c r="U121" i="18"/>
  <c r="AC44" i="18"/>
  <c r="AB72" i="18"/>
  <c r="U131" i="18"/>
  <c r="U141" i="18"/>
  <c r="U130" i="18"/>
  <c r="U140" i="18"/>
  <c r="X23" i="18"/>
  <c r="W99" i="18"/>
  <c r="W105" i="18" s="1"/>
  <c r="U123" i="18"/>
  <c r="U125" i="18"/>
  <c r="U124" i="18"/>
  <c r="U111" i="18"/>
  <c r="U95" i="18"/>
  <c r="U101" i="18" s="1"/>
  <c r="U120" i="18"/>
  <c r="U119" i="18"/>
  <c r="V18" i="18"/>
  <c r="W20" i="18"/>
  <c r="V74" i="18"/>
  <c r="V27" i="18"/>
  <c r="V25" i="18"/>
  <c r="V121" i="18" s="1"/>
  <c r="U88" i="18"/>
  <c r="Z36" i="18"/>
  <c r="X21" i="18"/>
  <c r="P183" i="18"/>
  <c r="R183" i="18" s="1"/>
  <c r="R64" i="18"/>
  <c r="G63" i="18"/>
  <c r="H63" i="18"/>
  <c r="I63" i="18"/>
  <c r="J63" i="18"/>
  <c r="K63" i="18"/>
  <c r="L63" i="18"/>
  <c r="M63" i="18"/>
  <c r="N63" i="18"/>
  <c r="P63" i="18"/>
  <c r="G62" i="18"/>
  <c r="H62" i="18"/>
  <c r="I62" i="18"/>
  <c r="J62" i="18"/>
  <c r="K62" i="18"/>
  <c r="L62" i="18"/>
  <c r="M62" i="18"/>
  <c r="N62" i="18"/>
  <c r="P62" i="18"/>
  <c r="Z96" i="18" l="1"/>
  <c r="Z102" i="18" s="1"/>
  <c r="AF44" i="18"/>
  <c r="AC72" i="18"/>
  <c r="AD44" i="18"/>
  <c r="V130" i="18"/>
  <c r="V140" i="18"/>
  <c r="V131" i="18"/>
  <c r="V141" i="18"/>
  <c r="V92" i="18"/>
  <c r="Y23" i="18"/>
  <c r="X99" i="18"/>
  <c r="X105" i="18" s="1"/>
  <c r="V125" i="18"/>
  <c r="V124" i="18"/>
  <c r="V123" i="18"/>
  <c r="V111" i="18"/>
  <c r="V95" i="18"/>
  <c r="V101" i="18" s="1"/>
  <c r="V120" i="18"/>
  <c r="V119" i="18"/>
  <c r="W18" i="18"/>
  <c r="X20" i="18"/>
  <c r="W74" i="18"/>
  <c r="W27" i="18"/>
  <c r="W25" i="18"/>
  <c r="V88" i="18"/>
  <c r="AA36" i="18"/>
  <c r="Y21" i="18"/>
  <c r="R62" i="18"/>
  <c r="R63" i="18"/>
  <c r="C46" i="15"/>
  <c r="AA96" i="18" l="1"/>
  <c r="AA102" i="18" s="1"/>
  <c r="W92" i="18"/>
  <c r="W121" i="18"/>
  <c r="T162" i="18"/>
  <c r="Q190" i="18" s="1"/>
  <c r="AF72" i="18"/>
  <c r="U162" i="18" s="1"/>
  <c r="AD72" i="18"/>
  <c r="W131" i="18"/>
  <c r="W141" i="18"/>
  <c r="W130" i="18"/>
  <c r="W140" i="18"/>
  <c r="Z23" i="18"/>
  <c r="Y99" i="18"/>
  <c r="Y105" i="18" s="1"/>
  <c r="W111" i="18"/>
  <c r="W125" i="18"/>
  <c r="W124" i="18"/>
  <c r="W123" i="18"/>
  <c r="W95" i="18"/>
  <c r="W101" i="18" s="1"/>
  <c r="W120" i="18"/>
  <c r="W119" i="18"/>
  <c r="X18" i="18"/>
  <c r="Y20" i="18"/>
  <c r="X74" i="18"/>
  <c r="X27" i="18"/>
  <c r="X25" i="18"/>
  <c r="X121" i="18" s="1"/>
  <c r="W88" i="18"/>
  <c r="AB36" i="18"/>
  <c r="Z21" i="18"/>
  <c r="T175" i="18"/>
  <c r="H56" i="18"/>
  <c r="I56" i="18"/>
  <c r="J56" i="18"/>
  <c r="K56" i="18"/>
  <c r="L56" i="18"/>
  <c r="L184" i="18" s="1"/>
  <c r="M56" i="18"/>
  <c r="N56" i="18"/>
  <c r="N184" i="18" s="1"/>
  <c r="P56" i="18"/>
  <c r="G70" i="18"/>
  <c r="H70" i="18"/>
  <c r="H182" i="18" s="1"/>
  <c r="I70" i="18"/>
  <c r="I182" i="18" s="1"/>
  <c r="J70" i="18"/>
  <c r="J182" i="18" s="1"/>
  <c r="K70" i="18"/>
  <c r="K182" i="18" s="1"/>
  <c r="L70" i="18"/>
  <c r="L182" i="18" s="1"/>
  <c r="M70" i="18"/>
  <c r="M182" i="18" s="1"/>
  <c r="N70" i="18"/>
  <c r="P70" i="18"/>
  <c r="G69" i="18"/>
  <c r="H69" i="18"/>
  <c r="I69" i="18"/>
  <c r="J69" i="18"/>
  <c r="K69" i="18"/>
  <c r="L69" i="18"/>
  <c r="M69" i="18"/>
  <c r="N69" i="18"/>
  <c r="P69" i="18"/>
  <c r="G67" i="18"/>
  <c r="H67" i="18"/>
  <c r="I67" i="18"/>
  <c r="J67" i="18"/>
  <c r="K67" i="18"/>
  <c r="L67" i="18"/>
  <c r="M67" i="18"/>
  <c r="N67" i="18"/>
  <c r="P67" i="18"/>
  <c r="G66" i="18"/>
  <c r="H66" i="18"/>
  <c r="I66" i="18"/>
  <c r="J66" i="18"/>
  <c r="K66" i="18"/>
  <c r="L66" i="18"/>
  <c r="M66" i="18"/>
  <c r="N66" i="18"/>
  <c r="P66" i="18"/>
  <c r="G60" i="18"/>
  <c r="H60" i="18"/>
  <c r="I60" i="18"/>
  <c r="J60" i="18"/>
  <c r="K60" i="18"/>
  <c r="L60" i="18"/>
  <c r="M60" i="18"/>
  <c r="N60" i="18"/>
  <c r="P60" i="18"/>
  <c r="G59" i="18"/>
  <c r="H59" i="18"/>
  <c r="H180" i="18" s="1"/>
  <c r="I59" i="18"/>
  <c r="I180" i="18" s="1"/>
  <c r="J59" i="18"/>
  <c r="J180" i="18" s="1"/>
  <c r="K59" i="18"/>
  <c r="K180" i="18" s="1"/>
  <c r="L59" i="18"/>
  <c r="L180" i="18" s="1"/>
  <c r="M59" i="18"/>
  <c r="M180" i="18" s="1"/>
  <c r="N59" i="18"/>
  <c r="P59" i="18"/>
  <c r="G58" i="18"/>
  <c r="H58" i="18"/>
  <c r="I58" i="18"/>
  <c r="J58" i="18"/>
  <c r="K58" i="18"/>
  <c r="L58" i="18"/>
  <c r="M58" i="18"/>
  <c r="N58" i="18"/>
  <c r="P58" i="18"/>
  <c r="T128" i="18"/>
  <c r="T136" i="18"/>
  <c r="T137" i="18" s="1"/>
  <c r="T97" i="18"/>
  <c r="T103" i="18" s="1"/>
  <c r="T185" i="18" l="1"/>
  <c r="T179" i="18"/>
  <c r="T178" i="18"/>
  <c r="R144" i="18"/>
  <c r="T197" i="18" s="1"/>
  <c r="T196" i="18" s="1"/>
  <c r="AB96" i="18"/>
  <c r="AB102" i="18" s="1"/>
  <c r="T108" i="18"/>
  <c r="S162" i="18"/>
  <c r="P190" i="18" s="1"/>
  <c r="X130" i="18"/>
  <c r="X140" i="18"/>
  <c r="X92" i="18"/>
  <c r="X131" i="18"/>
  <c r="X141" i="18"/>
  <c r="AA23" i="18"/>
  <c r="Z99" i="18"/>
  <c r="Z105" i="18" s="1"/>
  <c r="T90" i="18"/>
  <c r="T91" i="18"/>
  <c r="T134" i="18"/>
  <c r="T133" i="18"/>
  <c r="T98" i="18"/>
  <c r="T104" i="18" s="1"/>
  <c r="T129" i="18"/>
  <c r="H184" i="18"/>
  <c r="H177" i="18"/>
  <c r="H186" i="18" s="1"/>
  <c r="H187" i="18" s="1"/>
  <c r="X111" i="18"/>
  <c r="X124" i="18"/>
  <c r="X123" i="18"/>
  <c r="X125" i="18"/>
  <c r="T110" i="18"/>
  <c r="T115" i="18"/>
  <c r="T116" i="18" s="1"/>
  <c r="X95" i="18"/>
  <c r="X101" i="18" s="1"/>
  <c r="X120" i="18"/>
  <c r="X119" i="18"/>
  <c r="T109" i="18"/>
  <c r="Y18" i="18"/>
  <c r="P177" i="18"/>
  <c r="P186" i="18" s="1"/>
  <c r="P184" i="18"/>
  <c r="R184" i="18" s="1"/>
  <c r="K177" i="18"/>
  <c r="K186" i="18" s="1"/>
  <c r="K187" i="18" s="1"/>
  <c r="K184" i="18"/>
  <c r="J177" i="18"/>
  <c r="J186" i="18" s="1"/>
  <c r="J187" i="18" s="1"/>
  <c r="J184" i="18"/>
  <c r="M177" i="18"/>
  <c r="M186" i="18" s="1"/>
  <c r="M187" i="18" s="1"/>
  <c r="M184" i="18"/>
  <c r="I177" i="18"/>
  <c r="I186" i="18" s="1"/>
  <c r="I187" i="18" s="1"/>
  <c r="I184" i="18"/>
  <c r="Z20" i="18"/>
  <c r="Y74" i="18"/>
  <c r="H68" i="18"/>
  <c r="H181" i="18" s="1"/>
  <c r="Y27" i="18"/>
  <c r="U12" i="18"/>
  <c r="U15" i="18"/>
  <c r="U128" i="18" s="1"/>
  <c r="U13" i="18"/>
  <c r="U10" i="18"/>
  <c r="U16" i="18"/>
  <c r="U136" i="18" s="1"/>
  <c r="U137" i="18" s="1"/>
  <c r="U6" i="18"/>
  <c r="U7" i="18"/>
  <c r="Y25" i="18"/>
  <c r="X88" i="18"/>
  <c r="U40" i="18"/>
  <c r="T89" i="18"/>
  <c r="AC36" i="18"/>
  <c r="L68" i="18"/>
  <c r="L181" i="18" s="1"/>
  <c r="K68" i="18"/>
  <c r="K181" i="18" s="1"/>
  <c r="J68" i="18"/>
  <c r="J181" i="18" s="1"/>
  <c r="AA21" i="18"/>
  <c r="U175" i="18"/>
  <c r="U185" i="18" s="1"/>
  <c r="I68" i="18"/>
  <c r="I181" i="18" s="1"/>
  <c r="R58" i="18"/>
  <c r="G180" i="18"/>
  <c r="R59" i="18"/>
  <c r="R60" i="18"/>
  <c r="R67" i="18"/>
  <c r="R69" i="18"/>
  <c r="G177" i="18"/>
  <c r="G186" i="18" s="1"/>
  <c r="G187" i="18" s="1"/>
  <c r="R56" i="18"/>
  <c r="G182" i="18"/>
  <c r="R70" i="18"/>
  <c r="G68" i="18"/>
  <c r="R66" i="18"/>
  <c r="N180" i="18"/>
  <c r="N177" i="18"/>
  <c r="N186" i="18" s="1"/>
  <c r="N187" i="18" s="1"/>
  <c r="N182" i="18"/>
  <c r="P180" i="18"/>
  <c r="L177" i="18"/>
  <c r="L186" i="18" s="1"/>
  <c r="L187" i="18" s="1"/>
  <c r="N68" i="18"/>
  <c r="M68" i="18"/>
  <c r="M181" i="18" s="1"/>
  <c r="P182" i="18"/>
  <c r="P68" i="18"/>
  <c r="T67" i="18"/>
  <c r="C6" i="12"/>
  <c r="C26" i="15"/>
  <c r="C58" i="15"/>
  <c r="C57" i="15"/>
  <c r="C54" i="15"/>
  <c r="C53" i="15"/>
  <c r="C50" i="15"/>
  <c r="C49" i="15"/>
  <c r="C45" i="15"/>
  <c r="Q197" i="18" l="1"/>
  <c r="P197" i="18"/>
  <c r="Y92" i="18"/>
  <c r="Y121" i="18"/>
  <c r="P187" i="18"/>
  <c r="R186" i="18"/>
  <c r="U97" i="18"/>
  <c r="U103" i="18" s="1"/>
  <c r="U52" i="18"/>
  <c r="U93" i="18" s="1"/>
  <c r="U198" i="18"/>
  <c r="V198" i="18" s="1"/>
  <c r="W198" i="18" s="1"/>
  <c r="X198" i="18" s="1"/>
  <c r="Y198" i="18" s="1"/>
  <c r="Z198" i="18" s="1"/>
  <c r="AA198" i="18" s="1"/>
  <c r="AB198" i="18" s="1"/>
  <c r="AC198" i="18" s="1"/>
  <c r="AD198" i="18" s="1"/>
  <c r="AE198" i="18" s="1"/>
  <c r="AF198" i="18" s="1"/>
  <c r="AG198" i="18" s="1"/>
  <c r="AH198" i="18" s="1"/>
  <c r="AI198" i="18" s="1"/>
  <c r="AJ198" i="18" s="1"/>
  <c r="AK198" i="18" s="1"/>
  <c r="AL198" i="18" s="1"/>
  <c r="AM198" i="18" s="1"/>
  <c r="AN198" i="18" s="1"/>
  <c r="AO198" i="18" s="1"/>
  <c r="AP198" i="18" s="1"/>
  <c r="AQ198" i="18" s="1"/>
  <c r="AR198" i="18" s="1"/>
  <c r="AS198" i="18" s="1"/>
  <c r="AT198" i="18" s="1"/>
  <c r="U108" i="18"/>
  <c r="Y130" i="18"/>
  <c r="Y140" i="18"/>
  <c r="Y131" i="18"/>
  <c r="Y141" i="18"/>
  <c r="AF36" i="18"/>
  <c r="AC96" i="18"/>
  <c r="AB23" i="18"/>
  <c r="AA99" i="18"/>
  <c r="AA105" i="18" s="1"/>
  <c r="U134" i="18"/>
  <c r="U133" i="18"/>
  <c r="U98" i="18"/>
  <c r="U104" i="18" s="1"/>
  <c r="U129" i="18"/>
  <c r="U91" i="18"/>
  <c r="Y123" i="18"/>
  <c r="Y124" i="18"/>
  <c r="Y125" i="18"/>
  <c r="Y111" i="18"/>
  <c r="Y95" i="18"/>
  <c r="Y101" i="18" s="1"/>
  <c r="Y120" i="18"/>
  <c r="Y119" i="18"/>
  <c r="U109" i="18"/>
  <c r="U110" i="18"/>
  <c r="Z18" i="18"/>
  <c r="AA20" i="18"/>
  <c r="Z74" i="18"/>
  <c r="T66" i="18"/>
  <c r="T83" i="18"/>
  <c r="T62" i="18"/>
  <c r="T64" i="18"/>
  <c r="T183" i="18" s="1"/>
  <c r="T70" i="18"/>
  <c r="T182" i="18" s="1"/>
  <c r="T80" i="18"/>
  <c r="T82" i="18"/>
  <c r="T138" i="18" s="1"/>
  <c r="T51" i="18"/>
  <c r="T50" i="18"/>
  <c r="T176" i="18" s="1"/>
  <c r="T63" i="18"/>
  <c r="T59" i="18"/>
  <c r="T60" i="18"/>
  <c r="T69" i="18"/>
  <c r="T58" i="18"/>
  <c r="T84" i="18"/>
  <c r="T56" i="18"/>
  <c r="T184" i="18" s="1"/>
  <c r="Z27" i="18"/>
  <c r="V15" i="18"/>
  <c r="V128" i="18" s="1"/>
  <c r="V13" i="18"/>
  <c r="V12" i="18"/>
  <c r="T68" i="18"/>
  <c r="V16" i="18"/>
  <c r="V136" i="18" s="1"/>
  <c r="V137" i="18" s="1"/>
  <c r="V10" i="18"/>
  <c r="V7" i="18"/>
  <c r="V6" i="18"/>
  <c r="AD36" i="18"/>
  <c r="Z25" i="18"/>
  <c r="Y88" i="18"/>
  <c r="V40" i="18"/>
  <c r="U90" i="18"/>
  <c r="U89" i="18"/>
  <c r="U42" i="18"/>
  <c r="T77" i="18"/>
  <c r="T78" i="18"/>
  <c r="T79" i="18"/>
  <c r="T76" i="18"/>
  <c r="AB21" i="18"/>
  <c r="V175" i="18"/>
  <c r="V185" i="18" s="1"/>
  <c r="R180" i="18"/>
  <c r="R177" i="18"/>
  <c r="R182" i="18"/>
  <c r="G181" i="18"/>
  <c r="R68" i="18"/>
  <c r="N181" i="18"/>
  <c r="P181" i="18"/>
  <c r="C16" i="15"/>
  <c r="C21" i="15"/>
  <c r="C10" i="15"/>
  <c r="U55" i="18" l="1"/>
  <c r="U179" i="18" s="1"/>
  <c r="U54" i="18"/>
  <c r="U178" i="18" s="1"/>
  <c r="Z92" i="18"/>
  <c r="Z121" i="18"/>
  <c r="V97" i="18"/>
  <c r="V103" i="18" s="1"/>
  <c r="V52" i="18"/>
  <c r="V93" i="18" s="1"/>
  <c r="U199" i="18"/>
  <c r="V199" i="18" s="1"/>
  <c r="W199" i="18" s="1"/>
  <c r="X199" i="18" s="1"/>
  <c r="Y199" i="18" s="1"/>
  <c r="Z199" i="18" s="1"/>
  <c r="AA199" i="18" s="1"/>
  <c r="AB199" i="18" s="1"/>
  <c r="AC199" i="18" s="1"/>
  <c r="AD199" i="18" s="1"/>
  <c r="AE199" i="18" s="1"/>
  <c r="AF199" i="18" s="1"/>
  <c r="AG199" i="18" s="1"/>
  <c r="AH199" i="18" s="1"/>
  <c r="AI199" i="18" s="1"/>
  <c r="AJ199" i="18" s="1"/>
  <c r="AK199" i="18" s="1"/>
  <c r="AL199" i="18" s="1"/>
  <c r="AM199" i="18" s="1"/>
  <c r="AN199" i="18" s="1"/>
  <c r="AO199" i="18" s="1"/>
  <c r="AP199" i="18" s="1"/>
  <c r="AQ199" i="18" s="1"/>
  <c r="AR199" i="18" s="1"/>
  <c r="AS199" i="18" s="1"/>
  <c r="AT199" i="18" s="1"/>
  <c r="AD96" i="18"/>
  <c r="AC102" i="18"/>
  <c r="AD102" i="18" s="1"/>
  <c r="U197" i="18"/>
  <c r="V197" i="18" s="1"/>
  <c r="W197" i="18" s="1"/>
  <c r="X197" i="18" s="1"/>
  <c r="Y197" i="18" s="1"/>
  <c r="Z197" i="18" s="1"/>
  <c r="AA197" i="18" s="1"/>
  <c r="AB197" i="18" s="1"/>
  <c r="AC197" i="18" s="1"/>
  <c r="AD197" i="18" s="1"/>
  <c r="V108" i="18"/>
  <c r="U113" i="18"/>
  <c r="U114" i="18" s="1"/>
  <c r="U57" i="18"/>
  <c r="Z130" i="18"/>
  <c r="Z140" i="18"/>
  <c r="Z131" i="18"/>
  <c r="Z141" i="18"/>
  <c r="AC23" i="18"/>
  <c r="AB99" i="18"/>
  <c r="AB105" i="18" s="1"/>
  <c r="V98" i="18"/>
  <c r="V104" i="18" s="1"/>
  <c r="V129" i="18"/>
  <c r="V134" i="18"/>
  <c r="V133" i="18"/>
  <c r="V91" i="18"/>
  <c r="Z125" i="18"/>
  <c r="Z124" i="18"/>
  <c r="Z123" i="18"/>
  <c r="Z111" i="18"/>
  <c r="U66" i="18"/>
  <c r="Z95" i="18"/>
  <c r="Z101" i="18" s="1"/>
  <c r="Z120" i="18"/>
  <c r="Z119" i="18"/>
  <c r="V109" i="18"/>
  <c r="V110" i="18"/>
  <c r="U62" i="18"/>
  <c r="AA18" i="18"/>
  <c r="AB20" i="18"/>
  <c r="AA74" i="18"/>
  <c r="U64" i="18"/>
  <c r="U183" i="18" s="1"/>
  <c r="U70" i="18"/>
  <c r="U182" i="18" s="1"/>
  <c r="U80" i="18"/>
  <c r="U82" i="18"/>
  <c r="U138" i="18" s="1"/>
  <c r="U50" i="18"/>
  <c r="U176" i="18" s="1"/>
  <c r="U51" i="18"/>
  <c r="U59" i="18"/>
  <c r="U58" i="18"/>
  <c r="U69" i="18"/>
  <c r="U84" i="18"/>
  <c r="U63" i="18"/>
  <c r="U60" i="18"/>
  <c r="U56" i="18"/>
  <c r="U184" i="18" s="1"/>
  <c r="U67" i="18"/>
  <c r="U83" i="18"/>
  <c r="AA27" i="18"/>
  <c r="W13" i="18"/>
  <c r="W12" i="18"/>
  <c r="W15" i="18"/>
  <c r="W128" i="18" s="1"/>
  <c r="W10" i="18"/>
  <c r="W16" i="18"/>
  <c r="W136" i="18" s="1"/>
  <c r="W137" i="18" s="1"/>
  <c r="W6" i="18"/>
  <c r="W7" i="18"/>
  <c r="W40" i="18"/>
  <c r="V90" i="18"/>
  <c r="V89" i="18"/>
  <c r="AA25" i="18"/>
  <c r="Z88" i="18"/>
  <c r="V42" i="18"/>
  <c r="U79" i="18"/>
  <c r="U78" i="18"/>
  <c r="U77" i="18"/>
  <c r="U76" i="18"/>
  <c r="AC21" i="18"/>
  <c r="AF21" i="18" s="1"/>
  <c r="T181" i="18"/>
  <c r="W175" i="18"/>
  <c r="W185" i="18" s="1"/>
  <c r="T177" i="18"/>
  <c r="T186" i="18" s="1"/>
  <c r="T180" i="18"/>
  <c r="R181" i="18"/>
  <c r="D31" i="8"/>
  <c r="D29" i="8"/>
  <c r="D28" i="8"/>
  <c r="D13" i="8"/>
  <c r="D30" i="8" s="1"/>
  <c r="E14" i="8"/>
  <c r="F14" i="8" s="1"/>
  <c r="G14" i="8" s="1"/>
  <c r="H14" i="8" s="1"/>
  <c r="I14" i="8" s="1"/>
  <c r="V55" i="18" l="1"/>
  <c r="V179" i="18" s="1"/>
  <c r="V54" i="18"/>
  <c r="V178" i="18" s="1"/>
  <c r="AA92" i="18"/>
  <c r="AA121" i="18"/>
  <c r="U115" i="18"/>
  <c r="U116" i="18" s="1"/>
  <c r="U117" i="18"/>
  <c r="W97" i="18"/>
  <c r="W103" i="18" s="1"/>
  <c r="W52" i="18"/>
  <c r="W93" i="18" s="1"/>
  <c r="U196" i="18"/>
  <c r="V196" i="18" s="1"/>
  <c r="W196" i="18" s="1"/>
  <c r="X196" i="18" s="1"/>
  <c r="Y196" i="18" s="1"/>
  <c r="Z196" i="18" s="1"/>
  <c r="AA196" i="18" s="1"/>
  <c r="AB196" i="18" s="1"/>
  <c r="AC196" i="18" s="1"/>
  <c r="AD196" i="18" s="1"/>
  <c r="AE197" i="18"/>
  <c r="AF197" i="18" s="1"/>
  <c r="AG197" i="18" s="1"/>
  <c r="AH197" i="18" s="1"/>
  <c r="AI197" i="18" s="1"/>
  <c r="AJ197" i="18" s="1"/>
  <c r="AK197" i="18" s="1"/>
  <c r="AL197" i="18" s="1"/>
  <c r="AM197" i="18" s="1"/>
  <c r="AN197" i="18" s="1"/>
  <c r="AO197" i="18" s="1"/>
  <c r="AP197" i="18" s="1"/>
  <c r="AQ197" i="18" s="1"/>
  <c r="AR197" i="18" s="1"/>
  <c r="AS197" i="18" s="1"/>
  <c r="AT197" i="18" s="1"/>
  <c r="W108" i="18"/>
  <c r="V113" i="18"/>
  <c r="V114" i="18" s="1"/>
  <c r="V57" i="18"/>
  <c r="AA130" i="18"/>
  <c r="AA140" i="18"/>
  <c r="AA131" i="18"/>
  <c r="AA141" i="18"/>
  <c r="AF23" i="18"/>
  <c r="AC99" i="18"/>
  <c r="AD23" i="18"/>
  <c r="W91" i="18"/>
  <c r="W133" i="18"/>
  <c r="W134" i="18"/>
  <c r="W98" i="18"/>
  <c r="W104" i="18" s="1"/>
  <c r="W129" i="18"/>
  <c r="AA125" i="18"/>
  <c r="AA124" i="18"/>
  <c r="AA123" i="18"/>
  <c r="AA111" i="18"/>
  <c r="V66" i="18"/>
  <c r="U68" i="18"/>
  <c r="U181" i="18" s="1"/>
  <c r="AA95" i="18"/>
  <c r="AA101" i="18" s="1"/>
  <c r="AA120" i="18"/>
  <c r="AA119" i="18"/>
  <c r="W110" i="18"/>
  <c r="W109" i="18"/>
  <c r="AB18" i="18"/>
  <c r="AC20" i="18"/>
  <c r="AB74" i="18"/>
  <c r="V84" i="18"/>
  <c r="V83" i="18"/>
  <c r="V62" i="18"/>
  <c r="V70" i="18"/>
  <c r="V182" i="18" s="1"/>
  <c r="V69" i="18"/>
  <c r="V64" i="18"/>
  <c r="V183" i="18" s="1"/>
  <c r="V67" i="18"/>
  <c r="V58" i="18"/>
  <c r="V80" i="18"/>
  <c r="V82" i="18"/>
  <c r="V138" i="18" s="1"/>
  <c r="V51" i="18"/>
  <c r="V50" i="18"/>
  <c r="V176" i="18" s="1"/>
  <c r="V63" i="18"/>
  <c r="V59" i="18"/>
  <c r="V60" i="18"/>
  <c r="V56" i="18"/>
  <c r="V184" i="18" s="1"/>
  <c r="AB27" i="18"/>
  <c r="X12" i="18"/>
  <c r="X15" i="18"/>
  <c r="X128" i="18" s="1"/>
  <c r="X13" i="18"/>
  <c r="X16" i="18"/>
  <c r="X136" i="18" s="1"/>
  <c r="X137" i="18" s="1"/>
  <c r="X10" i="18"/>
  <c r="X7" i="18"/>
  <c r="X6" i="18"/>
  <c r="AB25" i="18"/>
  <c r="AB121" i="18" s="1"/>
  <c r="AA88" i="18"/>
  <c r="X40" i="18"/>
  <c r="W89" i="18"/>
  <c r="W90" i="18"/>
  <c r="W42" i="18"/>
  <c r="V79" i="18"/>
  <c r="V77" i="18"/>
  <c r="V78" i="18"/>
  <c r="V76" i="18"/>
  <c r="AD21" i="18"/>
  <c r="X175" i="18"/>
  <c r="X185" i="18" s="1"/>
  <c r="U177" i="18"/>
  <c r="U186" i="18" s="1"/>
  <c r="U180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W55" i="18" l="1"/>
  <c r="W179" i="18" s="1"/>
  <c r="W54" i="18"/>
  <c r="W178" i="18" s="1"/>
  <c r="V115" i="18"/>
  <c r="V116" i="18" s="1"/>
  <c r="V117" i="18"/>
  <c r="X97" i="18"/>
  <c r="X103" i="18" s="1"/>
  <c r="X52" i="18"/>
  <c r="X93" i="18" s="1"/>
  <c r="AE196" i="18"/>
  <c r="AF196" i="18" s="1"/>
  <c r="AG196" i="18" s="1"/>
  <c r="AH196" i="18" s="1"/>
  <c r="AI196" i="18" s="1"/>
  <c r="AJ196" i="18" s="1"/>
  <c r="AK196" i="18" s="1"/>
  <c r="AL196" i="18" s="1"/>
  <c r="AM196" i="18" s="1"/>
  <c r="AN196" i="18" s="1"/>
  <c r="AO196" i="18" s="1"/>
  <c r="AP196" i="18" s="1"/>
  <c r="AQ196" i="18" s="1"/>
  <c r="AR196" i="18" s="1"/>
  <c r="AS196" i="18" s="1"/>
  <c r="AT196" i="18" s="1"/>
  <c r="AD99" i="18"/>
  <c r="AC105" i="18"/>
  <c r="AD105" i="18" s="1"/>
  <c r="X108" i="18"/>
  <c r="W113" i="18"/>
  <c r="W114" i="18" s="1"/>
  <c r="W57" i="18"/>
  <c r="AB130" i="18"/>
  <c r="AB140" i="18"/>
  <c r="AB131" i="18"/>
  <c r="AB141" i="18"/>
  <c r="AF20" i="18"/>
  <c r="AB92" i="18"/>
  <c r="X134" i="18"/>
  <c r="X133" i="18"/>
  <c r="X98" i="18"/>
  <c r="X104" i="18" s="1"/>
  <c r="X129" i="18"/>
  <c r="X91" i="18"/>
  <c r="AB124" i="18"/>
  <c r="AB123" i="18"/>
  <c r="AB125" i="18"/>
  <c r="AB111" i="18"/>
  <c r="V68" i="18"/>
  <c r="V181" i="18" s="1"/>
  <c r="AB95" i="18"/>
  <c r="AB101" i="18" s="1"/>
  <c r="AB120" i="18"/>
  <c r="AB119" i="18"/>
  <c r="W69" i="18"/>
  <c r="X110" i="18"/>
  <c r="X109" i="18"/>
  <c r="AC18" i="18"/>
  <c r="W84" i="18"/>
  <c r="W60" i="18"/>
  <c r="W67" i="18"/>
  <c r="AD20" i="18"/>
  <c r="AC74" i="18"/>
  <c r="W58" i="18"/>
  <c r="W66" i="18"/>
  <c r="W63" i="18"/>
  <c r="W83" i="18"/>
  <c r="W59" i="18"/>
  <c r="W64" i="18"/>
  <c r="W183" i="18" s="1"/>
  <c r="W80" i="18"/>
  <c r="W82" i="18"/>
  <c r="W138" i="18" s="1"/>
  <c r="W50" i="18"/>
  <c r="W176" i="18" s="1"/>
  <c r="W51" i="18"/>
  <c r="W62" i="18"/>
  <c r="W70" i="18"/>
  <c r="W182" i="18" s="1"/>
  <c r="W56" i="18"/>
  <c r="W184" i="18" s="1"/>
  <c r="AC27" i="18"/>
  <c r="AC141" i="18" s="1"/>
  <c r="AD141" i="18" s="1"/>
  <c r="Y15" i="18"/>
  <c r="Y128" i="18" s="1"/>
  <c r="Y13" i="18"/>
  <c r="Y12" i="18"/>
  <c r="Y10" i="18"/>
  <c r="Y16" i="18"/>
  <c r="Y136" i="18" s="1"/>
  <c r="Y137" i="18" s="1"/>
  <c r="Y6" i="18"/>
  <c r="Y7" i="18"/>
  <c r="Y40" i="18"/>
  <c r="X90" i="18"/>
  <c r="X89" i="18"/>
  <c r="AC25" i="18"/>
  <c r="AB88" i="18"/>
  <c r="X42" i="18"/>
  <c r="W79" i="18"/>
  <c r="W77" i="18"/>
  <c r="W78" i="18"/>
  <c r="W76" i="18"/>
  <c r="Y175" i="18"/>
  <c r="Y185" i="18" s="1"/>
  <c r="V177" i="18"/>
  <c r="V186" i="18" s="1"/>
  <c r="V180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55" i="18" l="1"/>
  <c r="X179" i="18" s="1"/>
  <c r="X54" i="18"/>
  <c r="X178" i="18" s="1"/>
  <c r="AC92" i="18"/>
  <c r="AD92" i="18" s="1"/>
  <c r="AC121" i="18"/>
  <c r="AD121" i="18" s="1"/>
  <c r="W115" i="18"/>
  <c r="W116" i="18" s="1"/>
  <c r="W117" i="18"/>
  <c r="Y97" i="18"/>
  <c r="Y103" i="18" s="1"/>
  <c r="Y52" i="18"/>
  <c r="Y93" i="18" s="1"/>
  <c r="Y108" i="18"/>
  <c r="X113" i="18"/>
  <c r="X114" i="18" s="1"/>
  <c r="X57" i="18"/>
  <c r="AC130" i="18"/>
  <c r="AD130" i="18" s="1"/>
  <c r="AC140" i="18"/>
  <c r="AD140" i="18" s="1"/>
  <c r="Y98" i="18"/>
  <c r="Y104" i="18" s="1"/>
  <c r="Y129" i="18"/>
  <c r="Y134" i="18"/>
  <c r="Y133" i="18"/>
  <c r="AF27" i="18"/>
  <c r="AC131" i="18"/>
  <c r="AD131" i="18" s="1"/>
  <c r="Y91" i="18"/>
  <c r="AC123" i="18"/>
  <c r="AD123" i="18" s="1"/>
  <c r="AC125" i="18"/>
  <c r="AD125" i="18" s="1"/>
  <c r="AC124" i="18"/>
  <c r="AD124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11" i="18"/>
  <c r="AD111" i="18" s="1"/>
  <c r="W68" i="18"/>
  <c r="W181" i="18" s="1"/>
  <c r="X67" i="18"/>
  <c r="AC95" i="18"/>
  <c r="AC120" i="18"/>
  <c r="AD120" i="18" s="1"/>
  <c r="AC119" i="18"/>
  <c r="AD119" i="18" s="1"/>
  <c r="Y110" i="18"/>
  <c r="Y109" i="18"/>
  <c r="AF25" i="18"/>
  <c r="AF18" i="18"/>
  <c r="AD18" i="18"/>
  <c r="T164" i="18"/>
  <c r="AF74" i="18"/>
  <c r="AD74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70" i="18"/>
  <c r="X182" i="18" s="1"/>
  <c r="X69" i="18"/>
  <c r="X64" i="18"/>
  <c r="X183" i="18" s="1"/>
  <c r="X66" i="18"/>
  <c r="X63" i="18"/>
  <c r="X83" i="18"/>
  <c r="X62" i="18"/>
  <c r="X84" i="18"/>
  <c r="X80" i="18"/>
  <c r="X82" i="18"/>
  <c r="X138" i="18" s="1"/>
  <c r="X51" i="18"/>
  <c r="X50" i="18"/>
  <c r="X176" i="18" s="1"/>
  <c r="X58" i="18"/>
  <c r="X59" i="18"/>
  <c r="X60" i="18"/>
  <c r="X56" i="18"/>
  <c r="X184" i="18" s="1"/>
  <c r="AD27" i="18"/>
  <c r="Z12" i="18"/>
  <c r="Z15" i="18"/>
  <c r="Z128" i="18" s="1"/>
  <c r="Z13" i="18"/>
  <c r="Z10" i="18"/>
  <c r="Z16" i="18"/>
  <c r="Z136" i="18" s="1"/>
  <c r="Z137" i="18" s="1"/>
  <c r="Z7" i="18"/>
  <c r="Z6" i="18"/>
  <c r="AD25" i="18"/>
  <c r="AC88" i="18"/>
  <c r="AD88" i="18" s="1"/>
  <c r="Z40" i="18"/>
  <c r="Y90" i="18"/>
  <c r="Y89" i="18"/>
  <c r="O31" i="9"/>
  <c r="O32" i="9" s="1"/>
  <c r="Y42" i="18"/>
  <c r="X79" i="18"/>
  <c r="X77" i="18"/>
  <c r="X78" i="18"/>
  <c r="X76" i="18"/>
  <c r="Z175" i="18"/>
  <c r="Z185" i="18" s="1"/>
  <c r="W177" i="18"/>
  <c r="W186" i="18" s="1"/>
  <c r="W180" i="18"/>
  <c r="P31" i="11"/>
  <c r="N32" i="11"/>
  <c r="T19" i="9"/>
  <c r="D22" i="9"/>
  <c r="Y55" i="18" l="1"/>
  <c r="Y179" i="18" s="1"/>
  <c r="Y54" i="18"/>
  <c r="Y178" i="18" s="1"/>
  <c r="X115" i="18"/>
  <c r="X116" i="18" s="1"/>
  <c r="X117" i="18"/>
  <c r="Z97" i="18"/>
  <c r="Z103" i="18" s="1"/>
  <c r="Z52" i="18"/>
  <c r="Z93" i="18" s="1"/>
  <c r="AD95" i="18"/>
  <c r="AC101" i="18"/>
  <c r="AD101" i="18" s="1"/>
  <c r="Z108" i="18"/>
  <c r="Y113" i="18"/>
  <c r="Y114" i="18" s="1"/>
  <c r="Y57" i="18"/>
  <c r="Z134" i="18"/>
  <c r="Z133" i="18"/>
  <c r="Z98" i="18"/>
  <c r="Z104" i="18" s="1"/>
  <c r="Z129" i="18"/>
  <c r="Z91" i="18"/>
  <c r="X68" i="18"/>
  <c r="X181" i="18" s="1"/>
  <c r="Y60" i="18"/>
  <c r="Z109" i="18"/>
  <c r="Z110" i="18"/>
  <c r="U164" i="18"/>
  <c r="S164" i="18" s="1"/>
  <c r="Y62" i="18"/>
  <c r="Y69" i="18"/>
  <c r="Y56" i="18"/>
  <c r="Y184" i="18" s="1"/>
  <c r="Y64" i="18"/>
  <c r="Y183" i="18" s="1"/>
  <c r="Y59" i="18"/>
  <c r="Y58" i="18"/>
  <c r="Y80" i="18"/>
  <c r="Y82" i="18"/>
  <c r="Y138" i="18" s="1"/>
  <c r="Y51" i="18"/>
  <c r="Y50" i="18"/>
  <c r="Y176" i="18" s="1"/>
  <c r="Y84" i="18"/>
  <c r="Y63" i="18"/>
  <c r="Y70" i="18"/>
  <c r="Y182" i="18" s="1"/>
  <c r="Y67" i="18"/>
  <c r="Y66" i="18"/>
  <c r="Y83" i="18"/>
  <c r="AA13" i="18"/>
  <c r="AA12" i="18"/>
  <c r="AA15" i="18"/>
  <c r="AA128" i="18" s="1"/>
  <c r="AA10" i="18"/>
  <c r="AA16" i="18"/>
  <c r="AA136" i="18" s="1"/>
  <c r="AA137" i="18" s="1"/>
  <c r="AA6" i="18"/>
  <c r="AA7" i="18"/>
  <c r="AA40" i="18"/>
  <c r="Z90" i="18"/>
  <c r="Z89" i="18"/>
  <c r="Z42" i="18"/>
  <c r="Y79" i="18"/>
  <c r="Y77" i="18"/>
  <c r="Y78" i="18"/>
  <c r="Y76" i="18"/>
  <c r="AA175" i="18"/>
  <c r="AA185" i="18" s="1"/>
  <c r="X177" i="18"/>
  <c r="X186" i="18" s="1"/>
  <c r="X180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55" i="18" l="1"/>
  <c r="Z179" i="18" s="1"/>
  <c r="Z54" i="18"/>
  <c r="Z178" i="18" s="1"/>
  <c r="Y115" i="18"/>
  <c r="Y116" i="18" s="1"/>
  <c r="Y117" i="18"/>
  <c r="AA97" i="18"/>
  <c r="AA103" i="18" s="1"/>
  <c r="AA52" i="18"/>
  <c r="AA93" i="18" s="1"/>
  <c r="AA108" i="18"/>
  <c r="Z113" i="18"/>
  <c r="Z114" i="18" s="1"/>
  <c r="Z57" i="18"/>
  <c r="AA98" i="18"/>
  <c r="AA104" i="18" s="1"/>
  <c r="AA129" i="18"/>
  <c r="AA133" i="18"/>
  <c r="AA134" i="18"/>
  <c r="AA91" i="18"/>
  <c r="AA109" i="18"/>
  <c r="AA110" i="18"/>
  <c r="Y68" i="18"/>
  <c r="Y181" i="18" s="1"/>
  <c r="Z80" i="18"/>
  <c r="Z82" i="18"/>
  <c r="Z138" i="18" s="1"/>
  <c r="Z50" i="18"/>
  <c r="Z176" i="18" s="1"/>
  <c r="Z51" i="18"/>
  <c r="Z64" i="18"/>
  <c r="Z183" i="18" s="1"/>
  <c r="Z70" i="18"/>
  <c r="Z182" i="18" s="1"/>
  <c r="Z69" i="18"/>
  <c r="Z67" i="18"/>
  <c r="Z58" i="18"/>
  <c r="Z56" i="18"/>
  <c r="Z184" i="18" s="1"/>
  <c r="Z63" i="18"/>
  <c r="Z59" i="18"/>
  <c r="Z60" i="18"/>
  <c r="Z66" i="18"/>
  <c r="Z83" i="18"/>
  <c r="Z62" i="18"/>
  <c r="Z84" i="18"/>
  <c r="AB12" i="18"/>
  <c r="AB15" i="18"/>
  <c r="AB128" i="18" s="1"/>
  <c r="AB13" i="18"/>
  <c r="AB10" i="18"/>
  <c r="AB16" i="18"/>
  <c r="AB136" i="18" s="1"/>
  <c r="AB137" i="18" s="1"/>
  <c r="AB7" i="18"/>
  <c r="AB6" i="18"/>
  <c r="AB40" i="18"/>
  <c r="AA89" i="18"/>
  <c r="AA90" i="18"/>
  <c r="AA42" i="18"/>
  <c r="Z79" i="18"/>
  <c r="Z77" i="18"/>
  <c r="Z78" i="18"/>
  <c r="Z76" i="18"/>
  <c r="AB175" i="18"/>
  <c r="AB185" i="18" s="1"/>
  <c r="Y177" i="18"/>
  <c r="Y186" i="18" s="1"/>
  <c r="Y180" i="18"/>
  <c r="N34" i="11"/>
  <c r="O33" i="11"/>
  <c r="D25" i="8"/>
  <c r="D23" i="8"/>
  <c r="AA55" i="18" l="1"/>
  <c r="AA179" i="18" s="1"/>
  <c r="AA54" i="18"/>
  <c r="AA178" i="18" s="1"/>
  <c r="Z115" i="18"/>
  <c r="Z116" i="18" s="1"/>
  <c r="Z117" i="18"/>
  <c r="AB97" i="18"/>
  <c r="AB103" i="18" s="1"/>
  <c r="AB52" i="18"/>
  <c r="AB93" i="18" s="1"/>
  <c r="AB108" i="18"/>
  <c r="AA113" i="18"/>
  <c r="AA114" i="18" s="1"/>
  <c r="AA57" i="18"/>
  <c r="AB91" i="18"/>
  <c r="AB133" i="18"/>
  <c r="AB134" i="18"/>
  <c r="AB98" i="18"/>
  <c r="AB104" i="18" s="1"/>
  <c r="AB129" i="18"/>
  <c r="AB109" i="18"/>
  <c r="AB110" i="18"/>
  <c r="Z68" i="18"/>
  <c r="Z181" i="18" s="1"/>
  <c r="AA80" i="18"/>
  <c r="AA82" i="18"/>
  <c r="AA138" i="18" s="1"/>
  <c r="AA51" i="18"/>
  <c r="AA50" i="18"/>
  <c r="AA176" i="18" s="1"/>
  <c r="AA58" i="18"/>
  <c r="AA69" i="18"/>
  <c r="AA59" i="18"/>
  <c r="AA64" i="18"/>
  <c r="AA183" i="18" s="1"/>
  <c r="AA67" i="18"/>
  <c r="AA66" i="18"/>
  <c r="AA84" i="18"/>
  <c r="AA70" i="18"/>
  <c r="AA182" i="18" s="1"/>
  <c r="AA56" i="18"/>
  <c r="AA184" i="18" s="1"/>
  <c r="AA63" i="18"/>
  <c r="AA83" i="18"/>
  <c r="AA62" i="18"/>
  <c r="AA60" i="18"/>
  <c r="AC15" i="18"/>
  <c r="AC13" i="18"/>
  <c r="AF13" i="18" s="1"/>
  <c r="AC12" i="18"/>
  <c r="AC129" i="18" s="1"/>
  <c r="AD129" i="18" s="1"/>
  <c r="AC10" i="18"/>
  <c r="AC16" i="18"/>
  <c r="AC6" i="18"/>
  <c r="AF6" i="18" s="1"/>
  <c r="AC7" i="18"/>
  <c r="AF7" i="18" s="1"/>
  <c r="AC40" i="18"/>
  <c r="AB90" i="18"/>
  <c r="AB89" i="18"/>
  <c r="AB42" i="18"/>
  <c r="AA79" i="18"/>
  <c r="AA77" i="18"/>
  <c r="AA78" i="18"/>
  <c r="AA76" i="18"/>
  <c r="AC175" i="18"/>
  <c r="AC185" i="18" s="1"/>
  <c r="Z177" i="18"/>
  <c r="Z186" i="18" s="1"/>
  <c r="Z180" i="18"/>
  <c r="N35" i="11"/>
  <c r="O34" i="11"/>
  <c r="D35" i="8"/>
  <c r="E5" i="8"/>
  <c r="E18" i="8" s="1"/>
  <c r="D18" i="8"/>
  <c r="D19" i="8"/>
  <c r="D21" i="8"/>
  <c r="D20" i="8"/>
  <c r="AB55" i="18" l="1"/>
  <c r="AB179" i="18" s="1"/>
  <c r="AB54" i="18"/>
  <c r="AB178" i="18" s="1"/>
  <c r="AA115" i="18"/>
  <c r="AA116" i="18" s="1"/>
  <c r="AA117" i="18"/>
  <c r="AC97" i="18"/>
  <c r="AC103" i="18" s="1"/>
  <c r="AD103" i="18" s="1"/>
  <c r="AC52" i="18"/>
  <c r="AC108" i="18"/>
  <c r="AD185" i="18"/>
  <c r="AF185" i="18" s="1"/>
  <c r="AB113" i="18"/>
  <c r="AB114" i="18" s="1"/>
  <c r="AB57" i="18"/>
  <c r="AF16" i="18"/>
  <c r="AC136" i="18"/>
  <c r="AC134" i="18"/>
  <c r="AD134" i="18" s="1"/>
  <c r="AC133" i="18"/>
  <c r="AD133" i="18" s="1"/>
  <c r="AF15" i="18"/>
  <c r="AC128" i="18"/>
  <c r="AD128" i="18" s="1"/>
  <c r="AC91" i="18"/>
  <c r="AD91" i="18" s="1"/>
  <c r="AF10" i="18"/>
  <c r="AD108" i="18"/>
  <c r="AF12" i="18"/>
  <c r="AC98" i="18"/>
  <c r="AF40" i="18"/>
  <c r="AC109" i="18"/>
  <c r="AD109" i="18" s="1"/>
  <c r="AC110" i="18"/>
  <c r="AD110" i="18" s="1"/>
  <c r="AA68" i="18"/>
  <c r="AA181" i="18" s="1"/>
  <c r="AB80" i="18"/>
  <c r="AB82" i="18"/>
  <c r="AB138" i="18" s="1"/>
  <c r="AB50" i="18"/>
  <c r="AB176" i="18" s="1"/>
  <c r="AB51" i="18"/>
  <c r="AB62" i="18"/>
  <c r="AB70" i="18"/>
  <c r="AB182" i="18" s="1"/>
  <c r="AB56" i="18"/>
  <c r="AB184" i="18" s="1"/>
  <c r="AB64" i="18"/>
  <c r="AB183" i="18" s="1"/>
  <c r="AB67" i="18"/>
  <c r="AB83" i="18"/>
  <c r="AB58" i="18"/>
  <c r="AB59" i="18"/>
  <c r="AB60" i="18"/>
  <c r="AB63" i="18"/>
  <c r="AB84" i="18"/>
  <c r="AB66" i="18"/>
  <c r="AB69" i="18"/>
  <c r="AD15" i="18"/>
  <c r="AD13" i="18"/>
  <c r="T158" i="18"/>
  <c r="AD12" i="18"/>
  <c r="AD10" i="18"/>
  <c r="AD16" i="18"/>
  <c r="AD7" i="18"/>
  <c r="AD6" i="18"/>
  <c r="AC90" i="18"/>
  <c r="AD90" i="18" s="1"/>
  <c r="AC89" i="18"/>
  <c r="AD89" i="18" s="1"/>
  <c r="AD40" i="18"/>
  <c r="AC42" i="18"/>
  <c r="AB79" i="18"/>
  <c r="AB77" i="18"/>
  <c r="AB78" i="18"/>
  <c r="AB76" i="18"/>
  <c r="AD175" i="18"/>
  <c r="AF175" i="18" s="1"/>
  <c r="AA177" i="18"/>
  <c r="AA186" i="18" s="1"/>
  <c r="AA180" i="18"/>
  <c r="N36" i="11"/>
  <c r="O35" i="11"/>
  <c r="F5" i="8"/>
  <c r="G5" i="8" s="1"/>
  <c r="H5" i="8" s="1"/>
  <c r="I5" i="8" s="1"/>
  <c r="AD52" i="18" l="1"/>
  <c r="AF52" i="18"/>
  <c r="AC55" i="18"/>
  <c r="AC179" i="18" s="1"/>
  <c r="AD179" i="18" s="1"/>
  <c r="AF179" i="18" s="1"/>
  <c r="AC54" i="18"/>
  <c r="AC178" i="18" s="1"/>
  <c r="AD178" i="18" s="1"/>
  <c r="AF178" i="18" s="1"/>
  <c r="AB115" i="18"/>
  <c r="AB116" i="18" s="1"/>
  <c r="AB117" i="18"/>
  <c r="AD97" i="18"/>
  <c r="AC93" i="18"/>
  <c r="AD93" i="18" s="1"/>
  <c r="AD98" i="18"/>
  <c r="AC104" i="18"/>
  <c r="AD104" i="18" s="1"/>
  <c r="AC113" i="18"/>
  <c r="AC114" i="18" s="1"/>
  <c r="AC57" i="18"/>
  <c r="AD136" i="18"/>
  <c r="AC137" i="18"/>
  <c r="AD137" i="18" s="1"/>
  <c r="AF42" i="18"/>
  <c r="U158" i="18"/>
  <c r="U159" i="18" s="1"/>
  <c r="AB68" i="18"/>
  <c r="AB181" i="18" s="1"/>
  <c r="AC80" i="18"/>
  <c r="AC82" i="18"/>
  <c r="AC50" i="18"/>
  <c r="AC176" i="18" s="1"/>
  <c r="AD176" i="18" s="1"/>
  <c r="AF176" i="18" s="1"/>
  <c r="AC51" i="18"/>
  <c r="AC62" i="18"/>
  <c r="AC67" i="18"/>
  <c r="AC56" i="18"/>
  <c r="AC64" i="18"/>
  <c r="AC60" i="18"/>
  <c r="AC83" i="18"/>
  <c r="AC59" i="18"/>
  <c r="AF59" i="18" s="1"/>
  <c r="AC58" i="18"/>
  <c r="AC69" i="18"/>
  <c r="AC84" i="18"/>
  <c r="AC63" i="18"/>
  <c r="AC70" i="18"/>
  <c r="AC66" i="18"/>
  <c r="T159" i="18"/>
  <c r="Q193" i="18" s="1"/>
  <c r="AC79" i="18"/>
  <c r="AC77" i="18"/>
  <c r="AD42" i="18"/>
  <c r="AC78" i="18"/>
  <c r="AC76" i="18"/>
  <c r="AB177" i="18"/>
  <c r="AB186" i="18" s="1"/>
  <c r="AB180" i="18"/>
  <c r="N37" i="11"/>
  <c r="O36" i="11"/>
  <c r="F18" i="8"/>
  <c r="G18" i="8"/>
  <c r="AD54" i="18" l="1"/>
  <c r="AF54" i="18"/>
  <c r="AD55" i="18"/>
  <c r="AF55" i="18"/>
  <c r="AC115" i="18"/>
  <c r="AC116" i="18" s="1"/>
  <c r="AC117" i="18"/>
  <c r="AF56" i="18"/>
  <c r="AC184" i="18"/>
  <c r="AF57" i="18"/>
  <c r="AD57" i="18"/>
  <c r="AF82" i="18"/>
  <c r="AC138" i="18"/>
  <c r="AD138" i="18" s="1"/>
  <c r="AD113" i="18"/>
  <c r="S158" i="18"/>
  <c r="S159" i="18"/>
  <c r="AD83" i="18"/>
  <c r="AF83" i="18"/>
  <c r="AD51" i="18"/>
  <c r="AF51" i="18"/>
  <c r="T155" i="18"/>
  <c r="AF69" i="18"/>
  <c r="AC182" i="18"/>
  <c r="AD182" i="18" s="1"/>
  <c r="AF182" i="18" s="1"/>
  <c r="AF70" i="18"/>
  <c r="AD50" i="18"/>
  <c r="AF50" i="18"/>
  <c r="AD67" i="18"/>
  <c r="AF67" i="18"/>
  <c r="T149" i="18"/>
  <c r="AF66" i="18"/>
  <c r="T148" i="18"/>
  <c r="AF60" i="18"/>
  <c r="AC183" i="18"/>
  <c r="AD183" i="18" s="1"/>
  <c r="AF183" i="18" s="1"/>
  <c r="AF64" i="18"/>
  <c r="AD63" i="18"/>
  <c r="AF63" i="18"/>
  <c r="T146" i="18"/>
  <c r="Q192" i="18" s="1"/>
  <c r="AF58" i="18"/>
  <c r="T151" i="18"/>
  <c r="AF62" i="18"/>
  <c r="AD84" i="18"/>
  <c r="AF84" i="18"/>
  <c r="T172" i="18"/>
  <c r="Q194" i="18" s="1"/>
  <c r="AF80" i="18"/>
  <c r="T169" i="18"/>
  <c r="AF79" i="18"/>
  <c r="T168" i="18"/>
  <c r="AF78" i="18"/>
  <c r="T166" i="18"/>
  <c r="AF76" i="18"/>
  <c r="T167" i="18"/>
  <c r="AF77" i="18"/>
  <c r="AD69" i="18"/>
  <c r="T152" i="18"/>
  <c r="AD58" i="18"/>
  <c r="AD60" i="18"/>
  <c r="U148" i="18" s="1"/>
  <c r="AD62" i="18"/>
  <c r="T153" i="18"/>
  <c r="Q191" i="18" s="1"/>
  <c r="AD80" i="18"/>
  <c r="AD66" i="18"/>
  <c r="T156" i="18"/>
  <c r="AC68" i="18"/>
  <c r="AD64" i="18"/>
  <c r="AD70" i="18"/>
  <c r="AD82" i="18"/>
  <c r="AD78" i="18"/>
  <c r="AD77" i="18"/>
  <c r="AD76" i="18"/>
  <c r="AD79" i="18"/>
  <c r="T145" i="18"/>
  <c r="Q195" i="18" s="1"/>
  <c r="Q196" i="18" s="1"/>
  <c r="AD56" i="18"/>
  <c r="AC177" i="18"/>
  <c r="AC186" i="18" s="1"/>
  <c r="AD186" i="18" s="1"/>
  <c r="AD59" i="18"/>
  <c r="U147" i="18" s="1"/>
  <c r="AC180" i="18"/>
  <c r="T147" i="18"/>
  <c r="N38" i="11"/>
  <c r="O37" i="11"/>
  <c r="H18" i="8"/>
  <c r="T170" i="18" l="1"/>
  <c r="M193" i="18"/>
  <c r="P193" i="18"/>
  <c r="AD184" i="18"/>
  <c r="AF184" i="18" s="1"/>
  <c r="U145" i="18"/>
  <c r="S145" i="18" s="1"/>
  <c r="AD114" i="18"/>
  <c r="U156" i="18"/>
  <c r="S156" i="18" s="1"/>
  <c r="U146" i="18"/>
  <c r="S146" i="18" s="1"/>
  <c r="U155" i="18"/>
  <c r="S155" i="18" s="1"/>
  <c r="U151" i="18"/>
  <c r="S151" i="18" s="1"/>
  <c r="U153" i="18"/>
  <c r="S153" i="18" s="1"/>
  <c r="P191" i="18" s="1"/>
  <c r="U172" i="18"/>
  <c r="S172" i="18" s="1"/>
  <c r="P194" i="18" s="1"/>
  <c r="U168" i="18"/>
  <c r="S168" i="18" s="1"/>
  <c r="AD68" i="18"/>
  <c r="AF68" i="18"/>
  <c r="U149" i="18"/>
  <c r="S149" i="18" s="1"/>
  <c r="S148" i="18"/>
  <c r="U152" i="18"/>
  <c r="S152" i="18" s="1"/>
  <c r="U166" i="18"/>
  <c r="S166" i="18" s="1"/>
  <c r="AC181" i="18"/>
  <c r="AD181" i="18" s="1"/>
  <c r="AF181" i="18" s="1"/>
  <c r="U169" i="18"/>
  <c r="S169" i="18" s="1"/>
  <c r="U167" i="18"/>
  <c r="AD180" i="18"/>
  <c r="AF180" i="18" s="1"/>
  <c r="AD177" i="18"/>
  <c r="AF177" i="18" s="1"/>
  <c r="AF186" i="18" s="1"/>
  <c r="S147" i="18"/>
  <c r="N39" i="11"/>
  <c r="O38" i="11"/>
  <c r="I18" i="8"/>
  <c r="S167" i="18" l="1"/>
  <c r="S170" i="18" s="1"/>
  <c r="U170" i="18"/>
  <c r="M192" i="18"/>
  <c r="P192" i="18"/>
  <c r="P195" i="18"/>
  <c r="P196" i="18" s="1"/>
  <c r="M194" i="18"/>
  <c r="M191" i="18"/>
  <c r="AD116" i="18"/>
  <c r="AD115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<sst xmlns="http://schemas.openxmlformats.org/spreadsheetml/2006/main" count="661" uniqueCount="467">
  <si>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</si>
  <si>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</si>
  <si>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</si>
  <si>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</si>
  <si>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</si>
  <si>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</si>
  <si>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</si>
  <si>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</si>
  <si>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</si>
  <si>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</si>
  <si>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</si>
  <si>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</si>
  <si>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</si>
  <si>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</si>
  <si>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</si>
  <si>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</si>
  <si>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</si>
  <si>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</si>
  <si>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</si>
  <si>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</si>
  <si>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</si>
  <si>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</si>
  <si>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</si>
  <si>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</si>
  <si>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</si>
  <si>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</si>
  <si>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</si>
  <si>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</si>
  <si>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</si>
  <si>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</si>
  <si>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</si>
  <si>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</si>
  <si>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</si>
  <si>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</si>
  <si>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</si>
  <si>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</si>
  <si>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</si>
  <si>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</si>
  <si>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</si>
  <si>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</si>
  <si>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</si>
  <si>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</si>
  <si>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</si>
  <si>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</si>
  <si>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</si>
  <si>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</si>
  <si>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</si>
  <si>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</si>
  <si>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</si>
  <si>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</si>
  <si>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</si>
  <si>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</si>
  <si>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</si>
  <si>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</si>
  <si>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</si>
  <si>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</si>
  <si>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</si>
  <si>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</si>
  <si>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</si>
  <si>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</si>
  <si>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</si>
  <si>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</si>
  <si>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</si>
  <si>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</si>
  <si>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</si>
  <si>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</si>
  <si>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</si>
  <si>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</si>
  <si>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</si>
  <si>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</si>
  <si>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</si>
  <si>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</si>
  <si>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</si>
  <si>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</si>
  <si>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</si>
  <si>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</si>
  <si>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</si>
  <si>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</si>
  <si>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</si>
  <si>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</si>
  <si>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</si>
  <si>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</si>
  <si>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</si>
  <si>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</si>
  <si>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</si>
  <si>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</si>
  <si>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</si>
  <si>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</si>
  <si>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</si>
  <si>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</si>
  <si>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</si>
  <si>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</si>
  <si>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</si>
  <si>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</si>
  <si>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</si>
  <si>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</si>
  <si>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</si>
  <si>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</si>
  <si>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</si>
  <si>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</si>
  <si>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</si>
  <si>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</si>
  <si>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</si>
  <si>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</si>
  <si>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</si>
  <si>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</si>
  <si>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</si>
  <si>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</si>
  <si>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</si>
  <si>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</si>
  <si>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</si>
  <si>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</si>
  <si>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</si>
  <si>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</si>
  <si>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</si>
  <si>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</si>
  <si>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</si>
  <si>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</si>
  <si>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</si>
  <si>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</si>
  <si>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</si>
  <si>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</si>
  <si>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</si>
  <si>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</si>
  <si>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</si>
  <si>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</si>
  <si>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</si>
  <si>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</si>
  <si>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</si>
  <si>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</si>
  <si>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</si>
  <si>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</si>
  <si>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</si>
  <si>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</si>
  <si>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</si>
  <si>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</si>
  <si>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</si>
  <si>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</si>
  <si>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</si>
  <si>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</si>
  <si>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</si>
  <si>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</si>
  <si>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</si>
  <si>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</si>
  <si>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</si>
  <si>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</si>
  <si>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</si>
  <si>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</si>
  <si>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</si>
  <si>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</si>
  <si>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</si>
  <si>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</si>
  <si>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</si>
  <si>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</si>
  <si>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</si>
  <si>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</si>
  <si>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</si>
  <si>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</si>
  <si>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</si>
  <si>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</si>
  <si>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</si>
  <si>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</si>
  <si>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</si>
  <si>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</si>
  <si>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</si>
  <si>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</si>
  <si>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</si>
  <si>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</si>
  <si>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</si>
  <si>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</si>
  <si>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</si>
  <si>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</si>
  <si>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</si>
  <si>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</si>
  <si>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</si>
  <si>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</si>
  <si>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</si>
  <si>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</si>
  <si>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</si>
  <si>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</si>
  <si>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</si>
  <si>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</si>
  <si>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</si>
  <si>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</si>
  <si>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</si>
  <si>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</si>
  <si>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</si>
  <si>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</si>
  <si>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</si>
  <si>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</si>
  <si>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</si>
  <si>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</si>
  <si>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</si>
  <si>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</si>
  <si>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</si>
  <si>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</si>
  <si>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</si>
  <si>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</si>
  <si>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</si>
  <si>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</si>
  <si>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</si>
  <si>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</si>
  <si>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</si>
  <si>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</si>
  <si>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</si>
  <si>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</si>
  <si>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</si>
  <si>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</si>
  <si>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</si>
  <si>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</si>
  <si>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</si>
  <si>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</si>
  <si>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</si>
  <si>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</si>
  <si>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</si>
  <si>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</si>
  <si>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</si>
  <si>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</si>
  <si>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</si>
  <si>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</si>
  <si>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</si>
  <si>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</si>
  <si>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</si>
  <si>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</si>
  <si>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</si>
  <si>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</si>
  <si>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</si>
  <si>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</si>
  <si>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</si>
  <si>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</si>
  <si>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</si>
  <si>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</si>
  <si>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</si>
  <si>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</si>
  <si>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</si>
  <si>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</si>
  <si>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</si>
  <si>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</si>
  <si>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</si>
  <si>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</si>
  <si>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</si>
  <si>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</si>
  <si>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</si>
  <si>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</si>
  <si>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</si>
  <si>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</si>
  <si>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</si>
  <si>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</si>
  <si>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</si>
  <si>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</si>
  <si>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</si>
  <si>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</si>
  <si>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</si>
  <si>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</si>
  <si>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</si>
  <si>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</si>
  <si>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</si>
  <si>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</si>
  <si>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</si>
  <si>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</si>
  <si>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</si>
  <si>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</si>
  <si>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</si>
  <si>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</si>
  <si>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</si>
  <si>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</si>
  <si>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</si>
  <si>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</si>
  <si>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</si>
  <si>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</si>
  <si>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</si>
  <si>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</si>
  <si>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</si>
  <si>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</si>
  <si>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</si>
  <si>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</si>
  <si>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</si>
  <si>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</si>
  <si>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</si>
  <si>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</si>
  <si>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</si>
  <si>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</si>
  <si>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</si>
  <si>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</si>
  <si>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</si>
  <si>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</si>
  <si>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</si>
  <si>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</si>
  <si>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</si>
  <si>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</si>
  <si>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</si>
  <si>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</si>
  <si>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</si>
  <si>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</si>
  <si>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</si>
  <si>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</si>
  <si>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</si>
  <si>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</si>
  <si>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</si>
  <si>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</si>
  <si>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</si>
  <si>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</si>
  <si>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</si>
  <si>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</si>
  <si>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</si>
  <si>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</si>
  <si>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</si>
  <si>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</si>
  <si>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</si>
  <si>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</si>
  <si>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</si>
  <si>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</si>
  <si>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</si>
  <si>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</si>
  <si>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</si>
  <si>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</si>
  <si>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</si>
  <si>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</si>
  <si>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</si>
  <si>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</si>
  <si>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</si>
  <si>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</si>
  <si>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</si>
  <si>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</si>
  <si>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</si>
  <si>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</si>
  <si>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</si>
  <si>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</si>
  <si>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</si>
  <si>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</si>
  <si>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</si>
  <si>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</si>
  <si>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</si>
  <si>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</si>
  <si>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</si>
  <si>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</si>
  <si>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</si>
  <si>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</si>
  <si>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</si>
  <si>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</si>
  <si>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</si>
  <si>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</si>
  <si>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</si>
  <si>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</si>
  <si>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</si>
  <si>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</si>
  <si>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</si>
  <si>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</si>
  <si>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</si>
  <si>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</si>
  <si>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</si>
  <si>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</si>
  <si>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</si>
  <si>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</si>
  <si>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</si>
  <si>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</si>
  <si>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</si>
  <si>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</si>
  <si>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</si>
  <si>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</si>
  <si>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</si>
  <si>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</si>
  <si>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</si>
  <si>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</si>
  <si>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</si>
  <si>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</si>
  <si>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</si>
  <si>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</si>
  <si>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</si>
  <si>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</si>
  <si>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</si>
  <si>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</si>
  <si>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</si>
  <si>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</si>
  <si>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</si>
  <si>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</si>
  <si>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</si>
  <si>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</si>
  <si>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</si>
  <si>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</si>
  <si>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</si>
  <si>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</si>
  <si>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</si>
  <si>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</si>
  <si>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</si>
  <si>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</si>
  <si>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</si>
  <si>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</si>
  <si>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</si>
  <si>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</si>
  <si>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</si>
  <si>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</si>
  <si>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</si>
  <si>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</si>
  <si>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</si>
  <si>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</si>
  <si>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</si>
  <si>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</si>
  <si>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</si>
  <si>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</si>
  <si>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</si>
  <si>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</si>
  <si>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</si>
  <si>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</si>
  <si>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</si>
  <si>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</si>
  <si>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</si>
  <si>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</si>
  <si>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</si>
  <si>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</si>
  <si>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</si>
  <si>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</si>
  <si>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</si>
  <si>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</si>
  <si>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</si>
  <si>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</si>
  <si>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</si>
  <si>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</si>
  <si>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</si>
  <si>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</si>
  <si>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</si>
  <si>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</si>
  <si>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</si>
  <si>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</si>
  <si>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</si>
  <si>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</si>
  <si>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</si>
  <si>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</si>
  <si>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</si>
  <si>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</si>
  <si>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</si>
  <si>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</si>
  <si>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</si>
  <si>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</si>
  <si>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</si>
  <si>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</si>
  <si>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</si>
  <si>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</si>
  <si>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</si>
  <si>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</si>
  <si>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</si>
  <si>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</si>
  <si>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</si>
  <si>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</si>
  <si>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</si>
  <si>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</si>
  <si>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</si>
  <si>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</si>
  <si>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</si>
  <si>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</si>
  <si>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</si>
  <si>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</si>
  <si>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</si>
  <si>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</si>
  <si>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</si>
  <si>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</si>
  <si>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</si>
  <si>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</si>
  <si>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</si>
  <si>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</si>
  <si>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</si>
  <si>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</si>
  <si>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</si>
  <si>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</si>
  <si>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</si>
  <si>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</si>
  <si>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Top Expenses ( SG&amp;A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</si>
</sst>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6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2" fontId="5" fillId="5" borderId="1" xfId="0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532608"/>
        <c:axId val="104468864"/>
      </c:lineChart>
      <c:catAx>
        <c:axId val="104532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04468864"/>
        <c:crosses val="autoZero"/>
        <c:auto val="1"/>
        <c:lblAlgn val="ctr"/>
        <c:lblOffset val="100"/>
        <c:noMultiLvlLbl val="0"/>
      </c:catAx>
      <c:valAx>
        <c:axId val="104468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453260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317</v>
      </c>
      <c r="C9" s="151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32"/>
  <sheetViews>
    <sheetView tabSelected="1" zoomScale="80" zoomScaleNormal="80" workbookViewId="0">
      <pane xSplit="2" ySplit="3" topLeftCell="G162" activePane="bottomRight" state="frozen"/>
      <selection pane="topRight" activeCell="C1" sqref="C1"/>
      <selection pane="bottomLeft" activeCell="A5" sqref="A5"/>
      <selection pane="bottomRight" activeCell="N183" sqref="N183"/>
    </sheetView>
  </sheetViews>
  <sheetFormatPr defaultRowHeight="12.75" x14ac:dyDescent="0.2"/>
  <cols>
    <col min="1" max="1" width="4.7109375" style="104" customWidth="1"/>
    <col min="2" max="2" width="37.1406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f>P2</f>
        <v>0.18</v>
      </c>
      <c r="F1" s="104" t="s">
        <v>252</v>
      </c>
      <c r="H1" s="126">
        <v>2004</v>
      </c>
      <c r="J1" s="104" t="s">
        <v>325</v>
      </c>
      <c r="L1" s="163">
        <v>0.05</v>
      </c>
      <c r="N1" s="104" t="s">
        <v>397</v>
      </c>
      <c r="P1" s="163">
        <v>0.05</v>
      </c>
    </row>
    <row r="2" spans="2:32" x14ac:dyDescent="0.2">
      <c r="B2" s="152" t="s">
        <v>314</v>
      </c>
      <c r="C2" s="120"/>
      <c r="F2" s="104" t="s">
        <v>253</v>
      </c>
      <c r="H2" s="126">
        <v>2013</v>
      </c>
      <c r="J2" s="104" t="s">
        <v>326</v>
      </c>
      <c r="L2" s="163">
        <v>0.15</v>
      </c>
      <c r="N2" s="104" t="s">
        <v>465</v>
      </c>
      <c r="P2" s="163">
        <v>0.18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198" t="s">
        <v>290</v>
      </c>
      <c r="AF2" s="199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5" t="s">
        <v>1</v>
      </c>
      <c r="AE3" s="200" t="s">
        <v>291</v>
      </c>
      <c r="AF3" s="201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6"/>
      <c r="AE4" s="20"/>
      <c r="AF4" s="20"/>
    </row>
    <row r="5" spans="2:32" x14ac:dyDescent="0.2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20"/>
      <c r="S5" s="20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36"/>
      <c r="AE5" s="20"/>
      <c r="AF5" s="153"/>
    </row>
    <row r="6" spans="2:32" x14ac:dyDescent="0.2">
      <c r="B6" s="20" t="s">
        <v>16</v>
      </c>
      <c r="C6" s="140"/>
      <c r="D6" s="140"/>
      <c r="E6" s="146"/>
      <c r="F6" s="146"/>
      <c r="G6" s="146">
        <v>18</v>
      </c>
      <c r="H6" s="146">
        <v>36</v>
      </c>
      <c r="I6" s="146">
        <v>150</v>
      </c>
      <c r="J6" s="146">
        <v>157</v>
      </c>
      <c r="K6" s="146">
        <v>175</v>
      </c>
      <c r="L6" s="146">
        <v>246</v>
      </c>
      <c r="M6" s="146">
        <v>283</v>
      </c>
      <c r="N6" s="146">
        <v>315</v>
      </c>
      <c r="O6" s="146">
        <v>253</v>
      </c>
      <c r="P6" s="146">
        <v>603</v>
      </c>
      <c r="Q6" s="146">
        <v>358</v>
      </c>
      <c r="R6" s="118">
        <f>((Q6/G6)^(1/($H$2-$H$1) ))-1</f>
        <v>0.39408757963309715</v>
      </c>
      <c r="S6" s="31">
        <f>$L$2</f>
        <v>0.15</v>
      </c>
      <c r="T6" s="153">
        <f>Q6*(1+$S6)</f>
        <v>411.7</v>
      </c>
      <c r="U6" s="153">
        <f>T6*(1+$S6)</f>
        <v>473.45499999999993</v>
      </c>
      <c r="V6" s="153">
        <f t="shared" ref="V6:AC6" si="0">U6*(1+$S6)</f>
        <v>544.47324999999989</v>
      </c>
      <c r="W6" s="153">
        <f t="shared" si="0"/>
        <v>626.1442374999998</v>
      </c>
      <c r="X6" s="153">
        <f t="shared" si="0"/>
        <v>720.06587312499971</v>
      </c>
      <c r="Y6" s="153">
        <f t="shared" si="0"/>
        <v>828.07575409374965</v>
      </c>
      <c r="Z6" s="153">
        <f t="shared" si="0"/>
        <v>952.287117207812</v>
      </c>
      <c r="AA6" s="153">
        <f t="shared" si="0"/>
        <v>1095.1301847889838</v>
      </c>
      <c r="AB6" s="153">
        <f t="shared" si="0"/>
        <v>1259.3997125073313</v>
      </c>
      <c r="AC6" s="153">
        <f t="shared" si="0"/>
        <v>1448.3096693834309</v>
      </c>
      <c r="AD6" s="137">
        <f>((AC6/G6)^(1/($AC$3-$H$1) ))-1</f>
        <v>0.24531565086417051</v>
      </c>
      <c r="AE6" s="31">
        <f>$L$1</f>
        <v>0.05</v>
      </c>
      <c r="AF6" s="145">
        <f t="shared" ref="AF6:AF44" si="1">(AC6*(1+AE6))/($C$1-AE6)</f>
        <v>11697.885791173865</v>
      </c>
    </row>
    <row r="7" spans="2:32" x14ac:dyDescent="0.2">
      <c r="B7" s="20" t="s">
        <v>240</v>
      </c>
      <c r="C7" s="140"/>
      <c r="D7" s="140"/>
      <c r="E7" s="146"/>
      <c r="F7" s="146"/>
      <c r="G7" s="146">
        <v>31</v>
      </c>
      <c r="H7" s="146">
        <v>53</v>
      </c>
      <c r="I7" s="146">
        <v>193</v>
      </c>
      <c r="J7" s="146">
        <v>200</v>
      </c>
      <c r="K7" s="146">
        <v>211</v>
      </c>
      <c r="L7" s="146">
        <v>269</v>
      </c>
      <c r="M7" s="146">
        <v>309</v>
      </c>
      <c r="N7" s="146">
        <v>341</v>
      </c>
      <c r="O7" s="146">
        <v>283</v>
      </c>
      <c r="P7" s="146">
        <v>642</v>
      </c>
      <c r="Q7" s="146">
        <v>399</v>
      </c>
      <c r="R7" s="118">
        <f>((Q7/G7)^(1/($H$2-$H$1) ))-1</f>
        <v>0.32828152937865807</v>
      </c>
      <c r="S7" s="31">
        <f>$L$2</f>
        <v>0.15</v>
      </c>
      <c r="T7" s="153">
        <f t="shared" ref="T7:T44" si="2">Q7*(1+$S7)</f>
        <v>458.84999999999997</v>
      </c>
      <c r="U7" s="153">
        <f t="shared" ref="U7:AC7" si="3">T7*(1+$S7)</f>
        <v>527.6774999999999</v>
      </c>
      <c r="V7" s="153">
        <f t="shared" si="3"/>
        <v>606.82912499999986</v>
      </c>
      <c r="W7" s="153">
        <f t="shared" si="3"/>
        <v>697.85349374999976</v>
      </c>
      <c r="X7" s="153">
        <f t="shared" si="3"/>
        <v>802.53151781249971</v>
      </c>
      <c r="Y7" s="153">
        <f t="shared" si="3"/>
        <v>922.9112454843746</v>
      </c>
      <c r="Z7" s="153">
        <f t="shared" si="3"/>
        <v>1061.3479323070308</v>
      </c>
      <c r="AA7" s="153">
        <f t="shared" si="3"/>
        <v>1220.5501221530853</v>
      </c>
      <c r="AB7" s="153">
        <f t="shared" si="3"/>
        <v>1403.632640476048</v>
      </c>
      <c r="AC7" s="153">
        <f t="shared" si="3"/>
        <v>1614.177536547455</v>
      </c>
      <c r="AD7" s="137">
        <f>((AC7/G7)^(1/($AC$3-$H$1) ))-1</f>
        <v>0.21851107344285259</v>
      </c>
      <c r="AE7" s="31">
        <f>$L$1</f>
        <v>0.05</v>
      </c>
      <c r="AF7" s="145">
        <f t="shared" si="1"/>
        <v>13037.587795190984</v>
      </c>
    </row>
    <row r="8" spans="2:32" x14ac:dyDescent="0.2">
      <c r="B8" s="20"/>
      <c r="C8" s="140"/>
      <c r="D8" s="140"/>
      <c r="E8" s="146"/>
      <c r="F8" s="146"/>
      <c r="G8" s="147">
        <f>(G7-F7)/G7</f>
        <v>1</v>
      </c>
      <c r="H8" s="150">
        <f>(H7-G7)/H7</f>
        <v>0.41509433962264153</v>
      </c>
      <c r="I8" s="150">
        <f t="shared" ref="I8:Q8" si="4">(I7-H7)/I7</f>
        <v>0.72538860103626945</v>
      </c>
      <c r="J8" s="150">
        <f t="shared" si="4"/>
        <v>3.5000000000000003E-2</v>
      </c>
      <c r="K8" s="150">
        <f t="shared" si="4"/>
        <v>5.2132701421800945E-2</v>
      </c>
      <c r="L8" s="150">
        <f t="shared" si="4"/>
        <v>0.21561338289962825</v>
      </c>
      <c r="M8" s="150">
        <f t="shared" si="4"/>
        <v>0.12944983818770225</v>
      </c>
      <c r="N8" s="150">
        <f t="shared" si="4"/>
        <v>9.3841642228739003E-2</v>
      </c>
      <c r="O8" s="150">
        <f t="shared" si="4"/>
        <v>-0.20494699646643111</v>
      </c>
      <c r="P8" s="150">
        <f t="shared" si="4"/>
        <v>0.55919003115264798</v>
      </c>
      <c r="Q8" s="150">
        <f t="shared" si="4"/>
        <v>-0.60902255639097747</v>
      </c>
      <c r="R8" s="128"/>
      <c r="S8" s="20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36"/>
      <c r="AE8" s="136"/>
      <c r="AF8" s="145"/>
    </row>
    <row r="9" spans="2:32" x14ac:dyDescent="0.2">
      <c r="B9" s="20" t="s">
        <v>269</v>
      </c>
      <c r="C9" s="140"/>
      <c r="D9" s="140"/>
      <c r="E9" s="146"/>
      <c r="F9" s="146"/>
      <c r="G9" s="146">
        <v>12</v>
      </c>
      <c r="H9" s="146">
        <v>19</v>
      </c>
      <c r="I9" s="146">
        <v>28</v>
      </c>
      <c r="J9" s="146">
        <v>40</v>
      </c>
      <c r="K9" s="146">
        <v>58</v>
      </c>
      <c r="L9" s="146">
        <v>91</v>
      </c>
      <c r="M9" s="146">
        <v>91</v>
      </c>
      <c r="N9" s="146">
        <v>123</v>
      </c>
      <c r="O9" s="146">
        <v>132</v>
      </c>
      <c r="P9" s="146">
        <v>244</v>
      </c>
      <c r="Q9" s="146">
        <v>342</v>
      </c>
      <c r="R9" s="118">
        <f>((Q9/G9)^(1/($H$2-$H$1) ))-1</f>
        <v>0.45093991729382155</v>
      </c>
      <c r="S9" s="31">
        <f t="shared" ref="S9:S40" si="5">$L$2</f>
        <v>0.15</v>
      </c>
      <c r="T9" s="153">
        <f t="shared" si="2"/>
        <v>393.29999999999995</v>
      </c>
      <c r="U9" s="153">
        <f t="shared" ref="U9" si="6">T9*(1+$S9)</f>
        <v>452.2949999999999</v>
      </c>
      <c r="V9" s="153">
        <f t="shared" ref="V9" si="7">U9*(1+$S9)</f>
        <v>520.13924999999983</v>
      </c>
      <c r="W9" s="153">
        <f t="shared" ref="W9" si="8">V9*(1+$S9)</f>
        <v>598.16013749999979</v>
      </c>
      <c r="X9" s="153">
        <f t="shared" ref="X9" si="9">W9*(1+$S9)</f>
        <v>687.88415812499966</v>
      </c>
      <c r="Y9" s="153">
        <f t="shared" ref="Y9" si="10">X9*(1+$S9)</f>
        <v>791.0667818437496</v>
      </c>
      <c r="Z9" s="153">
        <f t="shared" ref="Z9" si="11">Y9*(1+$S9)</f>
        <v>909.72679912031197</v>
      </c>
      <c r="AA9" s="153">
        <f t="shared" ref="AA9" si="12">Z9*(1+$S9)</f>
        <v>1046.1858189883587</v>
      </c>
      <c r="AB9" s="153">
        <f t="shared" ref="AB9" si="13">AA9*(1+$S9)</f>
        <v>1203.1136918366124</v>
      </c>
      <c r="AC9" s="153">
        <f t="shared" ref="AC9" si="14">AB9*(1+$S9)</f>
        <v>1383.580745612104</v>
      </c>
      <c r="AD9" s="137">
        <f>((AC9/G9)^(1/($AC$3-$H$1) ))-1</f>
        <v>0.26791798782431853</v>
      </c>
      <c r="AE9" s="31">
        <f t="shared" ref="AE9:AE83" si="15">$L$1</f>
        <v>0.05</v>
      </c>
      <c r="AF9" s="145">
        <f t="shared" si="1"/>
        <v>11175.075253020841</v>
      </c>
    </row>
    <row r="10" spans="2:32" x14ac:dyDescent="0.2">
      <c r="B10" s="20" t="s">
        <v>4</v>
      </c>
      <c r="C10" s="140"/>
      <c r="D10" s="140"/>
      <c r="E10" s="146"/>
      <c r="F10" s="146"/>
      <c r="G10" s="146">
        <v>30</v>
      </c>
      <c r="H10" s="146">
        <v>46</v>
      </c>
      <c r="I10" s="146">
        <v>62</v>
      </c>
      <c r="J10" s="146">
        <v>85</v>
      </c>
      <c r="K10" s="146">
        <v>135</v>
      </c>
      <c r="L10" s="146">
        <v>144</v>
      </c>
      <c r="M10" s="146">
        <v>180</v>
      </c>
      <c r="N10" s="146">
        <v>132</v>
      </c>
      <c r="O10" s="146">
        <v>174</v>
      </c>
      <c r="P10" s="146">
        <v>601</v>
      </c>
      <c r="Q10" s="146">
        <v>511</v>
      </c>
      <c r="R10" s="118">
        <f>((Q10/G10)^(1/($H$2-$H$1) ))-1</f>
        <v>0.3702855301364476</v>
      </c>
      <c r="S10" s="31">
        <f t="shared" si="5"/>
        <v>0.15</v>
      </c>
      <c r="T10" s="153">
        <f t="shared" si="2"/>
        <v>587.65</v>
      </c>
      <c r="U10" s="153">
        <f t="shared" ref="U10:AC10" si="16">T10*(1+$S10)</f>
        <v>675.7974999999999</v>
      </c>
      <c r="V10" s="153">
        <f t="shared" si="16"/>
        <v>777.16712499999983</v>
      </c>
      <c r="W10" s="153">
        <f t="shared" si="16"/>
        <v>893.74219374999973</v>
      </c>
      <c r="X10" s="153">
        <f t="shared" si="16"/>
        <v>1027.8035228124995</v>
      </c>
      <c r="Y10" s="153">
        <f t="shared" si="16"/>
        <v>1181.9740512343744</v>
      </c>
      <c r="Z10" s="153">
        <f t="shared" si="16"/>
        <v>1359.2701589195306</v>
      </c>
      <c r="AA10" s="153">
        <f t="shared" si="16"/>
        <v>1563.1606827574601</v>
      </c>
      <c r="AB10" s="153">
        <f t="shared" si="16"/>
        <v>1797.6347851710789</v>
      </c>
      <c r="AC10" s="153">
        <f t="shared" si="16"/>
        <v>2067.2800029467408</v>
      </c>
      <c r="AD10" s="137">
        <f t="shared" ref="AD10:AD42" si="17">((AC10/G10)^(1/($AC$3-$H$1) ))-1</f>
        <v>0.23570243493275123</v>
      </c>
      <c r="AE10" s="31">
        <f t="shared" si="15"/>
        <v>0.05</v>
      </c>
      <c r="AF10" s="145">
        <f t="shared" si="1"/>
        <v>16697.261562262138</v>
      </c>
    </row>
    <row r="11" spans="2:32" x14ac:dyDescent="0.2">
      <c r="B11" s="20"/>
      <c r="C11" s="140"/>
      <c r="D11" s="140"/>
      <c r="E11" s="146"/>
      <c r="F11" s="146"/>
      <c r="G11" s="147">
        <f>(G10-F10)/G10</f>
        <v>1</v>
      </c>
      <c r="H11" s="147">
        <f t="shared" ref="H11:Q11" si="18">(H10-G10)/H10</f>
        <v>0.34782608695652173</v>
      </c>
      <c r="I11" s="147">
        <f t="shared" si="18"/>
        <v>0.25806451612903225</v>
      </c>
      <c r="J11" s="147">
        <f t="shared" si="18"/>
        <v>0.27058823529411763</v>
      </c>
      <c r="K11" s="147">
        <f t="shared" si="18"/>
        <v>0.37037037037037035</v>
      </c>
      <c r="L11" s="147">
        <f t="shared" si="18"/>
        <v>6.25E-2</v>
      </c>
      <c r="M11" s="147">
        <f t="shared" si="18"/>
        <v>0.2</v>
      </c>
      <c r="N11" s="147">
        <f t="shared" si="18"/>
        <v>-0.36363636363636365</v>
      </c>
      <c r="O11" s="147">
        <f t="shared" si="18"/>
        <v>0.2413793103448276</v>
      </c>
      <c r="P11" s="147">
        <f t="shared" si="18"/>
        <v>0.71048252911813647</v>
      </c>
      <c r="Q11" s="147">
        <f t="shared" si="18"/>
        <v>-0.17612524461839529</v>
      </c>
      <c r="R11" s="128"/>
      <c r="S11" s="20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19"/>
      <c r="AE11" s="31">
        <f t="shared" si="15"/>
        <v>0.05</v>
      </c>
      <c r="AF11" s="153"/>
    </row>
    <row r="12" spans="2:32" x14ac:dyDescent="0.2">
      <c r="B12" s="20" t="s">
        <v>2</v>
      </c>
      <c r="C12" s="140"/>
      <c r="D12" s="140"/>
      <c r="E12" s="146"/>
      <c r="F12" s="146"/>
      <c r="G12" s="146">
        <v>3</v>
      </c>
      <c r="H12" s="146">
        <v>10</v>
      </c>
      <c r="I12" s="146">
        <v>63</v>
      </c>
      <c r="J12" s="146">
        <v>10</v>
      </c>
      <c r="K12" s="146">
        <v>21</v>
      </c>
      <c r="L12" s="146">
        <v>4</v>
      </c>
      <c r="M12" s="146">
        <f>15+6</f>
        <v>21</v>
      </c>
      <c r="N12" s="146">
        <v>79</v>
      </c>
      <c r="O12" s="146">
        <v>21</v>
      </c>
      <c r="P12" s="146">
        <v>37</v>
      </c>
      <c r="Q12" s="146">
        <v>27</v>
      </c>
      <c r="R12" s="118">
        <f>((Q12/G12)^(1/($H$2-$H$1) ))-1</f>
        <v>0.27651800700924167</v>
      </c>
      <c r="S12" s="31">
        <f t="shared" si="5"/>
        <v>0.15</v>
      </c>
      <c r="T12" s="153">
        <f t="shared" si="2"/>
        <v>31.049999999999997</v>
      </c>
      <c r="U12" s="153">
        <f t="shared" ref="U12:AC12" si="19">T12*(1+$S12)</f>
        <v>35.707499999999996</v>
      </c>
      <c r="V12" s="153">
        <f t="shared" si="19"/>
        <v>41.063624999999995</v>
      </c>
      <c r="W12" s="153">
        <f t="shared" si="19"/>
        <v>47.223168749999992</v>
      </c>
      <c r="X12" s="153">
        <f t="shared" si="19"/>
        <v>54.306644062499984</v>
      </c>
      <c r="Y12" s="153">
        <f t="shared" si="19"/>
        <v>62.452640671874974</v>
      </c>
      <c r="Z12" s="153">
        <f t="shared" si="19"/>
        <v>71.820536772656212</v>
      </c>
      <c r="AA12" s="153">
        <f t="shared" si="19"/>
        <v>82.59361728855464</v>
      </c>
      <c r="AB12" s="153">
        <f t="shared" si="19"/>
        <v>94.982659881837833</v>
      </c>
      <c r="AC12" s="153">
        <f t="shared" si="19"/>
        <v>109.2300588641135</v>
      </c>
      <c r="AD12" s="137">
        <f t="shared" si="17"/>
        <v>0.19690876033131488</v>
      </c>
      <c r="AE12" s="31">
        <f t="shared" si="15"/>
        <v>0.05</v>
      </c>
      <c r="AF12" s="145">
        <f t="shared" si="1"/>
        <v>882.24278313322441</v>
      </c>
    </row>
    <row r="13" spans="2:32" x14ac:dyDescent="0.2">
      <c r="B13" s="20" t="s">
        <v>218</v>
      </c>
      <c r="C13" s="140"/>
      <c r="D13" s="140"/>
      <c r="E13" s="146"/>
      <c r="F13" s="146"/>
      <c r="G13" s="146">
        <v>0.5</v>
      </c>
      <c r="H13" s="146">
        <v>1.2</v>
      </c>
      <c r="I13" s="146">
        <v>29</v>
      </c>
      <c r="J13" s="146">
        <v>42</v>
      </c>
      <c r="K13" s="146">
        <v>30</v>
      </c>
      <c r="L13" s="146">
        <v>115</v>
      </c>
      <c r="M13" s="146">
        <v>107</v>
      </c>
      <c r="N13" s="146">
        <v>0.5</v>
      </c>
      <c r="O13" s="146">
        <v>0.65</v>
      </c>
      <c r="P13" s="146">
        <v>38</v>
      </c>
      <c r="Q13" s="146">
        <v>24</v>
      </c>
      <c r="R13" s="118">
        <f>((Q13/G13)^(1/($H$2-$H$1) ))-1</f>
        <v>0.53746267757576938</v>
      </c>
      <c r="S13" s="31">
        <f t="shared" si="5"/>
        <v>0.15</v>
      </c>
      <c r="T13" s="153">
        <f t="shared" si="2"/>
        <v>27.599999999999998</v>
      </c>
      <c r="U13" s="153">
        <f t="shared" ref="U13:AC13" si="20">T13*(1+$S13)</f>
        <v>31.739999999999995</v>
      </c>
      <c r="V13" s="153">
        <f t="shared" si="20"/>
        <v>36.500999999999991</v>
      </c>
      <c r="W13" s="153">
        <f t="shared" si="20"/>
        <v>41.976149999999983</v>
      </c>
      <c r="X13" s="153">
        <f t="shared" si="20"/>
        <v>48.272572499999974</v>
      </c>
      <c r="Y13" s="153">
        <f t="shared" si="20"/>
        <v>55.513458374999963</v>
      </c>
      <c r="Z13" s="153">
        <f t="shared" si="20"/>
        <v>63.840477131249955</v>
      </c>
      <c r="AA13" s="153">
        <f t="shared" si="20"/>
        <v>73.41654870093744</v>
      </c>
      <c r="AB13" s="153">
        <f t="shared" si="20"/>
        <v>84.429031006078048</v>
      </c>
      <c r="AC13" s="153">
        <f t="shared" si="20"/>
        <v>97.093385656989753</v>
      </c>
      <c r="AD13" s="137">
        <f t="shared" si="17"/>
        <v>0.30140053832972269</v>
      </c>
      <c r="AE13" s="31">
        <f t="shared" si="15"/>
        <v>0.05</v>
      </c>
      <c r="AF13" s="145">
        <f t="shared" si="1"/>
        <v>784.21580722953263</v>
      </c>
    </row>
    <row r="14" spans="2:32" x14ac:dyDescent="0.2">
      <c r="B14" s="20" t="s">
        <v>371</v>
      </c>
      <c r="C14" s="140"/>
      <c r="D14" s="140"/>
      <c r="E14" s="146"/>
      <c r="F14" s="146"/>
      <c r="G14" s="146">
        <v>0.31</v>
      </c>
      <c r="H14" s="146">
        <v>0.7</v>
      </c>
      <c r="I14" s="146">
        <v>0.92</v>
      </c>
      <c r="J14" s="146">
        <v>2</v>
      </c>
      <c r="K14" s="146">
        <v>2</v>
      </c>
      <c r="L14" s="146">
        <v>3</v>
      </c>
      <c r="M14" s="146">
        <v>4</v>
      </c>
      <c r="N14" s="146">
        <v>5</v>
      </c>
      <c r="O14" s="146">
        <v>8</v>
      </c>
      <c r="P14" s="146">
        <v>11</v>
      </c>
      <c r="Q14" s="146">
        <v>11</v>
      </c>
      <c r="R14" s="118">
        <f>((Q14/G14)^(1/($H$2-$H$1) ))-1</f>
        <v>0.48670795660294286</v>
      </c>
      <c r="S14" s="31">
        <f t="shared" si="5"/>
        <v>0.15</v>
      </c>
      <c r="T14" s="153">
        <f t="shared" si="2"/>
        <v>12.649999999999999</v>
      </c>
      <c r="U14" s="153">
        <f t="shared" ref="U14" si="21">T14*(1+$S14)</f>
        <v>14.547499999999998</v>
      </c>
      <c r="V14" s="153">
        <f t="shared" ref="V14" si="22">U14*(1+$S14)</f>
        <v>16.729624999999995</v>
      </c>
      <c r="W14" s="153">
        <f t="shared" ref="W14" si="23">V14*(1+$S14)</f>
        <v>19.239068749999994</v>
      </c>
      <c r="X14" s="153">
        <f t="shared" ref="X14" si="24">W14*(1+$S14)</f>
        <v>22.124929062499991</v>
      </c>
      <c r="Y14" s="153">
        <f t="shared" ref="Y14" si="25">X14*(1+$S14)</f>
        <v>25.443668421874989</v>
      </c>
      <c r="Z14" s="153">
        <f t="shared" ref="Z14" si="26">Y14*(1+$S14)</f>
        <v>29.260218685156236</v>
      </c>
      <c r="AA14" s="153">
        <f t="shared" ref="AA14" si="27">Z14*(1+$S14)</f>
        <v>33.649251487929668</v>
      </c>
      <c r="AB14" s="153">
        <f t="shared" ref="AB14" si="28">AA14*(1+$S14)</f>
        <v>38.696639211119113</v>
      </c>
      <c r="AC14" s="153">
        <f t="shared" ref="AC14" si="29">AB14*(1+$S14)</f>
        <v>44.501135092786974</v>
      </c>
      <c r="AD14" s="137">
        <f t="shared" ref="AD14" si="30">((AC14/G14)^(1/($AC$3-$H$1) ))-1</f>
        <v>0.28188914436130919</v>
      </c>
      <c r="AE14" s="31">
        <f t="shared" si="15"/>
        <v>0.05</v>
      </c>
      <c r="AF14" s="145">
        <f t="shared" ref="AF14" si="31">(AC14*(1+AE14))/($C$1-AE14)</f>
        <v>359.43224498020254</v>
      </c>
    </row>
    <row r="15" spans="2:32" x14ac:dyDescent="0.2">
      <c r="B15" s="20" t="s">
        <v>19</v>
      </c>
      <c r="C15" s="140"/>
      <c r="D15" s="140"/>
      <c r="E15" s="146"/>
      <c r="F15" s="146"/>
      <c r="G15" s="146">
        <v>6</v>
      </c>
      <c r="H15" s="146">
        <v>5</v>
      </c>
      <c r="I15" s="146">
        <v>68</v>
      </c>
      <c r="J15" s="146">
        <v>19</v>
      </c>
      <c r="K15" s="146">
        <v>36</v>
      </c>
      <c r="L15" s="146">
        <v>26</v>
      </c>
      <c r="M15" s="146">
        <v>24</v>
      </c>
      <c r="N15" s="146">
        <v>114</v>
      </c>
      <c r="O15" s="146">
        <v>56</v>
      </c>
      <c r="P15" s="146">
        <v>90</v>
      </c>
      <c r="Q15" s="146">
        <v>90</v>
      </c>
      <c r="R15" s="118">
        <f>((Q15/G15)^(1/($H$2-$H$1) ))-1</f>
        <v>0.35106675160177092</v>
      </c>
      <c r="S15" s="31">
        <f t="shared" si="5"/>
        <v>0.15</v>
      </c>
      <c r="T15" s="153">
        <f t="shared" si="2"/>
        <v>103.49999999999999</v>
      </c>
      <c r="U15" s="153">
        <f t="shared" ref="U15:AC15" si="32">T15*(1+$S15)</f>
        <v>119.02499999999998</v>
      </c>
      <c r="V15" s="153">
        <f t="shared" si="32"/>
        <v>136.87874999999997</v>
      </c>
      <c r="W15" s="153">
        <f t="shared" si="32"/>
        <v>157.41056249999994</v>
      </c>
      <c r="X15" s="153">
        <f t="shared" si="32"/>
        <v>181.02214687499992</v>
      </c>
      <c r="Y15" s="153">
        <f t="shared" si="32"/>
        <v>208.1754689062499</v>
      </c>
      <c r="Z15" s="153">
        <f t="shared" si="32"/>
        <v>239.40178924218736</v>
      </c>
      <c r="AA15" s="153">
        <f t="shared" si="32"/>
        <v>275.31205762851545</v>
      </c>
      <c r="AB15" s="153">
        <f t="shared" si="32"/>
        <v>316.60886627279274</v>
      </c>
      <c r="AC15" s="153">
        <f t="shared" si="32"/>
        <v>364.10019621371163</v>
      </c>
      <c r="AD15" s="137">
        <f t="shared" si="17"/>
        <v>0.22787309462163563</v>
      </c>
      <c r="AE15" s="31">
        <f t="shared" si="15"/>
        <v>0.05</v>
      </c>
      <c r="AF15" s="145">
        <f t="shared" si="1"/>
        <v>2940.8092771107481</v>
      </c>
    </row>
    <row r="16" spans="2:32" x14ac:dyDescent="0.2">
      <c r="B16" s="20" t="s">
        <v>23</v>
      </c>
      <c r="C16" s="140"/>
      <c r="D16" s="140"/>
      <c r="E16" s="146"/>
      <c r="F16" s="146"/>
      <c r="G16" s="146">
        <v>11</v>
      </c>
      <c r="H16" s="146">
        <v>13</v>
      </c>
      <c r="I16" s="146">
        <v>65</v>
      </c>
      <c r="J16" s="146">
        <v>31</v>
      </c>
      <c r="K16" s="146">
        <v>29</v>
      </c>
      <c r="L16" s="146">
        <v>34</v>
      </c>
      <c r="M16" s="146">
        <v>56</v>
      </c>
      <c r="N16" s="146">
        <v>102</v>
      </c>
      <c r="O16" s="146">
        <v>83</v>
      </c>
      <c r="P16" s="146">
        <v>104</v>
      </c>
      <c r="Q16" s="146">
        <v>38</v>
      </c>
      <c r="R16" s="118">
        <f>((Q16/G16)^(1/($H$2-$H$1) ))-1</f>
        <v>0.14768105412723798</v>
      </c>
      <c r="S16" s="31">
        <f t="shared" si="5"/>
        <v>0.15</v>
      </c>
      <c r="T16" s="153">
        <f t="shared" si="2"/>
        <v>43.699999999999996</v>
      </c>
      <c r="U16" s="153">
        <f t="shared" ref="U16:AC16" si="33">T16*(1+$S16)</f>
        <v>50.254999999999988</v>
      </c>
      <c r="V16" s="153">
        <f t="shared" si="33"/>
        <v>57.793249999999979</v>
      </c>
      <c r="W16" s="153">
        <f t="shared" si="33"/>
        <v>66.462237499999972</v>
      </c>
      <c r="X16" s="153">
        <f t="shared" si="33"/>
        <v>76.431573124999957</v>
      </c>
      <c r="Y16" s="153">
        <f t="shared" si="33"/>
        <v>87.896309093749949</v>
      </c>
      <c r="Z16" s="153">
        <f t="shared" si="33"/>
        <v>101.08075545781243</v>
      </c>
      <c r="AA16" s="153">
        <f t="shared" si="33"/>
        <v>116.24286877648429</v>
      </c>
      <c r="AB16" s="153">
        <f t="shared" si="33"/>
        <v>133.67929909295691</v>
      </c>
      <c r="AC16" s="153">
        <f t="shared" si="33"/>
        <v>153.73119395690043</v>
      </c>
      <c r="AD16" s="137">
        <f t="shared" si="17"/>
        <v>0.14095486824286829</v>
      </c>
      <c r="AE16" s="31">
        <f t="shared" si="15"/>
        <v>0.05</v>
      </c>
      <c r="AF16" s="145">
        <f t="shared" si="1"/>
        <v>1241.6750281134266</v>
      </c>
    </row>
    <row r="17" spans="2:32" x14ac:dyDescent="0.2">
      <c r="B17" s="20"/>
      <c r="C17" s="140"/>
      <c r="D17" s="140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28"/>
      <c r="S17" s="20"/>
      <c r="T17" s="153">
        <f t="shared" si="2"/>
        <v>0</v>
      </c>
      <c r="U17" s="153"/>
      <c r="V17" s="153"/>
      <c r="W17" s="153"/>
      <c r="X17" s="153"/>
      <c r="Y17" s="153"/>
      <c r="Z17" s="153"/>
      <c r="AA17" s="153"/>
      <c r="AB17" s="153"/>
      <c r="AC17" s="153"/>
      <c r="AD17" s="138"/>
      <c r="AE17" s="136"/>
      <c r="AF17" s="153"/>
    </row>
    <row r="18" spans="2:32" x14ac:dyDescent="0.2">
      <c r="B18" s="20" t="s">
        <v>277</v>
      </c>
      <c r="C18" s="140"/>
      <c r="D18" s="140"/>
      <c r="E18" s="146"/>
      <c r="F18" s="146"/>
      <c r="G18" s="146">
        <v>37</v>
      </c>
      <c r="H18" s="146">
        <v>67</v>
      </c>
      <c r="I18" s="146">
        <v>80</v>
      </c>
      <c r="J18" s="146">
        <v>138</v>
      </c>
      <c r="K18" s="146">
        <v>176</v>
      </c>
      <c r="L18" s="146">
        <v>315</v>
      </c>
      <c r="M18" s="146">
        <v>352</v>
      </c>
      <c r="N18" s="146">
        <v>368</v>
      </c>
      <c r="O18" s="146">
        <v>273</v>
      </c>
      <c r="P18" s="146">
        <v>996</v>
      </c>
      <c r="Q18" s="146">
        <v>820</v>
      </c>
      <c r="R18" s="118">
        <f>((Q18/G18)^(1/($H$2-$H$1) ))-1</f>
        <v>0.41095271219004892</v>
      </c>
      <c r="S18" s="31">
        <f t="shared" si="5"/>
        <v>0.15</v>
      </c>
      <c r="T18" s="153">
        <f t="shared" si="2"/>
        <v>942.99999999999989</v>
      </c>
      <c r="U18" s="153">
        <f t="shared" ref="U18:U34" si="34">T18*(1+$S18)</f>
        <v>1084.4499999999998</v>
      </c>
      <c r="V18" s="153">
        <f t="shared" ref="V18:V34" si="35">U18*(1+$S18)</f>
        <v>1247.1174999999996</v>
      </c>
      <c r="W18" s="153">
        <f t="shared" ref="W18:W34" si="36">V18*(1+$S18)</f>
        <v>1434.1851249999995</v>
      </c>
      <c r="X18" s="153">
        <f t="shared" ref="X18:X36" si="37">W18*(1+$S18)</f>
        <v>1649.3128937499994</v>
      </c>
      <c r="Y18" s="153">
        <f t="shared" ref="Y18:Y36" si="38">X18*(1+$S18)</f>
        <v>1896.709827812499</v>
      </c>
      <c r="Z18" s="153">
        <f t="shared" ref="Z18:Z36" si="39">Y18*(1+$S18)</f>
        <v>2181.2163019843738</v>
      </c>
      <c r="AA18" s="153">
        <f t="shared" ref="AA18:AA36" si="40">Z18*(1+$S18)</f>
        <v>2508.3987472820295</v>
      </c>
      <c r="AB18" s="153">
        <f t="shared" ref="AB18:AB36" si="41">AA18*(1+$S18)</f>
        <v>2884.6585593743339</v>
      </c>
      <c r="AC18" s="153">
        <f t="shared" ref="AC18:AC36" si="42">AB18*(1+$S18)</f>
        <v>3317.3573432804837</v>
      </c>
      <c r="AD18" s="137">
        <f t="shared" si="17"/>
        <v>0.25207264301010035</v>
      </c>
      <c r="AE18" s="31">
        <f t="shared" si="15"/>
        <v>0.05</v>
      </c>
      <c r="AF18" s="145">
        <f t="shared" si="1"/>
        <v>26794.040080342369</v>
      </c>
    </row>
    <row r="19" spans="2:32" x14ac:dyDescent="0.2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28"/>
      <c r="S19" s="20"/>
      <c r="T19" s="153">
        <f t="shared" si="2"/>
        <v>0</v>
      </c>
      <c r="U19" s="153"/>
      <c r="V19" s="153"/>
      <c r="W19" s="153"/>
      <c r="X19" s="153"/>
      <c r="Y19" s="153"/>
      <c r="Z19" s="153"/>
      <c r="AA19" s="153"/>
      <c r="AB19" s="153"/>
      <c r="AC19" s="153"/>
      <c r="AD19" s="138"/>
      <c r="AE19" s="136"/>
      <c r="AF19" s="153"/>
    </row>
    <row r="20" spans="2:32" x14ac:dyDescent="0.2">
      <c r="B20" s="20" t="s">
        <v>283</v>
      </c>
      <c r="C20" s="140"/>
      <c r="D20" s="140"/>
      <c r="E20" s="146"/>
      <c r="F20" s="146"/>
      <c r="G20" s="146">
        <f>H20</f>
        <v>18</v>
      </c>
      <c r="H20" s="146">
        <v>18</v>
      </c>
      <c r="I20" s="146">
        <v>13</v>
      </c>
      <c r="J20" s="146">
        <v>12</v>
      </c>
      <c r="K20" s="146">
        <v>40</v>
      </c>
      <c r="L20" s="146">
        <v>45</v>
      </c>
      <c r="M20" s="146">
        <v>26</v>
      </c>
      <c r="N20" s="146">
        <v>39</v>
      </c>
      <c r="O20" s="146">
        <v>31</v>
      </c>
      <c r="P20" s="146">
        <v>112</v>
      </c>
      <c r="Q20" s="146">
        <v>198</v>
      </c>
      <c r="R20" s="118">
        <f>((Q20/G20)^(1/($H$2-$H$1) ))-1</f>
        <v>0.30529988079491988</v>
      </c>
      <c r="S20" s="31">
        <f t="shared" si="5"/>
        <v>0.15</v>
      </c>
      <c r="T20" s="153">
        <f t="shared" si="2"/>
        <v>227.7</v>
      </c>
      <c r="U20" s="153">
        <f t="shared" ref="U20:U22" si="43">T20*(1+$S20)</f>
        <v>261.85499999999996</v>
      </c>
      <c r="V20" s="153">
        <f t="shared" ref="V20:V22" si="44">U20*(1+$S20)</f>
        <v>301.13324999999992</v>
      </c>
      <c r="W20" s="153">
        <f t="shared" ref="W20:W22" si="45">V20*(1+$S20)</f>
        <v>346.30323749999985</v>
      </c>
      <c r="X20" s="153">
        <f t="shared" ref="X20:X22" si="46">W20*(1+$S20)</f>
        <v>398.2487231249998</v>
      </c>
      <c r="Y20" s="153">
        <f t="shared" ref="Y20:Y22" si="47">X20*(1+$S20)</f>
        <v>457.98603159374971</v>
      </c>
      <c r="Z20" s="153">
        <f t="shared" ref="Z20:Z22" si="48">Y20*(1+$S20)</f>
        <v>526.6839363328121</v>
      </c>
      <c r="AA20" s="153">
        <f t="shared" ref="AA20:AA22" si="49">Z20*(1+$S20)</f>
        <v>605.68652678273384</v>
      </c>
      <c r="AB20" s="153">
        <f t="shared" ref="AB20:AB22" si="50">AA20*(1+$S20)</f>
        <v>696.53950580014384</v>
      </c>
      <c r="AC20" s="153">
        <f t="shared" ref="AC20:AC22" si="51">AB20*(1+$S20)</f>
        <v>801.02043167016541</v>
      </c>
      <c r="AD20" s="137">
        <f t="shared" ref="AD20:AD22" si="52">((AC20/G20)^(1/($AC$3-$H$1) ))-1</f>
        <v>0.20897843549488582</v>
      </c>
      <c r="AE20" s="31">
        <f t="shared" si="15"/>
        <v>0.05</v>
      </c>
      <c r="AF20" s="145">
        <f t="shared" si="1"/>
        <v>6469.780409643643</v>
      </c>
    </row>
    <row r="21" spans="2:32" x14ac:dyDescent="0.2">
      <c r="B21" s="20" t="s">
        <v>284</v>
      </c>
      <c r="C21" s="140"/>
      <c r="D21" s="140"/>
      <c r="E21" s="146"/>
      <c r="F21" s="146"/>
      <c r="G21" s="146">
        <f>H21</f>
        <v>-42</v>
      </c>
      <c r="H21" s="146">
        <v>-42</v>
      </c>
      <c r="I21" s="146">
        <v>-106</v>
      </c>
      <c r="J21" s="146">
        <v>-7</v>
      </c>
      <c r="K21" s="146">
        <v>-56</v>
      </c>
      <c r="L21" s="146">
        <v>-29</v>
      </c>
      <c r="M21" s="146">
        <v>-90</v>
      </c>
      <c r="N21" s="146">
        <v>-14</v>
      </c>
      <c r="O21" s="146">
        <v>-76</v>
      </c>
      <c r="P21" s="146">
        <v>-557</v>
      </c>
      <c r="Q21" s="146">
        <v>-95</v>
      </c>
      <c r="R21" s="118">
        <f>((Q21/G21)^(1/($H$2-$H$1) ))-1</f>
        <v>9.4929192764064307E-2</v>
      </c>
      <c r="S21" s="31">
        <f t="shared" si="5"/>
        <v>0.15</v>
      </c>
      <c r="T21" s="153">
        <f t="shared" si="2"/>
        <v>-109.24999999999999</v>
      </c>
      <c r="U21" s="153">
        <f t="shared" si="43"/>
        <v>-125.63749999999997</v>
      </c>
      <c r="V21" s="153">
        <f t="shared" si="44"/>
        <v>-144.48312499999997</v>
      </c>
      <c r="W21" s="153">
        <f t="shared" si="45"/>
        <v>-166.15559374999995</v>
      </c>
      <c r="X21" s="153">
        <f t="shared" si="46"/>
        <v>-191.07893281249994</v>
      </c>
      <c r="Y21" s="153">
        <f t="shared" si="47"/>
        <v>-219.74077273437493</v>
      </c>
      <c r="Z21" s="153">
        <f t="shared" si="48"/>
        <v>-252.70188864453115</v>
      </c>
      <c r="AA21" s="153">
        <f t="shared" si="49"/>
        <v>-290.60717194121082</v>
      </c>
      <c r="AB21" s="153">
        <f t="shared" si="50"/>
        <v>-334.19824773239242</v>
      </c>
      <c r="AC21" s="153">
        <f t="shared" si="51"/>
        <v>-384.32798489225127</v>
      </c>
      <c r="AD21" s="137">
        <f t="shared" si="52"/>
        <v>0.11705005921572775</v>
      </c>
      <c r="AE21" s="31">
        <f t="shared" si="15"/>
        <v>0.05</v>
      </c>
      <c r="AF21" s="145">
        <f t="shared" si="1"/>
        <v>-3104.1875702835682</v>
      </c>
    </row>
    <row r="22" spans="2:32" x14ac:dyDescent="0.2">
      <c r="B22" s="20" t="s">
        <v>285</v>
      </c>
      <c r="C22" s="140"/>
      <c r="D22" s="140"/>
      <c r="E22" s="146"/>
      <c r="F22" s="146"/>
      <c r="G22" s="146">
        <f>H22</f>
        <v>31</v>
      </c>
      <c r="H22" s="146">
        <v>31</v>
      </c>
      <c r="I22" s="146">
        <v>146</v>
      </c>
      <c r="J22" s="146">
        <v>-14</v>
      </c>
      <c r="K22" s="146">
        <v>20</v>
      </c>
      <c r="L22" s="146">
        <v>24</v>
      </c>
      <c r="M22" s="146">
        <v>66</v>
      </c>
      <c r="N22" s="146">
        <v>0.76</v>
      </c>
      <c r="O22" s="146">
        <v>-14</v>
      </c>
      <c r="P22" s="146">
        <v>453</v>
      </c>
      <c r="Q22" s="146">
        <v>-115</v>
      </c>
      <c r="R22" s="118">
        <f>((Q22/G22)^(1/($H$2-$H$1) ))-1</f>
        <v>-2.1568034411093939</v>
      </c>
      <c r="S22" s="31">
        <f t="shared" si="5"/>
        <v>0.15</v>
      </c>
      <c r="T22" s="153">
        <f t="shared" si="2"/>
        <v>-132.25</v>
      </c>
      <c r="U22" s="153">
        <f t="shared" si="43"/>
        <v>-152.08749999999998</v>
      </c>
      <c r="V22" s="153">
        <f t="shared" si="44"/>
        <v>-174.90062499999996</v>
      </c>
      <c r="W22" s="153">
        <f t="shared" si="45"/>
        <v>-201.13571874999994</v>
      </c>
      <c r="X22" s="153">
        <f t="shared" si="46"/>
        <v>-231.30607656249992</v>
      </c>
      <c r="Y22" s="153">
        <f t="shared" si="47"/>
        <v>-266.00198804687489</v>
      </c>
      <c r="Z22" s="153">
        <f t="shared" si="48"/>
        <v>-305.90228625390608</v>
      </c>
      <c r="AA22" s="153">
        <f t="shared" si="49"/>
        <v>-351.78762919199198</v>
      </c>
      <c r="AB22" s="153">
        <f t="shared" si="50"/>
        <v>-404.55577357079073</v>
      </c>
      <c r="AC22" s="153">
        <f t="shared" si="51"/>
        <v>-465.23913960640931</v>
      </c>
      <c r="AD22" s="137" t="e">
        <f t="shared" si="52"/>
        <v>#NUM!</v>
      </c>
      <c r="AE22" s="31">
        <f t="shared" si="15"/>
        <v>0.05</v>
      </c>
      <c r="AF22" s="145">
        <f t="shared" si="1"/>
        <v>-3757.7007429748442</v>
      </c>
    </row>
    <row r="23" spans="2:32" x14ac:dyDescent="0.2">
      <c r="B23" s="20" t="s">
        <v>294</v>
      </c>
      <c r="C23" s="140"/>
      <c r="D23" s="140"/>
      <c r="E23" s="146"/>
      <c r="F23" s="146"/>
      <c r="G23" s="146">
        <f>H23</f>
        <v>10</v>
      </c>
      <c r="H23" s="146">
        <v>10</v>
      </c>
      <c r="I23" s="146">
        <v>63</v>
      </c>
      <c r="J23" s="146">
        <v>6</v>
      </c>
      <c r="K23" s="146">
        <v>9</v>
      </c>
      <c r="L23" s="146">
        <v>1</v>
      </c>
      <c r="M23" s="146">
        <v>4</v>
      </c>
      <c r="N23" s="146">
        <v>30</v>
      </c>
      <c r="O23" s="146">
        <v>11</v>
      </c>
      <c r="P23" s="146">
        <v>20</v>
      </c>
      <c r="Q23" s="146">
        <v>13</v>
      </c>
      <c r="R23" s="118">
        <f>((Q23/G23)^(1/($H$2-$H$1) ))-1</f>
        <v>2.9580651569029559E-2</v>
      </c>
      <c r="S23" s="31">
        <f t="shared" si="5"/>
        <v>0.15</v>
      </c>
      <c r="T23" s="153">
        <f t="shared" si="2"/>
        <v>14.95</v>
      </c>
      <c r="U23" s="153">
        <f t="shared" ref="U23" si="53">T23*(1+$S23)</f>
        <v>17.192499999999999</v>
      </c>
      <c r="V23" s="153">
        <f t="shared" ref="V23" si="54">U23*(1+$S23)</f>
        <v>19.771374999999999</v>
      </c>
      <c r="W23" s="153">
        <f t="shared" ref="W23" si="55">V23*(1+$S23)</f>
        <v>22.737081249999996</v>
      </c>
      <c r="X23" s="153">
        <f t="shared" ref="X23" si="56">W23*(1+$S23)</f>
        <v>26.147643437499994</v>
      </c>
      <c r="Y23" s="153">
        <f t="shared" ref="Y23" si="57">X23*(1+$S23)</f>
        <v>30.069789953124992</v>
      </c>
      <c r="Z23" s="153">
        <f t="shared" ref="Z23" si="58">Y23*(1+$S23)</f>
        <v>34.580258446093737</v>
      </c>
      <c r="AA23" s="153">
        <f t="shared" ref="AA23" si="59">Z23*(1+$S23)</f>
        <v>39.767297213007794</v>
      </c>
      <c r="AB23" s="153">
        <f t="shared" ref="AB23" si="60">AA23*(1+$S23)</f>
        <v>45.732391794958957</v>
      </c>
      <c r="AC23" s="153">
        <f t="shared" ref="AC23" si="61">AB23*(1+$S23)</f>
        <v>52.5922505642028</v>
      </c>
      <c r="AD23" s="137">
        <f t="shared" ref="AD23" si="62">((AC23/G23)^(1/($AC$3-$H$1) ))-1</f>
        <v>8.6540922377002172E-2</v>
      </c>
      <c r="AE23" s="31">
        <f t="shared" si="15"/>
        <v>0.05</v>
      </c>
      <c r="AF23" s="145">
        <f t="shared" si="1"/>
        <v>424.78356224933032</v>
      </c>
    </row>
    <row r="24" spans="2:32" x14ac:dyDescent="0.2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28"/>
      <c r="S24" s="20"/>
      <c r="T24" s="153">
        <f t="shared" si="2"/>
        <v>0</v>
      </c>
      <c r="U24" s="153"/>
      <c r="V24" s="153"/>
      <c r="W24" s="153"/>
      <c r="X24" s="153"/>
      <c r="Y24" s="153"/>
      <c r="Z24" s="153"/>
      <c r="AA24" s="153"/>
      <c r="AB24" s="153"/>
      <c r="AC24" s="153"/>
      <c r="AD24" s="119"/>
      <c r="AE24" s="136"/>
      <c r="AF24" s="153"/>
    </row>
    <row r="25" spans="2:32" x14ac:dyDescent="0.2">
      <c r="B25" s="20" t="s">
        <v>89</v>
      </c>
      <c r="C25" s="140"/>
      <c r="D25" s="140"/>
      <c r="E25" s="146"/>
      <c r="F25" s="146"/>
      <c r="G25" s="146">
        <v>50</v>
      </c>
      <c r="H25" s="146">
        <v>88</v>
      </c>
      <c r="I25" s="146">
        <v>133</v>
      </c>
      <c r="J25" s="146">
        <v>212</v>
      </c>
      <c r="K25" s="146">
        <v>304</v>
      </c>
      <c r="L25" s="146">
        <v>396</v>
      </c>
      <c r="M25" s="146">
        <v>341</v>
      </c>
      <c r="N25" s="146">
        <v>469</v>
      </c>
      <c r="O25" s="146">
        <v>520</v>
      </c>
      <c r="P25" s="146">
        <v>813</v>
      </c>
      <c r="Q25" s="146">
        <v>1362</v>
      </c>
      <c r="R25" s="118">
        <f>((Q25/G25)^(1/($H$2-$H$1) ))-1</f>
        <v>0.4436684181885957</v>
      </c>
      <c r="S25" s="31">
        <f t="shared" si="5"/>
        <v>0.15</v>
      </c>
      <c r="T25" s="153">
        <f t="shared" si="2"/>
        <v>1566.3</v>
      </c>
      <c r="U25" s="153">
        <f t="shared" si="34"/>
        <v>1801.2449999999999</v>
      </c>
      <c r="V25" s="153">
        <f t="shared" si="35"/>
        <v>2071.4317499999997</v>
      </c>
      <c r="W25" s="153">
        <f t="shared" si="36"/>
        <v>2382.1465124999995</v>
      </c>
      <c r="X25" s="153">
        <f t="shared" si="37"/>
        <v>2739.4684893749991</v>
      </c>
      <c r="Y25" s="153">
        <f t="shared" si="38"/>
        <v>3150.3887627812487</v>
      </c>
      <c r="Z25" s="153">
        <f t="shared" si="39"/>
        <v>3622.9470771984356</v>
      </c>
      <c r="AA25" s="153">
        <f t="shared" si="40"/>
        <v>4166.3891387782005</v>
      </c>
      <c r="AB25" s="153">
        <f t="shared" si="41"/>
        <v>4791.3475095949298</v>
      </c>
      <c r="AC25" s="153">
        <f t="shared" si="42"/>
        <v>5510.0496360341685</v>
      </c>
      <c r="AD25" s="137">
        <f t="shared" si="17"/>
        <v>0.26505461511522665</v>
      </c>
      <c r="AE25" s="31">
        <f t="shared" si="15"/>
        <v>0.05</v>
      </c>
      <c r="AF25" s="145">
        <f t="shared" si="1"/>
        <v>44504.247060275979</v>
      </c>
    </row>
    <row r="26" spans="2:32" s="123" customFormat="1" x14ac:dyDescent="0.2">
      <c r="B26" s="23"/>
      <c r="C26" s="148"/>
      <c r="D26" s="148"/>
      <c r="E26" s="149"/>
      <c r="F26" s="149"/>
      <c r="G26" s="147">
        <f>(G25-F25)/G25</f>
        <v>1</v>
      </c>
      <c r="H26" s="147">
        <f>(H25-G25)/H25</f>
        <v>0.43181818181818182</v>
      </c>
      <c r="I26" s="147">
        <f t="shared" ref="I26" si="63">(I25-H25)/I25</f>
        <v>0.33834586466165412</v>
      </c>
      <c r="J26" s="147">
        <f t="shared" ref="J26" si="64">(J25-I25)/J25</f>
        <v>0.37264150943396224</v>
      </c>
      <c r="K26" s="147">
        <f t="shared" ref="K26" si="65">(K25-J25)/K25</f>
        <v>0.30263157894736842</v>
      </c>
      <c r="L26" s="147">
        <f t="shared" ref="L26" si="66">(L25-K25)/L25</f>
        <v>0.23232323232323232</v>
      </c>
      <c r="M26" s="147">
        <f t="shared" ref="M26" si="67">(M25-L25)/M25</f>
        <v>-0.16129032258064516</v>
      </c>
      <c r="N26" s="147">
        <f t="shared" ref="N26" si="68">(N25-M25)/N25</f>
        <v>0.27292110874200426</v>
      </c>
      <c r="O26" s="147">
        <f t="shared" ref="O26" si="69">(O25-N25)/O25</f>
        <v>9.8076923076923075E-2</v>
      </c>
      <c r="P26" s="147">
        <f t="shared" ref="P26:Q26" si="70">(P25-O25)/P25</f>
        <v>0.36039360393603936</v>
      </c>
      <c r="Q26" s="147">
        <f t="shared" si="70"/>
        <v>0.40308370044052866</v>
      </c>
      <c r="R26" s="128"/>
      <c r="S26" s="20"/>
      <c r="T26" s="153"/>
      <c r="U26" s="154"/>
      <c r="V26" s="154"/>
      <c r="W26" s="154"/>
      <c r="X26" s="154"/>
      <c r="Y26" s="154"/>
      <c r="Z26" s="154"/>
      <c r="AA26" s="154"/>
      <c r="AB26" s="154"/>
      <c r="AC26" s="154"/>
      <c r="AD26" s="119"/>
      <c r="AE26" s="136"/>
      <c r="AF26" s="153"/>
    </row>
    <row r="27" spans="2:32" x14ac:dyDescent="0.2">
      <c r="B27" s="20" t="s">
        <v>261</v>
      </c>
      <c r="C27" s="140"/>
      <c r="D27" s="140"/>
      <c r="E27" s="146"/>
      <c r="F27" s="146"/>
      <c r="G27" s="146">
        <v>41</v>
      </c>
      <c r="H27" s="146">
        <v>74</v>
      </c>
      <c r="I27" s="146">
        <v>113</v>
      </c>
      <c r="J27" s="146">
        <v>177</v>
      </c>
      <c r="K27" s="146">
        <v>245</v>
      </c>
      <c r="L27" s="146">
        <v>337</v>
      </c>
      <c r="M27" s="146">
        <v>296</v>
      </c>
      <c r="N27" s="146">
        <v>370</v>
      </c>
      <c r="O27" s="146">
        <v>433</v>
      </c>
      <c r="P27" s="146">
        <v>688</v>
      </c>
      <c r="Q27" s="146">
        <v>1135</v>
      </c>
      <c r="R27" s="118">
        <f>((Q27/G27)^(1/($H$2-$H$1) ))-1</f>
        <v>0.44625801344910698</v>
      </c>
      <c r="S27" s="31">
        <f t="shared" si="5"/>
        <v>0.15</v>
      </c>
      <c r="T27" s="153">
        <f t="shared" si="2"/>
        <v>1305.25</v>
      </c>
      <c r="U27" s="153">
        <f t="shared" si="34"/>
        <v>1501.0374999999999</v>
      </c>
      <c r="V27" s="153">
        <f t="shared" si="35"/>
        <v>1726.1931249999998</v>
      </c>
      <c r="W27" s="153">
        <f t="shared" si="36"/>
        <v>1985.1220937499995</v>
      </c>
      <c r="X27" s="153">
        <f t="shared" si="37"/>
        <v>2282.8904078124992</v>
      </c>
      <c r="Y27" s="153">
        <f t="shared" si="38"/>
        <v>2625.323968984374</v>
      </c>
      <c r="Z27" s="153">
        <f t="shared" si="39"/>
        <v>3019.1225643320299</v>
      </c>
      <c r="AA27" s="153">
        <f t="shared" si="40"/>
        <v>3471.9909489818342</v>
      </c>
      <c r="AB27" s="153">
        <f t="shared" si="41"/>
        <v>3992.789591329109</v>
      </c>
      <c r="AC27" s="153">
        <f t="shared" si="42"/>
        <v>4591.7080300284752</v>
      </c>
      <c r="AD27" s="137">
        <f t="shared" si="17"/>
        <v>0.26607525406926413</v>
      </c>
      <c r="AE27" s="31">
        <f t="shared" si="15"/>
        <v>0.05</v>
      </c>
      <c r="AF27" s="145">
        <f t="shared" si="1"/>
        <v>37086.872550229993</v>
      </c>
    </row>
    <row r="28" spans="2:32" s="123" customFormat="1" x14ac:dyDescent="0.2">
      <c r="B28" s="23"/>
      <c r="C28" s="148"/>
      <c r="D28" s="148"/>
      <c r="E28" s="149"/>
      <c r="F28" s="149"/>
      <c r="G28" s="147">
        <f t="shared" ref="G28:M28" si="71">(G27-F27)/G27</f>
        <v>1</v>
      </c>
      <c r="H28" s="147">
        <f t="shared" si="71"/>
        <v>0.44594594594594594</v>
      </c>
      <c r="I28" s="147">
        <f t="shared" si="71"/>
        <v>0.34513274336283184</v>
      </c>
      <c r="J28" s="147">
        <f t="shared" si="71"/>
        <v>0.3615819209039548</v>
      </c>
      <c r="K28" s="147">
        <f t="shared" si="71"/>
        <v>0.27755102040816326</v>
      </c>
      <c r="L28" s="147">
        <f t="shared" si="71"/>
        <v>0.27299703264094954</v>
      </c>
      <c r="M28" s="147">
        <f t="shared" si="71"/>
        <v>-0.13851351351351351</v>
      </c>
      <c r="N28" s="147">
        <f t="shared" ref="N28" si="72">(N27-M27)/N27</f>
        <v>0.2</v>
      </c>
      <c r="O28" s="147">
        <f t="shared" ref="O28" si="73">(O27-N27)/O27</f>
        <v>0.14549653579676675</v>
      </c>
      <c r="P28" s="147">
        <f t="shared" ref="P28:Q28" si="74">(P27-O27)/P27</f>
        <v>0.37063953488372092</v>
      </c>
      <c r="Q28" s="147">
        <f t="shared" si="74"/>
        <v>0.39383259911894275</v>
      </c>
      <c r="R28" s="128"/>
      <c r="S28" s="20"/>
      <c r="T28" s="153"/>
      <c r="U28" s="154"/>
      <c r="V28" s="154"/>
      <c r="W28" s="154"/>
      <c r="X28" s="154"/>
      <c r="Y28" s="154"/>
      <c r="Z28" s="154"/>
      <c r="AA28" s="154"/>
      <c r="AB28" s="154"/>
      <c r="AC28" s="154"/>
      <c r="AD28" s="119"/>
      <c r="AE28" s="136"/>
      <c r="AF28" s="153"/>
    </row>
    <row r="29" spans="2:32" s="123" customFormat="1" x14ac:dyDescent="0.2">
      <c r="B29" s="20" t="s">
        <v>322</v>
      </c>
      <c r="C29" s="148"/>
      <c r="D29" s="148"/>
      <c r="E29" s="149"/>
      <c r="F29" s="146"/>
      <c r="G29" s="146">
        <v>2</v>
      </c>
      <c r="H29" s="146">
        <v>3</v>
      </c>
      <c r="I29" s="146">
        <v>3</v>
      </c>
      <c r="J29" s="146">
        <v>7</v>
      </c>
      <c r="K29" s="146">
        <v>9</v>
      </c>
      <c r="L29" s="146">
        <v>14</v>
      </c>
      <c r="M29" s="146">
        <v>18</v>
      </c>
      <c r="N29" s="146">
        <v>16</v>
      </c>
      <c r="O29" s="146">
        <v>18</v>
      </c>
      <c r="P29" s="146">
        <v>37</v>
      </c>
      <c r="Q29" s="146">
        <v>80</v>
      </c>
      <c r="R29" s="118">
        <f>((Q29/G29)^(1/($H$2-$H$1) ))-1</f>
        <v>0.50663019029466749</v>
      </c>
      <c r="S29" s="31">
        <f t="shared" si="5"/>
        <v>0.15</v>
      </c>
      <c r="T29" s="153">
        <f t="shared" si="2"/>
        <v>92</v>
      </c>
      <c r="U29" s="153">
        <f t="shared" ref="U29" si="75">T29*(1+$S29)</f>
        <v>105.8</v>
      </c>
      <c r="V29" s="153">
        <f t="shared" ref="V29" si="76">U29*(1+$S29)</f>
        <v>121.66999999999999</v>
      </c>
      <c r="W29" s="153">
        <f t="shared" ref="W29" si="77">V29*(1+$S29)</f>
        <v>139.92049999999998</v>
      </c>
      <c r="X29" s="153">
        <f t="shared" ref="X29" si="78">W29*(1+$S29)</f>
        <v>160.90857499999996</v>
      </c>
      <c r="Y29" s="153">
        <f t="shared" ref="Y29" si="79">X29*(1+$S29)</f>
        <v>185.04486124999994</v>
      </c>
      <c r="Z29" s="153">
        <f t="shared" ref="Z29" si="80">Y29*(1+$S29)</f>
        <v>212.80159043749993</v>
      </c>
      <c r="AA29" s="153">
        <f t="shared" ref="AA29" si="81">Z29*(1+$S29)</f>
        <v>244.7218290031249</v>
      </c>
      <c r="AB29" s="153">
        <f t="shared" ref="AB29" si="82">AA29*(1+$S29)</f>
        <v>281.43010335359361</v>
      </c>
      <c r="AC29" s="153">
        <f t="shared" ref="AC29" si="83">AB29*(1+$S29)</f>
        <v>323.64461885663263</v>
      </c>
      <c r="AD29" s="137">
        <f t="shared" ref="AD29" si="84">((AC29/G29)^(1/($AC$3-$H$1) ))-1</f>
        <v>0.2895907808412379</v>
      </c>
      <c r="AE29" s="31">
        <f t="shared" si="15"/>
        <v>0.05</v>
      </c>
      <c r="AF29" s="145">
        <f t="shared" ref="AF29" si="85">(AC29*(1+AE29))/($C$1-AE29)</f>
        <v>2614.0526907651097</v>
      </c>
    </row>
    <row r="30" spans="2:32" s="123" customFormat="1" x14ac:dyDescent="0.2">
      <c r="B30" s="23"/>
      <c r="C30" s="148"/>
      <c r="D30" s="148"/>
      <c r="E30" s="149"/>
      <c r="F30" s="149"/>
      <c r="G30" s="147">
        <f t="shared" ref="G30:L30" si="86">(G29-F29)/G29</f>
        <v>1</v>
      </c>
      <c r="H30" s="147">
        <f t="shared" si="86"/>
        <v>0.33333333333333331</v>
      </c>
      <c r="I30" s="147">
        <f t="shared" si="86"/>
        <v>0</v>
      </c>
      <c r="J30" s="147">
        <f t="shared" si="86"/>
        <v>0.5714285714285714</v>
      </c>
      <c r="K30" s="147">
        <f t="shared" si="86"/>
        <v>0.22222222222222221</v>
      </c>
      <c r="L30" s="147">
        <f t="shared" si="86"/>
        <v>0.35714285714285715</v>
      </c>
      <c r="M30" s="147">
        <f t="shared" ref="M30" si="87">(M29-L29)/M29</f>
        <v>0.22222222222222221</v>
      </c>
      <c r="N30" s="147">
        <f t="shared" ref="N30" si="88">(N29-M29)/N29</f>
        <v>-0.125</v>
      </c>
      <c r="O30" s="147">
        <f t="shared" ref="O30" si="89">(O29-N29)/O29</f>
        <v>0.1111111111111111</v>
      </c>
      <c r="P30" s="147">
        <f t="shared" ref="P30:Q30" si="90">(P29-O29)/P29</f>
        <v>0.51351351351351349</v>
      </c>
      <c r="Q30" s="147">
        <f t="shared" si="90"/>
        <v>0.53749999999999998</v>
      </c>
      <c r="R30" s="128"/>
      <c r="S30" s="20"/>
      <c r="T30" s="153"/>
      <c r="U30" s="154"/>
      <c r="V30" s="154"/>
      <c r="W30" s="154"/>
      <c r="X30" s="154"/>
      <c r="Y30" s="154"/>
      <c r="Z30" s="154"/>
      <c r="AA30" s="154"/>
      <c r="AB30" s="154"/>
      <c r="AC30" s="154"/>
      <c r="AD30" s="161"/>
      <c r="AE30" s="136"/>
      <c r="AF30" s="153"/>
    </row>
    <row r="31" spans="2:32" x14ac:dyDescent="0.2">
      <c r="B31" s="20" t="s">
        <v>330</v>
      </c>
      <c r="C31" s="140"/>
      <c r="D31" s="140"/>
      <c r="E31" s="146"/>
      <c r="F31" s="146"/>
      <c r="G31" s="146"/>
      <c r="H31" s="146"/>
      <c r="I31" s="146">
        <v>0</v>
      </c>
      <c r="J31" s="146"/>
      <c r="K31" s="146"/>
      <c r="L31" s="146"/>
      <c r="M31" s="146"/>
      <c r="N31" s="146"/>
      <c r="O31" s="146"/>
      <c r="P31" s="146"/>
      <c r="Q31" s="146"/>
      <c r="R31" s="118" t="e">
        <f>((Q31/G31)^(1/($H$2-$H$1) ))-1</f>
        <v>#DIV/0!</v>
      </c>
      <c r="S31" s="31">
        <f t="shared" si="5"/>
        <v>0.15</v>
      </c>
      <c r="T31" s="153">
        <f t="shared" si="2"/>
        <v>0</v>
      </c>
      <c r="U31" s="153">
        <f>T31*(1+$S31)</f>
        <v>0</v>
      </c>
      <c r="V31" s="153">
        <f t="shared" ref="V31:AC32" si="91">U31*(1+$S31)</f>
        <v>0</v>
      </c>
      <c r="W31" s="153">
        <f t="shared" si="91"/>
        <v>0</v>
      </c>
      <c r="X31" s="153">
        <f t="shared" si="91"/>
        <v>0</v>
      </c>
      <c r="Y31" s="153">
        <f t="shared" si="91"/>
        <v>0</v>
      </c>
      <c r="Z31" s="153">
        <f t="shared" si="91"/>
        <v>0</v>
      </c>
      <c r="AA31" s="153">
        <f t="shared" si="91"/>
        <v>0</v>
      </c>
      <c r="AB31" s="153">
        <f t="shared" si="91"/>
        <v>0</v>
      </c>
      <c r="AC31" s="153">
        <f t="shared" si="91"/>
        <v>0</v>
      </c>
      <c r="AD31" s="137" t="e">
        <f t="shared" ref="AD31" si="92">((AC31/G31)^(1/($AC$3-$H$1) ))-1</f>
        <v>#DIV/0!</v>
      </c>
      <c r="AE31" s="31">
        <f t="shared" si="15"/>
        <v>0.05</v>
      </c>
      <c r="AF31" s="145">
        <f t="shared" si="1"/>
        <v>0</v>
      </c>
    </row>
    <row r="32" spans="2:32" x14ac:dyDescent="0.2">
      <c r="B32" s="20" t="s">
        <v>329</v>
      </c>
      <c r="C32" s="140"/>
      <c r="D32" s="140"/>
      <c r="E32" s="146"/>
      <c r="F32" s="146"/>
      <c r="G32" s="146"/>
      <c r="H32" s="146"/>
      <c r="I32" s="146">
        <v>0</v>
      </c>
      <c r="J32" s="146"/>
      <c r="K32" s="146"/>
      <c r="L32" s="146"/>
      <c r="M32" s="146"/>
      <c r="N32" s="146"/>
      <c r="O32" s="146"/>
      <c r="P32" s="146"/>
      <c r="Q32" s="146"/>
      <c r="R32" s="118" t="e">
        <f>((Q32/G32)^(1/($H$2-$H$1) ))-1</f>
        <v>#DIV/0!</v>
      </c>
      <c r="S32" s="31">
        <f t="shared" si="5"/>
        <v>0.15</v>
      </c>
      <c r="T32" s="153">
        <f t="shared" si="2"/>
        <v>0</v>
      </c>
      <c r="U32" s="153">
        <f>T32*(1+$S32)</f>
        <v>0</v>
      </c>
      <c r="V32" s="153">
        <f t="shared" si="91"/>
        <v>0</v>
      </c>
      <c r="W32" s="153">
        <f t="shared" si="91"/>
        <v>0</v>
      </c>
      <c r="X32" s="153">
        <f t="shared" si="91"/>
        <v>0</v>
      </c>
      <c r="Y32" s="153">
        <f t="shared" si="91"/>
        <v>0</v>
      </c>
      <c r="Z32" s="153">
        <f t="shared" si="91"/>
        <v>0</v>
      </c>
      <c r="AA32" s="153">
        <f t="shared" si="91"/>
        <v>0</v>
      </c>
      <c r="AB32" s="153">
        <f t="shared" si="91"/>
        <v>0</v>
      </c>
      <c r="AC32" s="153">
        <f t="shared" si="91"/>
        <v>0</v>
      </c>
      <c r="AD32" s="137" t="e">
        <f t="shared" ref="AD32" si="93">((AC32/G32)^(1/($AC$3-$H$1) ))-1</f>
        <v>#DIV/0!</v>
      </c>
      <c r="AE32" s="31">
        <f t="shared" si="15"/>
        <v>0.05</v>
      </c>
      <c r="AF32" s="145">
        <f t="shared" si="1"/>
        <v>0</v>
      </c>
    </row>
    <row r="33" spans="2:32" x14ac:dyDescent="0.2">
      <c r="B33" s="20" t="s">
        <v>466</v>
      </c>
      <c r="C33" s="140"/>
      <c r="D33" s="140"/>
      <c r="E33" s="146"/>
      <c r="F33" s="146"/>
      <c r="G33" s="146">
        <v>5</v>
      </c>
      <c r="H33" s="146">
        <v>38</v>
      </c>
      <c r="I33" s="146">
        <v>26</v>
      </c>
      <c r="J33" s="146">
        <v>76</v>
      </c>
      <c r="K33" s="146">
        <v>101</v>
      </c>
      <c r="L33" s="146">
        <v>137</v>
      </c>
      <c r="M33" s="146">
        <v>25</v>
      </c>
      <c r="N33" s="146">
        <v>167</v>
      </c>
      <c r="O33" s="146">
        <v>204</v>
      </c>
      <c r="P33" s="146">
        <v>353</v>
      </c>
      <c r="Q33" s="146">
        <v>494</v>
      </c>
      <c r="R33" s="118">
        <f>((Q33/G33)^(1/($H$2-$H$1) ))-1</f>
        <v>0.66586445069376365</v>
      </c>
      <c r="S33" s="31">
        <f t="shared" si="5"/>
        <v>0.15</v>
      </c>
      <c r="T33" s="153">
        <f t="shared" si="2"/>
        <v>568.09999999999991</v>
      </c>
      <c r="U33" s="153">
        <f t="shared" si="34"/>
        <v>653.31499999999983</v>
      </c>
      <c r="V33" s="153">
        <f t="shared" si="35"/>
        <v>751.31224999999972</v>
      </c>
      <c r="W33" s="153">
        <f t="shared" si="36"/>
        <v>864.00908749999962</v>
      </c>
      <c r="X33" s="153">
        <f t="shared" si="37"/>
        <v>993.61045062499954</v>
      </c>
      <c r="Y33" s="153">
        <f t="shared" si="38"/>
        <v>1142.6520182187494</v>
      </c>
      <c r="Z33" s="153">
        <f t="shared" si="39"/>
        <v>1314.0498209515617</v>
      </c>
      <c r="AA33" s="153">
        <f t="shared" si="40"/>
        <v>1511.1572940942958</v>
      </c>
      <c r="AB33" s="153">
        <f t="shared" si="41"/>
        <v>1737.83088820844</v>
      </c>
      <c r="AC33" s="153">
        <f t="shared" si="42"/>
        <v>1998.5055214397059</v>
      </c>
      <c r="AD33" s="137">
        <f t="shared" si="17"/>
        <v>0.34923241791456028</v>
      </c>
      <c r="AE33" s="31">
        <f t="shared" si="15"/>
        <v>0.05</v>
      </c>
      <c r="AF33" s="145">
        <f t="shared" si="1"/>
        <v>16141.775365474548</v>
      </c>
    </row>
    <row r="34" spans="2:32" x14ac:dyDescent="0.2">
      <c r="B34" s="20" t="s">
        <v>307</v>
      </c>
      <c r="C34" s="140"/>
      <c r="D34" s="140"/>
      <c r="E34" s="146"/>
      <c r="F34" s="146"/>
      <c r="G34" s="146">
        <v>6</v>
      </c>
      <c r="H34" s="146">
        <v>7</v>
      </c>
      <c r="I34" s="146">
        <v>13</v>
      </c>
      <c r="J34" s="146">
        <v>19</v>
      </c>
      <c r="K34" s="146">
        <v>25</v>
      </c>
      <c r="L34" s="146">
        <v>38</v>
      </c>
      <c r="M34" s="146">
        <v>42</v>
      </c>
      <c r="N34" s="146">
        <v>47</v>
      </c>
      <c r="O34" s="146">
        <v>56</v>
      </c>
      <c r="P34" s="146">
        <v>79</v>
      </c>
      <c r="Q34" s="146">
        <v>124</v>
      </c>
      <c r="R34" s="118">
        <f>((Q34/G34)^(1/($H$2-$H$1) ))-1</f>
        <v>0.40004230658371731</v>
      </c>
      <c r="S34" s="31">
        <f t="shared" si="5"/>
        <v>0.15</v>
      </c>
      <c r="T34" s="153">
        <f t="shared" si="2"/>
        <v>142.6</v>
      </c>
      <c r="U34" s="153">
        <f t="shared" si="34"/>
        <v>163.98999999999998</v>
      </c>
      <c r="V34" s="153">
        <f t="shared" si="35"/>
        <v>188.58849999999995</v>
      </c>
      <c r="W34" s="153">
        <f t="shared" si="36"/>
        <v>216.87677499999992</v>
      </c>
      <c r="X34" s="153">
        <f t="shared" si="37"/>
        <v>249.40829124999991</v>
      </c>
      <c r="Y34" s="153">
        <f t="shared" si="38"/>
        <v>286.8195349374999</v>
      </c>
      <c r="Z34" s="153">
        <f t="shared" si="39"/>
        <v>329.84246517812488</v>
      </c>
      <c r="AA34" s="153">
        <f t="shared" si="40"/>
        <v>379.31883495484357</v>
      </c>
      <c r="AB34" s="153">
        <f t="shared" si="41"/>
        <v>436.21666019807009</v>
      </c>
      <c r="AC34" s="153">
        <f t="shared" si="42"/>
        <v>501.64915922778056</v>
      </c>
      <c r="AD34" s="137">
        <f t="shared" si="17"/>
        <v>0.2477065124764688</v>
      </c>
      <c r="AE34" s="31">
        <f t="shared" si="15"/>
        <v>0.05</v>
      </c>
      <c r="AF34" s="145">
        <f t="shared" si="1"/>
        <v>4051.7816706859198</v>
      </c>
    </row>
    <row r="35" spans="2:32" x14ac:dyDescent="0.2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28"/>
      <c r="S35" s="20"/>
      <c r="T35" s="153">
        <f t="shared" si="2"/>
        <v>0</v>
      </c>
      <c r="U35" s="153"/>
      <c r="V35" s="153"/>
      <c r="W35" s="153"/>
      <c r="X35" s="153"/>
      <c r="Y35" s="153"/>
      <c r="Z35" s="153"/>
      <c r="AA35" s="153"/>
      <c r="AB35" s="153"/>
      <c r="AC35" s="153"/>
      <c r="AD35" s="138"/>
      <c r="AE35" s="136"/>
      <c r="AF35" s="153"/>
    </row>
    <row r="36" spans="2:32" x14ac:dyDescent="0.2">
      <c r="B36" s="20" t="s">
        <v>278</v>
      </c>
      <c r="C36" s="140"/>
      <c r="D36" s="140"/>
      <c r="E36" s="146"/>
      <c r="F36" s="146"/>
      <c r="G36" s="146">
        <v>7</v>
      </c>
      <c r="H36" s="146">
        <v>12</v>
      </c>
      <c r="I36" s="146">
        <v>17</v>
      </c>
      <c r="J36" s="146">
        <v>30</v>
      </c>
      <c r="K36" s="146">
        <v>53</v>
      </c>
      <c r="L36" s="146">
        <v>51</v>
      </c>
      <c r="M36" s="146">
        <v>38</v>
      </c>
      <c r="N36" s="146">
        <v>89</v>
      </c>
      <c r="O36" s="146">
        <v>75</v>
      </c>
      <c r="P36" s="146">
        <v>117</v>
      </c>
      <c r="Q36" s="146">
        <v>212</v>
      </c>
      <c r="R36" s="118">
        <f>((Q36/G36)^(1/($H$2-$H$1) ))-1</f>
        <v>0.46077046744932071</v>
      </c>
      <c r="S36" s="31">
        <f t="shared" si="5"/>
        <v>0.15</v>
      </c>
      <c r="T36" s="153">
        <f t="shared" si="2"/>
        <v>243.79999999999998</v>
      </c>
      <c r="U36" s="153">
        <f t="shared" ref="U36" si="94">T36*(1+$S36)</f>
        <v>280.36999999999995</v>
      </c>
      <c r="V36" s="153">
        <f t="shared" ref="V36" si="95">U36*(1+$S36)</f>
        <v>322.42549999999994</v>
      </c>
      <c r="W36" s="153">
        <f t="shared" ref="W36" si="96">V36*(1+$S36)</f>
        <v>370.78932499999991</v>
      </c>
      <c r="X36" s="153">
        <f t="shared" si="37"/>
        <v>426.40772374999983</v>
      </c>
      <c r="Y36" s="153">
        <f t="shared" si="38"/>
        <v>490.36888231249975</v>
      </c>
      <c r="Z36" s="153">
        <f t="shared" si="39"/>
        <v>563.92421465937468</v>
      </c>
      <c r="AA36" s="153">
        <f t="shared" si="40"/>
        <v>648.5128468582808</v>
      </c>
      <c r="AB36" s="153">
        <f t="shared" si="41"/>
        <v>745.78977388702287</v>
      </c>
      <c r="AC36" s="153">
        <f t="shared" si="42"/>
        <v>857.65823997007624</v>
      </c>
      <c r="AD36" s="137">
        <f t="shared" si="17"/>
        <v>0.27177654519389272</v>
      </c>
      <c r="AE36" s="31">
        <f t="shared" si="15"/>
        <v>0.05</v>
      </c>
      <c r="AF36" s="145">
        <f t="shared" si="1"/>
        <v>6927.2396305275388</v>
      </c>
    </row>
    <row r="37" spans="2:32" s="123" customFormat="1" x14ac:dyDescent="0.2">
      <c r="B37" s="23"/>
      <c r="C37" s="148"/>
      <c r="D37" s="148"/>
      <c r="E37" s="149"/>
      <c r="F37" s="149"/>
      <c r="G37" s="147">
        <f t="shared" ref="G37" si="97">(G36-F36)/G36</f>
        <v>1</v>
      </c>
      <c r="H37" s="147">
        <f t="shared" ref="H37" si="98">(H36-G36)/H36</f>
        <v>0.41666666666666669</v>
      </c>
      <c r="I37" s="147">
        <f t="shared" ref="I37" si="99">(I36-H36)/I36</f>
        <v>0.29411764705882354</v>
      </c>
      <c r="J37" s="147">
        <f t="shared" ref="J37" si="100">(J36-I36)/J36</f>
        <v>0.43333333333333335</v>
      </c>
      <c r="K37" s="147">
        <f t="shared" ref="K37" si="101">(K36-J36)/K36</f>
        <v>0.43396226415094341</v>
      </c>
      <c r="L37" s="147">
        <f t="shared" ref="L37" si="102">(L36-K36)/L36</f>
        <v>-3.9215686274509803E-2</v>
      </c>
      <c r="M37" s="147">
        <f t="shared" ref="M37" si="103">(M36-L36)/M36</f>
        <v>-0.34210526315789475</v>
      </c>
      <c r="N37" s="147">
        <f t="shared" ref="N37" si="104">(N36-M36)/N36</f>
        <v>0.5730337078651685</v>
      </c>
      <c r="O37" s="147">
        <f t="shared" ref="O37" si="105">(O36-N36)/O36</f>
        <v>-0.18666666666666668</v>
      </c>
      <c r="P37" s="147">
        <f t="shared" ref="P37:Q37" si="106">(P36-O36)/P36</f>
        <v>0.35897435897435898</v>
      </c>
      <c r="Q37" s="147">
        <f t="shared" si="106"/>
        <v>0.44811320754716982</v>
      </c>
      <c r="R37" s="128"/>
      <c r="S37" s="20"/>
      <c r="T37" s="153"/>
      <c r="U37" s="154"/>
      <c r="V37" s="154"/>
      <c r="W37" s="154"/>
      <c r="X37" s="154"/>
      <c r="Y37" s="154"/>
      <c r="Z37" s="154"/>
      <c r="AA37" s="154"/>
      <c r="AB37" s="154"/>
      <c r="AC37" s="154"/>
      <c r="AD37" s="138"/>
      <c r="AE37" s="136"/>
      <c r="AF37" s="155"/>
    </row>
    <row r="38" spans="2:32" s="123" customFormat="1" x14ac:dyDescent="0.2">
      <c r="B38" s="20" t="s">
        <v>399</v>
      </c>
      <c r="C38" s="148"/>
      <c r="D38" s="148"/>
      <c r="E38" s="149"/>
      <c r="F38" s="149"/>
      <c r="G38" s="146">
        <v>3</v>
      </c>
      <c r="H38" s="146">
        <v>5</v>
      </c>
      <c r="I38" s="146">
        <v>9</v>
      </c>
      <c r="J38" s="146">
        <v>15</v>
      </c>
      <c r="K38" s="146">
        <v>33</v>
      </c>
      <c r="L38" s="146">
        <v>10</v>
      </c>
      <c r="M38" s="146">
        <v>-0.89</v>
      </c>
      <c r="N38" s="146">
        <v>16</v>
      </c>
      <c r="O38" s="146">
        <v>31</v>
      </c>
      <c r="P38" s="146">
        <v>32</v>
      </c>
      <c r="Q38" s="146">
        <v>52</v>
      </c>
      <c r="R38" s="118">
        <f>((Q38/G38)^(1/($H$2-$H$1) ))-1</f>
        <v>0.37294634555710315</v>
      </c>
      <c r="S38" s="31">
        <f t="shared" si="5"/>
        <v>0.15</v>
      </c>
      <c r="T38" s="153">
        <f t="shared" si="2"/>
        <v>59.8</v>
      </c>
      <c r="U38" s="153">
        <f t="shared" ref="U38" si="107">T38*(1+$S38)</f>
        <v>68.77</v>
      </c>
      <c r="V38" s="153">
        <f t="shared" ref="V38" si="108">U38*(1+$S38)</f>
        <v>79.085499999999996</v>
      </c>
      <c r="W38" s="153">
        <f t="shared" ref="W38" si="109">V38*(1+$S38)</f>
        <v>90.948324999999983</v>
      </c>
      <c r="X38" s="153">
        <f t="shared" ref="X38" si="110">W38*(1+$S38)</f>
        <v>104.59057374999998</v>
      </c>
      <c r="Y38" s="153">
        <f t="shared" ref="Y38" si="111">X38*(1+$S38)</f>
        <v>120.27915981249997</v>
      </c>
      <c r="Z38" s="153">
        <f t="shared" ref="Z38" si="112">Y38*(1+$S38)</f>
        <v>138.32103378437495</v>
      </c>
      <c r="AA38" s="153">
        <f t="shared" ref="AA38" si="113">Z38*(1+$S38)</f>
        <v>159.06918885203117</v>
      </c>
      <c r="AB38" s="153">
        <f t="shared" ref="AB38" si="114">AA38*(1+$S38)</f>
        <v>182.92956717983583</v>
      </c>
      <c r="AC38" s="153">
        <f t="shared" ref="AC38" si="115">AB38*(1+$S38)</f>
        <v>210.3690022568112</v>
      </c>
      <c r="AD38" s="137">
        <f t="shared" ref="AD38" si="116">((AC38/G38)^(1/($AC$3-$H$1) ))-1</f>
        <v>0.23678162602817943</v>
      </c>
      <c r="AE38" s="31">
        <f t="shared" si="15"/>
        <v>0.05</v>
      </c>
      <c r="AF38" s="145">
        <f t="shared" ref="AF38" si="117">(AC38*(1+AE38))/($C$1-AE38)</f>
        <v>1699.1342489973213</v>
      </c>
    </row>
    <row r="39" spans="2:32" s="123" customFormat="1" x14ac:dyDescent="0.2">
      <c r="B39" s="23"/>
      <c r="C39" s="148"/>
      <c r="D39" s="148"/>
      <c r="E39" s="149"/>
      <c r="F39" s="149"/>
      <c r="G39" s="147">
        <f t="shared" ref="G39" si="118">(G38-F38)/G38</f>
        <v>1</v>
      </c>
      <c r="H39" s="147">
        <f t="shared" ref="H39" si="119">(H38-G38)/H38</f>
        <v>0.4</v>
      </c>
      <c r="I39" s="147">
        <f t="shared" ref="I39" si="120">(I38-H38)/I38</f>
        <v>0.44444444444444442</v>
      </c>
      <c r="J39" s="147">
        <f t="shared" ref="J39" si="121">(J38-I38)/J38</f>
        <v>0.4</v>
      </c>
      <c r="K39" s="147">
        <f t="shared" ref="K39" si="122">(K38-J38)/K38</f>
        <v>0.54545454545454541</v>
      </c>
      <c r="L39" s="147">
        <f t="shared" ref="L39" si="123">(L38-K38)/L38</f>
        <v>-2.2999999999999998</v>
      </c>
      <c r="M39" s="147">
        <f t="shared" ref="M39" si="124">(M38-L38)/M38</f>
        <v>12.235955056179776</v>
      </c>
      <c r="N39" s="147">
        <f t="shared" ref="N39" si="125">(N38-M38)/N38</f>
        <v>1.055625</v>
      </c>
      <c r="O39" s="147">
        <f t="shared" ref="O39" si="126">(O38-N38)/O38</f>
        <v>0.4838709677419355</v>
      </c>
      <c r="P39" s="147">
        <f t="shared" ref="P39:Q39" si="127">(P38-O38)/P38</f>
        <v>3.125E-2</v>
      </c>
      <c r="Q39" s="147">
        <f t="shared" si="127"/>
        <v>0.38461538461538464</v>
      </c>
      <c r="R39" s="128"/>
      <c r="S39" s="20"/>
      <c r="T39" s="153"/>
      <c r="U39" s="154"/>
      <c r="V39" s="154"/>
      <c r="W39" s="154"/>
      <c r="X39" s="154"/>
      <c r="Y39" s="154"/>
      <c r="Z39" s="154"/>
      <c r="AA39" s="154"/>
      <c r="AB39" s="154"/>
      <c r="AC39" s="154"/>
      <c r="AD39" s="138"/>
      <c r="AE39" s="136"/>
      <c r="AF39" s="155"/>
    </row>
    <row r="40" spans="2:32" x14ac:dyDescent="0.2">
      <c r="B40" s="20" t="s">
        <v>400</v>
      </c>
      <c r="C40" s="140"/>
      <c r="D40" s="140"/>
      <c r="E40" s="146"/>
      <c r="F40" s="146"/>
      <c r="G40" s="146">
        <v>2</v>
      </c>
      <c r="H40" s="146">
        <v>4</v>
      </c>
      <c r="I40" s="146">
        <v>5</v>
      </c>
      <c r="J40" s="146">
        <v>10</v>
      </c>
      <c r="K40" s="146">
        <v>22</v>
      </c>
      <c r="L40" s="146">
        <v>8</v>
      </c>
      <c r="M40" s="146">
        <v>0.8</v>
      </c>
      <c r="N40" s="146">
        <v>0.32</v>
      </c>
      <c r="O40" s="146">
        <v>26</v>
      </c>
      <c r="P40" s="146">
        <v>44</v>
      </c>
      <c r="Q40" s="146">
        <v>50</v>
      </c>
      <c r="R40" s="118">
        <f>((Q40/G40)^(1/($H$2-$H$1) ))-1</f>
        <v>0.42996914830872868</v>
      </c>
      <c r="S40" s="31">
        <f t="shared" si="5"/>
        <v>0.15</v>
      </c>
      <c r="T40" s="153">
        <f t="shared" si="2"/>
        <v>57.499999999999993</v>
      </c>
      <c r="U40" s="153">
        <f t="shared" ref="U40:AC40" si="128">T40*(1+$S40)</f>
        <v>66.124999999999986</v>
      </c>
      <c r="V40" s="153">
        <f t="shared" si="128"/>
        <v>76.043749999999974</v>
      </c>
      <c r="W40" s="153">
        <f t="shared" si="128"/>
        <v>87.450312499999967</v>
      </c>
      <c r="X40" s="153">
        <f t="shared" si="128"/>
        <v>100.56785937499995</v>
      </c>
      <c r="Y40" s="153">
        <f t="shared" si="128"/>
        <v>115.65303828124993</v>
      </c>
      <c r="Z40" s="153">
        <f t="shared" si="128"/>
        <v>133.00099402343741</v>
      </c>
      <c r="AA40" s="153">
        <f t="shared" si="128"/>
        <v>152.95114312695301</v>
      </c>
      <c r="AB40" s="153">
        <f t="shared" si="128"/>
        <v>175.89381459599596</v>
      </c>
      <c r="AC40" s="153">
        <f t="shared" si="128"/>
        <v>202.27788678539534</v>
      </c>
      <c r="AD40" s="137">
        <f t="shared" si="17"/>
        <v>0.25963848412169321</v>
      </c>
      <c r="AE40" s="31">
        <f t="shared" si="15"/>
        <v>0.05</v>
      </c>
      <c r="AF40" s="145">
        <f t="shared" si="1"/>
        <v>1633.782931728193</v>
      </c>
    </row>
    <row r="41" spans="2:32" s="123" customFormat="1" x14ac:dyDescent="0.2">
      <c r="B41" s="23"/>
      <c r="C41" s="148"/>
      <c r="D41" s="148"/>
      <c r="E41" s="149"/>
      <c r="F41" s="149"/>
      <c r="G41" s="147">
        <f>(G40-F40)/G40</f>
        <v>1</v>
      </c>
      <c r="H41" s="147">
        <f t="shared" ref="H41:Q41" si="129">(H40-G40)/H40</f>
        <v>0.5</v>
      </c>
      <c r="I41" s="147">
        <f t="shared" si="129"/>
        <v>0.2</v>
      </c>
      <c r="J41" s="147">
        <f t="shared" si="129"/>
        <v>0.5</v>
      </c>
      <c r="K41" s="147">
        <f t="shared" si="129"/>
        <v>0.54545454545454541</v>
      </c>
      <c r="L41" s="147">
        <f t="shared" si="129"/>
        <v>-1.75</v>
      </c>
      <c r="M41" s="147">
        <f t="shared" si="129"/>
        <v>-9</v>
      </c>
      <c r="N41" s="147">
        <f t="shared" si="129"/>
        <v>-1.5</v>
      </c>
      <c r="O41" s="147">
        <f t="shared" si="129"/>
        <v>0.98769230769230765</v>
      </c>
      <c r="P41" s="147">
        <f t="shared" si="129"/>
        <v>0.40909090909090912</v>
      </c>
      <c r="Q41" s="147">
        <f t="shared" si="129"/>
        <v>0.12</v>
      </c>
      <c r="R41" s="128"/>
      <c r="S41" s="20"/>
      <c r="T41" s="153"/>
      <c r="U41" s="154"/>
      <c r="V41" s="154"/>
      <c r="W41" s="154"/>
      <c r="X41" s="154"/>
      <c r="Y41" s="154"/>
      <c r="Z41" s="154"/>
      <c r="AA41" s="154"/>
      <c r="AB41" s="154"/>
      <c r="AC41" s="154"/>
      <c r="AD41" s="138"/>
      <c r="AE41" s="136"/>
      <c r="AF41" s="155"/>
    </row>
    <row r="42" spans="2:32" x14ac:dyDescent="0.2">
      <c r="B42" s="20" t="s">
        <v>239</v>
      </c>
      <c r="C42" s="141"/>
      <c r="D42" s="141"/>
      <c r="E42" s="144"/>
      <c r="F42" s="144"/>
      <c r="G42" s="144">
        <v>1.33</v>
      </c>
      <c r="H42" s="144">
        <v>1.7</v>
      </c>
      <c r="I42" s="144">
        <v>2.2799999999999998</v>
      </c>
      <c r="J42" s="144">
        <v>2.2999999999999998</v>
      </c>
      <c r="K42" s="144">
        <v>2.2999999999999998</v>
      </c>
      <c r="L42" s="144">
        <v>2.2999999999999998</v>
      </c>
      <c r="M42" s="144">
        <v>2.56</v>
      </c>
      <c r="N42" s="144">
        <v>2.71</v>
      </c>
      <c r="O42" s="144">
        <v>2.59</v>
      </c>
      <c r="P42" s="144">
        <v>3.96</v>
      </c>
      <c r="Q42" s="144">
        <v>4.1100000000000003</v>
      </c>
      <c r="R42" s="118">
        <f>((Q42/G42)^(1/($H$2-$H$1) ))-1</f>
        <v>0.13355697461608296</v>
      </c>
      <c r="S42" s="31">
        <f>P1</f>
        <v>0.05</v>
      </c>
      <c r="T42" s="153">
        <f t="shared" si="2"/>
        <v>4.3155000000000001</v>
      </c>
      <c r="U42" s="153">
        <f t="shared" ref="U42:AC42" si="130">T42*(1+$S42)</f>
        <v>4.5312749999999999</v>
      </c>
      <c r="V42" s="153">
        <f t="shared" si="130"/>
        <v>4.7578387500000003</v>
      </c>
      <c r="W42" s="153">
        <f t="shared" si="130"/>
        <v>4.9957306875000009</v>
      </c>
      <c r="X42" s="153">
        <f t="shared" si="130"/>
        <v>5.2455172218750015</v>
      </c>
      <c r="Y42" s="153">
        <f t="shared" si="130"/>
        <v>5.5077930829687514</v>
      </c>
      <c r="Z42" s="153">
        <f t="shared" si="130"/>
        <v>5.7831827371171896</v>
      </c>
      <c r="AA42" s="153">
        <f t="shared" si="130"/>
        <v>6.0723418739730493</v>
      </c>
      <c r="AB42" s="153">
        <f t="shared" si="130"/>
        <v>6.3759589676717017</v>
      </c>
      <c r="AC42" s="153">
        <f t="shared" si="130"/>
        <v>6.6947569160552867</v>
      </c>
      <c r="AD42" s="137">
        <f t="shared" si="17"/>
        <v>8.4161943680534534E-2</v>
      </c>
      <c r="AE42" s="31">
        <f t="shared" si="15"/>
        <v>0.05</v>
      </c>
      <c r="AF42" s="145">
        <f t="shared" si="1"/>
        <v>54.073036629677311</v>
      </c>
    </row>
    <row r="43" spans="2:32" x14ac:dyDescent="0.2">
      <c r="B43" s="20"/>
      <c r="C43" s="141"/>
      <c r="D43" s="141"/>
      <c r="E43" s="142"/>
      <c r="F43" s="146"/>
      <c r="G43" s="147">
        <f>(G42-F42)/G42</f>
        <v>1</v>
      </c>
      <c r="H43" s="147">
        <f t="shared" ref="H43" si="131">(H42-G42)/H42</f>
        <v>0.21764705882352936</v>
      </c>
      <c r="I43" s="147">
        <f t="shared" ref="I43" si="132">(I42-H42)/I42</f>
        <v>0.25438596491228066</v>
      </c>
      <c r="J43" s="147">
        <f t="shared" ref="J43" si="133">(J42-I42)/J42</f>
        <v>8.6956521739130523E-3</v>
      </c>
      <c r="K43" s="147">
        <f t="shared" ref="K43" si="134">(K42-J42)/K42</f>
        <v>0</v>
      </c>
      <c r="L43" s="147">
        <f t="shared" ref="L43" si="135">(L42-K42)/L42</f>
        <v>0</v>
      </c>
      <c r="M43" s="147">
        <f t="shared" ref="M43" si="136">(M42-L42)/M42</f>
        <v>0.10156250000000008</v>
      </c>
      <c r="N43" s="147">
        <f t="shared" ref="N43" si="137">(N42-M42)/N42</f>
        <v>5.535055350553502E-2</v>
      </c>
      <c r="O43" s="147">
        <f t="shared" ref="O43" si="138">(O42-N42)/O42</f>
        <v>-4.6332046332046378E-2</v>
      </c>
      <c r="P43" s="147">
        <f t="shared" ref="P43:Q43" si="139">(P42-O42)/P42</f>
        <v>0.34595959595959597</v>
      </c>
      <c r="Q43" s="147">
        <f t="shared" si="139"/>
        <v>3.6496350364963584E-2</v>
      </c>
      <c r="R43" s="128"/>
      <c r="S43" s="20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37"/>
      <c r="AE43" s="31"/>
      <c r="AF43" s="145"/>
    </row>
    <row r="44" spans="2:32" x14ac:dyDescent="0.2">
      <c r="B44" s="20" t="s">
        <v>282</v>
      </c>
      <c r="C44" s="144"/>
      <c r="D44" s="144"/>
      <c r="E44" s="144"/>
      <c r="F44" s="146"/>
      <c r="G44" s="144">
        <v>0</v>
      </c>
      <c r="H44" s="144">
        <v>0</v>
      </c>
      <c r="I44" s="144">
        <v>1</v>
      </c>
      <c r="J44" s="144">
        <v>1</v>
      </c>
      <c r="K44" s="144">
        <v>1</v>
      </c>
      <c r="L44" s="144">
        <v>1</v>
      </c>
      <c r="M44" s="144">
        <v>1</v>
      </c>
      <c r="N44" s="144">
        <v>1</v>
      </c>
      <c r="O44" s="144">
        <v>6</v>
      </c>
      <c r="P44" s="144">
        <v>1</v>
      </c>
      <c r="Q44" s="144">
        <v>2.5</v>
      </c>
      <c r="R44" s="118" t="e">
        <f>((Q44/G44)^(1/($H$2-$H$1) ))-1</f>
        <v>#DIV/0!</v>
      </c>
      <c r="S44" s="31">
        <f>P1</f>
        <v>0.05</v>
      </c>
      <c r="T44" s="153">
        <f t="shared" si="2"/>
        <v>2.625</v>
      </c>
      <c r="U44" s="153">
        <f t="shared" ref="U44" si="140">T44*(1+$S44)</f>
        <v>2.7562500000000001</v>
      </c>
      <c r="V44" s="153">
        <f t="shared" ref="V44" si="141">U44*(1+$S44)</f>
        <v>2.8940625000000004</v>
      </c>
      <c r="W44" s="153">
        <f t="shared" ref="W44" si="142">V44*(1+$S44)</f>
        <v>3.0387656250000004</v>
      </c>
      <c r="X44" s="153">
        <f t="shared" ref="X44" si="143">W44*(1+$S44)</f>
        <v>3.1907039062500004</v>
      </c>
      <c r="Y44" s="153">
        <f t="shared" ref="Y44" si="144">X44*(1+$S44)</f>
        <v>3.3502391015625008</v>
      </c>
      <c r="Z44" s="153">
        <f t="shared" ref="Z44" si="145">Y44*(1+$S44)</f>
        <v>3.517751056640626</v>
      </c>
      <c r="AA44" s="153">
        <f t="shared" ref="AA44" si="146">Z44*(1+$S44)</f>
        <v>3.6936386094726577</v>
      </c>
      <c r="AB44" s="153">
        <f t="shared" ref="AB44" si="147">AA44*(1+$S44)</f>
        <v>3.8783205399462908</v>
      </c>
      <c r="AC44" s="153">
        <f t="shared" ref="AC44" si="148">AB44*(1+$S44)</f>
        <v>4.0722365669436051</v>
      </c>
      <c r="AD44" s="137" t="e">
        <f t="shared" ref="AD44" si="149">((AC44/G44)^(1/($AC$3-$H$1) ))-1</f>
        <v>#DIV/0!</v>
      </c>
      <c r="AE44" s="31">
        <f t="shared" si="15"/>
        <v>0.05</v>
      </c>
      <c r="AF44" s="145">
        <f t="shared" si="1"/>
        <v>32.891141502236813</v>
      </c>
    </row>
    <row r="45" spans="2:32" x14ac:dyDescent="0.2">
      <c r="B45" s="20" t="s">
        <v>425</v>
      </c>
      <c r="C45" s="20"/>
      <c r="D45" s="20"/>
      <c r="E45" s="127"/>
      <c r="F45" s="127"/>
      <c r="G45" s="146">
        <v>0</v>
      </c>
      <c r="H45" s="146">
        <v>0</v>
      </c>
      <c r="I45" s="146">
        <v>0</v>
      </c>
      <c r="J45" s="146">
        <v>0</v>
      </c>
      <c r="K45" s="146">
        <v>0</v>
      </c>
      <c r="L45" s="146">
        <v>0</v>
      </c>
      <c r="M45" s="146">
        <v>0</v>
      </c>
      <c r="N45" s="146">
        <v>0</v>
      </c>
      <c r="O45" s="146">
        <v>0</v>
      </c>
      <c r="P45" s="146">
        <v>0</v>
      </c>
      <c r="Q45" s="146">
        <v>0</v>
      </c>
      <c r="R45" s="146">
        <v>0</v>
      </c>
      <c r="S45" s="128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  <c r="AD45" s="138"/>
      <c r="AE45" s="136"/>
      <c r="AF45" s="153"/>
    </row>
    <row r="46" spans="2:32" x14ac:dyDescent="0.2">
      <c r="B46" s="20" t="s">
        <v>423</v>
      </c>
      <c r="C46" s="20"/>
      <c r="D46" s="20"/>
      <c r="E46" s="127"/>
      <c r="F46" s="127"/>
      <c r="G46" s="146">
        <v>0</v>
      </c>
      <c r="H46" s="146">
        <v>0</v>
      </c>
      <c r="I46" s="146">
        <v>0</v>
      </c>
      <c r="J46" s="146">
        <v>0</v>
      </c>
      <c r="K46" s="146">
        <v>0</v>
      </c>
      <c r="L46" s="146">
        <v>0</v>
      </c>
      <c r="M46" s="146">
        <v>0</v>
      </c>
      <c r="N46" s="146">
        <v>0</v>
      </c>
      <c r="O46" s="146">
        <v>0</v>
      </c>
      <c r="P46" s="146">
        <v>0</v>
      </c>
      <c r="Q46" s="146">
        <v>0</v>
      </c>
      <c r="R46" s="146">
        <v>0</v>
      </c>
      <c r="S46" s="128"/>
      <c r="T46" s="153"/>
      <c r="U46" s="153"/>
      <c r="V46" s="153"/>
      <c r="W46" s="153"/>
      <c r="X46" s="153"/>
      <c r="Y46" s="153"/>
      <c r="Z46" s="153"/>
      <c r="AA46" s="153"/>
      <c r="AB46" s="153"/>
      <c r="AC46" s="153"/>
      <c r="AD46" s="138"/>
      <c r="AE46" s="136"/>
      <c r="AF46" s="153"/>
    </row>
    <row r="47" spans="2:32" x14ac:dyDescent="0.2">
      <c r="B47" s="20" t="s">
        <v>424</v>
      </c>
      <c r="C47" s="20"/>
      <c r="D47" s="20"/>
      <c r="E47" s="127"/>
      <c r="F47" s="127"/>
      <c r="G47" s="146">
        <v>0</v>
      </c>
      <c r="H47" s="146">
        <v>0</v>
      </c>
      <c r="I47" s="146">
        <v>0</v>
      </c>
      <c r="J47" s="146">
        <v>0</v>
      </c>
      <c r="K47" s="146">
        <v>0</v>
      </c>
      <c r="L47" s="146">
        <v>0</v>
      </c>
      <c r="M47" s="146">
        <v>0</v>
      </c>
      <c r="N47" s="146">
        <v>0</v>
      </c>
      <c r="O47" s="146">
        <v>0</v>
      </c>
      <c r="P47" s="146">
        <v>0</v>
      </c>
      <c r="Q47" s="146">
        <v>0</v>
      </c>
      <c r="R47" s="146">
        <v>0</v>
      </c>
      <c r="S47" s="128"/>
      <c r="T47" s="153"/>
      <c r="U47" s="153"/>
      <c r="V47" s="153"/>
      <c r="W47" s="153"/>
      <c r="X47" s="153"/>
      <c r="Y47" s="153"/>
      <c r="Z47" s="153"/>
      <c r="AA47" s="153"/>
      <c r="AB47" s="153"/>
      <c r="AC47" s="153"/>
      <c r="AD47" s="138"/>
      <c r="AE47" s="136"/>
      <c r="AF47" s="153"/>
    </row>
    <row r="48" spans="2:32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28"/>
      <c r="S48" s="128"/>
      <c r="T48" s="153"/>
      <c r="U48" s="153"/>
      <c r="V48" s="153"/>
      <c r="W48" s="153"/>
      <c r="X48" s="153"/>
      <c r="Y48" s="153"/>
      <c r="Z48" s="153"/>
      <c r="AA48" s="153"/>
      <c r="AB48" s="153"/>
      <c r="AC48" s="153"/>
      <c r="AD48" s="138"/>
      <c r="AE48" s="136"/>
      <c r="AF48" s="153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3"/>
      <c r="U49" s="153"/>
      <c r="V49" s="153"/>
      <c r="W49" s="153"/>
      <c r="X49" s="153"/>
      <c r="Y49" s="153"/>
      <c r="Z49" s="153"/>
      <c r="AA49" s="153"/>
      <c r="AB49" s="153"/>
      <c r="AC49" s="153"/>
      <c r="AD49" s="138"/>
      <c r="AE49" s="136"/>
      <c r="AF49" s="153"/>
    </row>
    <row r="50" spans="2:32" x14ac:dyDescent="0.2">
      <c r="B50" s="20" t="s">
        <v>302</v>
      </c>
      <c r="C50" s="133"/>
      <c r="D50" s="133"/>
      <c r="E50" s="133"/>
      <c r="F50" s="133"/>
      <c r="G50" s="133">
        <f t="shared" ref="G50:P50" si="150">G25/G42</f>
        <v>37.593984962406012</v>
      </c>
      <c r="H50" s="133">
        <f t="shared" si="150"/>
        <v>51.764705882352942</v>
      </c>
      <c r="I50" s="133">
        <f t="shared" si="150"/>
        <v>58.333333333333336</v>
      </c>
      <c r="J50" s="133">
        <f t="shared" si="150"/>
        <v>92.173913043478265</v>
      </c>
      <c r="K50" s="133">
        <f t="shared" si="150"/>
        <v>132.17391304347828</v>
      </c>
      <c r="L50" s="133">
        <f t="shared" si="150"/>
        <v>172.17391304347828</v>
      </c>
      <c r="M50" s="133">
        <f t="shared" si="150"/>
        <v>133.203125</v>
      </c>
      <c r="N50" s="133">
        <f t="shared" si="150"/>
        <v>173.06273062730628</v>
      </c>
      <c r="O50" s="133">
        <f t="shared" si="150"/>
        <v>200.77220077220079</v>
      </c>
      <c r="P50" s="133">
        <f t="shared" si="150"/>
        <v>205.30303030303031</v>
      </c>
      <c r="Q50" s="133">
        <f t="shared" ref="Q50" si="151">Q25/Q42</f>
        <v>331.38686131386856</v>
      </c>
      <c r="R50" s="118">
        <f>((P50/G50)^(1/($H$2-$H$1) ))-1</f>
        <v>0.20759044006331906</v>
      </c>
      <c r="S50" s="128"/>
      <c r="T50" s="157">
        <f t="shared" ref="T50:AC50" si="152">T25/T42</f>
        <v>362.94751477233228</v>
      </c>
      <c r="U50" s="157">
        <f t="shared" si="152"/>
        <v>397.51394475064961</v>
      </c>
      <c r="V50" s="157">
        <f t="shared" si="152"/>
        <v>435.37241567928288</v>
      </c>
      <c r="W50" s="157">
        <f t="shared" si="152"/>
        <v>476.83645526778588</v>
      </c>
      <c r="X50" s="157">
        <f t="shared" si="152"/>
        <v>522.24945100757498</v>
      </c>
      <c r="Y50" s="157">
        <f t="shared" si="152"/>
        <v>571.98749396067728</v>
      </c>
      <c r="Z50" s="157">
        <f t="shared" si="152"/>
        <v>626.46249338550354</v>
      </c>
      <c r="AA50" s="157">
        <f t="shared" si="152"/>
        <v>686.1255879936466</v>
      </c>
      <c r="AB50" s="157">
        <f t="shared" si="152"/>
        <v>751.4708820882795</v>
      </c>
      <c r="AC50" s="157">
        <f t="shared" si="152"/>
        <v>823.03953752525842</v>
      </c>
      <c r="AD50" s="137">
        <f t="shared" ref="AD50" si="153">((AC50/G50)^(1/($AC$3-$H$1) ))-1</f>
        <v>0.16685023163660784</v>
      </c>
      <c r="AE50" s="31">
        <f t="shared" si="15"/>
        <v>0.05</v>
      </c>
      <c r="AF50" s="145">
        <f t="shared" ref="AF50:AF51" si="154">(AC50*(1+AE50))/($C$1-AE50)</f>
        <v>6647.627033857857</v>
      </c>
    </row>
    <row r="51" spans="2:32" x14ac:dyDescent="0.2">
      <c r="B51" s="20" t="s">
        <v>303</v>
      </c>
      <c r="C51" s="133"/>
      <c r="D51" s="133"/>
      <c r="E51" s="133"/>
      <c r="F51" s="133"/>
      <c r="G51" s="133">
        <f t="shared" ref="G51:P51" si="155">G27/G42</f>
        <v>30.82706766917293</v>
      </c>
      <c r="H51" s="133">
        <f t="shared" si="155"/>
        <v>43.529411764705884</v>
      </c>
      <c r="I51" s="133">
        <f t="shared" si="155"/>
        <v>49.561403508771932</v>
      </c>
      <c r="J51" s="133">
        <f t="shared" si="155"/>
        <v>76.956521739130437</v>
      </c>
      <c r="K51" s="133">
        <f t="shared" si="155"/>
        <v>106.5217391304348</v>
      </c>
      <c r="L51" s="133">
        <f t="shared" si="155"/>
        <v>146.52173913043478</v>
      </c>
      <c r="M51" s="133">
        <f t="shared" si="155"/>
        <v>115.625</v>
      </c>
      <c r="N51" s="133">
        <f t="shared" si="155"/>
        <v>136.53136531365314</v>
      </c>
      <c r="O51" s="133">
        <f t="shared" si="155"/>
        <v>167.18146718146718</v>
      </c>
      <c r="P51" s="133">
        <f t="shared" si="155"/>
        <v>173.73737373737373</v>
      </c>
      <c r="Q51" s="133">
        <f t="shared" ref="Q51" si="156">Q27/Q42</f>
        <v>276.15571776155718</v>
      </c>
      <c r="R51" s="118">
        <f>((P51/G51)^(1/($H$2-$H$1) ))-1</f>
        <v>0.21182557873397889</v>
      </c>
      <c r="S51" s="128"/>
      <c r="T51" s="157">
        <f t="shared" ref="T51:AC51" si="157">T27/T42</f>
        <v>302.45626231027688</v>
      </c>
      <c r="U51" s="157">
        <f t="shared" si="157"/>
        <v>331.26162062554135</v>
      </c>
      <c r="V51" s="157">
        <f t="shared" si="157"/>
        <v>362.81034639940236</v>
      </c>
      <c r="W51" s="157">
        <f t="shared" si="157"/>
        <v>397.36371272315489</v>
      </c>
      <c r="X51" s="157">
        <f t="shared" si="157"/>
        <v>435.20787583964579</v>
      </c>
      <c r="Y51" s="157">
        <f t="shared" si="157"/>
        <v>476.65624496723109</v>
      </c>
      <c r="Z51" s="157">
        <f t="shared" si="157"/>
        <v>522.05207782125296</v>
      </c>
      <c r="AA51" s="157">
        <f t="shared" si="157"/>
        <v>571.77132332803899</v>
      </c>
      <c r="AB51" s="157">
        <f t="shared" si="157"/>
        <v>626.2257350735664</v>
      </c>
      <c r="AC51" s="157">
        <f t="shared" si="157"/>
        <v>685.86628127104893</v>
      </c>
      <c r="AD51" s="137">
        <f t="shared" ref="AD51" si="158">((AC51/G51)^(1/($AC$3-$H$1) ))-1</f>
        <v>0.16779163984595025</v>
      </c>
      <c r="AE51" s="31">
        <f t="shared" si="15"/>
        <v>0.05</v>
      </c>
      <c r="AF51" s="145">
        <f t="shared" si="154"/>
        <v>5539.6891948815492</v>
      </c>
    </row>
    <row r="52" spans="2:32" x14ac:dyDescent="0.2">
      <c r="B52" s="20" t="s">
        <v>426</v>
      </c>
      <c r="C52" s="133"/>
      <c r="D52" s="133"/>
      <c r="E52" s="133"/>
      <c r="F52" s="133"/>
      <c r="G52" s="133">
        <f>G38-G40</f>
        <v>1</v>
      </c>
      <c r="H52" s="133">
        <f t="shared" ref="H52:P52" si="159">H38-H40</f>
        <v>1</v>
      </c>
      <c r="I52" s="133">
        <f t="shared" si="159"/>
        <v>4</v>
      </c>
      <c r="J52" s="133">
        <f t="shared" si="159"/>
        <v>5</v>
      </c>
      <c r="K52" s="133">
        <f t="shared" si="159"/>
        <v>11</v>
      </c>
      <c r="L52" s="133">
        <f t="shared" si="159"/>
        <v>2</v>
      </c>
      <c r="M52" s="133">
        <f t="shared" si="159"/>
        <v>-1.69</v>
      </c>
      <c r="N52" s="133">
        <f t="shared" si="159"/>
        <v>15.68</v>
      </c>
      <c r="O52" s="133">
        <f t="shared" si="159"/>
        <v>5</v>
      </c>
      <c r="P52" s="133">
        <f t="shared" si="159"/>
        <v>-12</v>
      </c>
      <c r="Q52" s="133">
        <f t="shared" ref="Q52" si="160">Q38-Q40</f>
        <v>2</v>
      </c>
      <c r="R52" s="118">
        <f>((P52/G52)^(1/($H$2-$H$1) ))-1</f>
        <v>-2.3179806292130021</v>
      </c>
      <c r="S52" s="128"/>
      <c r="T52" s="133">
        <f t="shared" ref="T52:AC52" si="161">T38-T40</f>
        <v>2.3000000000000043</v>
      </c>
      <c r="U52" s="133">
        <f t="shared" si="161"/>
        <v>2.6450000000000102</v>
      </c>
      <c r="V52" s="133">
        <f t="shared" si="161"/>
        <v>3.0417500000000217</v>
      </c>
      <c r="W52" s="133">
        <f t="shared" si="161"/>
        <v>3.4980125000000157</v>
      </c>
      <c r="X52" s="133">
        <f t="shared" si="161"/>
        <v>4.0227143750000209</v>
      </c>
      <c r="Y52" s="133">
        <f t="shared" si="161"/>
        <v>4.6261215312500354</v>
      </c>
      <c r="Z52" s="133">
        <f t="shared" si="161"/>
        <v>5.3200397609375329</v>
      </c>
      <c r="AA52" s="133">
        <f t="shared" si="161"/>
        <v>6.1180457250781615</v>
      </c>
      <c r="AB52" s="133">
        <f t="shared" si="161"/>
        <v>7.0357525838398658</v>
      </c>
      <c r="AC52" s="133">
        <f t="shared" si="161"/>
        <v>8.0911154714158613</v>
      </c>
      <c r="AD52" s="137">
        <f t="shared" ref="AD52" si="162">((AC52/G52)^(1/($AC$3-$H$1) ))-1</f>
        <v>0.11019794717732112</v>
      </c>
      <c r="AE52" s="31">
        <f t="shared" si="15"/>
        <v>0.05</v>
      </c>
      <c r="AF52" s="145">
        <f t="shared" ref="AF52" si="163">(AC52*(1+AE52))/($C$1-AE52)</f>
        <v>65.351317269128117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7"/>
      <c r="U53" s="157"/>
      <c r="V53" s="157"/>
      <c r="W53" s="157"/>
      <c r="X53" s="157"/>
      <c r="Y53" s="157"/>
      <c r="Z53" s="157"/>
      <c r="AA53" s="157"/>
      <c r="AB53" s="157"/>
      <c r="AC53" s="157"/>
      <c r="AD53" s="119"/>
      <c r="AE53" s="136"/>
      <c r="AF53" s="145"/>
    </row>
    <row r="54" spans="2:32" x14ac:dyDescent="0.2">
      <c r="B54" s="20" t="s">
        <v>461</v>
      </c>
      <c r="C54" s="133"/>
      <c r="D54" s="133"/>
      <c r="E54" s="133"/>
      <c r="F54" s="133"/>
      <c r="G54" s="112">
        <f t="shared" ref="G54:P54" si="164">G36/G42</f>
        <v>5.2631578947368416</v>
      </c>
      <c r="H54" s="112">
        <f t="shared" si="164"/>
        <v>7.0588235294117645</v>
      </c>
      <c r="I54" s="112">
        <f t="shared" si="164"/>
        <v>7.4561403508771935</v>
      </c>
      <c r="J54" s="112">
        <f t="shared" si="164"/>
        <v>13.043478260869566</v>
      </c>
      <c r="K54" s="112">
        <f t="shared" si="164"/>
        <v>23.043478260869566</v>
      </c>
      <c r="L54" s="112">
        <f t="shared" si="164"/>
        <v>22.173913043478262</v>
      </c>
      <c r="M54" s="112">
        <f t="shared" si="164"/>
        <v>14.84375</v>
      </c>
      <c r="N54" s="112">
        <f t="shared" si="164"/>
        <v>32.841328413284131</v>
      </c>
      <c r="O54" s="112">
        <f t="shared" si="164"/>
        <v>28.957528957528957</v>
      </c>
      <c r="P54" s="112">
        <f t="shared" si="164"/>
        <v>29.545454545454547</v>
      </c>
      <c r="Q54" s="112">
        <f>Q36/Q42</f>
        <v>51.581508515815081</v>
      </c>
      <c r="R54" s="118">
        <f t="shared" ref="R54:R60" si="165">((P54/G54)^(1/($H$2-$H$1) ))-1</f>
        <v>0.21129343683693147</v>
      </c>
      <c r="S54" s="128"/>
      <c r="T54" s="112">
        <f>T36/T42</f>
        <v>56.494033136368898</v>
      </c>
      <c r="U54" s="112">
        <f t="shared" ref="U54:AC54" si="166">U36/U42</f>
        <v>61.874417244594504</v>
      </c>
      <c r="V54" s="112">
        <f t="shared" si="166"/>
        <v>67.767218886936831</v>
      </c>
      <c r="W54" s="112">
        <f t="shared" si="166"/>
        <v>74.221239733311748</v>
      </c>
      <c r="X54" s="112">
        <f t="shared" si="166"/>
        <v>81.289929231722382</v>
      </c>
      <c r="Y54" s="112">
        <f t="shared" si="166"/>
        <v>89.031827253791164</v>
      </c>
      <c r="Z54" s="112">
        <f t="shared" si="166"/>
        <v>97.51104889700936</v>
      </c>
      <c r="AA54" s="112">
        <f t="shared" si="166"/>
        <v>106.79781545862927</v>
      </c>
      <c r="AB54" s="112">
        <f t="shared" si="166"/>
        <v>116.96903597849872</v>
      </c>
      <c r="AC54" s="112">
        <f t="shared" si="166"/>
        <v>128.10894416692716</v>
      </c>
      <c r="AD54" s="137">
        <f t="shared" ref="AD54:AD55" si="167">((AC54/G54)^(1/($AC$3-$H$1) ))-1</f>
        <v>0.17305034788109275</v>
      </c>
      <c r="AE54" s="31">
        <f t="shared" si="15"/>
        <v>0.05</v>
      </c>
      <c r="AF54" s="145">
        <f t="shared" ref="AF54:AF55" si="168">(AC54*(1+AE54))/($C$1-AE54)</f>
        <v>1034.7260875021041</v>
      </c>
    </row>
    <row r="55" spans="2:32" x14ac:dyDescent="0.2">
      <c r="B55" s="20" t="s">
        <v>462</v>
      </c>
      <c r="C55" s="133"/>
      <c r="D55" s="133"/>
      <c r="E55" s="133"/>
      <c r="F55" s="133"/>
      <c r="G55" s="112">
        <f t="shared" ref="G55:P55" si="169">G38/G42</f>
        <v>2.255639097744361</v>
      </c>
      <c r="H55" s="112">
        <f t="shared" si="169"/>
        <v>2.9411764705882355</v>
      </c>
      <c r="I55" s="112">
        <f t="shared" si="169"/>
        <v>3.9473684210526319</v>
      </c>
      <c r="J55" s="112">
        <f t="shared" si="169"/>
        <v>6.5217391304347831</v>
      </c>
      <c r="K55" s="112">
        <f t="shared" si="169"/>
        <v>14.347826086956523</v>
      </c>
      <c r="L55" s="112">
        <f t="shared" si="169"/>
        <v>4.3478260869565224</v>
      </c>
      <c r="M55" s="112">
        <f t="shared" si="169"/>
        <v>-0.34765625</v>
      </c>
      <c r="N55" s="112">
        <f t="shared" si="169"/>
        <v>5.9040590405904059</v>
      </c>
      <c r="O55" s="112">
        <f t="shared" si="169"/>
        <v>11.969111969111969</v>
      </c>
      <c r="P55" s="112">
        <f t="shared" si="169"/>
        <v>8.0808080808080813</v>
      </c>
      <c r="Q55" s="112">
        <f>Q38/Q42</f>
        <v>12.65206812652068</v>
      </c>
      <c r="R55" s="118">
        <f t="shared" si="165"/>
        <v>0.15232804293916224</v>
      </c>
      <c r="S55" s="128"/>
      <c r="T55" s="112">
        <f>T38/T42</f>
        <v>13.857026995713126</v>
      </c>
      <c r="U55" s="112">
        <f t="shared" ref="U55:AC55" si="170">U38/U42</f>
        <v>15.176743852447711</v>
      </c>
      <c r="V55" s="112">
        <f t="shared" si="170"/>
        <v>16.622148028871301</v>
      </c>
      <c r="W55" s="112">
        <f t="shared" si="170"/>
        <v>18.205209745906657</v>
      </c>
      <c r="X55" s="112">
        <f t="shared" si="170"/>
        <v>19.939039245516813</v>
      </c>
      <c r="Y55" s="112">
        <f t="shared" si="170"/>
        <v>21.837995364137463</v>
      </c>
      <c r="Z55" s="112">
        <f t="shared" si="170"/>
        <v>23.917804446436261</v>
      </c>
      <c r="AA55" s="112">
        <f t="shared" si="170"/>
        <v>26.195690584192093</v>
      </c>
      <c r="AB55" s="112">
        <f t="shared" si="170"/>
        <v>28.690518258877052</v>
      </c>
      <c r="AC55" s="112">
        <f t="shared" si="170"/>
        <v>31.422948569246294</v>
      </c>
      <c r="AD55" s="137">
        <f t="shared" si="167"/>
        <v>0.140772034323146</v>
      </c>
      <c r="AE55" s="31">
        <f t="shared" si="15"/>
        <v>0.05</v>
      </c>
      <c r="AF55" s="145">
        <f t="shared" si="168"/>
        <v>253.80073844391239</v>
      </c>
    </row>
    <row r="56" spans="2:32" x14ac:dyDescent="0.2">
      <c r="B56" s="20" t="s">
        <v>257</v>
      </c>
      <c r="C56" s="25"/>
      <c r="D56" s="25"/>
      <c r="E56" s="25"/>
      <c r="F56" s="133"/>
      <c r="G56" s="133">
        <f t="shared" ref="G56:P56" si="171">G40/G42</f>
        <v>1.5037593984962405</v>
      </c>
      <c r="H56" s="133">
        <f t="shared" si="171"/>
        <v>2.3529411764705883</v>
      </c>
      <c r="I56" s="133">
        <f t="shared" si="171"/>
        <v>2.192982456140351</v>
      </c>
      <c r="J56" s="133">
        <f t="shared" si="171"/>
        <v>4.3478260869565224</v>
      </c>
      <c r="K56" s="133">
        <f t="shared" si="171"/>
        <v>9.5652173913043494</v>
      </c>
      <c r="L56" s="133">
        <f t="shared" si="171"/>
        <v>3.4782608695652177</v>
      </c>
      <c r="M56" s="133">
        <f t="shared" si="171"/>
        <v>0.3125</v>
      </c>
      <c r="N56" s="133">
        <f t="shared" si="171"/>
        <v>0.11808118081180813</v>
      </c>
      <c r="O56" s="133">
        <f t="shared" si="171"/>
        <v>10.03861003861004</v>
      </c>
      <c r="P56" s="133">
        <f t="shared" si="171"/>
        <v>11.111111111111111</v>
      </c>
      <c r="Q56" s="133">
        <f t="shared" ref="Q56" si="172">Q40/Q42</f>
        <v>12.1654501216545</v>
      </c>
      <c r="R56" s="118">
        <f t="shared" si="165"/>
        <v>0.24884572888970835</v>
      </c>
      <c r="S56" s="128"/>
      <c r="T56" s="157">
        <f t="shared" ref="T56:AC56" si="173">T40/T42</f>
        <v>13.324064418954928</v>
      </c>
      <c r="U56" s="157">
        <f t="shared" si="173"/>
        <v>14.593022935045873</v>
      </c>
      <c r="V56" s="157">
        <f t="shared" si="173"/>
        <v>15.982834643145477</v>
      </c>
      <c r="W56" s="157">
        <f t="shared" si="173"/>
        <v>17.505009371064091</v>
      </c>
      <c r="X56" s="157">
        <f t="shared" si="173"/>
        <v>19.172153120689238</v>
      </c>
      <c r="Y56" s="157">
        <f t="shared" si="173"/>
        <v>20.998072465516785</v>
      </c>
      <c r="Z56" s="157">
        <f t="shared" si="173"/>
        <v>22.997888890804091</v>
      </c>
      <c r="AA56" s="157">
        <f t="shared" si="173"/>
        <v>25.188164023261621</v>
      </c>
      <c r="AB56" s="157">
        <f t="shared" si="173"/>
        <v>27.587036787381777</v>
      </c>
      <c r="AC56" s="157">
        <f t="shared" si="173"/>
        <v>30.214373624275275</v>
      </c>
      <c r="AD56" s="137">
        <f t="shared" ref="AD56:AD70" si="174">((AC56/G56)^(1/($AC$3-$H$1) ))-1</f>
        <v>0.16185454715874581</v>
      </c>
      <c r="AE56" s="31">
        <f t="shared" si="15"/>
        <v>0.05</v>
      </c>
      <c r="AF56" s="145">
        <f t="shared" ref="AF56:AF84" si="175">(AC56*(1+AE56))/($C$1-AE56)</f>
        <v>244.03917158068489</v>
      </c>
    </row>
    <row r="57" spans="2:32" x14ac:dyDescent="0.2">
      <c r="B57" s="20" t="s">
        <v>386</v>
      </c>
      <c r="C57" s="133"/>
      <c r="D57" s="133"/>
      <c r="E57" s="133"/>
      <c r="F57" s="133"/>
      <c r="G57" s="133">
        <f>G20/G42</f>
        <v>13.533834586466165</v>
      </c>
      <c r="H57" s="133">
        <f t="shared" ref="H57:P57" si="176">H20/H42</f>
        <v>10.588235294117647</v>
      </c>
      <c r="I57" s="133">
        <f t="shared" si="176"/>
        <v>5.7017543859649127</v>
      </c>
      <c r="J57" s="133">
        <f t="shared" si="176"/>
        <v>5.2173913043478262</v>
      </c>
      <c r="K57" s="133">
        <f t="shared" si="176"/>
        <v>17.39130434782609</v>
      </c>
      <c r="L57" s="133">
        <f t="shared" si="176"/>
        <v>19.565217391304348</v>
      </c>
      <c r="M57" s="133">
        <f t="shared" si="176"/>
        <v>10.15625</v>
      </c>
      <c r="N57" s="133">
        <f t="shared" si="176"/>
        <v>14.391143911439114</v>
      </c>
      <c r="O57" s="133">
        <f t="shared" si="176"/>
        <v>11.969111969111969</v>
      </c>
      <c r="P57" s="133">
        <f t="shared" si="176"/>
        <v>28.282828282828284</v>
      </c>
      <c r="Q57" s="133">
        <f t="shared" ref="Q57" si="177">Q20/Q42</f>
        <v>48.175182481751818</v>
      </c>
      <c r="R57" s="118">
        <f t="shared" si="165"/>
        <v>8.5342690769948382E-2</v>
      </c>
      <c r="S57" s="128"/>
      <c r="T57" s="133">
        <f t="shared" ref="T57:AC57" si="178">T20/T42</f>
        <v>52.763295099061516</v>
      </c>
      <c r="U57" s="133">
        <f t="shared" si="178"/>
        <v>57.788370822781658</v>
      </c>
      <c r="V57" s="133">
        <f t="shared" si="178"/>
        <v>63.292025186856087</v>
      </c>
      <c r="W57" s="133">
        <f t="shared" si="178"/>
        <v>69.319837109413797</v>
      </c>
      <c r="X57" s="133">
        <f t="shared" si="178"/>
        <v>75.921726357929387</v>
      </c>
      <c r="Y57" s="133">
        <f t="shared" si="178"/>
        <v>83.152366963446454</v>
      </c>
      <c r="Z57" s="133">
        <f t="shared" si="178"/>
        <v>91.071640007584193</v>
      </c>
      <c r="AA57" s="133">
        <f t="shared" si="178"/>
        <v>99.74512953211601</v>
      </c>
      <c r="AB57" s="133">
        <f t="shared" si="178"/>
        <v>109.24466567803181</v>
      </c>
      <c r="AC57" s="133">
        <f t="shared" si="178"/>
        <v>119.64891955213007</v>
      </c>
      <c r="AD57" s="137">
        <f t="shared" ref="AD57" si="179">((AC57/G57)^(1/($AC$3-$H$1) ))-1</f>
        <v>0.11512716577250592</v>
      </c>
      <c r="AE57" s="31">
        <f t="shared" si="15"/>
        <v>0.05</v>
      </c>
      <c r="AF57" s="145">
        <f t="shared" si="175"/>
        <v>966.39511945951199</v>
      </c>
    </row>
    <row r="58" spans="2:32" x14ac:dyDescent="0.2">
      <c r="B58" s="20" t="s">
        <v>245</v>
      </c>
      <c r="C58" s="25"/>
      <c r="D58" s="25"/>
      <c r="E58" s="25"/>
      <c r="F58" s="133"/>
      <c r="G58" s="133">
        <f t="shared" ref="G58:P58" si="180">G7/G42</f>
        <v>23.308270676691727</v>
      </c>
      <c r="H58" s="133">
        <f t="shared" si="180"/>
        <v>31.176470588235293</v>
      </c>
      <c r="I58" s="133">
        <f t="shared" si="180"/>
        <v>84.649122807017548</v>
      </c>
      <c r="J58" s="133">
        <f t="shared" si="180"/>
        <v>86.956521739130437</v>
      </c>
      <c r="K58" s="133">
        <f t="shared" si="180"/>
        <v>91.739130434782609</v>
      </c>
      <c r="L58" s="133">
        <f t="shared" si="180"/>
        <v>116.95652173913044</v>
      </c>
      <c r="M58" s="133">
        <f t="shared" si="180"/>
        <v>120.703125</v>
      </c>
      <c r="N58" s="133">
        <f t="shared" si="180"/>
        <v>125.83025830258303</v>
      </c>
      <c r="O58" s="133">
        <f t="shared" si="180"/>
        <v>109.26640926640927</v>
      </c>
      <c r="P58" s="133">
        <f t="shared" si="180"/>
        <v>162.12121212121212</v>
      </c>
      <c r="Q58" s="133">
        <f t="shared" ref="Q58" si="181">Q7/Q42</f>
        <v>97.080291970802918</v>
      </c>
      <c r="R58" s="118">
        <f t="shared" si="165"/>
        <v>0.24048694709000062</v>
      </c>
      <c r="S58" s="128"/>
      <c r="T58" s="157">
        <f t="shared" ref="T58:AC58" si="182">T7/T42</f>
        <v>106.32603406326032</v>
      </c>
      <c r="U58" s="157">
        <f t="shared" si="182"/>
        <v>116.45232302166606</v>
      </c>
      <c r="V58" s="157">
        <f t="shared" si="182"/>
        <v>127.54302045230091</v>
      </c>
      <c r="W58" s="157">
        <f t="shared" si="182"/>
        <v>139.68997478109145</v>
      </c>
      <c r="X58" s="157">
        <f t="shared" si="182"/>
        <v>152.99378190310014</v>
      </c>
      <c r="Y58" s="157">
        <f t="shared" si="182"/>
        <v>167.56461827482394</v>
      </c>
      <c r="Z58" s="157">
        <f t="shared" si="182"/>
        <v>183.52315334861669</v>
      </c>
      <c r="AA58" s="157">
        <f t="shared" si="182"/>
        <v>201.0015489056278</v>
      </c>
      <c r="AB58" s="157">
        <f t="shared" si="182"/>
        <v>220.1445535633066</v>
      </c>
      <c r="AC58" s="157">
        <f t="shared" si="182"/>
        <v>241.11070152171672</v>
      </c>
      <c r="AD58" s="137">
        <f t="shared" si="174"/>
        <v>0.12391979864763281</v>
      </c>
      <c r="AE58" s="31">
        <f t="shared" si="15"/>
        <v>0.05</v>
      </c>
      <c r="AF58" s="145">
        <f t="shared" si="175"/>
        <v>1947.4325892138659</v>
      </c>
    </row>
    <row r="59" spans="2:32" x14ac:dyDescent="0.2">
      <c r="B59" s="20" t="s">
        <v>246</v>
      </c>
      <c r="C59" s="127"/>
      <c r="D59" s="127"/>
      <c r="E59" s="127"/>
      <c r="F59" s="143"/>
      <c r="G59" s="143">
        <f t="shared" ref="G59:P59" si="183">G6/G42</f>
        <v>13.533834586466165</v>
      </c>
      <c r="H59" s="143">
        <f t="shared" si="183"/>
        <v>21.176470588235293</v>
      </c>
      <c r="I59" s="143">
        <f t="shared" si="183"/>
        <v>65.789473684210535</v>
      </c>
      <c r="J59" s="143">
        <f t="shared" si="183"/>
        <v>68.260869565217391</v>
      </c>
      <c r="K59" s="143">
        <f t="shared" si="183"/>
        <v>76.08695652173914</v>
      </c>
      <c r="L59" s="143">
        <f t="shared" si="183"/>
        <v>106.95652173913044</v>
      </c>
      <c r="M59" s="143">
        <f t="shared" si="183"/>
        <v>110.546875</v>
      </c>
      <c r="N59" s="143">
        <f t="shared" si="183"/>
        <v>116.23616236162361</v>
      </c>
      <c r="O59" s="143">
        <f t="shared" si="183"/>
        <v>97.683397683397686</v>
      </c>
      <c r="P59" s="143">
        <f t="shared" si="183"/>
        <v>152.27272727272728</v>
      </c>
      <c r="Q59" s="143">
        <f t="shared" ref="Q59" si="184">Q6/Q42</f>
        <v>87.104622871046217</v>
      </c>
      <c r="R59" s="118">
        <f t="shared" si="165"/>
        <v>0.30857958377708439</v>
      </c>
      <c r="S59" s="128"/>
      <c r="T59" s="156">
        <f t="shared" ref="T59:AC59" si="185">T6/T42</f>
        <v>95.400301239717294</v>
      </c>
      <c r="U59" s="156">
        <f t="shared" si="185"/>
        <v>104.48604421492846</v>
      </c>
      <c r="V59" s="156">
        <f t="shared" si="185"/>
        <v>114.43709604492163</v>
      </c>
      <c r="W59" s="156">
        <f t="shared" si="185"/>
        <v>125.3358670968189</v>
      </c>
      <c r="X59" s="156">
        <f t="shared" si="185"/>
        <v>137.27261634413495</v>
      </c>
      <c r="Y59" s="156">
        <f t="shared" si="185"/>
        <v>150.34619885310019</v>
      </c>
      <c r="Z59" s="156">
        <f t="shared" si="185"/>
        <v>164.66488445815733</v>
      </c>
      <c r="AA59" s="156">
        <f t="shared" si="185"/>
        <v>180.34725440655325</v>
      </c>
      <c r="AB59" s="156">
        <f t="shared" si="185"/>
        <v>197.52318339765355</v>
      </c>
      <c r="AC59" s="156">
        <f t="shared" si="185"/>
        <v>216.33491514981102</v>
      </c>
      <c r="AD59" s="137">
        <f t="shared" si="174"/>
        <v>0.14864357499632219</v>
      </c>
      <c r="AE59" s="31">
        <f t="shared" si="15"/>
        <v>0.05</v>
      </c>
      <c r="AF59" s="145">
        <f t="shared" si="175"/>
        <v>1747.3204685177045</v>
      </c>
    </row>
    <row r="60" spans="2:32" x14ac:dyDescent="0.2">
      <c r="B60" s="20" t="s">
        <v>247</v>
      </c>
      <c r="C60" s="127"/>
      <c r="D60" s="127"/>
      <c r="E60" s="127"/>
      <c r="F60" s="143"/>
      <c r="G60" s="143">
        <f t="shared" ref="G60:P60" si="186">G10/G42</f>
        <v>22.556390977443609</v>
      </c>
      <c r="H60" s="143">
        <f t="shared" si="186"/>
        <v>27.058823529411764</v>
      </c>
      <c r="I60" s="143">
        <f t="shared" si="186"/>
        <v>27.192982456140353</v>
      </c>
      <c r="J60" s="143">
        <f t="shared" si="186"/>
        <v>36.956521739130437</v>
      </c>
      <c r="K60" s="143">
        <f t="shared" si="186"/>
        <v>58.695652173913047</v>
      </c>
      <c r="L60" s="143">
        <f t="shared" si="186"/>
        <v>62.608695652173921</v>
      </c>
      <c r="M60" s="143">
        <f t="shared" si="186"/>
        <v>70.3125</v>
      </c>
      <c r="N60" s="143">
        <f t="shared" si="186"/>
        <v>48.708487084870846</v>
      </c>
      <c r="O60" s="143">
        <f t="shared" si="186"/>
        <v>67.181467181467184</v>
      </c>
      <c r="P60" s="143">
        <f t="shared" si="186"/>
        <v>151.76767676767676</v>
      </c>
      <c r="Q60" s="143">
        <f t="shared" ref="Q60" si="187">Q10/Q42</f>
        <v>124.33090024330899</v>
      </c>
      <c r="R60" s="118">
        <f t="shared" si="165"/>
        <v>0.23591887141953705</v>
      </c>
      <c r="S60" s="128"/>
      <c r="T60" s="156">
        <f t="shared" ref="T60:AC60" si="188">T10/T42</f>
        <v>136.17193836171938</v>
      </c>
      <c r="U60" s="156">
        <f t="shared" si="188"/>
        <v>149.14069439616884</v>
      </c>
      <c r="V60" s="156">
        <f t="shared" si="188"/>
        <v>163.34457005294678</v>
      </c>
      <c r="W60" s="156">
        <f t="shared" si="188"/>
        <v>178.901195772275</v>
      </c>
      <c r="X60" s="156">
        <f t="shared" si="188"/>
        <v>195.93940489344402</v>
      </c>
      <c r="Y60" s="156">
        <f t="shared" si="188"/>
        <v>214.60030059758154</v>
      </c>
      <c r="Z60" s="156">
        <f t="shared" si="188"/>
        <v>235.03842446401785</v>
      </c>
      <c r="AA60" s="156">
        <f t="shared" si="188"/>
        <v>257.42303631773382</v>
      </c>
      <c r="AB60" s="156">
        <f t="shared" si="188"/>
        <v>281.93951596704176</v>
      </c>
      <c r="AC60" s="156">
        <f t="shared" si="188"/>
        <v>308.79089844009337</v>
      </c>
      <c r="AD60" s="137">
        <f t="shared" si="174"/>
        <v>0.13977661929154617</v>
      </c>
      <c r="AE60" s="31">
        <f t="shared" si="15"/>
        <v>0.05</v>
      </c>
      <c r="AF60" s="145">
        <f t="shared" si="175"/>
        <v>2494.0803335546007</v>
      </c>
    </row>
    <row r="61" spans="2:32" x14ac:dyDescent="0.2">
      <c r="B61" s="20"/>
      <c r="C61" s="127"/>
      <c r="D61" s="127"/>
      <c r="E61" s="127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28"/>
      <c r="S61" s="128"/>
      <c r="T61" s="156"/>
      <c r="U61" s="156"/>
      <c r="V61" s="156"/>
      <c r="W61" s="156"/>
      <c r="X61" s="156"/>
      <c r="Y61" s="156"/>
      <c r="Z61" s="156"/>
      <c r="AA61" s="156"/>
      <c r="AB61" s="156"/>
      <c r="AC61" s="156"/>
      <c r="AD61" s="138"/>
      <c r="AE61" s="136"/>
      <c r="AF61" s="145"/>
    </row>
    <row r="62" spans="2:32" x14ac:dyDescent="0.2">
      <c r="B62" s="20" t="s">
        <v>270</v>
      </c>
      <c r="C62" s="127"/>
      <c r="D62" s="127"/>
      <c r="E62" s="127"/>
      <c r="F62" s="143"/>
      <c r="G62" s="143">
        <f t="shared" ref="G62:P62" si="189">(G7-G10)/G42</f>
        <v>0.75187969924812026</v>
      </c>
      <c r="H62" s="143">
        <f t="shared" si="189"/>
        <v>4.1176470588235299</v>
      </c>
      <c r="I62" s="143">
        <f t="shared" si="189"/>
        <v>57.456140350877199</v>
      </c>
      <c r="J62" s="143">
        <f t="shared" si="189"/>
        <v>50.000000000000007</v>
      </c>
      <c r="K62" s="143">
        <f t="shared" si="189"/>
        <v>33.04347826086957</v>
      </c>
      <c r="L62" s="143">
        <f t="shared" si="189"/>
        <v>54.347826086956523</v>
      </c>
      <c r="M62" s="143">
        <f t="shared" si="189"/>
        <v>50.390625</v>
      </c>
      <c r="N62" s="143">
        <f t="shared" si="189"/>
        <v>77.12177121771218</v>
      </c>
      <c r="O62" s="143">
        <f t="shared" si="189"/>
        <v>42.084942084942085</v>
      </c>
      <c r="P62" s="143">
        <f t="shared" si="189"/>
        <v>10.353535353535353</v>
      </c>
      <c r="Q62" s="143">
        <f t="shared" ref="Q62" si="190">(Q7-Q10)/Q42</f>
        <v>-27.250608272506081</v>
      </c>
      <c r="R62" s="118">
        <f>((P62/G62)^(1/($H$2-$H$1) ))-1</f>
        <v>0.33828596536459199</v>
      </c>
      <c r="S62" s="128"/>
      <c r="T62" s="156">
        <f t="shared" ref="T62:AC62" si="191">(T7-T10)/T42</f>
        <v>-29.845904298459043</v>
      </c>
      <c r="U62" s="156">
        <f t="shared" si="191"/>
        <v>-32.688371374502765</v>
      </c>
      <c r="V62" s="156">
        <f t="shared" si="191"/>
        <v>-35.80154960064587</v>
      </c>
      <c r="W62" s="156">
        <f t="shared" si="191"/>
        <v>-39.211220991183573</v>
      </c>
      <c r="X62" s="156">
        <f t="shared" si="191"/>
        <v>-42.945622990343878</v>
      </c>
      <c r="Y62" s="156">
        <f t="shared" si="191"/>
        <v>-47.035682322757587</v>
      </c>
      <c r="Z62" s="156">
        <f t="shared" si="191"/>
        <v>-51.515271115401163</v>
      </c>
      <c r="AA62" s="156">
        <f t="shared" si="191"/>
        <v>-56.421487412106032</v>
      </c>
      <c r="AB62" s="156">
        <f t="shared" si="191"/>
        <v>-61.79496240373517</v>
      </c>
      <c r="AC62" s="156">
        <f t="shared" si="191"/>
        <v>-67.680196918376637</v>
      </c>
      <c r="AD62" s="137" t="e">
        <f t="shared" si="174"/>
        <v>#NUM!</v>
      </c>
      <c r="AE62" s="31">
        <f t="shared" si="15"/>
        <v>0.05</v>
      </c>
      <c r="AF62" s="145">
        <f t="shared" si="175"/>
        <v>-546.64774434073445</v>
      </c>
    </row>
    <row r="63" spans="2:32" x14ac:dyDescent="0.2">
      <c r="B63" s="20" t="s">
        <v>271</v>
      </c>
      <c r="C63" s="127"/>
      <c r="D63" s="127"/>
      <c r="E63" s="127"/>
      <c r="F63" s="143"/>
      <c r="G63" s="143">
        <f t="shared" ref="G63:P63" si="192">(G7-G10-G9)/G42</f>
        <v>-8.2706766917293226</v>
      </c>
      <c r="H63" s="143">
        <f t="shared" si="192"/>
        <v>-7.0588235294117645</v>
      </c>
      <c r="I63" s="143">
        <f t="shared" si="192"/>
        <v>45.175438596491233</v>
      </c>
      <c r="J63" s="143">
        <f t="shared" si="192"/>
        <v>32.608695652173914</v>
      </c>
      <c r="K63" s="143">
        <f t="shared" si="192"/>
        <v>7.8260869565217401</v>
      </c>
      <c r="L63" s="143">
        <f t="shared" si="192"/>
        <v>14.782608695652176</v>
      </c>
      <c r="M63" s="143">
        <f t="shared" si="192"/>
        <v>14.84375</v>
      </c>
      <c r="N63" s="143">
        <f t="shared" si="192"/>
        <v>31.734317343173434</v>
      </c>
      <c r="O63" s="143">
        <f t="shared" si="192"/>
        <v>-8.8803088803088812</v>
      </c>
      <c r="P63" s="143">
        <f t="shared" si="192"/>
        <v>-51.262626262626263</v>
      </c>
      <c r="Q63" s="143">
        <f t="shared" ref="Q63" si="193">(Q7-Q10-Q9)/Q42</f>
        <v>-110.46228710462286</v>
      </c>
      <c r="R63" s="118">
        <f>((P63/G63)^(1/($H$2-$H$1) ))-1</f>
        <v>0.22469760214925572</v>
      </c>
      <c r="S63" s="128"/>
      <c r="T63" s="156">
        <f t="shared" ref="T63:AC63" si="194">(T7-T10-T9)/T42</f>
        <v>-120.98250492411074</v>
      </c>
      <c r="U63" s="156">
        <f t="shared" si="194"/>
        <v>-132.50464825021655</v>
      </c>
      <c r="V63" s="156">
        <f t="shared" si="194"/>
        <v>-145.12413855976092</v>
      </c>
      <c r="W63" s="156">
        <f t="shared" si="194"/>
        <v>-158.94548508926195</v>
      </c>
      <c r="X63" s="156">
        <f t="shared" si="194"/>
        <v>-174.08315033585825</v>
      </c>
      <c r="Y63" s="156">
        <f t="shared" si="194"/>
        <v>-190.66249798689239</v>
      </c>
      <c r="Z63" s="156">
        <f t="shared" si="194"/>
        <v>-208.82083112850117</v>
      </c>
      <c r="AA63" s="156">
        <f t="shared" si="194"/>
        <v>-228.70852933121554</v>
      </c>
      <c r="AB63" s="156">
        <f t="shared" si="194"/>
        <v>-250.49029402942651</v>
      </c>
      <c r="AC63" s="156">
        <f t="shared" si="194"/>
        <v>-274.34651250841949</v>
      </c>
      <c r="AD63" s="137">
        <f t="shared" si="174"/>
        <v>0.19134602465368178</v>
      </c>
      <c r="AE63" s="31">
        <f t="shared" si="15"/>
        <v>0.05</v>
      </c>
      <c r="AF63" s="145">
        <f t="shared" si="175"/>
        <v>-2215.8756779526188</v>
      </c>
    </row>
    <row r="64" spans="2:32" x14ac:dyDescent="0.2">
      <c r="B64" s="20" t="s">
        <v>276</v>
      </c>
      <c r="C64" s="127"/>
      <c r="D64" s="127"/>
      <c r="E64" s="127"/>
      <c r="F64" s="143"/>
      <c r="G64" s="143">
        <f t="shared" ref="G64:P64" si="195">(G7+G15-G10-G9)/G42</f>
        <v>-3.7593984962406015</v>
      </c>
      <c r="H64" s="143">
        <f t="shared" si="195"/>
        <v>-4.1176470588235299</v>
      </c>
      <c r="I64" s="143">
        <f t="shared" si="195"/>
        <v>75</v>
      </c>
      <c r="J64" s="143">
        <f t="shared" si="195"/>
        <v>40.869565217391305</v>
      </c>
      <c r="K64" s="143">
        <f t="shared" si="195"/>
        <v>23.478260869565219</v>
      </c>
      <c r="L64" s="143">
        <f t="shared" si="195"/>
        <v>26.086956521739133</v>
      </c>
      <c r="M64" s="143">
        <f t="shared" si="195"/>
        <v>24.21875</v>
      </c>
      <c r="N64" s="143">
        <f t="shared" si="195"/>
        <v>73.800738007380076</v>
      </c>
      <c r="O64" s="143">
        <f t="shared" si="195"/>
        <v>12.741312741312742</v>
      </c>
      <c r="P64" s="143">
        <f t="shared" si="195"/>
        <v>-28.535353535353536</v>
      </c>
      <c r="Q64" s="143">
        <f t="shared" ref="Q64" si="196">(Q7+Q15-Q10-Q9)/Q42</f>
        <v>-88.564476885644766</v>
      </c>
      <c r="R64" s="118">
        <f>((P64/G64)^(1/($H$2-$H$1) ))-1</f>
        <v>0.25258501109714238</v>
      </c>
      <c r="S64" s="128"/>
      <c r="T64" s="156">
        <f t="shared" ref="T64:AC64" si="197">(T7+T15-T10-T9)/T42</f>
        <v>-96.999188969991891</v>
      </c>
      <c r="U64" s="156">
        <f t="shared" si="197"/>
        <v>-106.23720696713396</v>
      </c>
      <c r="V64" s="156">
        <f t="shared" si="197"/>
        <v>-116.35503620209907</v>
      </c>
      <c r="W64" s="156">
        <f t="shared" si="197"/>
        <v>-127.43646822134659</v>
      </c>
      <c r="X64" s="156">
        <f t="shared" si="197"/>
        <v>-139.57327471861765</v>
      </c>
      <c r="Y64" s="156">
        <f t="shared" si="197"/>
        <v>-152.86596754896217</v>
      </c>
      <c r="Z64" s="156">
        <f t="shared" si="197"/>
        <v>-167.42463112505379</v>
      </c>
      <c r="AA64" s="156">
        <f t="shared" si="197"/>
        <v>-183.36983408934461</v>
      </c>
      <c r="AB64" s="156">
        <f t="shared" si="197"/>
        <v>-200.8336278121393</v>
      </c>
      <c r="AC64" s="156">
        <f t="shared" si="197"/>
        <v>-219.96063998472403</v>
      </c>
      <c r="AD64" s="137">
        <f t="shared" si="174"/>
        <v>0.22563549700929131</v>
      </c>
      <c r="AE64" s="31">
        <f t="shared" si="15"/>
        <v>0.05</v>
      </c>
      <c r="AF64" s="145">
        <f t="shared" si="175"/>
        <v>-1776.6051691073865</v>
      </c>
    </row>
    <row r="65" spans="2:32" x14ac:dyDescent="0.2">
      <c r="B65" s="20"/>
      <c r="C65" s="127"/>
      <c r="D65" s="127"/>
      <c r="E65" s="127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28"/>
      <c r="S65" s="128"/>
      <c r="T65" s="153"/>
      <c r="U65" s="153"/>
      <c r="V65" s="153"/>
      <c r="W65" s="153"/>
      <c r="X65" s="153"/>
      <c r="Y65" s="153"/>
      <c r="Z65" s="153"/>
      <c r="AA65" s="153"/>
      <c r="AB65" s="153"/>
      <c r="AC65" s="153"/>
      <c r="AD65" s="138"/>
      <c r="AE65" s="136"/>
      <c r="AF65" s="153"/>
    </row>
    <row r="66" spans="2:32" x14ac:dyDescent="0.2">
      <c r="B66" s="20" t="s">
        <v>248</v>
      </c>
      <c r="C66" s="127"/>
      <c r="D66" s="127"/>
      <c r="E66" s="127"/>
      <c r="F66" s="143"/>
      <c r="G66" s="143">
        <f t="shared" ref="G66:P66" si="198">G12/G42</f>
        <v>2.255639097744361</v>
      </c>
      <c r="H66" s="143">
        <f t="shared" si="198"/>
        <v>5.882352941176471</v>
      </c>
      <c r="I66" s="143">
        <f t="shared" si="198"/>
        <v>27.631578947368425</v>
      </c>
      <c r="J66" s="143">
        <f t="shared" si="198"/>
        <v>4.3478260869565224</v>
      </c>
      <c r="K66" s="143">
        <f t="shared" si="198"/>
        <v>9.1304347826086971</v>
      </c>
      <c r="L66" s="143">
        <f t="shared" si="198"/>
        <v>1.7391304347826089</v>
      </c>
      <c r="M66" s="143">
        <f t="shared" si="198"/>
        <v>8.203125</v>
      </c>
      <c r="N66" s="143">
        <f t="shared" si="198"/>
        <v>29.15129151291513</v>
      </c>
      <c r="O66" s="143">
        <f t="shared" si="198"/>
        <v>8.1081081081081088</v>
      </c>
      <c r="P66" s="143">
        <f t="shared" si="198"/>
        <v>9.3434343434343443</v>
      </c>
      <c r="Q66" s="143">
        <f t="shared" ref="Q66" si="199">Q12/Q42</f>
        <v>6.5693430656934302</v>
      </c>
      <c r="R66" s="118">
        <f>((P66/G66)^(1/($H$2-$H$1) ))-1</f>
        <v>0.17106737079139367</v>
      </c>
      <c r="S66" s="128"/>
      <c r="T66" s="156">
        <f t="shared" ref="T66:AC66" si="200">T12/T42</f>
        <v>7.1949947862356609</v>
      </c>
      <c r="U66" s="156">
        <f t="shared" si="200"/>
        <v>7.8802323849247724</v>
      </c>
      <c r="V66" s="156">
        <f t="shared" si="200"/>
        <v>8.6307307072985591</v>
      </c>
      <c r="W66" s="156">
        <f t="shared" si="200"/>
        <v>9.4527050603746101</v>
      </c>
      <c r="X66" s="156">
        <f t="shared" si="200"/>
        <v>10.352962685172191</v>
      </c>
      <c r="Y66" s="156">
        <f t="shared" si="200"/>
        <v>11.338959131379065</v>
      </c>
      <c r="Z66" s="156">
        <f t="shared" si="200"/>
        <v>12.418860001034211</v>
      </c>
      <c r="AA66" s="156">
        <f t="shared" si="200"/>
        <v>13.601608572561277</v>
      </c>
      <c r="AB66" s="156">
        <f t="shared" si="200"/>
        <v>14.89699986518616</v>
      </c>
      <c r="AC66" s="156">
        <f t="shared" si="200"/>
        <v>16.315761757108653</v>
      </c>
      <c r="AD66" s="137">
        <f t="shared" si="174"/>
        <v>0.10399444225834498</v>
      </c>
      <c r="AE66" s="31">
        <f t="shared" si="15"/>
        <v>0.05</v>
      </c>
      <c r="AF66" s="145">
        <f t="shared" si="175"/>
        <v>131.7811526535699</v>
      </c>
    </row>
    <row r="67" spans="2:32" x14ac:dyDescent="0.2">
      <c r="B67" s="20" t="s">
        <v>255</v>
      </c>
      <c r="C67" s="127"/>
      <c r="D67" s="127"/>
      <c r="E67" s="127"/>
      <c r="F67" s="143"/>
      <c r="G67" s="143">
        <f t="shared" ref="G67:P67" si="201">G13/G42</f>
        <v>0.37593984962406013</v>
      </c>
      <c r="H67" s="143">
        <f t="shared" si="201"/>
        <v>0.70588235294117652</v>
      </c>
      <c r="I67" s="143">
        <f t="shared" si="201"/>
        <v>12.719298245614036</v>
      </c>
      <c r="J67" s="143">
        <f t="shared" si="201"/>
        <v>18.260869565217394</v>
      </c>
      <c r="K67" s="143">
        <f t="shared" si="201"/>
        <v>13.043478260869566</v>
      </c>
      <c r="L67" s="143">
        <f t="shared" si="201"/>
        <v>50.000000000000007</v>
      </c>
      <c r="M67" s="143">
        <f t="shared" si="201"/>
        <v>41.796875</v>
      </c>
      <c r="N67" s="143">
        <f t="shared" si="201"/>
        <v>0.18450184501845018</v>
      </c>
      <c r="O67" s="143">
        <f t="shared" si="201"/>
        <v>0.25096525096525096</v>
      </c>
      <c r="P67" s="143">
        <f t="shared" si="201"/>
        <v>9.5959595959595969</v>
      </c>
      <c r="Q67" s="143">
        <f t="shared" ref="Q67" si="202">Q13/Q42</f>
        <v>5.8394160583941606</v>
      </c>
      <c r="R67" s="118">
        <f>((P67/G67)^(1/($H$2-$H$1) ))-1</f>
        <v>0.43327658257443935</v>
      </c>
      <c r="S67" s="128"/>
      <c r="T67" s="156">
        <f t="shared" ref="T67:AC67" si="203">T13/T42</f>
        <v>6.3955509210983656</v>
      </c>
      <c r="U67" s="156">
        <f t="shared" si="203"/>
        <v>7.0046510088220195</v>
      </c>
      <c r="V67" s="156">
        <f t="shared" si="203"/>
        <v>7.671760628709829</v>
      </c>
      <c r="W67" s="156">
        <f t="shared" si="203"/>
        <v>8.402404498110764</v>
      </c>
      <c r="X67" s="156">
        <f t="shared" si="203"/>
        <v>9.2026334979308331</v>
      </c>
      <c r="Y67" s="156">
        <f t="shared" si="203"/>
        <v>10.079074783448055</v>
      </c>
      <c r="Z67" s="156">
        <f t="shared" si="203"/>
        <v>11.038986667585963</v>
      </c>
      <c r="AA67" s="156">
        <f t="shared" si="203"/>
        <v>12.090318731165578</v>
      </c>
      <c r="AB67" s="156">
        <f t="shared" si="203"/>
        <v>13.241777657943251</v>
      </c>
      <c r="AC67" s="156">
        <f t="shared" si="203"/>
        <v>14.502899339652132</v>
      </c>
      <c r="AD67" s="137">
        <f t="shared" si="174"/>
        <v>0.20037467272804488</v>
      </c>
      <c r="AE67" s="31">
        <f t="shared" si="15"/>
        <v>0.05</v>
      </c>
      <c r="AF67" s="145">
        <f t="shared" si="175"/>
        <v>117.13880235872877</v>
      </c>
    </row>
    <row r="68" spans="2:32" x14ac:dyDescent="0.2">
      <c r="B68" s="20" t="s">
        <v>256</v>
      </c>
      <c r="C68" s="127"/>
      <c r="D68" s="127"/>
      <c r="E68" s="127"/>
      <c r="F68" s="143"/>
      <c r="G68" s="143">
        <f t="shared" ref="G68:P68" si="204">(G66+G67)</f>
        <v>2.6315789473684212</v>
      </c>
      <c r="H68" s="143">
        <f t="shared" si="204"/>
        <v>6.5882352941176476</v>
      </c>
      <c r="I68" s="143">
        <f t="shared" si="204"/>
        <v>40.350877192982459</v>
      </c>
      <c r="J68" s="143">
        <f t="shared" si="204"/>
        <v>22.608695652173918</v>
      </c>
      <c r="K68" s="143">
        <f t="shared" si="204"/>
        <v>22.173913043478265</v>
      </c>
      <c r="L68" s="143">
        <f t="shared" si="204"/>
        <v>51.739130434782616</v>
      </c>
      <c r="M68" s="143">
        <f t="shared" si="204"/>
        <v>50</v>
      </c>
      <c r="N68" s="143">
        <f t="shared" si="204"/>
        <v>29.335793357933579</v>
      </c>
      <c r="O68" s="143">
        <f t="shared" ref="O68" si="205">(O66+O67)</f>
        <v>8.3590733590733599</v>
      </c>
      <c r="P68" s="143">
        <f t="shared" si="204"/>
        <v>18.939393939393941</v>
      </c>
      <c r="Q68" s="143">
        <f t="shared" ref="Q68" si="206">(Q66+Q67)</f>
        <v>12.408759124087592</v>
      </c>
      <c r="R68" s="118">
        <f>((P68/G68)^(1/($H$2-$H$1) ))-1</f>
        <v>0.24519925644154528</v>
      </c>
      <c r="S68" s="128"/>
      <c r="T68" s="156">
        <f t="shared" ref="T68:AC68" si="207">(T66+T67)</f>
        <v>13.590545707334027</v>
      </c>
      <c r="U68" s="156">
        <f t="shared" si="207"/>
        <v>14.884883393746792</v>
      </c>
      <c r="V68" s="156">
        <f t="shared" si="207"/>
        <v>16.302491336008387</v>
      </c>
      <c r="W68" s="156">
        <f t="shared" si="207"/>
        <v>17.855109558485374</v>
      </c>
      <c r="X68" s="156">
        <f t="shared" si="207"/>
        <v>19.555596183103024</v>
      </c>
      <c r="Y68" s="156">
        <f t="shared" si="207"/>
        <v>21.41803391482712</v>
      </c>
      <c r="Z68" s="156">
        <f t="shared" si="207"/>
        <v>23.457846668620174</v>
      </c>
      <c r="AA68" s="156">
        <f t="shared" si="207"/>
        <v>25.691927303726857</v>
      </c>
      <c r="AB68" s="156">
        <f t="shared" si="207"/>
        <v>28.138777523129413</v>
      </c>
      <c r="AC68" s="156">
        <f t="shared" si="207"/>
        <v>30.818661096760785</v>
      </c>
      <c r="AD68" s="137">
        <f t="shared" si="174"/>
        <v>0.13091474941322678</v>
      </c>
      <c r="AE68" s="31">
        <f t="shared" si="15"/>
        <v>0.05</v>
      </c>
      <c r="AF68" s="145">
        <f t="shared" si="175"/>
        <v>248.91995501229866</v>
      </c>
    </row>
    <row r="69" spans="2:32" x14ac:dyDescent="0.2">
      <c r="B69" s="20" t="s">
        <v>249</v>
      </c>
      <c r="C69" s="127"/>
      <c r="D69" s="127"/>
      <c r="E69" s="127"/>
      <c r="F69" s="143"/>
      <c r="G69" s="143">
        <f t="shared" ref="G69:P69" si="208">G15/G42</f>
        <v>4.511278195488722</v>
      </c>
      <c r="H69" s="143">
        <f t="shared" si="208"/>
        <v>2.9411764705882355</v>
      </c>
      <c r="I69" s="143">
        <f t="shared" si="208"/>
        <v>29.824561403508774</v>
      </c>
      <c r="J69" s="143">
        <f t="shared" si="208"/>
        <v>8.2608695652173925</v>
      </c>
      <c r="K69" s="143">
        <f t="shared" si="208"/>
        <v>15.65217391304348</v>
      </c>
      <c r="L69" s="143">
        <f t="shared" si="208"/>
        <v>11.304347826086957</v>
      </c>
      <c r="M69" s="143">
        <f t="shared" si="208"/>
        <v>9.375</v>
      </c>
      <c r="N69" s="143">
        <f t="shared" si="208"/>
        <v>42.066420664206646</v>
      </c>
      <c r="O69" s="143">
        <f t="shared" si="208"/>
        <v>21.621621621621621</v>
      </c>
      <c r="P69" s="143">
        <f t="shared" si="208"/>
        <v>22.727272727272727</v>
      </c>
      <c r="Q69" s="143">
        <f t="shared" ref="Q69" si="209">Q15/Q42</f>
        <v>21.897810218978101</v>
      </c>
      <c r="R69" s="118">
        <f>((P69/G69)^(1/($H$2-$H$1) ))-1</f>
        <v>0.19681637817735487</v>
      </c>
      <c r="S69" s="128"/>
      <c r="T69" s="156">
        <f t="shared" ref="T69:AC69" si="210">T15/T42</f>
        <v>23.983315954118869</v>
      </c>
      <c r="U69" s="156">
        <f t="shared" si="210"/>
        <v>26.267441283082572</v>
      </c>
      <c r="V69" s="156">
        <f t="shared" si="210"/>
        <v>28.769102357661861</v>
      </c>
      <c r="W69" s="156">
        <f t="shared" si="210"/>
        <v>31.509016867915363</v>
      </c>
      <c r="X69" s="156">
        <f t="shared" si="210"/>
        <v>34.509875617240631</v>
      </c>
      <c r="Y69" s="156">
        <f t="shared" si="210"/>
        <v>37.796530437930215</v>
      </c>
      <c r="Z69" s="156">
        <f t="shared" si="210"/>
        <v>41.396200003447369</v>
      </c>
      <c r="AA69" s="156">
        <f t="shared" si="210"/>
        <v>45.338695241870923</v>
      </c>
      <c r="AB69" s="156">
        <f t="shared" si="210"/>
        <v>49.656666217287196</v>
      </c>
      <c r="AC69" s="156">
        <f t="shared" si="210"/>
        <v>54.385872523695497</v>
      </c>
      <c r="AD69" s="137">
        <f t="shared" si="174"/>
        <v>0.13255505948975466</v>
      </c>
      <c r="AE69" s="31">
        <f t="shared" si="15"/>
        <v>0.05</v>
      </c>
      <c r="AF69" s="145">
        <f t="shared" si="175"/>
        <v>439.27050884523288</v>
      </c>
    </row>
    <row r="70" spans="2:32" x14ac:dyDescent="0.2">
      <c r="B70" s="20" t="s">
        <v>250</v>
      </c>
      <c r="C70" s="127"/>
      <c r="D70" s="127"/>
      <c r="E70" s="127"/>
      <c r="F70" s="143"/>
      <c r="G70" s="143">
        <f t="shared" ref="G70:P70" si="211">G16/G42</f>
        <v>8.2706766917293226</v>
      </c>
      <c r="H70" s="143">
        <f t="shared" si="211"/>
        <v>7.6470588235294121</v>
      </c>
      <c r="I70" s="143">
        <f t="shared" si="211"/>
        <v>28.508771929824565</v>
      </c>
      <c r="J70" s="143">
        <f t="shared" si="211"/>
        <v>13.478260869565219</v>
      </c>
      <c r="K70" s="143">
        <f t="shared" si="211"/>
        <v>12.608695652173914</v>
      </c>
      <c r="L70" s="143">
        <f t="shared" si="211"/>
        <v>14.782608695652176</v>
      </c>
      <c r="M70" s="143">
        <f t="shared" si="211"/>
        <v>21.875</v>
      </c>
      <c r="N70" s="143">
        <f t="shared" si="211"/>
        <v>37.638376383763841</v>
      </c>
      <c r="O70" s="143">
        <f t="shared" si="211"/>
        <v>32.046332046332047</v>
      </c>
      <c r="P70" s="143">
        <f t="shared" si="211"/>
        <v>26.262626262626263</v>
      </c>
      <c r="Q70" s="143">
        <f t="shared" ref="Q70" si="212">Q16/Q42</f>
        <v>9.2457420924574194</v>
      </c>
      <c r="R70" s="118">
        <f>((P70/G70)^(1/($H$2-$H$1) ))-1</f>
        <v>0.13698630686231716</v>
      </c>
      <c r="S70" s="128"/>
      <c r="T70" s="156">
        <f t="shared" ref="T70:AC70" si="213">T16/T42</f>
        <v>10.126288958405745</v>
      </c>
      <c r="U70" s="156">
        <f t="shared" si="213"/>
        <v>11.090697430634863</v>
      </c>
      <c r="V70" s="156">
        <f t="shared" si="213"/>
        <v>12.146954328790562</v>
      </c>
      <c r="W70" s="156">
        <f t="shared" si="213"/>
        <v>13.303807122008708</v>
      </c>
      <c r="X70" s="156">
        <f t="shared" si="213"/>
        <v>14.57083637172382</v>
      </c>
      <c r="Y70" s="156">
        <f t="shared" si="213"/>
        <v>15.958535073792754</v>
      </c>
      <c r="Z70" s="156">
        <f t="shared" si="213"/>
        <v>17.478395557011108</v>
      </c>
      <c r="AA70" s="156">
        <f t="shared" si="213"/>
        <v>19.14300465767883</v>
      </c>
      <c r="AB70" s="156">
        <f t="shared" si="213"/>
        <v>20.966147958410147</v>
      </c>
      <c r="AC70" s="156">
        <f t="shared" si="213"/>
        <v>22.962923954449206</v>
      </c>
      <c r="AD70" s="137">
        <f t="shared" si="174"/>
        <v>5.2384170919643314E-2</v>
      </c>
      <c r="AE70" s="136"/>
      <c r="AF70" s="145">
        <f t="shared" si="175"/>
        <v>127.57179974694003</v>
      </c>
    </row>
    <row r="71" spans="2:32" x14ac:dyDescent="0.2">
      <c r="B71" s="20"/>
      <c r="C71" s="127"/>
      <c r="D71" s="127"/>
      <c r="E71" s="127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28"/>
      <c r="S71" s="128"/>
      <c r="T71" s="153"/>
      <c r="U71" s="153"/>
      <c r="V71" s="153"/>
      <c r="W71" s="153"/>
      <c r="X71" s="153"/>
      <c r="Y71" s="153"/>
      <c r="Z71" s="153"/>
      <c r="AA71" s="153"/>
      <c r="AB71" s="153"/>
      <c r="AC71" s="153"/>
      <c r="AD71" s="138"/>
      <c r="AE71" s="31">
        <f t="shared" si="15"/>
        <v>0.05</v>
      </c>
      <c r="AF71" s="145">
        <f t="shared" si="175"/>
        <v>0</v>
      </c>
    </row>
    <row r="72" spans="2:32" x14ac:dyDescent="0.2">
      <c r="B72" s="20" t="s">
        <v>282</v>
      </c>
      <c r="C72" s="158"/>
      <c r="D72" s="158"/>
      <c r="E72" s="158"/>
      <c r="F72" s="158"/>
      <c r="G72" s="158">
        <f t="shared" ref="G72:P72" si="214">G44</f>
        <v>0</v>
      </c>
      <c r="H72" s="158">
        <f t="shared" si="214"/>
        <v>0</v>
      </c>
      <c r="I72" s="158">
        <f t="shared" si="214"/>
        <v>1</v>
      </c>
      <c r="J72" s="158">
        <f t="shared" si="214"/>
        <v>1</v>
      </c>
      <c r="K72" s="158">
        <f t="shared" si="214"/>
        <v>1</v>
      </c>
      <c r="L72" s="158">
        <f t="shared" si="214"/>
        <v>1</v>
      </c>
      <c r="M72" s="158">
        <f t="shared" si="214"/>
        <v>1</v>
      </c>
      <c r="N72" s="158">
        <f t="shared" si="214"/>
        <v>1</v>
      </c>
      <c r="O72" s="158">
        <f t="shared" si="214"/>
        <v>6</v>
      </c>
      <c r="P72" s="158">
        <f t="shared" si="214"/>
        <v>1</v>
      </c>
      <c r="Q72" s="158">
        <f t="shared" ref="Q72" si="215">Q44</f>
        <v>2.5</v>
      </c>
      <c r="R72" s="118" t="e">
        <f>((P72/G72)^(1/($H$2-$H$1) ))-1</f>
        <v>#DIV/0!</v>
      </c>
      <c r="S72" s="128"/>
      <c r="T72" s="158">
        <f t="shared" ref="T72:AC72" si="216">T44</f>
        <v>2.625</v>
      </c>
      <c r="U72" s="158">
        <f t="shared" si="216"/>
        <v>2.7562500000000001</v>
      </c>
      <c r="V72" s="158">
        <f t="shared" si="216"/>
        <v>2.8940625000000004</v>
      </c>
      <c r="W72" s="158">
        <f t="shared" si="216"/>
        <v>3.0387656250000004</v>
      </c>
      <c r="X72" s="158">
        <f t="shared" si="216"/>
        <v>3.1907039062500004</v>
      </c>
      <c r="Y72" s="158">
        <f t="shared" si="216"/>
        <v>3.3502391015625008</v>
      </c>
      <c r="Z72" s="158">
        <f t="shared" si="216"/>
        <v>3.517751056640626</v>
      </c>
      <c r="AA72" s="158">
        <f t="shared" si="216"/>
        <v>3.6936386094726577</v>
      </c>
      <c r="AB72" s="158">
        <f t="shared" si="216"/>
        <v>3.8783205399462908</v>
      </c>
      <c r="AC72" s="158">
        <f t="shared" si="216"/>
        <v>4.0722365669436051</v>
      </c>
      <c r="AD72" s="137" t="e">
        <f t="shared" ref="AD72" si="217">((AC72/G72)^(1/($AC$3-$H$1) ))-1</f>
        <v>#DIV/0!</v>
      </c>
      <c r="AE72" s="31">
        <f t="shared" si="15"/>
        <v>0.05</v>
      </c>
      <c r="AF72" s="145">
        <f t="shared" si="175"/>
        <v>32.891141502236813</v>
      </c>
    </row>
    <row r="73" spans="2:32" x14ac:dyDescent="0.2">
      <c r="B73" s="20"/>
      <c r="C73" s="127"/>
      <c r="D73" s="127"/>
      <c r="E73" s="127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28"/>
      <c r="S73" s="128"/>
      <c r="T73" s="153"/>
      <c r="U73" s="153"/>
      <c r="V73" s="153"/>
      <c r="W73" s="153"/>
      <c r="X73" s="153"/>
      <c r="Y73" s="153"/>
      <c r="Z73" s="153"/>
      <c r="AA73" s="153"/>
      <c r="AB73" s="153"/>
      <c r="AC73" s="153"/>
      <c r="AD73" s="138"/>
      <c r="AE73" s="136"/>
      <c r="AF73" s="153"/>
    </row>
    <row r="74" spans="2:32" x14ac:dyDescent="0.2">
      <c r="B74" s="20" t="s">
        <v>315</v>
      </c>
      <c r="C74" s="127"/>
      <c r="D74" s="127"/>
      <c r="E74" s="127"/>
      <c r="F74" s="143"/>
      <c r="G74" s="143">
        <f t="shared" ref="G74:P74" si="218">G20+G21</f>
        <v>-24</v>
      </c>
      <c r="H74" s="143">
        <f t="shared" si="218"/>
        <v>-24</v>
      </c>
      <c r="I74" s="143">
        <f t="shared" si="218"/>
        <v>-93</v>
      </c>
      <c r="J74" s="143">
        <f t="shared" si="218"/>
        <v>5</v>
      </c>
      <c r="K74" s="143">
        <f t="shared" si="218"/>
        <v>-16</v>
      </c>
      <c r="L74" s="143">
        <f t="shared" si="218"/>
        <v>16</v>
      </c>
      <c r="M74" s="143">
        <f t="shared" si="218"/>
        <v>-64</v>
      </c>
      <c r="N74" s="143">
        <f t="shared" si="218"/>
        <v>25</v>
      </c>
      <c r="O74" s="143">
        <f t="shared" si="218"/>
        <v>-45</v>
      </c>
      <c r="P74" s="143">
        <f t="shared" si="218"/>
        <v>-445</v>
      </c>
      <c r="Q74" s="143">
        <f t="shared" ref="Q74" si="219">Q20+Q21</f>
        <v>103</v>
      </c>
      <c r="R74" s="118">
        <f>((P74/G74)^(1/($H$2-$H$1) ))-1</f>
        <v>0.38326509697333244</v>
      </c>
      <c r="S74" s="128"/>
      <c r="T74" s="143">
        <f t="shared" ref="T74:AC74" si="220">T20+T21</f>
        <v>118.45</v>
      </c>
      <c r="U74" s="143">
        <f t="shared" si="220"/>
        <v>136.21749999999997</v>
      </c>
      <c r="V74" s="143">
        <f t="shared" si="220"/>
        <v>156.65012499999995</v>
      </c>
      <c r="W74" s="143">
        <f t="shared" si="220"/>
        <v>180.1476437499999</v>
      </c>
      <c r="X74" s="143">
        <f t="shared" si="220"/>
        <v>207.16979031249986</v>
      </c>
      <c r="Y74" s="143">
        <f t="shared" si="220"/>
        <v>238.24525885937479</v>
      </c>
      <c r="Z74" s="143">
        <f t="shared" si="220"/>
        <v>273.98204768828094</v>
      </c>
      <c r="AA74" s="143">
        <f t="shared" si="220"/>
        <v>315.07935484152301</v>
      </c>
      <c r="AB74" s="143">
        <f t="shared" si="220"/>
        <v>362.34125806775143</v>
      </c>
      <c r="AC74" s="143">
        <f t="shared" si="220"/>
        <v>416.69244677791414</v>
      </c>
      <c r="AD74" s="137" t="e">
        <f t="shared" ref="AD74:AD79" si="221">((AC74/G74)^(1/($AC$3-$H$1) ))-1</f>
        <v>#NUM!</v>
      </c>
      <c r="AE74" s="31">
        <f t="shared" si="15"/>
        <v>0.05</v>
      </c>
      <c r="AF74" s="145">
        <f t="shared" si="175"/>
        <v>3365.5928393600757</v>
      </c>
    </row>
    <row r="75" spans="2:32" x14ac:dyDescent="0.2">
      <c r="B75" s="20"/>
      <c r="C75" s="127"/>
      <c r="D75" s="127"/>
      <c r="E75" s="127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28"/>
      <c r="S75" s="128"/>
      <c r="T75" s="145"/>
      <c r="U75" s="145"/>
      <c r="V75" s="145"/>
      <c r="W75" s="145"/>
      <c r="X75" s="145"/>
      <c r="Y75" s="145"/>
      <c r="Z75" s="145"/>
      <c r="AA75" s="145"/>
      <c r="AB75" s="145"/>
      <c r="AC75" s="145"/>
      <c r="AD75" s="138"/>
      <c r="AE75" s="136"/>
      <c r="AF75" s="145"/>
    </row>
    <row r="76" spans="2:32" x14ac:dyDescent="0.2">
      <c r="B76" s="20" t="s">
        <v>316</v>
      </c>
      <c r="C76" s="127"/>
      <c r="D76" s="127"/>
      <c r="E76" s="127"/>
      <c r="F76" s="143"/>
      <c r="G76" s="143">
        <f t="shared" ref="G76:P76" si="222">G74/G42</f>
        <v>-18.045112781954888</v>
      </c>
      <c r="H76" s="143">
        <f t="shared" si="222"/>
        <v>-14.117647058823529</v>
      </c>
      <c r="I76" s="143">
        <f t="shared" si="222"/>
        <v>-40.789473684210527</v>
      </c>
      <c r="J76" s="143">
        <f t="shared" si="222"/>
        <v>2.1739130434782612</v>
      </c>
      <c r="K76" s="143">
        <f t="shared" si="222"/>
        <v>-6.9565217391304355</v>
      </c>
      <c r="L76" s="143">
        <f t="shared" si="222"/>
        <v>6.9565217391304355</v>
      </c>
      <c r="M76" s="143">
        <f t="shared" si="222"/>
        <v>-25</v>
      </c>
      <c r="N76" s="143">
        <f t="shared" si="222"/>
        <v>9.2250922509225095</v>
      </c>
      <c r="O76" s="143">
        <f t="shared" si="222"/>
        <v>-17.374517374517374</v>
      </c>
      <c r="P76" s="143">
        <f t="shared" si="222"/>
        <v>-112.37373737373737</v>
      </c>
      <c r="Q76" s="143">
        <f t="shared" ref="Q76" si="223">Q74/Q42</f>
        <v>25.06082725060827</v>
      </c>
      <c r="R76" s="118">
        <f>((P76/G76)^(1/($H$2-$H$1) ))-1</f>
        <v>0.22533866032604211</v>
      </c>
      <c r="S76" s="128"/>
      <c r="T76" s="145">
        <f t="shared" ref="T76:AC76" si="224">T74/T42</f>
        <v>27.447572703047154</v>
      </c>
      <c r="U76" s="145">
        <f t="shared" si="224"/>
        <v>30.061627246194497</v>
      </c>
      <c r="V76" s="145">
        <f t="shared" si="224"/>
        <v>32.924639364879681</v>
      </c>
      <c r="W76" s="145">
        <f t="shared" si="224"/>
        <v>36.060319304392017</v>
      </c>
      <c r="X76" s="145">
        <f t="shared" si="224"/>
        <v>39.494635428619823</v>
      </c>
      <c r="Y76" s="145">
        <f t="shared" si="224"/>
        <v>43.256029278964562</v>
      </c>
      <c r="Z76" s="145">
        <f t="shared" si="224"/>
        <v>47.375651115056407</v>
      </c>
      <c r="AA76" s="145">
        <f t="shared" si="224"/>
        <v>51.887617887918907</v>
      </c>
      <c r="AB76" s="145">
        <f t="shared" si="224"/>
        <v>56.829295782006419</v>
      </c>
      <c r="AC76" s="145">
        <f t="shared" si="224"/>
        <v>62.241609666007029</v>
      </c>
      <c r="AD76" s="137" t="e">
        <f t="shared" si="221"/>
        <v>#NUM!</v>
      </c>
      <c r="AE76" s="31">
        <f t="shared" si="15"/>
        <v>0.05</v>
      </c>
      <c r="AF76" s="145">
        <f t="shared" si="175"/>
        <v>502.7206934562106</v>
      </c>
    </row>
    <row r="77" spans="2:32" x14ac:dyDescent="0.2">
      <c r="B77" s="20" t="s">
        <v>286</v>
      </c>
      <c r="C77" s="127"/>
      <c r="D77" s="127"/>
      <c r="E77" s="127"/>
      <c r="F77" s="143"/>
      <c r="G77" s="143">
        <f t="shared" ref="G77:P77" si="225">G20/G42</f>
        <v>13.533834586466165</v>
      </c>
      <c r="H77" s="143">
        <f t="shared" si="225"/>
        <v>10.588235294117647</v>
      </c>
      <c r="I77" s="143">
        <f t="shared" si="225"/>
        <v>5.7017543859649127</v>
      </c>
      <c r="J77" s="143">
        <f t="shared" si="225"/>
        <v>5.2173913043478262</v>
      </c>
      <c r="K77" s="143">
        <f t="shared" si="225"/>
        <v>17.39130434782609</v>
      </c>
      <c r="L77" s="143">
        <f t="shared" si="225"/>
        <v>19.565217391304348</v>
      </c>
      <c r="M77" s="143">
        <f t="shared" si="225"/>
        <v>10.15625</v>
      </c>
      <c r="N77" s="143">
        <f t="shared" si="225"/>
        <v>14.391143911439114</v>
      </c>
      <c r="O77" s="143">
        <f t="shared" si="225"/>
        <v>11.969111969111969</v>
      </c>
      <c r="P77" s="143">
        <f t="shared" si="225"/>
        <v>28.282828282828284</v>
      </c>
      <c r="Q77" s="143">
        <f t="shared" ref="Q77" si="226">Q20/Q42</f>
        <v>48.175182481751818</v>
      </c>
      <c r="R77" s="118">
        <f>((P77/G77)^(1/($H$2-$H$1) ))-1</f>
        <v>8.5342690769948382E-2</v>
      </c>
      <c r="S77" s="128"/>
      <c r="T77" s="145">
        <f t="shared" ref="T77:AC77" si="227">T20/T42</f>
        <v>52.763295099061516</v>
      </c>
      <c r="U77" s="145">
        <f t="shared" si="227"/>
        <v>57.788370822781658</v>
      </c>
      <c r="V77" s="145">
        <f t="shared" si="227"/>
        <v>63.292025186856087</v>
      </c>
      <c r="W77" s="145">
        <f t="shared" si="227"/>
        <v>69.319837109413797</v>
      </c>
      <c r="X77" s="145">
        <f t="shared" si="227"/>
        <v>75.921726357929387</v>
      </c>
      <c r="Y77" s="145">
        <f t="shared" si="227"/>
        <v>83.152366963446454</v>
      </c>
      <c r="Z77" s="145">
        <f t="shared" si="227"/>
        <v>91.071640007584193</v>
      </c>
      <c r="AA77" s="145">
        <f t="shared" si="227"/>
        <v>99.74512953211601</v>
      </c>
      <c r="AB77" s="145">
        <f t="shared" si="227"/>
        <v>109.24466567803181</v>
      </c>
      <c r="AC77" s="145">
        <f t="shared" si="227"/>
        <v>119.64891955213007</v>
      </c>
      <c r="AD77" s="137">
        <f t="shared" si="221"/>
        <v>0.11512716577250592</v>
      </c>
      <c r="AE77" s="31">
        <f t="shared" si="15"/>
        <v>0.05</v>
      </c>
      <c r="AF77" s="145">
        <f t="shared" si="175"/>
        <v>966.39511945951199</v>
      </c>
    </row>
    <row r="78" spans="2:32" x14ac:dyDescent="0.2">
      <c r="B78" s="20" t="s">
        <v>287</v>
      </c>
      <c r="C78" s="127"/>
      <c r="D78" s="127"/>
      <c r="E78" s="127"/>
      <c r="F78" s="143"/>
      <c r="G78" s="143">
        <f t="shared" ref="G78:P78" si="228">G21/G42</f>
        <v>-31.578947368421051</v>
      </c>
      <c r="H78" s="143">
        <f t="shared" si="228"/>
        <v>-24.705882352941178</v>
      </c>
      <c r="I78" s="143">
        <f t="shared" si="228"/>
        <v>-46.491228070175445</v>
      </c>
      <c r="J78" s="143">
        <f t="shared" si="228"/>
        <v>-3.0434782608695654</v>
      </c>
      <c r="K78" s="143">
        <f t="shared" si="228"/>
        <v>-24.347826086956523</v>
      </c>
      <c r="L78" s="143">
        <f t="shared" si="228"/>
        <v>-12.608695652173914</v>
      </c>
      <c r="M78" s="143">
        <f t="shared" si="228"/>
        <v>-35.15625</v>
      </c>
      <c r="N78" s="143">
        <f t="shared" si="228"/>
        <v>-5.1660516605166054</v>
      </c>
      <c r="O78" s="143">
        <f t="shared" si="228"/>
        <v>-29.343629343629345</v>
      </c>
      <c r="P78" s="143">
        <f t="shared" si="228"/>
        <v>-140.65656565656565</v>
      </c>
      <c r="Q78" s="143">
        <f t="shared" ref="Q78" si="229">Q21/Q42</f>
        <v>-23.114355231143552</v>
      </c>
      <c r="R78" s="118">
        <f>((P78/G78)^(1/($H$2-$H$1) ))-1</f>
        <v>0.180550872870616</v>
      </c>
      <c r="S78" s="128"/>
      <c r="T78" s="145">
        <f t="shared" ref="T78:AC78" si="230">T21/T42</f>
        <v>-25.315722396014362</v>
      </c>
      <c r="U78" s="145">
        <f t="shared" si="230"/>
        <v>-27.726743576587157</v>
      </c>
      <c r="V78" s="145">
        <f t="shared" si="230"/>
        <v>-30.367385821976409</v>
      </c>
      <c r="W78" s="145">
        <f t="shared" si="230"/>
        <v>-33.259517805021773</v>
      </c>
      <c r="X78" s="145">
        <f t="shared" si="230"/>
        <v>-36.427090929309557</v>
      </c>
      <c r="Y78" s="145">
        <f t="shared" si="230"/>
        <v>-39.8963376844819</v>
      </c>
      <c r="Z78" s="145">
        <f t="shared" si="230"/>
        <v>-43.695988892527787</v>
      </c>
      <c r="AA78" s="145">
        <f t="shared" si="230"/>
        <v>-47.857511644197096</v>
      </c>
      <c r="AB78" s="145">
        <f t="shared" si="230"/>
        <v>-52.415369896025389</v>
      </c>
      <c r="AC78" s="145">
        <f t="shared" si="230"/>
        <v>-57.407309886123045</v>
      </c>
      <c r="AD78" s="137">
        <f t="shared" si="221"/>
        <v>3.0335058085090072E-2</v>
      </c>
      <c r="AE78" s="31">
        <f t="shared" si="15"/>
        <v>0.05</v>
      </c>
      <c r="AF78" s="145">
        <f t="shared" si="175"/>
        <v>-463.67442600330151</v>
      </c>
    </row>
    <row r="79" spans="2:32" x14ac:dyDescent="0.2">
      <c r="B79" s="20" t="s">
        <v>288</v>
      </c>
      <c r="C79" s="127"/>
      <c r="D79" s="127"/>
      <c r="E79" s="127"/>
      <c r="F79" s="143"/>
      <c r="G79" s="143">
        <f t="shared" ref="G79:P79" si="231">G22/G42</f>
        <v>23.308270676691727</v>
      </c>
      <c r="H79" s="143">
        <f t="shared" si="231"/>
        <v>18.235294117647058</v>
      </c>
      <c r="I79" s="143">
        <f t="shared" si="231"/>
        <v>64.035087719298247</v>
      </c>
      <c r="J79" s="143">
        <f t="shared" si="231"/>
        <v>-6.0869565217391308</v>
      </c>
      <c r="K79" s="143">
        <f t="shared" si="231"/>
        <v>8.6956521739130448</v>
      </c>
      <c r="L79" s="143">
        <f t="shared" si="231"/>
        <v>10.434782608695652</v>
      </c>
      <c r="M79" s="143">
        <f t="shared" si="231"/>
        <v>25.78125</v>
      </c>
      <c r="N79" s="143">
        <f t="shared" si="231"/>
        <v>0.28044280442804431</v>
      </c>
      <c r="O79" s="143">
        <f t="shared" si="231"/>
        <v>-5.4054054054054053</v>
      </c>
      <c r="P79" s="143">
        <f t="shared" si="231"/>
        <v>114.39393939393939</v>
      </c>
      <c r="Q79" s="143">
        <f t="shared" ref="Q79" si="232">Q22/Q42</f>
        <v>-27.980535279805352</v>
      </c>
      <c r="R79" s="118">
        <f>((P79/G79)^(1/($H$2-$H$1) ))-1</f>
        <v>0.19334463455379081</v>
      </c>
      <c r="S79" s="128"/>
      <c r="T79" s="145">
        <f t="shared" ref="T79:AC79" si="233">T22/T42</f>
        <v>-30.645348163596339</v>
      </c>
      <c r="U79" s="145">
        <f t="shared" si="233"/>
        <v>-33.563952750605509</v>
      </c>
      <c r="V79" s="145">
        <f t="shared" si="233"/>
        <v>-36.760519679234598</v>
      </c>
      <c r="W79" s="145">
        <f t="shared" si="233"/>
        <v>-40.261521553447409</v>
      </c>
      <c r="X79" s="145">
        <f t="shared" si="233"/>
        <v>-44.095952177585254</v>
      </c>
      <c r="Y79" s="145">
        <f t="shared" si="233"/>
        <v>-48.295566670688608</v>
      </c>
      <c r="Z79" s="145">
        <f t="shared" si="233"/>
        <v>-52.895144448849415</v>
      </c>
      <c r="AA79" s="145">
        <f t="shared" si="233"/>
        <v>-57.93277725350174</v>
      </c>
      <c r="AB79" s="145">
        <f t="shared" si="233"/>
        <v>-63.450184610978084</v>
      </c>
      <c r="AC79" s="145">
        <f t="shared" si="233"/>
        <v>-69.493059335833138</v>
      </c>
      <c r="AD79" s="137" t="e">
        <f t="shared" si="221"/>
        <v>#NUM!</v>
      </c>
      <c r="AE79" s="31">
        <f t="shared" si="15"/>
        <v>0.05</v>
      </c>
      <c r="AF79" s="145">
        <f t="shared" si="175"/>
        <v>-561.29009463557543</v>
      </c>
    </row>
    <row r="80" spans="2:32" x14ac:dyDescent="0.2">
      <c r="B80" s="20" t="s">
        <v>295</v>
      </c>
      <c r="C80" s="127"/>
      <c r="D80" s="127"/>
      <c r="E80" s="127"/>
      <c r="F80" s="143"/>
      <c r="G80" s="143">
        <f t="shared" ref="G80:P80" si="234">G23/G42</f>
        <v>7.518796992481203</v>
      </c>
      <c r="H80" s="143">
        <f t="shared" si="234"/>
        <v>5.882352941176471</v>
      </c>
      <c r="I80" s="143">
        <f t="shared" si="234"/>
        <v>27.631578947368425</v>
      </c>
      <c r="J80" s="143">
        <f t="shared" si="234"/>
        <v>2.6086956521739131</v>
      </c>
      <c r="K80" s="143">
        <f t="shared" si="234"/>
        <v>3.9130434782608701</v>
      </c>
      <c r="L80" s="143">
        <f t="shared" si="234"/>
        <v>0.43478260869565222</v>
      </c>
      <c r="M80" s="143">
        <f t="shared" si="234"/>
        <v>1.5625</v>
      </c>
      <c r="N80" s="143">
        <f t="shared" si="234"/>
        <v>11.07011070110701</v>
      </c>
      <c r="O80" s="143">
        <f t="shared" si="234"/>
        <v>4.2471042471042475</v>
      </c>
      <c r="P80" s="143">
        <f t="shared" si="234"/>
        <v>5.0505050505050502</v>
      </c>
      <c r="Q80" s="143">
        <f t="shared" ref="Q80" si="235">Q23/Q42</f>
        <v>3.16301703163017</v>
      </c>
      <c r="R80" s="118">
        <f>((P80/G80)^(1/($H$2-$H$1) ))-1</f>
        <v>-4.3249947951294665E-2</v>
      </c>
      <c r="S80" s="128"/>
      <c r="T80" s="145">
        <f t="shared" ref="T80:AC80" si="236">T23/T42</f>
        <v>3.4642567489282814</v>
      </c>
      <c r="U80" s="145">
        <f t="shared" si="236"/>
        <v>3.7941859631119277</v>
      </c>
      <c r="V80" s="145">
        <f t="shared" si="236"/>
        <v>4.1555370072178253</v>
      </c>
      <c r="W80" s="145">
        <f t="shared" si="236"/>
        <v>4.5513024364766643</v>
      </c>
      <c r="X80" s="145">
        <f t="shared" si="236"/>
        <v>4.9847598113792033</v>
      </c>
      <c r="Y80" s="145">
        <f t="shared" si="236"/>
        <v>5.4594988410343657</v>
      </c>
      <c r="Z80" s="145">
        <f t="shared" si="236"/>
        <v>5.9794511116090652</v>
      </c>
      <c r="AA80" s="145">
        <f t="shared" si="236"/>
        <v>6.5489226460480232</v>
      </c>
      <c r="AB80" s="145">
        <f t="shared" si="236"/>
        <v>7.1726295647192631</v>
      </c>
      <c r="AC80" s="145">
        <f t="shared" si="236"/>
        <v>7.8557371423115736</v>
      </c>
      <c r="AD80" s="137">
        <f t="shared" ref="AD80" si="237">((AC80/G80)^(1/($AC$3-$H$1) ))-1</f>
        <v>2.1943019770565009E-3</v>
      </c>
      <c r="AE80" s="31">
        <f t="shared" si="15"/>
        <v>0.05</v>
      </c>
      <c r="AF80" s="145">
        <f t="shared" si="175"/>
        <v>63.450184610978098</v>
      </c>
    </row>
    <row r="81" spans="2:32" x14ac:dyDescent="0.2">
      <c r="B81" s="20"/>
      <c r="C81" s="127"/>
      <c r="D81" s="127"/>
      <c r="E81" s="127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28"/>
      <c r="S81" s="128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38"/>
      <c r="AE81" s="136"/>
      <c r="AF81" s="153"/>
    </row>
    <row r="82" spans="2:32" x14ac:dyDescent="0.2">
      <c r="B82" s="20" t="s">
        <v>310</v>
      </c>
      <c r="C82" s="143"/>
      <c r="D82" s="143"/>
      <c r="E82" s="143"/>
      <c r="F82" s="143"/>
      <c r="G82" s="143">
        <f t="shared" ref="G82:P82" si="238">G36/G42</f>
        <v>5.2631578947368416</v>
      </c>
      <c r="H82" s="143">
        <f t="shared" si="238"/>
        <v>7.0588235294117645</v>
      </c>
      <c r="I82" s="143">
        <f t="shared" si="238"/>
        <v>7.4561403508771935</v>
      </c>
      <c r="J82" s="143">
        <f t="shared" si="238"/>
        <v>13.043478260869566</v>
      </c>
      <c r="K82" s="143">
        <f t="shared" si="238"/>
        <v>23.043478260869566</v>
      </c>
      <c r="L82" s="143">
        <f t="shared" si="238"/>
        <v>22.173913043478262</v>
      </c>
      <c r="M82" s="143">
        <f t="shared" si="238"/>
        <v>14.84375</v>
      </c>
      <c r="N82" s="143">
        <f t="shared" si="238"/>
        <v>32.841328413284131</v>
      </c>
      <c r="O82" s="143">
        <f t="shared" si="238"/>
        <v>28.957528957528957</v>
      </c>
      <c r="P82" s="143">
        <f t="shared" si="238"/>
        <v>29.545454545454547</v>
      </c>
      <c r="Q82" s="143">
        <f t="shared" ref="Q82" si="239">Q36/Q42</f>
        <v>51.581508515815081</v>
      </c>
      <c r="R82" s="118">
        <f>((P82/G82)^(1/($H$2-$H$1) ))-1</f>
        <v>0.21129343683693147</v>
      </c>
      <c r="S82" s="128"/>
      <c r="T82" s="143">
        <f t="shared" ref="T82:AC82" si="240">T36/T42</f>
        <v>56.494033136368898</v>
      </c>
      <c r="U82" s="143">
        <f t="shared" si="240"/>
        <v>61.874417244594504</v>
      </c>
      <c r="V82" s="143">
        <f t="shared" si="240"/>
        <v>67.767218886936831</v>
      </c>
      <c r="W82" s="143">
        <f t="shared" si="240"/>
        <v>74.221239733311748</v>
      </c>
      <c r="X82" s="143">
        <f t="shared" si="240"/>
        <v>81.289929231722382</v>
      </c>
      <c r="Y82" s="143">
        <f t="shared" si="240"/>
        <v>89.031827253791164</v>
      </c>
      <c r="Z82" s="143">
        <f t="shared" si="240"/>
        <v>97.51104889700936</v>
      </c>
      <c r="AA82" s="143">
        <f t="shared" si="240"/>
        <v>106.79781545862927</v>
      </c>
      <c r="AB82" s="143">
        <f t="shared" si="240"/>
        <v>116.96903597849872</v>
      </c>
      <c r="AC82" s="143">
        <f t="shared" si="240"/>
        <v>128.10894416692716</v>
      </c>
      <c r="AD82" s="137">
        <f t="shared" ref="AD82:AD84" si="241">((AC82/G82)^(1/($AC$3-$H$1) ))-1</f>
        <v>0.17305034788109275</v>
      </c>
      <c r="AE82" s="31">
        <f t="shared" si="15"/>
        <v>0.05</v>
      </c>
      <c r="AF82" s="145">
        <f t="shared" si="175"/>
        <v>1034.7260875021041</v>
      </c>
    </row>
    <row r="83" spans="2:32" x14ac:dyDescent="0.2">
      <c r="B83" s="20" t="s">
        <v>311</v>
      </c>
      <c r="C83" s="143"/>
      <c r="D83" s="143"/>
      <c r="E83" s="143"/>
      <c r="F83" s="143"/>
      <c r="G83" s="143">
        <f t="shared" ref="G83:P83" si="242">G40/G42</f>
        <v>1.5037593984962405</v>
      </c>
      <c r="H83" s="143">
        <f t="shared" si="242"/>
        <v>2.3529411764705883</v>
      </c>
      <c r="I83" s="143">
        <f t="shared" si="242"/>
        <v>2.192982456140351</v>
      </c>
      <c r="J83" s="143">
        <f t="shared" si="242"/>
        <v>4.3478260869565224</v>
      </c>
      <c r="K83" s="143">
        <f t="shared" si="242"/>
        <v>9.5652173913043494</v>
      </c>
      <c r="L83" s="143">
        <f t="shared" si="242"/>
        <v>3.4782608695652177</v>
      </c>
      <c r="M83" s="143">
        <f t="shared" si="242"/>
        <v>0.3125</v>
      </c>
      <c r="N83" s="143">
        <f t="shared" si="242"/>
        <v>0.11808118081180813</v>
      </c>
      <c r="O83" s="143">
        <f t="shared" si="242"/>
        <v>10.03861003861004</v>
      </c>
      <c r="P83" s="143">
        <f t="shared" si="242"/>
        <v>11.111111111111111</v>
      </c>
      <c r="Q83" s="143">
        <f t="shared" ref="Q83" si="243">Q40/Q42</f>
        <v>12.1654501216545</v>
      </c>
      <c r="R83" s="118">
        <f>((P83/G83)^(1/($H$2-$H$1) ))-1</f>
        <v>0.24884572888970835</v>
      </c>
      <c r="S83" s="128"/>
      <c r="T83" s="143">
        <f t="shared" ref="T83:AC83" si="244">T40/T42</f>
        <v>13.324064418954928</v>
      </c>
      <c r="U83" s="143">
        <f t="shared" si="244"/>
        <v>14.593022935045873</v>
      </c>
      <c r="V83" s="143">
        <f t="shared" si="244"/>
        <v>15.982834643145477</v>
      </c>
      <c r="W83" s="143">
        <f t="shared" si="244"/>
        <v>17.505009371064091</v>
      </c>
      <c r="X83" s="143">
        <f t="shared" si="244"/>
        <v>19.172153120689238</v>
      </c>
      <c r="Y83" s="143">
        <f t="shared" si="244"/>
        <v>20.998072465516785</v>
      </c>
      <c r="Z83" s="143">
        <f t="shared" si="244"/>
        <v>22.997888890804091</v>
      </c>
      <c r="AA83" s="143">
        <f t="shared" si="244"/>
        <v>25.188164023261621</v>
      </c>
      <c r="AB83" s="143">
        <f t="shared" si="244"/>
        <v>27.587036787381777</v>
      </c>
      <c r="AC83" s="143">
        <f t="shared" si="244"/>
        <v>30.214373624275275</v>
      </c>
      <c r="AD83" s="137">
        <f t="shared" si="241"/>
        <v>0.16185454715874581</v>
      </c>
      <c r="AE83" s="31">
        <f t="shared" si="15"/>
        <v>0.05</v>
      </c>
      <c r="AF83" s="145">
        <f t="shared" si="175"/>
        <v>244.03917158068489</v>
      </c>
    </row>
    <row r="84" spans="2:32" x14ac:dyDescent="0.2">
      <c r="B84" s="20" t="s">
        <v>312</v>
      </c>
      <c r="C84" s="143"/>
      <c r="D84" s="143"/>
      <c r="E84" s="143"/>
      <c r="F84" s="143"/>
      <c r="G84" s="143">
        <f t="shared" ref="G84:P84" si="245">G6/G42</f>
        <v>13.533834586466165</v>
      </c>
      <c r="H84" s="143">
        <f t="shared" si="245"/>
        <v>21.176470588235293</v>
      </c>
      <c r="I84" s="143">
        <f t="shared" si="245"/>
        <v>65.789473684210535</v>
      </c>
      <c r="J84" s="143">
        <f t="shared" si="245"/>
        <v>68.260869565217391</v>
      </c>
      <c r="K84" s="143">
        <f t="shared" si="245"/>
        <v>76.08695652173914</v>
      </c>
      <c r="L84" s="143">
        <f t="shared" si="245"/>
        <v>106.95652173913044</v>
      </c>
      <c r="M84" s="143">
        <f t="shared" si="245"/>
        <v>110.546875</v>
      </c>
      <c r="N84" s="143">
        <f t="shared" si="245"/>
        <v>116.23616236162361</v>
      </c>
      <c r="O84" s="143">
        <f t="shared" si="245"/>
        <v>97.683397683397686</v>
      </c>
      <c r="P84" s="143">
        <f t="shared" si="245"/>
        <v>152.27272727272728</v>
      </c>
      <c r="Q84" s="143">
        <f t="shared" ref="Q84" si="246">Q6/Q42</f>
        <v>87.104622871046217</v>
      </c>
      <c r="R84" s="118">
        <f>((P84/G84)^(1/($H$2-$H$1) ))-1</f>
        <v>0.30857958377708439</v>
      </c>
      <c r="S84" s="128"/>
      <c r="T84" s="143">
        <f t="shared" ref="T84:AC84" si="247">T6/T42</f>
        <v>95.400301239717294</v>
      </c>
      <c r="U84" s="143">
        <f t="shared" si="247"/>
        <v>104.48604421492846</v>
      </c>
      <c r="V84" s="143">
        <f t="shared" si="247"/>
        <v>114.43709604492163</v>
      </c>
      <c r="W84" s="143">
        <f t="shared" si="247"/>
        <v>125.3358670968189</v>
      </c>
      <c r="X84" s="143">
        <f t="shared" si="247"/>
        <v>137.27261634413495</v>
      </c>
      <c r="Y84" s="143">
        <f t="shared" si="247"/>
        <v>150.34619885310019</v>
      </c>
      <c r="Z84" s="143">
        <f t="shared" si="247"/>
        <v>164.66488445815733</v>
      </c>
      <c r="AA84" s="143">
        <f t="shared" si="247"/>
        <v>180.34725440655325</v>
      </c>
      <c r="AB84" s="143">
        <f t="shared" si="247"/>
        <v>197.52318339765355</v>
      </c>
      <c r="AC84" s="143">
        <f t="shared" si="247"/>
        <v>216.33491514981102</v>
      </c>
      <c r="AD84" s="137">
        <f t="shared" si="241"/>
        <v>0.14864357499632219</v>
      </c>
      <c r="AE84" s="31">
        <f t="shared" ref="AE84" si="248">$L$1</f>
        <v>0.05</v>
      </c>
      <c r="AF84" s="145">
        <f t="shared" si="175"/>
        <v>1747.3204685177045</v>
      </c>
    </row>
    <row r="85" spans="2:32" x14ac:dyDescent="0.2">
      <c r="B85" s="20"/>
      <c r="C85" s="127"/>
      <c r="D85" s="127"/>
      <c r="E85" s="127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28"/>
      <c r="S85" s="128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38"/>
      <c r="AE85" s="20"/>
      <c r="AF85" s="153"/>
    </row>
    <row r="86" spans="2:32" x14ac:dyDescent="0.2">
      <c r="B86" s="20"/>
      <c r="C86" s="127"/>
      <c r="D86" s="127"/>
      <c r="E86" s="127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28"/>
      <c r="S86" s="128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38"/>
      <c r="AE86" s="20"/>
      <c r="AF86" s="153"/>
    </row>
    <row r="87" spans="2:32" x14ac:dyDescent="0.2">
      <c r="B87" s="108" t="s">
        <v>309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</row>
    <row r="88" spans="2:32" x14ac:dyDescent="0.2">
      <c r="B88" s="20" t="s">
        <v>308</v>
      </c>
      <c r="C88" s="151"/>
      <c r="D88" s="151"/>
      <c r="E88" s="151"/>
      <c r="F88" s="151"/>
      <c r="G88" s="151">
        <f t="shared" ref="G88:P88" si="249">G36/G25</f>
        <v>0.14000000000000001</v>
      </c>
      <c r="H88" s="151">
        <f t="shared" si="249"/>
        <v>0.13636363636363635</v>
      </c>
      <c r="I88" s="151">
        <f t="shared" si="249"/>
        <v>0.12781954887218044</v>
      </c>
      <c r="J88" s="151">
        <f t="shared" si="249"/>
        <v>0.14150943396226415</v>
      </c>
      <c r="K88" s="151">
        <f t="shared" si="249"/>
        <v>0.17434210526315788</v>
      </c>
      <c r="L88" s="151">
        <f t="shared" si="249"/>
        <v>0.12878787878787878</v>
      </c>
      <c r="M88" s="151">
        <f t="shared" si="249"/>
        <v>0.11143695014662756</v>
      </c>
      <c r="N88" s="151">
        <f t="shared" si="249"/>
        <v>0.18976545842217485</v>
      </c>
      <c r="O88" s="151">
        <f t="shared" si="249"/>
        <v>0.14423076923076922</v>
      </c>
      <c r="P88" s="151">
        <f t="shared" si="249"/>
        <v>0.14391143911439114</v>
      </c>
      <c r="Q88" s="151">
        <f t="shared" ref="Q88" si="250">Q36/Q25</f>
        <v>0.15565345080763582</v>
      </c>
      <c r="R88" s="118">
        <f t="shared" ref="R88:R141" si="251">((P88/G88)^(1/($H$2-$H$1) ))-1</f>
        <v>3.066434323062639E-3</v>
      </c>
      <c r="S88" s="151"/>
      <c r="T88" s="151">
        <f t="shared" ref="T88:AC88" si="252">T36/T25</f>
        <v>0.15565345080763582</v>
      </c>
      <c r="U88" s="151">
        <f t="shared" si="252"/>
        <v>0.15565345080763582</v>
      </c>
      <c r="V88" s="151">
        <f t="shared" si="252"/>
        <v>0.15565345080763582</v>
      </c>
      <c r="W88" s="151">
        <f t="shared" si="252"/>
        <v>0.15565345080763582</v>
      </c>
      <c r="X88" s="151">
        <f t="shared" si="252"/>
        <v>0.15565345080763582</v>
      </c>
      <c r="Y88" s="151">
        <f t="shared" si="252"/>
        <v>0.15565345080763582</v>
      </c>
      <c r="Z88" s="151">
        <f t="shared" si="252"/>
        <v>0.15565345080763582</v>
      </c>
      <c r="AA88" s="151">
        <f t="shared" si="252"/>
        <v>0.15565345080763582</v>
      </c>
      <c r="AB88" s="151">
        <f t="shared" si="252"/>
        <v>0.15565345080763585</v>
      </c>
      <c r="AC88" s="151">
        <f t="shared" si="252"/>
        <v>0.15565345080763585</v>
      </c>
      <c r="AD88" s="137">
        <f t="shared" ref="AD88:AD128" si="253">((AC88/G88)^(1/($AC$3-$H$1) ))-1</f>
        <v>5.3135493111131638E-3</v>
      </c>
      <c r="AE88" s="145"/>
      <c r="AF88" s="145"/>
    </row>
    <row r="89" spans="2:32" x14ac:dyDescent="0.2">
      <c r="B89" s="20" t="s">
        <v>266</v>
      </c>
      <c r="C89" s="151"/>
      <c r="D89" s="151"/>
      <c r="E89" s="151"/>
      <c r="F89" s="151"/>
      <c r="G89" s="151">
        <f t="shared" ref="G89:P89" si="254">G40/G25</f>
        <v>0.04</v>
      </c>
      <c r="H89" s="151">
        <f t="shared" si="254"/>
        <v>4.5454545454545456E-2</v>
      </c>
      <c r="I89" s="151">
        <f t="shared" si="254"/>
        <v>3.7593984962406013E-2</v>
      </c>
      <c r="J89" s="151">
        <f t="shared" si="254"/>
        <v>4.716981132075472E-2</v>
      </c>
      <c r="K89" s="151">
        <f t="shared" si="254"/>
        <v>7.2368421052631582E-2</v>
      </c>
      <c r="L89" s="151">
        <f t="shared" si="254"/>
        <v>2.0202020202020204E-2</v>
      </c>
      <c r="M89" s="151">
        <f t="shared" si="254"/>
        <v>2.3460410557184751E-3</v>
      </c>
      <c r="N89" s="151">
        <f t="shared" si="254"/>
        <v>6.8230277185501065E-4</v>
      </c>
      <c r="O89" s="151">
        <f t="shared" si="254"/>
        <v>0.05</v>
      </c>
      <c r="P89" s="151">
        <f t="shared" si="254"/>
        <v>5.4120541205412057E-2</v>
      </c>
      <c r="Q89" s="151">
        <f t="shared" ref="Q89" si="255">Q40/Q25</f>
        <v>3.6710719530102791E-2</v>
      </c>
      <c r="R89" s="118">
        <f t="shared" si="251"/>
        <v>3.416331187933741E-2</v>
      </c>
      <c r="S89" s="151"/>
      <c r="T89" s="151">
        <f t="shared" ref="T89:AC89" si="256">T40/T25</f>
        <v>3.6710719530102784E-2</v>
      </c>
      <c r="U89" s="151">
        <f t="shared" si="256"/>
        <v>3.6710719530102784E-2</v>
      </c>
      <c r="V89" s="151">
        <f t="shared" si="256"/>
        <v>3.6710719530102784E-2</v>
      </c>
      <c r="W89" s="151">
        <f t="shared" si="256"/>
        <v>3.6710719530102784E-2</v>
      </c>
      <c r="X89" s="151">
        <f t="shared" si="256"/>
        <v>3.6710719530102784E-2</v>
      </c>
      <c r="Y89" s="151">
        <f t="shared" si="256"/>
        <v>3.6710719530102784E-2</v>
      </c>
      <c r="Z89" s="151">
        <f t="shared" si="256"/>
        <v>3.6710719530102784E-2</v>
      </c>
      <c r="AA89" s="151">
        <f t="shared" si="256"/>
        <v>3.6710719530102784E-2</v>
      </c>
      <c r="AB89" s="151">
        <f t="shared" si="256"/>
        <v>3.6710719530102791E-2</v>
      </c>
      <c r="AC89" s="151">
        <f t="shared" si="256"/>
        <v>3.6710719530102791E-2</v>
      </c>
      <c r="AD89" s="137">
        <f t="shared" si="253"/>
        <v>-4.2813416344402722E-3</v>
      </c>
      <c r="AE89" s="145"/>
      <c r="AF89" s="145"/>
    </row>
    <row r="90" spans="2:32" x14ac:dyDescent="0.2">
      <c r="B90" s="20" t="s">
        <v>357</v>
      </c>
      <c r="C90" s="151"/>
      <c r="D90" s="151"/>
      <c r="E90" s="151"/>
      <c r="F90" s="151"/>
      <c r="G90" s="151">
        <f>G40/G7</f>
        <v>6.4516129032258063E-2</v>
      </c>
      <c r="H90" s="151">
        <f t="shared" ref="H90:O90" si="257">H40/H7</f>
        <v>7.5471698113207544E-2</v>
      </c>
      <c r="I90" s="151">
        <f t="shared" si="257"/>
        <v>2.5906735751295335E-2</v>
      </c>
      <c r="J90" s="151">
        <f t="shared" si="257"/>
        <v>0.05</v>
      </c>
      <c r="K90" s="151">
        <f t="shared" si="257"/>
        <v>0.10426540284360189</v>
      </c>
      <c r="L90" s="151">
        <f t="shared" si="257"/>
        <v>2.9739776951672861E-2</v>
      </c>
      <c r="M90" s="151">
        <f t="shared" si="257"/>
        <v>2.5889967637540453E-3</v>
      </c>
      <c r="N90" s="151">
        <f t="shared" si="257"/>
        <v>9.3841642228739003E-4</v>
      </c>
      <c r="O90" s="151">
        <f t="shared" si="257"/>
        <v>9.187279151943463E-2</v>
      </c>
      <c r="P90" s="151">
        <f t="shared" ref="P90:Q90" si="258">P40/P7</f>
        <v>6.8535825545171333E-2</v>
      </c>
      <c r="Q90" s="151">
        <f t="shared" si="258"/>
        <v>0.12531328320802004</v>
      </c>
      <c r="R90" s="118">
        <f t="shared" si="251"/>
        <v>6.7383069360917869E-3</v>
      </c>
      <c r="S90" s="20"/>
      <c r="T90" s="151">
        <f t="shared" ref="T90" si="259">T40/T7</f>
        <v>0.12531328320802004</v>
      </c>
      <c r="U90" s="151">
        <f t="shared" ref="U90:AC90" si="260">U40/U7</f>
        <v>0.12531328320802004</v>
      </c>
      <c r="V90" s="151">
        <f t="shared" si="260"/>
        <v>0.12531328320802004</v>
      </c>
      <c r="W90" s="151">
        <f t="shared" si="260"/>
        <v>0.12531328320802004</v>
      </c>
      <c r="X90" s="151">
        <f t="shared" si="260"/>
        <v>0.12531328320802004</v>
      </c>
      <c r="Y90" s="151">
        <f t="shared" si="260"/>
        <v>0.12531328320802004</v>
      </c>
      <c r="Z90" s="151">
        <f t="shared" si="260"/>
        <v>0.12531328320802002</v>
      </c>
      <c r="AA90" s="151">
        <f t="shared" si="260"/>
        <v>0.12531328320802002</v>
      </c>
      <c r="AB90" s="151">
        <f t="shared" si="260"/>
        <v>0.12531328320802004</v>
      </c>
      <c r="AC90" s="151">
        <f t="shared" si="260"/>
        <v>0.12531328320802004</v>
      </c>
      <c r="AD90" s="137">
        <f t="shared" si="253"/>
        <v>3.3752184592493517E-2</v>
      </c>
      <c r="AE90" s="145"/>
      <c r="AF90" s="145"/>
    </row>
    <row r="91" spans="2:32" x14ac:dyDescent="0.2">
      <c r="B91" s="20" t="s">
        <v>358</v>
      </c>
      <c r="C91" s="151"/>
      <c r="D91" s="151"/>
      <c r="E91" s="151"/>
      <c r="F91" s="151"/>
      <c r="G91" s="151">
        <f>(G40)/(G7+G10)</f>
        <v>3.2786885245901641E-2</v>
      </c>
      <c r="H91" s="151">
        <f t="shared" ref="H91:O91" si="261">(H40)/(H7+H10)</f>
        <v>4.0404040404040407E-2</v>
      </c>
      <c r="I91" s="151">
        <f t="shared" si="261"/>
        <v>1.9607843137254902E-2</v>
      </c>
      <c r="J91" s="151">
        <f t="shared" si="261"/>
        <v>3.5087719298245612E-2</v>
      </c>
      <c r="K91" s="151">
        <f t="shared" si="261"/>
        <v>6.358381502890173E-2</v>
      </c>
      <c r="L91" s="151">
        <f t="shared" si="261"/>
        <v>1.9370460048426151E-2</v>
      </c>
      <c r="M91" s="151">
        <f t="shared" si="261"/>
        <v>1.6359918200408998E-3</v>
      </c>
      <c r="N91" s="151">
        <f t="shared" si="261"/>
        <v>6.7653276955602544E-4</v>
      </c>
      <c r="O91" s="151">
        <f t="shared" si="261"/>
        <v>5.689277899343545E-2</v>
      </c>
      <c r="P91" s="151">
        <f t="shared" ref="P91:Q91" si="262">(P40)/(P7+P10)</f>
        <v>3.5398230088495575E-2</v>
      </c>
      <c r="Q91" s="151">
        <f t="shared" si="262"/>
        <v>5.4945054945054944E-2</v>
      </c>
      <c r="R91" s="118">
        <f t="shared" si="251"/>
        <v>8.551156934599069E-3</v>
      </c>
      <c r="S91" s="20"/>
      <c r="T91" s="151">
        <f t="shared" ref="T91:AC91" si="263">(T40)/(T7+T10)</f>
        <v>5.4945054945054937E-2</v>
      </c>
      <c r="U91" s="151">
        <f t="shared" si="263"/>
        <v>5.4945054945054937E-2</v>
      </c>
      <c r="V91" s="151">
        <f t="shared" si="263"/>
        <v>5.4945054945054937E-2</v>
      </c>
      <c r="W91" s="151">
        <f t="shared" si="263"/>
        <v>5.4945054945054944E-2</v>
      </c>
      <c r="X91" s="151">
        <f t="shared" si="263"/>
        <v>5.4945054945054944E-2</v>
      </c>
      <c r="Y91" s="151">
        <f t="shared" si="263"/>
        <v>5.4945054945054937E-2</v>
      </c>
      <c r="Z91" s="151">
        <f t="shared" si="263"/>
        <v>5.4945054945054937E-2</v>
      </c>
      <c r="AA91" s="151">
        <f t="shared" si="263"/>
        <v>5.494505494505493E-2</v>
      </c>
      <c r="AB91" s="151">
        <f t="shared" si="263"/>
        <v>5.4945054945054937E-2</v>
      </c>
      <c r="AC91" s="151">
        <f t="shared" si="263"/>
        <v>5.4945054945054937E-2</v>
      </c>
      <c r="AD91" s="137">
        <f t="shared" si="253"/>
        <v>2.6151354091554335E-2</v>
      </c>
      <c r="AE91" s="145"/>
      <c r="AF91" s="145"/>
    </row>
    <row r="92" spans="2:32" x14ac:dyDescent="0.2">
      <c r="B92" s="20" t="s">
        <v>374</v>
      </c>
      <c r="C92" s="151"/>
      <c r="D92" s="151"/>
      <c r="E92" s="151"/>
      <c r="F92" s="151"/>
      <c r="G92" s="151">
        <f>G20/G25</f>
        <v>0.36</v>
      </c>
      <c r="H92" s="151">
        <f t="shared" ref="H92:P92" si="264">H20/H25</f>
        <v>0.20454545454545456</v>
      </c>
      <c r="I92" s="151">
        <f t="shared" si="264"/>
        <v>9.7744360902255634E-2</v>
      </c>
      <c r="J92" s="151">
        <f t="shared" si="264"/>
        <v>5.6603773584905662E-2</v>
      </c>
      <c r="K92" s="151">
        <f t="shared" si="264"/>
        <v>0.13157894736842105</v>
      </c>
      <c r="L92" s="151">
        <f t="shared" si="264"/>
        <v>0.11363636363636363</v>
      </c>
      <c r="M92" s="151">
        <f t="shared" si="264"/>
        <v>7.6246334310850442E-2</v>
      </c>
      <c r="N92" s="151">
        <f t="shared" si="264"/>
        <v>8.3155650319829424E-2</v>
      </c>
      <c r="O92" s="151">
        <f t="shared" si="264"/>
        <v>5.9615384615384619E-2</v>
      </c>
      <c r="P92" s="151">
        <f t="shared" si="264"/>
        <v>0.13776137761377613</v>
      </c>
      <c r="Q92" s="151">
        <f t="shared" ref="Q92" si="265">Q20/Q25</f>
        <v>0.14537444933920704</v>
      </c>
      <c r="R92" s="118">
        <f t="shared" si="251"/>
        <v>-0.10123278989105</v>
      </c>
      <c r="S92" s="20"/>
      <c r="T92" s="151">
        <f t="shared" ref="T92:AC92" si="266">T20/T25</f>
        <v>0.14537444933920704</v>
      </c>
      <c r="U92" s="151">
        <f t="shared" si="266"/>
        <v>0.14537444933920704</v>
      </c>
      <c r="V92" s="151">
        <f t="shared" si="266"/>
        <v>0.14537444933920704</v>
      </c>
      <c r="W92" s="151">
        <f t="shared" si="266"/>
        <v>0.14537444933920701</v>
      </c>
      <c r="X92" s="151">
        <f t="shared" si="266"/>
        <v>0.14537444933920701</v>
      </c>
      <c r="Y92" s="151">
        <f t="shared" si="266"/>
        <v>0.14537444933920701</v>
      </c>
      <c r="Z92" s="151">
        <f t="shared" si="266"/>
        <v>0.14537444933920701</v>
      </c>
      <c r="AA92" s="151">
        <f t="shared" si="266"/>
        <v>0.14537444933920701</v>
      </c>
      <c r="AB92" s="151">
        <f t="shared" si="266"/>
        <v>0.14537444933920701</v>
      </c>
      <c r="AC92" s="151">
        <f t="shared" si="266"/>
        <v>0.14537444933920704</v>
      </c>
      <c r="AD92" s="137">
        <f t="shared" si="253"/>
        <v>-4.4327081969685045E-2</v>
      </c>
      <c r="AE92" s="145"/>
      <c r="AF92" s="145"/>
    </row>
    <row r="93" spans="2:32" x14ac:dyDescent="0.2">
      <c r="B93" s="20" t="s">
        <v>427</v>
      </c>
      <c r="C93" s="151"/>
      <c r="D93" s="151"/>
      <c r="E93" s="151"/>
      <c r="F93" s="151"/>
      <c r="G93" s="151">
        <f>G52/G25</f>
        <v>0.02</v>
      </c>
      <c r="H93" s="151">
        <f t="shared" ref="H93:P93" si="267">H52/H25</f>
        <v>1.1363636363636364E-2</v>
      </c>
      <c r="I93" s="151">
        <f t="shared" si="267"/>
        <v>3.007518796992481E-2</v>
      </c>
      <c r="J93" s="151">
        <f t="shared" si="267"/>
        <v>2.358490566037736E-2</v>
      </c>
      <c r="K93" s="151">
        <f t="shared" si="267"/>
        <v>3.6184210526315791E-2</v>
      </c>
      <c r="L93" s="151">
        <f t="shared" si="267"/>
        <v>5.0505050505050509E-3</v>
      </c>
      <c r="M93" s="151">
        <f t="shared" si="267"/>
        <v>-4.9560117302052788E-3</v>
      </c>
      <c r="N93" s="151">
        <f t="shared" si="267"/>
        <v>3.3432835820895519E-2</v>
      </c>
      <c r="O93" s="151">
        <f t="shared" si="267"/>
        <v>9.6153846153846159E-3</v>
      </c>
      <c r="P93" s="151">
        <f t="shared" si="267"/>
        <v>-1.4760147601476014E-2</v>
      </c>
      <c r="Q93" s="151">
        <f t="shared" ref="Q93" si="268">Q52/Q25</f>
        <v>1.4684287812041115E-3</v>
      </c>
      <c r="R93" s="118">
        <f t="shared" si="251"/>
        <v>-1.966807650323354</v>
      </c>
      <c r="S93" s="20"/>
      <c r="T93" s="151">
        <f t="shared" ref="T93:AC93" si="269">T52/T25</f>
        <v>1.4684287812041143E-3</v>
      </c>
      <c r="U93" s="151">
        <f t="shared" si="269"/>
        <v>1.4684287812041174E-3</v>
      </c>
      <c r="V93" s="151">
        <f t="shared" si="269"/>
        <v>1.4684287812041224E-3</v>
      </c>
      <c r="W93" s="151">
        <f t="shared" si="269"/>
        <v>1.4684287812041185E-3</v>
      </c>
      <c r="X93" s="151">
        <f t="shared" si="269"/>
        <v>1.4684287812041198E-3</v>
      </c>
      <c r="Y93" s="151">
        <f t="shared" si="269"/>
        <v>1.4684287812041234E-3</v>
      </c>
      <c r="Z93" s="151">
        <f t="shared" si="269"/>
        <v>1.4684287812041215E-3</v>
      </c>
      <c r="AA93" s="151">
        <f t="shared" si="269"/>
        <v>1.4684287812041213E-3</v>
      </c>
      <c r="AB93" s="151">
        <f t="shared" si="269"/>
        <v>1.4684287812041174E-3</v>
      </c>
      <c r="AC93" s="151">
        <f t="shared" si="269"/>
        <v>1.4684287812041204E-3</v>
      </c>
      <c r="AD93" s="137">
        <f t="shared" si="253"/>
        <v>-0.12241105331551294</v>
      </c>
      <c r="AE93" s="145"/>
      <c r="AF93" s="145"/>
    </row>
    <row r="94" spans="2:32" x14ac:dyDescent="0.2">
      <c r="B94" s="20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20"/>
      <c r="T94" s="151"/>
      <c r="U94" s="151"/>
      <c r="V94" s="151"/>
      <c r="W94" s="151"/>
      <c r="X94" s="151"/>
      <c r="Y94" s="151"/>
      <c r="Z94" s="151"/>
      <c r="AA94" s="151"/>
      <c r="AB94" s="151"/>
      <c r="AC94" s="151"/>
      <c r="AD94" s="3"/>
      <c r="AE94" s="145"/>
      <c r="AF94" s="145"/>
    </row>
    <row r="95" spans="2:32" x14ac:dyDescent="0.2">
      <c r="B95" s="20" t="s">
        <v>321</v>
      </c>
      <c r="C95" s="151"/>
      <c r="D95" s="151"/>
      <c r="E95" s="151"/>
      <c r="F95" s="151"/>
      <c r="G95" s="151">
        <f>G29/G25</f>
        <v>0.04</v>
      </c>
      <c r="H95" s="151">
        <f t="shared" ref="H95:P95" si="270">H29/H25</f>
        <v>3.4090909090909088E-2</v>
      </c>
      <c r="I95" s="151">
        <f t="shared" si="270"/>
        <v>2.2556390977443608E-2</v>
      </c>
      <c r="J95" s="151">
        <f t="shared" si="270"/>
        <v>3.3018867924528301E-2</v>
      </c>
      <c r="K95" s="151">
        <f t="shared" si="270"/>
        <v>2.9605263157894735E-2</v>
      </c>
      <c r="L95" s="151">
        <f t="shared" si="270"/>
        <v>3.5353535353535352E-2</v>
      </c>
      <c r="M95" s="151">
        <f t="shared" si="270"/>
        <v>5.2785923753665691E-2</v>
      </c>
      <c r="N95" s="151">
        <f t="shared" si="270"/>
        <v>3.4115138592750532E-2</v>
      </c>
      <c r="O95" s="151">
        <f t="shared" si="270"/>
        <v>3.4615384615384617E-2</v>
      </c>
      <c r="P95" s="151">
        <f t="shared" si="270"/>
        <v>4.5510455104551047E-2</v>
      </c>
      <c r="Q95" s="151">
        <f t="shared" ref="Q95" si="271">Q29/Q25</f>
        <v>5.8737151248164463E-2</v>
      </c>
      <c r="R95" s="118">
        <f t="shared" si="251"/>
        <v>1.4443607249567503E-2</v>
      </c>
      <c r="S95" s="20"/>
      <c r="T95" s="151">
        <f t="shared" ref="T95:AC95" si="272">T29/T25</f>
        <v>5.8737151248164463E-2</v>
      </c>
      <c r="U95" s="151">
        <f t="shared" si="272"/>
        <v>5.8737151248164463E-2</v>
      </c>
      <c r="V95" s="151">
        <f t="shared" si="272"/>
        <v>5.8737151248164463E-2</v>
      </c>
      <c r="W95" s="151">
        <f t="shared" si="272"/>
        <v>5.8737151248164463E-2</v>
      </c>
      <c r="X95" s="151">
        <f t="shared" si="272"/>
        <v>5.8737151248164469E-2</v>
      </c>
      <c r="Y95" s="151">
        <f t="shared" si="272"/>
        <v>5.8737151248164469E-2</v>
      </c>
      <c r="Z95" s="151">
        <f t="shared" si="272"/>
        <v>5.8737151248164476E-2</v>
      </c>
      <c r="AA95" s="151">
        <f t="shared" si="272"/>
        <v>5.8737151248164476E-2</v>
      </c>
      <c r="AB95" s="151">
        <f t="shared" si="272"/>
        <v>5.8737151248164483E-2</v>
      </c>
      <c r="AC95" s="151">
        <f t="shared" si="272"/>
        <v>5.8737151248164483E-2</v>
      </c>
      <c r="AD95" s="137">
        <f t="shared" si="253"/>
        <v>1.9395341064999183E-2</v>
      </c>
      <c r="AE95" s="145"/>
      <c r="AF95" s="145"/>
    </row>
    <row r="96" spans="2:32" x14ac:dyDescent="0.2">
      <c r="B96" s="20" t="s">
        <v>367</v>
      </c>
      <c r="C96" s="151"/>
      <c r="D96" s="151"/>
      <c r="E96" s="151"/>
      <c r="F96" s="151"/>
      <c r="G96" s="151">
        <f>G29/G36</f>
        <v>0.2857142857142857</v>
      </c>
      <c r="H96" s="151">
        <f t="shared" ref="H96:P96" si="273">H29/H36</f>
        <v>0.25</v>
      </c>
      <c r="I96" s="151">
        <f t="shared" si="273"/>
        <v>0.17647058823529413</v>
      </c>
      <c r="J96" s="151">
        <f t="shared" si="273"/>
        <v>0.23333333333333334</v>
      </c>
      <c r="K96" s="151">
        <f t="shared" si="273"/>
        <v>0.16981132075471697</v>
      </c>
      <c r="L96" s="151">
        <f t="shared" si="273"/>
        <v>0.27450980392156865</v>
      </c>
      <c r="M96" s="151">
        <f t="shared" si="273"/>
        <v>0.47368421052631576</v>
      </c>
      <c r="N96" s="151">
        <f t="shared" si="273"/>
        <v>0.1797752808988764</v>
      </c>
      <c r="O96" s="151">
        <f t="shared" si="273"/>
        <v>0.24</v>
      </c>
      <c r="P96" s="151">
        <f t="shared" si="273"/>
        <v>0.31623931623931623</v>
      </c>
      <c r="Q96" s="151">
        <f t="shared" ref="Q96" si="274">Q29/Q36</f>
        <v>0.37735849056603776</v>
      </c>
      <c r="R96" s="118">
        <f t="shared" ref="R96" si="275">((P96/G96)^(1/($H$2-$H$1) ))-1</f>
        <v>1.1342392225678344E-2</v>
      </c>
      <c r="S96" s="20"/>
      <c r="T96" s="151">
        <f t="shared" ref="T96:AC96" si="276">T29/T36</f>
        <v>0.37735849056603776</v>
      </c>
      <c r="U96" s="151">
        <f t="shared" si="276"/>
        <v>0.37735849056603782</v>
      </c>
      <c r="V96" s="151">
        <f t="shared" si="276"/>
        <v>0.37735849056603776</v>
      </c>
      <c r="W96" s="151">
        <f t="shared" si="276"/>
        <v>0.37735849056603776</v>
      </c>
      <c r="X96" s="151">
        <f t="shared" si="276"/>
        <v>0.37735849056603776</v>
      </c>
      <c r="Y96" s="151">
        <f t="shared" si="276"/>
        <v>0.37735849056603782</v>
      </c>
      <c r="Z96" s="151">
        <f t="shared" si="276"/>
        <v>0.37735849056603782</v>
      </c>
      <c r="AA96" s="151">
        <f t="shared" si="276"/>
        <v>0.37735849056603782</v>
      </c>
      <c r="AB96" s="151">
        <f t="shared" si="276"/>
        <v>0.37735849056603782</v>
      </c>
      <c r="AC96" s="151">
        <f t="shared" si="276"/>
        <v>0.37735849056603782</v>
      </c>
      <c r="AD96" s="137">
        <f t="shared" ref="AD96" si="277">((AC96/G96)^(1/($AC$3-$H$1) ))-1</f>
        <v>1.4007362940184676E-2</v>
      </c>
      <c r="AE96" s="145"/>
      <c r="AF96" s="145"/>
    </row>
    <row r="97" spans="2:32" ht="12" customHeight="1" x14ac:dyDescent="0.2">
      <c r="B97" s="20" t="s">
        <v>366</v>
      </c>
      <c r="C97" s="151"/>
      <c r="D97" s="151"/>
      <c r="E97" s="151"/>
      <c r="F97" s="151"/>
      <c r="G97" s="170">
        <f t="shared" ref="G97:P97" si="278">G29/G40</f>
        <v>1</v>
      </c>
      <c r="H97" s="170">
        <f t="shared" si="278"/>
        <v>0.75</v>
      </c>
      <c r="I97" s="170">
        <f t="shared" si="278"/>
        <v>0.6</v>
      </c>
      <c r="J97" s="170">
        <f t="shared" si="278"/>
        <v>0.7</v>
      </c>
      <c r="K97" s="170">
        <f t="shared" si="278"/>
        <v>0.40909090909090912</v>
      </c>
      <c r="L97" s="170">
        <f t="shared" si="278"/>
        <v>1.75</v>
      </c>
      <c r="M97" s="170">
        <f t="shared" si="278"/>
        <v>22.5</v>
      </c>
      <c r="N97" s="170">
        <f t="shared" si="278"/>
        <v>50</v>
      </c>
      <c r="O97" s="170">
        <f t="shared" si="278"/>
        <v>0.69230769230769229</v>
      </c>
      <c r="P97" s="170">
        <f t="shared" si="278"/>
        <v>0.84090909090909094</v>
      </c>
      <c r="Q97" s="170">
        <f t="shared" ref="Q97" si="279">Q29/Q40</f>
        <v>1.6</v>
      </c>
      <c r="R97" s="118">
        <f t="shared" ref="R97" si="280">((P97/G97)^(1/($H$2-$H$1) ))-1</f>
        <v>-1.9068269395415061E-2</v>
      </c>
      <c r="S97" s="20"/>
      <c r="T97" s="170">
        <f t="shared" ref="T97:AC97" si="281">T29/T40</f>
        <v>1.6</v>
      </c>
      <c r="U97" s="170">
        <f t="shared" si="281"/>
        <v>1.6000000000000003</v>
      </c>
      <c r="V97" s="170">
        <f t="shared" si="281"/>
        <v>1.6000000000000003</v>
      </c>
      <c r="W97" s="170">
        <f t="shared" si="281"/>
        <v>1.6000000000000003</v>
      </c>
      <c r="X97" s="170">
        <f t="shared" si="281"/>
        <v>1.6000000000000003</v>
      </c>
      <c r="Y97" s="170">
        <f t="shared" si="281"/>
        <v>1.6000000000000003</v>
      </c>
      <c r="Z97" s="170">
        <f t="shared" si="281"/>
        <v>1.6000000000000005</v>
      </c>
      <c r="AA97" s="170">
        <f t="shared" si="281"/>
        <v>1.6000000000000005</v>
      </c>
      <c r="AB97" s="170">
        <f t="shared" si="281"/>
        <v>1.6000000000000003</v>
      </c>
      <c r="AC97" s="170">
        <f t="shared" si="281"/>
        <v>1.6000000000000005</v>
      </c>
      <c r="AD97" s="137">
        <f t="shared" ref="AD97" si="282">((AC97/G97)^(1/($AC$3-$H$1) ))-1</f>
        <v>2.3778486523797771E-2</v>
      </c>
      <c r="AE97" s="145"/>
      <c r="AF97" s="145"/>
    </row>
    <row r="98" spans="2:32" ht="12" customHeight="1" x14ac:dyDescent="0.2">
      <c r="B98" s="20" t="s">
        <v>323</v>
      </c>
      <c r="C98" s="151"/>
      <c r="D98" s="151"/>
      <c r="E98" s="151"/>
      <c r="F98" s="151"/>
      <c r="G98" s="170">
        <f t="shared" ref="G98:P98" si="283">G29/G12</f>
        <v>0.66666666666666663</v>
      </c>
      <c r="H98" s="170">
        <f t="shared" si="283"/>
        <v>0.3</v>
      </c>
      <c r="I98" s="170">
        <f t="shared" si="283"/>
        <v>4.7619047619047616E-2</v>
      </c>
      <c r="J98" s="170">
        <f t="shared" si="283"/>
        <v>0.7</v>
      </c>
      <c r="K98" s="170">
        <f t="shared" si="283"/>
        <v>0.42857142857142855</v>
      </c>
      <c r="L98" s="170">
        <f t="shared" si="283"/>
        <v>3.5</v>
      </c>
      <c r="M98" s="170">
        <f t="shared" si="283"/>
        <v>0.8571428571428571</v>
      </c>
      <c r="N98" s="170">
        <f t="shared" si="283"/>
        <v>0.20253164556962025</v>
      </c>
      <c r="O98" s="170">
        <f t="shared" si="283"/>
        <v>0.8571428571428571</v>
      </c>
      <c r="P98" s="170">
        <f t="shared" si="283"/>
        <v>1</v>
      </c>
      <c r="Q98" s="170">
        <f t="shared" ref="Q98" si="284">Q29/Q12</f>
        <v>2.9629629629629628</v>
      </c>
      <c r="R98" s="118">
        <f t="shared" si="251"/>
        <v>4.6081918643214648E-2</v>
      </c>
      <c r="S98" s="20"/>
      <c r="T98" s="151">
        <f t="shared" ref="T98:AC98" si="285">T29/T12</f>
        <v>2.9629629629629632</v>
      </c>
      <c r="U98" s="151">
        <f t="shared" si="285"/>
        <v>2.9629629629629632</v>
      </c>
      <c r="V98" s="151">
        <f t="shared" si="285"/>
        <v>2.9629629629629632</v>
      </c>
      <c r="W98" s="151">
        <f t="shared" si="285"/>
        <v>2.9629629629629628</v>
      </c>
      <c r="X98" s="151">
        <f t="shared" si="285"/>
        <v>2.9629629629629632</v>
      </c>
      <c r="Y98" s="151">
        <f t="shared" si="285"/>
        <v>2.9629629629629632</v>
      </c>
      <c r="Z98" s="151">
        <f t="shared" si="285"/>
        <v>2.9629629629629637</v>
      </c>
      <c r="AA98" s="151">
        <f t="shared" si="285"/>
        <v>2.9629629629629632</v>
      </c>
      <c r="AB98" s="151">
        <f t="shared" si="285"/>
        <v>2.9629629629629632</v>
      </c>
      <c r="AC98" s="151">
        <f t="shared" si="285"/>
        <v>2.9629629629629632</v>
      </c>
      <c r="AD98" s="137">
        <f t="shared" si="253"/>
        <v>7.7434490899931152E-2</v>
      </c>
      <c r="AE98" s="145"/>
      <c r="AF98" s="145"/>
    </row>
    <row r="99" spans="2:32" ht="12" customHeight="1" x14ac:dyDescent="0.2">
      <c r="B99" s="20" t="s">
        <v>368</v>
      </c>
      <c r="C99" s="151"/>
      <c r="D99" s="151"/>
      <c r="E99" s="151"/>
      <c r="F99" s="151"/>
      <c r="G99" s="170">
        <f>G29/G23</f>
        <v>0.2</v>
      </c>
      <c r="H99" s="170">
        <f t="shared" ref="H99:P99" si="286">H29/H23</f>
        <v>0.3</v>
      </c>
      <c r="I99" s="170">
        <f t="shared" si="286"/>
        <v>4.7619047619047616E-2</v>
      </c>
      <c r="J99" s="170">
        <f t="shared" si="286"/>
        <v>1.1666666666666667</v>
      </c>
      <c r="K99" s="170">
        <f t="shared" si="286"/>
        <v>1</v>
      </c>
      <c r="L99" s="170">
        <f t="shared" si="286"/>
        <v>14</v>
      </c>
      <c r="M99" s="170">
        <f t="shared" si="286"/>
        <v>4.5</v>
      </c>
      <c r="N99" s="170">
        <f t="shared" si="286"/>
        <v>0.53333333333333333</v>
      </c>
      <c r="O99" s="170">
        <f t="shared" si="286"/>
        <v>1.6363636363636365</v>
      </c>
      <c r="P99" s="170">
        <f t="shared" si="286"/>
        <v>1.85</v>
      </c>
      <c r="Q99" s="170">
        <f t="shared" ref="Q99" si="287">Q29/Q23</f>
        <v>6.1538461538461542</v>
      </c>
      <c r="R99" s="118">
        <f t="shared" ref="R99" si="288">((P99/G99)^(1/($H$2-$H$1) ))-1</f>
        <v>0.28041007102611903</v>
      </c>
      <c r="S99" s="20"/>
      <c r="T99" s="170">
        <f t="shared" ref="T99:AC99" si="289">T29/T23</f>
        <v>6.1538461538461542</v>
      </c>
      <c r="U99" s="170">
        <f t="shared" si="289"/>
        <v>6.1538461538461542</v>
      </c>
      <c r="V99" s="170">
        <f t="shared" si="289"/>
        <v>6.1538461538461533</v>
      </c>
      <c r="W99" s="170">
        <f t="shared" si="289"/>
        <v>6.1538461538461542</v>
      </c>
      <c r="X99" s="170">
        <f t="shared" si="289"/>
        <v>6.1538461538461533</v>
      </c>
      <c r="Y99" s="170">
        <f t="shared" si="289"/>
        <v>6.1538461538461533</v>
      </c>
      <c r="Z99" s="170">
        <f t="shared" si="289"/>
        <v>6.1538461538461542</v>
      </c>
      <c r="AA99" s="170">
        <f t="shared" si="289"/>
        <v>6.1538461538461542</v>
      </c>
      <c r="AB99" s="170">
        <f t="shared" si="289"/>
        <v>6.1538461538461542</v>
      </c>
      <c r="AC99" s="170">
        <f t="shared" si="289"/>
        <v>6.1538461538461542</v>
      </c>
      <c r="AD99" s="137">
        <f t="shared" ref="AD99" si="290">((AC99/G99)^(1/($AC$3-$H$1) ))-1</f>
        <v>0.18687732259547829</v>
      </c>
      <c r="AE99" s="145"/>
      <c r="AF99" s="145"/>
    </row>
    <row r="100" spans="2:32" ht="12" customHeight="1" x14ac:dyDescent="0.2">
      <c r="B100" s="20"/>
      <c r="C100" s="151"/>
      <c r="D100" s="151"/>
      <c r="E100" s="151"/>
      <c r="F100" s="151"/>
      <c r="G100" s="170"/>
      <c r="H100" s="170"/>
      <c r="I100" s="170"/>
      <c r="J100" s="170"/>
      <c r="K100" s="170"/>
      <c r="L100" s="170"/>
      <c r="M100" s="170"/>
      <c r="N100" s="170"/>
      <c r="O100" s="170"/>
      <c r="P100" s="170"/>
      <c r="Q100" s="170"/>
      <c r="R100" s="170"/>
      <c r="S100" s="20"/>
      <c r="T100" s="151"/>
      <c r="U100" s="151"/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45"/>
      <c r="AF100" s="145"/>
    </row>
    <row r="101" spans="2:32" ht="12" customHeight="1" x14ac:dyDescent="0.2">
      <c r="B101" s="20" t="s">
        <v>401</v>
      </c>
      <c r="C101" s="151"/>
      <c r="D101" s="151"/>
      <c r="E101" s="151"/>
      <c r="F101" s="151"/>
      <c r="G101" s="127">
        <f>1/G95</f>
        <v>25</v>
      </c>
      <c r="H101" s="127">
        <f t="shared" ref="H101:P101" si="291">1/H95</f>
        <v>29.333333333333336</v>
      </c>
      <c r="I101" s="127">
        <f t="shared" si="291"/>
        <v>44.333333333333336</v>
      </c>
      <c r="J101" s="127">
        <f t="shared" si="291"/>
        <v>30.285714285714285</v>
      </c>
      <c r="K101" s="127">
        <f t="shared" si="291"/>
        <v>33.777777777777779</v>
      </c>
      <c r="L101" s="127">
        <f t="shared" si="291"/>
        <v>28.285714285714288</v>
      </c>
      <c r="M101" s="127">
        <f t="shared" si="291"/>
        <v>18.944444444444443</v>
      </c>
      <c r="N101" s="127">
        <f t="shared" si="291"/>
        <v>29.3125</v>
      </c>
      <c r="O101" s="127">
        <f t="shared" si="291"/>
        <v>28.888888888888886</v>
      </c>
      <c r="P101" s="127">
        <f t="shared" si="291"/>
        <v>21.972972972972972</v>
      </c>
      <c r="Q101" s="127">
        <f t="shared" ref="Q101" si="292">1/Q95</f>
        <v>17.025000000000002</v>
      </c>
      <c r="R101" s="118">
        <f t="shared" si="251"/>
        <v>-1.4237959750890483E-2</v>
      </c>
      <c r="S101" s="20"/>
      <c r="T101" s="127">
        <f t="shared" ref="T101:AC101" si="293">1/T95</f>
        <v>17.025000000000002</v>
      </c>
      <c r="U101" s="127">
        <f t="shared" si="293"/>
        <v>17.025000000000002</v>
      </c>
      <c r="V101" s="127">
        <f t="shared" si="293"/>
        <v>17.025000000000002</v>
      </c>
      <c r="W101" s="127">
        <f t="shared" si="293"/>
        <v>17.025000000000002</v>
      </c>
      <c r="X101" s="127">
        <f t="shared" si="293"/>
        <v>17.024999999999999</v>
      </c>
      <c r="Y101" s="127">
        <f t="shared" si="293"/>
        <v>17.024999999999999</v>
      </c>
      <c r="Z101" s="127">
        <f t="shared" si="293"/>
        <v>17.024999999999995</v>
      </c>
      <c r="AA101" s="127">
        <f t="shared" si="293"/>
        <v>17.024999999999995</v>
      </c>
      <c r="AB101" s="127">
        <f t="shared" si="293"/>
        <v>17.024999999999995</v>
      </c>
      <c r="AC101" s="127">
        <f t="shared" si="293"/>
        <v>17.024999999999995</v>
      </c>
      <c r="AD101" s="137">
        <f t="shared" si="253"/>
        <v>-1.9026319116522639E-2</v>
      </c>
      <c r="AE101" s="145"/>
      <c r="AF101" s="145"/>
    </row>
    <row r="102" spans="2:32" ht="12" customHeight="1" x14ac:dyDescent="0.2">
      <c r="B102" s="20" t="s">
        <v>402</v>
      </c>
      <c r="C102" s="151"/>
      <c r="D102" s="151"/>
      <c r="E102" s="151"/>
      <c r="F102" s="151"/>
      <c r="G102" s="127">
        <f t="shared" ref="G102:P105" si="294">1/G96</f>
        <v>3.5</v>
      </c>
      <c r="H102" s="127">
        <f t="shared" si="294"/>
        <v>4</v>
      </c>
      <c r="I102" s="127">
        <f t="shared" si="294"/>
        <v>5.6666666666666661</v>
      </c>
      <c r="J102" s="127">
        <f t="shared" si="294"/>
        <v>4.2857142857142856</v>
      </c>
      <c r="K102" s="127">
        <f t="shared" si="294"/>
        <v>5.8888888888888893</v>
      </c>
      <c r="L102" s="127">
        <f t="shared" si="294"/>
        <v>3.6428571428571423</v>
      </c>
      <c r="M102" s="127">
        <f t="shared" si="294"/>
        <v>2.1111111111111112</v>
      </c>
      <c r="N102" s="127">
        <f t="shared" si="294"/>
        <v>5.5625</v>
      </c>
      <c r="O102" s="127">
        <f t="shared" si="294"/>
        <v>4.166666666666667</v>
      </c>
      <c r="P102" s="127">
        <f t="shared" si="294"/>
        <v>3.1621621621621623</v>
      </c>
      <c r="Q102" s="127">
        <f t="shared" ref="Q102" si="295">1/Q96</f>
        <v>2.65</v>
      </c>
      <c r="R102" s="118">
        <f t="shared" si="251"/>
        <v>-1.1215185196298383E-2</v>
      </c>
      <c r="S102" s="20"/>
      <c r="T102" s="127">
        <f t="shared" ref="T102:AC102" si="296">1/T96</f>
        <v>2.65</v>
      </c>
      <c r="U102" s="127">
        <f t="shared" si="296"/>
        <v>2.6499999999999995</v>
      </c>
      <c r="V102" s="127">
        <f t="shared" si="296"/>
        <v>2.65</v>
      </c>
      <c r="W102" s="127">
        <f t="shared" si="296"/>
        <v>2.65</v>
      </c>
      <c r="X102" s="127">
        <f t="shared" si="296"/>
        <v>2.65</v>
      </c>
      <c r="Y102" s="127">
        <f t="shared" si="296"/>
        <v>2.6499999999999995</v>
      </c>
      <c r="Z102" s="127">
        <f t="shared" si="296"/>
        <v>2.6499999999999995</v>
      </c>
      <c r="AA102" s="127">
        <f t="shared" si="296"/>
        <v>2.6499999999999995</v>
      </c>
      <c r="AB102" s="127">
        <f t="shared" si="296"/>
        <v>2.6499999999999995</v>
      </c>
      <c r="AC102" s="127">
        <f t="shared" si="296"/>
        <v>2.6499999999999995</v>
      </c>
      <c r="AD102" s="137">
        <f t="shared" si="253"/>
        <v>-1.3813867090244125E-2</v>
      </c>
      <c r="AE102" s="145"/>
      <c r="AF102" s="145"/>
    </row>
    <row r="103" spans="2:32" ht="12" customHeight="1" x14ac:dyDescent="0.2">
      <c r="B103" s="20" t="s">
        <v>403</v>
      </c>
      <c r="C103" s="151"/>
      <c r="D103" s="151"/>
      <c r="E103" s="151"/>
      <c r="F103" s="151"/>
      <c r="G103" s="127">
        <f t="shared" si="294"/>
        <v>1</v>
      </c>
      <c r="H103" s="127">
        <f t="shared" si="294"/>
        <v>1.3333333333333333</v>
      </c>
      <c r="I103" s="127">
        <f t="shared" si="294"/>
        <v>1.6666666666666667</v>
      </c>
      <c r="J103" s="127">
        <f t="shared" si="294"/>
        <v>1.4285714285714286</v>
      </c>
      <c r="K103" s="127">
        <f t="shared" si="294"/>
        <v>2.4444444444444442</v>
      </c>
      <c r="L103" s="127">
        <f t="shared" si="294"/>
        <v>0.5714285714285714</v>
      </c>
      <c r="M103" s="127">
        <f t="shared" si="294"/>
        <v>4.4444444444444446E-2</v>
      </c>
      <c r="N103" s="127">
        <f t="shared" si="294"/>
        <v>0.02</v>
      </c>
      <c r="O103" s="127">
        <f t="shared" si="294"/>
        <v>1.4444444444444444</v>
      </c>
      <c r="P103" s="127">
        <f t="shared" si="294"/>
        <v>1.1891891891891893</v>
      </c>
      <c r="Q103" s="127">
        <f t="shared" ref="Q103" si="297">1/Q97</f>
        <v>0.625</v>
      </c>
      <c r="R103" s="118">
        <f t="shared" si="251"/>
        <v>1.9438936268951768E-2</v>
      </c>
      <c r="S103" s="20"/>
      <c r="T103" s="127">
        <f t="shared" ref="T103:AC103" si="298">1/T97</f>
        <v>0.625</v>
      </c>
      <c r="U103" s="127">
        <f t="shared" si="298"/>
        <v>0.62499999999999989</v>
      </c>
      <c r="V103" s="127">
        <f t="shared" si="298"/>
        <v>0.62499999999999989</v>
      </c>
      <c r="W103" s="127">
        <f t="shared" si="298"/>
        <v>0.62499999999999989</v>
      </c>
      <c r="X103" s="127">
        <f t="shared" si="298"/>
        <v>0.62499999999999989</v>
      </c>
      <c r="Y103" s="127">
        <f t="shared" si="298"/>
        <v>0.62499999999999989</v>
      </c>
      <c r="Z103" s="127">
        <f t="shared" si="298"/>
        <v>0.62499999999999978</v>
      </c>
      <c r="AA103" s="127">
        <f t="shared" si="298"/>
        <v>0.62499999999999978</v>
      </c>
      <c r="AB103" s="127">
        <f t="shared" si="298"/>
        <v>0.62499999999999989</v>
      </c>
      <c r="AC103" s="127">
        <f t="shared" si="298"/>
        <v>0.62499999999999978</v>
      </c>
      <c r="AD103" s="137">
        <f t="shared" si="253"/>
        <v>-2.3226202578779276E-2</v>
      </c>
      <c r="AE103" s="145"/>
      <c r="AF103" s="145"/>
    </row>
    <row r="104" spans="2:32" ht="12" customHeight="1" x14ac:dyDescent="0.2">
      <c r="B104" s="20" t="s">
        <v>404</v>
      </c>
      <c r="C104" s="151"/>
      <c r="D104" s="151"/>
      <c r="E104" s="151"/>
      <c r="F104" s="151"/>
      <c r="G104" s="127">
        <f t="shared" si="294"/>
        <v>1.5</v>
      </c>
      <c r="H104" s="127">
        <f t="shared" si="294"/>
        <v>3.3333333333333335</v>
      </c>
      <c r="I104" s="127">
        <f t="shared" si="294"/>
        <v>21</v>
      </c>
      <c r="J104" s="127">
        <f t="shared" si="294"/>
        <v>1.4285714285714286</v>
      </c>
      <c r="K104" s="127">
        <f t="shared" si="294"/>
        <v>2.3333333333333335</v>
      </c>
      <c r="L104" s="127">
        <f t="shared" si="294"/>
        <v>0.2857142857142857</v>
      </c>
      <c r="M104" s="127">
        <f t="shared" si="294"/>
        <v>1.1666666666666667</v>
      </c>
      <c r="N104" s="127">
        <f t="shared" si="294"/>
        <v>4.9375</v>
      </c>
      <c r="O104" s="127">
        <f t="shared" si="294"/>
        <v>1.1666666666666667</v>
      </c>
      <c r="P104" s="127">
        <f t="shared" si="294"/>
        <v>1</v>
      </c>
      <c r="Q104" s="127">
        <f t="shared" ref="Q104" si="299">1/Q98</f>
        <v>0.33750000000000002</v>
      </c>
      <c r="R104" s="118">
        <f t="shared" si="251"/>
        <v>-4.4051921577024866E-2</v>
      </c>
      <c r="S104" s="20"/>
      <c r="T104" s="127">
        <f t="shared" ref="T104:AC104" si="300">1/T98</f>
        <v>0.33749999999999997</v>
      </c>
      <c r="U104" s="127">
        <f t="shared" si="300"/>
        <v>0.33749999999999997</v>
      </c>
      <c r="V104" s="127">
        <f t="shared" si="300"/>
        <v>0.33749999999999997</v>
      </c>
      <c r="W104" s="127">
        <f t="shared" si="300"/>
        <v>0.33750000000000002</v>
      </c>
      <c r="X104" s="127">
        <f t="shared" si="300"/>
        <v>0.33749999999999997</v>
      </c>
      <c r="Y104" s="127">
        <f t="shared" si="300"/>
        <v>0.33749999999999997</v>
      </c>
      <c r="Z104" s="127">
        <f t="shared" si="300"/>
        <v>0.33749999999999991</v>
      </c>
      <c r="AA104" s="127">
        <f t="shared" si="300"/>
        <v>0.33749999999999997</v>
      </c>
      <c r="AB104" s="127">
        <f t="shared" si="300"/>
        <v>0.33749999999999997</v>
      </c>
      <c r="AC104" s="127">
        <f t="shared" si="300"/>
        <v>0.33749999999999997</v>
      </c>
      <c r="AD104" s="137">
        <f t="shared" si="253"/>
        <v>-7.1869326213284346E-2</v>
      </c>
      <c r="AE104" s="145"/>
      <c r="AF104" s="145"/>
    </row>
    <row r="105" spans="2:32" ht="12" customHeight="1" x14ac:dyDescent="0.2">
      <c r="B105" s="20" t="s">
        <v>405</v>
      </c>
      <c r="C105" s="151"/>
      <c r="D105" s="151"/>
      <c r="E105" s="151"/>
      <c r="F105" s="151"/>
      <c r="G105" s="127">
        <f t="shared" si="294"/>
        <v>5</v>
      </c>
      <c r="H105" s="127">
        <f t="shared" si="294"/>
        <v>3.3333333333333335</v>
      </c>
      <c r="I105" s="127">
        <f t="shared" si="294"/>
        <v>21</v>
      </c>
      <c r="J105" s="127">
        <f t="shared" si="294"/>
        <v>0.8571428571428571</v>
      </c>
      <c r="K105" s="127">
        <f t="shared" si="294"/>
        <v>1</v>
      </c>
      <c r="L105" s="127">
        <f t="shared" si="294"/>
        <v>7.1428571428571425E-2</v>
      </c>
      <c r="M105" s="127">
        <f t="shared" si="294"/>
        <v>0.22222222222222221</v>
      </c>
      <c r="N105" s="127">
        <f t="shared" si="294"/>
        <v>1.875</v>
      </c>
      <c r="O105" s="127">
        <f t="shared" si="294"/>
        <v>0.61111111111111105</v>
      </c>
      <c r="P105" s="127">
        <f t="shared" si="294"/>
        <v>0.54054054054054046</v>
      </c>
      <c r="Q105" s="127">
        <f t="shared" ref="Q105" si="301">1/Q99</f>
        <v>0.16249999999999998</v>
      </c>
      <c r="R105" s="118">
        <f t="shared" si="251"/>
        <v>-0.21900020733310765</v>
      </c>
      <c r="S105" s="20"/>
      <c r="T105" s="127">
        <f t="shared" ref="T105:AC105" si="302">1/T99</f>
        <v>0.16249999999999998</v>
      </c>
      <c r="U105" s="127">
        <f t="shared" si="302"/>
        <v>0.16249999999999998</v>
      </c>
      <c r="V105" s="127">
        <f t="shared" si="302"/>
        <v>0.16250000000000001</v>
      </c>
      <c r="W105" s="127">
        <f t="shared" si="302"/>
        <v>0.16249999999999998</v>
      </c>
      <c r="X105" s="127">
        <f t="shared" si="302"/>
        <v>0.16250000000000001</v>
      </c>
      <c r="Y105" s="127">
        <f t="shared" si="302"/>
        <v>0.16250000000000001</v>
      </c>
      <c r="Z105" s="127">
        <f t="shared" si="302"/>
        <v>0.16249999999999998</v>
      </c>
      <c r="AA105" s="127">
        <f t="shared" si="302"/>
        <v>0.16249999999999998</v>
      </c>
      <c r="AB105" s="127">
        <f t="shared" si="302"/>
        <v>0.16249999999999998</v>
      </c>
      <c r="AC105" s="127">
        <f t="shared" si="302"/>
        <v>0.16249999999999998</v>
      </c>
      <c r="AD105" s="137">
        <f t="shared" si="253"/>
        <v>-0.15745293893290724</v>
      </c>
      <c r="AE105" s="145"/>
      <c r="AF105" s="145"/>
    </row>
    <row r="106" spans="2:32" ht="12" customHeight="1" x14ac:dyDescent="0.2">
      <c r="B106" s="20"/>
      <c r="C106" s="151"/>
      <c r="D106" s="151"/>
      <c r="E106" s="151"/>
      <c r="F106" s="151"/>
      <c r="G106" s="170"/>
      <c r="H106" s="170"/>
      <c r="I106" s="170"/>
      <c r="J106" s="170"/>
      <c r="K106" s="170"/>
      <c r="L106" s="170"/>
      <c r="M106" s="170"/>
      <c r="N106" s="170"/>
      <c r="O106" s="170"/>
      <c r="P106" s="170"/>
      <c r="Q106" s="170"/>
      <c r="R106" s="170"/>
      <c r="S106" s="20"/>
      <c r="T106" s="151"/>
      <c r="U106" s="151"/>
      <c r="V106" s="151"/>
      <c r="W106" s="151"/>
      <c r="X106" s="151"/>
      <c r="Y106" s="151"/>
      <c r="Z106" s="151"/>
      <c r="AA106" s="151"/>
      <c r="AB106" s="151"/>
      <c r="AC106" s="151"/>
      <c r="AD106" s="151"/>
      <c r="AE106" s="145"/>
      <c r="AF106" s="145"/>
    </row>
    <row r="107" spans="2:32" ht="12" customHeight="1" x14ac:dyDescent="0.2">
      <c r="B107" s="20"/>
      <c r="C107" s="151"/>
      <c r="D107" s="151"/>
      <c r="E107" s="151"/>
      <c r="F107" s="151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170"/>
      <c r="S107" s="20"/>
      <c r="T107" s="151"/>
      <c r="U107" s="151"/>
      <c r="V107" s="151"/>
      <c r="W107" s="151"/>
      <c r="X107" s="151"/>
      <c r="Y107" s="151"/>
      <c r="Z107" s="151"/>
      <c r="AA107" s="151"/>
      <c r="AB107" s="151"/>
      <c r="AC107" s="151"/>
      <c r="AD107" s="151"/>
      <c r="AE107" s="145"/>
      <c r="AF107" s="145"/>
    </row>
    <row r="108" spans="2:32" x14ac:dyDescent="0.2">
      <c r="B108" s="20" t="s">
        <v>324</v>
      </c>
      <c r="C108" s="151"/>
      <c r="D108" s="151"/>
      <c r="E108" s="151"/>
      <c r="F108" s="162"/>
      <c r="G108" s="162">
        <f t="shared" ref="G108:O108" si="303">G10-(G12+G13)</f>
        <v>26.5</v>
      </c>
      <c r="H108" s="162">
        <f t="shared" si="303"/>
        <v>34.799999999999997</v>
      </c>
      <c r="I108" s="162">
        <f t="shared" si="303"/>
        <v>-30</v>
      </c>
      <c r="J108" s="162">
        <f t="shared" si="303"/>
        <v>33</v>
      </c>
      <c r="K108" s="162">
        <f t="shared" si="303"/>
        <v>84</v>
      </c>
      <c r="L108" s="162">
        <f t="shared" si="303"/>
        <v>25</v>
      </c>
      <c r="M108" s="162">
        <f t="shared" si="303"/>
        <v>52</v>
      </c>
      <c r="N108" s="162">
        <f t="shared" si="303"/>
        <v>52.5</v>
      </c>
      <c r="O108" s="162">
        <f t="shared" si="303"/>
        <v>152.35</v>
      </c>
      <c r="P108" s="162">
        <f>P10-(P12+P13)</f>
        <v>526</v>
      </c>
      <c r="Q108" s="162">
        <f>Q10-(Q12+Q13)</f>
        <v>460</v>
      </c>
      <c r="R108" s="118">
        <f t="shared" si="251"/>
        <v>0.39377708139996592</v>
      </c>
      <c r="S108" s="20"/>
      <c r="T108" s="162">
        <f>T10-(T12+T13)</f>
        <v>529</v>
      </c>
      <c r="U108" s="162">
        <f t="shared" ref="U108:AC108" si="304">U10-(U12+U13)</f>
        <v>608.34999999999991</v>
      </c>
      <c r="V108" s="162">
        <f t="shared" si="304"/>
        <v>699.60249999999985</v>
      </c>
      <c r="W108" s="162">
        <f t="shared" si="304"/>
        <v>804.54287499999975</v>
      </c>
      <c r="X108" s="162">
        <f t="shared" si="304"/>
        <v>925.22430624999959</v>
      </c>
      <c r="Y108" s="162">
        <f t="shared" si="304"/>
        <v>1064.0079521874995</v>
      </c>
      <c r="Z108" s="162">
        <f t="shared" si="304"/>
        <v>1223.6091450156243</v>
      </c>
      <c r="AA108" s="162">
        <f t="shared" si="304"/>
        <v>1407.1505167679679</v>
      </c>
      <c r="AB108" s="162">
        <f t="shared" si="304"/>
        <v>1618.2230942831629</v>
      </c>
      <c r="AC108" s="162">
        <f t="shared" si="304"/>
        <v>1860.9565584256375</v>
      </c>
      <c r="AD108" s="137">
        <f t="shared" si="253"/>
        <v>0.2368713161432876</v>
      </c>
      <c r="AE108" s="145"/>
      <c r="AF108" s="145"/>
    </row>
    <row r="109" spans="2:32" ht="12" customHeight="1" x14ac:dyDescent="0.2">
      <c r="B109" s="20" t="s">
        <v>319</v>
      </c>
      <c r="C109" s="20"/>
      <c r="D109" s="20"/>
      <c r="E109" s="20"/>
      <c r="F109" s="20"/>
      <c r="G109" s="151">
        <f t="shared" ref="G109:P109" si="305">G40/G18</f>
        <v>5.4054054054054057E-2</v>
      </c>
      <c r="H109" s="151">
        <f t="shared" si="305"/>
        <v>5.9701492537313432E-2</v>
      </c>
      <c r="I109" s="151">
        <f t="shared" si="305"/>
        <v>6.25E-2</v>
      </c>
      <c r="J109" s="151">
        <f t="shared" si="305"/>
        <v>7.2463768115942032E-2</v>
      </c>
      <c r="K109" s="151">
        <f t="shared" si="305"/>
        <v>0.125</v>
      </c>
      <c r="L109" s="151">
        <f t="shared" si="305"/>
        <v>2.5396825396825397E-2</v>
      </c>
      <c r="M109" s="151">
        <f t="shared" si="305"/>
        <v>2.2727272727272731E-3</v>
      </c>
      <c r="N109" s="151">
        <f t="shared" si="305"/>
        <v>8.6956521739130438E-4</v>
      </c>
      <c r="O109" s="151">
        <f t="shared" si="305"/>
        <v>9.5238095238095233E-2</v>
      </c>
      <c r="P109" s="151">
        <f t="shared" si="305"/>
        <v>4.4176706827309238E-2</v>
      </c>
      <c r="Q109" s="151">
        <f t="shared" ref="Q109" si="306">Q40/Q18</f>
        <v>6.097560975609756E-2</v>
      </c>
      <c r="R109" s="118">
        <f t="shared" si="251"/>
        <v>-2.2171288333176942E-2</v>
      </c>
      <c r="S109" s="20"/>
      <c r="T109" s="151">
        <f t="shared" ref="T109:AC109" si="307">T40/T18</f>
        <v>6.097560975609756E-2</v>
      </c>
      <c r="U109" s="151">
        <f t="shared" si="307"/>
        <v>6.097560975609756E-2</v>
      </c>
      <c r="V109" s="151">
        <f t="shared" si="307"/>
        <v>6.097560975609756E-2</v>
      </c>
      <c r="W109" s="151">
        <f t="shared" si="307"/>
        <v>6.097560975609756E-2</v>
      </c>
      <c r="X109" s="151">
        <f t="shared" si="307"/>
        <v>6.097560975609756E-2</v>
      </c>
      <c r="Y109" s="151">
        <f t="shared" si="307"/>
        <v>6.097560975609756E-2</v>
      </c>
      <c r="Z109" s="151">
        <f t="shared" si="307"/>
        <v>6.0975609756097553E-2</v>
      </c>
      <c r="AA109" s="151">
        <f t="shared" si="307"/>
        <v>6.097560975609756E-2</v>
      </c>
      <c r="AB109" s="151">
        <f t="shared" si="307"/>
        <v>6.097560975609756E-2</v>
      </c>
      <c r="AC109" s="151">
        <f t="shared" si="307"/>
        <v>6.097560975609756E-2</v>
      </c>
      <c r="AD109" s="137">
        <f t="shared" si="253"/>
        <v>6.0426534784785435E-3</v>
      </c>
      <c r="AE109" s="20"/>
      <c r="AF109" s="20"/>
    </row>
    <row r="110" spans="2:32" x14ac:dyDescent="0.2">
      <c r="B110" s="20" t="s">
        <v>320</v>
      </c>
      <c r="C110" s="20"/>
      <c r="D110" s="20"/>
      <c r="E110" s="20"/>
      <c r="F110" s="20"/>
      <c r="G110" s="151">
        <f t="shared" ref="G110:P110" si="308">G40/G25</f>
        <v>0.04</v>
      </c>
      <c r="H110" s="151">
        <f t="shared" si="308"/>
        <v>4.5454545454545456E-2</v>
      </c>
      <c r="I110" s="151">
        <f t="shared" si="308"/>
        <v>3.7593984962406013E-2</v>
      </c>
      <c r="J110" s="151">
        <f t="shared" si="308"/>
        <v>4.716981132075472E-2</v>
      </c>
      <c r="K110" s="151">
        <f t="shared" si="308"/>
        <v>7.2368421052631582E-2</v>
      </c>
      <c r="L110" s="151">
        <f t="shared" si="308"/>
        <v>2.0202020202020204E-2</v>
      </c>
      <c r="M110" s="151">
        <f t="shared" si="308"/>
        <v>2.3460410557184751E-3</v>
      </c>
      <c r="N110" s="151">
        <f t="shared" si="308"/>
        <v>6.8230277185501065E-4</v>
      </c>
      <c r="O110" s="151">
        <f t="shared" si="308"/>
        <v>0.05</v>
      </c>
      <c r="P110" s="151">
        <f t="shared" si="308"/>
        <v>5.4120541205412057E-2</v>
      </c>
      <c r="Q110" s="151">
        <f t="shared" ref="Q110" si="309">Q40/Q25</f>
        <v>3.6710719530102791E-2</v>
      </c>
      <c r="R110" s="118">
        <f t="shared" si="251"/>
        <v>3.416331187933741E-2</v>
      </c>
      <c r="S110" s="20"/>
      <c r="T110" s="151">
        <f t="shared" ref="T110:AC110" si="310">T40/T25</f>
        <v>3.6710719530102784E-2</v>
      </c>
      <c r="U110" s="151">
        <f t="shared" si="310"/>
        <v>3.6710719530102784E-2</v>
      </c>
      <c r="V110" s="151">
        <f t="shared" si="310"/>
        <v>3.6710719530102784E-2</v>
      </c>
      <c r="W110" s="151">
        <f t="shared" si="310"/>
        <v>3.6710719530102784E-2</v>
      </c>
      <c r="X110" s="151">
        <f t="shared" si="310"/>
        <v>3.6710719530102784E-2</v>
      </c>
      <c r="Y110" s="151">
        <f t="shared" si="310"/>
        <v>3.6710719530102784E-2</v>
      </c>
      <c r="Z110" s="151">
        <f t="shared" si="310"/>
        <v>3.6710719530102784E-2</v>
      </c>
      <c r="AA110" s="151">
        <f t="shared" si="310"/>
        <v>3.6710719530102784E-2</v>
      </c>
      <c r="AB110" s="151">
        <f t="shared" si="310"/>
        <v>3.6710719530102791E-2</v>
      </c>
      <c r="AC110" s="151">
        <f t="shared" si="310"/>
        <v>3.6710719530102791E-2</v>
      </c>
      <c r="AD110" s="137">
        <f t="shared" si="253"/>
        <v>-4.2813416344402722E-3</v>
      </c>
      <c r="AE110" s="20"/>
      <c r="AF110" s="20"/>
    </row>
    <row r="111" spans="2:32" x14ac:dyDescent="0.2">
      <c r="B111" s="20" t="s">
        <v>346</v>
      </c>
      <c r="C111" s="20"/>
      <c r="D111" s="20"/>
      <c r="E111" s="151"/>
      <c r="F111" s="151"/>
      <c r="G111" s="151">
        <f t="shared" ref="G111:O111" si="311">G25/G18</f>
        <v>1.3513513513513513</v>
      </c>
      <c r="H111" s="151">
        <f t="shared" si="311"/>
        <v>1.3134328358208955</v>
      </c>
      <c r="I111" s="151">
        <f t="shared" si="311"/>
        <v>1.6625000000000001</v>
      </c>
      <c r="J111" s="151">
        <f t="shared" si="311"/>
        <v>1.536231884057971</v>
      </c>
      <c r="K111" s="151">
        <f t="shared" si="311"/>
        <v>1.7272727272727273</v>
      </c>
      <c r="L111" s="151">
        <f t="shared" si="311"/>
        <v>1.2571428571428571</v>
      </c>
      <c r="M111" s="151">
        <f t="shared" si="311"/>
        <v>0.96875</v>
      </c>
      <c r="N111" s="151">
        <f t="shared" si="311"/>
        <v>1.2744565217391304</v>
      </c>
      <c r="O111" s="151">
        <f t="shared" si="311"/>
        <v>1.9047619047619047</v>
      </c>
      <c r="P111" s="151">
        <f>P25/P18</f>
        <v>0.8162650602409639</v>
      </c>
      <c r="Q111" s="151">
        <f>Q25/Q18</f>
        <v>1.6609756097560975</v>
      </c>
      <c r="R111" s="118">
        <f t="shared" si="251"/>
        <v>-5.447360157279213E-2</v>
      </c>
      <c r="S111" s="20"/>
      <c r="T111" s="151">
        <f>T25/T18</f>
        <v>1.6609756097560977</v>
      </c>
      <c r="U111" s="151">
        <f t="shared" ref="U111:AC111" si="312">U25/U18</f>
        <v>1.6609756097560977</v>
      </c>
      <c r="V111" s="151">
        <f t="shared" si="312"/>
        <v>1.6609756097560979</v>
      </c>
      <c r="W111" s="151">
        <f t="shared" si="312"/>
        <v>1.6609756097560977</v>
      </c>
      <c r="X111" s="151">
        <f t="shared" si="312"/>
        <v>1.6609756097560977</v>
      </c>
      <c r="Y111" s="151">
        <f t="shared" si="312"/>
        <v>1.6609756097560977</v>
      </c>
      <c r="Z111" s="151">
        <f t="shared" si="312"/>
        <v>1.6609756097560977</v>
      </c>
      <c r="AA111" s="151">
        <f t="shared" si="312"/>
        <v>1.6609756097560977</v>
      </c>
      <c r="AB111" s="151">
        <f t="shared" si="312"/>
        <v>1.6609756097560975</v>
      </c>
      <c r="AC111" s="151">
        <f t="shared" si="312"/>
        <v>1.6609756097560973</v>
      </c>
      <c r="AD111" s="137">
        <f t="shared" si="253"/>
        <v>1.0368385714359496E-2</v>
      </c>
      <c r="AE111" s="20"/>
      <c r="AF111" s="20"/>
    </row>
    <row r="112" spans="2:32" x14ac:dyDescent="0.2">
      <c r="B112" s="20"/>
      <c r="C112" s="20"/>
      <c r="D112" s="20"/>
      <c r="E112" s="20"/>
      <c r="F112" s="20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28"/>
      <c r="S112" s="20"/>
      <c r="T112" s="151"/>
      <c r="U112" s="151"/>
      <c r="V112" s="151"/>
      <c r="W112" s="151"/>
      <c r="X112" s="151"/>
      <c r="Y112" s="151"/>
      <c r="Z112" s="151"/>
      <c r="AA112" s="151"/>
      <c r="AB112" s="151"/>
      <c r="AC112" s="151"/>
      <c r="AD112" s="128"/>
      <c r="AE112" s="20"/>
      <c r="AF112" s="20"/>
    </row>
    <row r="113" spans="2:32" x14ac:dyDescent="0.2">
      <c r="B113" s="20" t="s">
        <v>332</v>
      </c>
      <c r="C113" s="20"/>
      <c r="D113" s="20"/>
      <c r="E113" s="164"/>
      <c r="F113" s="164"/>
      <c r="G113" s="164">
        <f>G72*G42</f>
        <v>0</v>
      </c>
      <c r="H113" s="164">
        <f t="shared" ref="H113:P113" si="313">H72*H42</f>
        <v>0</v>
      </c>
      <c r="I113" s="164">
        <f t="shared" si="313"/>
        <v>2.2799999999999998</v>
      </c>
      <c r="J113" s="164">
        <f t="shared" si="313"/>
        <v>2.2999999999999998</v>
      </c>
      <c r="K113" s="164">
        <f t="shared" si="313"/>
        <v>2.2999999999999998</v>
      </c>
      <c r="L113" s="164">
        <f t="shared" si="313"/>
        <v>2.2999999999999998</v>
      </c>
      <c r="M113" s="164">
        <f t="shared" si="313"/>
        <v>2.56</v>
      </c>
      <c r="N113" s="164">
        <f t="shared" si="313"/>
        <v>2.71</v>
      </c>
      <c r="O113" s="164">
        <f t="shared" si="313"/>
        <v>15.54</v>
      </c>
      <c r="P113" s="164">
        <f t="shared" si="313"/>
        <v>3.96</v>
      </c>
      <c r="Q113" s="164">
        <f t="shared" ref="Q113" si="314">Q72*Q42</f>
        <v>10.275</v>
      </c>
      <c r="R113" s="118" t="e">
        <f t="shared" si="251"/>
        <v>#DIV/0!</v>
      </c>
      <c r="S113" s="20"/>
      <c r="T113" s="164">
        <f t="shared" ref="T113:AC113" si="315">T72*T42</f>
        <v>11.3281875</v>
      </c>
      <c r="U113" s="164">
        <f t="shared" si="315"/>
        <v>12.48932671875</v>
      </c>
      <c r="V113" s="164">
        <f t="shared" si="315"/>
        <v>13.769482707421878</v>
      </c>
      <c r="W113" s="164">
        <f t="shared" si="315"/>
        <v>15.180854684932623</v>
      </c>
      <c r="X113" s="164">
        <f t="shared" si="315"/>
        <v>16.736892290138218</v>
      </c>
      <c r="Y113" s="164">
        <f t="shared" si="315"/>
        <v>18.452423749877386</v>
      </c>
      <c r="Z113" s="164">
        <f t="shared" si="315"/>
        <v>20.343797184239822</v>
      </c>
      <c r="AA113" s="164">
        <f t="shared" si="315"/>
        <v>22.429036395624404</v>
      </c>
      <c r="AB113" s="164">
        <f t="shared" si="315"/>
        <v>24.728012626175907</v>
      </c>
      <c r="AC113" s="164">
        <f t="shared" si="315"/>
        <v>27.262633920358937</v>
      </c>
      <c r="AD113" s="137" t="e">
        <f t="shared" si="253"/>
        <v>#DIV/0!</v>
      </c>
      <c r="AE113" s="20"/>
      <c r="AF113" s="20"/>
    </row>
    <row r="114" spans="2:32" x14ac:dyDescent="0.2">
      <c r="B114" s="20" t="s">
        <v>333</v>
      </c>
      <c r="C114" s="20"/>
      <c r="D114" s="20"/>
      <c r="E114" s="164"/>
      <c r="F114" s="164"/>
      <c r="G114" s="164">
        <f t="shared" ref="G114:P114" si="316">(G113*0.17)+G113</f>
        <v>0</v>
      </c>
      <c r="H114" s="164">
        <f t="shared" si="316"/>
        <v>0</v>
      </c>
      <c r="I114" s="164">
        <f t="shared" si="316"/>
        <v>2.6675999999999997</v>
      </c>
      <c r="J114" s="164">
        <f t="shared" si="316"/>
        <v>2.6909999999999998</v>
      </c>
      <c r="K114" s="164">
        <f t="shared" si="316"/>
        <v>2.6909999999999998</v>
      </c>
      <c r="L114" s="164">
        <f t="shared" si="316"/>
        <v>2.6909999999999998</v>
      </c>
      <c r="M114" s="164">
        <f t="shared" si="316"/>
        <v>2.9952000000000001</v>
      </c>
      <c r="N114" s="164">
        <f t="shared" si="316"/>
        <v>3.1707000000000001</v>
      </c>
      <c r="O114" s="164">
        <f t="shared" si="316"/>
        <v>18.181799999999999</v>
      </c>
      <c r="P114" s="164">
        <f t="shared" si="316"/>
        <v>4.6332000000000004</v>
      </c>
      <c r="Q114" s="164">
        <f t="shared" ref="Q114" si="317">(Q113*0.17)+Q113</f>
        <v>12.021750000000001</v>
      </c>
      <c r="R114" s="118" t="e">
        <f t="shared" si="251"/>
        <v>#DIV/0!</v>
      </c>
      <c r="S114" s="20"/>
      <c r="T114" s="164">
        <f t="shared" ref="T114:AC114" si="318">(T113*0.17)+T113</f>
        <v>13.253979375</v>
      </c>
      <c r="U114" s="164">
        <f t="shared" si="318"/>
        <v>14.6125122609375</v>
      </c>
      <c r="V114" s="164">
        <f t="shared" si="318"/>
        <v>16.110294767683598</v>
      </c>
      <c r="W114" s="164">
        <f t="shared" si="318"/>
        <v>17.76159998137117</v>
      </c>
      <c r="X114" s="164">
        <f t="shared" si="318"/>
        <v>19.582163979461715</v>
      </c>
      <c r="Y114" s="164">
        <f t="shared" si="318"/>
        <v>21.589335787356543</v>
      </c>
      <c r="Z114" s="164">
        <f t="shared" si="318"/>
        <v>23.802242705560591</v>
      </c>
      <c r="AA114" s="164">
        <f t="shared" si="318"/>
        <v>26.241972582880553</v>
      </c>
      <c r="AB114" s="164">
        <f t="shared" si="318"/>
        <v>28.931774772625811</v>
      </c>
      <c r="AC114" s="164">
        <f t="shared" si="318"/>
        <v>31.897281686819955</v>
      </c>
      <c r="AD114" s="137" t="e">
        <f t="shared" si="253"/>
        <v>#DIV/0!</v>
      </c>
      <c r="AE114" s="20"/>
      <c r="AF114" s="20"/>
    </row>
    <row r="115" spans="2:32" x14ac:dyDescent="0.2">
      <c r="B115" s="20" t="s">
        <v>334</v>
      </c>
      <c r="C115" s="20"/>
      <c r="D115" s="20"/>
      <c r="E115" s="20"/>
      <c r="F115" s="151"/>
      <c r="G115" s="151">
        <f t="shared" ref="G115:P115" si="319">G114/G40</f>
        <v>0</v>
      </c>
      <c r="H115" s="151">
        <f t="shared" si="319"/>
        <v>0</v>
      </c>
      <c r="I115" s="151">
        <f t="shared" si="319"/>
        <v>0.53351999999999999</v>
      </c>
      <c r="J115" s="151">
        <f t="shared" si="319"/>
        <v>0.26910000000000001</v>
      </c>
      <c r="K115" s="151">
        <f t="shared" si="319"/>
        <v>0.12231818181818181</v>
      </c>
      <c r="L115" s="151">
        <f t="shared" si="319"/>
        <v>0.33637499999999998</v>
      </c>
      <c r="M115" s="151">
        <f t="shared" si="319"/>
        <v>3.7439999999999998</v>
      </c>
      <c r="N115" s="151">
        <f t="shared" si="319"/>
        <v>9.9084374999999998</v>
      </c>
      <c r="O115" s="151">
        <f t="shared" si="319"/>
        <v>0.69929999999999992</v>
      </c>
      <c r="P115" s="151">
        <f t="shared" si="319"/>
        <v>0.1053</v>
      </c>
      <c r="Q115" s="151">
        <f t="shared" ref="Q115" si="320">Q114/Q40</f>
        <v>0.24043500000000001</v>
      </c>
      <c r="R115" s="118" t="e">
        <f t="shared" si="251"/>
        <v>#DIV/0!</v>
      </c>
      <c r="S115" s="20"/>
      <c r="T115" s="151">
        <f t="shared" ref="T115:AC115" si="321">T114/T40</f>
        <v>0.23050398913043482</v>
      </c>
      <c r="U115" s="151">
        <f t="shared" si="321"/>
        <v>0.22098317218809077</v>
      </c>
      <c r="V115" s="151">
        <f t="shared" si="321"/>
        <v>0.21185560638032191</v>
      </c>
      <c r="W115" s="151">
        <f t="shared" si="321"/>
        <v>0.20310504872548255</v>
      </c>
      <c r="X115" s="151">
        <f t="shared" si="321"/>
        <v>0.1947159271476909</v>
      </c>
      <c r="Y115" s="151">
        <f t="shared" si="321"/>
        <v>0.18667331276550372</v>
      </c>
      <c r="Z115" s="151">
        <f t="shared" si="321"/>
        <v>0.17896289332518947</v>
      </c>
      <c r="AA115" s="151">
        <f t="shared" si="321"/>
        <v>0.17157094773132298</v>
      </c>
      <c r="AB115" s="151">
        <f t="shared" si="321"/>
        <v>0.16448432162937704</v>
      </c>
      <c r="AC115" s="151">
        <f t="shared" si="321"/>
        <v>0.1576904039968593</v>
      </c>
      <c r="AD115" s="137" t="e">
        <f t="shared" si="253"/>
        <v>#DIV/0!</v>
      </c>
      <c r="AE115" s="20"/>
      <c r="AF115" s="20"/>
    </row>
    <row r="116" spans="2:32" x14ac:dyDescent="0.2">
      <c r="B116" s="20" t="s">
        <v>327</v>
      </c>
      <c r="C116" s="20"/>
      <c r="D116" s="20"/>
      <c r="E116" s="20"/>
      <c r="F116" s="151"/>
      <c r="G116" s="151">
        <f>1-G115</f>
        <v>1</v>
      </c>
      <c r="H116" s="151">
        <f t="shared" ref="H116:P116" si="322">1-H115</f>
        <v>1</v>
      </c>
      <c r="I116" s="151">
        <f t="shared" si="322"/>
        <v>0.46648000000000001</v>
      </c>
      <c r="J116" s="151">
        <f t="shared" si="322"/>
        <v>0.73089999999999999</v>
      </c>
      <c r="K116" s="151">
        <f t="shared" si="322"/>
        <v>0.87768181818181823</v>
      </c>
      <c r="L116" s="151">
        <f t="shared" si="322"/>
        <v>0.66362500000000002</v>
      </c>
      <c r="M116" s="151">
        <f t="shared" si="322"/>
        <v>-2.7439999999999998</v>
      </c>
      <c r="N116" s="151">
        <f t="shared" si="322"/>
        <v>-8.9084374999999998</v>
      </c>
      <c r="O116" s="151">
        <f t="shared" si="322"/>
        <v>0.30070000000000008</v>
      </c>
      <c r="P116" s="151">
        <f t="shared" si="322"/>
        <v>0.89470000000000005</v>
      </c>
      <c r="Q116" s="151">
        <f t="shared" ref="Q116" si="323">1-Q115</f>
        <v>0.75956500000000005</v>
      </c>
      <c r="R116" s="118">
        <f t="shared" si="251"/>
        <v>-1.2286871493909834E-2</v>
      </c>
      <c r="S116" s="20"/>
      <c r="T116" s="151">
        <f t="shared" ref="T116:AC116" si="324">1-T115</f>
        <v>0.76949601086956521</v>
      </c>
      <c r="U116" s="151">
        <f t="shared" si="324"/>
        <v>0.77901682781190917</v>
      </c>
      <c r="V116" s="151">
        <f t="shared" si="324"/>
        <v>0.78814439361967814</v>
      </c>
      <c r="W116" s="151">
        <f t="shared" si="324"/>
        <v>0.79689495127451748</v>
      </c>
      <c r="X116" s="151">
        <f t="shared" si="324"/>
        <v>0.80528407285230907</v>
      </c>
      <c r="Y116" s="151">
        <f t="shared" si="324"/>
        <v>0.8133266872344963</v>
      </c>
      <c r="Z116" s="151">
        <f t="shared" si="324"/>
        <v>0.82103710667481056</v>
      </c>
      <c r="AA116" s="151">
        <f t="shared" si="324"/>
        <v>0.82842905226867702</v>
      </c>
      <c r="AB116" s="151">
        <f t="shared" si="324"/>
        <v>0.83551567837062302</v>
      </c>
      <c r="AC116" s="151">
        <f t="shared" si="324"/>
        <v>0.8423095960031407</v>
      </c>
      <c r="AD116" s="137">
        <f t="shared" si="253"/>
        <v>-8.5436756372736511E-3</v>
      </c>
      <c r="AE116" s="20"/>
      <c r="AF116" s="20"/>
    </row>
    <row r="117" spans="2:32" x14ac:dyDescent="0.2">
      <c r="B117" s="20" t="s">
        <v>451</v>
      </c>
      <c r="C117" s="20"/>
      <c r="D117" s="20"/>
      <c r="E117" s="20"/>
      <c r="F117" s="151"/>
      <c r="G117" s="151">
        <f t="shared" ref="G117:P117" si="325">G114/G20</f>
        <v>0</v>
      </c>
      <c r="H117" s="151">
        <f t="shared" si="325"/>
        <v>0</v>
      </c>
      <c r="I117" s="151">
        <f t="shared" si="325"/>
        <v>0.20519999999999999</v>
      </c>
      <c r="J117" s="151">
        <f t="shared" si="325"/>
        <v>0.22424999999999998</v>
      </c>
      <c r="K117" s="151">
        <f t="shared" si="325"/>
        <v>6.7275000000000001E-2</v>
      </c>
      <c r="L117" s="151">
        <f t="shared" si="325"/>
        <v>5.9799999999999999E-2</v>
      </c>
      <c r="M117" s="151">
        <f t="shared" si="325"/>
        <v>0.1152</v>
      </c>
      <c r="N117" s="151">
        <f t="shared" si="325"/>
        <v>8.1299999999999997E-2</v>
      </c>
      <c r="O117" s="151">
        <f t="shared" si="325"/>
        <v>0.58650967741935478</v>
      </c>
      <c r="P117" s="151">
        <f t="shared" si="325"/>
        <v>4.1367857142857144E-2</v>
      </c>
      <c r="Q117" s="151">
        <f>Q114/Q20</f>
        <v>6.0715909090909098E-2</v>
      </c>
      <c r="R117" s="118" t="e">
        <f t="shared" si="251"/>
        <v>#DIV/0!</v>
      </c>
      <c r="S117" s="20"/>
      <c r="T117" s="151">
        <f>T114/T20</f>
        <v>5.820807806324111E-2</v>
      </c>
      <c r="U117" s="151">
        <f t="shared" ref="U117:AC117" si="326">U114/U20</f>
        <v>5.5803831360628983E-2</v>
      </c>
      <c r="V117" s="151">
        <f t="shared" si="326"/>
        <v>5.3498890500081282E-2</v>
      </c>
      <c r="W117" s="151">
        <f t="shared" si="326"/>
        <v>5.1289153718556205E-2</v>
      </c>
      <c r="X117" s="151">
        <f t="shared" si="326"/>
        <v>4.917068867365932E-2</v>
      </c>
      <c r="Y117" s="151">
        <f t="shared" si="326"/>
        <v>4.7139725445834273E-2</v>
      </c>
      <c r="Z117" s="151">
        <f t="shared" si="326"/>
        <v>4.5192649829593305E-2</v>
      </c>
      <c r="AA117" s="151">
        <f t="shared" si="326"/>
        <v>4.332599690184924E-2</v>
      </c>
      <c r="AB117" s="151">
        <f t="shared" si="326"/>
        <v>4.1536444855903298E-2</v>
      </c>
      <c r="AC117" s="151">
        <f t="shared" si="326"/>
        <v>3.982080909011599E-2</v>
      </c>
      <c r="AD117" s="137" t="s">
        <v>452</v>
      </c>
      <c r="AE117" s="20"/>
      <c r="AF117" s="20"/>
    </row>
    <row r="118" spans="2:32" x14ac:dyDescent="0.2">
      <c r="B118" s="20"/>
      <c r="C118" s="20"/>
      <c r="D118" s="20"/>
      <c r="E118" s="20"/>
      <c r="F118" s="20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28"/>
      <c r="S118" s="20"/>
      <c r="T118" s="151"/>
      <c r="U118" s="151"/>
      <c r="V118" s="151"/>
      <c r="W118" s="151"/>
      <c r="X118" s="151"/>
      <c r="Y118" s="151"/>
      <c r="Z118" s="151"/>
      <c r="AA118" s="151"/>
      <c r="AB118" s="151"/>
      <c r="AC118" s="151"/>
      <c r="AD118" s="128"/>
      <c r="AE118" s="20"/>
      <c r="AF118" s="20"/>
    </row>
    <row r="119" spans="2:32" x14ac:dyDescent="0.2">
      <c r="B119" s="20" t="s">
        <v>331</v>
      </c>
      <c r="C119" s="151"/>
      <c r="D119" s="151"/>
      <c r="E119" s="151"/>
      <c r="F119" s="151"/>
      <c r="G119" s="151">
        <f>G31/G25</f>
        <v>0</v>
      </c>
      <c r="H119" s="151">
        <f t="shared" ref="H119:P119" si="327">H31/H25</f>
        <v>0</v>
      </c>
      <c r="I119" s="151">
        <f t="shared" si="327"/>
        <v>0</v>
      </c>
      <c r="J119" s="151">
        <f t="shared" si="327"/>
        <v>0</v>
      </c>
      <c r="K119" s="151">
        <f t="shared" si="327"/>
        <v>0</v>
      </c>
      <c r="L119" s="151">
        <f t="shared" si="327"/>
        <v>0</v>
      </c>
      <c r="M119" s="151">
        <f t="shared" si="327"/>
        <v>0</v>
      </c>
      <c r="N119" s="151">
        <f t="shared" si="327"/>
        <v>0</v>
      </c>
      <c r="O119" s="151">
        <f t="shared" si="327"/>
        <v>0</v>
      </c>
      <c r="P119" s="151">
        <f t="shared" si="327"/>
        <v>0</v>
      </c>
      <c r="Q119" s="151">
        <f t="shared" ref="Q119" si="328">Q31/Q25</f>
        <v>0</v>
      </c>
      <c r="R119" s="118" t="e">
        <f t="shared" si="251"/>
        <v>#DIV/0!</v>
      </c>
      <c r="S119" s="20"/>
      <c r="T119" s="151">
        <f t="shared" ref="T119:AC119" si="329">T31/T25</f>
        <v>0</v>
      </c>
      <c r="U119" s="151">
        <f t="shared" si="329"/>
        <v>0</v>
      </c>
      <c r="V119" s="151">
        <f t="shared" si="329"/>
        <v>0</v>
      </c>
      <c r="W119" s="151">
        <f t="shared" si="329"/>
        <v>0</v>
      </c>
      <c r="X119" s="151">
        <f t="shared" si="329"/>
        <v>0</v>
      </c>
      <c r="Y119" s="151">
        <f t="shared" si="329"/>
        <v>0</v>
      </c>
      <c r="Z119" s="151">
        <f t="shared" si="329"/>
        <v>0</v>
      </c>
      <c r="AA119" s="151">
        <f t="shared" si="329"/>
        <v>0</v>
      </c>
      <c r="AB119" s="151">
        <f t="shared" si="329"/>
        <v>0</v>
      </c>
      <c r="AC119" s="151">
        <f t="shared" si="329"/>
        <v>0</v>
      </c>
      <c r="AD119" s="137" t="e">
        <f t="shared" si="253"/>
        <v>#DIV/0!</v>
      </c>
      <c r="AE119" s="20"/>
      <c r="AF119" s="20"/>
    </row>
    <row r="120" spans="2:32" x14ac:dyDescent="0.2">
      <c r="B120" s="20" t="s">
        <v>328</v>
      </c>
      <c r="C120" s="151"/>
      <c r="D120" s="151"/>
      <c r="E120" s="151"/>
      <c r="F120" s="151"/>
      <c r="G120" s="151">
        <f>G32/G25</f>
        <v>0</v>
      </c>
      <c r="H120" s="151">
        <f t="shared" ref="H120:P120" si="330">H32/H25</f>
        <v>0</v>
      </c>
      <c r="I120" s="151">
        <f t="shared" si="330"/>
        <v>0</v>
      </c>
      <c r="J120" s="151">
        <f t="shared" si="330"/>
        <v>0</v>
      </c>
      <c r="K120" s="151">
        <f t="shared" si="330"/>
        <v>0</v>
      </c>
      <c r="L120" s="151">
        <f t="shared" si="330"/>
        <v>0</v>
      </c>
      <c r="M120" s="151">
        <f t="shared" si="330"/>
        <v>0</v>
      </c>
      <c r="N120" s="151">
        <f t="shared" si="330"/>
        <v>0</v>
      </c>
      <c r="O120" s="151">
        <f t="shared" si="330"/>
        <v>0</v>
      </c>
      <c r="P120" s="151">
        <f t="shared" si="330"/>
        <v>0</v>
      </c>
      <c r="Q120" s="151">
        <f>Q32/Q25</f>
        <v>0</v>
      </c>
      <c r="R120" s="118" t="e">
        <f t="shared" si="251"/>
        <v>#DIV/0!</v>
      </c>
      <c r="S120" s="20"/>
      <c r="T120" s="151">
        <f t="shared" ref="T120:AC120" si="331">T32/T25</f>
        <v>0</v>
      </c>
      <c r="U120" s="151">
        <f t="shared" si="331"/>
        <v>0</v>
      </c>
      <c r="V120" s="151">
        <f t="shared" si="331"/>
        <v>0</v>
      </c>
      <c r="W120" s="151">
        <f t="shared" si="331"/>
        <v>0</v>
      </c>
      <c r="X120" s="151">
        <f t="shared" si="331"/>
        <v>0</v>
      </c>
      <c r="Y120" s="151">
        <f t="shared" si="331"/>
        <v>0</v>
      </c>
      <c r="Z120" s="151">
        <f t="shared" si="331"/>
        <v>0</v>
      </c>
      <c r="AA120" s="151">
        <f t="shared" si="331"/>
        <v>0</v>
      </c>
      <c r="AB120" s="151">
        <f t="shared" si="331"/>
        <v>0</v>
      </c>
      <c r="AC120" s="151">
        <f t="shared" si="331"/>
        <v>0</v>
      </c>
      <c r="AD120" s="137" t="e">
        <f t="shared" si="253"/>
        <v>#DIV/0!</v>
      </c>
      <c r="AE120" s="20"/>
      <c r="AF120" s="20"/>
    </row>
    <row r="121" spans="2:32" x14ac:dyDescent="0.2">
      <c r="B121" s="20" t="s">
        <v>459</v>
      </c>
      <c r="C121" s="151"/>
      <c r="D121" s="151"/>
      <c r="E121" s="151"/>
      <c r="F121" s="151"/>
      <c r="G121" s="151">
        <f t="shared" ref="G121:P121" si="332">(G31+G32)/G25</f>
        <v>0</v>
      </c>
      <c r="H121" s="151">
        <f t="shared" si="332"/>
        <v>0</v>
      </c>
      <c r="I121" s="151">
        <f t="shared" si="332"/>
        <v>0</v>
      </c>
      <c r="J121" s="151">
        <f t="shared" si="332"/>
        <v>0</v>
      </c>
      <c r="K121" s="151">
        <f t="shared" si="332"/>
        <v>0</v>
      </c>
      <c r="L121" s="151">
        <f t="shared" si="332"/>
        <v>0</v>
      </c>
      <c r="M121" s="151">
        <f t="shared" si="332"/>
        <v>0</v>
      </c>
      <c r="N121" s="151">
        <f t="shared" si="332"/>
        <v>0</v>
      </c>
      <c r="O121" s="151">
        <f t="shared" si="332"/>
        <v>0</v>
      </c>
      <c r="P121" s="151">
        <f t="shared" si="332"/>
        <v>0</v>
      </c>
      <c r="Q121" s="151">
        <f>(Q31+Q32)/Q25</f>
        <v>0</v>
      </c>
      <c r="R121" s="118" t="e">
        <f t="shared" si="251"/>
        <v>#DIV/0!</v>
      </c>
      <c r="S121" s="20"/>
      <c r="T121" s="151">
        <f>(T31+T32)/T25</f>
        <v>0</v>
      </c>
      <c r="U121" s="151">
        <f t="shared" ref="U121:AC121" si="333">(U31+U32)/U25</f>
        <v>0</v>
      </c>
      <c r="V121" s="151">
        <f t="shared" si="333"/>
        <v>0</v>
      </c>
      <c r="W121" s="151">
        <f t="shared" si="333"/>
        <v>0</v>
      </c>
      <c r="X121" s="151">
        <f t="shared" si="333"/>
        <v>0</v>
      </c>
      <c r="Y121" s="151">
        <f t="shared" si="333"/>
        <v>0</v>
      </c>
      <c r="Z121" s="151">
        <f t="shared" si="333"/>
        <v>0</v>
      </c>
      <c r="AA121" s="151">
        <f t="shared" si="333"/>
        <v>0</v>
      </c>
      <c r="AB121" s="151">
        <f t="shared" si="333"/>
        <v>0</v>
      </c>
      <c r="AC121" s="151">
        <f t="shared" si="333"/>
        <v>0</v>
      </c>
      <c r="AD121" s="137" t="e">
        <f t="shared" si="253"/>
        <v>#DIV/0!</v>
      </c>
      <c r="AE121" s="20"/>
      <c r="AF121" s="20"/>
    </row>
    <row r="122" spans="2:32" x14ac:dyDescent="0.2">
      <c r="B122" s="20"/>
      <c r="C122" s="20"/>
      <c r="D122" s="20"/>
      <c r="E122" s="20"/>
      <c r="F122" s="20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28"/>
      <c r="S122" s="20"/>
      <c r="T122" s="151"/>
      <c r="U122" s="151"/>
      <c r="V122" s="151"/>
      <c r="W122" s="151"/>
      <c r="X122" s="151"/>
      <c r="Y122" s="151"/>
      <c r="Z122" s="151"/>
      <c r="AA122" s="151"/>
      <c r="AB122" s="151"/>
      <c r="AC122" s="151"/>
      <c r="AD122" s="128"/>
      <c r="AE122" s="20"/>
      <c r="AF122" s="20"/>
    </row>
    <row r="123" spans="2:32" x14ac:dyDescent="0.2">
      <c r="B123" s="20" t="s">
        <v>352</v>
      </c>
      <c r="C123" s="20"/>
      <c r="D123" s="20"/>
      <c r="E123" s="20"/>
      <c r="F123" s="20"/>
      <c r="G123" s="151">
        <f>G27/G25</f>
        <v>0.82</v>
      </c>
      <c r="H123" s="151">
        <f t="shared" ref="H123:P123" si="334">H27/H25</f>
        <v>0.84090909090909094</v>
      </c>
      <c r="I123" s="151">
        <f t="shared" si="334"/>
        <v>0.84962406015037595</v>
      </c>
      <c r="J123" s="151">
        <f t="shared" si="334"/>
        <v>0.83490566037735847</v>
      </c>
      <c r="K123" s="151">
        <f t="shared" si="334"/>
        <v>0.80592105263157898</v>
      </c>
      <c r="L123" s="151">
        <f t="shared" si="334"/>
        <v>0.85101010101010099</v>
      </c>
      <c r="M123" s="151">
        <f t="shared" si="334"/>
        <v>0.86803519061583578</v>
      </c>
      <c r="N123" s="151">
        <f t="shared" si="334"/>
        <v>0.78891257995735609</v>
      </c>
      <c r="O123" s="151">
        <f t="shared" si="334"/>
        <v>0.83269230769230773</v>
      </c>
      <c r="P123" s="151">
        <f t="shared" si="334"/>
        <v>0.84624846248462482</v>
      </c>
      <c r="Q123" s="151">
        <f t="shared" ref="Q123" si="335">Q27/Q25</f>
        <v>0.83333333333333337</v>
      </c>
      <c r="R123" s="118">
        <f t="shared" si="251"/>
        <v>3.5070985411558286E-3</v>
      </c>
      <c r="S123" s="20"/>
      <c r="T123" s="151">
        <f t="shared" ref="T123:AC123" si="336">T27/T25</f>
        <v>0.83333333333333337</v>
      </c>
      <c r="U123" s="151">
        <f t="shared" si="336"/>
        <v>0.83333333333333337</v>
      </c>
      <c r="V123" s="151">
        <f t="shared" si="336"/>
        <v>0.83333333333333337</v>
      </c>
      <c r="W123" s="151">
        <f t="shared" si="336"/>
        <v>0.83333333333333326</v>
      </c>
      <c r="X123" s="151">
        <f t="shared" si="336"/>
        <v>0.83333333333333337</v>
      </c>
      <c r="Y123" s="151">
        <f t="shared" si="336"/>
        <v>0.83333333333333337</v>
      </c>
      <c r="Z123" s="151">
        <f t="shared" si="336"/>
        <v>0.83333333333333337</v>
      </c>
      <c r="AA123" s="151">
        <f t="shared" si="336"/>
        <v>0.83333333333333348</v>
      </c>
      <c r="AB123" s="151">
        <f t="shared" si="336"/>
        <v>0.83333333333333348</v>
      </c>
      <c r="AC123" s="151">
        <f t="shared" si="336"/>
        <v>0.83333333333333359</v>
      </c>
      <c r="AD123" s="137">
        <f t="shared" si="253"/>
        <v>8.0679438013375737E-4</v>
      </c>
      <c r="AE123" s="20"/>
      <c r="AF123" s="20"/>
    </row>
    <row r="124" spans="2:32" x14ac:dyDescent="0.2">
      <c r="B124" s="20" t="str">
        <f>B33</f>
        <v>Top Expenses ( SG&amp;A )</v>
      </c>
      <c r="C124" s="20"/>
      <c r="D124" s="20"/>
      <c r="E124" s="20"/>
      <c r="F124" s="20"/>
      <c r="G124" s="151">
        <f>G33/G25</f>
        <v>0.1</v>
      </c>
      <c r="H124" s="151">
        <f t="shared" ref="H124:P124" si="337">H33/H25</f>
        <v>0.43181818181818182</v>
      </c>
      <c r="I124" s="151">
        <f t="shared" si="337"/>
        <v>0.19548872180451127</v>
      </c>
      <c r="J124" s="151">
        <f t="shared" si="337"/>
        <v>0.35849056603773582</v>
      </c>
      <c r="K124" s="151">
        <f t="shared" si="337"/>
        <v>0.33223684210526316</v>
      </c>
      <c r="L124" s="151">
        <f t="shared" si="337"/>
        <v>0.34595959595959597</v>
      </c>
      <c r="M124" s="151">
        <f t="shared" si="337"/>
        <v>7.331378299120235E-2</v>
      </c>
      <c r="N124" s="151">
        <f t="shared" si="337"/>
        <v>0.35607675906183367</v>
      </c>
      <c r="O124" s="151">
        <f t="shared" si="337"/>
        <v>0.3923076923076923</v>
      </c>
      <c r="P124" s="151">
        <f t="shared" si="337"/>
        <v>0.43419434194341944</v>
      </c>
      <c r="Q124" s="151">
        <f t="shared" ref="Q124" si="338">Q33/Q25</f>
        <v>0.36270190895741555</v>
      </c>
      <c r="R124" s="118">
        <f t="shared" si="251"/>
        <v>0.17720960128037966</v>
      </c>
      <c r="S124" s="20"/>
      <c r="T124" s="151">
        <f t="shared" ref="T124:AC124" si="339">T33/T25</f>
        <v>0.3627019089574155</v>
      </c>
      <c r="U124" s="151">
        <f t="shared" si="339"/>
        <v>0.3627019089574155</v>
      </c>
      <c r="V124" s="151">
        <f t="shared" si="339"/>
        <v>0.3627019089574155</v>
      </c>
      <c r="W124" s="151">
        <f t="shared" si="339"/>
        <v>0.3627019089574155</v>
      </c>
      <c r="X124" s="151">
        <f t="shared" si="339"/>
        <v>0.3627019089574155</v>
      </c>
      <c r="Y124" s="151">
        <f t="shared" si="339"/>
        <v>0.3627019089574155</v>
      </c>
      <c r="Z124" s="151">
        <f t="shared" si="339"/>
        <v>0.36270190895741555</v>
      </c>
      <c r="AA124" s="151">
        <f t="shared" si="339"/>
        <v>0.36270190895741555</v>
      </c>
      <c r="AB124" s="151">
        <f t="shared" si="339"/>
        <v>0.36270190895741555</v>
      </c>
      <c r="AC124" s="151">
        <f t="shared" si="339"/>
        <v>0.36270190895741561</v>
      </c>
      <c r="AD124" s="137">
        <f t="shared" si="253"/>
        <v>6.6540844793223641E-2</v>
      </c>
      <c r="AE124" s="20"/>
      <c r="AF124" s="20"/>
    </row>
    <row r="125" spans="2:32" x14ac:dyDescent="0.2">
      <c r="B125" s="20" t="str">
        <f>B34</f>
        <v>2nd highest Expenses Comp. ( Empl )</v>
      </c>
      <c r="C125" s="20"/>
      <c r="D125" s="20"/>
      <c r="E125" s="20"/>
      <c r="F125" s="20"/>
      <c r="G125" s="151">
        <f>G34/G25</f>
        <v>0.12</v>
      </c>
      <c r="H125" s="151">
        <f t="shared" ref="H125:P125" si="340">H34/H25</f>
        <v>7.9545454545454544E-2</v>
      </c>
      <c r="I125" s="151">
        <f t="shared" si="340"/>
        <v>9.7744360902255634E-2</v>
      </c>
      <c r="J125" s="151">
        <f t="shared" si="340"/>
        <v>8.9622641509433956E-2</v>
      </c>
      <c r="K125" s="151">
        <f t="shared" si="340"/>
        <v>8.2236842105263164E-2</v>
      </c>
      <c r="L125" s="151">
        <f t="shared" si="340"/>
        <v>9.5959595959595953E-2</v>
      </c>
      <c r="M125" s="151">
        <f t="shared" si="340"/>
        <v>0.12316715542521994</v>
      </c>
      <c r="N125" s="151">
        <f t="shared" si="340"/>
        <v>0.10021321961620469</v>
      </c>
      <c r="O125" s="151">
        <f t="shared" si="340"/>
        <v>0.1076923076923077</v>
      </c>
      <c r="P125" s="151">
        <f t="shared" si="340"/>
        <v>9.7170971709717099E-2</v>
      </c>
      <c r="Q125" s="151">
        <f t="shared" ref="Q125" si="341">Q34/Q25</f>
        <v>9.1042584434654919E-2</v>
      </c>
      <c r="R125" s="118">
        <f t="shared" si="251"/>
        <v>-2.3173899035402235E-2</v>
      </c>
      <c r="S125" s="20"/>
      <c r="T125" s="151">
        <f t="shared" ref="T125:AC125" si="342">T34/T25</f>
        <v>9.1042584434654919E-2</v>
      </c>
      <c r="U125" s="151">
        <f t="shared" si="342"/>
        <v>9.1042584434654919E-2</v>
      </c>
      <c r="V125" s="151">
        <f t="shared" si="342"/>
        <v>9.1042584434654905E-2</v>
      </c>
      <c r="W125" s="151">
        <f t="shared" si="342"/>
        <v>9.1042584434654905E-2</v>
      </c>
      <c r="X125" s="151">
        <f t="shared" si="342"/>
        <v>9.1042584434654919E-2</v>
      </c>
      <c r="Y125" s="151">
        <f t="shared" si="342"/>
        <v>9.1042584434654919E-2</v>
      </c>
      <c r="Z125" s="151">
        <f t="shared" si="342"/>
        <v>9.1042584434654933E-2</v>
      </c>
      <c r="AA125" s="151">
        <f t="shared" si="342"/>
        <v>9.1042584434654933E-2</v>
      </c>
      <c r="AB125" s="151">
        <f t="shared" si="342"/>
        <v>9.1042584434654947E-2</v>
      </c>
      <c r="AC125" s="151">
        <f t="shared" si="342"/>
        <v>9.1042584434654947E-2</v>
      </c>
      <c r="AD125" s="137">
        <f t="shared" si="253"/>
        <v>-1.3713323070386085E-2</v>
      </c>
      <c r="AE125" s="20"/>
      <c r="AF125" s="20"/>
    </row>
    <row r="126" spans="2:32" x14ac:dyDescent="0.2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128"/>
      <c r="S126" s="128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38"/>
      <c r="AE126" s="20"/>
      <c r="AF126" s="20"/>
    </row>
    <row r="127" spans="2:32" x14ac:dyDescent="0.2">
      <c r="B127" s="108" t="s">
        <v>360</v>
      </c>
      <c r="C127" s="20"/>
      <c r="D127" s="20"/>
      <c r="E127" s="20"/>
      <c r="F127" s="20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118"/>
      <c r="S127" s="128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137"/>
      <c r="AE127" s="20"/>
      <c r="AF127" s="20"/>
    </row>
    <row r="128" spans="2:32" x14ac:dyDescent="0.2">
      <c r="B128" s="20" t="s">
        <v>363</v>
      </c>
      <c r="C128" s="20"/>
      <c r="D128" s="20"/>
      <c r="E128" s="20"/>
      <c r="F128" s="20"/>
      <c r="G128" s="25">
        <f>G15/G9</f>
        <v>0.5</v>
      </c>
      <c r="H128" s="25">
        <f t="shared" ref="H128:AC128" si="343">H15/H9</f>
        <v>0.26315789473684209</v>
      </c>
      <c r="I128" s="25">
        <f t="shared" si="343"/>
        <v>2.4285714285714284</v>
      </c>
      <c r="J128" s="25">
        <f t="shared" si="343"/>
        <v>0.47499999999999998</v>
      </c>
      <c r="K128" s="25">
        <f t="shared" si="343"/>
        <v>0.62068965517241381</v>
      </c>
      <c r="L128" s="25">
        <f t="shared" si="343"/>
        <v>0.2857142857142857</v>
      </c>
      <c r="M128" s="25">
        <f t="shared" si="343"/>
        <v>0.26373626373626374</v>
      </c>
      <c r="N128" s="25">
        <f t="shared" si="343"/>
        <v>0.92682926829268297</v>
      </c>
      <c r="O128" s="25">
        <f t="shared" si="343"/>
        <v>0.42424242424242425</v>
      </c>
      <c r="P128" s="25">
        <f t="shared" si="343"/>
        <v>0.36885245901639346</v>
      </c>
      <c r="Q128" s="25">
        <f t="shared" ref="Q128" si="344">Q15/Q9</f>
        <v>0.26315789473684209</v>
      </c>
      <c r="R128" s="118">
        <f t="shared" si="251"/>
        <v>-3.3236383547282422E-2</v>
      </c>
      <c r="S128" s="20"/>
      <c r="T128" s="20">
        <f t="shared" si="343"/>
        <v>0.26315789473684209</v>
      </c>
      <c r="U128" s="20">
        <f t="shared" si="343"/>
        <v>0.26315789473684209</v>
      </c>
      <c r="V128" s="20">
        <f t="shared" si="343"/>
        <v>0.26315789473684215</v>
      </c>
      <c r="W128" s="20">
        <f t="shared" si="343"/>
        <v>0.26315789473684209</v>
      </c>
      <c r="X128" s="20">
        <f t="shared" si="343"/>
        <v>0.26315789473684209</v>
      </c>
      <c r="Y128" s="20">
        <f t="shared" si="343"/>
        <v>0.26315789473684215</v>
      </c>
      <c r="Z128" s="20">
        <f t="shared" si="343"/>
        <v>0.26315789473684209</v>
      </c>
      <c r="AA128" s="20">
        <f t="shared" si="343"/>
        <v>0.26315789473684209</v>
      </c>
      <c r="AB128" s="20">
        <f t="shared" si="343"/>
        <v>0.26315789473684209</v>
      </c>
      <c r="AC128" s="20">
        <f t="shared" si="343"/>
        <v>0.26315789473684215</v>
      </c>
      <c r="AD128" s="137">
        <f t="shared" si="253"/>
        <v>-3.158318880813249E-2</v>
      </c>
      <c r="AE128" s="20"/>
      <c r="AF128" s="20"/>
    </row>
    <row r="129" spans="2:32" x14ac:dyDescent="0.2">
      <c r="B129" s="20" t="s">
        <v>353</v>
      </c>
      <c r="C129" s="20"/>
      <c r="D129" s="20"/>
      <c r="E129" s="20"/>
      <c r="F129" s="20"/>
      <c r="G129" s="25">
        <f>G12/G9</f>
        <v>0.25</v>
      </c>
      <c r="H129" s="25">
        <f t="shared" ref="H129:P129" si="345">H12/H9</f>
        <v>0.52631578947368418</v>
      </c>
      <c r="I129" s="25">
        <f t="shared" si="345"/>
        <v>2.25</v>
      </c>
      <c r="J129" s="25">
        <f t="shared" si="345"/>
        <v>0.25</v>
      </c>
      <c r="K129" s="25">
        <f t="shared" si="345"/>
        <v>0.36206896551724138</v>
      </c>
      <c r="L129" s="25">
        <f t="shared" si="345"/>
        <v>4.3956043956043959E-2</v>
      </c>
      <c r="M129" s="25">
        <f t="shared" si="345"/>
        <v>0.23076923076923078</v>
      </c>
      <c r="N129" s="25">
        <f t="shared" si="345"/>
        <v>0.64227642276422769</v>
      </c>
      <c r="O129" s="25">
        <f t="shared" si="345"/>
        <v>0.15909090909090909</v>
      </c>
      <c r="P129" s="25">
        <f t="shared" si="345"/>
        <v>0.15163934426229508</v>
      </c>
      <c r="Q129" s="25">
        <f t="shared" ref="Q129" si="346">Q12/Q9</f>
        <v>7.8947368421052627E-2</v>
      </c>
      <c r="R129" s="118">
        <f t="shared" si="251"/>
        <v>-5.4035901296554667E-2</v>
      </c>
      <c r="S129" s="128"/>
      <c r="T129" s="20">
        <f t="shared" ref="T129:AC129" si="347">T12/T9</f>
        <v>7.8947368421052627E-2</v>
      </c>
      <c r="U129" s="20">
        <f t="shared" si="347"/>
        <v>7.8947368421052641E-2</v>
      </c>
      <c r="V129" s="20">
        <f t="shared" si="347"/>
        <v>7.8947368421052641E-2</v>
      </c>
      <c r="W129" s="20">
        <f t="shared" si="347"/>
        <v>7.8947368421052641E-2</v>
      </c>
      <c r="X129" s="20">
        <f t="shared" si="347"/>
        <v>7.8947368421052641E-2</v>
      </c>
      <c r="Y129" s="20">
        <f t="shared" si="347"/>
        <v>7.8947368421052641E-2</v>
      </c>
      <c r="Z129" s="20">
        <f t="shared" si="347"/>
        <v>7.8947368421052641E-2</v>
      </c>
      <c r="AA129" s="20">
        <f t="shared" si="347"/>
        <v>7.8947368421052641E-2</v>
      </c>
      <c r="AB129" s="20">
        <f t="shared" si="347"/>
        <v>7.8947368421052641E-2</v>
      </c>
      <c r="AC129" s="20">
        <f t="shared" si="347"/>
        <v>7.8947368421052655E-2</v>
      </c>
      <c r="AD129" s="118">
        <f t="shared" ref="AD129" si="348">((AC129/T129)^(1/($H$2-$H$1) ))-1</f>
        <v>0</v>
      </c>
      <c r="AE129" s="20"/>
      <c r="AF129" s="20"/>
    </row>
    <row r="130" spans="2:32" x14ac:dyDescent="0.2">
      <c r="B130" s="20" t="s">
        <v>355</v>
      </c>
      <c r="C130" s="20"/>
      <c r="D130" s="20"/>
      <c r="E130" s="20"/>
      <c r="F130" s="20"/>
      <c r="G130" s="25">
        <f>G25/360</f>
        <v>0.1388888888888889</v>
      </c>
      <c r="H130" s="25">
        <f t="shared" ref="H130:P130" si="349">H25/360</f>
        <v>0.24444444444444444</v>
      </c>
      <c r="I130" s="25">
        <f t="shared" si="349"/>
        <v>0.36944444444444446</v>
      </c>
      <c r="J130" s="25">
        <f t="shared" si="349"/>
        <v>0.58888888888888891</v>
      </c>
      <c r="K130" s="25">
        <f t="shared" si="349"/>
        <v>0.84444444444444444</v>
      </c>
      <c r="L130" s="25">
        <f t="shared" si="349"/>
        <v>1.1000000000000001</v>
      </c>
      <c r="M130" s="25">
        <f t="shared" si="349"/>
        <v>0.94722222222222219</v>
      </c>
      <c r="N130" s="25">
        <f t="shared" si="349"/>
        <v>1.3027777777777778</v>
      </c>
      <c r="O130" s="25">
        <f t="shared" si="349"/>
        <v>1.4444444444444444</v>
      </c>
      <c r="P130" s="25">
        <f t="shared" si="349"/>
        <v>2.2583333333333333</v>
      </c>
      <c r="Q130" s="25">
        <f t="shared" ref="Q130" si="350">Q25/360</f>
        <v>3.7833333333333332</v>
      </c>
      <c r="R130" s="118">
        <f t="shared" si="251"/>
        <v>0.36322941670165365</v>
      </c>
      <c r="S130" s="128"/>
      <c r="T130" s="25">
        <f t="shared" ref="T130:AC130" si="351">T25/360</f>
        <v>4.3508333333333331</v>
      </c>
      <c r="U130" s="25">
        <f t="shared" si="351"/>
        <v>5.0034583333333327</v>
      </c>
      <c r="V130" s="25">
        <f t="shared" si="351"/>
        <v>5.753977083333333</v>
      </c>
      <c r="W130" s="25">
        <f t="shared" si="351"/>
        <v>6.6170736458333321</v>
      </c>
      <c r="X130" s="25">
        <f t="shared" si="351"/>
        <v>7.6096346927083305</v>
      </c>
      <c r="Y130" s="25">
        <f t="shared" si="351"/>
        <v>8.7510798966145806</v>
      </c>
      <c r="Z130" s="25">
        <f t="shared" si="351"/>
        <v>10.063741881106766</v>
      </c>
      <c r="AA130" s="25">
        <f t="shared" si="351"/>
        <v>11.573303163272779</v>
      </c>
      <c r="AB130" s="25">
        <f t="shared" si="351"/>
        <v>13.309298637763694</v>
      </c>
      <c r="AC130" s="25">
        <f t="shared" si="351"/>
        <v>15.305693433428246</v>
      </c>
      <c r="AD130" s="118">
        <f t="shared" ref="AD130:AD141" si="352">((AC130/T130)^(1/($H$2-$H$1) ))-1</f>
        <v>0.14999999999999991</v>
      </c>
      <c r="AE130" s="20"/>
      <c r="AF130" s="20"/>
    </row>
    <row r="131" spans="2:32" x14ac:dyDescent="0.2">
      <c r="B131" s="20" t="s">
        <v>354</v>
      </c>
      <c r="C131" s="20"/>
      <c r="D131" s="20"/>
      <c r="E131" s="20"/>
      <c r="F131" s="20"/>
      <c r="G131" s="25">
        <f>G27/360</f>
        <v>0.11388888888888889</v>
      </c>
      <c r="H131" s="25">
        <f t="shared" ref="H131:P131" si="353">H27/360</f>
        <v>0.20555555555555555</v>
      </c>
      <c r="I131" s="25">
        <f t="shared" si="353"/>
        <v>0.31388888888888888</v>
      </c>
      <c r="J131" s="25">
        <f t="shared" si="353"/>
        <v>0.49166666666666664</v>
      </c>
      <c r="K131" s="25">
        <f t="shared" si="353"/>
        <v>0.68055555555555558</v>
      </c>
      <c r="L131" s="25">
        <f t="shared" si="353"/>
        <v>0.93611111111111112</v>
      </c>
      <c r="M131" s="25">
        <f t="shared" si="353"/>
        <v>0.82222222222222219</v>
      </c>
      <c r="N131" s="25">
        <f t="shared" si="353"/>
        <v>1.0277777777777777</v>
      </c>
      <c r="O131" s="25">
        <f t="shared" si="353"/>
        <v>1.2027777777777777</v>
      </c>
      <c r="P131" s="25">
        <f t="shared" si="353"/>
        <v>1.9111111111111112</v>
      </c>
      <c r="Q131" s="25">
        <f t="shared" ref="Q131" si="354">Q27/360</f>
        <v>3.1527777777777777</v>
      </c>
      <c r="R131" s="118">
        <f t="shared" si="251"/>
        <v>0.36801039660022883</v>
      </c>
      <c r="S131" s="128"/>
      <c r="T131" s="25">
        <f t="shared" ref="T131:AC131" si="355">T27/360</f>
        <v>3.6256944444444446</v>
      </c>
      <c r="U131" s="25">
        <f t="shared" si="355"/>
        <v>4.1695486111111109</v>
      </c>
      <c r="V131" s="25">
        <f t="shared" si="355"/>
        <v>4.7949809027777768</v>
      </c>
      <c r="W131" s="25">
        <f t="shared" si="355"/>
        <v>5.5142280381944433</v>
      </c>
      <c r="X131" s="25">
        <f t="shared" si="355"/>
        <v>6.3413622439236086</v>
      </c>
      <c r="Y131" s="25">
        <f t="shared" si="355"/>
        <v>7.2925665805121502</v>
      </c>
      <c r="Z131" s="25">
        <f t="shared" si="355"/>
        <v>8.3864515675889724</v>
      </c>
      <c r="AA131" s="25">
        <f t="shared" si="355"/>
        <v>9.644419302727318</v>
      </c>
      <c r="AB131" s="25">
        <f t="shared" si="355"/>
        <v>11.091082198136414</v>
      </c>
      <c r="AC131" s="25">
        <f t="shared" si="355"/>
        <v>12.754744527856875</v>
      </c>
      <c r="AD131" s="118">
        <f t="shared" si="352"/>
        <v>0.14999999999999991</v>
      </c>
      <c r="AE131" s="20"/>
      <c r="AF131" s="20"/>
    </row>
    <row r="132" spans="2:32" x14ac:dyDescent="0.2">
      <c r="B132" s="20"/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128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128"/>
      <c r="AE132" s="20"/>
      <c r="AF132" s="20"/>
    </row>
    <row r="133" spans="2:32" x14ac:dyDescent="0.2">
      <c r="B133" s="20" t="s">
        <v>364</v>
      </c>
      <c r="C133" s="20"/>
      <c r="D133" s="20"/>
      <c r="E133" s="20"/>
      <c r="F133" s="20"/>
      <c r="G133" s="25">
        <f>G10/G7</f>
        <v>0.967741935483871</v>
      </c>
      <c r="H133" s="25">
        <f t="shared" ref="H133:P133" si="356">H10/H7</f>
        <v>0.86792452830188682</v>
      </c>
      <c r="I133" s="25">
        <f t="shared" si="356"/>
        <v>0.32124352331606215</v>
      </c>
      <c r="J133" s="25">
        <f t="shared" si="356"/>
        <v>0.42499999999999999</v>
      </c>
      <c r="K133" s="25">
        <f t="shared" si="356"/>
        <v>0.6398104265402843</v>
      </c>
      <c r="L133" s="25">
        <f t="shared" si="356"/>
        <v>0.53531598513011147</v>
      </c>
      <c r="M133" s="25">
        <f t="shared" si="356"/>
        <v>0.58252427184466016</v>
      </c>
      <c r="N133" s="25">
        <f t="shared" si="356"/>
        <v>0.38709677419354838</v>
      </c>
      <c r="O133" s="25">
        <f t="shared" si="356"/>
        <v>0.61484098939929333</v>
      </c>
      <c r="P133" s="25">
        <f t="shared" si="356"/>
        <v>0.93613707165109039</v>
      </c>
      <c r="Q133" s="25">
        <f t="shared" ref="Q133" si="357">Q10/Q7</f>
        <v>1.2807017543859649</v>
      </c>
      <c r="R133" s="118">
        <f t="shared" si="251"/>
        <v>-3.6824858828056195E-3</v>
      </c>
      <c r="S133" s="128"/>
      <c r="T133" s="25">
        <f t="shared" ref="T133:AC133" si="358">T10/T7</f>
        <v>1.2807017543859649</v>
      </c>
      <c r="U133" s="25">
        <f t="shared" si="358"/>
        <v>1.2807017543859649</v>
      </c>
      <c r="V133" s="25">
        <f t="shared" si="358"/>
        <v>1.2807017543859649</v>
      </c>
      <c r="W133" s="25">
        <f t="shared" si="358"/>
        <v>1.2807017543859649</v>
      </c>
      <c r="X133" s="25">
        <f t="shared" si="358"/>
        <v>1.2807017543859647</v>
      </c>
      <c r="Y133" s="25">
        <f t="shared" si="358"/>
        <v>1.2807017543859649</v>
      </c>
      <c r="Z133" s="25">
        <f t="shared" si="358"/>
        <v>1.2807017543859649</v>
      </c>
      <c r="AA133" s="25">
        <f t="shared" si="358"/>
        <v>1.2807017543859649</v>
      </c>
      <c r="AB133" s="25">
        <f t="shared" si="358"/>
        <v>1.2807017543859649</v>
      </c>
      <c r="AC133" s="25">
        <f t="shared" si="358"/>
        <v>1.2807017543859649</v>
      </c>
      <c r="AD133" s="118">
        <f t="shared" si="352"/>
        <v>0</v>
      </c>
      <c r="AE133" s="20"/>
      <c r="AF133" s="20"/>
    </row>
    <row r="134" spans="2:32" x14ac:dyDescent="0.2">
      <c r="B134" s="20" t="s">
        <v>356</v>
      </c>
      <c r="C134" s="20"/>
      <c r="D134" s="20"/>
      <c r="E134" s="20"/>
      <c r="F134" s="20"/>
      <c r="G134" s="25">
        <f>G10/(G10+G7)</f>
        <v>0.49180327868852458</v>
      </c>
      <c r="H134" s="25">
        <f t="shared" ref="H134:P134" si="359">H10/(H10+H7)</f>
        <v>0.46464646464646464</v>
      </c>
      <c r="I134" s="25">
        <f t="shared" si="359"/>
        <v>0.24313725490196078</v>
      </c>
      <c r="J134" s="25">
        <f t="shared" si="359"/>
        <v>0.2982456140350877</v>
      </c>
      <c r="K134" s="25">
        <f t="shared" si="359"/>
        <v>0.39017341040462428</v>
      </c>
      <c r="L134" s="25">
        <f t="shared" si="359"/>
        <v>0.34866828087167068</v>
      </c>
      <c r="M134" s="25">
        <f t="shared" si="359"/>
        <v>0.36809815950920244</v>
      </c>
      <c r="N134" s="25">
        <f t="shared" si="359"/>
        <v>0.27906976744186046</v>
      </c>
      <c r="O134" s="25">
        <f t="shared" si="359"/>
        <v>0.38074398249452956</v>
      </c>
      <c r="P134" s="25">
        <f t="shared" si="359"/>
        <v>0.48350764279967817</v>
      </c>
      <c r="Q134" s="25">
        <f t="shared" ref="Q134" si="360">Q10/(Q10+Q7)</f>
        <v>0.56153846153846154</v>
      </c>
      <c r="R134" s="118">
        <f t="shared" si="251"/>
        <v>-1.8884007749515597E-3</v>
      </c>
      <c r="S134" s="128"/>
      <c r="T134" s="25">
        <f t="shared" ref="T134:AC134" si="361">T10/(T10+T7)</f>
        <v>0.56153846153846154</v>
      </c>
      <c r="U134" s="25">
        <f t="shared" si="361"/>
        <v>0.56153846153846154</v>
      </c>
      <c r="V134" s="25">
        <f t="shared" si="361"/>
        <v>0.56153846153846154</v>
      </c>
      <c r="W134" s="25">
        <f t="shared" si="361"/>
        <v>0.56153846153846154</v>
      </c>
      <c r="X134" s="25">
        <f t="shared" si="361"/>
        <v>0.56153846153846154</v>
      </c>
      <c r="Y134" s="25">
        <f t="shared" si="361"/>
        <v>0.56153846153846154</v>
      </c>
      <c r="Z134" s="25">
        <f t="shared" si="361"/>
        <v>0.56153846153846154</v>
      </c>
      <c r="AA134" s="25">
        <f t="shared" si="361"/>
        <v>0.56153846153846154</v>
      </c>
      <c r="AB134" s="25">
        <f t="shared" si="361"/>
        <v>0.56153846153846154</v>
      </c>
      <c r="AC134" s="25">
        <f t="shared" si="361"/>
        <v>0.56153846153846154</v>
      </c>
      <c r="AD134" s="118">
        <f t="shared" si="352"/>
        <v>0</v>
      </c>
      <c r="AE134" s="20"/>
      <c r="AF134" s="20"/>
    </row>
    <row r="135" spans="2:32" x14ac:dyDescent="0.2">
      <c r="B135" s="20"/>
      <c r="C135" s="20"/>
      <c r="D135" s="20"/>
      <c r="E135" s="20"/>
      <c r="F135" s="20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128"/>
      <c r="S135" s="128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136"/>
      <c r="AE135" s="20"/>
      <c r="AF135" s="20"/>
    </row>
    <row r="136" spans="2:32" x14ac:dyDescent="0.2">
      <c r="B136" s="20" t="s">
        <v>361</v>
      </c>
      <c r="C136" s="20"/>
      <c r="D136" s="20"/>
      <c r="E136" s="20"/>
      <c r="F136" s="20"/>
      <c r="G136" s="25">
        <f>G16</f>
        <v>11</v>
      </c>
      <c r="H136" s="25">
        <f t="shared" ref="H136:P136" si="362">H16</f>
        <v>13</v>
      </c>
      <c r="I136" s="25">
        <f t="shared" si="362"/>
        <v>65</v>
      </c>
      <c r="J136" s="25">
        <f t="shared" si="362"/>
        <v>31</v>
      </c>
      <c r="K136" s="25">
        <f t="shared" si="362"/>
        <v>29</v>
      </c>
      <c r="L136" s="25">
        <f t="shared" si="362"/>
        <v>34</v>
      </c>
      <c r="M136" s="25">
        <f t="shared" si="362"/>
        <v>56</v>
      </c>
      <c r="N136" s="25">
        <f t="shared" si="362"/>
        <v>102</v>
      </c>
      <c r="O136" s="25">
        <f t="shared" si="362"/>
        <v>83</v>
      </c>
      <c r="P136" s="25">
        <f t="shared" si="362"/>
        <v>104</v>
      </c>
      <c r="Q136" s="25">
        <f t="shared" ref="Q136" si="363">Q16</f>
        <v>38</v>
      </c>
      <c r="R136" s="118">
        <f t="shared" si="251"/>
        <v>0.28352554680741981</v>
      </c>
      <c r="S136" s="128"/>
      <c r="T136" s="25">
        <f t="shared" ref="T136:AC136" si="364">T16</f>
        <v>43.699999999999996</v>
      </c>
      <c r="U136" s="25">
        <f t="shared" si="364"/>
        <v>50.254999999999988</v>
      </c>
      <c r="V136" s="25">
        <f t="shared" si="364"/>
        <v>57.793249999999979</v>
      </c>
      <c r="W136" s="25">
        <f t="shared" si="364"/>
        <v>66.462237499999972</v>
      </c>
      <c r="X136" s="25">
        <f t="shared" si="364"/>
        <v>76.431573124999957</v>
      </c>
      <c r="Y136" s="25">
        <f t="shared" si="364"/>
        <v>87.896309093749949</v>
      </c>
      <c r="Z136" s="25">
        <f t="shared" si="364"/>
        <v>101.08075545781243</v>
      </c>
      <c r="AA136" s="25">
        <f t="shared" si="364"/>
        <v>116.24286877648429</v>
      </c>
      <c r="AB136" s="25">
        <f t="shared" si="364"/>
        <v>133.67929909295691</v>
      </c>
      <c r="AC136" s="25">
        <f t="shared" si="364"/>
        <v>153.73119395690043</v>
      </c>
      <c r="AD136" s="118">
        <f t="shared" si="352"/>
        <v>0.14999999999999991</v>
      </c>
      <c r="AE136" s="20"/>
      <c r="AF136" s="20"/>
    </row>
    <row r="137" spans="2:32" x14ac:dyDescent="0.2">
      <c r="B137" s="20" t="s">
        <v>362</v>
      </c>
      <c r="C137" s="20"/>
      <c r="D137" s="20"/>
      <c r="E137" s="20"/>
      <c r="F137" s="20"/>
      <c r="G137" s="119">
        <f t="shared" ref="G137:P137" si="365">G136*365/G25</f>
        <v>80.3</v>
      </c>
      <c r="H137" s="119">
        <f t="shared" si="365"/>
        <v>53.920454545454547</v>
      </c>
      <c r="I137" s="119">
        <f t="shared" si="365"/>
        <v>178.38345864661653</v>
      </c>
      <c r="J137" s="119">
        <f t="shared" si="365"/>
        <v>53.372641509433961</v>
      </c>
      <c r="K137" s="119">
        <f t="shared" si="365"/>
        <v>34.819078947368418</v>
      </c>
      <c r="L137" s="119">
        <f t="shared" si="365"/>
        <v>31.338383838383837</v>
      </c>
      <c r="M137" s="119">
        <f t="shared" si="365"/>
        <v>59.941348973607035</v>
      </c>
      <c r="N137" s="119">
        <f t="shared" si="365"/>
        <v>79.381663113006397</v>
      </c>
      <c r="O137" s="119">
        <f t="shared" si="365"/>
        <v>58.259615384615387</v>
      </c>
      <c r="P137" s="119">
        <f t="shared" si="365"/>
        <v>46.691266912669128</v>
      </c>
      <c r="Q137" s="119">
        <f t="shared" ref="Q137" si="366">Q136*365/Q25</f>
        <v>10.183553597650514</v>
      </c>
      <c r="R137" s="118">
        <f t="shared" si="251"/>
        <v>-5.8466952750387602E-2</v>
      </c>
      <c r="S137" s="128"/>
      <c r="T137" s="119">
        <f t="shared" ref="T137:AC137" si="367">T136*365/T25</f>
        <v>10.183553597650514</v>
      </c>
      <c r="U137" s="119">
        <f t="shared" si="367"/>
        <v>10.183553597650514</v>
      </c>
      <c r="V137" s="119">
        <f t="shared" si="367"/>
        <v>10.183553597650512</v>
      </c>
      <c r="W137" s="119">
        <f t="shared" si="367"/>
        <v>10.183553597650512</v>
      </c>
      <c r="X137" s="119">
        <f t="shared" si="367"/>
        <v>10.183553597650512</v>
      </c>
      <c r="Y137" s="119">
        <f t="shared" si="367"/>
        <v>10.183553597650512</v>
      </c>
      <c r="Z137" s="119">
        <f t="shared" si="367"/>
        <v>10.183553597650512</v>
      </c>
      <c r="AA137" s="119">
        <f t="shared" si="367"/>
        <v>10.183553597650512</v>
      </c>
      <c r="AB137" s="119">
        <f t="shared" si="367"/>
        <v>10.183553597650514</v>
      </c>
      <c r="AC137" s="119">
        <f t="shared" si="367"/>
        <v>10.183553597650514</v>
      </c>
      <c r="AD137" s="118">
        <f t="shared" si="352"/>
        <v>0</v>
      </c>
      <c r="AE137" s="20"/>
      <c r="AF137" s="20"/>
    </row>
    <row r="138" spans="2:32" x14ac:dyDescent="0.2">
      <c r="B138" s="20" t="s">
        <v>365</v>
      </c>
      <c r="C138" s="20"/>
      <c r="D138" s="20"/>
      <c r="E138" s="20"/>
      <c r="F138" s="20"/>
      <c r="G138" s="133">
        <f>G82/G29</f>
        <v>2.6315789473684208</v>
      </c>
      <c r="H138" s="133">
        <f t="shared" ref="H138:P138" si="368">H82/H29</f>
        <v>2.3529411764705883</v>
      </c>
      <c r="I138" s="133">
        <f t="shared" si="368"/>
        <v>2.4853801169590644</v>
      </c>
      <c r="J138" s="133">
        <f t="shared" si="368"/>
        <v>1.8633540372670809</v>
      </c>
      <c r="K138" s="133">
        <f t="shared" si="368"/>
        <v>2.560386473429952</v>
      </c>
      <c r="L138" s="133">
        <f t="shared" si="368"/>
        <v>1.5838509316770186</v>
      </c>
      <c r="M138" s="133">
        <f t="shared" si="368"/>
        <v>0.82465277777777779</v>
      </c>
      <c r="N138" s="133">
        <f t="shared" si="368"/>
        <v>2.0525830258302582</v>
      </c>
      <c r="O138" s="133">
        <f t="shared" si="368"/>
        <v>1.6087516087516087</v>
      </c>
      <c r="P138" s="133">
        <f t="shared" si="368"/>
        <v>0.79852579852579852</v>
      </c>
      <c r="Q138" s="133">
        <f t="shared" ref="Q138" si="369">Q82/Q29</f>
        <v>0.64476885644768855</v>
      </c>
      <c r="R138" s="118">
        <f t="shared" si="251"/>
        <v>-0.12410407594802531</v>
      </c>
      <c r="S138" s="128"/>
      <c r="T138" s="133">
        <f t="shared" ref="T138:AC138" si="370">T82/T29</f>
        <v>0.61406557756922719</v>
      </c>
      <c r="U138" s="133">
        <f t="shared" si="370"/>
        <v>0.58482435958974011</v>
      </c>
      <c r="V138" s="133">
        <f t="shared" si="370"/>
        <v>0.5569755805616573</v>
      </c>
      <c r="W138" s="133">
        <f t="shared" si="370"/>
        <v>0.53045293386824488</v>
      </c>
      <c r="X138" s="133">
        <f t="shared" si="370"/>
        <v>0.50519327035070938</v>
      </c>
      <c r="Y138" s="133">
        <f t="shared" si="370"/>
        <v>0.48113644795305655</v>
      </c>
      <c r="Z138" s="133">
        <f t="shared" si="370"/>
        <v>0.45822518852672045</v>
      </c>
      <c r="AA138" s="133">
        <f t="shared" si="370"/>
        <v>0.43640494145401942</v>
      </c>
      <c r="AB138" s="133">
        <f t="shared" si="370"/>
        <v>0.4156237537657328</v>
      </c>
      <c r="AC138" s="133">
        <f t="shared" si="370"/>
        <v>0.39583214644355502</v>
      </c>
      <c r="AD138" s="118">
        <f t="shared" si="352"/>
        <v>-4.7619047619047672E-2</v>
      </c>
      <c r="AE138" s="20"/>
      <c r="AF138" s="20"/>
    </row>
    <row r="139" spans="2:32" x14ac:dyDescent="0.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28"/>
      <c r="S139" s="128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136"/>
      <c r="AE139" s="20"/>
      <c r="AF139" s="20"/>
    </row>
    <row r="140" spans="2:32" x14ac:dyDescent="0.2">
      <c r="B140" s="20" t="s">
        <v>372</v>
      </c>
      <c r="C140" s="20"/>
      <c r="D140" s="20"/>
      <c r="E140" s="20"/>
      <c r="F140" s="20"/>
      <c r="G140" s="179">
        <f>G25/G14</f>
        <v>161.29032258064515</v>
      </c>
      <c r="H140" s="179">
        <f t="shared" ref="H140:P140" si="371">H25/H14</f>
        <v>125.71428571428572</v>
      </c>
      <c r="I140" s="179">
        <f t="shared" si="371"/>
        <v>144.56521739130434</v>
      </c>
      <c r="J140" s="179">
        <f t="shared" si="371"/>
        <v>106</v>
      </c>
      <c r="K140" s="179">
        <f t="shared" si="371"/>
        <v>152</v>
      </c>
      <c r="L140" s="179">
        <f t="shared" si="371"/>
        <v>132</v>
      </c>
      <c r="M140" s="179">
        <f t="shared" si="371"/>
        <v>85.25</v>
      </c>
      <c r="N140" s="179">
        <f t="shared" si="371"/>
        <v>93.8</v>
      </c>
      <c r="O140" s="179">
        <f t="shared" si="371"/>
        <v>65</v>
      </c>
      <c r="P140" s="179">
        <f t="shared" si="371"/>
        <v>73.909090909090907</v>
      </c>
      <c r="Q140" s="179">
        <f t="shared" ref="Q140" si="372">Q25/Q14</f>
        <v>123.81818181818181</v>
      </c>
      <c r="R140" s="118">
        <f t="shared" si="251"/>
        <v>-8.3055007106729861E-2</v>
      </c>
      <c r="S140" s="128"/>
      <c r="T140" s="20">
        <f t="shared" ref="T140" si="373">T25/T14</f>
        <v>123.81818181818183</v>
      </c>
      <c r="U140" s="20">
        <f t="shared" ref="U140:AC140" si="374">U25/U14</f>
        <v>123.81818181818183</v>
      </c>
      <c r="V140" s="20">
        <f t="shared" si="374"/>
        <v>123.81818181818184</v>
      </c>
      <c r="W140" s="20">
        <f t="shared" si="374"/>
        <v>123.81818181818183</v>
      </c>
      <c r="X140" s="20">
        <f t="shared" si="374"/>
        <v>123.81818181818183</v>
      </c>
      <c r="Y140" s="20">
        <f t="shared" si="374"/>
        <v>123.81818181818183</v>
      </c>
      <c r="Z140" s="20">
        <f t="shared" si="374"/>
        <v>123.81818181818181</v>
      </c>
      <c r="AA140" s="20">
        <f t="shared" si="374"/>
        <v>123.81818181818181</v>
      </c>
      <c r="AB140" s="20">
        <f t="shared" si="374"/>
        <v>123.81818181818181</v>
      </c>
      <c r="AC140" s="20">
        <f t="shared" si="374"/>
        <v>123.81818181818181</v>
      </c>
      <c r="AD140" s="118">
        <f t="shared" si="352"/>
        <v>0</v>
      </c>
      <c r="AE140" s="20"/>
      <c r="AF140" s="20"/>
    </row>
    <row r="141" spans="2:32" x14ac:dyDescent="0.2">
      <c r="B141" s="20" t="s">
        <v>373</v>
      </c>
      <c r="C141" s="20"/>
      <c r="D141" s="20"/>
      <c r="E141" s="20"/>
      <c r="F141" s="20"/>
      <c r="G141" s="179">
        <f>G27/G14</f>
        <v>132.25806451612902</v>
      </c>
      <c r="H141" s="179">
        <f t="shared" ref="H141:P141" si="375">H27/H14</f>
        <v>105.71428571428572</v>
      </c>
      <c r="I141" s="179">
        <f t="shared" si="375"/>
        <v>122.82608695652173</v>
      </c>
      <c r="J141" s="179">
        <f t="shared" si="375"/>
        <v>88.5</v>
      </c>
      <c r="K141" s="179">
        <f t="shared" si="375"/>
        <v>122.5</v>
      </c>
      <c r="L141" s="179">
        <f t="shared" si="375"/>
        <v>112.33333333333333</v>
      </c>
      <c r="M141" s="179">
        <f t="shared" si="375"/>
        <v>74</v>
      </c>
      <c r="N141" s="179">
        <f t="shared" si="375"/>
        <v>74</v>
      </c>
      <c r="O141" s="179">
        <f t="shared" si="375"/>
        <v>54.125</v>
      </c>
      <c r="P141" s="179">
        <f t="shared" si="375"/>
        <v>62.545454545454547</v>
      </c>
      <c r="Q141" s="179">
        <f t="shared" ref="Q141" si="376">Q27/Q14</f>
        <v>103.18181818181819</v>
      </c>
      <c r="R141" s="118">
        <f t="shared" si="251"/>
        <v>-7.9839190659833692E-2</v>
      </c>
      <c r="S141" s="128"/>
      <c r="T141" s="20">
        <f t="shared" ref="T141:AC141" si="377">T27/T14</f>
        <v>103.18181818181819</v>
      </c>
      <c r="U141" s="20">
        <f t="shared" si="377"/>
        <v>103.18181818181819</v>
      </c>
      <c r="V141" s="20">
        <f t="shared" si="377"/>
        <v>103.1818181818182</v>
      </c>
      <c r="W141" s="20">
        <f t="shared" si="377"/>
        <v>103.18181818181819</v>
      </c>
      <c r="X141" s="20">
        <f t="shared" si="377"/>
        <v>103.18181818181819</v>
      </c>
      <c r="Y141" s="20">
        <f t="shared" si="377"/>
        <v>103.18181818181819</v>
      </c>
      <c r="Z141" s="20">
        <f t="shared" si="377"/>
        <v>103.18181818181819</v>
      </c>
      <c r="AA141" s="20">
        <f t="shared" si="377"/>
        <v>103.18181818181819</v>
      </c>
      <c r="AB141" s="20">
        <f t="shared" si="377"/>
        <v>103.1818181818182</v>
      </c>
      <c r="AC141" s="20">
        <f t="shared" si="377"/>
        <v>103.1818181818182</v>
      </c>
      <c r="AD141" s="118">
        <f t="shared" si="352"/>
        <v>0</v>
      </c>
      <c r="AE141" s="20"/>
      <c r="AF141" s="20"/>
    </row>
    <row r="142" spans="2:32" x14ac:dyDescent="0.2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28"/>
      <c r="S142" s="128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36"/>
      <c r="AE142" s="20"/>
      <c r="AF142" s="20"/>
    </row>
    <row r="143" spans="2:32" x14ac:dyDescent="0.2">
      <c r="B143" s="108" t="s">
        <v>244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3"/>
      <c r="S143" s="23"/>
      <c r="T143" s="122" t="s">
        <v>66</v>
      </c>
      <c r="U143" s="20"/>
      <c r="V143" s="20"/>
      <c r="W143" s="20"/>
      <c r="X143" s="20"/>
      <c r="Y143" s="20"/>
      <c r="Z143" s="20"/>
      <c r="AA143" s="20"/>
      <c r="AB143" s="20"/>
      <c r="AC143" s="20"/>
      <c r="AD143" s="136"/>
      <c r="AE143" s="20"/>
      <c r="AF143" s="20"/>
    </row>
    <row r="144" spans="2:32" x14ac:dyDescent="0.2">
      <c r="B144" s="23" t="s">
        <v>280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5"/>
      <c r="Q144" s="25"/>
      <c r="R144" s="159">
        <f>AVERAGE(G56:Q56)</f>
        <v>5.1987945301018845</v>
      </c>
      <c r="S144" s="23"/>
      <c r="T144" s="193" t="s">
        <v>428</v>
      </c>
      <c r="U144" s="194" t="s">
        <v>429</v>
      </c>
      <c r="V144" s="20"/>
      <c r="W144" s="20"/>
      <c r="X144" s="20"/>
      <c r="Y144" s="20"/>
      <c r="Z144" s="20"/>
      <c r="AA144" s="20"/>
      <c r="AB144" s="20"/>
      <c r="AC144" s="20"/>
      <c r="AD144" s="136"/>
      <c r="AE144" s="20"/>
      <c r="AF144" s="20"/>
    </row>
    <row r="145" spans="2:32" x14ac:dyDescent="0.2">
      <c r="B145" s="20" t="s">
        <v>25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39">
        <f>T145+U145</f>
        <v>61.832126748227623</v>
      </c>
      <c r="T145" s="133">
        <f>PV($C$1, ($AC$3-$T$3), 0, -AC56)</f>
        <v>6.8120139637877886</v>
      </c>
      <c r="U145" s="133">
        <f>PV($C$1, ($AC$3-$T$3), 0, -AF56)</f>
        <v>55.020112784439831</v>
      </c>
      <c r="V145" s="20"/>
      <c r="W145" s="20"/>
      <c r="X145" s="20"/>
      <c r="Y145" s="20"/>
      <c r="Z145" s="20"/>
      <c r="AA145" s="20"/>
      <c r="AB145" s="20"/>
      <c r="AC145" s="20"/>
      <c r="AD145" s="136"/>
      <c r="AE145" s="20"/>
      <c r="AF145" s="20"/>
    </row>
    <row r="146" spans="2:32" x14ac:dyDescent="0.2">
      <c r="B146" s="20" t="s">
        <v>272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39">
        <f t="shared" ref="S146:S164" si="378">T146+U146</f>
        <v>493.42037145085646</v>
      </c>
      <c r="T146" s="133">
        <f>PV($C$1, ($AC$3-$T$3), 0, -AC58)</f>
        <v>54.359871431026562</v>
      </c>
      <c r="U146" s="133">
        <f>PV($C$1, ($AC$3-$T$3), 0, -AF58)</f>
        <v>439.06050001982993</v>
      </c>
      <c r="V146" s="20"/>
      <c r="W146" s="20"/>
      <c r="X146" s="20"/>
      <c r="Y146" s="20"/>
      <c r="Z146" s="20"/>
      <c r="AA146" s="20"/>
      <c r="AB146" s="20"/>
      <c r="AC146" s="20"/>
      <c r="AD146" s="136"/>
      <c r="AE146" s="20"/>
      <c r="AF146" s="20"/>
    </row>
    <row r="147" spans="2:32" x14ac:dyDescent="0.2">
      <c r="B147" s="20" t="s">
        <v>273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39">
        <f t="shared" si="378"/>
        <v>442.71802751730991</v>
      </c>
      <c r="T147" s="133">
        <f>PV($C$1, ($AC$3-$T$3), 0, -AC59)</f>
        <v>48.774019980720581</v>
      </c>
      <c r="U147" s="133">
        <f>PV($C$1, ($AC$3-$T$3), 0, -AF59)</f>
        <v>393.94400753658931</v>
      </c>
      <c r="V147" s="20"/>
      <c r="W147" s="20"/>
      <c r="X147" s="20"/>
      <c r="Y147" s="20"/>
      <c r="Z147" s="20"/>
      <c r="AA147" s="20"/>
      <c r="AB147" s="20"/>
      <c r="AC147" s="20"/>
      <c r="AD147" s="136"/>
      <c r="AE147" s="20"/>
      <c r="AF147" s="20"/>
    </row>
    <row r="148" spans="2:32" x14ac:dyDescent="0.2">
      <c r="B148" s="20" t="s">
        <v>274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39">
        <f t="shared" si="378"/>
        <v>631.92433536688645</v>
      </c>
      <c r="T148" s="133">
        <f>PV($C$1, ($AC$3-$T$3), 0, -AC60)</f>
        <v>69.618782709911216</v>
      </c>
      <c r="U148" s="133">
        <f>PV($C$1, ($AC$3-$T$3), 0, -AF60)</f>
        <v>562.30555265697524</v>
      </c>
      <c r="V148" s="20"/>
      <c r="W148" s="20"/>
      <c r="X148" s="20"/>
      <c r="Y148" s="20"/>
      <c r="Z148" s="20"/>
      <c r="AA148" s="20"/>
      <c r="AB148" s="20"/>
      <c r="AC148" s="20"/>
      <c r="AD148" s="136"/>
      <c r="AE148" s="20"/>
      <c r="AF148" s="20"/>
    </row>
    <row r="149" spans="2:32" x14ac:dyDescent="0.2">
      <c r="B149" s="20" t="s">
        <v>275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39">
        <f t="shared" si="378"/>
        <v>33.38934844404293</v>
      </c>
      <c r="T149" s="133">
        <f>PV($C$1, ($AC$3-$T$3), 0, -AC66)</f>
        <v>3.6784875404454072</v>
      </c>
      <c r="U149" s="133">
        <f>PV($C$1, ($AC$3-$T$3), 0, -AF66)</f>
        <v>29.710860903597521</v>
      </c>
      <c r="V149" s="20"/>
      <c r="W149" s="20"/>
      <c r="X149" s="20"/>
      <c r="Y149" s="20"/>
      <c r="Z149" s="20"/>
      <c r="AA149" s="20"/>
      <c r="AB149" s="20"/>
      <c r="AC149" s="20"/>
      <c r="AD149" s="136"/>
      <c r="AE149" s="20"/>
      <c r="AF149" s="20"/>
    </row>
    <row r="150" spans="2:32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39"/>
      <c r="T150" s="133"/>
      <c r="U150" s="20"/>
      <c r="V150" s="20"/>
      <c r="W150" s="20"/>
      <c r="X150" s="20"/>
      <c r="Y150" s="20"/>
      <c r="Z150" s="20"/>
      <c r="AA150" s="20"/>
      <c r="AB150" s="20"/>
      <c r="AC150" s="20"/>
      <c r="AD150" s="136"/>
      <c r="AE150" s="20"/>
      <c r="AF150" s="20"/>
    </row>
    <row r="151" spans="2:32" x14ac:dyDescent="0.2">
      <c r="B151" s="20" t="s">
        <v>270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39">
        <f t="shared" si="378"/>
        <v>-138.50396391602993</v>
      </c>
      <c r="T151" s="133">
        <f>PV($C$1, ($AC$3-$T$3), 0, -AC62)</f>
        <v>-15.258911278884652</v>
      </c>
      <c r="U151" s="133">
        <f>PV($C$1, ($AC$3-$T$3), 0, -$AF$62)</f>
        <v>-123.24505263714528</v>
      </c>
      <c r="V151" s="20"/>
      <c r="W151" s="20"/>
      <c r="X151" s="20"/>
      <c r="Y151" s="20"/>
      <c r="Z151" s="20"/>
      <c r="AA151" s="20"/>
      <c r="AB151" s="20"/>
      <c r="AC151" s="20"/>
      <c r="AD151" s="136"/>
      <c r="AE151" s="20"/>
      <c r="AF151" s="20"/>
    </row>
    <row r="152" spans="2:32" x14ac:dyDescent="0.2">
      <c r="B152" s="20" t="s">
        <v>271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39">
        <f t="shared" si="378"/>
        <v>-561.43571087390683</v>
      </c>
      <c r="T152" s="133">
        <f>PV($C$1, ($AC$3-$T$3), 0, -AC63)</f>
        <v>-61.853086791193121</v>
      </c>
      <c r="U152" s="133">
        <f>PV($C$1, ($AC$3-$T$3), 0, -$AF$63)</f>
        <v>-499.58262408271366</v>
      </c>
      <c r="V152" s="20"/>
      <c r="W152" s="20"/>
      <c r="X152" s="20"/>
      <c r="Y152" s="20"/>
      <c r="Z152" s="20"/>
      <c r="AA152" s="20"/>
      <c r="AB152" s="20"/>
      <c r="AC152" s="20"/>
      <c r="AD152" s="136"/>
      <c r="AE152" s="20"/>
      <c r="AF152" s="20"/>
    </row>
    <row r="153" spans="2:32" x14ac:dyDescent="0.2">
      <c r="B153" s="20" t="s">
        <v>276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39">
        <f t="shared" si="378"/>
        <v>-450.13788272709712</v>
      </c>
      <c r="T153" s="133">
        <f>PV($C$1, ($AC$3-$T$3), 0, -AC64)</f>
        <v>-49.59146165637511</v>
      </c>
      <c r="U153" s="133">
        <f>PV($C$1, ($AC$3-$T$3), 0, -$AF$64)</f>
        <v>-400.54642107072203</v>
      </c>
      <c r="V153" s="20"/>
      <c r="W153" s="20"/>
      <c r="X153" s="20"/>
      <c r="Y153" s="20"/>
      <c r="Z153" s="20"/>
      <c r="AA153" s="20"/>
      <c r="AB153" s="20"/>
      <c r="AC153" s="20"/>
      <c r="AD153" s="136"/>
      <c r="AE153" s="20"/>
      <c r="AF153" s="20"/>
    </row>
    <row r="154" spans="2:32" x14ac:dyDescent="0.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39"/>
      <c r="T154" s="133"/>
      <c r="U154" s="20"/>
      <c r="V154" s="20"/>
      <c r="W154" s="20"/>
      <c r="X154" s="20"/>
      <c r="Y154" s="20"/>
      <c r="Z154" s="20"/>
      <c r="AA154" s="20"/>
      <c r="AB154" s="20"/>
      <c r="AC154" s="20"/>
      <c r="AD154" s="136"/>
      <c r="AE154" s="20"/>
      <c r="AF154" s="20"/>
    </row>
    <row r="155" spans="2:32" x14ac:dyDescent="0.2">
      <c r="B155" s="20" t="s">
        <v>249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39">
        <f t="shared" si="378"/>
        <v>111.29782814680972</v>
      </c>
      <c r="T155" s="133">
        <f>PV($C$1, ($AC$3-$T$3), 0, -AC69)</f>
        <v>12.26162513481802</v>
      </c>
      <c r="U155" s="133">
        <f>PV($C$1, ($AC$3-$T$3), 0, -AF69)</f>
        <v>99.036203011991702</v>
      </c>
      <c r="V155" s="20"/>
      <c r="W155" s="20"/>
      <c r="X155" s="20"/>
      <c r="Y155" s="20"/>
      <c r="Z155" s="20"/>
      <c r="AA155" s="20"/>
      <c r="AB155" s="20"/>
      <c r="AC155" s="20"/>
      <c r="AD155" s="136"/>
      <c r="AE155" s="20"/>
      <c r="AF155" s="20"/>
    </row>
    <row r="156" spans="2:32" x14ac:dyDescent="0.2">
      <c r="B156" s="20" t="s">
        <v>250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39">
        <f t="shared" si="378"/>
        <v>33.9389673484716</v>
      </c>
      <c r="T156" s="133">
        <f>PV($C$1, ($AC$3-$T$3), 0, -AC70)</f>
        <v>5.1771306124787184</v>
      </c>
      <c r="U156" s="133">
        <f>PV($C$1, ($AC$3-$T$3), 0, -AF70)</f>
        <v>28.761836735992883</v>
      </c>
      <c r="V156" s="20"/>
      <c r="W156" s="20"/>
      <c r="X156" s="20"/>
      <c r="Y156" s="20"/>
      <c r="Z156" s="20"/>
      <c r="AA156" s="20"/>
      <c r="AB156" s="20"/>
      <c r="AC156" s="20"/>
      <c r="AD156" s="136"/>
      <c r="AE156" s="20"/>
      <c r="AF156" s="20"/>
    </row>
    <row r="157" spans="2:32" x14ac:dyDescent="0.2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39"/>
      <c r="T157" s="133"/>
      <c r="U157" s="133"/>
      <c r="V157" s="20"/>
      <c r="W157" s="20"/>
      <c r="X157" s="20"/>
      <c r="Y157" s="20"/>
      <c r="Z157" s="20"/>
      <c r="AA157" s="20"/>
      <c r="AB157" s="20"/>
      <c r="AC157" s="20"/>
      <c r="AD157" s="136"/>
      <c r="AE157" s="20"/>
      <c r="AF157" s="20"/>
    </row>
    <row r="158" spans="2:32" x14ac:dyDescent="0.2">
      <c r="B158" s="20" t="s">
        <v>292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39">
        <f t="shared" ref="S158" si="379">T158+U158</f>
        <v>223.53357141833618</v>
      </c>
      <c r="T158" s="133">
        <f>PV($C$1, ($AC$3-$T$3), 0, -AC12)</f>
        <v>24.626579902020087</v>
      </c>
      <c r="U158" s="133">
        <f>PV($C$1, ($AC$3-$T$3), 0, -AF12)</f>
        <v>198.90699151631608</v>
      </c>
      <c r="V158" s="20"/>
      <c r="W158" s="20"/>
      <c r="X158" s="20"/>
      <c r="Y158" s="20"/>
      <c r="Z158" s="20"/>
      <c r="AA158" s="20"/>
      <c r="AB158" s="20"/>
      <c r="AC158" s="20"/>
      <c r="AD158" s="136"/>
      <c r="AE158" s="20"/>
      <c r="AF158" s="20"/>
    </row>
    <row r="159" spans="2:32" x14ac:dyDescent="0.2">
      <c r="B159" s="20" t="s">
        <v>293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39">
        <f>T159+U159</f>
        <v>56.447871570286914</v>
      </c>
      <c r="T159" s="139">
        <f>T158/P42</f>
        <v>6.2188333085909306</v>
      </c>
      <c r="U159" s="139">
        <f>U158/P42</f>
        <v>50.229038261695983</v>
      </c>
      <c r="V159" s="20"/>
      <c r="W159" s="20"/>
      <c r="X159" s="20"/>
      <c r="Y159" s="20"/>
      <c r="Z159" s="20"/>
      <c r="AA159" s="20"/>
      <c r="AB159" s="20"/>
      <c r="AC159" s="20"/>
      <c r="AD159" s="136"/>
      <c r="AE159" s="20"/>
      <c r="AF159" s="20"/>
    </row>
    <row r="160" spans="2:32" x14ac:dyDescent="0.2"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39"/>
      <c r="T160" s="139"/>
      <c r="U160" s="139"/>
      <c r="V160" s="20"/>
      <c r="W160" s="20"/>
      <c r="X160" s="20"/>
      <c r="Y160" s="20"/>
      <c r="Z160" s="20"/>
      <c r="AA160" s="20"/>
      <c r="AB160" s="20"/>
      <c r="AC160" s="20"/>
      <c r="AD160" s="136"/>
      <c r="AE160" s="20"/>
      <c r="AF160" s="20"/>
    </row>
    <row r="161" spans="2:32" x14ac:dyDescent="0.2">
      <c r="B161" s="108" t="s">
        <v>296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39"/>
      <c r="T161" s="133"/>
      <c r="U161" s="133"/>
      <c r="V161" s="20"/>
      <c r="W161" s="20"/>
      <c r="X161" s="20"/>
      <c r="Y161" s="20"/>
      <c r="Z161" s="20"/>
      <c r="AA161" s="20"/>
      <c r="AB161" s="20"/>
      <c r="AC161" s="20"/>
      <c r="AD161" s="136"/>
      <c r="AE161" s="20"/>
      <c r="AF161" s="20"/>
    </row>
    <row r="162" spans="2:32" x14ac:dyDescent="0.2">
      <c r="B162" s="20" t="s">
        <v>282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39">
        <f t="shared" ref="S162" si="380">T162+U162</f>
        <v>29.010666935745459</v>
      </c>
      <c r="T162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21.595159403325731</v>
      </c>
      <c r="U162" s="133">
        <f>PV($C$1, ($AC$3-$T$3), 0, -AF72)</f>
        <v>7.4155075324197277</v>
      </c>
      <c r="V162" s="20"/>
      <c r="W162" s="20"/>
      <c r="X162" s="20"/>
      <c r="Y162" s="20"/>
      <c r="Z162" s="20"/>
      <c r="AA162" s="20"/>
      <c r="AB162" s="20"/>
      <c r="AC162" s="20"/>
      <c r="AD162" s="136"/>
      <c r="AE162" s="20"/>
      <c r="AF162" s="20"/>
    </row>
    <row r="163" spans="2:32" x14ac:dyDescent="0.2">
      <c r="B163" s="23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39"/>
      <c r="T163" s="133"/>
      <c r="U163" s="133"/>
      <c r="V163" s="20"/>
      <c r="W163" s="20"/>
      <c r="X163" s="20"/>
      <c r="Y163" s="20"/>
      <c r="Z163" s="20"/>
      <c r="AA163" s="20"/>
      <c r="AB163" s="20"/>
      <c r="AC163" s="20"/>
      <c r="AD163" s="136"/>
      <c r="AE163" s="20"/>
      <c r="AF163" s="20"/>
    </row>
    <row r="164" spans="2:32" x14ac:dyDescent="0.2">
      <c r="B164" s="20" t="s">
        <v>289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39">
        <f t="shared" si="378"/>
        <v>2968.522478837197</v>
      </c>
      <c r="T164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2209.7291408305105</v>
      </c>
      <c r="U164" s="133">
        <f>PV($C$1, ($AC$3-$T$3), 0, -AF74)</f>
        <v>758.79333800668667</v>
      </c>
      <c r="V164" s="20"/>
      <c r="W164" s="20"/>
      <c r="X164" s="20"/>
      <c r="Y164" s="20"/>
      <c r="Z164" s="20"/>
      <c r="AA164" s="20"/>
      <c r="AB164" s="20"/>
      <c r="AC164" s="20"/>
      <c r="AD164" s="136"/>
      <c r="AE164" s="20"/>
      <c r="AF164" s="20"/>
    </row>
    <row r="165" spans="2:32" x14ac:dyDescent="0.2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39"/>
      <c r="T165" s="133"/>
      <c r="U165" s="133"/>
      <c r="V165" s="20"/>
      <c r="W165" s="20"/>
      <c r="X165" s="20"/>
      <c r="Y165" s="20"/>
      <c r="Z165" s="20"/>
      <c r="AA165" s="20"/>
      <c r="AB165" s="20"/>
      <c r="AC165" s="20"/>
      <c r="AD165" s="136"/>
      <c r="AE165" s="20"/>
      <c r="AF165" s="20"/>
    </row>
    <row r="166" spans="2:32" x14ac:dyDescent="0.2">
      <c r="B166" s="20" t="s">
        <v>460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39">
        <f t="shared" ref="S166:S169" si="381">T166+U166</f>
        <v>443.41004700530971</v>
      </c>
      <c r="T166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330.06861466936374</v>
      </c>
      <c r="U166" s="133">
        <f>PV($C$1, ($AC$3-$T$3), 0, -AF76)</f>
        <v>113.34143233594598</v>
      </c>
      <c r="V166" s="20"/>
      <c r="W166" s="20"/>
      <c r="X166" s="20"/>
      <c r="Y166" s="20"/>
      <c r="Z166" s="20"/>
      <c r="AA166" s="20"/>
      <c r="AB166" s="20"/>
      <c r="AC166" s="20"/>
      <c r="AD166" s="136"/>
      <c r="AE166" s="20"/>
      <c r="AF166" s="20"/>
    </row>
    <row r="167" spans="2:32" x14ac:dyDescent="0.2">
      <c r="B167" s="20" t="s">
        <v>286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39">
        <f t="shared" si="381"/>
        <v>852.38047870923663</v>
      </c>
      <c r="T167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634.50083208285491</v>
      </c>
      <c r="U167" s="133">
        <f>PV($C$1, ($AC$3-$T$3), 0, -AF77)</f>
        <v>217.87964662638169</v>
      </c>
      <c r="V167" s="20"/>
      <c r="W167" s="20"/>
      <c r="X167" s="20"/>
      <c r="Y167" s="20"/>
      <c r="Z167" s="20"/>
      <c r="AA167" s="20"/>
      <c r="AB167" s="20"/>
      <c r="AC167" s="20"/>
      <c r="AD167" s="136"/>
      <c r="AE167" s="20"/>
      <c r="AF167" s="20"/>
    </row>
    <row r="168" spans="2:32" x14ac:dyDescent="0.2">
      <c r="B168" s="20" t="s">
        <v>287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39">
        <f t="shared" si="381"/>
        <v>-408.97043170392681</v>
      </c>
      <c r="T168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-304.43221741349112</v>
      </c>
      <c r="U168" s="133">
        <f>PV($C$1, ($AC$3-$T$3), 0, -AF78)</f>
        <v>-104.53821429043572</v>
      </c>
      <c r="V168" s="20"/>
      <c r="W168" s="20"/>
      <c r="X168" s="20"/>
      <c r="Y168" s="20"/>
      <c r="Z168" s="20"/>
      <c r="AA168" s="20"/>
      <c r="AB168" s="20"/>
      <c r="AC168" s="20"/>
      <c r="AD168" s="136"/>
      <c r="AE168" s="20"/>
      <c r="AF168" s="20"/>
    </row>
    <row r="169" spans="2:32" x14ac:dyDescent="0.2">
      <c r="B169" s="20" t="s">
        <v>288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139">
        <f t="shared" si="381"/>
        <v>-495.06946995738502</v>
      </c>
      <c r="T169" s="133">
        <f>PV($C$1, ($AC$3-$T$3), 0, -AC79)+PV($C$1, ($AB$3-$T$3), 0, -AC79)+PV($C$1, ($AA$3-$T$3), 0, -AC79)+PV($C$1, ($Z$3-$T$3), 0, -AC79)+PV($C$1, ($Y$3-$T$3), 0, -AC79)+PV($C$1, ($X$3-$T$3), 0, -AC79)+PV($C$1, ($W$3-$T$3), 0, -AC79)+PV($C$1, ($V$3-$T$3), 0, -AC79)+PV($C$1, ($U$3-$T$3), 0, -AC79)+PV($C$1, ($T$3-$T$3), 0, -AC79)</f>
        <v>-368.52321055317339</v>
      </c>
      <c r="U169" s="133">
        <f>PV($C$1, ($AC$3-$T$3), 0, -AF79)</f>
        <v>-126.54625940421164</v>
      </c>
      <c r="V169" s="20"/>
      <c r="W169" s="20"/>
      <c r="X169" s="20"/>
      <c r="Y169" s="20"/>
      <c r="Z169" s="20"/>
      <c r="AA169" s="20"/>
      <c r="AB169" s="20"/>
      <c r="AC169" s="20"/>
      <c r="AD169" s="136"/>
      <c r="AE169" s="20"/>
      <c r="AF169" s="20"/>
    </row>
    <row r="170" spans="2:32" x14ac:dyDescent="0.2">
      <c r="B170" s="20" t="s">
        <v>458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112">
        <f>S167+S168+S169</f>
        <v>-51.659422952075204</v>
      </c>
      <c r="T170" s="112">
        <f t="shared" ref="T170:U170" si="382">T167+T168+T169</f>
        <v>-38.454595883809588</v>
      </c>
      <c r="U170" s="112">
        <f t="shared" si="382"/>
        <v>-13.204827068265672</v>
      </c>
      <c r="V170" s="20"/>
      <c r="W170" s="20"/>
      <c r="X170" s="20"/>
      <c r="Y170" s="20"/>
      <c r="Z170" s="20"/>
      <c r="AA170" s="20"/>
      <c r="AB170" s="20"/>
      <c r="AC170" s="20"/>
      <c r="AD170" s="136"/>
      <c r="AE170" s="20"/>
      <c r="AF170" s="20"/>
    </row>
    <row r="171" spans="2:32" x14ac:dyDescent="0.2"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139"/>
      <c r="T171" s="133"/>
      <c r="U171" s="133"/>
      <c r="V171" s="20"/>
      <c r="W171" s="20"/>
      <c r="X171" s="20"/>
      <c r="Y171" s="20"/>
      <c r="Z171" s="20"/>
      <c r="AA171" s="20"/>
      <c r="AB171" s="20"/>
      <c r="AC171" s="20"/>
      <c r="AD171" s="136"/>
      <c r="AE171" s="20"/>
      <c r="AF171" s="20"/>
    </row>
    <row r="172" spans="2:32" x14ac:dyDescent="0.2">
      <c r="B172" s="20" t="s">
        <v>297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139">
        <f>T172+U172</f>
        <v>55.964374864747882</v>
      </c>
      <c r="T172" s="133">
        <f>PV($C$1, ($AC$3-$T$3), 0, -AC80)+PV($C$1, ($AB$3-$T$3), 0, -AC80)+PV($C$1, ($AA$3-$T$3), 0, -AC80)+PV($C$1, ($Z$3-$T$3), 0, -AC80)+PV($C$1, ($Y$3-$T$3), 0, -AC80)+PV($C$1, ($X$3-$T$3), 0, -AC80)+PV($C$1, ($W$3-$T$3), 0, -AC80)+PV($C$1, ($V$3-$T$3), 0, -AC80)+PV($C$1, ($U$3-$T$3), 0, -AC80)+PV($C$1, ($T$3-$T$3), 0, -AC80)</f>
        <v>41.659145540793524</v>
      </c>
      <c r="U172" s="133">
        <f>PV($C$1, ($AC$3-$T$3), 0, -AF80)</f>
        <v>14.305229323954361</v>
      </c>
      <c r="V172" s="20"/>
      <c r="W172" s="20"/>
      <c r="X172" s="20"/>
      <c r="Y172" s="20"/>
      <c r="Z172" s="20"/>
      <c r="AA172" s="20"/>
      <c r="AB172" s="20"/>
      <c r="AC172" s="20"/>
      <c r="AD172" s="136"/>
      <c r="AE172" s="20"/>
      <c r="AF172" s="20"/>
    </row>
    <row r="173" spans="2:32" x14ac:dyDescent="0.2"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182">
        <v>41729</v>
      </c>
      <c r="P173" s="20">
        <v>490</v>
      </c>
      <c r="Q173" s="20"/>
      <c r="R173" s="20"/>
      <c r="S173" s="20"/>
      <c r="T173" s="121"/>
      <c r="U173" s="20"/>
      <c r="V173" s="20"/>
      <c r="W173" s="20"/>
      <c r="X173" s="20"/>
      <c r="Y173" s="20"/>
      <c r="Z173" s="20"/>
      <c r="AA173" s="20"/>
      <c r="AB173" s="20"/>
      <c r="AC173" s="20"/>
      <c r="AD173" s="136"/>
      <c r="AE173" s="20"/>
      <c r="AF173" s="20"/>
    </row>
    <row r="174" spans="2:32" x14ac:dyDescent="0.2">
      <c r="B174" s="108" t="s">
        <v>251</v>
      </c>
      <c r="C174" s="20"/>
      <c r="D174" s="20"/>
      <c r="E174" s="20"/>
      <c r="F174" s="20"/>
      <c r="G174" s="20"/>
      <c r="H174" s="20"/>
      <c r="I174" s="20">
        <v>0</v>
      </c>
      <c r="J174" s="20"/>
      <c r="K174" s="20"/>
      <c r="L174" s="20"/>
      <c r="M174" s="20"/>
      <c r="N174" s="20"/>
      <c r="O174" s="23" t="s">
        <v>388</v>
      </c>
      <c r="P174" s="20">
        <v>700</v>
      </c>
      <c r="Q174" s="20"/>
      <c r="R174" s="20" t="s">
        <v>390</v>
      </c>
      <c r="S174" s="23" t="s">
        <v>389</v>
      </c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136"/>
      <c r="AE174" s="20"/>
      <c r="AF174" s="20"/>
    </row>
    <row r="175" spans="2:32" x14ac:dyDescent="0.2">
      <c r="B175" s="20" t="s">
        <v>204</v>
      </c>
      <c r="C175" s="22">
        <v>0</v>
      </c>
      <c r="D175" s="22">
        <v>0</v>
      </c>
      <c r="E175" s="22">
        <v>0</v>
      </c>
      <c r="F175" s="22">
        <v>0</v>
      </c>
      <c r="G175" s="22">
        <v>0</v>
      </c>
      <c r="H175" s="22">
        <v>0</v>
      </c>
      <c r="I175" s="22">
        <v>50</v>
      </c>
      <c r="J175" s="22">
        <v>0</v>
      </c>
      <c r="K175" s="22">
        <v>180</v>
      </c>
      <c r="L175" s="22">
        <v>75</v>
      </c>
      <c r="M175" s="22">
        <v>170</v>
      </c>
      <c r="N175" s="22">
        <v>100</v>
      </c>
      <c r="O175" s="22">
        <v>145</v>
      </c>
      <c r="P175" s="22">
        <v>290</v>
      </c>
      <c r="Q175" s="22">
        <v>200</v>
      </c>
      <c r="R175" s="118" t="e">
        <f t="shared" ref="R175:R182" si="383">((P175/G175)^(1/($H$2-$H$1) ))-1</f>
        <v>#DIV/0!</v>
      </c>
      <c r="S175" s="31">
        <f>L2-3%</f>
        <v>0.12</v>
      </c>
      <c r="T175" s="119">
        <f t="shared" ref="T175" si="384">P175*(1+$S175)</f>
        <v>324.8</v>
      </c>
      <c r="U175" s="119">
        <f t="shared" ref="U175:AC175" si="385">T175*(1+$S175)</f>
        <v>363.77600000000007</v>
      </c>
      <c r="V175" s="119">
        <f t="shared" si="385"/>
        <v>407.42912000000013</v>
      </c>
      <c r="W175" s="119">
        <f t="shared" si="385"/>
        <v>456.32061440000018</v>
      </c>
      <c r="X175" s="119">
        <f t="shared" si="385"/>
        <v>511.07908812800025</v>
      </c>
      <c r="Y175" s="119">
        <f t="shared" si="385"/>
        <v>572.40857870336038</v>
      </c>
      <c r="Z175" s="119">
        <f t="shared" si="385"/>
        <v>641.09760814776371</v>
      </c>
      <c r="AA175" s="119">
        <f t="shared" si="385"/>
        <v>718.02932112549547</v>
      </c>
      <c r="AB175" s="119">
        <f t="shared" si="385"/>
        <v>804.19283966055502</v>
      </c>
      <c r="AC175" s="119">
        <f t="shared" si="385"/>
        <v>900.69598041982169</v>
      </c>
      <c r="AD175" s="137" t="e">
        <f t="shared" ref="AD175:AD182" si="386">((AC175/G175)^(1/($AC$3-$H$1) ))-1</f>
        <v>#DIV/0!</v>
      </c>
      <c r="AE175" s="31">
        <v>0.08</v>
      </c>
      <c r="AF175" s="127" t="e">
        <f t="shared" ref="AF175:AF185" si="387">(AC175*(1+AD175))/($C$1-AE175)</f>
        <v>#DIV/0!</v>
      </c>
    </row>
    <row r="176" spans="2:32" x14ac:dyDescent="0.2">
      <c r="B176" s="20" t="s">
        <v>359</v>
      </c>
      <c r="C176" s="25"/>
      <c r="D176" s="25"/>
      <c r="E176" s="25"/>
      <c r="F176" s="25"/>
      <c r="G176" s="25">
        <f t="shared" ref="G176:P176" si="388">G175/G50</f>
        <v>0</v>
      </c>
      <c r="H176" s="25">
        <f t="shared" si="388"/>
        <v>0</v>
      </c>
      <c r="I176" s="25">
        <f t="shared" si="388"/>
        <v>0.8571428571428571</v>
      </c>
      <c r="J176" s="25">
        <f t="shared" si="388"/>
        <v>0</v>
      </c>
      <c r="K176" s="25">
        <f t="shared" si="388"/>
        <v>1.3618421052631577</v>
      </c>
      <c r="L176" s="25">
        <f t="shared" si="388"/>
        <v>0.43560606060606055</v>
      </c>
      <c r="M176" s="25">
        <f t="shared" si="388"/>
        <v>1.2762463343108505</v>
      </c>
      <c r="N176" s="25">
        <f t="shared" si="388"/>
        <v>0.57782515991471217</v>
      </c>
      <c r="O176" s="25">
        <f t="shared" si="388"/>
        <v>0.7222115384615384</v>
      </c>
      <c r="P176" s="25">
        <f t="shared" si="388"/>
        <v>1.4125461254612546</v>
      </c>
      <c r="Q176" s="25">
        <f t="shared" ref="Q176" si="389">Q175/Q50</f>
        <v>0.60352422907489001</v>
      </c>
      <c r="R176" s="118" t="e">
        <f t="shared" ref="R176" si="390">((P176/G176)^(1/($H$2-$H$1) ))-1</f>
        <v>#DIV/0!</v>
      </c>
      <c r="S176" s="128"/>
      <c r="T176" s="25">
        <f t="shared" ref="T176:AC176" si="391">T175/T50</f>
        <v>0.89489523079869759</v>
      </c>
      <c r="U176" s="25">
        <f t="shared" si="391"/>
        <v>0.91512764471240748</v>
      </c>
      <c r="V176" s="25">
        <f t="shared" si="391"/>
        <v>0.93581748711460122</v>
      </c>
      <c r="W176" s="25">
        <f t="shared" si="391"/>
        <v>0.95697509986675777</v>
      </c>
      <c r="X176" s="25">
        <f t="shared" si="391"/>
        <v>0.97861105864635423</v>
      </c>
      <c r="Y176" s="25">
        <f t="shared" si="391"/>
        <v>1.0007361782331416</v>
      </c>
      <c r="Z176" s="25">
        <f t="shared" si="391"/>
        <v>1.0233615179149349</v>
      </c>
      <c r="AA176" s="25">
        <f t="shared" si="391"/>
        <v>1.0464983870156206</v>
      </c>
      <c r="AB176" s="25">
        <f t="shared" si="391"/>
        <v>1.070158350548148</v>
      </c>
      <c r="AC176" s="25">
        <f t="shared" si="391"/>
        <v>1.0943532349953238</v>
      </c>
      <c r="AD176" s="137" t="e">
        <f t="shared" ref="AD176" si="392">((AC176/G176)^(1/($AC$3-$H$1) ))-1</f>
        <v>#DIV/0!</v>
      </c>
      <c r="AE176" s="31">
        <v>0.08</v>
      </c>
      <c r="AF176" s="127" t="e">
        <f t="shared" ref="AF176" si="393">(AC176*(1+AD176))/($C$1-AE176)</f>
        <v>#DIV/0!</v>
      </c>
    </row>
    <row r="177" spans="2:32" x14ac:dyDescent="0.2">
      <c r="B177" s="20" t="s">
        <v>387</v>
      </c>
      <c r="C177" s="25"/>
      <c r="D177" s="25"/>
      <c r="E177" s="25"/>
      <c r="F177" s="25"/>
      <c r="G177" s="25">
        <f t="shared" ref="G177:P177" si="394">G175/G56</f>
        <v>0</v>
      </c>
      <c r="H177" s="25">
        <f t="shared" si="394"/>
        <v>0</v>
      </c>
      <c r="I177" s="25">
        <f t="shared" si="394"/>
        <v>22.799999999999997</v>
      </c>
      <c r="J177" s="25">
        <f t="shared" si="394"/>
        <v>0</v>
      </c>
      <c r="K177" s="25">
        <f t="shared" si="394"/>
        <v>18.818181818181817</v>
      </c>
      <c r="L177" s="25">
        <f t="shared" si="394"/>
        <v>21.562499999999996</v>
      </c>
      <c r="M177" s="25">
        <f t="shared" si="394"/>
        <v>544</v>
      </c>
      <c r="N177" s="25">
        <f t="shared" si="394"/>
        <v>846.87499999999989</v>
      </c>
      <c r="O177" s="25">
        <f t="shared" si="394"/>
        <v>14.444230769230767</v>
      </c>
      <c r="P177" s="25">
        <f t="shared" si="394"/>
        <v>26.1</v>
      </c>
      <c r="Q177" s="25">
        <f t="shared" ref="Q177" si="395">Q175/Q56</f>
        <v>16.440000000000001</v>
      </c>
      <c r="R177" s="118" t="e">
        <f t="shared" si="383"/>
        <v>#DIV/0!</v>
      </c>
      <c r="S177" s="128"/>
      <c r="T177" s="119">
        <f t="shared" ref="T177:AC177" si="396">T175/T56</f>
        <v>24.376946086956526</v>
      </c>
      <c r="U177" s="119">
        <f t="shared" si="396"/>
        <v>24.928077041965981</v>
      </c>
      <c r="V177" s="119">
        <f t="shared" si="396"/>
        <v>25.491668349001742</v>
      </c>
      <c r="W177" s="119">
        <f t="shared" si="396"/>
        <v>26.068001720370486</v>
      </c>
      <c r="X177" s="119">
        <f t="shared" si="396"/>
        <v>26.657365237526697</v>
      </c>
      <c r="Y177" s="119">
        <f t="shared" si="396"/>
        <v>27.260053495070782</v>
      </c>
      <c r="Z177" s="119">
        <f t="shared" si="396"/>
        <v>27.876367748002828</v>
      </c>
      <c r="AA177" s="119">
        <f t="shared" si="396"/>
        <v>28.506616062305508</v>
      </c>
      <c r="AB177" s="119">
        <f t="shared" si="396"/>
        <v>29.151113468931548</v>
      </c>
      <c r="AC177" s="119">
        <f t="shared" si="396"/>
        <v>29.810182121272614</v>
      </c>
      <c r="AD177" s="137" t="e">
        <f t="shared" si="386"/>
        <v>#DIV/0!</v>
      </c>
      <c r="AE177" s="31">
        <v>0.08</v>
      </c>
      <c r="AF177" s="127" t="e">
        <f t="shared" si="387"/>
        <v>#DIV/0!</v>
      </c>
    </row>
    <row r="178" spans="2:32" x14ac:dyDescent="0.2">
      <c r="B178" s="20" t="s">
        <v>463</v>
      </c>
      <c r="C178" s="25"/>
      <c r="D178" s="25"/>
      <c r="E178" s="25"/>
      <c r="F178" s="25"/>
      <c r="G178" s="25">
        <f t="shared" ref="G178:P178" si="397">G175/G54</f>
        <v>0</v>
      </c>
      <c r="H178" s="25">
        <f t="shared" si="397"/>
        <v>0</v>
      </c>
      <c r="I178" s="25">
        <f t="shared" si="397"/>
        <v>6.7058823529411757</v>
      </c>
      <c r="J178" s="25">
        <f t="shared" si="397"/>
        <v>0</v>
      </c>
      <c r="K178" s="25">
        <f t="shared" si="397"/>
        <v>7.8113207547169807</v>
      </c>
      <c r="L178" s="25">
        <f t="shared" si="397"/>
        <v>3.3823529411764706</v>
      </c>
      <c r="M178" s="25">
        <f t="shared" si="397"/>
        <v>11.452631578947368</v>
      </c>
      <c r="N178" s="25">
        <f t="shared" si="397"/>
        <v>3.0449438202247192</v>
      </c>
      <c r="O178" s="25">
        <f t="shared" si="397"/>
        <v>5.0073333333333334</v>
      </c>
      <c r="P178" s="25">
        <f t="shared" si="397"/>
        <v>9.8153846153846143</v>
      </c>
      <c r="Q178" s="25">
        <f>Q175/Q54</f>
        <v>3.8773584905660381</v>
      </c>
      <c r="R178" s="118" t="e">
        <f t="shared" si="383"/>
        <v>#DIV/0!</v>
      </c>
      <c r="S178" s="128"/>
      <c r="T178" s="25">
        <f t="shared" ref="T178:AC178" si="398">T175/T54</f>
        <v>5.7492797374897462</v>
      </c>
      <c r="U178" s="25">
        <f t="shared" si="398"/>
        <v>5.8792634532938637</v>
      </c>
      <c r="V178" s="25">
        <f t="shared" si="398"/>
        <v>6.012185931368335</v>
      </c>
      <c r="W178" s="25">
        <f t="shared" si="398"/>
        <v>6.1481136132949255</v>
      </c>
      <c r="X178" s="25">
        <f t="shared" si="398"/>
        <v>6.2871144428128991</v>
      </c>
      <c r="Y178" s="25">
        <f t="shared" si="398"/>
        <v>6.4292578997808452</v>
      </c>
      <c r="Z178" s="25">
        <f t="shared" si="398"/>
        <v>6.5746150349063264</v>
      </c>
      <c r="AA178" s="25">
        <f t="shared" si="398"/>
        <v>6.7232585052607332</v>
      </c>
      <c r="AB178" s="25">
        <f t="shared" si="398"/>
        <v>6.8752626105970638</v>
      </c>
      <c r="AC178" s="25">
        <f t="shared" si="398"/>
        <v>7.0307033304888247</v>
      </c>
      <c r="AD178" s="137" t="e">
        <f t="shared" ref="AD178:AD179" si="399">((AC178/G178)^(1/($AC$3-$H$1) ))-1</f>
        <v>#DIV/0!</v>
      </c>
      <c r="AE178" s="31">
        <v>0.08</v>
      </c>
      <c r="AF178" s="127" t="e">
        <f t="shared" ref="AF178:AF179" si="400">(AC178*(1+AD178))/($C$1-AE178)</f>
        <v>#DIV/0!</v>
      </c>
    </row>
    <row r="179" spans="2:32" x14ac:dyDescent="0.2">
      <c r="B179" s="20" t="s">
        <v>464</v>
      </c>
      <c r="C179" s="25"/>
      <c r="D179" s="25"/>
      <c r="E179" s="25"/>
      <c r="F179" s="25"/>
      <c r="G179" s="25">
        <f t="shared" ref="G179:P179" si="401">G175/G55</f>
        <v>0</v>
      </c>
      <c r="H179" s="25">
        <f t="shared" si="401"/>
        <v>0</v>
      </c>
      <c r="I179" s="25">
        <f t="shared" si="401"/>
        <v>12.666666666666666</v>
      </c>
      <c r="J179" s="25">
        <f t="shared" si="401"/>
        <v>0</v>
      </c>
      <c r="K179" s="25">
        <f t="shared" si="401"/>
        <v>12.545454545454545</v>
      </c>
      <c r="L179" s="25">
        <f t="shared" si="401"/>
        <v>17.249999999999996</v>
      </c>
      <c r="M179" s="25">
        <f t="shared" si="401"/>
        <v>-488.98876404494382</v>
      </c>
      <c r="N179" s="25">
        <f t="shared" si="401"/>
        <v>16.9375</v>
      </c>
      <c r="O179" s="25">
        <f t="shared" si="401"/>
        <v>12.114516129032259</v>
      </c>
      <c r="P179" s="25">
        <f t="shared" si="401"/>
        <v>35.887499999999996</v>
      </c>
      <c r="Q179" s="25">
        <f>Q175/Q55</f>
        <v>15.807692307692308</v>
      </c>
      <c r="R179" s="118" t="e">
        <f t="shared" si="383"/>
        <v>#DIV/0!</v>
      </c>
      <c r="S179" s="128"/>
      <c r="T179" s="25">
        <f t="shared" ref="T179:AC179" si="402">T175/T55</f>
        <v>23.439371237458197</v>
      </c>
      <c r="U179" s="25">
        <f t="shared" si="402"/>
        <v>23.96930484804421</v>
      </c>
      <c r="V179" s="25">
        <f t="shared" si="402"/>
        <v>24.511219566347823</v>
      </c>
      <c r="W179" s="25">
        <f t="shared" si="402"/>
        <v>25.065386269587002</v>
      </c>
      <c r="X179" s="25">
        <f t="shared" si="402"/>
        <v>25.632081959160278</v>
      </c>
      <c r="Y179" s="25">
        <f t="shared" si="402"/>
        <v>26.211589899106514</v>
      </c>
      <c r="Z179" s="25">
        <f t="shared" si="402"/>
        <v>26.80419975769502</v>
      </c>
      <c r="AA179" s="25">
        <f t="shared" si="402"/>
        <v>27.410207752216827</v>
      </c>
      <c r="AB179" s="25">
        <f t="shared" si="402"/>
        <v>28.029916797049562</v>
      </c>
      <c r="AC179" s="25">
        <f t="shared" si="402"/>
        <v>28.663636655069816</v>
      </c>
      <c r="AD179" s="137" t="e">
        <f t="shared" si="399"/>
        <v>#DIV/0!</v>
      </c>
      <c r="AE179" s="31">
        <v>0.08</v>
      </c>
      <c r="AF179" s="127" t="e">
        <f t="shared" si="400"/>
        <v>#DIV/0!</v>
      </c>
    </row>
    <row r="180" spans="2:32" x14ac:dyDescent="0.2">
      <c r="B180" s="20" t="s">
        <v>258</v>
      </c>
      <c r="C180" s="25"/>
      <c r="D180" s="25"/>
      <c r="E180" s="25"/>
      <c r="F180" s="25"/>
      <c r="G180" s="25">
        <f t="shared" ref="G180:P180" si="403">G175/G59</f>
        <v>0</v>
      </c>
      <c r="H180" s="25">
        <f t="shared" si="403"/>
        <v>0</v>
      </c>
      <c r="I180" s="25">
        <f t="shared" si="403"/>
        <v>0.7599999999999999</v>
      </c>
      <c r="J180" s="25">
        <f t="shared" si="403"/>
        <v>0</v>
      </c>
      <c r="K180" s="25">
        <f t="shared" si="403"/>
        <v>2.3657142857142852</v>
      </c>
      <c r="L180" s="25">
        <f t="shared" si="403"/>
        <v>0.70121951219512191</v>
      </c>
      <c r="M180" s="25">
        <f t="shared" si="403"/>
        <v>1.5378091872791519</v>
      </c>
      <c r="N180" s="25">
        <f t="shared" si="403"/>
        <v>0.86031746031746037</v>
      </c>
      <c r="O180" s="25">
        <f t="shared" si="403"/>
        <v>1.4843873517786561</v>
      </c>
      <c r="P180" s="25">
        <f t="shared" si="403"/>
        <v>1.9044776119402984</v>
      </c>
      <c r="Q180" s="25">
        <f t="shared" ref="Q180" si="404">Q175/Q59</f>
        <v>2.2960893854748607</v>
      </c>
      <c r="R180" s="118" t="e">
        <f t="shared" si="383"/>
        <v>#DIV/0!</v>
      </c>
      <c r="S180" s="128"/>
      <c r="T180" s="119">
        <f t="shared" ref="T180:AC180" si="405">T175/T59</f>
        <v>3.4046014087928107</v>
      </c>
      <c r="U180" s="119">
        <f t="shared" si="405"/>
        <v>3.4815750058611705</v>
      </c>
      <c r="V180" s="119">
        <f t="shared" si="405"/>
        <v>3.5602888755589022</v>
      </c>
      <c r="W180" s="119">
        <f t="shared" si="405"/>
        <v>3.640782363180235</v>
      </c>
      <c r="X180" s="119">
        <f t="shared" si="405"/>
        <v>3.723095703565181</v>
      </c>
      <c r="Y180" s="119">
        <f t="shared" si="405"/>
        <v>3.8072700412110025</v>
      </c>
      <c r="Z180" s="119">
        <f t="shared" si="405"/>
        <v>3.893347450838383</v>
      </c>
      <c r="AA180" s="119">
        <f t="shared" si="405"/>
        <v>3.9813709584225561</v>
      </c>
      <c r="AB180" s="119">
        <f t="shared" si="405"/>
        <v>4.0713845626999365</v>
      </c>
      <c r="AC180" s="119">
        <f t="shared" si="405"/>
        <v>4.1634332571609791</v>
      </c>
      <c r="AD180" s="137" t="e">
        <f t="shared" si="386"/>
        <v>#DIV/0!</v>
      </c>
      <c r="AE180" s="31">
        <v>0.08</v>
      </c>
      <c r="AF180" s="127" t="e">
        <f t="shared" si="387"/>
        <v>#DIV/0!</v>
      </c>
    </row>
    <row r="181" spans="2:32" x14ac:dyDescent="0.2">
      <c r="B181" s="20" t="s">
        <v>259</v>
      </c>
      <c r="C181" s="25"/>
      <c r="D181" s="25"/>
      <c r="E181" s="25"/>
      <c r="F181" s="25"/>
      <c r="G181" s="25">
        <f t="shared" ref="G181:P181" si="406">G175/G68</f>
        <v>0</v>
      </c>
      <c r="H181" s="25">
        <f t="shared" si="406"/>
        <v>0</v>
      </c>
      <c r="I181" s="25">
        <f t="shared" si="406"/>
        <v>1.2391304347826086</v>
      </c>
      <c r="J181" s="25">
        <f t="shared" si="406"/>
        <v>0</v>
      </c>
      <c r="K181" s="25">
        <f t="shared" si="406"/>
        <v>8.1176470588235272</v>
      </c>
      <c r="L181" s="25">
        <f t="shared" si="406"/>
        <v>1.4495798319327728</v>
      </c>
      <c r="M181" s="25">
        <f t="shared" si="406"/>
        <v>3.4</v>
      </c>
      <c r="N181" s="25">
        <f t="shared" si="406"/>
        <v>3.408805031446541</v>
      </c>
      <c r="O181" s="25">
        <f t="shared" si="406"/>
        <v>17.346420323325635</v>
      </c>
      <c r="P181" s="25">
        <f t="shared" si="406"/>
        <v>15.311999999999999</v>
      </c>
      <c r="Q181" s="25">
        <f t="shared" ref="Q181" si="407">Q175/Q68</f>
        <v>16.117647058823529</v>
      </c>
      <c r="R181" s="118" t="e">
        <f t="shared" si="383"/>
        <v>#DIV/0!</v>
      </c>
      <c r="S181" s="128"/>
      <c r="T181" s="119">
        <f t="shared" ref="T181:AC181" si="408">T175/T68</f>
        <v>23.898966751918163</v>
      </c>
      <c r="U181" s="119">
        <f t="shared" si="408"/>
        <v>24.439291217613707</v>
      </c>
      <c r="V181" s="119">
        <f t="shared" si="408"/>
        <v>24.99183171470759</v>
      </c>
      <c r="W181" s="119">
        <f t="shared" si="408"/>
        <v>25.556864431735768</v>
      </c>
      <c r="X181" s="119">
        <f t="shared" si="408"/>
        <v>26.134671801496758</v>
      </c>
      <c r="Y181" s="119">
        <f t="shared" si="408"/>
        <v>26.725542642226259</v>
      </c>
      <c r="Z181" s="119">
        <f t="shared" si="408"/>
        <v>27.329772301963555</v>
      </c>
      <c r="AA181" s="119">
        <f t="shared" si="408"/>
        <v>27.947662806181867</v>
      </c>
      <c r="AB181" s="119">
        <f t="shared" si="408"/>
        <v>28.579523008756418</v>
      </c>
      <c r="AC181" s="119">
        <f t="shared" si="408"/>
        <v>29.225668746345697</v>
      </c>
      <c r="AD181" s="137" t="e">
        <f t="shared" si="386"/>
        <v>#DIV/0!</v>
      </c>
      <c r="AE181" s="31">
        <v>0.08</v>
      </c>
      <c r="AF181" s="127" t="e">
        <f t="shared" si="387"/>
        <v>#DIV/0!</v>
      </c>
    </row>
    <row r="182" spans="2:32" x14ac:dyDescent="0.2">
      <c r="B182" s="20" t="s">
        <v>260</v>
      </c>
      <c r="C182" s="25"/>
      <c r="D182" s="25"/>
      <c r="E182" s="25"/>
      <c r="F182" s="25"/>
      <c r="G182" s="25">
        <f t="shared" ref="G182:P182" si="409">G175/G70</f>
        <v>0</v>
      </c>
      <c r="H182" s="25">
        <f t="shared" si="409"/>
        <v>0</v>
      </c>
      <c r="I182" s="25">
        <f t="shared" si="409"/>
        <v>1.7538461538461536</v>
      </c>
      <c r="J182" s="25">
        <f t="shared" si="409"/>
        <v>0</v>
      </c>
      <c r="K182" s="25">
        <f t="shared" si="409"/>
        <v>14.275862068965516</v>
      </c>
      <c r="L182" s="25">
        <f t="shared" si="409"/>
        <v>5.0735294117647056</v>
      </c>
      <c r="M182" s="25">
        <f t="shared" si="409"/>
        <v>7.7714285714285714</v>
      </c>
      <c r="N182" s="25">
        <f t="shared" si="409"/>
        <v>2.6568627450980391</v>
      </c>
      <c r="O182" s="25">
        <f t="shared" si="409"/>
        <v>4.5246987951807229</v>
      </c>
      <c r="P182" s="25">
        <f t="shared" si="409"/>
        <v>11.042307692307691</v>
      </c>
      <c r="Q182" s="25">
        <f t="shared" ref="Q182" si="410">Q175/Q70</f>
        <v>21.631578947368425</v>
      </c>
      <c r="R182" s="118" t="e">
        <f t="shared" si="383"/>
        <v>#DIV/0!</v>
      </c>
      <c r="S182" s="128"/>
      <c r="T182" s="119">
        <f t="shared" ref="T182:AC182" si="411">T175/T70</f>
        <v>32.074929061784907</v>
      </c>
      <c r="U182" s="119">
        <f t="shared" si="411"/>
        <v>32.800101371007869</v>
      </c>
      <c r="V182" s="119">
        <f t="shared" si="411"/>
        <v>33.541668880265455</v>
      </c>
      <c r="W182" s="119">
        <f t="shared" si="411"/>
        <v>34.300002263645375</v>
      </c>
      <c r="X182" s="119">
        <f t="shared" si="411"/>
        <v>35.075480575693021</v>
      </c>
      <c r="Y182" s="119">
        <f t="shared" si="411"/>
        <v>35.868491440882615</v>
      </c>
      <c r="Z182" s="119">
        <f t="shared" si="411"/>
        <v>36.679431247372143</v>
      </c>
      <c r="AA182" s="119">
        <f t="shared" si="411"/>
        <v>37.508705345138829</v>
      </c>
      <c r="AB182" s="119">
        <f t="shared" si="411"/>
        <v>38.356728248594152</v>
      </c>
      <c r="AC182" s="119">
        <f t="shared" si="411"/>
        <v>39.223923843779765</v>
      </c>
      <c r="AD182" s="137" t="e">
        <f t="shared" si="386"/>
        <v>#DIV/0!</v>
      </c>
      <c r="AE182" s="31">
        <v>0.08</v>
      </c>
      <c r="AF182" s="127" t="e">
        <f t="shared" si="387"/>
        <v>#DIV/0!</v>
      </c>
    </row>
    <row r="183" spans="2:32" x14ac:dyDescent="0.2">
      <c r="B183" s="20" t="s">
        <v>281</v>
      </c>
      <c r="C183" s="25"/>
      <c r="D183" s="25"/>
      <c r="E183" s="25"/>
      <c r="F183" s="25"/>
      <c r="G183" s="181">
        <f t="shared" ref="G183:P183" si="412">G175/G64</f>
        <v>0</v>
      </c>
      <c r="H183" s="181">
        <f t="shared" si="412"/>
        <v>0</v>
      </c>
      <c r="I183" s="181">
        <f t="shared" si="412"/>
        <v>0.66666666666666663</v>
      </c>
      <c r="J183" s="181">
        <f t="shared" si="412"/>
        <v>0</v>
      </c>
      <c r="K183" s="181">
        <f t="shared" si="412"/>
        <v>7.6666666666666661</v>
      </c>
      <c r="L183" s="181">
        <f t="shared" si="412"/>
        <v>2.8749999999999996</v>
      </c>
      <c r="M183" s="181">
        <f t="shared" si="412"/>
        <v>7.0193548387096776</v>
      </c>
      <c r="N183" s="181">
        <f t="shared" si="412"/>
        <v>1.355</v>
      </c>
      <c r="O183" s="181">
        <f t="shared" si="412"/>
        <v>11.380303030303031</v>
      </c>
      <c r="P183" s="181">
        <f t="shared" si="412"/>
        <v>-10.162831858407079</v>
      </c>
      <c r="Q183" s="181">
        <f t="shared" ref="Q183" si="413">Q175/Q64</f>
        <v>-2.2582417582417582</v>
      </c>
      <c r="R183" s="118" t="e">
        <f t="shared" ref="R183:R186" si="414">((P183/G183)^(1/($H$2-$H$1) ))-1</f>
        <v>#DIV/0!</v>
      </c>
      <c r="S183" s="128"/>
      <c r="T183" s="134">
        <f t="shared" ref="T183:AC183" si="415">T175/T64</f>
        <v>-3.3484816053511706</v>
      </c>
      <c r="U183" s="134">
        <f t="shared" si="415"/>
        <v>-3.4241864068634591</v>
      </c>
      <c r="V183" s="134">
        <f t="shared" si="415"/>
        <v>-3.501602795192547</v>
      </c>
      <c r="W183" s="134">
        <f t="shared" si="415"/>
        <v>-3.5807694670838575</v>
      </c>
      <c r="X183" s="134">
        <f t="shared" si="415"/>
        <v>-3.6617259941657547</v>
      </c>
      <c r="Y183" s="134">
        <f t="shared" si="415"/>
        <v>-3.7445128427295034</v>
      </c>
      <c r="Z183" s="134">
        <f t="shared" si="415"/>
        <v>-3.8291713939564325</v>
      </c>
      <c r="AA183" s="134">
        <f t="shared" si="415"/>
        <v>-3.915743964602405</v>
      </c>
      <c r="AB183" s="134">
        <f t="shared" si="415"/>
        <v>-4.0042738281499384</v>
      </c>
      <c r="AC183" s="134">
        <f t="shared" si="415"/>
        <v>-4.0948052364385461</v>
      </c>
      <c r="AD183" s="137" t="e">
        <f t="shared" ref="AD183" si="416">((AC183/G183)^(1/($AC$3-$H$1) ))-1</f>
        <v>#DIV/0!</v>
      </c>
      <c r="AE183" s="31">
        <v>0.08</v>
      </c>
      <c r="AF183" s="127" t="e">
        <f t="shared" si="387"/>
        <v>#DIV/0!</v>
      </c>
    </row>
    <row r="184" spans="2:32" x14ac:dyDescent="0.2">
      <c r="B184" s="20" t="s">
        <v>369</v>
      </c>
      <c r="C184" s="160"/>
      <c r="D184" s="160"/>
      <c r="E184" s="160"/>
      <c r="F184" s="160"/>
      <c r="G184" s="160" t="e">
        <f t="shared" ref="G184:P184" si="417">G56/G175</f>
        <v>#DIV/0!</v>
      </c>
      <c r="H184" s="160" t="e">
        <f t="shared" si="417"/>
        <v>#DIV/0!</v>
      </c>
      <c r="I184" s="160">
        <f t="shared" si="417"/>
        <v>4.3859649122807022E-2</v>
      </c>
      <c r="J184" s="160" t="e">
        <f t="shared" si="417"/>
        <v>#DIV/0!</v>
      </c>
      <c r="K184" s="160">
        <f t="shared" si="417"/>
        <v>5.3140096618357495E-2</v>
      </c>
      <c r="L184" s="160">
        <f t="shared" si="417"/>
        <v>4.6376811594202906E-2</v>
      </c>
      <c r="M184" s="160">
        <f t="shared" si="417"/>
        <v>1.838235294117647E-3</v>
      </c>
      <c r="N184" s="160">
        <f t="shared" si="417"/>
        <v>1.1808118081180813E-3</v>
      </c>
      <c r="O184" s="160">
        <f t="shared" si="417"/>
        <v>6.9231793369724418E-2</v>
      </c>
      <c r="P184" s="160">
        <f t="shared" si="417"/>
        <v>3.8314176245210725E-2</v>
      </c>
      <c r="Q184" s="160">
        <f t="shared" ref="Q184" si="418">Q56/Q175</f>
        <v>6.0827250608272501E-2</v>
      </c>
      <c r="R184" s="118" t="e">
        <f t="shared" si="414"/>
        <v>#DIV/0!</v>
      </c>
      <c r="S184" s="128"/>
      <c r="T184" s="160">
        <f t="shared" ref="T184:AC184" si="419">T56/T175</f>
        <v>4.1022365821905563E-2</v>
      </c>
      <c r="U184" s="160">
        <f t="shared" si="419"/>
        <v>4.0115408754414446E-2</v>
      </c>
      <c r="V184" s="160">
        <f t="shared" si="419"/>
        <v>3.9228503458823637E-2</v>
      </c>
      <c r="W184" s="160">
        <f t="shared" si="419"/>
        <v>3.836120661364556E-2</v>
      </c>
      <c r="X184" s="160">
        <f t="shared" si="419"/>
        <v>3.7513084698718009E-2</v>
      </c>
      <c r="Y184" s="160">
        <f t="shared" si="419"/>
        <v>3.6683713778508251E-2</v>
      </c>
      <c r="Z184" s="160">
        <f t="shared" si="419"/>
        <v>3.5872679290207883E-2</v>
      </c>
      <c r="AA184" s="160">
        <f t="shared" si="419"/>
        <v>3.5079575836512798E-2</v>
      </c>
      <c r="AB184" s="160">
        <f t="shared" si="419"/>
        <v>3.4304006982984456E-2</v>
      </c>
      <c r="AC184" s="160">
        <f t="shared" si="419"/>
        <v>3.3545585059891254E-2</v>
      </c>
      <c r="AD184" s="137" t="e">
        <f t="shared" ref="AD184:AD186" si="420">((AC184/G184)^(1/($AC$3-$H$1) ))-1</f>
        <v>#DIV/0!</v>
      </c>
      <c r="AE184" s="31">
        <v>0.08</v>
      </c>
      <c r="AF184" s="127" t="e">
        <f t="shared" si="387"/>
        <v>#DIV/0!</v>
      </c>
    </row>
    <row r="185" spans="2:32" x14ac:dyDescent="0.2">
      <c r="B185" s="20" t="s">
        <v>318</v>
      </c>
      <c r="C185" s="151"/>
      <c r="D185" s="151"/>
      <c r="E185" s="151"/>
      <c r="F185" s="151"/>
      <c r="G185" s="151" t="e">
        <f t="shared" ref="G185:P185" si="421">G44/G175</f>
        <v>#DIV/0!</v>
      </c>
      <c r="H185" s="151" t="e">
        <f t="shared" si="421"/>
        <v>#DIV/0!</v>
      </c>
      <c r="I185" s="151">
        <f t="shared" si="421"/>
        <v>0.02</v>
      </c>
      <c r="J185" s="151" t="e">
        <f t="shared" si="421"/>
        <v>#DIV/0!</v>
      </c>
      <c r="K185" s="151">
        <f t="shared" si="421"/>
        <v>5.5555555555555558E-3</v>
      </c>
      <c r="L185" s="151">
        <f t="shared" si="421"/>
        <v>1.3333333333333334E-2</v>
      </c>
      <c r="M185" s="151">
        <f t="shared" si="421"/>
        <v>5.8823529411764705E-3</v>
      </c>
      <c r="N185" s="151">
        <f t="shared" si="421"/>
        <v>0.01</v>
      </c>
      <c r="O185" s="151">
        <f t="shared" si="421"/>
        <v>4.1379310344827586E-2</v>
      </c>
      <c r="P185" s="151">
        <f t="shared" si="421"/>
        <v>3.4482758620689655E-3</v>
      </c>
      <c r="Q185" s="151">
        <f t="shared" ref="Q185" si="422">Q44/Q175</f>
        <v>1.2500000000000001E-2</v>
      </c>
      <c r="R185" s="118" t="e">
        <f t="shared" si="414"/>
        <v>#DIV/0!</v>
      </c>
      <c r="S185" s="128"/>
      <c r="T185" s="151">
        <f t="shared" ref="T185:AC185" si="423">T44/T175</f>
        <v>8.0818965517241385E-3</v>
      </c>
      <c r="U185" s="151">
        <f t="shared" si="423"/>
        <v>7.5767780172413778E-3</v>
      </c>
      <c r="V185" s="151">
        <f t="shared" si="423"/>
        <v>7.1032293911637923E-3</v>
      </c>
      <c r="W185" s="151">
        <f t="shared" si="423"/>
        <v>6.659277554216054E-3</v>
      </c>
      <c r="X185" s="151">
        <f t="shared" si="423"/>
        <v>6.2430727070775507E-3</v>
      </c>
      <c r="Y185" s="151">
        <f t="shared" si="423"/>
        <v>5.8528806628852029E-3</v>
      </c>
      <c r="Z185" s="151">
        <f t="shared" si="423"/>
        <v>5.4870756214548773E-3</v>
      </c>
      <c r="AA185" s="151">
        <f t="shared" si="423"/>
        <v>5.1441333951139472E-3</v>
      </c>
      <c r="AB185" s="151">
        <f t="shared" si="423"/>
        <v>4.8226250579193252E-3</v>
      </c>
      <c r="AC185" s="151">
        <f t="shared" si="423"/>
        <v>4.5212109917993669E-3</v>
      </c>
      <c r="AD185" s="137" t="e">
        <f t="shared" si="420"/>
        <v>#DIV/0!</v>
      </c>
      <c r="AE185" s="31">
        <v>0.08</v>
      </c>
      <c r="AF185" s="127" t="e">
        <f t="shared" si="387"/>
        <v>#DIV/0!</v>
      </c>
    </row>
    <row r="186" spans="2:32" x14ac:dyDescent="0.2">
      <c r="B186" s="20" t="s">
        <v>445</v>
      </c>
      <c r="C186" s="180"/>
      <c r="D186" s="180"/>
      <c r="E186" s="180"/>
      <c r="F186" s="180"/>
      <c r="G186" s="180">
        <f t="shared" ref="G186:O186" si="424">(G177)/($L$2*100)</f>
        <v>0</v>
      </c>
      <c r="H186" s="180">
        <f t="shared" si="424"/>
        <v>0</v>
      </c>
      <c r="I186" s="180">
        <f t="shared" si="424"/>
        <v>1.5199999999999998</v>
      </c>
      <c r="J186" s="180">
        <f t="shared" si="424"/>
        <v>0</v>
      </c>
      <c r="K186" s="180">
        <f t="shared" si="424"/>
        <v>1.2545454545454544</v>
      </c>
      <c r="L186" s="180">
        <f t="shared" si="424"/>
        <v>1.4374999999999998</v>
      </c>
      <c r="M186" s="180">
        <f t="shared" si="424"/>
        <v>36.266666666666666</v>
      </c>
      <c r="N186" s="180">
        <f t="shared" si="424"/>
        <v>56.458333333333329</v>
      </c>
      <c r="O186" s="180">
        <f t="shared" si="424"/>
        <v>0.96294871794871784</v>
      </c>
      <c r="P186" s="180">
        <f>(P177)/($L$2*100)</f>
        <v>1.74</v>
      </c>
      <c r="Q186" s="180">
        <f>(Q177)/($L$2*100)</f>
        <v>1.0960000000000001</v>
      </c>
      <c r="R186" s="118" t="e">
        <f t="shared" si="414"/>
        <v>#DIV/0!</v>
      </c>
      <c r="S186" s="128"/>
      <c r="T186" s="180">
        <f>(T177)/($L$2*100)</f>
        <v>1.6251297391304351</v>
      </c>
      <c r="U186" s="180">
        <f t="shared" ref="U186:AC186" si="425">(U177)/($L$2*100)</f>
        <v>1.6618718027977322</v>
      </c>
      <c r="V186" s="180">
        <f t="shared" si="425"/>
        <v>1.6994445566001162</v>
      </c>
      <c r="W186" s="180">
        <f t="shared" si="425"/>
        <v>1.7378667813580324</v>
      </c>
      <c r="X186" s="180">
        <f t="shared" si="425"/>
        <v>1.7771576825017799</v>
      </c>
      <c r="Y186" s="180">
        <f t="shared" si="425"/>
        <v>1.8173368996713855</v>
      </c>
      <c r="Z186" s="180">
        <f t="shared" si="425"/>
        <v>1.8584245165335218</v>
      </c>
      <c r="AA186" s="180">
        <f t="shared" si="425"/>
        <v>1.9004410708203672</v>
      </c>
      <c r="AB186" s="180">
        <f t="shared" si="425"/>
        <v>1.9434075645954365</v>
      </c>
      <c r="AC186" s="180">
        <f t="shared" si="425"/>
        <v>1.9873454747515076</v>
      </c>
      <c r="AD186" s="137" t="e">
        <f t="shared" si="420"/>
        <v>#DIV/0!</v>
      </c>
      <c r="AE186" s="31">
        <v>0.08</v>
      </c>
      <c r="AF186" s="180" t="e">
        <f>(AF177)/($L$2*100)</f>
        <v>#DIV/0!</v>
      </c>
    </row>
    <row r="187" spans="2:32" x14ac:dyDescent="0.2">
      <c r="B187" s="20" t="s">
        <v>446</v>
      </c>
      <c r="C187" s="151"/>
      <c r="D187" s="151"/>
      <c r="E187" s="151"/>
      <c r="F187" s="151"/>
      <c r="G187" s="151">
        <f t="shared" ref="G187:P187" si="426">G186-1</f>
        <v>-1</v>
      </c>
      <c r="H187" s="151">
        <f t="shared" si="426"/>
        <v>-1</v>
      </c>
      <c r="I187" s="151">
        <f t="shared" si="426"/>
        <v>0.5199999999999998</v>
      </c>
      <c r="J187" s="151">
        <f t="shared" si="426"/>
        <v>-1</v>
      </c>
      <c r="K187" s="151">
        <f t="shared" si="426"/>
        <v>0.25454545454545441</v>
      </c>
      <c r="L187" s="151">
        <f t="shared" si="426"/>
        <v>0.43749999999999978</v>
      </c>
      <c r="M187" s="151">
        <f t="shared" si="426"/>
        <v>35.266666666666666</v>
      </c>
      <c r="N187" s="151">
        <f t="shared" si="426"/>
        <v>55.458333333333329</v>
      </c>
      <c r="O187" s="151">
        <f t="shared" si="426"/>
        <v>-3.7051282051282164E-2</v>
      </c>
      <c r="P187" s="151">
        <f t="shared" si="426"/>
        <v>0.74</v>
      </c>
      <c r="Q187" s="151">
        <f>Q186-1</f>
        <v>9.6000000000000085E-2</v>
      </c>
      <c r="R187" s="128"/>
      <c r="S187" s="128"/>
      <c r="T187" s="134"/>
      <c r="U187" s="134"/>
      <c r="V187" s="134"/>
      <c r="W187" s="134"/>
      <c r="X187" s="134"/>
      <c r="Y187" s="134"/>
      <c r="Z187" s="134"/>
      <c r="AA187" s="134"/>
      <c r="AB187" s="134"/>
      <c r="AC187" s="134"/>
      <c r="AD187" s="136"/>
      <c r="AE187" s="20"/>
      <c r="AF187" s="127"/>
    </row>
    <row r="188" spans="2:32" x14ac:dyDescent="0.2">
      <c r="B188" s="20"/>
      <c r="C188" s="129"/>
      <c r="D188" s="129"/>
      <c r="E188" s="129"/>
      <c r="F188" s="129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34"/>
      <c r="R188" s="128"/>
      <c r="S188" s="128"/>
      <c r="T188" s="134"/>
      <c r="U188" s="134"/>
      <c r="V188" s="134"/>
      <c r="W188" s="134"/>
      <c r="X188" s="134"/>
      <c r="Y188" s="134"/>
      <c r="Z188" s="134"/>
      <c r="AA188" s="134"/>
      <c r="AB188" s="134"/>
      <c r="AC188" s="134"/>
      <c r="AD188" s="136"/>
      <c r="AE188" s="20"/>
      <c r="AF188" s="20"/>
    </row>
    <row r="189" spans="2:32" x14ac:dyDescent="0.2">
      <c r="B189" s="108" t="s">
        <v>300</v>
      </c>
      <c r="C189" s="20"/>
      <c r="D189" s="20"/>
      <c r="E189" s="20"/>
      <c r="F189" s="20"/>
      <c r="G189" s="20"/>
      <c r="H189" s="20"/>
      <c r="I189" s="20"/>
      <c r="J189" s="20"/>
      <c r="K189" s="205" t="s">
        <v>349</v>
      </c>
      <c r="L189" s="206"/>
      <c r="M189" s="20"/>
      <c r="N189" s="20"/>
      <c r="O189" s="20"/>
      <c r="P189" s="108" t="s">
        <v>429</v>
      </c>
      <c r="Q189" s="108" t="s">
        <v>428</v>
      </c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136"/>
      <c r="AE189" s="20"/>
      <c r="AF189" s="20"/>
    </row>
    <row r="190" spans="2:32" x14ac:dyDescent="0.2">
      <c r="B190" s="20" t="s">
        <v>298</v>
      </c>
      <c r="C190" s="20" t="s">
        <v>313</v>
      </c>
      <c r="D190" s="20"/>
      <c r="E190" s="20"/>
      <c r="F190" s="20"/>
      <c r="G190" s="20"/>
      <c r="H190" s="20"/>
      <c r="I190" s="20"/>
      <c r="J190" s="20"/>
      <c r="K190" s="20" t="s">
        <v>350</v>
      </c>
      <c r="L190" s="22">
        <v>1</v>
      </c>
      <c r="M190" s="20"/>
      <c r="N190" s="20"/>
      <c r="O190" s="20"/>
      <c r="P190" s="128">
        <f>(Q175-S162)/Q175</f>
        <v>0.85494666532127273</v>
      </c>
      <c r="Q190" s="128">
        <f>(Q175-T162)/Q175</f>
        <v>0.89202420298337126</v>
      </c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136"/>
      <c r="AE190" s="20"/>
      <c r="AF190" s="20"/>
    </row>
    <row r="191" spans="2:32" x14ac:dyDescent="0.2">
      <c r="B191" s="20" t="s">
        <v>347</v>
      </c>
      <c r="C191" s="20" t="s">
        <v>313</v>
      </c>
      <c r="D191" s="20"/>
      <c r="E191" s="20"/>
      <c r="F191" s="20"/>
      <c r="G191" s="20"/>
      <c r="H191" s="20"/>
      <c r="I191" s="20"/>
      <c r="J191" s="20"/>
      <c r="K191" s="171">
        <f>$L$190</f>
        <v>1</v>
      </c>
      <c r="L191" s="20"/>
      <c r="M191" s="128">
        <f>(P175-(K191*S153))/P175</f>
        <v>2.5521995956106798</v>
      </c>
      <c r="N191" s="20"/>
      <c r="O191" s="20"/>
      <c r="P191" s="128">
        <f>(Q175-S153)/Q175</f>
        <v>3.2506894136354858</v>
      </c>
      <c r="Q191" s="128">
        <f>(Q175-T153)/Q175</f>
        <v>1.2479573082818756</v>
      </c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136"/>
      <c r="AE191" s="20"/>
      <c r="AF191" s="20"/>
    </row>
    <row r="192" spans="2:32" x14ac:dyDescent="0.2">
      <c r="B192" s="20" t="s">
        <v>348</v>
      </c>
      <c r="C192" s="20" t="s">
        <v>313</v>
      </c>
      <c r="D192" s="20"/>
      <c r="E192" s="20"/>
      <c r="F192" s="20"/>
      <c r="G192" s="20"/>
      <c r="H192" s="20"/>
      <c r="I192" s="20"/>
      <c r="J192" s="20"/>
      <c r="K192" s="171">
        <f>$L$190</f>
        <v>1</v>
      </c>
      <c r="L192" s="20"/>
      <c r="M192" s="128">
        <f>(P175-(K192*S146))/P175</f>
        <v>-0.70144955672709131</v>
      </c>
      <c r="N192" s="20"/>
      <c r="O192" s="20"/>
      <c r="P192" s="128">
        <f>(Q175-S146)/Q175</f>
        <v>-1.4671018572542822</v>
      </c>
      <c r="Q192" s="128">
        <f>(Q175-T146)/Q175</f>
        <v>0.72820064284486719</v>
      </c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136"/>
      <c r="AE192" s="20"/>
      <c r="AF192" s="20"/>
    </row>
    <row r="193" spans="2:46" x14ac:dyDescent="0.2">
      <c r="B193" s="20" t="s">
        <v>351</v>
      </c>
      <c r="C193" s="20" t="s">
        <v>313</v>
      </c>
      <c r="D193" s="20"/>
      <c r="E193" s="20"/>
      <c r="F193" s="20"/>
      <c r="G193" s="20"/>
      <c r="H193" s="20"/>
      <c r="I193" s="20"/>
      <c r="J193" s="20"/>
      <c r="K193" s="171">
        <f>$L$190</f>
        <v>1</v>
      </c>
      <c r="L193" s="20"/>
      <c r="M193" s="128">
        <f>(P175-(K193*S159))/P175</f>
        <v>0.80535216699901069</v>
      </c>
      <c r="N193" s="20"/>
      <c r="O193" s="20"/>
      <c r="P193" s="128">
        <f>(Q175-S159)/Q175</f>
        <v>0.7177606421485655</v>
      </c>
      <c r="Q193" s="128">
        <f>(Q175-T159)/Q175</f>
        <v>0.96890583345704528</v>
      </c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136"/>
      <c r="AE193" s="20"/>
      <c r="AF193" s="20"/>
    </row>
    <row r="194" spans="2:46" x14ac:dyDescent="0.2">
      <c r="B194" s="20" t="s">
        <v>398</v>
      </c>
      <c r="C194" s="20" t="s">
        <v>313</v>
      </c>
      <c r="D194" s="20"/>
      <c r="E194" s="20"/>
      <c r="F194" s="20"/>
      <c r="G194" s="20"/>
      <c r="H194" s="20"/>
      <c r="I194" s="20"/>
      <c r="J194" s="20"/>
      <c r="K194" s="171">
        <f>$L$190</f>
        <v>1</v>
      </c>
      <c r="L194" s="20"/>
      <c r="M194" s="128">
        <f>(P175-(K194*S172))/P175</f>
        <v>0.80701939701811076</v>
      </c>
      <c r="N194" s="20"/>
      <c r="O194" s="20"/>
      <c r="P194" s="128">
        <f>(Q175-S172)/Q175</f>
        <v>0.72017812567626072</v>
      </c>
      <c r="Q194" s="128">
        <f>(Q175-T172)/Q175</f>
        <v>0.79170427229603235</v>
      </c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136"/>
      <c r="AE194" s="20"/>
      <c r="AF194" s="20"/>
    </row>
    <row r="195" spans="2:46" x14ac:dyDescent="0.2">
      <c r="B195" s="20" t="s">
        <v>299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5">
        <f>Q175/S145</f>
        <v>3.2345644654011982</v>
      </c>
      <c r="Q195" s="25">
        <f>Q175/T145</f>
        <v>29.359892839795492</v>
      </c>
      <c r="R195" s="20"/>
      <c r="S195" s="20"/>
      <c r="T195" s="115" t="s">
        <v>11</v>
      </c>
      <c r="U195" s="115" t="s">
        <v>12</v>
      </c>
      <c r="V195" s="115" t="s">
        <v>13</v>
      </c>
      <c r="W195" s="115" t="s">
        <v>14</v>
      </c>
      <c r="X195" s="115" t="s">
        <v>15</v>
      </c>
      <c r="Y195" s="115" t="s">
        <v>234</v>
      </c>
      <c r="Z195" s="115" t="s">
        <v>235</v>
      </c>
      <c r="AA195" s="115" t="s">
        <v>236</v>
      </c>
      <c r="AB195" s="115" t="s">
        <v>237</v>
      </c>
      <c r="AC195" s="115" t="s">
        <v>238</v>
      </c>
      <c r="AD195" s="115" t="s">
        <v>406</v>
      </c>
      <c r="AE195" s="115" t="s">
        <v>407</v>
      </c>
      <c r="AF195" s="115" t="s">
        <v>408</v>
      </c>
      <c r="AG195" s="115" t="s">
        <v>409</v>
      </c>
      <c r="AH195" s="115" t="s">
        <v>410</v>
      </c>
      <c r="AI195" s="115" t="s">
        <v>411</v>
      </c>
      <c r="AJ195" s="115" t="s">
        <v>412</v>
      </c>
      <c r="AK195" s="115" t="s">
        <v>413</v>
      </c>
      <c r="AL195" s="115" t="s">
        <v>414</v>
      </c>
      <c r="AM195" s="115" t="s">
        <v>415</v>
      </c>
      <c r="AN195" s="115" t="s">
        <v>416</v>
      </c>
      <c r="AO195" s="115" t="s">
        <v>417</v>
      </c>
      <c r="AP195" s="115" t="s">
        <v>418</v>
      </c>
      <c r="AQ195" s="115" t="s">
        <v>419</v>
      </c>
      <c r="AR195" s="115" t="s">
        <v>420</v>
      </c>
      <c r="AS195" s="115" t="s">
        <v>421</v>
      </c>
      <c r="AT195" s="115" t="s">
        <v>422</v>
      </c>
    </row>
    <row r="196" spans="2:46" x14ac:dyDescent="0.2">
      <c r="B196" s="20" t="s">
        <v>369</v>
      </c>
      <c r="C196" s="20"/>
      <c r="D196" s="20"/>
      <c r="E196" s="20"/>
      <c r="F196" s="20"/>
      <c r="G196" s="188" t="s">
        <v>447</v>
      </c>
      <c r="H196" s="189"/>
      <c r="I196" s="188" t="s">
        <v>448</v>
      </c>
      <c r="J196" s="189"/>
      <c r="K196" s="20"/>
      <c r="L196" s="188" t="s">
        <v>449</v>
      </c>
      <c r="M196" s="189"/>
      <c r="N196" s="188" t="s">
        <v>450</v>
      </c>
      <c r="O196" s="189"/>
      <c r="P196" s="151">
        <f>1/P195</f>
        <v>0.30916063374113811</v>
      </c>
      <c r="Q196" s="151">
        <f>1/Q195</f>
        <v>3.4060069818938943E-2</v>
      </c>
      <c r="R196" s="20"/>
      <c r="S196" s="20"/>
      <c r="T196" s="129">
        <f>Q175-T197</f>
        <v>194.54126574339301</v>
      </c>
      <c r="U196" s="184">
        <f>T196-U197</f>
        <v>188.80959477395569</v>
      </c>
      <c r="V196" s="184">
        <f t="shared" ref="V196:X196" si="427">U196-V197</f>
        <v>182.79134025604651</v>
      </c>
      <c r="W196" s="184">
        <f t="shared" si="427"/>
        <v>176.47217301224185</v>
      </c>
      <c r="X196" s="184">
        <f t="shared" si="427"/>
        <v>169.83704740624697</v>
      </c>
      <c r="Y196" s="184">
        <f>X196-Y197</f>
        <v>162.87016551995234</v>
      </c>
      <c r="Z196" s="184">
        <f t="shared" ref="Z196:AC196" si="428">Y196-Z197</f>
        <v>155.55493953934297</v>
      </c>
      <c r="AA196" s="184">
        <f t="shared" si="428"/>
        <v>147.87395225970315</v>
      </c>
      <c r="AB196" s="184">
        <f t="shared" si="428"/>
        <v>139.80891561608132</v>
      </c>
      <c r="AC196" s="184">
        <f t="shared" si="428"/>
        <v>131.3406271402784</v>
      </c>
      <c r="AD196" s="184">
        <f t="shared" ref="AD196" si="429">AC196-AD197</f>
        <v>122.44892424068534</v>
      </c>
      <c r="AE196" s="184">
        <f t="shared" ref="AE196" si="430">AD196-AE197</f>
        <v>113.11263619611263</v>
      </c>
      <c r="AF196" s="184">
        <f t="shared" ref="AF196" si="431">AE196-AF197</f>
        <v>103.30953374931129</v>
      </c>
      <c r="AG196" s="184">
        <f t="shared" ref="AG196" si="432">AF196-AG197</f>
        <v>93.016276180169868</v>
      </c>
      <c r="AH196" s="184">
        <f t="shared" ref="AH196" si="433">AG196-AH197</f>
        <v>82.208355732571377</v>
      </c>
      <c r="AI196" s="184">
        <f t="shared" ref="AI196" si="434">AH196-AI197</f>
        <v>70.860039262592963</v>
      </c>
      <c r="AJ196" s="184">
        <f t="shared" ref="AJ196" si="435">AI196-AJ197</f>
        <v>58.94430696911563</v>
      </c>
      <c r="AK196" s="184">
        <f t="shared" ref="AK196" si="436">AJ196-AK197</f>
        <v>46.432788060964427</v>
      </c>
      <c r="AL196" s="184">
        <f t="shared" ref="AL196" si="437">AK196-AL197</f>
        <v>33.295693207405662</v>
      </c>
      <c r="AM196" s="184">
        <f t="shared" ref="AM196" si="438">AL196-AM197</f>
        <v>19.501743611168958</v>
      </c>
      <c r="AN196" s="184">
        <f t="shared" ref="AN196" si="439">AM196-AN197</f>
        <v>5.018096535120419</v>
      </c>
      <c r="AO196" s="184">
        <f t="shared" ref="AO196" si="440">AN196-AO197</f>
        <v>-10.189732894730549</v>
      </c>
      <c r="AP196" s="184">
        <f t="shared" ref="AP196" si="441">AO196-AP197</f>
        <v>-26.157953796074064</v>
      </c>
      <c r="AQ196" s="184">
        <f t="shared" ref="AQ196" si="442">AP196-AQ197</f>
        <v>-42.924585742484759</v>
      </c>
      <c r="AR196" s="184">
        <f t="shared" ref="AR196" si="443">AQ196-AR197</f>
        <v>-60.529549286215989</v>
      </c>
      <c r="AS196" s="184">
        <f t="shared" ref="AS196" si="444">AR196-AS197</f>
        <v>-79.014761007133785</v>
      </c>
      <c r="AT196" s="184">
        <f t="shared" ref="AT196" si="445">AS196-AT197</f>
        <v>-98.424233314097464</v>
      </c>
    </row>
    <row r="197" spans="2:46" x14ac:dyDescent="0.2">
      <c r="B197" s="20" t="s">
        <v>395</v>
      </c>
      <c r="C197" s="20"/>
      <c r="D197" s="20"/>
      <c r="E197" s="20"/>
      <c r="F197" s="20"/>
      <c r="G197" s="190">
        <v>0</v>
      </c>
      <c r="H197" s="189"/>
      <c r="I197" s="190">
        <v>0.05</v>
      </c>
      <c r="J197" s="189"/>
      <c r="K197" s="183">
        <f>P1</f>
        <v>0.05</v>
      </c>
      <c r="L197" s="190">
        <v>0.12</v>
      </c>
      <c r="M197" s="189"/>
      <c r="N197" s="190">
        <v>0.2</v>
      </c>
      <c r="O197" s="189"/>
      <c r="P197" s="180">
        <f>Q175/R144</f>
        <v>38.470456726452021</v>
      </c>
      <c r="Q197" s="180">
        <f>Q175/R144</f>
        <v>38.470456726452021</v>
      </c>
      <c r="R197" s="20"/>
      <c r="S197" s="20"/>
      <c r="T197" s="185">
        <f>R144*(1+$K$197)</f>
        <v>5.458734256606979</v>
      </c>
      <c r="U197" s="185">
        <f>T197*(1+$K$197)</f>
        <v>5.731670969437328</v>
      </c>
      <c r="V197" s="185">
        <f t="shared" ref="V197:AC197" si="446">U197*(1+$K$197)</f>
        <v>6.0182545179091944</v>
      </c>
      <c r="W197" s="185">
        <f t="shared" si="446"/>
        <v>6.319167243804654</v>
      </c>
      <c r="X197" s="185">
        <f t="shared" si="446"/>
        <v>6.6351256059948867</v>
      </c>
      <c r="Y197" s="185">
        <f t="shared" si="446"/>
        <v>6.9668818862946313</v>
      </c>
      <c r="Z197" s="185">
        <f t="shared" si="446"/>
        <v>7.3152259806093634</v>
      </c>
      <c r="AA197" s="185">
        <f t="shared" si="446"/>
        <v>7.6809872796398322</v>
      </c>
      <c r="AB197" s="185">
        <f t="shared" si="446"/>
        <v>8.0650366436218235</v>
      </c>
      <c r="AC197" s="185">
        <f t="shared" si="446"/>
        <v>8.4682884758029147</v>
      </c>
      <c r="AD197" s="185">
        <f t="shared" ref="AD197" si="447">AC197*(1+$K$197)</f>
        <v>8.89170289959306</v>
      </c>
      <c r="AE197" s="185">
        <f t="shared" ref="AE197" si="448">AD197*(1+$K$197)</f>
        <v>9.3362880445727132</v>
      </c>
      <c r="AF197" s="185">
        <f t="shared" ref="AF197" si="449">AE197*(1+$K$197)</f>
        <v>9.8031024468013488</v>
      </c>
      <c r="AG197" s="185">
        <f t="shared" ref="AG197" si="450">AF197*(1+$K$197)</f>
        <v>10.293257569141417</v>
      </c>
      <c r="AH197" s="185">
        <f t="shared" ref="AH197" si="451">AG197*(1+$K$197)</f>
        <v>10.807920447598489</v>
      </c>
      <c r="AI197" s="185">
        <f t="shared" ref="AI197" si="452">AH197*(1+$K$197)</f>
        <v>11.348316469978414</v>
      </c>
      <c r="AJ197" s="185">
        <f t="shared" ref="AJ197" si="453">AI197*(1+$K$197)</f>
        <v>11.915732293477335</v>
      </c>
      <c r="AK197" s="185">
        <f t="shared" ref="AK197" si="454">AJ197*(1+$K$197)</f>
        <v>12.511518908151203</v>
      </c>
      <c r="AL197" s="185">
        <f t="shared" ref="AL197" si="455">AK197*(1+$K$197)</f>
        <v>13.137094853558764</v>
      </c>
      <c r="AM197" s="185">
        <f t="shared" ref="AM197" si="456">AL197*(1+$K$197)</f>
        <v>13.793949596236704</v>
      </c>
      <c r="AN197" s="185">
        <f t="shared" ref="AN197" si="457">AM197*(1+$K$197)</f>
        <v>14.483647076048539</v>
      </c>
      <c r="AO197" s="185">
        <f t="shared" ref="AO197" si="458">AN197*(1+$K$197)</f>
        <v>15.207829429850968</v>
      </c>
      <c r="AP197" s="185">
        <f t="shared" ref="AP197" si="459">AO197*(1+$K$197)</f>
        <v>15.968220901343516</v>
      </c>
      <c r="AQ197" s="185">
        <f t="shared" ref="AQ197" si="460">AP197*(1+$K$197)</f>
        <v>16.766631946410694</v>
      </c>
      <c r="AR197" s="185">
        <f t="shared" ref="AR197" si="461">AQ197*(1+$K$197)</f>
        <v>17.60496354373123</v>
      </c>
      <c r="AS197" s="185">
        <f t="shared" ref="AS197" si="462">AR197*(1+$K$197)</f>
        <v>18.485211720917793</v>
      </c>
      <c r="AT197" s="185">
        <f t="shared" ref="AT197" si="463">AS197*(1+$K$197)</f>
        <v>19.409472306963682</v>
      </c>
    </row>
    <row r="198" spans="2:46" x14ac:dyDescent="0.2">
      <c r="B198" s="20" t="s">
        <v>394</v>
      </c>
      <c r="C198" s="20"/>
      <c r="D198" s="20"/>
      <c r="E198" s="23" t="s">
        <v>389</v>
      </c>
      <c r="F198" s="22"/>
      <c r="G198" s="190">
        <v>0</v>
      </c>
      <c r="H198" s="191">
        <f>Q177</f>
        <v>16.440000000000001</v>
      </c>
      <c r="I198" s="190">
        <v>0.05</v>
      </c>
      <c r="J198" s="189"/>
      <c r="K198" s="183">
        <f>P1</f>
        <v>0.05</v>
      </c>
      <c r="L198" s="190">
        <v>0.12</v>
      </c>
      <c r="M198" s="189"/>
      <c r="N198" s="190">
        <v>0.2</v>
      </c>
      <c r="O198" s="189"/>
      <c r="P198" s="180">
        <f>Q175/Q56</f>
        <v>16.440000000000001</v>
      </c>
      <c r="Q198" s="180">
        <f>Q175/Q56</f>
        <v>16.440000000000001</v>
      </c>
      <c r="R198" s="20"/>
      <c r="S198" s="20"/>
      <c r="T198" s="185">
        <f>Q56*(1+$K$198)</f>
        <v>12.773722627737225</v>
      </c>
      <c r="U198" s="185">
        <f>T198*(1+$K$198)</f>
        <v>13.412408759124087</v>
      </c>
      <c r="V198" s="185">
        <f t="shared" ref="V198:AC198" si="464">U198*(1+$K$198)</f>
        <v>14.083029197080291</v>
      </c>
      <c r="W198" s="185">
        <f t="shared" si="464"/>
        <v>14.787180656934307</v>
      </c>
      <c r="X198" s="185">
        <f t="shared" si="464"/>
        <v>15.526539689781023</v>
      </c>
      <c r="Y198" s="185">
        <f t="shared" si="464"/>
        <v>16.302866674270074</v>
      </c>
      <c r="Z198" s="185">
        <f t="shared" si="464"/>
        <v>17.118010007983578</v>
      </c>
      <c r="AA198" s="185">
        <f t="shared" si="464"/>
        <v>17.973910508382758</v>
      </c>
      <c r="AB198" s="185">
        <f t="shared" si="464"/>
        <v>18.872606033801897</v>
      </c>
      <c r="AC198" s="185">
        <f t="shared" si="464"/>
        <v>19.816236335491993</v>
      </c>
      <c r="AD198" s="185">
        <f t="shared" ref="AD198" si="465">AC198*(1+$K$198)</f>
        <v>20.807048152266592</v>
      </c>
      <c r="AE198" s="185">
        <f t="shared" ref="AE198" si="466">AD198*(1+$K$198)</f>
        <v>21.847400559879922</v>
      </c>
      <c r="AF198" s="185">
        <f t="shared" ref="AF198" si="467">AE198*(1+$K$198)</f>
        <v>22.93977058787392</v>
      </c>
      <c r="AG198" s="185">
        <f t="shared" ref="AG198" si="468">AF198*(1+$K$198)</f>
        <v>24.086759117267615</v>
      </c>
      <c r="AH198" s="185">
        <f t="shared" ref="AH198" si="469">AG198*(1+$K$198)</f>
        <v>25.291097073130995</v>
      </c>
      <c r="AI198" s="185">
        <f t="shared" ref="AI198" si="470">AH198*(1+$K$198)</f>
        <v>26.555651926787547</v>
      </c>
      <c r="AJ198" s="185">
        <f t="shared" ref="AJ198" si="471">AI198*(1+$K$198)</f>
        <v>27.883434523126926</v>
      </c>
      <c r="AK198" s="185">
        <f t="shared" ref="AK198" si="472">AJ198*(1+$K$198)</f>
        <v>29.277606249283274</v>
      </c>
      <c r="AL198" s="185">
        <f t="shared" ref="AL198" si="473">AK198*(1+$K$198)</f>
        <v>30.74148656174744</v>
      </c>
      <c r="AM198" s="185">
        <f t="shared" ref="AM198" si="474">AL198*(1+$K$198)</f>
        <v>32.278560889834814</v>
      </c>
      <c r="AN198" s="185">
        <f t="shared" ref="AN198" si="475">AM198*(1+$K$198)</f>
        <v>33.892488934326558</v>
      </c>
      <c r="AO198" s="185">
        <f t="shared" ref="AO198" si="476">AN198*(1+$K$198)</f>
        <v>35.58711338104289</v>
      </c>
      <c r="AP198" s="185">
        <f t="shared" ref="AP198" si="477">AO198*(1+$K$198)</f>
        <v>37.366469050095034</v>
      </c>
      <c r="AQ198" s="185">
        <f t="shared" ref="AQ198" si="478">AP198*(1+$K$198)</f>
        <v>39.234792502599788</v>
      </c>
      <c r="AR198" s="185">
        <f t="shared" ref="AR198" si="479">AQ198*(1+$K$198)</f>
        <v>41.196532127729782</v>
      </c>
      <c r="AS198" s="185">
        <f t="shared" ref="AS198" si="480">AR198*(1+$K$198)</f>
        <v>43.256358734116276</v>
      </c>
      <c r="AT198" s="185">
        <f t="shared" ref="AT198" si="481">AS198*(1+$K$198)</f>
        <v>45.41917667082209</v>
      </c>
    </row>
    <row r="199" spans="2:46" x14ac:dyDescent="0.2">
      <c r="B199" s="20"/>
      <c r="C199" s="20"/>
      <c r="D199" s="20"/>
      <c r="E199" s="23" t="s">
        <v>453</v>
      </c>
      <c r="F199" s="22"/>
      <c r="G199" s="190">
        <v>0</v>
      </c>
      <c r="H199" s="191"/>
      <c r="I199" s="190">
        <v>0.05</v>
      </c>
      <c r="J199" s="189"/>
      <c r="K199" s="189"/>
      <c r="L199" s="190">
        <v>0.12</v>
      </c>
      <c r="M199" s="189"/>
      <c r="N199" s="190">
        <v>0.2</v>
      </c>
      <c r="O199" s="20"/>
      <c r="P199" s="20"/>
      <c r="Q199" s="20"/>
      <c r="R199" s="20"/>
      <c r="S199" s="20"/>
      <c r="T199" s="129">
        <f>Q175-T198</f>
        <v>187.22627737226279</v>
      </c>
      <c r="U199" s="184">
        <f>T199-U198</f>
        <v>173.81386861313871</v>
      </c>
      <c r="V199" s="184">
        <f t="shared" ref="V199:AA199" si="482">U199-V198</f>
        <v>159.73083941605842</v>
      </c>
      <c r="W199" s="184">
        <f t="shared" si="482"/>
        <v>144.94365875912411</v>
      </c>
      <c r="X199" s="184">
        <f t="shared" si="482"/>
        <v>129.41711906934307</v>
      </c>
      <c r="Y199" s="184">
        <f t="shared" si="482"/>
        <v>113.114252395073</v>
      </c>
      <c r="Z199" s="184">
        <f t="shared" si="482"/>
        <v>95.99624238708941</v>
      </c>
      <c r="AA199" s="184">
        <f t="shared" si="482"/>
        <v>78.022331878706652</v>
      </c>
      <c r="AB199" s="184">
        <f>AA199-AB198</f>
        <v>59.149725844904751</v>
      </c>
      <c r="AC199" s="184">
        <f t="shared" ref="AC199" si="483">AB199-AC198</f>
        <v>39.333489509412757</v>
      </c>
      <c r="AD199" s="184">
        <f t="shared" ref="AD199" si="484">AC199-AD198</f>
        <v>18.526441357146165</v>
      </c>
      <c r="AE199" s="184">
        <f t="shared" ref="AE199" si="485">AD199-AE198</f>
        <v>-3.3209592027337571</v>
      </c>
      <c r="AF199" s="184">
        <f t="shared" ref="AF199" si="486">AE199-AF198</f>
        <v>-26.260729790607677</v>
      </c>
      <c r="AG199" s="184">
        <f t="shared" ref="AG199" si="487">AF199-AG198</f>
        <v>-50.347488907875288</v>
      </c>
      <c r="AH199" s="184">
        <f t="shared" ref="AH199" si="488">AG199-AH198</f>
        <v>-75.638585981006287</v>
      </c>
      <c r="AI199" s="184">
        <f t="shared" ref="AI199" si="489">AH199-AI198</f>
        <v>-102.19423790779383</v>
      </c>
      <c r="AJ199" s="184">
        <f t="shared" ref="AJ199" si="490">AI199-AJ198</f>
        <v>-130.07767243092076</v>
      </c>
      <c r="AK199" s="184">
        <f t="shared" ref="AK199" si="491">AJ199-AK198</f>
        <v>-159.35527868020404</v>
      </c>
      <c r="AL199" s="184">
        <f t="shared" ref="AL199" si="492">AK199-AL198</f>
        <v>-190.09676524195149</v>
      </c>
      <c r="AM199" s="184">
        <f t="shared" ref="AM199" si="493">AL199-AM198</f>
        <v>-222.3753261317863</v>
      </c>
      <c r="AN199" s="184">
        <f t="shared" ref="AN199" si="494">AM199-AN198</f>
        <v>-256.26781506611286</v>
      </c>
      <c r="AO199" s="184">
        <f t="shared" ref="AO199" si="495">AN199-AO198</f>
        <v>-291.85492844715577</v>
      </c>
      <c r="AP199" s="184">
        <f t="shared" ref="AP199" si="496">AO199-AP198</f>
        <v>-329.22139749725079</v>
      </c>
      <c r="AQ199" s="184">
        <f t="shared" ref="AQ199" si="497">AP199-AQ198</f>
        <v>-368.45618999985061</v>
      </c>
      <c r="AR199" s="184">
        <f t="shared" ref="AR199" si="498">AQ199-AR198</f>
        <v>-409.65272212758038</v>
      </c>
      <c r="AS199" s="184">
        <f t="shared" ref="AS199" si="499">AR199-AS198</f>
        <v>-452.90908086169668</v>
      </c>
      <c r="AT199" s="184">
        <f t="shared" ref="AT199" si="500">AS199-AT198</f>
        <v>-498.32825753251876</v>
      </c>
    </row>
    <row r="200" spans="2:46" x14ac:dyDescent="0.2">
      <c r="B200" s="108" t="s">
        <v>301</v>
      </c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46" x14ac:dyDescent="0.2">
      <c r="B201" s="20" t="s">
        <v>304</v>
      </c>
      <c r="C201" s="25"/>
      <c r="D201" s="25"/>
      <c r="E201" s="25"/>
      <c r="F201" s="25"/>
      <c r="G201" s="25">
        <f t="shared" ref="G201:P201" si="501">G10/G7</f>
        <v>0.967741935483871</v>
      </c>
      <c r="H201" s="25">
        <f t="shared" si="501"/>
        <v>0.86792452830188682</v>
      </c>
      <c r="I201" s="25">
        <f t="shared" si="501"/>
        <v>0.32124352331606215</v>
      </c>
      <c r="J201" s="25">
        <f t="shared" si="501"/>
        <v>0.42499999999999999</v>
      </c>
      <c r="K201" s="25">
        <f t="shared" si="501"/>
        <v>0.6398104265402843</v>
      </c>
      <c r="L201" s="25">
        <f t="shared" si="501"/>
        <v>0.53531598513011147</v>
      </c>
      <c r="M201" s="25">
        <f t="shared" si="501"/>
        <v>0.58252427184466016</v>
      </c>
      <c r="N201" s="25">
        <f t="shared" si="501"/>
        <v>0.38709677419354838</v>
      </c>
      <c r="O201" s="25">
        <f t="shared" si="501"/>
        <v>0.61484098939929333</v>
      </c>
      <c r="P201" s="25">
        <f t="shared" si="501"/>
        <v>0.93613707165109039</v>
      </c>
      <c r="Q201" s="25">
        <f t="shared" ref="Q201" si="502">Q10/Q7</f>
        <v>1.2807017543859649</v>
      </c>
      <c r="R201" s="118">
        <f t="shared" ref="R201:R203" si="503">((P201/G201)^(1/($H$2-$H$1) ))-1</f>
        <v>-3.6824858828056195E-3</v>
      </c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 x14ac:dyDescent="0.2">
      <c r="B202" s="20" t="s">
        <v>305</v>
      </c>
      <c r="C202" s="112"/>
      <c r="D202" s="112"/>
      <c r="E202" s="112"/>
      <c r="F202" s="112"/>
      <c r="G202" s="112">
        <f>G10/G12</f>
        <v>10</v>
      </c>
      <c r="H202" s="112">
        <f t="shared" ref="H202:P202" si="504">H10/H12</f>
        <v>4.5999999999999996</v>
      </c>
      <c r="I202" s="112">
        <f t="shared" si="504"/>
        <v>0.98412698412698407</v>
      </c>
      <c r="J202" s="112">
        <f t="shared" si="504"/>
        <v>8.5</v>
      </c>
      <c r="K202" s="112">
        <f t="shared" si="504"/>
        <v>6.4285714285714288</v>
      </c>
      <c r="L202" s="112">
        <f t="shared" si="504"/>
        <v>36</v>
      </c>
      <c r="M202" s="112">
        <f t="shared" si="504"/>
        <v>8.5714285714285712</v>
      </c>
      <c r="N202" s="112">
        <f t="shared" si="504"/>
        <v>1.6708860759493671</v>
      </c>
      <c r="O202" s="112">
        <f t="shared" si="504"/>
        <v>8.2857142857142865</v>
      </c>
      <c r="P202" s="112">
        <f t="shared" si="504"/>
        <v>16.243243243243242</v>
      </c>
      <c r="Q202" s="112">
        <f t="shared" ref="Q202" si="505">Q10/Q12</f>
        <v>18.925925925925927</v>
      </c>
      <c r="R202" s="118">
        <f t="shared" si="503"/>
        <v>5.5378112519963274E-2</v>
      </c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 x14ac:dyDescent="0.2">
      <c r="B203" s="20" t="s">
        <v>306</v>
      </c>
      <c r="C203" s="25"/>
      <c r="D203" s="25"/>
      <c r="E203" s="25"/>
      <c r="F203" s="25"/>
      <c r="G203" s="25">
        <f>G10/(G12+G13)</f>
        <v>8.5714285714285712</v>
      </c>
      <c r="H203" s="25">
        <f t="shared" ref="H203:P203" si="506">H10/(H12+H13)</f>
        <v>4.1071428571428577</v>
      </c>
      <c r="I203" s="25">
        <f t="shared" si="506"/>
        <v>0.67391304347826086</v>
      </c>
      <c r="J203" s="25">
        <f t="shared" si="506"/>
        <v>1.6346153846153846</v>
      </c>
      <c r="K203" s="25">
        <f t="shared" si="506"/>
        <v>2.6470588235294117</v>
      </c>
      <c r="L203" s="25">
        <f t="shared" si="506"/>
        <v>1.2100840336134453</v>
      </c>
      <c r="M203" s="25">
        <f t="shared" si="506"/>
        <v>1.40625</v>
      </c>
      <c r="N203" s="25">
        <f t="shared" si="506"/>
        <v>1.6603773584905661</v>
      </c>
      <c r="O203" s="25">
        <f t="shared" si="506"/>
        <v>8.0369515011547357</v>
      </c>
      <c r="P203" s="25">
        <f t="shared" si="506"/>
        <v>8.0133333333333336</v>
      </c>
      <c r="Q203" s="25">
        <f t="shared" ref="Q203" si="507">Q10/(Q12+Q13)</f>
        <v>10.019607843137255</v>
      </c>
      <c r="R203" s="118">
        <f t="shared" si="503"/>
        <v>-7.4529317087204117E-3</v>
      </c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 x14ac:dyDescent="0.2"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 x14ac:dyDescent="0.2"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 x14ac:dyDescent="0.2">
      <c r="B206" s="20"/>
      <c r="C206" s="173" t="s">
        <v>375</v>
      </c>
      <c r="D206" s="174"/>
      <c r="E206" s="174"/>
      <c r="F206" s="174"/>
      <c r="G206" s="174"/>
      <c r="H206" s="174"/>
      <c r="I206" s="174"/>
      <c r="J206" s="174"/>
      <c r="K206" s="20"/>
      <c r="L206" s="202" t="s">
        <v>335</v>
      </c>
      <c r="M206" s="203"/>
      <c r="N206" s="204"/>
      <c r="O206" s="23" t="s">
        <v>338</v>
      </c>
      <c r="P206" s="20"/>
      <c r="Q206" s="136"/>
      <c r="R206" s="202" t="s">
        <v>336</v>
      </c>
      <c r="S206" s="203"/>
      <c r="T206" s="204"/>
      <c r="U206" s="23" t="s">
        <v>338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 x14ac:dyDescent="0.2">
      <c r="B207" s="20"/>
      <c r="C207" s="165" t="s">
        <v>337</v>
      </c>
      <c r="D207" s="165" t="s">
        <v>0</v>
      </c>
      <c r="E207" s="165" t="s">
        <v>376</v>
      </c>
      <c r="F207" s="165" t="s">
        <v>377</v>
      </c>
      <c r="G207" s="165" t="s">
        <v>378</v>
      </c>
      <c r="H207" s="165" t="s">
        <v>379</v>
      </c>
      <c r="I207" s="165" t="s">
        <v>380</v>
      </c>
      <c r="J207" s="165" t="s">
        <v>381</v>
      </c>
      <c r="K207" s="20"/>
      <c r="L207" s="165" t="s">
        <v>337</v>
      </c>
      <c r="M207" s="165"/>
      <c r="N207" s="165" t="s">
        <v>0</v>
      </c>
      <c r="O207" s="165" t="s">
        <v>370</v>
      </c>
      <c r="P207" s="20"/>
      <c r="Q207" s="20"/>
      <c r="R207" s="165" t="s">
        <v>337</v>
      </c>
      <c r="S207" s="165"/>
      <c r="T207" s="165" t="s">
        <v>0</v>
      </c>
      <c r="U207" s="165" t="s">
        <v>370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 x14ac:dyDescent="0.2">
      <c r="B208" s="20"/>
      <c r="C208" s="166" t="s">
        <v>339</v>
      </c>
      <c r="D208" s="21">
        <v>300</v>
      </c>
      <c r="E208" s="175" t="s">
        <v>382</v>
      </c>
      <c r="F208" s="22">
        <v>1</v>
      </c>
      <c r="G208" s="22">
        <v>1</v>
      </c>
      <c r="H208" s="166">
        <f>F208/G208</f>
        <v>1</v>
      </c>
      <c r="I208" s="166">
        <f>H208*D209</f>
        <v>1</v>
      </c>
      <c r="J208" s="176">
        <f>I208+D209</f>
        <v>2</v>
      </c>
      <c r="K208" s="20"/>
      <c r="L208" s="166" t="s">
        <v>339</v>
      </c>
      <c r="M208" s="166"/>
      <c r="N208" s="21">
        <v>300</v>
      </c>
      <c r="O208" s="172">
        <f>N208</f>
        <v>300</v>
      </c>
      <c r="P208" s="20"/>
      <c r="Q208" s="20"/>
      <c r="R208" s="166" t="s">
        <v>339</v>
      </c>
      <c r="S208" s="166"/>
      <c r="T208" s="21">
        <v>1</v>
      </c>
      <c r="U208" s="172">
        <f>T208</f>
        <v>1</v>
      </c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6" t="s">
        <v>340</v>
      </c>
      <c r="D209" s="21">
        <v>1</v>
      </c>
      <c r="E209" s="175" t="s">
        <v>383</v>
      </c>
      <c r="F209" s="22">
        <v>0</v>
      </c>
      <c r="G209" s="22">
        <v>1</v>
      </c>
      <c r="H209" s="166">
        <f>F209/G209</f>
        <v>0</v>
      </c>
      <c r="I209" s="166">
        <f>H209*J208</f>
        <v>0</v>
      </c>
      <c r="J209" s="166">
        <f>I209+J208</f>
        <v>2</v>
      </c>
      <c r="K209" s="20"/>
      <c r="L209" s="166" t="s">
        <v>340</v>
      </c>
      <c r="M209" s="166"/>
      <c r="N209" s="21">
        <v>1</v>
      </c>
      <c r="O209" s="172">
        <f>N209</f>
        <v>1</v>
      </c>
      <c r="P209" s="20"/>
      <c r="Q209" s="20"/>
      <c r="R209" s="166" t="s">
        <v>340</v>
      </c>
      <c r="S209" s="166"/>
      <c r="T209" s="21">
        <v>1</v>
      </c>
      <c r="U209" s="172">
        <f>T209</f>
        <v>1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166" t="s">
        <v>342</v>
      </c>
      <c r="D210" s="167">
        <f>D208*D209</f>
        <v>300</v>
      </c>
      <c r="E210" s="175" t="s">
        <v>396</v>
      </c>
      <c r="F210" s="22">
        <v>0</v>
      </c>
      <c r="G210" s="22">
        <v>1</v>
      </c>
      <c r="H210" s="166">
        <f>F210/G210</f>
        <v>0</v>
      </c>
      <c r="I210" s="166">
        <f>H210*J209</f>
        <v>0</v>
      </c>
      <c r="J210" s="166">
        <f>I210+J209</f>
        <v>2</v>
      </c>
      <c r="K210" s="20"/>
      <c r="L210" s="166" t="s">
        <v>341</v>
      </c>
      <c r="M210" s="166"/>
      <c r="N210" s="167">
        <f>N208*N209</f>
        <v>300</v>
      </c>
      <c r="O210" s="172">
        <f>N210</f>
        <v>300</v>
      </c>
      <c r="P210" s="20"/>
      <c r="Q210" s="20"/>
      <c r="R210" s="166" t="s">
        <v>342</v>
      </c>
      <c r="S210" s="166"/>
      <c r="T210" s="167">
        <f>T208*T209</f>
        <v>1</v>
      </c>
      <c r="U210" s="172">
        <f>T210</f>
        <v>1</v>
      </c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166"/>
      <c r="D211" s="167"/>
      <c r="E211" s="175" t="s">
        <v>454</v>
      </c>
      <c r="F211" s="22">
        <v>0</v>
      </c>
      <c r="G211" s="22">
        <v>1</v>
      </c>
      <c r="H211" s="166">
        <f t="shared" ref="H211:H214" si="508">F211/G211</f>
        <v>0</v>
      </c>
      <c r="I211" s="166">
        <f t="shared" ref="I211:I213" si="509">H211*J210</f>
        <v>0</v>
      </c>
      <c r="J211" s="166">
        <f t="shared" ref="J211:J213" si="510">I211+J210</f>
        <v>2</v>
      </c>
      <c r="K211" s="20"/>
      <c r="L211" s="166" t="s">
        <v>343</v>
      </c>
      <c r="M211" s="166"/>
      <c r="N211" s="21">
        <v>700</v>
      </c>
      <c r="O211" s="21">
        <v>750</v>
      </c>
      <c r="P211" s="20"/>
      <c r="Q211" s="20"/>
      <c r="R211" s="166" t="s">
        <v>343</v>
      </c>
      <c r="S211" s="166"/>
      <c r="T211" s="21">
        <v>1</v>
      </c>
      <c r="U211" s="21">
        <v>1</v>
      </c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x14ac:dyDescent="0.2">
      <c r="B212" s="20"/>
      <c r="C212" s="166"/>
      <c r="D212" s="167"/>
      <c r="E212" s="175" t="s">
        <v>455</v>
      </c>
      <c r="F212" s="22">
        <v>0</v>
      </c>
      <c r="G212" s="22">
        <v>1</v>
      </c>
      <c r="H212" s="166">
        <f t="shared" si="508"/>
        <v>0</v>
      </c>
      <c r="I212" s="166">
        <f t="shared" si="509"/>
        <v>0</v>
      </c>
      <c r="J212" s="166">
        <f t="shared" si="510"/>
        <v>2</v>
      </c>
      <c r="K212" s="20"/>
      <c r="L212" s="166" t="s">
        <v>344</v>
      </c>
      <c r="M212" s="166"/>
      <c r="N212" s="167">
        <f>N211*N209</f>
        <v>700</v>
      </c>
      <c r="O212" s="167">
        <f>O211*O209</f>
        <v>750</v>
      </c>
      <c r="P212" s="20"/>
      <c r="Q212" s="20"/>
      <c r="R212" s="166" t="s">
        <v>340</v>
      </c>
      <c r="S212" s="166"/>
      <c r="T212" s="21">
        <v>1</v>
      </c>
      <c r="U212" s="127">
        <f>T212</f>
        <v>1</v>
      </c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x14ac:dyDescent="0.2">
      <c r="B213" s="20"/>
      <c r="C213" s="166"/>
      <c r="D213" s="167"/>
      <c r="E213" s="175" t="s">
        <v>456</v>
      </c>
      <c r="F213" s="22">
        <v>0</v>
      </c>
      <c r="G213" s="22">
        <v>1</v>
      </c>
      <c r="H213" s="166">
        <f t="shared" si="508"/>
        <v>0</v>
      </c>
      <c r="I213" s="166">
        <f t="shared" si="509"/>
        <v>0</v>
      </c>
      <c r="J213" s="166">
        <f t="shared" si="510"/>
        <v>2</v>
      </c>
      <c r="K213" s="20"/>
      <c r="L213" s="166"/>
      <c r="M213" s="166"/>
      <c r="N213" s="167"/>
      <c r="O213" s="167"/>
      <c r="P213" s="20"/>
      <c r="Q213" s="20"/>
      <c r="R213" s="166" t="s">
        <v>342</v>
      </c>
      <c r="S213" s="166"/>
      <c r="T213" s="167">
        <f>T212*T211</f>
        <v>1</v>
      </c>
      <c r="U213" s="167">
        <f>U212*U211</f>
        <v>1</v>
      </c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166"/>
      <c r="D214" s="167"/>
      <c r="E214" s="175" t="s">
        <v>384</v>
      </c>
      <c r="F214" s="22">
        <v>10</v>
      </c>
      <c r="G214" s="22">
        <v>2</v>
      </c>
      <c r="H214" s="166">
        <f t="shared" si="508"/>
        <v>5</v>
      </c>
      <c r="I214" s="166">
        <f>H214*J213</f>
        <v>10</v>
      </c>
      <c r="J214" s="166">
        <f>I214</f>
        <v>10</v>
      </c>
      <c r="K214" s="20"/>
      <c r="L214" s="166"/>
      <c r="M214" s="166"/>
      <c r="N214" s="167"/>
      <c r="O214" s="167"/>
      <c r="P214" s="20"/>
      <c r="Q214" s="20"/>
      <c r="R214" s="166"/>
      <c r="S214" s="166"/>
      <c r="T214" s="167"/>
      <c r="U214" s="167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166"/>
      <c r="D215" s="167"/>
      <c r="E215" s="175" t="s">
        <v>457</v>
      </c>
      <c r="F215" s="22">
        <v>2</v>
      </c>
      <c r="G215" s="22">
        <v>1</v>
      </c>
      <c r="H215" s="166">
        <f>F215/G215</f>
        <v>2</v>
      </c>
      <c r="I215" s="166">
        <f>H215*J214</f>
        <v>20</v>
      </c>
      <c r="J215" s="166">
        <f>I215</f>
        <v>20</v>
      </c>
      <c r="K215" s="20"/>
      <c r="L215" s="168" t="s">
        <v>345</v>
      </c>
      <c r="M215" s="168"/>
      <c r="N215" s="169">
        <f>N212/N210</f>
        <v>2.3333333333333335</v>
      </c>
      <c r="O215" s="169">
        <f>O212/O210</f>
        <v>2.5</v>
      </c>
      <c r="P215" s="20"/>
      <c r="Q215" s="20"/>
      <c r="R215" s="168" t="s">
        <v>345</v>
      </c>
      <c r="S215" s="168"/>
      <c r="T215" s="169">
        <f>T213/T210</f>
        <v>1</v>
      </c>
      <c r="U215" s="169">
        <f>U213/U210</f>
        <v>1</v>
      </c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166" t="s">
        <v>343</v>
      </c>
      <c r="D216" s="21">
        <v>700</v>
      </c>
      <c r="E216" s="175"/>
      <c r="F216" s="166"/>
      <c r="G216" s="166"/>
      <c r="H216" s="168" t="s">
        <v>385</v>
      </c>
      <c r="I216" s="166"/>
      <c r="J216" s="166">
        <f>J215</f>
        <v>20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166" t="s">
        <v>340</v>
      </c>
      <c r="D217" s="21">
        <v>1</v>
      </c>
      <c r="E217" s="175" t="s">
        <v>384</v>
      </c>
      <c r="F217" s="22">
        <v>10</v>
      </c>
      <c r="G217" s="22">
        <v>2</v>
      </c>
      <c r="H217" s="166">
        <f>F217/G217</f>
        <v>5</v>
      </c>
      <c r="I217" s="176">
        <f>H217*D209</f>
        <v>5</v>
      </c>
      <c r="J217" s="176">
        <f>I217</f>
        <v>5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166" t="s">
        <v>342</v>
      </c>
      <c r="D218" s="167">
        <f>D217*D216</f>
        <v>700</v>
      </c>
      <c r="E218" s="166"/>
      <c r="F218" s="166"/>
      <c r="G218" s="166"/>
      <c r="H218" s="168" t="s">
        <v>385</v>
      </c>
      <c r="I218" s="166"/>
      <c r="J218" s="166">
        <f>J217</f>
        <v>5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166"/>
      <c r="D219" s="167"/>
      <c r="E219" s="175" t="s">
        <v>384</v>
      </c>
      <c r="F219" s="22">
        <v>10</v>
      </c>
      <c r="G219" s="22">
        <v>2</v>
      </c>
      <c r="H219" s="166">
        <f>F219/G219</f>
        <v>5</v>
      </c>
      <c r="I219" s="166">
        <f>H219*J218</f>
        <v>25</v>
      </c>
      <c r="J219" s="166">
        <f>I219</f>
        <v>25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168" t="s">
        <v>345</v>
      </c>
      <c r="D220" s="169">
        <f>D218/D210</f>
        <v>2.3333333333333335</v>
      </c>
      <c r="E220" s="175"/>
      <c r="F220" s="166"/>
      <c r="G220" s="166"/>
      <c r="H220" s="168" t="s">
        <v>385</v>
      </c>
      <c r="I220" s="166"/>
      <c r="J220" s="166">
        <f>J219</f>
        <v>25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 x14ac:dyDescent="0.2">
      <c r="B222" s="20"/>
      <c r="C222" s="20"/>
      <c r="D222" s="136"/>
      <c r="E222" s="177"/>
      <c r="F222" s="177"/>
      <c r="G222" s="178"/>
      <c r="H222" s="20"/>
      <c r="I222" s="136"/>
      <c r="J222" s="177"/>
      <c r="K222" s="178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</row>
    <row r="223" spans="2:32" ht="14.25" x14ac:dyDescent="0.2">
      <c r="B223" s="20"/>
      <c r="C223" s="20"/>
      <c r="D223" s="195" t="s">
        <v>27</v>
      </c>
      <c r="E223" s="196"/>
      <c r="F223" s="196"/>
      <c r="G223" s="197"/>
      <c r="H223" s="20"/>
      <c r="I223" s="195" t="s">
        <v>391</v>
      </c>
      <c r="J223" s="196"/>
      <c r="K223" s="197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</row>
    <row r="224" spans="2:32" x14ac:dyDescent="0.2">
      <c r="B224" s="20"/>
      <c r="C224" s="20"/>
      <c r="D224" s="20" t="s">
        <v>28</v>
      </c>
      <c r="E224" s="127"/>
      <c r="F224" s="127"/>
      <c r="G224" s="21">
        <f>D210</f>
        <v>300</v>
      </c>
      <c r="H224" s="20"/>
      <c r="I224" s="20" t="s">
        <v>28</v>
      </c>
      <c r="J224" s="127"/>
      <c r="K224" s="21">
        <f>G224</f>
        <v>300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</row>
    <row r="225" spans="2:32" x14ac:dyDescent="0.2">
      <c r="B225" s="20"/>
      <c r="C225" s="20"/>
      <c r="D225" s="20" t="s">
        <v>29</v>
      </c>
      <c r="E225" s="127"/>
      <c r="F225" s="127"/>
      <c r="G225" s="21">
        <f>D218</f>
        <v>700</v>
      </c>
      <c r="H225" s="20"/>
      <c r="I225" s="20" t="s">
        <v>29</v>
      </c>
      <c r="J225" s="20"/>
      <c r="K225" s="21">
        <f>G225</f>
        <v>700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</row>
    <row r="226" spans="2:32" x14ac:dyDescent="0.2">
      <c r="B226" s="20"/>
      <c r="C226" s="20"/>
      <c r="D226" s="20" t="s">
        <v>30</v>
      </c>
      <c r="E226" s="20"/>
      <c r="F226" s="20"/>
      <c r="G226" s="22">
        <v>7</v>
      </c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</row>
    <row r="227" spans="2:32" x14ac:dyDescent="0.2">
      <c r="B227" s="20"/>
      <c r="C227" s="20"/>
      <c r="D227" s="23" t="s">
        <v>31</v>
      </c>
      <c r="E227" s="3"/>
      <c r="F227" s="3"/>
      <c r="G227" s="3">
        <f>((G225/G224)^(1/G226))-1</f>
        <v>0.12867293805389113</v>
      </c>
      <c r="H227" s="20"/>
      <c r="I227" s="23" t="s">
        <v>392</v>
      </c>
      <c r="J227" s="23"/>
      <c r="K227" s="192">
        <f>(K225-K224)/K224</f>
        <v>1.3333333333333333</v>
      </c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</row>
    <row r="228" spans="2:32" x14ac:dyDescent="0.2">
      <c r="C228" s="20"/>
      <c r="D228" s="23" t="s">
        <v>32</v>
      </c>
      <c r="E228" s="164"/>
      <c r="F228" s="164"/>
      <c r="G228" s="24">
        <f>G226*12</f>
        <v>84</v>
      </c>
      <c r="H228" s="20"/>
      <c r="I228" s="23" t="s">
        <v>393</v>
      </c>
      <c r="J228" s="23"/>
      <c r="K228" s="215">
        <f>K225/K224</f>
        <v>2.3333333333333335</v>
      </c>
    </row>
    <row r="229" spans="2:32" x14ac:dyDescent="0.2">
      <c r="C229" s="20"/>
      <c r="D229" s="20" t="s">
        <v>30</v>
      </c>
      <c r="E229" s="25"/>
      <c r="F229" s="25"/>
      <c r="G229" s="25">
        <f>G228/12</f>
        <v>7</v>
      </c>
      <c r="H229" s="20"/>
      <c r="I229" s="20"/>
      <c r="J229" s="20"/>
      <c r="K229" s="20"/>
    </row>
    <row r="230" spans="2:32" x14ac:dyDescent="0.2">
      <c r="C230" s="20"/>
      <c r="D230" s="23" t="s">
        <v>33</v>
      </c>
      <c r="E230" s="3"/>
      <c r="F230" s="3"/>
      <c r="G230" s="3">
        <f>((G225/G224)^(1/G229))-1</f>
        <v>0.12867293805389113</v>
      </c>
      <c r="H230" s="20"/>
      <c r="I230" s="20"/>
      <c r="J230" s="20"/>
      <c r="K230" s="20"/>
    </row>
    <row r="231" spans="2:32" x14ac:dyDescent="0.2">
      <c r="C231" s="20"/>
      <c r="D231" s="20"/>
      <c r="E231" s="20"/>
      <c r="F231" s="20"/>
      <c r="G231" s="20"/>
      <c r="H231" s="20"/>
      <c r="I231" s="20"/>
      <c r="J231" s="20"/>
      <c r="K231" s="20"/>
    </row>
    <row r="232" spans="2:32" x14ac:dyDescent="0.2">
      <c r="C232" s="20"/>
      <c r="D232" s="20"/>
      <c r="E232" s="20"/>
      <c r="F232" s="20"/>
      <c r="G232" s="20"/>
      <c r="H232" s="20"/>
      <c r="I232" s="20"/>
      <c r="J232" s="20"/>
      <c r="K232" s="20"/>
    </row>
  </sheetData>
  <mergeCells count="7">
    <mergeCell ref="D223:G223"/>
    <mergeCell ref="I223:K223"/>
    <mergeCell ref="AE2:AF2"/>
    <mergeCell ref="AE3:AF3"/>
    <mergeCell ref="L206:N206"/>
    <mergeCell ref="R206:T206"/>
    <mergeCell ref="K189:L189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7" t="s">
        <v>27</v>
      </c>
      <c r="K5" s="207"/>
      <c r="M5" s="207" t="s">
        <v>65</v>
      </c>
      <c r="N5" s="207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7" t="s">
        <v>36</v>
      </c>
      <c r="K14" s="207"/>
      <c r="L14" s="207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7" t="s">
        <v>27</v>
      </c>
      <c r="S5" s="207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7" t="s">
        <v>36</v>
      </c>
      <c r="S14" s="207"/>
      <c r="T14" s="207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7" t="s">
        <v>27</v>
      </c>
      <c r="C2" s="207"/>
      <c r="E2" s="207" t="s">
        <v>65</v>
      </c>
      <c r="F2" s="207"/>
      <c r="H2" s="211" t="s">
        <v>36</v>
      </c>
      <c r="I2" s="212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8" t="s">
        <v>68</v>
      </c>
      <c r="E10" s="209"/>
      <c r="F10" s="209"/>
      <c r="G10" s="209"/>
      <c r="H10" s="210"/>
      <c r="I10" s="208" t="s">
        <v>72</v>
      </c>
      <c r="J10" s="209"/>
      <c r="K10" s="209"/>
      <c r="L10" s="210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6"/>
    <col min="2" max="2" width="16.5703125" style="186" customWidth="1"/>
    <col min="3" max="3" width="39.7109375" style="186" customWidth="1"/>
    <col min="4" max="5" width="9.140625" style="186"/>
    <col min="6" max="6" width="19" style="186" bestFit="1" customWidth="1"/>
    <col min="7" max="7" width="49" style="186" customWidth="1"/>
    <col min="8" max="16384" width="9.140625" style="186"/>
  </cols>
  <sheetData>
    <row r="3" spans="2:7" x14ac:dyDescent="0.2">
      <c r="B3" s="213" t="s">
        <v>430</v>
      </c>
      <c r="C3" s="214"/>
      <c r="F3" s="213" t="s">
        <v>431</v>
      </c>
      <c r="G3" s="214"/>
    </row>
    <row r="4" spans="2:7" x14ac:dyDescent="0.2">
      <c r="B4" s="187" t="s">
        <v>432</v>
      </c>
      <c r="C4" s="187"/>
      <c r="F4" s="187" t="s">
        <v>433</v>
      </c>
      <c r="G4" s="187"/>
    </row>
    <row r="5" spans="2:7" x14ac:dyDescent="0.2">
      <c r="B5" s="187" t="s">
        <v>434</v>
      </c>
      <c r="C5" s="187"/>
      <c r="F5" s="187" t="s">
        <v>291</v>
      </c>
      <c r="G5" s="187"/>
    </row>
    <row r="6" spans="2:7" x14ac:dyDescent="0.2">
      <c r="B6" s="187" t="s">
        <v>435</v>
      </c>
      <c r="C6" s="187"/>
      <c r="F6" s="187" t="s">
        <v>436</v>
      </c>
      <c r="G6" s="187"/>
    </row>
    <row r="7" spans="2:7" x14ac:dyDescent="0.2">
      <c r="B7" s="187" t="s">
        <v>437</v>
      </c>
      <c r="C7" s="187"/>
      <c r="F7" s="187" t="s">
        <v>438</v>
      </c>
      <c r="G7" s="187"/>
    </row>
    <row r="8" spans="2:7" x14ac:dyDescent="0.2">
      <c r="B8" s="187" t="s">
        <v>439</v>
      </c>
      <c r="C8" s="187"/>
      <c r="F8" s="187" t="s">
        <v>440</v>
      </c>
      <c r="G8" s="187"/>
    </row>
    <row r="9" spans="2:7" x14ac:dyDescent="0.2">
      <c r="B9" s="187" t="s">
        <v>441</v>
      </c>
      <c r="C9" s="187"/>
      <c r="F9" s="187" t="s">
        <v>442</v>
      </c>
      <c r="G9" s="187"/>
    </row>
    <row r="10" spans="2:7" x14ac:dyDescent="0.2">
      <c r="B10" s="187" t="s">
        <v>440</v>
      </c>
      <c r="C10" s="187"/>
      <c r="F10" s="187"/>
      <c r="G10" s="187"/>
    </row>
    <row r="11" spans="2:7" x14ac:dyDescent="0.2">
      <c r="B11" s="187" t="s">
        <v>443</v>
      </c>
      <c r="C11" s="187"/>
      <c r="F11" s="187"/>
      <c r="G11" s="187"/>
    </row>
    <row r="12" spans="2:7" x14ac:dyDescent="0.2">
      <c r="B12" s="187" t="s">
        <v>444</v>
      </c>
      <c r="C12" s="187"/>
      <c r="F12" s="187"/>
      <c r="G12" s="187"/>
    </row>
    <row r="13" spans="2:7" x14ac:dyDescent="0.2">
      <c r="B13" s="187"/>
      <c r="C13" s="187"/>
      <c r="F13" s="187"/>
      <c r="G13" s="187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2014-09-27T20:14:31Z</dcterms:modified>
</cp:coreProperties>
</file>
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477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S42" i="18" l="1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T201" i="18" l="1"/>
  <c r="T202" i="18" s="1"/>
  <c r="D199" i="18"/>
  <c r="G209" i="18" s="1"/>
  <c r="H199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G212" i="18" s="1"/>
  <c r="H202" i="18"/>
  <c r="I202" i="18" s="1"/>
  <c r="J202" i="18" s="1"/>
  <c r="J203" i="18" s="1"/>
  <c r="H200" i="18"/>
  <c r="H198" i="18"/>
  <c r="H197" i="18"/>
  <c r="I197" i="18" s="1"/>
  <c r="J197" i="18" s="1"/>
  <c r="K210" i="18" l="1"/>
  <c r="G215" i="18"/>
  <c r="D205" i="18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Q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7" i="18" l="1"/>
  <c r="Q100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Q99" i="18" l="1"/>
  <c r="Q96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<sst xmlns="http://schemas.openxmlformats.org/spreadsheetml/2006/main" count="618" uniqueCount="429">
  <si>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</si>
  <si>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</si>
  <si>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</si>
  <si>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</si>
  <si>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</si>
  <si>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</si>
  <si>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</si>
  <si>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</si>
  <si>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</si>
  <si>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</si>
  <si>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</si>
  <si>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</si>
  <si>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</si>
  <si>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</si>
  <si>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</si>
  <si>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</si>
  <si>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</si>
  <si>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</si>
  <si>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</si>
  <si>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</si>
  <si>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</si>
  <si>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</si>
  <si>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</si>
  <si>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</si>
  <si>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</si>
  <si>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</si>
  <si>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</si>
  <si>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</si>
  <si>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</si>
  <si>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</si>
  <si>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</si>
  <si>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</si>
  <si>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</si>
  <si>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</si>
  <si>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</si>
  <si>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</si>
  <si>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</si>
  <si>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</si>
  <si>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</si>
  <si>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</si>
  <si>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</si>
  <si>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</si>
  <si>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</si>
  <si>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</si>
  <si>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</si>
  <si>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</si>
  <si>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</si>
  <si>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</si>
  <si>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</si>
  <si>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</si>
  <si>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</si>
  <si>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</si>
  <si>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</si>
  <si>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</si>
  <si>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</si>
  <si>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</si>
  <si>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</si>
  <si>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</si>
  <si>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</si>
  <si>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</si>
  <si>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</si>
  <si>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</si>
  <si>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</si>
  <si>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</si>
  <si>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</si>
  <si>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</si>
  <si>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</si>
  <si>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</si>
  <si>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</si>
  <si>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</si>
  <si>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</si>
  <si>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</si>
  <si>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</si>
  <si>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</si>
  <si>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</si>
  <si>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</si>
  <si>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</si>
  <si>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</si>
  <si>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</si>
  <si>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</si>
  <si>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</si>
  <si>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</si>
  <si>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</si>
  <si>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</si>
  <si>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</si>
  <si>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</si>
  <si>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</si>
  <si>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</si>
  <si>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</si>
  <si>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</si>
  <si>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</si>
  <si>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</si>
  <si>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</si>
  <si>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</si>
  <si>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</si>
  <si>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</si>
  <si>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</si>
  <si>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</si>
  <si>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</si>
  <si>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</si>
  <si>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</si>
  <si>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</si>
  <si>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</si>
  <si>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</si>
  <si>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</si>
  <si>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</si>
  <si>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</si>
  <si>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</si>
  <si>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</si>
  <si>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</si>
  <si>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</si>
  <si>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</si>
  <si>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</si>
  <si>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</si>
  <si>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</si>
  <si>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</si>
  <si>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</si>
  <si>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</si>
  <si>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</si>
  <si>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</si>
  <si>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</si>
  <si>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</si>
  <si>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</si>
  <si>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</si>
  <si>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</si>
  <si>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</si>
  <si>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</si>
  <si>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</si>
  <si>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</si>
  <si>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</si>
  <si>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</si>
  <si>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</si>
  <si>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</si>
  <si>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</si>
  <si>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</si>
  <si>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</si>
  <si>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</si>
  <si>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</si>
  <si>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</si>
  <si>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</si>
  <si>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</si>
  <si>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</si>
  <si>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</si>
  <si>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</si>
  <si>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</si>
  <si>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</si>
  <si>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</si>
  <si>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</si>
  <si>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</si>
  <si>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</si>
  <si>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</si>
  <si>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</si>
  <si>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</si>
  <si>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</si>
  <si>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</si>
  <si>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</si>
  <si>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</si>
  <si>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</si>
  <si>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</si>
  <si>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</si>
  <si>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</si>
  <si>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</si>
  <si>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</si>
  <si>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</si>
  <si>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</si>
  <si>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</si>
  <si>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</si>
  <si>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</si>
  <si>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</si>
  <si>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</si>
  <si>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</si>
  <si>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</si>
  <si>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</si>
  <si>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</si>
  <si>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</si>
  <si>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</si>
  <si>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</si>
  <si>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</si>
  <si>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</si>
  <si>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</si>
  <si>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</si>
  <si>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</si>
  <si>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</si>
  <si>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</si>
  <si>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</si>
  <si>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</si>
  <si>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</si>
  <si>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</si>
  <si>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</si>
  <si>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</si>
  <si>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</si>
  <si>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</si>
  <si>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</si>
  <si>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</si>
  <si>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</si>
  <si>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</si>
  <si>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</si>
  <si>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</si>
  <si>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</si>
  <si>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</si>
  <si>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</si>
  <si>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</si>
  <si>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</si>
  <si>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</si>
  <si>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</si>
  <si>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</si>
  <si>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</si>
  <si>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</si>
  <si>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</si>
  <si>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</si>
  <si>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</si>
  <si>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</si>
  <si>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</si>
  <si>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</si>
  <si>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</si>
  <si>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</si>
  <si>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</si>
  <si>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</si>
  <si>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</si>
  <si>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</si>
  <si>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</si>
  <si>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</si>
  <si>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</si>
  <si>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</si>
  <si>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</si>
  <si>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</si>
  <si>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</si>
  <si>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</si>
  <si>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</si>
  <si>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</si>
  <si>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</si>
  <si>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</si>
  <si>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</si>
  <si>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</si>
  <si>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</si>
  <si>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</si>
  <si>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</si>
  <si>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</si>
  <si>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</si>
  <si>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</si>
  <si>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</si>
  <si>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</si>
  <si>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</si>
  <si>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</si>
  <si>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</si>
  <si>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</si>
  <si>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</si>
  <si>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</si>
  <si>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</si>
  <si>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</si>
  <si>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</si>
  <si>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</si>
  <si>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</si>
  <si>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</si>
  <si>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</si>
  <si>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</si>
  <si>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</si>
  <si>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</si>
  <si>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</si>
  <si>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</si>
  <si>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</si>
  <si>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</si>
  <si>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</si>
  <si>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</si>
  <si>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</si>
  <si>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</si>
  <si>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</si>
  <si>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</si>
  <si>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</si>
  <si>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</si>
  <si>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</si>
  <si>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</si>
  <si>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</si>
  <si>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</si>
  <si>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</si>
  <si>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</si>
  <si>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</si>
  <si>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</si>
  <si>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</si>
  <si>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</si>
  <si>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</si>
  <si>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</si>
  <si>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</si>
  <si>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</si>
  <si>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</si>
  <si>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</si>
  <si>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</si>
  <si>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</si>
  <si>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</si>
  <si>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</si>
  <si>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</si>
  <si>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</si>
  <si>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</si>
  <si>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</si>
  <si>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</si>
  <si>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</si>
  <si>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</si>
  <si>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</si>
  <si>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</si>
  <si>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</si>
  <si>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</si>
  <si>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</si>
  <si>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</si>
  <si>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</si>
  <si>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</si>
  <si>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</si>
  <si>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</si>
  <si>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</si>
  <si>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</si>
  <si>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</si>
  <si>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</si>
  <si>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</si>
  <si>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</si>
  <si>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</si>
  <si>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</si>
  <si>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</si>
  <si>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</si>
  <si>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</si>
  <si>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</si>
  <si>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</si>
  <si>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</si>
  <si>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</si>
  <si>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</si>
  <si>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</si>
  <si>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</si>
  <si>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</si>
  <si>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</si>
  <si>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</si>
  <si>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</si>
  <si>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</si>
  <si>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</si>
  <si>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</si>
  <si>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</si>
  <si>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</si>
  <si>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</si>
  <si>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</si>
  <si>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</si>
  <si>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</si>
  <si>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</si>
  <si>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</si>
  <si>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</si>
  <si>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</si>
  <si>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</si>
  <si>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</si>
  <si>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</si>
  <si>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</si>
  <si>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</si>
  <si>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</si>
  <si>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</si>
  <si>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</si>
  <si>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</si>
  <si>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</si>
  <si>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</si>
  <si>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</si>
  <si>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</si>
  <si>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</si>
  <si>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</si>
  <si>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</si>
  <si>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</si>
  <si>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</si>
  <si>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</si>
  <si>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</si>
  <si>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</si>
  <si>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</si>
  <si>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</si>
  <si>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</si>
  <si>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</si>
  <si>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</si>
  <si>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</si>
  <si>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</si>
  <si>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</si>
  <si>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</si>
  <si>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</si>
  <si>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</si>
  <si>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</si>
  <si>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</si>
  <si>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</si>
  <si>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</si>
  <si>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</si>
  <si>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</si>
  <si>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</si>
  <si>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</si>
  <si>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</si>
  <si>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</si>
  <si>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</si>
  <si>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</si>
  <si>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</si>
  <si>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</si>
  <si>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</si>
  <si>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</si>
  <si>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</si>
  <si>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</si>
  <si>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</si>
  <si>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</si>
  <si>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</si>
  <si>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</si>
  <si>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</si>
  <si>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</si>
  <si>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</si>
  <si>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</si>
  <si>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</si>
  <si>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</si>
  <si>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</si>
  <si>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</si>
  <si>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</si>
  <si>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</si>
  <si>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</si>
  <si>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</si>
  <si>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</si>
  <si>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</si>
  <si>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</si>
  <si>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</si>
  <si>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</si>
  <si>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</si>
  <si>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</si>
  <si>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</si>
  <si>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</si>
  <si>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</si>
  <si>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</si>
  <si>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</si>
  <si>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</si>
  <si>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</si>
  <si>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</si>
  <si>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</si>
  <si>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1x1</t>
  </si>
  <si>
    <t>Stock Split - FV</t>
  </si>
  <si>
    <t>Bonus issue</t>
  </si>
  <si>
    <t>Rights issue</t>
  </si>
  <si>
    <t>10x1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</si>
</sst>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83744"/>
        <c:axId val="41585280"/>
      </c:lineChart>
      <c:catAx>
        <c:axId val="41583744"/>
        <c:scaling>
          <c:orientation val="minMax"/>
        </c:scaling>
        <c:delete val="0"/>
        <c:axPos val="b"/>
        <c:majorTickMark val="out"/>
        <c:minorTickMark val="none"/>
        <c:tickLblPos val="nextTo"/>
        <c:crossAx val="41585280"/>
        <c:crosses val="autoZero"/>
        <c:auto val="1"/>
        <c:lblAlgn val="ctr"/>
        <c:lblOffset val="100"/>
        <c:noMultiLvlLbl val="0"/>
      </c:catAx>
      <c:valAx>
        <c:axId val="41585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58374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J163" activePane="bottomRight" state="frozen"/>
      <selection pane="topRight" activeCell="C1" sqref="C1"/>
      <selection pane="bottomLeft" activeCell="A5" sqref="A5"/>
      <selection pane="bottomRight" activeCell="P168" sqref="P168"/>
    </sheetView>
  </sheetViews>
  <sheetFormatPr defaultRowHeight="12.75" x14ac:dyDescent="0.2"/>
  <cols>
    <col min="1" max="1" width="2.570312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0.18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0" t="s">
        <v>291</v>
      </c>
      <c r="AE2" s="191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2" t="s">
        <v>292</v>
      </c>
      <c r="AE3" s="193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289</v>
      </c>
      <c r="H6" s="147">
        <v>336</v>
      </c>
      <c r="I6" s="147">
        <v>388</v>
      </c>
      <c r="J6" s="147">
        <v>455</v>
      </c>
      <c r="K6" s="147">
        <v>591</v>
      </c>
      <c r="L6" s="147">
        <v>669</v>
      </c>
      <c r="M6" s="147">
        <v>821</v>
      </c>
      <c r="N6" s="147">
        <v>1034</v>
      </c>
      <c r="O6" s="147">
        <v>1275</v>
      </c>
      <c r="P6" s="147">
        <v>1600</v>
      </c>
      <c r="Q6" s="118">
        <f>((P6/G6)^(1/($H$2-$H$1) ))-1</f>
        <v>0.20942860942138286</v>
      </c>
      <c r="R6" s="31">
        <f>$L$2</f>
        <v>0.12</v>
      </c>
      <c r="S6" s="154">
        <f>P6*(1+$R6)</f>
        <v>1792.0000000000002</v>
      </c>
      <c r="T6" s="154">
        <f>S6*(1+$R6)</f>
        <v>2007.0400000000004</v>
      </c>
      <c r="U6" s="154">
        <f t="shared" ref="U6:AB6" si="0">T6*(1+$R6)</f>
        <v>2247.8848000000007</v>
      </c>
      <c r="V6" s="154">
        <f t="shared" si="0"/>
        <v>2517.6309760000008</v>
      </c>
      <c r="W6" s="154">
        <f t="shared" si="0"/>
        <v>2819.7466931200011</v>
      </c>
      <c r="X6" s="154">
        <f t="shared" si="0"/>
        <v>3158.1162962944013</v>
      </c>
      <c r="Y6" s="154">
        <f t="shared" si="0"/>
        <v>3537.0902518497296</v>
      </c>
      <c r="Z6" s="154">
        <f t="shared" si="0"/>
        <v>3961.5410820716975</v>
      </c>
      <c r="AA6" s="154">
        <f t="shared" si="0"/>
        <v>4436.9260119203018</v>
      </c>
      <c r="AB6" s="154">
        <f t="shared" si="0"/>
        <v>4969.3571333507389</v>
      </c>
      <c r="AC6" s="138">
        <f>((AB6/G6)^(1/($AB$3-$H$1) ))-1</f>
        <v>0.16150525010479155</v>
      </c>
      <c r="AD6" s="31">
        <f>$L$1</f>
        <v>0.05</v>
      </c>
      <c r="AE6" s="146">
        <f t="shared" ref="AE6:AE43" si="1">(AB6*(1+AD6))/($C$1-AD6)</f>
        <v>40137.115307832893</v>
      </c>
    </row>
    <row r="7" spans="2:31" x14ac:dyDescent="0.2">
      <c r="B7" s="20" t="s">
        <v>240</v>
      </c>
      <c r="C7" s="141"/>
      <c r="D7" s="141"/>
      <c r="E7" s="147"/>
      <c r="F7" s="147"/>
      <c r="G7" s="147">
        <v>315</v>
      </c>
      <c r="H7" s="147">
        <v>361</v>
      </c>
      <c r="I7" s="147">
        <v>413</v>
      </c>
      <c r="J7" s="147">
        <v>480</v>
      </c>
      <c r="K7" s="147">
        <v>620</v>
      </c>
      <c r="L7" s="147">
        <v>634</v>
      </c>
      <c r="M7" s="147">
        <v>872</v>
      </c>
      <c r="N7" s="147">
        <v>1084</v>
      </c>
      <c r="O7" s="147">
        <v>1326</v>
      </c>
      <c r="P7" s="147">
        <v>1651</v>
      </c>
      <c r="Q7" s="118">
        <f>((P7/G7)^(1/($H$2-$H$1) ))-1</f>
        <v>0.20209112574880295</v>
      </c>
      <c r="R7" s="31">
        <f>$L$2</f>
        <v>0.12</v>
      </c>
      <c r="S7" s="154">
        <f t="shared" ref="S7:S16" si="2">P7*(1+$R7)</f>
        <v>1849.1200000000001</v>
      </c>
      <c r="T7" s="154">
        <f t="shared" ref="T7:AB7" si="3">S7*(1+$R7)</f>
        <v>2071.0144000000005</v>
      </c>
      <c r="U7" s="154">
        <f t="shared" si="3"/>
        <v>2319.5361280000006</v>
      </c>
      <c r="V7" s="154">
        <f t="shared" si="3"/>
        <v>2597.8804633600012</v>
      </c>
      <c r="W7" s="154">
        <f t="shared" si="3"/>
        <v>2909.6261189632014</v>
      </c>
      <c r="X7" s="154">
        <f t="shared" si="3"/>
        <v>3258.7812532387857</v>
      </c>
      <c r="Y7" s="154">
        <f t="shared" si="3"/>
        <v>3649.8350036274401</v>
      </c>
      <c r="Z7" s="154">
        <f t="shared" si="3"/>
        <v>4087.8152040627333</v>
      </c>
      <c r="AA7" s="154">
        <f t="shared" si="3"/>
        <v>4578.353028550262</v>
      </c>
      <c r="AB7" s="154">
        <f t="shared" si="3"/>
        <v>5127.755391976294</v>
      </c>
      <c r="AC7" s="138">
        <f>((AB7/G7)^(1/($AB$3-$H$1) ))-1</f>
        <v>0.15816197617345606</v>
      </c>
      <c r="AD7" s="31">
        <f>$L$1</f>
        <v>0.05</v>
      </c>
      <c r="AE7" s="146">
        <f t="shared" si="1"/>
        <v>41416.485858270069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0.12742382271468145</v>
      </c>
      <c r="I8" s="151">
        <f t="shared" ref="I8:P8" si="4">(I7-H7)/I7</f>
        <v>0.12590799031476999</v>
      </c>
      <c r="J8" s="151">
        <f t="shared" si="4"/>
        <v>0.13958333333333334</v>
      </c>
      <c r="K8" s="151">
        <f t="shared" si="4"/>
        <v>0.22580645161290322</v>
      </c>
      <c r="L8" s="151">
        <f t="shared" si="4"/>
        <v>2.2082018927444796E-2</v>
      </c>
      <c r="M8" s="151">
        <f t="shared" si="4"/>
        <v>0.27293577981651373</v>
      </c>
      <c r="N8" s="151">
        <f t="shared" si="4"/>
        <v>0.19557195571955718</v>
      </c>
      <c r="O8" s="151">
        <f t="shared" si="4"/>
        <v>0.18250377073906485</v>
      </c>
      <c r="P8" s="151">
        <f t="shared" si="4"/>
        <v>0.19685039370078741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85</v>
      </c>
      <c r="H9" s="147">
        <v>112</v>
      </c>
      <c r="I9" s="147">
        <v>133</v>
      </c>
      <c r="J9" s="147">
        <v>197</v>
      </c>
      <c r="K9" s="147">
        <v>263</v>
      </c>
      <c r="L9" s="147">
        <v>324</v>
      </c>
      <c r="M9" s="147">
        <v>411</v>
      </c>
      <c r="N9" s="147">
        <v>510</v>
      </c>
      <c r="O9" s="147">
        <v>748</v>
      </c>
      <c r="P9" s="147">
        <v>693</v>
      </c>
      <c r="Q9" s="118">
        <f t="shared" ref="Q9:Q16" si="5">((P9/G9)^(1/($H$2-$H$1) ))-1</f>
        <v>0.26257488294639741</v>
      </c>
      <c r="R9" s="31">
        <f t="shared" ref="R9:R40" si="6">$L$2</f>
        <v>0.12</v>
      </c>
      <c r="S9" s="154">
        <f t="shared" ref="S9" si="7">P9*(1+$R9)</f>
        <v>776.16000000000008</v>
      </c>
      <c r="T9" s="154">
        <f t="shared" ref="T9" si="8">S9*(1+$R9)</f>
        <v>869.29920000000016</v>
      </c>
      <c r="U9" s="154">
        <f t="shared" ref="U9" si="9">T9*(1+$R9)</f>
        <v>973.61510400000031</v>
      </c>
      <c r="V9" s="154">
        <f t="shared" ref="V9" si="10">U9*(1+$R9)</f>
        <v>1090.4489164800004</v>
      </c>
      <c r="W9" s="154">
        <f t="shared" ref="W9" si="11">V9*(1+$R9)</f>
        <v>1221.3027864576006</v>
      </c>
      <c r="X9" s="154">
        <f t="shared" ref="X9" si="12">W9*(1+$R9)</f>
        <v>1367.8591208325129</v>
      </c>
      <c r="Y9" s="154">
        <f t="shared" ref="Y9" si="13">X9*(1+$R9)</f>
        <v>1532.0022153324146</v>
      </c>
      <c r="Z9" s="154">
        <f t="shared" ref="Z9" si="14">Y9*(1+$R9)</f>
        <v>1715.8424811723046</v>
      </c>
      <c r="AA9" s="154">
        <f t="shared" ref="AA9" si="15">Z9*(1+$R9)</f>
        <v>1921.7435789129813</v>
      </c>
      <c r="AB9" s="154">
        <f t="shared" ref="AB9" si="16">AA9*(1+$R9)</f>
        <v>2152.3528083825395</v>
      </c>
      <c r="AC9" s="138">
        <f>((AB9/G9)^(1/($AB$3-$H$1) ))-1</f>
        <v>0.1854087631773329</v>
      </c>
      <c r="AD9" s="31">
        <f t="shared" ref="AD9:AD79" si="17">$L$1</f>
        <v>0.05</v>
      </c>
      <c r="AE9" s="146">
        <f t="shared" si="1"/>
        <v>17384.388067705124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56</v>
      </c>
      <c r="H10" s="147">
        <v>62</v>
      </c>
      <c r="I10" s="147">
        <v>56</v>
      </c>
      <c r="J10" s="147">
        <v>145</v>
      </c>
      <c r="K10" s="147">
        <v>526</v>
      </c>
      <c r="L10" s="147">
        <v>609</v>
      </c>
      <c r="M10" s="147">
        <v>468</v>
      </c>
      <c r="N10" s="147">
        <v>335</v>
      </c>
      <c r="O10" s="147">
        <v>148</v>
      </c>
      <c r="P10" s="147">
        <v>51</v>
      </c>
      <c r="Q10" s="118">
        <f t="shared" si="5"/>
        <v>-1.0337976182232311E-2</v>
      </c>
      <c r="R10" s="31">
        <f t="shared" si="6"/>
        <v>0.12</v>
      </c>
      <c r="S10" s="154">
        <f t="shared" si="2"/>
        <v>57.120000000000005</v>
      </c>
      <c r="T10" s="154">
        <f t="shared" ref="T10:AB10" si="18">S10*(1+$R10)</f>
        <v>63.97440000000001</v>
      </c>
      <c r="U10" s="154">
        <f t="shared" si="18"/>
        <v>71.651328000000021</v>
      </c>
      <c r="V10" s="154">
        <f t="shared" si="18"/>
        <v>80.249487360000032</v>
      </c>
      <c r="W10" s="154">
        <f t="shared" si="18"/>
        <v>89.879425843200039</v>
      </c>
      <c r="X10" s="154">
        <f t="shared" si="18"/>
        <v>100.66495694438406</v>
      </c>
      <c r="Y10" s="154">
        <f t="shared" si="18"/>
        <v>112.74475177771016</v>
      </c>
      <c r="Z10" s="154">
        <f t="shared" si="18"/>
        <v>126.2741219910354</v>
      </c>
      <c r="AA10" s="154">
        <f t="shared" si="18"/>
        <v>141.42701662995967</v>
      </c>
      <c r="AB10" s="154">
        <f t="shared" si="18"/>
        <v>158.39825862555483</v>
      </c>
      <c r="AC10" s="138">
        <f t="shared" ref="AC10:AC42" si="19">((AB10/G10)^(1/($AB$3-$H$1) ))-1</f>
        <v>5.6249316270891025E-2</v>
      </c>
      <c r="AD10" s="31">
        <f t="shared" si="17"/>
        <v>0.05</v>
      </c>
      <c r="AE10" s="146">
        <f t="shared" si="1"/>
        <v>1279.3705504371735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9.6774193548387094E-2</v>
      </c>
      <c r="I11" s="148">
        <f t="shared" si="20"/>
        <v>-0.10714285714285714</v>
      </c>
      <c r="J11" s="148">
        <f t="shared" si="20"/>
        <v>0.61379310344827587</v>
      </c>
      <c r="K11" s="148">
        <f t="shared" si="20"/>
        <v>0.7243346007604563</v>
      </c>
      <c r="L11" s="148">
        <f t="shared" si="20"/>
        <v>0.13628899835796388</v>
      </c>
      <c r="M11" s="148">
        <f t="shared" si="20"/>
        <v>-0.30128205128205127</v>
      </c>
      <c r="N11" s="148">
        <f t="shared" si="20"/>
        <v>-0.39701492537313432</v>
      </c>
      <c r="O11" s="148">
        <f t="shared" si="20"/>
        <v>-1.2635135135135136</v>
      </c>
      <c r="P11" s="148">
        <f t="shared" si="20"/>
        <v>-1.9019607843137254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7.5</v>
      </c>
      <c r="H12" s="147">
        <v>14</v>
      </c>
      <c r="I12" s="147">
        <v>16</v>
      </c>
      <c r="J12" s="147">
        <v>38</v>
      </c>
      <c r="K12" s="147">
        <v>172</v>
      </c>
      <c r="L12" s="147">
        <v>159</v>
      </c>
      <c r="M12" s="147">
        <v>45</v>
      </c>
      <c r="N12" s="147">
        <v>103</v>
      </c>
      <c r="O12" s="147">
        <v>273</v>
      </c>
      <c r="P12" s="147">
        <v>151</v>
      </c>
      <c r="Q12" s="118">
        <f t="shared" si="5"/>
        <v>0.39598104201612827</v>
      </c>
      <c r="R12" s="31">
        <f t="shared" si="6"/>
        <v>0.12</v>
      </c>
      <c r="S12" s="154">
        <f t="shared" si="2"/>
        <v>169.12</v>
      </c>
      <c r="T12" s="154">
        <f t="shared" ref="T12:AB12" si="21">S12*(1+$R12)</f>
        <v>189.41440000000003</v>
      </c>
      <c r="U12" s="154">
        <f t="shared" si="21"/>
        <v>212.14412800000005</v>
      </c>
      <c r="V12" s="154">
        <f t="shared" si="21"/>
        <v>237.60142336000007</v>
      </c>
      <c r="W12" s="154">
        <f t="shared" si="21"/>
        <v>266.1135941632001</v>
      </c>
      <c r="X12" s="154">
        <f t="shared" si="21"/>
        <v>298.04722546278413</v>
      </c>
      <c r="Y12" s="154">
        <f t="shared" si="21"/>
        <v>333.81289251831828</v>
      </c>
      <c r="Z12" s="154">
        <f t="shared" si="21"/>
        <v>373.87043962051649</v>
      </c>
      <c r="AA12" s="154">
        <f t="shared" si="21"/>
        <v>418.73489237497853</v>
      </c>
      <c r="AB12" s="154">
        <f t="shared" si="21"/>
        <v>468.98307945997601</v>
      </c>
      <c r="AC12" s="138">
        <f t="shared" si="19"/>
        <v>0.24317241156171332</v>
      </c>
      <c r="AD12" s="31">
        <f t="shared" si="17"/>
        <v>0.05</v>
      </c>
      <c r="AE12" s="146">
        <f t="shared" si="1"/>
        <v>3787.9402571767296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19</v>
      </c>
      <c r="H13" s="147">
        <v>19</v>
      </c>
      <c r="I13" s="147">
        <v>16</v>
      </c>
      <c r="J13" s="147">
        <v>16</v>
      </c>
      <c r="K13" s="147">
        <v>3.24</v>
      </c>
      <c r="L13" s="147">
        <v>26</v>
      </c>
      <c r="M13" s="147">
        <v>268</v>
      </c>
      <c r="N13" s="147">
        <v>170</v>
      </c>
      <c r="O13" s="147">
        <v>98</v>
      </c>
      <c r="P13" s="147">
        <v>293</v>
      </c>
      <c r="Q13" s="118">
        <f t="shared" si="5"/>
        <v>0.35522894521425896</v>
      </c>
      <c r="R13" s="31">
        <f t="shared" si="6"/>
        <v>0.12</v>
      </c>
      <c r="S13" s="154">
        <f t="shared" si="2"/>
        <v>328.16</v>
      </c>
      <c r="T13" s="154">
        <f t="shared" ref="T13:AB13" si="22">S13*(1+$R13)</f>
        <v>367.53920000000005</v>
      </c>
      <c r="U13" s="154">
        <f t="shared" si="22"/>
        <v>411.64390400000008</v>
      </c>
      <c r="V13" s="154">
        <f t="shared" si="22"/>
        <v>461.04117248000011</v>
      </c>
      <c r="W13" s="154">
        <f t="shared" si="22"/>
        <v>516.36611317760014</v>
      </c>
      <c r="X13" s="154">
        <f t="shared" si="22"/>
        <v>578.3300467589122</v>
      </c>
      <c r="Y13" s="154">
        <f t="shared" si="22"/>
        <v>647.72965236998175</v>
      </c>
      <c r="Z13" s="154">
        <f t="shared" si="22"/>
        <v>725.45721065437965</v>
      </c>
      <c r="AA13" s="154">
        <f t="shared" si="22"/>
        <v>812.5120759329053</v>
      </c>
      <c r="AB13" s="154">
        <f t="shared" si="22"/>
        <v>910.01352504485408</v>
      </c>
      <c r="AC13" s="138">
        <f t="shared" si="19"/>
        <v>0.22584776413725205</v>
      </c>
      <c r="AD13" s="31">
        <f t="shared" si="17"/>
        <v>0.05</v>
      </c>
      <c r="AE13" s="146">
        <f t="shared" si="1"/>
        <v>7350.1092407468986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105</v>
      </c>
      <c r="H14" s="147">
        <v>130</v>
      </c>
      <c r="I14" s="147">
        <v>156</v>
      </c>
      <c r="J14" s="147">
        <v>221</v>
      </c>
      <c r="K14" s="147">
        <v>298</v>
      </c>
      <c r="L14" s="147">
        <v>280</v>
      </c>
      <c r="M14" s="147">
        <v>298</v>
      </c>
      <c r="N14" s="147">
        <v>409</v>
      </c>
      <c r="O14" s="147">
        <v>454</v>
      </c>
      <c r="P14" s="147">
        <v>524</v>
      </c>
      <c r="Q14" s="118">
        <f t="shared" ref="Q14" si="23">((P14/G14)^(1/($H$2-$H$1) ))-1</f>
        <v>0.19555987784032447</v>
      </c>
      <c r="R14" s="31">
        <f t="shared" si="6"/>
        <v>0.12</v>
      </c>
      <c r="S14" s="154">
        <f t="shared" ref="S14" si="24">P14*(1+$R14)</f>
        <v>586.88000000000011</v>
      </c>
      <c r="T14" s="154">
        <f t="shared" ref="T14" si="25">S14*(1+$R14)</f>
        <v>657.30560000000014</v>
      </c>
      <c r="U14" s="154">
        <f t="shared" ref="U14" si="26">T14*(1+$R14)</f>
        <v>736.18227200000024</v>
      </c>
      <c r="V14" s="154">
        <f t="shared" ref="V14" si="27">U14*(1+$R14)</f>
        <v>824.52414464000037</v>
      </c>
      <c r="W14" s="154">
        <f t="shared" ref="W14" si="28">V14*(1+$R14)</f>
        <v>923.4670419968005</v>
      </c>
      <c r="X14" s="154">
        <f t="shared" ref="X14" si="29">W14*(1+$R14)</f>
        <v>1034.2830870364166</v>
      </c>
      <c r="Y14" s="154">
        <f t="shared" ref="Y14" si="30">X14*(1+$R14)</f>
        <v>1158.3970574807868</v>
      </c>
      <c r="Z14" s="154">
        <f t="shared" ref="Z14" si="31">Y14*(1+$R14)</f>
        <v>1297.4047043784813</v>
      </c>
      <c r="AA14" s="154">
        <f t="shared" ref="AA14" si="32">Z14*(1+$R14)</f>
        <v>1453.0932689038991</v>
      </c>
      <c r="AB14" s="154">
        <f t="shared" ref="AB14" si="33">AA14*(1+$R14)</f>
        <v>1627.4644611723672</v>
      </c>
      <c r="AC14" s="138">
        <f t="shared" ref="AC14" si="34">((AB14/G14)^(1/($AB$3-$H$1) ))-1</f>
        <v>0.15517701133904005</v>
      </c>
      <c r="AD14" s="31">
        <f t="shared" si="17"/>
        <v>0.05</v>
      </c>
      <c r="AE14" s="146">
        <f t="shared" ref="AE14" si="35">(AB14*(1+AD14))/($C$1-AD14)</f>
        <v>13144.905263315273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209.5</v>
      </c>
      <c r="H15" s="147">
        <v>254</v>
      </c>
      <c r="I15" s="147">
        <v>284</v>
      </c>
      <c r="J15" s="147">
        <v>417</v>
      </c>
      <c r="K15" s="147">
        <v>708</v>
      </c>
      <c r="L15" s="147">
        <v>718</v>
      </c>
      <c r="M15" s="147">
        <v>638</v>
      </c>
      <c r="N15" s="147">
        <v>793</v>
      </c>
      <c r="O15" s="147">
        <v>1122</v>
      </c>
      <c r="P15" s="147">
        <v>1104</v>
      </c>
      <c r="Q15" s="118">
        <f t="shared" si="5"/>
        <v>0.2028136235625817</v>
      </c>
      <c r="R15" s="31">
        <f t="shared" si="6"/>
        <v>0.12</v>
      </c>
      <c r="S15" s="154">
        <f t="shared" si="2"/>
        <v>1236.48</v>
      </c>
      <c r="T15" s="154">
        <f t="shared" ref="T15:AB15" si="36">S15*(1+$R15)</f>
        <v>1384.8576</v>
      </c>
      <c r="U15" s="154">
        <f t="shared" si="36"/>
        <v>1551.0405120000003</v>
      </c>
      <c r="V15" s="154">
        <f t="shared" si="36"/>
        <v>1737.1653734400004</v>
      </c>
      <c r="W15" s="154">
        <f t="shared" si="36"/>
        <v>1945.6252182528006</v>
      </c>
      <c r="X15" s="154">
        <f t="shared" si="36"/>
        <v>2179.1002444431369</v>
      </c>
      <c r="Y15" s="154">
        <f t="shared" si="36"/>
        <v>2440.5922737763135</v>
      </c>
      <c r="Z15" s="154">
        <f t="shared" si="36"/>
        <v>2733.4633466294713</v>
      </c>
      <c r="AA15" s="154">
        <f t="shared" si="36"/>
        <v>3061.478948225008</v>
      </c>
      <c r="AB15" s="154">
        <f t="shared" si="36"/>
        <v>3428.8564220120093</v>
      </c>
      <c r="AC15" s="138">
        <f t="shared" si="19"/>
        <v>0.15849165319788683</v>
      </c>
      <c r="AD15" s="31">
        <f t="shared" si="17"/>
        <v>0.05</v>
      </c>
      <c r="AE15" s="146">
        <f t="shared" si="1"/>
        <v>27694.60956240469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132</v>
      </c>
      <c r="H16" s="147">
        <v>145</v>
      </c>
      <c r="I16" s="147">
        <v>147</v>
      </c>
      <c r="J16" s="147">
        <v>224</v>
      </c>
      <c r="K16" s="147">
        <v>477</v>
      </c>
      <c r="L16" s="147">
        <v>445</v>
      </c>
      <c r="M16" s="147">
        <v>234</v>
      </c>
      <c r="N16" s="147">
        <v>336</v>
      </c>
      <c r="O16" s="147">
        <v>365</v>
      </c>
      <c r="P16" s="147">
        <v>335</v>
      </c>
      <c r="Q16" s="118">
        <f t="shared" si="5"/>
        <v>0.10902467354362688</v>
      </c>
      <c r="R16" s="31">
        <f t="shared" si="6"/>
        <v>0.12</v>
      </c>
      <c r="S16" s="154">
        <f t="shared" si="2"/>
        <v>375.20000000000005</v>
      </c>
      <c r="T16" s="154">
        <f t="shared" ref="T16:AB16" si="37">S16*(1+$R16)</f>
        <v>420.2240000000001</v>
      </c>
      <c r="U16" s="154">
        <f t="shared" si="37"/>
        <v>470.65088000000014</v>
      </c>
      <c r="V16" s="154">
        <f t="shared" si="37"/>
        <v>527.12898560000019</v>
      </c>
      <c r="W16" s="154">
        <f t="shared" si="37"/>
        <v>590.38446387200031</v>
      </c>
      <c r="X16" s="154">
        <f t="shared" si="37"/>
        <v>661.2305995366404</v>
      </c>
      <c r="Y16" s="154">
        <f t="shared" si="37"/>
        <v>740.57827148103729</v>
      </c>
      <c r="Z16" s="154">
        <f t="shared" si="37"/>
        <v>829.4476640587618</v>
      </c>
      <c r="AA16" s="154">
        <f t="shared" si="37"/>
        <v>928.98138374581333</v>
      </c>
      <c r="AB16" s="154">
        <f t="shared" si="37"/>
        <v>1040.4591497953111</v>
      </c>
      <c r="AC16" s="138">
        <f t="shared" si="19"/>
        <v>0.1147876871853879</v>
      </c>
      <c r="AD16" s="31">
        <f t="shared" si="17"/>
        <v>0.05</v>
      </c>
      <c r="AE16" s="146">
        <f t="shared" si="1"/>
        <v>8403.7085175775119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204</v>
      </c>
      <c r="H18" s="147">
        <v>224</v>
      </c>
      <c r="I18" s="147">
        <v>278</v>
      </c>
      <c r="J18" s="147">
        <v>350</v>
      </c>
      <c r="K18" s="147">
        <v>497</v>
      </c>
      <c r="L18" s="147">
        <v>551</v>
      </c>
      <c r="M18" s="147">
        <v>540</v>
      </c>
      <c r="N18" s="147">
        <v>563</v>
      </c>
      <c r="O18" s="147">
        <v>618</v>
      </c>
      <c r="P18" s="147">
        <v>646</v>
      </c>
      <c r="Q18" s="118">
        <f>((P18/G18)^(1/($H$2-$H$1) ))-1</f>
        <v>0.13663881694331415</v>
      </c>
      <c r="R18" s="31">
        <f t="shared" si="6"/>
        <v>0.12</v>
      </c>
      <c r="S18" s="154">
        <f t="shared" ref="S18:S34" si="38">P18*(1+$R18)</f>
        <v>723.5200000000001</v>
      </c>
      <c r="T18" s="154">
        <f t="shared" ref="T18:T34" si="39">S18*(1+$R18)</f>
        <v>810.34240000000023</v>
      </c>
      <c r="U18" s="154">
        <f t="shared" ref="U18:U34" si="40">T18*(1+$R18)</f>
        <v>907.58348800000033</v>
      </c>
      <c r="V18" s="154">
        <f t="shared" ref="V18:V34" si="41">U18*(1+$R18)</f>
        <v>1016.4935065600005</v>
      </c>
      <c r="W18" s="154">
        <f t="shared" ref="W18:W36" si="42">V18*(1+$R18)</f>
        <v>1138.4727273472006</v>
      </c>
      <c r="X18" s="154">
        <f t="shared" ref="X18:X36" si="43">W18*(1+$R18)</f>
        <v>1275.0894546288648</v>
      </c>
      <c r="Y18" s="154">
        <f t="shared" ref="Y18:Y36" si="44">X18*(1+$R18)</f>
        <v>1428.1001891843287</v>
      </c>
      <c r="Z18" s="154">
        <f t="shared" ref="Z18:Z36" si="45">Y18*(1+$R18)</f>
        <v>1599.4722118864483</v>
      </c>
      <c r="AA18" s="154">
        <f t="shared" ref="AA18:AA36" si="46">Z18*(1+$R18)</f>
        <v>1791.4088773128224</v>
      </c>
      <c r="AB18" s="154">
        <f t="shared" ref="AB18:AB36" si="47">AA18*(1+$R18)</f>
        <v>2006.3779425903613</v>
      </c>
      <c r="AC18" s="138">
        <f t="shared" si="19"/>
        <v>0.12785096272831842</v>
      </c>
      <c r="AD18" s="31">
        <f t="shared" si="17"/>
        <v>0.05</v>
      </c>
      <c r="AE18" s="146">
        <f t="shared" si="1"/>
        <v>16205.360305537533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>
        <v>48</v>
      </c>
      <c r="H20" s="147">
        <v>92</v>
      </c>
      <c r="I20" s="147">
        <v>112</v>
      </c>
      <c r="J20" s="147">
        <v>89</v>
      </c>
      <c r="K20" s="147">
        <v>128</v>
      </c>
      <c r="L20" s="147">
        <v>260</v>
      </c>
      <c r="M20" s="147">
        <v>412</v>
      </c>
      <c r="N20" s="147">
        <v>322</v>
      </c>
      <c r="O20" s="147">
        <v>507</v>
      </c>
      <c r="P20" s="147">
        <v>513</v>
      </c>
      <c r="Q20" s="118">
        <f>((P20/G20)^(1/($H$2-$H$1) ))-1</f>
        <v>0.30112664239398113</v>
      </c>
      <c r="R20" s="31">
        <f t="shared" si="6"/>
        <v>0.12</v>
      </c>
      <c r="S20" s="154">
        <f t="shared" ref="S20:S22" si="48">P20*(1+$R20)</f>
        <v>574.56000000000006</v>
      </c>
      <c r="T20" s="154">
        <f t="shared" ref="T20:T22" si="49">S20*(1+$R20)</f>
        <v>643.50720000000013</v>
      </c>
      <c r="U20" s="154">
        <f t="shared" ref="U20:U22" si="50">T20*(1+$R20)</f>
        <v>720.72806400000024</v>
      </c>
      <c r="V20" s="154">
        <f t="shared" ref="V20:V22" si="51">U20*(1+$R20)</f>
        <v>807.21543168000039</v>
      </c>
      <c r="W20" s="154">
        <f t="shared" ref="W20:W22" si="52">V20*(1+$R20)</f>
        <v>904.08128348160051</v>
      </c>
      <c r="X20" s="154">
        <f t="shared" ref="X20:X22" si="53">W20*(1+$R20)</f>
        <v>1012.5710374993927</v>
      </c>
      <c r="Y20" s="154">
        <f t="shared" ref="Y20:Y22" si="54">X20*(1+$R20)</f>
        <v>1134.0795619993198</v>
      </c>
      <c r="Z20" s="154">
        <f t="shared" ref="Z20:Z22" si="55">Y20*(1+$R20)</f>
        <v>1270.1691094392384</v>
      </c>
      <c r="AA20" s="154">
        <f t="shared" ref="AA20:AA22" si="56">Z20*(1+$R20)</f>
        <v>1422.5894025719472</v>
      </c>
      <c r="AB20" s="154">
        <f t="shared" ref="AB20:AB22" si="57">AA20*(1+$R20)</f>
        <v>1593.300130880581</v>
      </c>
      <c r="AC20" s="138">
        <f t="shared" ref="AC20:AC22" si="58">((AB20/G20)^(1/($AB$3-$H$1) ))-1</f>
        <v>0.20241835620994375</v>
      </c>
      <c r="AD20" s="31">
        <f t="shared" si="17"/>
        <v>0.05</v>
      </c>
      <c r="AE20" s="146">
        <f t="shared" si="1"/>
        <v>12868.962595573925</v>
      </c>
    </row>
    <row r="21" spans="2:31" x14ac:dyDescent="0.2">
      <c r="B21" s="20" t="s">
        <v>284</v>
      </c>
      <c r="C21" s="141"/>
      <c r="D21" s="141"/>
      <c r="E21" s="147"/>
      <c r="F21" s="147"/>
      <c r="G21" s="147">
        <v>-41</v>
      </c>
      <c r="H21" s="147">
        <v>-70</v>
      </c>
      <c r="I21" s="147">
        <v>-77</v>
      </c>
      <c r="J21" s="147">
        <v>-125</v>
      </c>
      <c r="K21" s="147">
        <v>-290</v>
      </c>
      <c r="L21" s="147">
        <v>-228</v>
      </c>
      <c r="M21" s="147">
        <v>-345</v>
      </c>
      <c r="N21" s="147">
        <v>-37</v>
      </c>
      <c r="O21" s="147">
        <v>-231</v>
      </c>
      <c r="P21" s="147">
        <v>-197</v>
      </c>
      <c r="Q21" s="118">
        <f>((P21/G21)^(1/($H$2-$H$1) ))-1</f>
        <v>0.19053587156611562</v>
      </c>
      <c r="R21" s="31">
        <f t="shared" si="6"/>
        <v>0.12</v>
      </c>
      <c r="S21" s="154">
        <f t="shared" si="48"/>
        <v>-220.64000000000001</v>
      </c>
      <c r="T21" s="154">
        <f t="shared" si="49"/>
        <v>-247.11680000000004</v>
      </c>
      <c r="U21" s="154">
        <f t="shared" si="50"/>
        <v>-276.77081600000008</v>
      </c>
      <c r="V21" s="154">
        <f t="shared" si="51"/>
        <v>-309.98331392000011</v>
      </c>
      <c r="W21" s="154">
        <f t="shared" si="52"/>
        <v>-347.18131159040018</v>
      </c>
      <c r="X21" s="154">
        <f t="shared" si="53"/>
        <v>-388.84306898124822</v>
      </c>
      <c r="Y21" s="154">
        <f t="shared" si="54"/>
        <v>-435.50423725899805</v>
      </c>
      <c r="Z21" s="154">
        <f t="shared" si="55"/>
        <v>-487.76474573007783</v>
      </c>
      <c r="AA21" s="154">
        <f t="shared" si="56"/>
        <v>-546.29651521768722</v>
      </c>
      <c r="AB21" s="154">
        <f t="shared" si="57"/>
        <v>-611.85209704380975</v>
      </c>
      <c r="AC21" s="138">
        <f t="shared" si="58"/>
        <v>0.15287505377267263</v>
      </c>
      <c r="AD21" s="31">
        <f t="shared" si="17"/>
        <v>0.05</v>
      </c>
      <c r="AE21" s="146">
        <f t="shared" si="1"/>
        <v>-4941.8823222769252</v>
      </c>
    </row>
    <row r="22" spans="2:31" x14ac:dyDescent="0.2">
      <c r="B22" s="20" t="s">
        <v>285</v>
      </c>
      <c r="C22" s="141"/>
      <c r="D22" s="141"/>
      <c r="E22" s="147"/>
      <c r="F22" s="147"/>
      <c r="G22" s="147">
        <v>-7</v>
      </c>
      <c r="H22" s="147">
        <v>-18</v>
      </c>
      <c r="I22" s="147">
        <v>-35</v>
      </c>
      <c r="J22" s="147">
        <v>47</v>
      </c>
      <c r="K22" s="147">
        <v>288</v>
      </c>
      <c r="L22" s="147">
        <v>-54</v>
      </c>
      <c r="M22" s="147">
        <v>-160</v>
      </c>
      <c r="N22" s="147">
        <v>-246</v>
      </c>
      <c r="O22" s="147">
        <v>-285</v>
      </c>
      <c r="P22" s="147">
        <v>-625</v>
      </c>
      <c r="Q22" s="118">
        <f>((P22/G22)^(1/($H$2-$H$1) ))-1</f>
        <v>0.64722738220021325</v>
      </c>
      <c r="R22" s="31">
        <f t="shared" si="6"/>
        <v>0.12</v>
      </c>
      <c r="S22" s="154">
        <f t="shared" si="48"/>
        <v>-700.00000000000011</v>
      </c>
      <c r="T22" s="154">
        <f t="shared" si="49"/>
        <v>-784.00000000000023</v>
      </c>
      <c r="U22" s="154">
        <f t="shared" si="50"/>
        <v>-878.08000000000038</v>
      </c>
      <c r="V22" s="154">
        <f t="shared" si="51"/>
        <v>-983.44960000000049</v>
      </c>
      <c r="W22" s="154">
        <f t="shared" si="52"/>
        <v>-1101.4635520000006</v>
      </c>
      <c r="X22" s="154">
        <f t="shared" si="53"/>
        <v>-1233.6391782400008</v>
      </c>
      <c r="Y22" s="154">
        <f t="shared" si="54"/>
        <v>-1381.6758796288009</v>
      </c>
      <c r="Z22" s="154">
        <f t="shared" si="55"/>
        <v>-1547.476985184257</v>
      </c>
      <c r="AA22" s="154">
        <f t="shared" si="56"/>
        <v>-1733.1742234063681</v>
      </c>
      <c r="AB22" s="154">
        <f t="shared" si="57"/>
        <v>-1941.1551302151324</v>
      </c>
      <c r="AC22" s="138">
        <f t="shared" si="58"/>
        <v>0.34455000330530638</v>
      </c>
      <c r="AD22" s="31">
        <f t="shared" si="17"/>
        <v>0.05</v>
      </c>
      <c r="AE22" s="146">
        <f t="shared" si="1"/>
        <v>-15678.560667122223</v>
      </c>
    </row>
    <row r="23" spans="2:31" x14ac:dyDescent="0.2">
      <c r="B23" s="20" t="s">
        <v>295</v>
      </c>
      <c r="C23" s="141"/>
      <c r="D23" s="141"/>
      <c r="E23" s="147"/>
      <c r="F23" s="147"/>
      <c r="G23" s="147">
        <v>7.44</v>
      </c>
      <c r="H23" s="147">
        <v>11.66</v>
      </c>
      <c r="I23" s="147">
        <v>12</v>
      </c>
      <c r="J23" s="147">
        <v>23</v>
      </c>
      <c r="K23" s="147">
        <v>148.5</v>
      </c>
      <c r="L23" s="147">
        <v>127</v>
      </c>
      <c r="M23" s="147">
        <v>33</v>
      </c>
      <c r="N23" s="147">
        <v>72</v>
      </c>
      <c r="O23" s="147">
        <v>62</v>
      </c>
      <c r="P23" s="147">
        <v>51</v>
      </c>
      <c r="Q23" s="118">
        <f>((P23/G23)^(1/($H$2-$H$1) ))-1</f>
        <v>0.23847881554976125</v>
      </c>
      <c r="R23" s="31">
        <f t="shared" si="6"/>
        <v>0.12</v>
      </c>
      <c r="S23" s="154">
        <f t="shared" ref="S23" si="59">P23*(1+$R23)</f>
        <v>57.120000000000005</v>
      </c>
      <c r="T23" s="154">
        <f t="shared" ref="T23" si="60">S23*(1+$R23)</f>
        <v>63.97440000000001</v>
      </c>
      <c r="U23" s="154">
        <f t="shared" ref="U23" si="61">T23*(1+$R23)</f>
        <v>71.651328000000021</v>
      </c>
      <c r="V23" s="154">
        <f t="shared" ref="V23" si="62">U23*(1+$R23)</f>
        <v>80.249487360000032</v>
      </c>
      <c r="W23" s="154">
        <f t="shared" ref="W23" si="63">V23*(1+$R23)</f>
        <v>89.879425843200039</v>
      </c>
      <c r="X23" s="154">
        <f t="shared" ref="X23" si="64">W23*(1+$R23)</f>
        <v>100.66495694438406</v>
      </c>
      <c r="Y23" s="154">
        <f t="shared" ref="Y23" si="65">X23*(1+$R23)</f>
        <v>112.74475177771016</v>
      </c>
      <c r="Z23" s="154">
        <f t="shared" ref="Z23" si="66">Y23*(1+$R23)</f>
        <v>126.2741219910354</v>
      </c>
      <c r="AA23" s="154">
        <f t="shared" ref="AA23" si="67">Z23*(1+$R23)</f>
        <v>141.42701662995967</v>
      </c>
      <c r="AB23" s="154">
        <f t="shared" ref="AB23" si="68">AA23*(1+$R23)</f>
        <v>158.39825862555483</v>
      </c>
      <c r="AC23" s="138">
        <f t="shared" ref="AC23" si="69">((AB23/G23)^(1/($AB$3-$H$1) ))-1</f>
        <v>0.17463808355606369</v>
      </c>
      <c r="AD23" s="31">
        <f t="shared" si="17"/>
        <v>0.05</v>
      </c>
      <c r="AE23" s="146">
        <f t="shared" si="1"/>
        <v>1279.3705504371735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675</v>
      </c>
      <c r="H25" s="147">
        <v>777</v>
      </c>
      <c r="I25" s="147">
        <v>949</v>
      </c>
      <c r="J25" s="147">
        <v>1290</v>
      </c>
      <c r="K25" s="147">
        <v>1767</v>
      </c>
      <c r="L25" s="147">
        <v>1978</v>
      </c>
      <c r="M25" s="147">
        <v>2247</v>
      </c>
      <c r="N25" s="147">
        <v>2748</v>
      </c>
      <c r="O25" s="147">
        <v>3194</v>
      </c>
      <c r="P25" s="147">
        <v>3802</v>
      </c>
      <c r="Q25" s="118">
        <f>((P25/G25)^(1/($H$2-$H$1) ))-1</f>
        <v>0.21174723593215905</v>
      </c>
      <c r="R25" s="31">
        <f t="shared" si="6"/>
        <v>0.12</v>
      </c>
      <c r="S25" s="154">
        <f t="shared" si="38"/>
        <v>4258.2400000000007</v>
      </c>
      <c r="T25" s="154">
        <f t="shared" si="39"/>
        <v>4769.2288000000008</v>
      </c>
      <c r="U25" s="154">
        <f t="shared" si="40"/>
        <v>5341.5362560000012</v>
      </c>
      <c r="V25" s="154">
        <f t="shared" si="41"/>
        <v>5982.5206067200015</v>
      </c>
      <c r="W25" s="154">
        <f t="shared" si="42"/>
        <v>6700.423079526402</v>
      </c>
      <c r="X25" s="154">
        <f t="shared" si="43"/>
        <v>7504.4738490695709</v>
      </c>
      <c r="Y25" s="154">
        <f t="shared" si="44"/>
        <v>8405.0107109579203</v>
      </c>
      <c r="Z25" s="154">
        <f t="shared" si="45"/>
        <v>9413.6119962728717</v>
      </c>
      <c r="AA25" s="154">
        <f t="shared" si="46"/>
        <v>10543.245435825618</v>
      </c>
      <c r="AB25" s="154">
        <f t="shared" si="47"/>
        <v>11808.434888124693</v>
      </c>
      <c r="AC25" s="138">
        <f t="shared" si="19"/>
        <v>0.16255949546635962</v>
      </c>
      <c r="AD25" s="31">
        <f t="shared" si="17"/>
        <v>0.05</v>
      </c>
      <c r="AE25" s="146">
        <f t="shared" si="1"/>
        <v>95375.820250237914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0.13127413127413126</v>
      </c>
      <c r="I26" s="148">
        <f t="shared" ref="I26:P26" si="70">(I25-H25)/I25</f>
        <v>0.18124341412012646</v>
      </c>
      <c r="J26" s="148">
        <f t="shared" si="70"/>
        <v>0.26434108527131783</v>
      </c>
      <c r="K26" s="148">
        <f t="shared" si="70"/>
        <v>0.2699490662139219</v>
      </c>
      <c r="L26" s="148">
        <f t="shared" si="70"/>
        <v>0.10667340748230536</v>
      </c>
      <c r="M26" s="148">
        <f t="shared" si="70"/>
        <v>0.11971517578994215</v>
      </c>
      <c r="N26" s="148">
        <f t="shared" si="70"/>
        <v>0.18231441048034935</v>
      </c>
      <c r="O26" s="148">
        <f t="shared" si="70"/>
        <v>0.13963681903569192</v>
      </c>
      <c r="P26" s="148">
        <f t="shared" si="70"/>
        <v>0.1599158337716991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558</v>
      </c>
      <c r="H27" s="147">
        <v>640</v>
      </c>
      <c r="I27" s="147">
        <v>789</v>
      </c>
      <c r="J27" s="147">
        <v>1102</v>
      </c>
      <c r="K27" s="147">
        <v>1489</v>
      </c>
      <c r="L27" s="147">
        <v>1748</v>
      </c>
      <c r="M27" s="147">
        <v>1831</v>
      </c>
      <c r="N27" s="147">
        <v>2249</v>
      </c>
      <c r="O27" s="147">
        <v>2666</v>
      </c>
      <c r="P27" s="147">
        <v>3130</v>
      </c>
      <c r="Q27" s="118">
        <f>((P27/G27)^(1/($H$2-$H$1) ))-1</f>
        <v>0.21118989161507029</v>
      </c>
      <c r="R27" s="31">
        <f t="shared" si="6"/>
        <v>0.12</v>
      </c>
      <c r="S27" s="154">
        <f t="shared" si="38"/>
        <v>3505.6000000000004</v>
      </c>
      <c r="T27" s="154">
        <f t="shared" si="39"/>
        <v>3926.2720000000008</v>
      </c>
      <c r="U27" s="154">
        <f t="shared" si="40"/>
        <v>4397.4246400000011</v>
      </c>
      <c r="V27" s="154">
        <f t="shared" si="41"/>
        <v>4925.1155968000021</v>
      </c>
      <c r="W27" s="154">
        <f t="shared" si="42"/>
        <v>5516.129468416003</v>
      </c>
      <c r="X27" s="154">
        <f t="shared" si="43"/>
        <v>6178.0650046259243</v>
      </c>
      <c r="Y27" s="154">
        <f t="shared" si="44"/>
        <v>6919.4328051810362</v>
      </c>
      <c r="Z27" s="154">
        <f t="shared" si="45"/>
        <v>7749.7647418027609</v>
      </c>
      <c r="AA27" s="154">
        <f t="shared" si="46"/>
        <v>8679.7365108190934</v>
      </c>
      <c r="AB27" s="154">
        <f t="shared" si="47"/>
        <v>9721.304892117385</v>
      </c>
      <c r="AC27" s="138">
        <f t="shared" si="19"/>
        <v>0.16230617620577115</v>
      </c>
      <c r="AD27" s="31">
        <f t="shared" si="17"/>
        <v>0.05</v>
      </c>
      <c r="AE27" s="146">
        <f t="shared" si="1"/>
        <v>78518.231820948116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P28" si="71">(G27-F27)/G27</f>
        <v>1</v>
      </c>
      <c r="H28" s="148">
        <f t="shared" si="71"/>
        <v>0.12812499999999999</v>
      </c>
      <c r="I28" s="148">
        <f t="shared" si="71"/>
        <v>0.1888466413181242</v>
      </c>
      <c r="J28" s="148">
        <f t="shared" si="71"/>
        <v>0.28402903811252267</v>
      </c>
      <c r="K28" s="148">
        <f t="shared" si="71"/>
        <v>0.25990597716588315</v>
      </c>
      <c r="L28" s="148">
        <f t="shared" si="71"/>
        <v>0.14816933638443935</v>
      </c>
      <c r="M28" s="148">
        <f t="shared" si="71"/>
        <v>4.5330420535226651E-2</v>
      </c>
      <c r="N28" s="148">
        <f t="shared" si="71"/>
        <v>0.18586038239217431</v>
      </c>
      <c r="O28" s="148">
        <f t="shared" si="71"/>
        <v>0.15641410352588148</v>
      </c>
      <c r="P28" s="148">
        <f t="shared" si="71"/>
        <v>0.14824281150159743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1E-3</v>
      </c>
      <c r="H29" s="147">
        <v>4</v>
      </c>
      <c r="I29" s="147">
        <v>3.8</v>
      </c>
      <c r="J29" s="147">
        <v>9.59</v>
      </c>
      <c r="K29" s="147">
        <v>24</v>
      </c>
      <c r="L29" s="147">
        <v>44</v>
      </c>
      <c r="M29" s="147">
        <v>38</v>
      </c>
      <c r="N29" s="147">
        <v>36</v>
      </c>
      <c r="O29" s="147">
        <v>31</v>
      </c>
      <c r="P29" s="147">
        <v>22</v>
      </c>
      <c r="Q29" s="118">
        <f>((P29/G29)^(1/($H$2-$H$1) ))-1</f>
        <v>2.0373260083233196</v>
      </c>
      <c r="R29" s="31">
        <f t="shared" si="6"/>
        <v>0.12</v>
      </c>
      <c r="S29" s="154">
        <f t="shared" ref="S29" si="72">P29*(1+$R29)</f>
        <v>24.64</v>
      </c>
      <c r="T29" s="154">
        <f t="shared" ref="T29" si="73">S29*(1+$R29)</f>
        <v>27.596800000000002</v>
      </c>
      <c r="U29" s="154">
        <f t="shared" ref="U29" si="74">T29*(1+$R29)</f>
        <v>30.908416000000006</v>
      </c>
      <c r="V29" s="154">
        <f t="shared" ref="V29" si="75">U29*(1+$R29)</f>
        <v>34.617425920000009</v>
      </c>
      <c r="W29" s="154">
        <f t="shared" ref="W29" si="76">V29*(1+$R29)</f>
        <v>38.771517030400013</v>
      </c>
      <c r="X29" s="154">
        <f t="shared" ref="X29" si="77">W29*(1+$R29)</f>
        <v>43.424099074048016</v>
      </c>
      <c r="Y29" s="154">
        <f t="shared" ref="Y29" si="78">X29*(1+$R29)</f>
        <v>48.634990962933784</v>
      </c>
      <c r="Z29" s="154">
        <f t="shared" ref="Z29" si="79">Y29*(1+$R29)</f>
        <v>54.471189878485845</v>
      </c>
      <c r="AA29" s="154">
        <f t="shared" ref="AA29" si="80">Z29*(1+$R29)</f>
        <v>61.00773266390415</v>
      </c>
      <c r="AB29" s="154">
        <f t="shared" ref="AB29" si="81">AA29*(1+$R29)</f>
        <v>68.328660583572656</v>
      </c>
      <c r="AC29" s="138">
        <f t="shared" ref="AC29" si="82">((AB29/G29)^(1/($AB$3-$H$1) ))-1</f>
        <v>0.79660574714007915</v>
      </c>
      <c r="AD29" s="31">
        <f t="shared" si="17"/>
        <v>0.05</v>
      </c>
      <c r="AE29" s="146">
        <f t="shared" ref="AE29" si="83">(AB29*(1+AD29))/($C$1-AD29)</f>
        <v>551.8853354827022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P30" si="84">(G29-F29)/G29</f>
        <v>1</v>
      </c>
      <c r="H30" s="148">
        <f t="shared" si="84"/>
        <v>0.99975000000000003</v>
      </c>
      <c r="I30" s="148">
        <f t="shared" si="84"/>
        <v>-5.2631578947368474E-2</v>
      </c>
      <c r="J30" s="148">
        <f t="shared" si="84"/>
        <v>0.60375391032325343</v>
      </c>
      <c r="K30" s="148">
        <f t="shared" si="84"/>
        <v>0.60041666666666671</v>
      </c>
      <c r="L30" s="148">
        <f t="shared" si="84"/>
        <v>0.45454545454545453</v>
      </c>
      <c r="M30" s="148">
        <f t="shared" si="84"/>
        <v>-0.15789473684210525</v>
      </c>
      <c r="N30" s="148">
        <f t="shared" si="84"/>
        <v>-5.5555555555555552E-2</v>
      </c>
      <c r="O30" s="148">
        <f t="shared" si="84"/>
        <v>-0.16129032258064516</v>
      </c>
      <c r="P30" s="148">
        <f t="shared" si="84"/>
        <v>-0.40909090909090912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85">T31*(1+$R31)</f>
        <v>0</v>
      </c>
      <c r="V31" s="154">
        <f t="shared" si="85"/>
        <v>0</v>
      </c>
      <c r="W31" s="154">
        <f t="shared" si="85"/>
        <v>0</v>
      </c>
      <c r="X31" s="154">
        <f t="shared" si="85"/>
        <v>0</v>
      </c>
      <c r="Y31" s="154">
        <f t="shared" si="85"/>
        <v>0</v>
      </c>
      <c r="Z31" s="154">
        <f t="shared" si="85"/>
        <v>0</v>
      </c>
      <c r="AA31" s="154">
        <f t="shared" si="85"/>
        <v>0</v>
      </c>
      <c r="AB31" s="154">
        <f t="shared" si="85"/>
        <v>0</v>
      </c>
      <c r="AC31" s="138" t="e">
        <f t="shared" ref="AC31" si="86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85"/>
        <v>0</v>
      </c>
      <c r="V32" s="154">
        <f t="shared" si="85"/>
        <v>0</v>
      </c>
      <c r="W32" s="154">
        <f t="shared" si="85"/>
        <v>0</v>
      </c>
      <c r="X32" s="154">
        <f t="shared" si="85"/>
        <v>0</v>
      </c>
      <c r="Y32" s="154">
        <f t="shared" si="85"/>
        <v>0</v>
      </c>
      <c r="Z32" s="154">
        <f t="shared" si="85"/>
        <v>0</v>
      </c>
      <c r="AA32" s="154">
        <f t="shared" si="85"/>
        <v>0</v>
      </c>
      <c r="AB32" s="154">
        <f t="shared" si="85"/>
        <v>0</v>
      </c>
      <c r="AC32" s="138" t="e">
        <f t="shared" ref="AC32" si="87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361</v>
      </c>
      <c r="H33" s="147">
        <v>471</v>
      </c>
      <c r="I33" s="147">
        <v>560</v>
      </c>
      <c r="J33" s="147">
        <v>790</v>
      </c>
      <c r="K33" s="147">
        <v>1060</v>
      </c>
      <c r="L33" s="147">
        <v>1262</v>
      </c>
      <c r="M33" s="147">
        <v>1272</v>
      </c>
      <c r="N33" s="147">
        <v>1605</v>
      </c>
      <c r="O33" s="147">
        <v>1787</v>
      </c>
      <c r="P33" s="147">
        <v>2072</v>
      </c>
      <c r="Q33" s="118">
        <f>((P33/G33)^(1/($H$2-$H$1) ))-1</f>
        <v>0.21428402981326267</v>
      </c>
      <c r="R33" s="31">
        <f t="shared" si="6"/>
        <v>0.12</v>
      </c>
      <c r="S33" s="154">
        <f t="shared" si="38"/>
        <v>2320.6400000000003</v>
      </c>
      <c r="T33" s="154">
        <f t="shared" si="39"/>
        <v>2599.1168000000007</v>
      </c>
      <c r="U33" s="154">
        <f t="shared" si="40"/>
        <v>2911.0108160000009</v>
      </c>
      <c r="V33" s="154">
        <f t="shared" si="41"/>
        <v>3260.3321139200011</v>
      </c>
      <c r="W33" s="154">
        <f t="shared" si="42"/>
        <v>3651.5719675904015</v>
      </c>
      <c r="X33" s="154">
        <f t="shared" si="43"/>
        <v>4089.7606037012501</v>
      </c>
      <c r="Y33" s="154">
        <f t="shared" si="44"/>
        <v>4580.5318761454009</v>
      </c>
      <c r="Z33" s="154">
        <f t="shared" si="45"/>
        <v>5130.1957012828498</v>
      </c>
      <c r="AA33" s="154">
        <f t="shared" si="46"/>
        <v>5745.8191854367924</v>
      </c>
      <c r="AB33" s="154">
        <f t="shared" si="47"/>
        <v>6435.3174876892081</v>
      </c>
      <c r="AC33" s="138">
        <f t="shared" si="19"/>
        <v>0.1637117227815077</v>
      </c>
      <c r="AD33" s="31">
        <f t="shared" si="17"/>
        <v>0.05</v>
      </c>
      <c r="AE33" s="146">
        <f t="shared" si="1"/>
        <v>51977.564323643601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56</v>
      </c>
      <c r="H34" s="147">
        <v>67</v>
      </c>
      <c r="I34" s="147">
        <v>85</v>
      </c>
      <c r="J34" s="147">
        <v>109</v>
      </c>
      <c r="K34" s="147">
        <v>164</v>
      </c>
      <c r="L34" s="147">
        <v>221</v>
      </c>
      <c r="M34" s="147">
        <v>252</v>
      </c>
      <c r="N34" s="147">
        <v>290</v>
      </c>
      <c r="O34" s="147">
        <v>326</v>
      </c>
      <c r="P34" s="147">
        <v>375</v>
      </c>
      <c r="Q34" s="118">
        <f>((P34/G34)^(1/($H$2-$H$1) ))-1</f>
        <v>0.23526563651682397</v>
      </c>
      <c r="R34" s="31">
        <f t="shared" si="6"/>
        <v>0.12</v>
      </c>
      <c r="S34" s="154">
        <f t="shared" si="38"/>
        <v>420.00000000000006</v>
      </c>
      <c r="T34" s="154">
        <f t="shared" si="39"/>
        <v>470.40000000000009</v>
      </c>
      <c r="U34" s="154">
        <f t="shared" si="40"/>
        <v>526.84800000000018</v>
      </c>
      <c r="V34" s="154">
        <f t="shared" si="41"/>
        <v>590.06976000000031</v>
      </c>
      <c r="W34" s="154">
        <f t="shared" si="42"/>
        <v>660.87813120000044</v>
      </c>
      <c r="X34" s="154">
        <f t="shared" si="43"/>
        <v>740.18350694400056</v>
      </c>
      <c r="Y34" s="154">
        <f t="shared" si="44"/>
        <v>829.00552777728069</v>
      </c>
      <c r="Z34" s="154">
        <f t="shared" si="45"/>
        <v>928.4861911105545</v>
      </c>
      <c r="AA34" s="154">
        <f t="shared" si="46"/>
        <v>1039.9045340438211</v>
      </c>
      <c r="AB34" s="154">
        <f t="shared" si="47"/>
        <v>1164.6930781290796</v>
      </c>
      <c r="AC34" s="138">
        <f t="shared" si="19"/>
        <v>0.17319352173118308</v>
      </c>
      <c r="AD34" s="31">
        <f t="shared" si="17"/>
        <v>0.05</v>
      </c>
      <c r="AE34" s="146">
        <f t="shared" si="1"/>
        <v>9407.1364002733353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108</v>
      </c>
      <c r="H36" s="147">
        <v>128</v>
      </c>
      <c r="I36" s="147">
        <v>145</v>
      </c>
      <c r="J36" s="147">
        <v>172</v>
      </c>
      <c r="K36" s="147">
        <v>251</v>
      </c>
      <c r="L36" s="147">
        <v>242</v>
      </c>
      <c r="M36" s="147">
        <v>398</v>
      </c>
      <c r="N36" s="147">
        <v>464</v>
      </c>
      <c r="O36" s="147">
        <v>494</v>
      </c>
      <c r="P36" s="147">
        <v>599</v>
      </c>
      <c r="Q36" s="118">
        <f>((P36/G36)^(1/($H$2-$H$1) ))-1</f>
        <v>0.20967027079669465</v>
      </c>
      <c r="R36" s="31">
        <f t="shared" si="6"/>
        <v>0.12</v>
      </c>
      <c r="S36" s="154">
        <f t="shared" ref="S36" si="88">P36*(1+$R36)</f>
        <v>670.88000000000011</v>
      </c>
      <c r="T36" s="154">
        <f t="shared" ref="T36" si="89">S36*(1+$R36)</f>
        <v>751.38560000000018</v>
      </c>
      <c r="U36" s="154">
        <f t="shared" ref="U36" si="90">T36*(1+$R36)</f>
        <v>841.55187200000023</v>
      </c>
      <c r="V36" s="154">
        <f t="shared" ref="V36" si="91">U36*(1+$R36)</f>
        <v>942.53809664000039</v>
      </c>
      <c r="W36" s="154">
        <f t="shared" si="42"/>
        <v>1055.6426682368005</v>
      </c>
      <c r="X36" s="154">
        <f t="shared" si="43"/>
        <v>1182.3197884252168</v>
      </c>
      <c r="Y36" s="154">
        <f t="shared" si="44"/>
        <v>1324.1981630362429</v>
      </c>
      <c r="Z36" s="154">
        <f t="shared" si="45"/>
        <v>1483.1019426005923</v>
      </c>
      <c r="AA36" s="154">
        <f t="shared" si="46"/>
        <v>1661.0741757126636</v>
      </c>
      <c r="AB36" s="154">
        <f t="shared" si="47"/>
        <v>1860.4030767981835</v>
      </c>
      <c r="AC36" s="138">
        <f t="shared" si="19"/>
        <v>0.16161517960563709</v>
      </c>
      <c r="AD36" s="31">
        <f t="shared" si="17"/>
        <v>0.05</v>
      </c>
      <c r="AE36" s="146">
        <f t="shared" si="1"/>
        <v>15026.332543369943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92">(G36-F36)/G36</f>
        <v>1</v>
      </c>
      <c r="H37" s="148">
        <f t="shared" ref="H37" si="93">(H36-G36)/H36</f>
        <v>0.15625</v>
      </c>
      <c r="I37" s="148">
        <f t="shared" ref="I37" si="94">(I36-H36)/I36</f>
        <v>0.11724137931034483</v>
      </c>
      <c r="J37" s="148">
        <f t="shared" ref="J37" si="95">(J36-I36)/J36</f>
        <v>0.15697674418604651</v>
      </c>
      <c r="K37" s="148">
        <f t="shared" ref="K37" si="96">(K36-J36)/K36</f>
        <v>0.3147410358565737</v>
      </c>
      <c r="L37" s="148">
        <f t="shared" ref="L37" si="97">(L36-K36)/L36</f>
        <v>-3.71900826446281E-2</v>
      </c>
      <c r="M37" s="148">
        <f t="shared" ref="M37" si="98">(M36-L36)/M36</f>
        <v>0.39195979899497485</v>
      </c>
      <c r="N37" s="148">
        <f t="shared" ref="N37" si="99">(N36-M36)/N36</f>
        <v>0.14224137931034483</v>
      </c>
      <c r="O37" s="148">
        <f t="shared" ref="O37" si="100">(O36-N36)/O36</f>
        <v>6.0728744939271252E-2</v>
      </c>
      <c r="P37" s="148">
        <f t="shared" ref="P37" si="101">(P36-O36)/P36</f>
        <v>0.17529215358931552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400</v>
      </c>
      <c r="C38" s="149"/>
      <c r="D38" s="149"/>
      <c r="E38" s="150"/>
      <c r="F38" s="150"/>
      <c r="G38" s="147">
        <v>92</v>
      </c>
      <c r="H38" s="147">
        <v>105</v>
      </c>
      <c r="I38" s="147">
        <v>131</v>
      </c>
      <c r="J38" s="147">
        <v>146</v>
      </c>
      <c r="K38" s="147">
        <v>208</v>
      </c>
      <c r="L38" s="147">
        <v>127</v>
      </c>
      <c r="M38" s="147">
        <v>311</v>
      </c>
      <c r="N38" s="147">
        <v>403</v>
      </c>
      <c r="O38" s="147">
        <v>432</v>
      </c>
      <c r="P38" s="147">
        <v>581</v>
      </c>
      <c r="Q38" s="118">
        <f>((P38/G38)^(1/($H$2-$H$1) ))-1</f>
        <v>0.22724715471944168</v>
      </c>
      <c r="R38" s="31">
        <f t="shared" si="6"/>
        <v>0.12</v>
      </c>
      <c r="S38" s="154">
        <f t="shared" ref="S38" si="102">P38*(1+$R38)</f>
        <v>650.72</v>
      </c>
      <c r="T38" s="154">
        <f t="shared" ref="T38" si="103">S38*(1+$R38)</f>
        <v>728.80640000000005</v>
      </c>
      <c r="U38" s="154">
        <f t="shared" ref="U38" si="104">T38*(1+$R38)</f>
        <v>816.26316800000018</v>
      </c>
      <c r="V38" s="154">
        <f t="shared" ref="V38" si="105">U38*(1+$R38)</f>
        <v>914.21474816000034</v>
      </c>
      <c r="W38" s="154">
        <f t="shared" ref="W38" si="106">V38*(1+$R38)</f>
        <v>1023.9205179392005</v>
      </c>
      <c r="X38" s="154">
        <f t="shared" ref="X38" si="107">W38*(1+$R38)</f>
        <v>1146.7909800919047</v>
      </c>
      <c r="Y38" s="154">
        <f t="shared" ref="Y38" si="108">X38*(1+$R38)</f>
        <v>1284.4058977029333</v>
      </c>
      <c r="Z38" s="154">
        <f t="shared" ref="Z38" si="109">Y38*(1+$R38)</f>
        <v>1438.5346054272854</v>
      </c>
      <c r="AA38" s="154">
        <f t="shared" ref="AA38" si="110">Z38*(1+$R38)</f>
        <v>1611.1587580785599</v>
      </c>
      <c r="AB38" s="154">
        <f t="shared" ref="AB38" si="111">AA38*(1+$R38)</f>
        <v>1804.4978090479872</v>
      </c>
      <c r="AC38" s="138">
        <f t="shared" ref="AC38" si="112">((AB38/G38)^(1/($AB$3-$H$1) ))-1</f>
        <v>0.16957997185605467</v>
      </c>
      <c r="AD38" s="31">
        <f t="shared" si="17"/>
        <v>0.05</v>
      </c>
      <c r="AE38" s="146">
        <f t="shared" ref="AE38" si="113">(AB38*(1+AD38))/($C$1-AD38)</f>
        <v>14574.78999615682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14">(G38-F38)/G38</f>
        <v>1</v>
      </c>
      <c r="H39" s="148">
        <f t="shared" ref="H39" si="115">(H38-G38)/H38</f>
        <v>0.12380952380952381</v>
      </c>
      <c r="I39" s="148">
        <f t="shared" ref="I39" si="116">(I38-H38)/I38</f>
        <v>0.19847328244274809</v>
      </c>
      <c r="J39" s="148">
        <f t="shared" ref="J39" si="117">(J38-I38)/J38</f>
        <v>0.10273972602739725</v>
      </c>
      <c r="K39" s="148">
        <f t="shared" ref="K39" si="118">(K38-J38)/K38</f>
        <v>0.29807692307692307</v>
      </c>
      <c r="L39" s="148">
        <f t="shared" ref="L39" si="119">(L38-K38)/L38</f>
        <v>-0.63779527559055116</v>
      </c>
      <c r="M39" s="148">
        <f t="shared" ref="M39" si="120">(M38-L38)/M38</f>
        <v>0.59163987138263663</v>
      </c>
      <c r="N39" s="148">
        <f t="shared" ref="N39" si="121">(N38-M38)/N38</f>
        <v>0.22828784119106699</v>
      </c>
      <c r="O39" s="148">
        <f t="shared" ref="O39" si="122">(O38-N38)/O38</f>
        <v>6.7129629629629636E-2</v>
      </c>
      <c r="P39" s="148">
        <f t="shared" ref="P39" si="123">(P38-O38)/P38</f>
        <v>0.25645438898450945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401</v>
      </c>
      <c r="C40" s="141"/>
      <c r="D40" s="141"/>
      <c r="E40" s="147"/>
      <c r="F40" s="147"/>
      <c r="G40" s="147">
        <v>61</v>
      </c>
      <c r="H40" s="147">
        <v>72</v>
      </c>
      <c r="I40" s="147">
        <v>86</v>
      </c>
      <c r="J40" s="147">
        <v>111</v>
      </c>
      <c r="K40" s="147">
        <v>171</v>
      </c>
      <c r="L40" s="147">
        <v>110</v>
      </c>
      <c r="M40" s="147">
        <v>275</v>
      </c>
      <c r="N40" s="147">
        <v>308</v>
      </c>
      <c r="O40" s="147">
        <v>322</v>
      </c>
      <c r="P40" s="147">
        <v>421</v>
      </c>
      <c r="Q40" s="118">
        <f>((P40/G40)^(1/($H$2-$H$1) ))-1</f>
        <v>0.23941548510473254</v>
      </c>
      <c r="R40" s="31">
        <f t="shared" si="6"/>
        <v>0.12</v>
      </c>
      <c r="S40" s="154">
        <f>P40*(1+$R40)</f>
        <v>471.52000000000004</v>
      </c>
      <c r="T40" s="154">
        <f t="shared" ref="T40:AB40" si="124">S40*(1+$R40)</f>
        <v>528.1024000000001</v>
      </c>
      <c r="U40" s="154">
        <f t="shared" si="124"/>
        <v>591.47468800000013</v>
      </c>
      <c r="V40" s="154">
        <f t="shared" si="124"/>
        <v>662.45165056000019</v>
      </c>
      <c r="W40" s="154">
        <f t="shared" si="124"/>
        <v>741.94584862720023</v>
      </c>
      <c r="X40" s="154">
        <f t="shared" si="124"/>
        <v>830.97935046246437</v>
      </c>
      <c r="Y40" s="154">
        <f t="shared" si="124"/>
        <v>930.69687251796017</v>
      </c>
      <c r="Z40" s="154">
        <f t="shared" si="124"/>
        <v>1042.3804972201156</v>
      </c>
      <c r="AA40" s="154">
        <f t="shared" si="124"/>
        <v>1167.4661568865295</v>
      </c>
      <c r="AB40" s="154">
        <f t="shared" si="124"/>
        <v>1307.5620957129131</v>
      </c>
      <c r="AC40" s="138">
        <f t="shared" si="19"/>
        <v>0.17505881444282023</v>
      </c>
      <c r="AD40" s="31">
        <f t="shared" si="17"/>
        <v>0.05</v>
      </c>
      <c r="AE40" s="146">
        <f t="shared" si="1"/>
        <v>10561.07846537353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25">(H40-G40)/H40</f>
        <v>0.15277777777777779</v>
      </c>
      <c r="I41" s="148">
        <f t="shared" si="125"/>
        <v>0.16279069767441862</v>
      </c>
      <c r="J41" s="148">
        <f t="shared" si="125"/>
        <v>0.22522522522522523</v>
      </c>
      <c r="K41" s="148">
        <f t="shared" si="125"/>
        <v>0.35087719298245612</v>
      </c>
      <c r="L41" s="148">
        <f t="shared" si="125"/>
        <v>-0.55454545454545456</v>
      </c>
      <c r="M41" s="148">
        <f t="shared" si="125"/>
        <v>0.6</v>
      </c>
      <c r="N41" s="148">
        <f t="shared" si="125"/>
        <v>0.10714285714285714</v>
      </c>
      <c r="O41" s="148">
        <f t="shared" si="125"/>
        <v>4.3478260869565216E-2</v>
      </c>
      <c r="P41" s="148">
        <f t="shared" si="125"/>
        <v>0.23515439429928742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5">
        <v>2.52</v>
      </c>
      <c r="H42" s="205">
        <v>2.52</v>
      </c>
      <c r="I42" s="205">
        <v>25.23</v>
      </c>
      <c r="J42" s="205">
        <v>25.23</v>
      </c>
      <c r="K42" s="205">
        <v>25.3</v>
      </c>
      <c r="L42" s="205">
        <v>25.3</v>
      </c>
      <c r="M42" s="205">
        <v>50.61</v>
      </c>
      <c r="N42" s="205">
        <v>50.61</v>
      </c>
      <c r="O42" s="205">
        <v>50.76</v>
      </c>
      <c r="P42" s="205">
        <v>51.26</v>
      </c>
      <c r="Q42" s="118">
        <f>((P42/G42)^(1/($H$2-$H$1) ))-1</f>
        <v>0.39757569763578293</v>
      </c>
      <c r="R42" s="31">
        <v>0.02</v>
      </c>
      <c r="S42" s="154">
        <f>P42*(1+$R42)</f>
        <v>52.285199999999996</v>
      </c>
      <c r="T42" s="154">
        <f t="shared" ref="T42:AB42" si="126">S42*(1+$R42)</f>
        <v>53.330903999999997</v>
      </c>
      <c r="U42" s="154">
        <f t="shared" si="126"/>
        <v>54.397522079999995</v>
      </c>
      <c r="V42" s="154">
        <f t="shared" si="126"/>
        <v>55.485472521599995</v>
      </c>
      <c r="W42" s="154">
        <f t="shared" si="126"/>
        <v>56.595181972031995</v>
      </c>
      <c r="X42" s="154">
        <f t="shared" si="126"/>
        <v>57.727085611472639</v>
      </c>
      <c r="Y42" s="154">
        <f t="shared" si="126"/>
        <v>58.881627323702091</v>
      </c>
      <c r="Z42" s="154">
        <f t="shared" si="126"/>
        <v>60.059259870176135</v>
      </c>
      <c r="AA42" s="154">
        <f t="shared" si="126"/>
        <v>61.26044506757966</v>
      </c>
      <c r="AB42" s="154">
        <f t="shared" si="126"/>
        <v>62.485653968931253</v>
      </c>
      <c r="AC42" s="138">
        <f t="shared" si="19"/>
        <v>0.18410007713063647</v>
      </c>
      <c r="AD42" s="31">
        <f t="shared" si="17"/>
        <v>0.05</v>
      </c>
      <c r="AE42" s="146">
        <f t="shared" si="1"/>
        <v>504.69182051829091</v>
      </c>
    </row>
    <row r="43" spans="2:31" x14ac:dyDescent="0.2">
      <c r="B43" s="20" t="s">
        <v>282</v>
      </c>
      <c r="C43" s="145"/>
      <c r="D43" s="145"/>
      <c r="E43" s="145"/>
      <c r="F43" s="147"/>
      <c r="G43" s="205">
        <v>8</v>
      </c>
      <c r="H43" s="205">
        <v>8</v>
      </c>
      <c r="I43" s="205">
        <v>1.25</v>
      </c>
      <c r="J43" s="205">
        <v>1.5</v>
      </c>
      <c r="K43" s="205">
        <v>1.75</v>
      </c>
      <c r="L43" s="205">
        <v>1.75</v>
      </c>
      <c r="M43" s="205">
        <v>1.5</v>
      </c>
      <c r="N43" s="205">
        <v>1.75</v>
      </c>
      <c r="O43" s="205">
        <v>1.9</v>
      </c>
      <c r="P43" s="205">
        <v>2.6</v>
      </c>
      <c r="Q43" s="118">
        <f>((P43/G43)^(1/($H$2-$H$1) ))-1</f>
        <v>-0.1173981815805033</v>
      </c>
      <c r="R43" s="31">
        <v>0.05</v>
      </c>
      <c r="S43" s="154">
        <f t="shared" ref="S43" si="127">P43*(1+$R43)</f>
        <v>2.7300000000000004</v>
      </c>
      <c r="T43" s="154">
        <f t="shared" ref="T43" si="128">S43*(1+$R43)</f>
        <v>2.8665000000000007</v>
      </c>
      <c r="U43" s="154">
        <f t="shared" ref="U43" si="129">T43*(1+$R43)</f>
        <v>3.0098250000000011</v>
      </c>
      <c r="V43" s="154">
        <f t="shared" ref="V43" si="130">U43*(1+$R43)</f>
        <v>3.1603162500000015</v>
      </c>
      <c r="W43" s="154">
        <f t="shared" ref="W43" si="131">V43*(1+$R43)</f>
        <v>3.3183320625000019</v>
      </c>
      <c r="X43" s="154">
        <f t="shared" ref="X43" si="132">W43*(1+$R43)</f>
        <v>3.4842486656250022</v>
      </c>
      <c r="Y43" s="154">
        <f t="shared" ref="Y43" si="133">X43*(1+$R43)</f>
        <v>3.6584610989062525</v>
      </c>
      <c r="Z43" s="154">
        <f t="shared" ref="Z43" si="134">Y43*(1+$R43)</f>
        <v>3.8413841538515654</v>
      </c>
      <c r="AA43" s="154">
        <f t="shared" ref="AA43" si="135">Z43*(1+$R43)</f>
        <v>4.0334533615441437</v>
      </c>
      <c r="AB43" s="154">
        <f t="shared" ref="AB43" si="136">AA43*(1+$R43)</f>
        <v>4.2351260296213509</v>
      </c>
      <c r="AC43" s="138">
        <f t="shared" ref="AC43" si="137">((AB43/G43)^(1/($AB$3-$H$1) ))-1</f>
        <v>-3.2921087947156646E-2</v>
      </c>
      <c r="AD43" s="31">
        <f t="shared" si="17"/>
        <v>0.05</v>
      </c>
      <c r="AE43" s="146">
        <f t="shared" si="1"/>
        <v>34.2067871623263</v>
      </c>
    </row>
    <row r="44" spans="2:31" x14ac:dyDescent="0.2">
      <c r="B44" s="20" t="s">
        <v>425</v>
      </c>
      <c r="C44" s="20"/>
      <c r="D44" s="20"/>
      <c r="E44" s="127"/>
      <c r="F44" s="127"/>
      <c r="G44" s="147"/>
      <c r="H44" s="147"/>
      <c r="I44" s="147" t="s">
        <v>428</v>
      </c>
      <c r="J44" s="147"/>
      <c r="K44" s="147"/>
      <c r="L44" s="147"/>
      <c r="M44" s="147"/>
      <c r="N44" s="147"/>
      <c r="O44" s="147"/>
      <c r="P44" s="147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426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 t="s">
        <v>424</v>
      </c>
      <c r="N45" s="147"/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427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38">C25/C42</f>
        <v>0</v>
      </c>
      <c r="D49" s="133">
        <f t="shared" si="138"/>
        <v>0</v>
      </c>
      <c r="E49" s="133">
        <f t="shared" si="138"/>
        <v>0</v>
      </c>
      <c r="F49" s="133">
        <f t="shared" si="138"/>
        <v>0</v>
      </c>
      <c r="G49" s="133">
        <f t="shared" si="138"/>
        <v>267.85714285714283</v>
      </c>
      <c r="H49" s="133">
        <f t="shared" si="138"/>
        <v>308.33333333333331</v>
      </c>
      <c r="I49" s="133">
        <f t="shared" si="138"/>
        <v>37.613951644867221</v>
      </c>
      <c r="J49" s="133">
        <f t="shared" si="138"/>
        <v>51.129607609988106</v>
      </c>
      <c r="K49" s="133">
        <f t="shared" si="138"/>
        <v>69.841897233201578</v>
      </c>
      <c r="L49" s="133">
        <f t="shared" si="138"/>
        <v>78.181818181818173</v>
      </c>
      <c r="M49" s="133">
        <f t="shared" si="138"/>
        <v>44.398340248962654</v>
      </c>
      <c r="N49" s="133">
        <f t="shared" si="138"/>
        <v>54.297569650266745</v>
      </c>
      <c r="O49" s="133">
        <f t="shared" si="138"/>
        <v>62.923561859732075</v>
      </c>
      <c r="P49" s="133">
        <f t="shared" si="138"/>
        <v>74.170893484198203</v>
      </c>
      <c r="Q49" s="118">
        <f>((P49/G49)^(1/($H$2-$H$1) ))-1</f>
        <v>-0.13296486338305802</v>
      </c>
      <c r="R49" s="128"/>
      <c r="S49" s="158">
        <f t="shared" ref="S49:AB49" si="139">S25/S42</f>
        <v>81.442549708139225</v>
      </c>
      <c r="T49" s="158">
        <f t="shared" si="139"/>
        <v>89.427113405015618</v>
      </c>
      <c r="U49" s="158">
        <f t="shared" si="139"/>
        <v>98.194477464330888</v>
      </c>
      <c r="V49" s="158">
        <f t="shared" si="139"/>
        <v>107.82138701965745</v>
      </c>
      <c r="W49" s="158">
        <f t="shared" si="139"/>
        <v>118.39211123727092</v>
      </c>
      <c r="X49" s="158">
        <f t="shared" si="139"/>
        <v>129.99918096641514</v>
      </c>
      <c r="Y49" s="158">
        <f t="shared" si="139"/>
        <v>142.74419870822055</v>
      </c>
      <c r="Z49" s="158">
        <f t="shared" si="139"/>
        <v>156.73872799334023</v>
      </c>
      <c r="AA49" s="158">
        <f t="shared" si="139"/>
        <v>172.10526995347166</v>
      </c>
      <c r="AB49" s="158">
        <f t="shared" si="139"/>
        <v>188.97833563518458</v>
      </c>
      <c r="AC49" s="138">
        <f t="shared" ref="AC49" si="140">((AB49/G49)^(1/($AB$3-$H$1) ))-1</f>
        <v>-1.819152120695311E-2</v>
      </c>
      <c r="AD49" s="31">
        <f t="shared" si="17"/>
        <v>0.05</v>
      </c>
      <c r="AE49" s="146">
        <f t="shared" ref="AE49:AE50" si="141">(AB49*(1+AD49))/($C$1-AD49)</f>
        <v>1526.3634801303369</v>
      </c>
    </row>
    <row r="50" spans="2:31" x14ac:dyDescent="0.2">
      <c r="B50" s="20" t="s">
        <v>304</v>
      </c>
      <c r="C50" s="133">
        <f t="shared" ref="C50:P50" si="142">C27/C42</f>
        <v>0</v>
      </c>
      <c r="D50" s="133">
        <f t="shared" si="142"/>
        <v>0</v>
      </c>
      <c r="E50" s="133">
        <f t="shared" si="142"/>
        <v>0</v>
      </c>
      <c r="F50" s="133">
        <f t="shared" si="142"/>
        <v>0</v>
      </c>
      <c r="G50" s="133">
        <f t="shared" si="142"/>
        <v>221.42857142857142</v>
      </c>
      <c r="H50" s="133">
        <f t="shared" si="142"/>
        <v>253.96825396825398</v>
      </c>
      <c r="I50" s="133">
        <f t="shared" si="142"/>
        <v>31.272294887039237</v>
      </c>
      <c r="J50" s="133">
        <f t="shared" si="142"/>
        <v>43.678160919540232</v>
      </c>
      <c r="K50" s="133">
        <f t="shared" si="142"/>
        <v>58.853754940711461</v>
      </c>
      <c r="L50" s="133">
        <f t="shared" si="142"/>
        <v>69.090909090909093</v>
      </c>
      <c r="M50" s="133">
        <f t="shared" si="142"/>
        <v>36.17862082592373</v>
      </c>
      <c r="N50" s="133">
        <f t="shared" si="142"/>
        <v>44.437858130804187</v>
      </c>
      <c r="O50" s="133">
        <f t="shared" si="142"/>
        <v>52.521670606776993</v>
      </c>
      <c r="P50" s="133">
        <f t="shared" si="142"/>
        <v>61.061256340226301</v>
      </c>
      <c r="Q50" s="118">
        <f>((P50/G50)^(1/($H$2-$H$1) ))-1</f>
        <v>-0.13336365703554598</v>
      </c>
      <c r="R50" s="128"/>
      <c r="S50" s="158">
        <f t="shared" ref="S50:AB50" si="143">S27/S42</f>
        <v>67.04765402064065</v>
      </c>
      <c r="T50" s="158">
        <f t="shared" si="143"/>
        <v>73.620953434428955</v>
      </c>
      <c r="U50" s="158">
        <f t="shared" si="143"/>
        <v>80.838693967216116</v>
      </c>
      <c r="V50" s="158">
        <f t="shared" si="143"/>
        <v>88.764056120864765</v>
      </c>
      <c r="W50" s="158">
        <f t="shared" si="143"/>
        <v>97.466414564086818</v>
      </c>
      <c r="X50" s="158">
        <f t="shared" si="143"/>
        <v>107.02194540370319</v>
      </c>
      <c r="Y50" s="158">
        <f t="shared" si="143"/>
        <v>117.51429299230155</v>
      </c>
      <c r="Z50" s="158">
        <f t="shared" si="143"/>
        <v>129.03530210919385</v>
      </c>
      <c r="AA50" s="158">
        <f t="shared" si="143"/>
        <v>141.68582192382073</v>
      </c>
      <c r="AB50" s="158">
        <f t="shared" si="143"/>
        <v>155.57658877909728</v>
      </c>
      <c r="AC50" s="138">
        <f t="shared" ref="AC50" si="144">((AB50/G50)^(1/($AB$3-$H$1) ))-1</f>
        <v>-1.8405455202466614E-2</v>
      </c>
      <c r="AD50" s="31">
        <f t="shared" si="17"/>
        <v>0.05</v>
      </c>
      <c r="AE50" s="146">
        <f t="shared" si="141"/>
        <v>1256.5801401388626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45">C40/C42</f>
        <v>0</v>
      </c>
      <c r="D52" s="25">
        <f t="shared" si="145"/>
        <v>0</v>
      </c>
      <c r="E52" s="25">
        <f t="shared" si="145"/>
        <v>0</v>
      </c>
      <c r="F52" s="133">
        <f t="shared" si="145"/>
        <v>0</v>
      </c>
      <c r="G52" s="133">
        <f t="shared" si="145"/>
        <v>24.206349206349206</v>
      </c>
      <c r="H52" s="133">
        <f t="shared" si="145"/>
        <v>28.571428571428573</v>
      </c>
      <c r="I52" s="133">
        <f t="shared" si="145"/>
        <v>3.4086405073325405</v>
      </c>
      <c r="J52" s="133">
        <f t="shared" si="145"/>
        <v>4.3995243757431632</v>
      </c>
      <c r="K52" s="133">
        <f t="shared" si="145"/>
        <v>6.7588932806324111</v>
      </c>
      <c r="L52" s="133">
        <f t="shared" si="145"/>
        <v>4.3478260869565215</v>
      </c>
      <c r="M52" s="133">
        <f t="shared" si="145"/>
        <v>5.4337087532108281</v>
      </c>
      <c r="N52" s="133">
        <f t="shared" si="145"/>
        <v>6.0857538035961269</v>
      </c>
      <c r="O52" s="133">
        <f t="shared" si="145"/>
        <v>6.3435776201733649</v>
      </c>
      <c r="P52" s="133">
        <f t="shared" si="145"/>
        <v>8.2130316035895436</v>
      </c>
      <c r="Q52" s="118">
        <f>((P52/G52)^(1/($H$2-$H$1) ))-1</f>
        <v>-0.11316754634371717</v>
      </c>
      <c r="R52" s="128"/>
      <c r="S52" s="158">
        <f t="shared" ref="S52:AB52" si="146">S40/S42</f>
        <v>9.0182307804120487</v>
      </c>
      <c r="T52" s="158">
        <f t="shared" si="146"/>
        <v>9.9023710530014668</v>
      </c>
      <c r="U52" s="158">
        <f t="shared" si="146"/>
        <v>10.8731917444722</v>
      </c>
      <c r="V52" s="158">
        <f t="shared" si="146"/>
        <v>11.93919093510673</v>
      </c>
      <c r="W52" s="158">
        <f t="shared" si="146"/>
        <v>13.109699850313271</v>
      </c>
      <c r="X52" s="158">
        <f t="shared" si="146"/>
        <v>14.394964541520457</v>
      </c>
      <c r="Y52" s="158">
        <f t="shared" si="146"/>
        <v>15.806235575002855</v>
      </c>
      <c r="Z52" s="158">
        <f t="shared" si="146"/>
        <v>17.355866513728628</v>
      </c>
      <c r="AA52" s="158">
        <f t="shared" si="146"/>
        <v>19.057422054290257</v>
      </c>
      <c r="AB52" s="158">
        <f t="shared" si="146"/>
        <v>20.925796765495186</v>
      </c>
      <c r="AC52" s="138">
        <f t="shared" ref="AC52:AC66" si="147">((AB52/G52)^(1/($AB$3-$H$1) ))-1</f>
        <v>-7.6355562020781198E-3</v>
      </c>
      <c r="AD52" s="31">
        <f t="shared" si="17"/>
        <v>0.05</v>
      </c>
      <c r="AE52" s="146">
        <f t="shared" ref="AE52:AE80" si="148">(AB52*(1+AD52))/($C$1-AD52)</f>
        <v>169.01605079823034</v>
      </c>
    </row>
    <row r="53" spans="2:31" x14ac:dyDescent="0.2">
      <c r="B53" s="20" t="s">
        <v>388</v>
      </c>
      <c r="C53" s="133">
        <f t="shared" ref="C53:F53" si="149">C20/C42</f>
        <v>0</v>
      </c>
      <c r="D53" s="133">
        <f t="shared" si="149"/>
        <v>0</v>
      </c>
      <c r="E53" s="133">
        <f t="shared" si="149"/>
        <v>0</v>
      </c>
      <c r="F53" s="133">
        <f t="shared" si="149"/>
        <v>0</v>
      </c>
      <c r="G53" s="133">
        <f>G20/G42</f>
        <v>19.047619047619047</v>
      </c>
      <c r="H53" s="133">
        <f t="shared" ref="H53:P53" si="150">H20/H42</f>
        <v>36.507936507936506</v>
      </c>
      <c r="I53" s="133">
        <f t="shared" si="150"/>
        <v>4.439159730479588</v>
      </c>
      <c r="J53" s="133">
        <f t="shared" si="150"/>
        <v>3.5275465715418153</v>
      </c>
      <c r="K53" s="133">
        <f t="shared" si="150"/>
        <v>5.0592885375494072</v>
      </c>
      <c r="L53" s="133">
        <f t="shared" si="150"/>
        <v>10.276679841897232</v>
      </c>
      <c r="M53" s="133">
        <f t="shared" si="150"/>
        <v>8.140683659355858</v>
      </c>
      <c r="N53" s="133">
        <f t="shared" si="150"/>
        <v>6.3623789764868608</v>
      </c>
      <c r="O53" s="133">
        <f t="shared" si="150"/>
        <v>9.9881796690307336</v>
      </c>
      <c r="P53" s="133">
        <f t="shared" si="150"/>
        <v>10.00780335544284</v>
      </c>
      <c r="Q53" s="118">
        <f>((P53/G53)^(1/($H$2-$H$1) ))-1</f>
        <v>-6.9011686025279739E-2</v>
      </c>
      <c r="R53" s="128"/>
      <c r="S53" s="133">
        <f t="shared" ref="S53:AB53" si="151">S20/S42</f>
        <v>10.988960547152924</v>
      </c>
      <c r="T53" s="133">
        <f t="shared" si="151"/>
        <v>12.066309620403212</v>
      </c>
      <c r="U53" s="133">
        <f t="shared" si="151"/>
        <v>13.249281151815294</v>
      </c>
      <c r="V53" s="133">
        <f t="shared" si="151"/>
        <v>14.548230284346207</v>
      </c>
      <c r="W53" s="133">
        <f t="shared" si="151"/>
        <v>15.974527371046818</v>
      </c>
      <c r="X53" s="133">
        <f t="shared" si="151"/>
        <v>17.540657505463173</v>
      </c>
      <c r="Y53" s="133">
        <f t="shared" si="151"/>
        <v>19.260329809920346</v>
      </c>
      <c r="Z53" s="133">
        <f t="shared" si="151"/>
        <v>21.148597438343913</v>
      </c>
      <c r="AA53" s="133">
        <f t="shared" si="151"/>
        <v>23.221989344063907</v>
      </c>
      <c r="AB53" s="133">
        <f t="shared" si="151"/>
        <v>25.498654966030958</v>
      </c>
      <c r="AC53" s="138">
        <f t="shared" ref="AC53" si="152">((AB53/G53)^(1/($AB$3-$H$1) ))-1</f>
        <v>1.547021187913189E-2</v>
      </c>
      <c r="AD53" s="31">
        <f t="shared" si="17"/>
        <v>0.05</v>
      </c>
      <c r="AE53" s="146">
        <f t="shared" si="148"/>
        <v>205.95067472563466</v>
      </c>
    </row>
    <row r="54" spans="2:31" x14ac:dyDescent="0.2">
      <c r="B54" s="20" t="s">
        <v>245</v>
      </c>
      <c r="C54" s="25">
        <f t="shared" ref="C54:P54" si="153">C7/C42</f>
        <v>0</v>
      </c>
      <c r="D54" s="25">
        <f t="shared" si="153"/>
        <v>0</v>
      </c>
      <c r="E54" s="25">
        <f t="shared" si="153"/>
        <v>0</v>
      </c>
      <c r="F54" s="133">
        <f t="shared" si="153"/>
        <v>0</v>
      </c>
      <c r="G54" s="133">
        <f t="shared" si="153"/>
        <v>125</v>
      </c>
      <c r="H54" s="133">
        <f t="shared" si="153"/>
        <v>143.25396825396825</v>
      </c>
      <c r="I54" s="133">
        <f t="shared" si="153"/>
        <v>16.369401506143479</v>
      </c>
      <c r="J54" s="133">
        <f t="shared" si="153"/>
        <v>19.024970273483948</v>
      </c>
      <c r="K54" s="133">
        <f t="shared" si="153"/>
        <v>24.505928853754941</v>
      </c>
      <c r="L54" s="133">
        <f t="shared" si="153"/>
        <v>25.059288537549406</v>
      </c>
      <c r="M54" s="133">
        <f t="shared" si="153"/>
        <v>17.229796482908515</v>
      </c>
      <c r="N54" s="133">
        <f t="shared" si="153"/>
        <v>21.418691958111044</v>
      </c>
      <c r="O54" s="133">
        <f t="shared" si="153"/>
        <v>26.122931442080379</v>
      </c>
      <c r="P54" s="133">
        <f t="shared" si="153"/>
        <v>32.208349590323841</v>
      </c>
      <c r="Q54" s="118">
        <f>((P54/G54)^(1/($H$2-$H$1) ))-1</f>
        <v>-0.13987404919652835</v>
      </c>
      <c r="R54" s="128"/>
      <c r="S54" s="158">
        <f t="shared" ref="S54:AB54" si="154">S7/S42</f>
        <v>35.366030922708532</v>
      </c>
      <c r="T54" s="158">
        <f t="shared" si="154"/>
        <v>38.833288856307419</v>
      </c>
      <c r="U54" s="158">
        <f t="shared" si="154"/>
        <v>42.640474038298343</v>
      </c>
      <c r="V54" s="158">
        <f t="shared" si="154"/>
        <v>46.820912669504068</v>
      </c>
      <c r="W54" s="158">
        <f t="shared" si="154"/>
        <v>51.411198225337806</v>
      </c>
      <c r="X54" s="158">
        <f t="shared" si="154"/>
        <v>56.451511776841507</v>
      </c>
      <c r="Y54" s="158">
        <f t="shared" si="154"/>
        <v>61.985973715747541</v>
      </c>
      <c r="Z54" s="158">
        <f t="shared" si="154"/>
        <v>68.063029962389464</v>
      </c>
      <c r="AA54" s="158">
        <f t="shared" si="154"/>
        <v>74.735876037133536</v>
      </c>
      <c r="AB54" s="158">
        <f t="shared" si="154"/>
        <v>82.062922707440762</v>
      </c>
      <c r="AC54" s="138">
        <f t="shared" si="147"/>
        <v>-2.1905328323290507E-2</v>
      </c>
      <c r="AD54" s="31">
        <f t="shared" si="17"/>
        <v>0.05</v>
      </c>
      <c r="AE54" s="146">
        <f t="shared" si="148"/>
        <v>662.81591417548304</v>
      </c>
    </row>
    <row r="55" spans="2:31" x14ac:dyDescent="0.2">
      <c r="B55" s="20" t="s">
        <v>246</v>
      </c>
      <c r="C55" s="127">
        <f t="shared" ref="C55:P55" si="155">C6/C42</f>
        <v>0</v>
      </c>
      <c r="D55" s="127">
        <f t="shared" si="155"/>
        <v>0</v>
      </c>
      <c r="E55" s="127">
        <f t="shared" si="155"/>
        <v>0</v>
      </c>
      <c r="F55" s="144">
        <f t="shared" si="155"/>
        <v>0</v>
      </c>
      <c r="G55" s="144">
        <f t="shared" si="155"/>
        <v>114.68253968253968</v>
      </c>
      <c r="H55" s="144">
        <f t="shared" si="155"/>
        <v>133.33333333333334</v>
      </c>
      <c r="I55" s="144">
        <f t="shared" si="155"/>
        <v>15.378517637732857</v>
      </c>
      <c r="J55" s="144">
        <f t="shared" si="155"/>
        <v>18.034086405073324</v>
      </c>
      <c r="K55" s="144">
        <f t="shared" si="155"/>
        <v>23.359683794466402</v>
      </c>
      <c r="L55" s="144">
        <f t="shared" si="155"/>
        <v>26.442687747035574</v>
      </c>
      <c r="M55" s="144">
        <f t="shared" si="155"/>
        <v>16.222090495949416</v>
      </c>
      <c r="N55" s="144">
        <f t="shared" si="155"/>
        <v>20.430744912072711</v>
      </c>
      <c r="O55" s="144">
        <f t="shared" si="155"/>
        <v>25.118203309692671</v>
      </c>
      <c r="P55" s="144">
        <f t="shared" si="155"/>
        <v>31.213421771361688</v>
      </c>
      <c r="Q55" s="118">
        <f>((P55/G55)^(1/($H$2-$H$1) ))-1</f>
        <v>-0.1346238980347757</v>
      </c>
      <c r="R55" s="128"/>
      <c r="S55" s="157">
        <f t="shared" ref="S55:AB55" si="156">S6/S42</f>
        <v>34.273561160710877</v>
      </c>
      <c r="T55" s="157">
        <f t="shared" si="156"/>
        <v>37.633714215682538</v>
      </c>
      <c r="U55" s="157">
        <f t="shared" si="156"/>
        <v>41.323294040749452</v>
      </c>
      <c r="V55" s="157">
        <f t="shared" si="156"/>
        <v>45.374597378077837</v>
      </c>
      <c r="W55" s="157">
        <f t="shared" si="156"/>
        <v>49.823087317105077</v>
      </c>
      <c r="X55" s="157">
        <f t="shared" si="156"/>
        <v>54.707703720742828</v>
      </c>
      <c r="Y55" s="157">
        <f t="shared" si="156"/>
        <v>60.071204085521536</v>
      </c>
      <c r="Z55" s="157">
        <f t="shared" si="156"/>
        <v>65.960537819396194</v>
      </c>
      <c r="AA55" s="157">
        <f t="shared" si="156"/>
        <v>72.427257213454652</v>
      </c>
      <c r="AB55" s="157">
        <f t="shared" si="156"/>
        <v>79.527968704969837</v>
      </c>
      <c r="AC55" s="138">
        <f t="shared" si="147"/>
        <v>-1.9081855885524024E-2</v>
      </c>
      <c r="AD55" s="31">
        <f t="shared" si="17"/>
        <v>0.05</v>
      </c>
      <c r="AE55" s="146">
        <f t="shared" si="148"/>
        <v>642.34128569398717</v>
      </c>
    </row>
    <row r="56" spans="2:31" x14ac:dyDescent="0.2">
      <c r="B56" s="20" t="s">
        <v>247</v>
      </c>
      <c r="C56" s="127">
        <f t="shared" ref="C56:P56" si="157">C10/C42</f>
        <v>0</v>
      </c>
      <c r="D56" s="127">
        <f t="shared" si="157"/>
        <v>0</v>
      </c>
      <c r="E56" s="127">
        <f t="shared" si="157"/>
        <v>0</v>
      </c>
      <c r="F56" s="144">
        <f t="shared" si="157"/>
        <v>0</v>
      </c>
      <c r="G56" s="144">
        <f t="shared" si="157"/>
        <v>22.222222222222221</v>
      </c>
      <c r="H56" s="144">
        <f t="shared" si="157"/>
        <v>24.603174603174605</v>
      </c>
      <c r="I56" s="144">
        <f t="shared" si="157"/>
        <v>2.219579865239794</v>
      </c>
      <c r="J56" s="144">
        <f t="shared" si="157"/>
        <v>5.7471264367816088</v>
      </c>
      <c r="K56" s="144">
        <f t="shared" si="157"/>
        <v>20.790513833992094</v>
      </c>
      <c r="L56" s="144">
        <f t="shared" si="157"/>
        <v>24.071146245059289</v>
      </c>
      <c r="M56" s="144">
        <f t="shared" si="157"/>
        <v>9.2471843509187917</v>
      </c>
      <c r="N56" s="144">
        <f t="shared" si="157"/>
        <v>6.6192452084568272</v>
      </c>
      <c r="O56" s="144">
        <f t="shared" si="157"/>
        <v>2.9156816390858946</v>
      </c>
      <c r="P56" s="144">
        <f t="shared" si="157"/>
        <v>0.99492781896215376</v>
      </c>
      <c r="Q56" s="118">
        <f>((P56/G56)^(1/($H$2-$H$1) ))-1</f>
        <v>-0.29187232899660798</v>
      </c>
      <c r="R56" s="128"/>
      <c r="S56" s="157">
        <f t="shared" ref="S56:AB56" si="158">S10/S42</f>
        <v>1.0924697619976591</v>
      </c>
      <c r="T56" s="157">
        <f t="shared" si="158"/>
        <v>1.1995746406248806</v>
      </c>
      <c r="U56" s="157">
        <f t="shared" si="158"/>
        <v>1.3171799975488889</v>
      </c>
      <c r="V56" s="157">
        <f t="shared" si="158"/>
        <v>1.4463152914262312</v>
      </c>
      <c r="W56" s="157">
        <f t="shared" si="158"/>
        <v>1.5881109082327243</v>
      </c>
      <c r="X56" s="157">
        <f t="shared" si="158"/>
        <v>1.7438080560986779</v>
      </c>
      <c r="Y56" s="157">
        <f t="shared" si="158"/>
        <v>1.9147696302259996</v>
      </c>
      <c r="Z56" s="157">
        <f t="shared" si="158"/>
        <v>2.1024921429932548</v>
      </c>
      <c r="AA56" s="157">
        <f t="shared" si="158"/>
        <v>2.3086188236788678</v>
      </c>
      <c r="AB56" s="157">
        <f t="shared" si="158"/>
        <v>2.5349540024709141</v>
      </c>
      <c r="AC56" s="138">
        <f t="shared" si="147"/>
        <v>-0.10797293516740503</v>
      </c>
      <c r="AD56" s="31">
        <f t="shared" si="17"/>
        <v>0.05</v>
      </c>
      <c r="AE56" s="146">
        <f t="shared" si="148"/>
        <v>20.474628481495845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59">(C7-C10)/C42</f>
        <v>0</v>
      </c>
      <c r="D58" s="127">
        <f t="shared" si="159"/>
        <v>0</v>
      </c>
      <c r="E58" s="127">
        <f t="shared" si="159"/>
        <v>0</v>
      </c>
      <c r="F58" s="144">
        <f t="shared" si="159"/>
        <v>0</v>
      </c>
      <c r="G58" s="144">
        <f t="shared" si="159"/>
        <v>102.77777777777777</v>
      </c>
      <c r="H58" s="144">
        <f t="shared" si="159"/>
        <v>118.65079365079364</v>
      </c>
      <c r="I58" s="144">
        <f t="shared" si="159"/>
        <v>14.149821640903685</v>
      </c>
      <c r="J58" s="144">
        <f t="shared" si="159"/>
        <v>13.277843836702338</v>
      </c>
      <c r="K58" s="144">
        <f t="shared" si="159"/>
        <v>3.7154150197628457</v>
      </c>
      <c r="L58" s="144">
        <f t="shared" si="159"/>
        <v>0.98814229249011853</v>
      </c>
      <c r="M58" s="144">
        <f t="shared" si="159"/>
        <v>7.9826121319897254</v>
      </c>
      <c r="N58" s="144">
        <f t="shared" si="159"/>
        <v>14.799446749654219</v>
      </c>
      <c r="O58" s="144">
        <f t="shared" si="159"/>
        <v>23.207249802994486</v>
      </c>
      <c r="P58" s="144">
        <f t="shared" si="159"/>
        <v>31.213421771361688</v>
      </c>
      <c r="Q58" s="118">
        <f>((P58/G58)^(1/($H$2-$H$1) ))-1</f>
        <v>-0.12402124570835338</v>
      </c>
      <c r="R58" s="128"/>
      <c r="S58" s="157">
        <f t="shared" ref="S58:AB58" si="160">(S7-S10)/S42</f>
        <v>34.273561160710869</v>
      </c>
      <c r="T58" s="157">
        <f t="shared" si="160"/>
        <v>37.633714215682538</v>
      </c>
      <c r="U58" s="157">
        <f t="shared" si="160"/>
        <v>41.323294040749452</v>
      </c>
      <c r="V58" s="157">
        <f t="shared" si="160"/>
        <v>45.374597378077844</v>
      </c>
      <c r="W58" s="157">
        <f t="shared" si="160"/>
        <v>49.823087317105085</v>
      </c>
      <c r="X58" s="157">
        <f t="shared" si="160"/>
        <v>54.707703720742835</v>
      </c>
      <c r="Y58" s="157">
        <f t="shared" si="160"/>
        <v>60.071204085521543</v>
      </c>
      <c r="Z58" s="157">
        <f t="shared" si="160"/>
        <v>65.960537819396208</v>
      </c>
      <c r="AA58" s="157">
        <f t="shared" si="160"/>
        <v>72.427257213454681</v>
      </c>
      <c r="AB58" s="157">
        <f t="shared" si="160"/>
        <v>79.527968704969837</v>
      </c>
      <c r="AC58" s="138">
        <f t="shared" si="147"/>
        <v>-1.3407227042256609E-2</v>
      </c>
      <c r="AD58" s="31">
        <f t="shared" si="17"/>
        <v>0.05</v>
      </c>
      <c r="AE58" s="146">
        <f t="shared" si="148"/>
        <v>642.34128569398717</v>
      </c>
    </row>
    <row r="59" spans="2:31" x14ac:dyDescent="0.2">
      <c r="B59" s="20" t="s">
        <v>271</v>
      </c>
      <c r="C59" s="127">
        <f t="shared" ref="C59:P59" si="161">(C7-C10-C9)/C42</f>
        <v>0</v>
      </c>
      <c r="D59" s="127">
        <f t="shared" si="161"/>
        <v>0</v>
      </c>
      <c r="E59" s="127">
        <f t="shared" si="161"/>
        <v>0</v>
      </c>
      <c r="F59" s="144">
        <f t="shared" si="161"/>
        <v>0</v>
      </c>
      <c r="G59" s="144">
        <f t="shared" si="161"/>
        <v>69.047619047619051</v>
      </c>
      <c r="H59" s="144">
        <f t="shared" si="161"/>
        <v>74.206349206349202</v>
      </c>
      <c r="I59" s="144">
        <f t="shared" si="161"/>
        <v>8.878319460959176</v>
      </c>
      <c r="J59" s="144">
        <f t="shared" si="161"/>
        <v>5.4696789536266346</v>
      </c>
      <c r="K59" s="144">
        <f t="shared" si="161"/>
        <v>-6.6798418972332012</v>
      </c>
      <c r="L59" s="144">
        <f t="shared" si="161"/>
        <v>-11.818181818181818</v>
      </c>
      <c r="M59" s="144">
        <f t="shared" si="161"/>
        <v>-0.13831258644536654</v>
      </c>
      <c r="N59" s="144">
        <f t="shared" si="161"/>
        <v>4.7223868800632287</v>
      </c>
      <c r="O59" s="144">
        <f t="shared" si="161"/>
        <v>8.47123719464145</v>
      </c>
      <c r="P59" s="144">
        <f t="shared" si="161"/>
        <v>17.694108466640657</v>
      </c>
      <c r="Q59" s="118">
        <f>((P59/G59)^(1/($H$2-$H$1) ))-1</f>
        <v>-0.14039729135677714</v>
      </c>
      <c r="R59" s="128"/>
      <c r="S59" s="157">
        <f t="shared" ref="S59:AB59" si="162">(S7-S10-S9)/S42</f>
        <v>19.428824982977975</v>
      </c>
      <c r="T59" s="157">
        <f t="shared" si="162"/>
        <v>21.333611746015038</v>
      </c>
      <c r="U59" s="157">
        <f t="shared" si="162"/>
        <v>23.425142309349845</v>
      </c>
      <c r="V59" s="157">
        <f t="shared" si="162"/>
        <v>25.721724888697878</v>
      </c>
      <c r="W59" s="157">
        <f t="shared" si="162"/>
        <v>28.243462622883943</v>
      </c>
      <c r="X59" s="157">
        <f t="shared" si="162"/>
        <v>31.01242954669609</v>
      </c>
      <c r="Y59" s="157">
        <f t="shared" si="162"/>
        <v>34.052863815980018</v>
      </c>
      <c r="Z59" s="157">
        <f t="shared" si="162"/>
        <v>37.391379876370223</v>
      </c>
      <c r="AA59" s="157">
        <f t="shared" si="162"/>
        <v>41.057201432877115</v>
      </c>
      <c r="AB59" s="157">
        <f t="shared" si="162"/>
        <v>45.082417259629764</v>
      </c>
      <c r="AC59" s="138">
        <f t="shared" si="147"/>
        <v>-2.2187218551760202E-2</v>
      </c>
      <c r="AD59" s="31">
        <f t="shared" si="17"/>
        <v>0.05</v>
      </c>
      <c r="AE59" s="146">
        <f t="shared" si="148"/>
        <v>364.12721632777885</v>
      </c>
    </row>
    <row r="60" spans="2:31" x14ac:dyDescent="0.2">
      <c r="B60" s="20" t="s">
        <v>276</v>
      </c>
      <c r="C60" s="127">
        <f t="shared" ref="C60:P60" si="163">(C7+C15-C10-C9)/C42</f>
        <v>0</v>
      </c>
      <c r="D60" s="127">
        <f t="shared" si="163"/>
        <v>0</v>
      </c>
      <c r="E60" s="127">
        <f t="shared" si="163"/>
        <v>0</v>
      </c>
      <c r="F60" s="144">
        <f t="shared" si="163"/>
        <v>0</v>
      </c>
      <c r="G60" s="144">
        <f t="shared" si="163"/>
        <v>152.18253968253967</v>
      </c>
      <c r="H60" s="144">
        <f t="shared" si="163"/>
        <v>175</v>
      </c>
      <c r="I60" s="144">
        <f t="shared" si="163"/>
        <v>20.134760206103845</v>
      </c>
      <c r="J60" s="144">
        <f t="shared" si="163"/>
        <v>21.997621878715815</v>
      </c>
      <c r="K60" s="144">
        <f t="shared" si="163"/>
        <v>21.304347826086957</v>
      </c>
      <c r="L60" s="144">
        <f t="shared" si="163"/>
        <v>16.561264822134387</v>
      </c>
      <c r="M60" s="144">
        <f t="shared" si="163"/>
        <v>12.467891721003754</v>
      </c>
      <c r="N60" s="144">
        <f t="shared" si="163"/>
        <v>20.391227030231178</v>
      </c>
      <c r="O60" s="144">
        <f t="shared" si="163"/>
        <v>30.575256107171001</v>
      </c>
      <c r="P60" s="144">
        <f t="shared" si="163"/>
        <v>39.231369488880219</v>
      </c>
      <c r="Q60" s="118">
        <f>((P60/G60)^(1/($H$2-$H$1) ))-1</f>
        <v>-0.13982779574353221</v>
      </c>
      <c r="R60" s="128"/>
      <c r="S60" s="157">
        <f t="shared" ref="S60:AB60" si="164">(S7+S15-S10-S9)/S42</f>
        <v>43.077582183868493</v>
      </c>
      <c r="T60" s="157">
        <f t="shared" si="164"/>
        <v>47.300874554835971</v>
      </c>
      <c r="U60" s="157">
        <f t="shared" si="164"/>
        <v>51.938215197466967</v>
      </c>
      <c r="V60" s="157">
        <f t="shared" si="164"/>
        <v>57.030197079571579</v>
      </c>
      <c r="W60" s="157">
        <f t="shared" si="164"/>
        <v>62.621392871686446</v>
      </c>
      <c r="X60" s="157">
        <f t="shared" si="164"/>
        <v>68.760745114008643</v>
      </c>
      <c r="Y60" s="157">
        <f t="shared" si="164"/>
        <v>75.501994634989885</v>
      </c>
      <c r="Z60" s="157">
        <f t="shared" si="164"/>
        <v>82.904150971753594</v>
      </c>
      <c r="AA60" s="157">
        <f t="shared" si="164"/>
        <v>91.032008910160826</v>
      </c>
      <c r="AB60" s="157">
        <f t="shared" si="164"/>
        <v>99.956715666058955</v>
      </c>
      <c r="AC60" s="138">
        <f t="shared" si="147"/>
        <v>-2.1880414191074671E-2</v>
      </c>
      <c r="AD60" s="31">
        <f t="shared" si="17"/>
        <v>0.05</v>
      </c>
      <c r="AE60" s="146">
        <f t="shared" si="148"/>
        <v>807.34270345663003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65">C12/C42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2.9761904761904763</v>
      </c>
      <c r="H62" s="144">
        <f t="shared" si="165"/>
        <v>5.5555555555555554</v>
      </c>
      <c r="I62" s="144">
        <f t="shared" si="165"/>
        <v>0.63416567578279825</v>
      </c>
      <c r="J62" s="144">
        <f t="shared" si="165"/>
        <v>1.5061434799841458</v>
      </c>
      <c r="K62" s="144">
        <f t="shared" si="165"/>
        <v>6.7984189723320156</v>
      </c>
      <c r="L62" s="144">
        <f t="shared" si="165"/>
        <v>6.2845849802371543</v>
      </c>
      <c r="M62" s="144">
        <f t="shared" si="165"/>
        <v>0.88915234143449917</v>
      </c>
      <c r="N62" s="144">
        <f t="shared" si="165"/>
        <v>2.0351709148389645</v>
      </c>
      <c r="O62" s="144">
        <f t="shared" si="165"/>
        <v>5.378250591016549</v>
      </c>
      <c r="P62" s="144">
        <f t="shared" si="165"/>
        <v>2.9457666796722592</v>
      </c>
      <c r="Q62" s="118">
        <f>((P62/G62)^(1/($H$2-$H$1) ))-1</f>
        <v>-1.1410155616989881E-3</v>
      </c>
      <c r="R62" s="128"/>
      <c r="S62" s="157">
        <f t="shared" ref="S62:AB62" si="166">S12/S42</f>
        <v>3.2345673345420889</v>
      </c>
      <c r="T62" s="157">
        <f t="shared" si="166"/>
        <v>3.551681779105039</v>
      </c>
      <c r="U62" s="157">
        <f t="shared" si="166"/>
        <v>3.8998858750957295</v>
      </c>
      <c r="V62" s="157">
        <f t="shared" si="166"/>
        <v>4.2822276275560958</v>
      </c>
      <c r="W62" s="157">
        <f t="shared" si="166"/>
        <v>4.7020538655517914</v>
      </c>
      <c r="X62" s="157">
        <f t="shared" si="166"/>
        <v>5.163039538645104</v>
      </c>
      <c r="Y62" s="157">
        <f t="shared" si="166"/>
        <v>5.6692198855710956</v>
      </c>
      <c r="Z62" s="157">
        <f t="shared" si="166"/>
        <v>6.2250257567055174</v>
      </c>
      <c r="AA62" s="157">
        <f t="shared" si="166"/>
        <v>6.835322399519784</v>
      </c>
      <c r="AB62" s="157">
        <f t="shared" si="166"/>
        <v>7.5054520465315289</v>
      </c>
      <c r="AC62" s="138">
        <f t="shared" si="147"/>
        <v>4.9887957590732945E-2</v>
      </c>
      <c r="AD62" s="31">
        <f t="shared" si="17"/>
        <v>0.05</v>
      </c>
      <c r="AE62" s="146">
        <f t="shared" si="148"/>
        <v>60.62095883737004</v>
      </c>
    </row>
    <row r="63" spans="2:31" x14ac:dyDescent="0.2">
      <c r="B63" s="20" t="s">
        <v>255</v>
      </c>
      <c r="C63" s="127">
        <f t="shared" ref="C63:P63" si="167">C13/C42</f>
        <v>0</v>
      </c>
      <c r="D63" s="127">
        <f t="shared" si="167"/>
        <v>0</v>
      </c>
      <c r="E63" s="127">
        <f t="shared" si="167"/>
        <v>0</v>
      </c>
      <c r="F63" s="144">
        <f t="shared" si="167"/>
        <v>0</v>
      </c>
      <c r="G63" s="144">
        <f t="shared" si="167"/>
        <v>7.5396825396825395</v>
      </c>
      <c r="H63" s="144">
        <f t="shared" si="167"/>
        <v>7.5396825396825395</v>
      </c>
      <c r="I63" s="144">
        <f t="shared" si="167"/>
        <v>0.63416567578279825</v>
      </c>
      <c r="J63" s="144">
        <f t="shared" si="167"/>
        <v>0.63416567578279825</v>
      </c>
      <c r="K63" s="144">
        <f t="shared" si="167"/>
        <v>0.12806324110671938</v>
      </c>
      <c r="L63" s="144">
        <f t="shared" si="167"/>
        <v>1.0276679841897234</v>
      </c>
      <c r="M63" s="144">
        <f t="shared" si="167"/>
        <v>5.2953961667654612</v>
      </c>
      <c r="N63" s="144">
        <f t="shared" si="167"/>
        <v>3.35901995653033</v>
      </c>
      <c r="O63" s="144">
        <f t="shared" si="167"/>
        <v>1.9306540583136329</v>
      </c>
      <c r="P63" s="144">
        <f t="shared" si="167"/>
        <v>5.7159578618806091</v>
      </c>
      <c r="Q63" s="118">
        <f>((P63/G63)^(1/($H$2-$H$1) ))-1</f>
        <v>-3.0300149389517972E-2</v>
      </c>
      <c r="R63" s="128"/>
      <c r="S63" s="157">
        <f t="shared" ref="S63:AB63" si="168">S13/S42</f>
        <v>6.2763458875551787</v>
      </c>
      <c r="T63" s="157">
        <f t="shared" si="168"/>
        <v>6.8916739157468641</v>
      </c>
      <c r="U63" s="157">
        <f t="shared" si="168"/>
        <v>7.567328221212243</v>
      </c>
      <c r="V63" s="157">
        <f t="shared" si="168"/>
        <v>8.3092231448605034</v>
      </c>
      <c r="W63" s="157">
        <f t="shared" si="168"/>
        <v>9.1238528649448654</v>
      </c>
      <c r="X63" s="157">
        <f t="shared" si="168"/>
        <v>10.018348243861029</v>
      </c>
      <c r="Y63" s="157">
        <f t="shared" si="168"/>
        <v>11.000539248161132</v>
      </c>
      <c r="Z63" s="157">
        <f t="shared" si="168"/>
        <v>12.079023488176929</v>
      </c>
      <c r="AA63" s="157">
        <f t="shared" si="168"/>
        <v>13.263241477213885</v>
      </c>
      <c r="AB63" s="157">
        <f t="shared" si="168"/>
        <v>14.563559269097601</v>
      </c>
      <c r="AC63" s="138">
        <f t="shared" si="147"/>
        <v>3.5256890707904054E-2</v>
      </c>
      <c r="AD63" s="31">
        <f t="shared" si="17"/>
        <v>0.05</v>
      </c>
      <c r="AE63" s="146">
        <f t="shared" si="148"/>
        <v>117.6287479427114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69">(D62+D63)</f>
        <v>0</v>
      </c>
      <c r="E64" s="127">
        <f t="shared" si="169"/>
        <v>0</v>
      </c>
      <c r="F64" s="144">
        <f t="shared" si="169"/>
        <v>0</v>
      </c>
      <c r="G64" s="144">
        <f t="shared" si="169"/>
        <v>10.515873015873016</v>
      </c>
      <c r="H64" s="144">
        <f t="shared" si="169"/>
        <v>13.095238095238095</v>
      </c>
      <c r="I64" s="144">
        <f t="shared" si="169"/>
        <v>1.2683313515655965</v>
      </c>
      <c r="J64" s="144">
        <f t="shared" si="169"/>
        <v>2.140309155766944</v>
      </c>
      <c r="K64" s="144">
        <f t="shared" si="169"/>
        <v>6.9264822134387352</v>
      </c>
      <c r="L64" s="144">
        <f t="shared" si="169"/>
        <v>7.3122529644268779</v>
      </c>
      <c r="M64" s="144">
        <f t="shared" si="169"/>
        <v>6.1845485081999607</v>
      </c>
      <c r="N64" s="144">
        <f t="shared" si="169"/>
        <v>5.394190871369295</v>
      </c>
      <c r="O64" s="144">
        <f t="shared" ref="O64" si="170">(O62+O63)</f>
        <v>7.3089046493301817</v>
      </c>
      <c r="P64" s="144">
        <f t="shared" si="169"/>
        <v>8.6617245415528679</v>
      </c>
      <c r="Q64" s="118">
        <f>((P64/G64)^(1/($H$2-$H$1) ))-1</f>
        <v>-2.1321849018219097E-2</v>
      </c>
      <c r="R64" s="128"/>
      <c r="S64" s="157">
        <f t="shared" ref="S64:AB64" si="171">(S62+S63)</f>
        <v>9.5109132220972672</v>
      </c>
      <c r="T64" s="157">
        <f t="shared" si="171"/>
        <v>10.443355694851903</v>
      </c>
      <c r="U64" s="157">
        <f t="shared" si="171"/>
        <v>11.467214096307973</v>
      </c>
      <c r="V64" s="157">
        <f t="shared" si="171"/>
        <v>12.5914507724166</v>
      </c>
      <c r="W64" s="157">
        <f t="shared" si="171"/>
        <v>13.825906730496657</v>
      </c>
      <c r="X64" s="157">
        <f t="shared" si="171"/>
        <v>15.181387782506132</v>
      </c>
      <c r="Y64" s="157">
        <f t="shared" si="171"/>
        <v>16.669759133732228</v>
      </c>
      <c r="Z64" s="157">
        <f t="shared" si="171"/>
        <v>18.304049244882446</v>
      </c>
      <c r="AA64" s="157">
        <f t="shared" si="171"/>
        <v>20.098563876733671</v>
      </c>
      <c r="AB64" s="157">
        <f t="shared" si="171"/>
        <v>22.06901131562913</v>
      </c>
      <c r="AC64" s="138">
        <f t="shared" si="147"/>
        <v>3.9786276796675235E-2</v>
      </c>
      <c r="AD64" s="31">
        <f t="shared" si="17"/>
        <v>0.05</v>
      </c>
      <c r="AE64" s="146">
        <f t="shared" si="148"/>
        <v>178.24970678008142</v>
      </c>
    </row>
    <row r="65" spans="2:31" x14ac:dyDescent="0.2">
      <c r="B65" s="20" t="s">
        <v>249</v>
      </c>
      <c r="C65" s="127">
        <f t="shared" ref="C65:P65" si="172">C15/C42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83.134920634920633</v>
      </c>
      <c r="H65" s="144">
        <f t="shared" si="172"/>
        <v>100.7936507936508</v>
      </c>
      <c r="I65" s="144">
        <f t="shared" si="172"/>
        <v>11.256440745144669</v>
      </c>
      <c r="J65" s="144">
        <f t="shared" si="172"/>
        <v>16.527942925089178</v>
      </c>
      <c r="K65" s="144">
        <f t="shared" si="172"/>
        <v>27.984189723320156</v>
      </c>
      <c r="L65" s="144">
        <f t="shared" si="172"/>
        <v>28.379446640316203</v>
      </c>
      <c r="M65" s="144">
        <f t="shared" si="172"/>
        <v>12.60620430744912</v>
      </c>
      <c r="N65" s="144">
        <f t="shared" si="172"/>
        <v>15.66884015016795</v>
      </c>
      <c r="O65" s="144">
        <f t="shared" si="172"/>
        <v>22.104018912529551</v>
      </c>
      <c r="P65" s="144">
        <f t="shared" si="172"/>
        <v>21.537261022239562</v>
      </c>
      <c r="Q65" s="118">
        <f>((P65/G65)^(1/($H$2-$H$1) ))-1</f>
        <v>-0.1393570841298053</v>
      </c>
      <c r="R65" s="128"/>
      <c r="S65" s="157">
        <f t="shared" ref="S65:AB65" si="173">S15/S42</f>
        <v>23.648757200890504</v>
      </c>
      <c r="T65" s="157">
        <f t="shared" si="173"/>
        <v>25.967262808820944</v>
      </c>
      <c r="U65" s="157">
        <f t="shared" si="173"/>
        <v>28.513072888117119</v>
      </c>
      <c r="V65" s="157">
        <f t="shared" si="173"/>
        <v>31.308472190873701</v>
      </c>
      <c r="W65" s="157">
        <f t="shared" si="173"/>
        <v>34.3779302488025</v>
      </c>
      <c r="X65" s="157">
        <f t="shared" si="173"/>
        <v>37.748315567312552</v>
      </c>
      <c r="Y65" s="157">
        <f t="shared" si="173"/>
        <v>41.449130819009859</v>
      </c>
      <c r="Z65" s="157">
        <f t="shared" si="173"/>
        <v>45.512771095383378</v>
      </c>
      <c r="AA65" s="157">
        <f t="shared" si="173"/>
        <v>49.974807477283711</v>
      </c>
      <c r="AB65" s="157">
        <f t="shared" si="173"/>
        <v>54.874298406429176</v>
      </c>
      <c r="AC65" s="138">
        <f t="shared" si="147"/>
        <v>-2.1626908423826086E-2</v>
      </c>
      <c r="AD65" s="31">
        <f t="shared" si="17"/>
        <v>0.05</v>
      </c>
      <c r="AE65" s="146">
        <f t="shared" si="148"/>
        <v>443.21548712885101</v>
      </c>
    </row>
    <row r="66" spans="2:31" x14ac:dyDescent="0.2">
      <c r="B66" s="20" t="s">
        <v>250</v>
      </c>
      <c r="C66" s="127">
        <f t="shared" ref="C66:P66" si="174">C16/C42</f>
        <v>0</v>
      </c>
      <c r="D66" s="127">
        <f t="shared" si="174"/>
        <v>0</v>
      </c>
      <c r="E66" s="127">
        <f t="shared" si="174"/>
        <v>0</v>
      </c>
      <c r="F66" s="144">
        <f t="shared" si="174"/>
        <v>0</v>
      </c>
      <c r="G66" s="144">
        <f t="shared" si="174"/>
        <v>52.38095238095238</v>
      </c>
      <c r="H66" s="144">
        <f t="shared" si="174"/>
        <v>57.539682539682538</v>
      </c>
      <c r="I66" s="144">
        <f t="shared" si="174"/>
        <v>5.8263971462544593</v>
      </c>
      <c r="J66" s="144">
        <f t="shared" si="174"/>
        <v>8.878319460959176</v>
      </c>
      <c r="K66" s="144">
        <f t="shared" si="174"/>
        <v>18.853754940711461</v>
      </c>
      <c r="L66" s="144">
        <f t="shared" si="174"/>
        <v>17.588932806324109</v>
      </c>
      <c r="M66" s="144">
        <f t="shared" si="174"/>
        <v>4.6235921754593958</v>
      </c>
      <c r="N66" s="144">
        <f t="shared" si="174"/>
        <v>6.6390041493775938</v>
      </c>
      <c r="O66" s="144">
        <f t="shared" si="174"/>
        <v>7.1907013396375099</v>
      </c>
      <c r="P66" s="144">
        <f t="shared" si="174"/>
        <v>6.5353101833788534</v>
      </c>
      <c r="Q66" s="118">
        <f>((P66/G66)^(1/($H$2-$H$1) ))-1</f>
        <v>-0.20646539903368755</v>
      </c>
      <c r="R66" s="128"/>
      <c r="S66" s="157">
        <f t="shared" ref="S66:AB66" si="175">S16/S42</f>
        <v>7.1760268680238397</v>
      </c>
      <c r="T66" s="157">
        <f t="shared" si="175"/>
        <v>7.8795589139085314</v>
      </c>
      <c r="U66" s="157">
        <f t="shared" si="175"/>
        <v>8.652064689781918</v>
      </c>
      <c r="V66" s="157">
        <f t="shared" si="175"/>
        <v>9.5003063260350462</v>
      </c>
      <c r="W66" s="157">
        <f t="shared" si="175"/>
        <v>10.431708907018876</v>
      </c>
      <c r="X66" s="157">
        <f t="shared" si="175"/>
        <v>11.454425466530532</v>
      </c>
      <c r="Y66" s="157">
        <f t="shared" si="175"/>
        <v>12.577408355406074</v>
      </c>
      <c r="Z66" s="157">
        <f t="shared" si="175"/>
        <v>13.810487605936082</v>
      </c>
      <c r="AA66" s="157">
        <f t="shared" si="175"/>
        <v>15.164456979067072</v>
      </c>
      <c r="AB66" s="157">
        <f t="shared" si="175"/>
        <v>16.651168447603062</v>
      </c>
      <c r="AC66" s="138">
        <f t="shared" si="147"/>
        <v>-5.8535922160573906E-2</v>
      </c>
      <c r="AD66" s="137"/>
      <c r="AE66" s="146">
        <f t="shared" si="148"/>
        <v>92.506491375572566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48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76">D43</f>
        <v>0</v>
      </c>
      <c r="E68" s="159">
        <f t="shared" si="176"/>
        <v>0</v>
      </c>
      <c r="F68" s="159">
        <f t="shared" si="176"/>
        <v>0</v>
      </c>
      <c r="G68" s="159">
        <f t="shared" si="176"/>
        <v>8</v>
      </c>
      <c r="H68" s="159">
        <f t="shared" si="176"/>
        <v>8</v>
      </c>
      <c r="I68" s="159">
        <f t="shared" si="176"/>
        <v>1.25</v>
      </c>
      <c r="J68" s="159">
        <f t="shared" si="176"/>
        <v>1.5</v>
      </c>
      <c r="K68" s="159">
        <f t="shared" si="176"/>
        <v>1.75</v>
      </c>
      <c r="L68" s="159">
        <f t="shared" si="176"/>
        <v>1.75</v>
      </c>
      <c r="M68" s="159">
        <f t="shared" si="176"/>
        <v>1.5</v>
      </c>
      <c r="N68" s="159">
        <f t="shared" si="176"/>
        <v>1.75</v>
      </c>
      <c r="O68" s="159">
        <f t="shared" si="176"/>
        <v>1.9</v>
      </c>
      <c r="P68" s="159">
        <f t="shared" si="176"/>
        <v>2.6</v>
      </c>
      <c r="Q68" s="118">
        <f>((P68/G68)^(1/($H$2-$H$1) ))-1</f>
        <v>-0.1173981815805033</v>
      </c>
      <c r="R68" s="128"/>
      <c r="S68" s="159">
        <f t="shared" ref="S68:AB68" si="177">S43</f>
        <v>2.7300000000000004</v>
      </c>
      <c r="T68" s="159">
        <f t="shared" si="177"/>
        <v>2.8665000000000007</v>
      </c>
      <c r="U68" s="159">
        <f t="shared" si="177"/>
        <v>3.0098250000000011</v>
      </c>
      <c r="V68" s="159">
        <f t="shared" si="177"/>
        <v>3.1603162500000015</v>
      </c>
      <c r="W68" s="159">
        <f t="shared" si="177"/>
        <v>3.3183320625000019</v>
      </c>
      <c r="X68" s="159">
        <f t="shared" si="177"/>
        <v>3.4842486656250022</v>
      </c>
      <c r="Y68" s="159">
        <f t="shared" si="177"/>
        <v>3.6584610989062525</v>
      </c>
      <c r="Z68" s="159">
        <f t="shared" si="177"/>
        <v>3.8413841538515654</v>
      </c>
      <c r="AA68" s="159">
        <f t="shared" si="177"/>
        <v>4.0334533615441437</v>
      </c>
      <c r="AB68" s="159">
        <f t="shared" si="177"/>
        <v>4.2351260296213509</v>
      </c>
      <c r="AC68" s="138">
        <f t="shared" ref="AC68" si="178">((AB68/G68)^(1/($AB$3-$H$1) ))-1</f>
        <v>-3.2921087947156646E-2</v>
      </c>
      <c r="AD68" s="31">
        <f t="shared" si="17"/>
        <v>0.05</v>
      </c>
      <c r="AE68" s="146">
        <f t="shared" si="148"/>
        <v>34.2067871623263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79">C20+C21</f>
        <v>0</v>
      </c>
      <c r="D70" s="127">
        <f t="shared" si="179"/>
        <v>0</v>
      </c>
      <c r="E70" s="127">
        <f t="shared" si="179"/>
        <v>0</v>
      </c>
      <c r="F70" s="144">
        <f t="shared" si="179"/>
        <v>0</v>
      </c>
      <c r="G70" s="144">
        <f t="shared" si="179"/>
        <v>7</v>
      </c>
      <c r="H70" s="144">
        <f t="shared" si="179"/>
        <v>22</v>
      </c>
      <c r="I70" s="144">
        <f t="shared" si="179"/>
        <v>35</v>
      </c>
      <c r="J70" s="144">
        <f t="shared" si="179"/>
        <v>-36</v>
      </c>
      <c r="K70" s="144">
        <f t="shared" si="179"/>
        <v>-162</v>
      </c>
      <c r="L70" s="144">
        <f t="shared" si="179"/>
        <v>32</v>
      </c>
      <c r="M70" s="144">
        <f t="shared" si="179"/>
        <v>67</v>
      </c>
      <c r="N70" s="144">
        <f t="shared" si="179"/>
        <v>285</v>
      </c>
      <c r="O70" s="144">
        <f t="shared" si="179"/>
        <v>276</v>
      </c>
      <c r="P70" s="144">
        <f t="shared" si="179"/>
        <v>316</v>
      </c>
      <c r="Q70" s="118">
        <f>((P70/G70)^(1/($H$2-$H$1) ))-1</f>
        <v>0.5270147319567966</v>
      </c>
      <c r="R70" s="128"/>
      <c r="S70" s="144">
        <f t="shared" ref="S70:AB70" si="180">S20+S21</f>
        <v>353.92000000000007</v>
      </c>
      <c r="T70" s="144">
        <f t="shared" si="180"/>
        <v>396.39040000000011</v>
      </c>
      <c r="U70" s="144">
        <f t="shared" si="180"/>
        <v>443.95724800000016</v>
      </c>
      <c r="V70" s="144">
        <f t="shared" si="180"/>
        <v>497.23211776000028</v>
      </c>
      <c r="W70" s="144">
        <f t="shared" si="180"/>
        <v>556.89997189120027</v>
      </c>
      <c r="X70" s="144">
        <f t="shared" si="180"/>
        <v>623.72796851814451</v>
      </c>
      <c r="Y70" s="144">
        <f t="shared" si="180"/>
        <v>698.57532474032178</v>
      </c>
      <c r="Z70" s="144">
        <f t="shared" si="180"/>
        <v>782.40436370916052</v>
      </c>
      <c r="AA70" s="144">
        <f t="shared" si="180"/>
        <v>876.29288735425996</v>
      </c>
      <c r="AB70" s="144">
        <f t="shared" si="180"/>
        <v>981.44803383677129</v>
      </c>
      <c r="AC70" s="138">
        <f t="shared" ref="AC70:AC75" si="181">((AB70/G70)^(1/($AB$3-$H$1) ))-1</f>
        <v>0.29714299982869852</v>
      </c>
      <c r="AD70" s="31">
        <f t="shared" si="17"/>
        <v>0.05</v>
      </c>
      <c r="AE70" s="146">
        <f t="shared" si="148"/>
        <v>7927.0802732969987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82">C70/C42</f>
        <v>0</v>
      </c>
      <c r="D72" s="127">
        <f t="shared" si="182"/>
        <v>0</v>
      </c>
      <c r="E72" s="127">
        <f t="shared" si="182"/>
        <v>0</v>
      </c>
      <c r="F72" s="144">
        <f t="shared" si="182"/>
        <v>0</v>
      </c>
      <c r="G72" s="144">
        <f t="shared" si="182"/>
        <v>2.7777777777777777</v>
      </c>
      <c r="H72" s="144">
        <f t="shared" si="182"/>
        <v>8.7301587301587293</v>
      </c>
      <c r="I72" s="144">
        <f t="shared" si="182"/>
        <v>1.3872374157748713</v>
      </c>
      <c r="J72" s="144">
        <f t="shared" si="182"/>
        <v>-1.426872770511296</v>
      </c>
      <c r="K72" s="144">
        <f t="shared" si="182"/>
        <v>-6.4031620553359678</v>
      </c>
      <c r="L72" s="144">
        <f t="shared" si="182"/>
        <v>1.2648221343873518</v>
      </c>
      <c r="M72" s="144">
        <f t="shared" si="182"/>
        <v>1.3238490416913653</v>
      </c>
      <c r="N72" s="144">
        <f t="shared" si="182"/>
        <v>5.6312981624184948</v>
      </c>
      <c r="O72" s="144">
        <f t="shared" si="182"/>
        <v>5.4373522458628845</v>
      </c>
      <c r="P72" s="144">
        <f t="shared" si="182"/>
        <v>6.1646507998439333</v>
      </c>
      <c r="Q72" s="118">
        <f>((P72/G72)^(1/($H$2-$H$1) ))-1</f>
        <v>9.2616832519326175E-2</v>
      </c>
      <c r="R72" s="128"/>
      <c r="S72" s="146">
        <f t="shared" ref="S72:AB72" si="183">S70/S42</f>
        <v>6.769028329240399</v>
      </c>
      <c r="T72" s="146">
        <f t="shared" si="183"/>
        <v>7.4326585575973008</v>
      </c>
      <c r="U72" s="146">
        <f t="shared" si="183"/>
        <v>8.1613505730480185</v>
      </c>
      <c r="V72" s="146">
        <f t="shared" si="183"/>
        <v>8.9614829821703736</v>
      </c>
      <c r="W72" s="146">
        <f t="shared" si="183"/>
        <v>9.8400597451282525</v>
      </c>
      <c r="X72" s="146">
        <f t="shared" si="183"/>
        <v>10.804771484846713</v>
      </c>
      <c r="Y72" s="146">
        <f t="shared" si="183"/>
        <v>11.864062806890507</v>
      </c>
      <c r="Z72" s="146">
        <f t="shared" si="183"/>
        <v>13.027206219330754</v>
      </c>
      <c r="AA72" s="146">
        <f t="shared" si="183"/>
        <v>14.304383299657301</v>
      </c>
      <c r="AB72" s="146">
        <f t="shared" si="183"/>
        <v>15.706773819231548</v>
      </c>
      <c r="AC72" s="138">
        <f t="shared" si="181"/>
        <v>9.5467372126174288E-2</v>
      </c>
      <c r="AD72" s="31">
        <f t="shared" si="17"/>
        <v>0.05</v>
      </c>
      <c r="AE72" s="146">
        <f t="shared" si="148"/>
        <v>126.86240392456251</v>
      </c>
    </row>
    <row r="73" spans="2:31" x14ac:dyDescent="0.2">
      <c r="B73" s="20" t="s">
        <v>287</v>
      </c>
      <c r="C73" s="127">
        <f t="shared" ref="C73:P73" si="184">C20/C42</f>
        <v>0</v>
      </c>
      <c r="D73" s="127">
        <f t="shared" si="184"/>
        <v>0</v>
      </c>
      <c r="E73" s="127">
        <f t="shared" si="184"/>
        <v>0</v>
      </c>
      <c r="F73" s="144">
        <f t="shared" si="184"/>
        <v>0</v>
      </c>
      <c r="G73" s="144">
        <f t="shared" si="184"/>
        <v>19.047619047619047</v>
      </c>
      <c r="H73" s="144">
        <f t="shared" si="184"/>
        <v>36.507936507936506</v>
      </c>
      <c r="I73" s="144">
        <f t="shared" si="184"/>
        <v>4.439159730479588</v>
      </c>
      <c r="J73" s="144">
        <f t="shared" si="184"/>
        <v>3.5275465715418153</v>
      </c>
      <c r="K73" s="144">
        <f t="shared" si="184"/>
        <v>5.0592885375494072</v>
      </c>
      <c r="L73" s="144">
        <f t="shared" si="184"/>
        <v>10.276679841897232</v>
      </c>
      <c r="M73" s="144">
        <f t="shared" si="184"/>
        <v>8.140683659355858</v>
      </c>
      <c r="N73" s="144">
        <f t="shared" si="184"/>
        <v>6.3623789764868608</v>
      </c>
      <c r="O73" s="144">
        <f t="shared" si="184"/>
        <v>9.9881796690307336</v>
      </c>
      <c r="P73" s="144">
        <f t="shared" si="184"/>
        <v>10.00780335544284</v>
      </c>
      <c r="Q73" s="118">
        <f>((P73/G73)^(1/($H$2-$H$1) ))-1</f>
        <v>-6.9011686025279739E-2</v>
      </c>
      <c r="R73" s="128"/>
      <c r="S73" s="146">
        <f t="shared" ref="S73:AB73" si="185">S20/S42</f>
        <v>10.988960547152924</v>
      </c>
      <c r="T73" s="146">
        <f t="shared" si="185"/>
        <v>12.066309620403212</v>
      </c>
      <c r="U73" s="146">
        <f t="shared" si="185"/>
        <v>13.249281151815294</v>
      </c>
      <c r="V73" s="146">
        <f t="shared" si="185"/>
        <v>14.548230284346207</v>
      </c>
      <c r="W73" s="146">
        <f t="shared" si="185"/>
        <v>15.974527371046818</v>
      </c>
      <c r="X73" s="146">
        <f t="shared" si="185"/>
        <v>17.540657505463173</v>
      </c>
      <c r="Y73" s="146">
        <f t="shared" si="185"/>
        <v>19.260329809920346</v>
      </c>
      <c r="Z73" s="146">
        <f t="shared" si="185"/>
        <v>21.148597438343913</v>
      </c>
      <c r="AA73" s="146">
        <f t="shared" si="185"/>
        <v>23.221989344063907</v>
      </c>
      <c r="AB73" s="146">
        <f t="shared" si="185"/>
        <v>25.498654966030958</v>
      </c>
      <c r="AC73" s="138">
        <f t="shared" si="181"/>
        <v>1.547021187913189E-2</v>
      </c>
      <c r="AD73" s="31">
        <f t="shared" si="17"/>
        <v>0.05</v>
      </c>
      <c r="AE73" s="146">
        <f t="shared" si="148"/>
        <v>205.95067472563466</v>
      </c>
    </row>
    <row r="74" spans="2:31" x14ac:dyDescent="0.2">
      <c r="B74" s="20" t="s">
        <v>288</v>
      </c>
      <c r="C74" s="127">
        <f t="shared" ref="C74:P74" si="186">C21/C42</f>
        <v>0</v>
      </c>
      <c r="D74" s="127">
        <f t="shared" si="186"/>
        <v>0</v>
      </c>
      <c r="E74" s="127">
        <f t="shared" si="186"/>
        <v>0</v>
      </c>
      <c r="F74" s="144">
        <f t="shared" si="186"/>
        <v>0</v>
      </c>
      <c r="G74" s="144">
        <f t="shared" si="186"/>
        <v>-16.269841269841269</v>
      </c>
      <c r="H74" s="144">
        <f t="shared" si="186"/>
        <v>-27.777777777777779</v>
      </c>
      <c r="I74" s="144">
        <f t="shared" si="186"/>
        <v>-3.0519223147047168</v>
      </c>
      <c r="J74" s="144">
        <f t="shared" si="186"/>
        <v>-4.9544193420531109</v>
      </c>
      <c r="K74" s="144">
        <f t="shared" si="186"/>
        <v>-11.462450592885375</v>
      </c>
      <c r="L74" s="144">
        <f t="shared" si="186"/>
        <v>-9.0118577075098809</v>
      </c>
      <c r="M74" s="144">
        <f t="shared" si="186"/>
        <v>-6.8168346176644929</v>
      </c>
      <c r="N74" s="144">
        <f t="shared" si="186"/>
        <v>-0.73108081406836589</v>
      </c>
      <c r="O74" s="144">
        <f t="shared" si="186"/>
        <v>-4.5508274231678492</v>
      </c>
      <c r="P74" s="144">
        <f t="shared" si="186"/>
        <v>-3.8431525555989077</v>
      </c>
      <c r="Q74" s="118">
        <f>((P74/G74)^(1/($H$2-$H$1) ))-1</f>
        <v>-0.14814211954308276</v>
      </c>
      <c r="R74" s="128"/>
      <c r="S74" s="146">
        <f t="shared" ref="S74:AB74" si="187">S21/S42</f>
        <v>-4.2199322179125263</v>
      </c>
      <c r="T74" s="146">
        <f t="shared" si="187"/>
        <v>-4.633651062805912</v>
      </c>
      <c r="U74" s="146">
        <f t="shared" si="187"/>
        <v>-5.0879305787672768</v>
      </c>
      <c r="V74" s="146">
        <f t="shared" si="187"/>
        <v>-5.5867473021758336</v>
      </c>
      <c r="W74" s="146">
        <f t="shared" si="187"/>
        <v>-6.1344676259185631</v>
      </c>
      <c r="X74" s="146">
        <f t="shared" si="187"/>
        <v>-6.7358860206164612</v>
      </c>
      <c r="Y74" s="146">
        <f t="shared" si="187"/>
        <v>-7.3962670030298403</v>
      </c>
      <c r="Z74" s="146">
        <f t="shared" si="187"/>
        <v>-8.1213912190131587</v>
      </c>
      <c r="AA74" s="146">
        <f t="shared" si="187"/>
        <v>-8.9176060444066056</v>
      </c>
      <c r="AB74" s="146">
        <f t="shared" si="187"/>
        <v>-9.7918811467994118</v>
      </c>
      <c r="AC74" s="138">
        <f t="shared" si="181"/>
        <v>-2.6370257008706321E-2</v>
      </c>
      <c r="AD74" s="31">
        <f t="shared" si="17"/>
        <v>0.05</v>
      </c>
      <c r="AE74" s="146">
        <f t="shared" si="148"/>
        <v>-79.08827080107217</v>
      </c>
    </row>
    <row r="75" spans="2:31" x14ac:dyDescent="0.2">
      <c r="B75" s="20" t="s">
        <v>289</v>
      </c>
      <c r="C75" s="127">
        <f t="shared" ref="C75:P75" si="188">C22/C42</f>
        <v>0</v>
      </c>
      <c r="D75" s="127">
        <f t="shared" si="188"/>
        <v>0</v>
      </c>
      <c r="E75" s="127">
        <f t="shared" si="188"/>
        <v>0</v>
      </c>
      <c r="F75" s="144">
        <f t="shared" si="188"/>
        <v>0</v>
      </c>
      <c r="G75" s="144">
        <f t="shared" si="188"/>
        <v>-2.7777777777777777</v>
      </c>
      <c r="H75" s="144">
        <f t="shared" si="188"/>
        <v>-7.1428571428571432</v>
      </c>
      <c r="I75" s="144">
        <f t="shared" si="188"/>
        <v>-1.3872374157748713</v>
      </c>
      <c r="J75" s="144">
        <f t="shared" si="188"/>
        <v>1.8628616726119698</v>
      </c>
      <c r="K75" s="144">
        <f t="shared" si="188"/>
        <v>11.383399209486166</v>
      </c>
      <c r="L75" s="144">
        <f t="shared" si="188"/>
        <v>-2.1343873517786562</v>
      </c>
      <c r="M75" s="144">
        <f t="shared" si="188"/>
        <v>-3.1614305473226634</v>
      </c>
      <c r="N75" s="144">
        <f t="shared" si="188"/>
        <v>-4.8606994665085956</v>
      </c>
      <c r="O75" s="144">
        <f t="shared" si="188"/>
        <v>-5.6146572104018917</v>
      </c>
      <c r="P75" s="144">
        <f t="shared" si="188"/>
        <v>-12.192742879438159</v>
      </c>
      <c r="Q75" s="118">
        <f>((P75/G75)^(1/($H$2-$H$1) ))-1</f>
        <v>0.17863195888906414</v>
      </c>
      <c r="R75" s="128"/>
      <c r="S75" s="146">
        <f t="shared" ref="S75:AB75" si="189">S22/S42</f>
        <v>-13.388109828402687</v>
      </c>
      <c r="T75" s="146">
        <f t="shared" si="189"/>
        <v>-14.700669615500992</v>
      </c>
      <c r="U75" s="146">
        <f t="shared" si="189"/>
        <v>-16.141911734667758</v>
      </c>
      <c r="V75" s="146">
        <f t="shared" si="189"/>
        <v>-17.724452100811657</v>
      </c>
      <c r="W75" s="146">
        <f t="shared" si="189"/>
        <v>-19.462143483244173</v>
      </c>
      <c r="X75" s="146">
        <f t="shared" si="189"/>
        <v>-21.370196765915171</v>
      </c>
      <c r="Y75" s="146">
        <f t="shared" si="189"/>
        <v>-23.465314095906855</v>
      </c>
      <c r="Z75" s="146">
        <f t="shared" si="189"/>
        <v>-25.765835085701646</v>
      </c>
      <c r="AA75" s="146">
        <f t="shared" si="189"/>
        <v>-28.29189734900573</v>
      </c>
      <c r="AB75" s="146">
        <f t="shared" si="189"/>
        <v>-31.065612775378842</v>
      </c>
      <c r="AC75" s="138">
        <f t="shared" si="181"/>
        <v>0.13550368695480475</v>
      </c>
      <c r="AD75" s="31">
        <f t="shared" si="17"/>
        <v>0.05</v>
      </c>
      <c r="AE75" s="146">
        <f t="shared" si="148"/>
        <v>-250.9145647242137</v>
      </c>
    </row>
    <row r="76" spans="2:31" x14ac:dyDescent="0.2">
      <c r="B76" s="20" t="s">
        <v>296</v>
      </c>
      <c r="C76" s="127">
        <f t="shared" ref="C76:P76" si="190">C23/C42</f>
        <v>0</v>
      </c>
      <c r="D76" s="127">
        <f t="shared" si="190"/>
        <v>0</v>
      </c>
      <c r="E76" s="127">
        <f t="shared" si="190"/>
        <v>0</v>
      </c>
      <c r="F76" s="144">
        <f t="shared" si="190"/>
        <v>0</v>
      </c>
      <c r="G76" s="144">
        <f t="shared" si="190"/>
        <v>2.9523809523809526</v>
      </c>
      <c r="H76" s="144">
        <f t="shared" si="190"/>
        <v>4.6269841269841274</v>
      </c>
      <c r="I76" s="144">
        <f t="shared" si="190"/>
        <v>0.47562425683709869</v>
      </c>
      <c r="J76" s="144">
        <f t="shared" si="190"/>
        <v>0.91161315893777251</v>
      </c>
      <c r="K76" s="144">
        <f t="shared" si="190"/>
        <v>5.8695652173913038</v>
      </c>
      <c r="L76" s="144">
        <f t="shared" si="190"/>
        <v>5.0197628458498018</v>
      </c>
      <c r="M76" s="144">
        <f t="shared" si="190"/>
        <v>0.65204505038529936</v>
      </c>
      <c r="N76" s="144">
        <f t="shared" si="190"/>
        <v>1.4226437462951986</v>
      </c>
      <c r="O76" s="144">
        <f t="shared" si="190"/>
        <v>1.2214342001576044</v>
      </c>
      <c r="P76" s="144">
        <f t="shared" si="190"/>
        <v>0.99492781896215376</v>
      </c>
      <c r="Q76" s="118">
        <f>((P76/G76)^(1/($H$2-$H$1) ))-1</f>
        <v>-0.11383775659176021</v>
      </c>
      <c r="R76" s="128"/>
      <c r="S76" s="146">
        <f t="shared" ref="S76:AB76" si="191">S23/S42</f>
        <v>1.0924697619976591</v>
      </c>
      <c r="T76" s="146">
        <f t="shared" si="191"/>
        <v>1.1995746406248806</v>
      </c>
      <c r="U76" s="146">
        <f t="shared" si="191"/>
        <v>1.3171799975488889</v>
      </c>
      <c r="V76" s="146">
        <f t="shared" si="191"/>
        <v>1.4463152914262312</v>
      </c>
      <c r="W76" s="146">
        <f t="shared" si="191"/>
        <v>1.5881109082327243</v>
      </c>
      <c r="X76" s="146">
        <f t="shared" si="191"/>
        <v>1.7438080560986779</v>
      </c>
      <c r="Y76" s="146">
        <f t="shared" si="191"/>
        <v>1.9147696302259996</v>
      </c>
      <c r="Z76" s="146">
        <f t="shared" si="191"/>
        <v>2.1024921429932548</v>
      </c>
      <c r="AA76" s="146">
        <f t="shared" si="191"/>
        <v>2.3086188236788678</v>
      </c>
      <c r="AB76" s="146">
        <f t="shared" si="191"/>
        <v>2.5349540024709141</v>
      </c>
      <c r="AC76" s="138">
        <f t="shared" ref="AC76" si="192">((AB76/G76)^(1/($AB$3-$H$1) ))-1</f>
        <v>-7.9908732017833772E-3</v>
      </c>
      <c r="AD76" s="31">
        <f t="shared" si="17"/>
        <v>0.05</v>
      </c>
      <c r="AE76" s="146">
        <f t="shared" si="148"/>
        <v>20.474628481495845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193">C36/C42</f>
        <v>0</v>
      </c>
      <c r="D78" s="144">
        <f t="shared" si="193"/>
        <v>0</v>
      </c>
      <c r="E78" s="144">
        <f t="shared" si="193"/>
        <v>0</v>
      </c>
      <c r="F78" s="144">
        <f t="shared" si="193"/>
        <v>0</v>
      </c>
      <c r="G78" s="144">
        <f t="shared" si="193"/>
        <v>42.857142857142854</v>
      </c>
      <c r="H78" s="144">
        <f t="shared" si="193"/>
        <v>50.793650793650791</v>
      </c>
      <c r="I78" s="144">
        <f t="shared" si="193"/>
        <v>5.7471264367816088</v>
      </c>
      <c r="J78" s="144">
        <f t="shared" si="193"/>
        <v>6.8172810146650811</v>
      </c>
      <c r="K78" s="144">
        <f t="shared" si="193"/>
        <v>9.920948616600791</v>
      </c>
      <c r="L78" s="144">
        <f t="shared" si="193"/>
        <v>9.5652173913043477</v>
      </c>
      <c r="M78" s="144">
        <f t="shared" si="193"/>
        <v>7.864058486465126</v>
      </c>
      <c r="N78" s="144">
        <f t="shared" si="193"/>
        <v>9.1681485872357236</v>
      </c>
      <c r="O78" s="144">
        <f t="shared" si="193"/>
        <v>9.7320724980299449</v>
      </c>
      <c r="P78" s="144">
        <f t="shared" si="193"/>
        <v>11.685524775653532</v>
      </c>
      <c r="Q78" s="118">
        <f>((P78/G78)^(1/($H$2-$H$1) ))-1</f>
        <v>-0.13445098333990746</v>
      </c>
      <c r="R78" s="128"/>
      <c r="S78" s="144">
        <f t="shared" ref="S78:AB78" si="194">S36/S42</f>
        <v>12.831164459541135</v>
      </c>
      <c r="T78" s="144">
        <f t="shared" si="194"/>
        <v>14.08912175949615</v>
      </c>
      <c r="U78" s="144">
        <f t="shared" si="194"/>
        <v>15.470408206505576</v>
      </c>
      <c r="V78" s="144">
        <f t="shared" si="194"/>
        <v>16.987114893417889</v>
      </c>
      <c r="W78" s="144">
        <f t="shared" si="194"/>
        <v>18.652518314341215</v>
      </c>
      <c r="X78" s="144">
        <f t="shared" si="194"/>
        <v>20.481196580453101</v>
      </c>
      <c r="Y78" s="144">
        <f t="shared" si="194"/>
        <v>22.489157029517134</v>
      </c>
      <c r="Z78" s="144">
        <f t="shared" si="194"/>
        <v>24.693976346136463</v>
      </c>
      <c r="AA78" s="144">
        <f t="shared" si="194"/>
        <v>27.114954419287098</v>
      </c>
      <c r="AB78" s="144">
        <f t="shared" si="194"/>
        <v>29.773283283923092</v>
      </c>
      <c r="AC78" s="138">
        <f t="shared" ref="AC78:AC80" si="195">((AB78/G78)^(1/($AB$3-$H$1) ))-1</f>
        <v>-1.8989017870419844E-2</v>
      </c>
      <c r="AD78" s="31">
        <f t="shared" si="17"/>
        <v>0.05</v>
      </c>
      <c r="AE78" s="146">
        <f t="shared" si="148"/>
        <v>240.47651883168652</v>
      </c>
    </row>
    <row r="79" spans="2:31" x14ac:dyDescent="0.2">
      <c r="B79" s="20" t="s">
        <v>312</v>
      </c>
      <c r="C79" s="144">
        <f t="shared" ref="C79:P79" si="196">C40/C42</f>
        <v>0</v>
      </c>
      <c r="D79" s="144">
        <f t="shared" si="196"/>
        <v>0</v>
      </c>
      <c r="E79" s="144">
        <f t="shared" si="196"/>
        <v>0</v>
      </c>
      <c r="F79" s="144">
        <f t="shared" si="196"/>
        <v>0</v>
      </c>
      <c r="G79" s="144">
        <f t="shared" si="196"/>
        <v>24.206349206349206</v>
      </c>
      <c r="H79" s="144">
        <f t="shared" si="196"/>
        <v>28.571428571428573</v>
      </c>
      <c r="I79" s="144">
        <f t="shared" si="196"/>
        <v>3.4086405073325405</v>
      </c>
      <c r="J79" s="144">
        <f t="shared" si="196"/>
        <v>4.3995243757431632</v>
      </c>
      <c r="K79" s="144">
        <f t="shared" si="196"/>
        <v>6.7588932806324111</v>
      </c>
      <c r="L79" s="144">
        <f t="shared" si="196"/>
        <v>4.3478260869565215</v>
      </c>
      <c r="M79" s="144">
        <f t="shared" si="196"/>
        <v>5.4337087532108281</v>
      </c>
      <c r="N79" s="144">
        <f t="shared" si="196"/>
        <v>6.0857538035961269</v>
      </c>
      <c r="O79" s="144">
        <f t="shared" si="196"/>
        <v>6.3435776201733649</v>
      </c>
      <c r="P79" s="144">
        <f t="shared" si="196"/>
        <v>8.2130316035895436</v>
      </c>
      <c r="Q79" s="118">
        <f>((P79/G79)^(1/($H$2-$H$1) ))-1</f>
        <v>-0.11316754634371717</v>
      </c>
      <c r="R79" s="128"/>
      <c r="S79" s="144">
        <f t="shared" ref="S79:AB79" si="197">S40/S42</f>
        <v>9.0182307804120487</v>
      </c>
      <c r="T79" s="144">
        <f t="shared" si="197"/>
        <v>9.9023710530014668</v>
      </c>
      <c r="U79" s="144">
        <f t="shared" si="197"/>
        <v>10.8731917444722</v>
      </c>
      <c r="V79" s="144">
        <f t="shared" si="197"/>
        <v>11.93919093510673</v>
      </c>
      <c r="W79" s="144">
        <f t="shared" si="197"/>
        <v>13.109699850313271</v>
      </c>
      <c r="X79" s="144">
        <f t="shared" si="197"/>
        <v>14.394964541520457</v>
      </c>
      <c r="Y79" s="144">
        <f t="shared" si="197"/>
        <v>15.806235575002855</v>
      </c>
      <c r="Z79" s="144">
        <f t="shared" si="197"/>
        <v>17.355866513728628</v>
      </c>
      <c r="AA79" s="144">
        <f t="shared" si="197"/>
        <v>19.057422054290257</v>
      </c>
      <c r="AB79" s="144">
        <f t="shared" si="197"/>
        <v>20.925796765495186</v>
      </c>
      <c r="AC79" s="138">
        <f t="shared" si="195"/>
        <v>-7.6355562020781198E-3</v>
      </c>
      <c r="AD79" s="31">
        <f t="shared" si="17"/>
        <v>0.05</v>
      </c>
      <c r="AE79" s="146">
        <f t="shared" si="148"/>
        <v>169.01605079823034</v>
      </c>
    </row>
    <row r="80" spans="2:31" x14ac:dyDescent="0.2">
      <c r="B80" s="20" t="s">
        <v>313</v>
      </c>
      <c r="C80" s="144">
        <f t="shared" ref="C80:P80" si="198">C6/C42</f>
        <v>0</v>
      </c>
      <c r="D80" s="144">
        <f t="shared" si="198"/>
        <v>0</v>
      </c>
      <c r="E80" s="144">
        <f t="shared" si="198"/>
        <v>0</v>
      </c>
      <c r="F80" s="144">
        <f t="shared" si="198"/>
        <v>0</v>
      </c>
      <c r="G80" s="144">
        <f t="shared" si="198"/>
        <v>114.68253968253968</v>
      </c>
      <c r="H80" s="144">
        <f t="shared" si="198"/>
        <v>133.33333333333334</v>
      </c>
      <c r="I80" s="144">
        <f t="shared" si="198"/>
        <v>15.378517637732857</v>
      </c>
      <c r="J80" s="144">
        <f t="shared" si="198"/>
        <v>18.034086405073324</v>
      </c>
      <c r="K80" s="144">
        <f t="shared" si="198"/>
        <v>23.359683794466402</v>
      </c>
      <c r="L80" s="144">
        <f t="shared" si="198"/>
        <v>26.442687747035574</v>
      </c>
      <c r="M80" s="144">
        <f t="shared" si="198"/>
        <v>16.222090495949416</v>
      </c>
      <c r="N80" s="144">
        <f t="shared" si="198"/>
        <v>20.430744912072711</v>
      </c>
      <c r="O80" s="144">
        <f t="shared" si="198"/>
        <v>25.118203309692671</v>
      </c>
      <c r="P80" s="144">
        <f t="shared" si="198"/>
        <v>31.213421771361688</v>
      </c>
      <c r="Q80" s="118">
        <f>((P80/G80)^(1/($H$2-$H$1) ))-1</f>
        <v>-0.1346238980347757</v>
      </c>
      <c r="R80" s="128"/>
      <c r="S80" s="144">
        <f t="shared" ref="S80:AB80" si="199">S6/S42</f>
        <v>34.273561160710877</v>
      </c>
      <c r="T80" s="144">
        <f t="shared" si="199"/>
        <v>37.633714215682538</v>
      </c>
      <c r="U80" s="144">
        <f t="shared" si="199"/>
        <v>41.323294040749452</v>
      </c>
      <c r="V80" s="144">
        <f t="shared" si="199"/>
        <v>45.374597378077837</v>
      </c>
      <c r="W80" s="144">
        <f t="shared" si="199"/>
        <v>49.823087317105077</v>
      </c>
      <c r="X80" s="144">
        <f t="shared" si="199"/>
        <v>54.707703720742828</v>
      </c>
      <c r="Y80" s="144">
        <f t="shared" si="199"/>
        <v>60.071204085521536</v>
      </c>
      <c r="Z80" s="144">
        <f t="shared" si="199"/>
        <v>65.960537819396194</v>
      </c>
      <c r="AA80" s="144">
        <f t="shared" si="199"/>
        <v>72.427257213454652</v>
      </c>
      <c r="AB80" s="144">
        <f t="shared" si="199"/>
        <v>79.527968704969837</v>
      </c>
      <c r="AC80" s="138">
        <f t="shared" si="195"/>
        <v>-1.9081855885524024E-2</v>
      </c>
      <c r="AD80" s="31">
        <f t="shared" ref="AD80" si="200">$L$1</f>
        <v>0.05</v>
      </c>
      <c r="AE80" s="146">
        <f t="shared" si="148"/>
        <v>642.34128569398717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>E36/E25</f>
        <v>#DIV/0!</v>
      </c>
      <c r="F84" s="152" t="e">
        <f>F36/F25</f>
        <v>#DIV/0!</v>
      </c>
      <c r="G84" s="152">
        <f>G36/G25</f>
        <v>0.16</v>
      </c>
      <c r="H84" s="152">
        <f>H36/H25</f>
        <v>0.16473616473616473</v>
      </c>
      <c r="I84" s="152">
        <f>I36/I25</f>
        <v>0.15279241306638566</v>
      </c>
      <c r="J84" s="152">
        <f>J36/J25</f>
        <v>0.13333333333333333</v>
      </c>
      <c r="K84" s="152">
        <f>K36/K25</f>
        <v>0.14204867006225241</v>
      </c>
      <c r="L84" s="152">
        <f>L36/L25</f>
        <v>0.12234580384226491</v>
      </c>
      <c r="M84" s="152">
        <f>M36/M25</f>
        <v>0.17712505562972852</v>
      </c>
      <c r="N84" s="152">
        <f>N36/N25</f>
        <v>0.16885007278020378</v>
      </c>
      <c r="O84" s="152">
        <f>O36/O25</f>
        <v>0.15466499686912963</v>
      </c>
      <c r="P84" s="152">
        <f>P36/P25</f>
        <v>0.15754865860073644</v>
      </c>
      <c r="Q84" s="118">
        <f t="shared" ref="Q84:Q134" si="201">((P84/G84)^(1/($H$2-$H$1) ))-1</f>
        <v>-1.7140250655216516E-3</v>
      </c>
      <c r="R84" s="152"/>
      <c r="S84" s="152">
        <f>S36/S25</f>
        <v>0.15754865860073644</v>
      </c>
      <c r="T84" s="152">
        <f>T36/T25</f>
        <v>0.15754865860073647</v>
      </c>
      <c r="U84" s="152">
        <f>U36/U25</f>
        <v>0.15754865860073647</v>
      </c>
      <c r="V84" s="152">
        <f>V36/V25</f>
        <v>0.15754865860073647</v>
      </c>
      <c r="W84" s="152">
        <f>W36/W25</f>
        <v>0.1575486586007365</v>
      </c>
      <c r="X84" s="152">
        <f>X36/X25</f>
        <v>0.1575486586007365</v>
      </c>
      <c r="Y84" s="152">
        <f>Y36/Y25</f>
        <v>0.1575486586007365</v>
      </c>
      <c r="Z84" s="152">
        <f>Z36/Z25</f>
        <v>0.1575486586007365</v>
      </c>
      <c r="AA84" s="152">
        <f>AA36/AA25</f>
        <v>0.1575486586007365</v>
      </c>
      <c r="AB84" s="152">
        <f>AB36/AB25</f>
        <v>0.1575486586007365</v>
      </c>
      <c r="AC84" s="138">
        <f t="shared" ref="AC84:AC121" si="202">((AB84/G84)^(1/($AB$3-$H$1) ))-1</f>
        <v>-8.1227314765819347E-4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>E40/E25</f>
        <v>#DIV/0!</v>
      </c>
      <c r="F85" s="152" t="e">
        <f>F40/F25</f>
        <v>#DIV/0!</v>
      </c>
      <c r="G85" s="152">
        <f>G40/G25</f>
        <v>9.0370370370370365E-2</v>
      </c>
      <c r="H85" s="152">
        <f>H40/H25</f>
        <v>9.2664092664092659E-2</v>
      </c>
      <c r="I85" s="152">
        <f>I40/I25</f>
        <v>9.0621707060063228E-2</v>
      </c>
      <c r="J85" s="152">
        <f>J40/J25</f>
        <v>8.6046511627906982E-2</v>
      </c>
      <c r="K85" s="152">
        <f>K40/K25</f>
        <v>9.6774193548387094E-2</v>
      </c>
      <c r="L85" s="152">
        <f>L40/L25</f>
        <v>5.5611729019211326E-2</v>
      </c>
      <c r="M85" s="152">
        <f>M40/M25</f>
        <v>0.12238540275923454</v>
      </c>
      <c r="N85" s="152">
        <f>N40/N25</f>
        <v>0.11208151382823872</v>
      </c>
      <c r="O85" s="152">
        <f>O40/O25</f>
        <v>0.1008140262993112</v>
      </c>
      <c r="P85" s="152">
        <f>P40/P25</f>
        <v>0.11073119410836402</v>
      </c>
      <c r="Q85" s="118">
        <f t="shared" si="201"/>
        <v>2.2833350349084292E-2</v>
      </c>
      <c r="R85" s="152"/>
      <c r="S85" s="152">
        <f>S40/S25</f>
        <v>0.110731194108364</v>
      </c>
      <c r="T85" s="152">
        <f>T40/T25</f>
        <v>0.11073119410836402</v>
      </c>
      <c r="U85" s="152">
        <f>U40/U25</f>
        <v>0.11073119410836402</v>
      </c>
      <c r="V85" s="152">
        <f>V40/V25</f>
        <v>0.11073119410836402</v>
      </c>
      <c r="W85" s="152">
        <f>W40/W25</f>
        <v>0.11073119410836402</v>
      </c>
      <c r="X85" s="152">
        <f>X40/X25</f>
        <v>0.11073119410836403</v>
      </c>
      <c r="Y85" s="152">
        <f>Y40/Y25</f>
        <v>0.11073119410836402</v>
      </c>
      <c r="Z85" s="152">
        <f>Z40/Z25</f>
        <v>0.11073119410836403</v>
      </c>
      <c r="AA85" s="152">
        <f>AA40/AA25</f>
        <v>0.11073119410836402</v>
      </c>
      <c r="AB85" s="152">
        <f>AB40/AB25</f>
        <v>0.11073119410836402</v>
      </c>
      <c r="AC85" s="138">
        <f t="shared" si="202"/>
        <v>1.075155209277856E-2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>E40/E7</f>
        <v>#DIV/0!</v>
      </c>
      <c r="F86" s="152" t="e">
        <f>F40/F7</f>
        <v>#DIV/0!</v>
      </c>
      <c r="G86" s="152">
        <f>G40/G7</f>
        <v>0.19365079365079366</v>
      </c>
      <c r="H86" s="152">
        <f>H40/H7</f>
        <v>0.1994459833795014</v>
      </c>
      <c r="I86" s="152">
        <f>I40/I7</f>
        <v>0.20823244552058112</v>
      </c>
      <c r="J86" s="152">
        <f>J40/J7</f>
        <v>0.23125000000000001</v>
      </c>
      <c r="K86" s="152">
        <f>K40/K7</f>
        <v>0.27580645161290324</v>
      </c>
      <c r="L86" s="152">
        <f>L40/L7</f>
        <v>0.17350157728706625</v>
      </c>
      <c r="M86" s="152">
        <f>M40/M7</f>
        <v>0.31536697247706424</v>
      </c>
      <c r="N86" s="152">
        <f>N40/N7</f>
        <v>0.28413284132841327</v>
      </c>
      <c r="O86" s="152">
        <f>O40/O7</f>
        <v>0.24283559577677225</v>
      </c>
      <c r="P86" s="152">
        <f>P40/P7</f>
        <v>0.25499697153240458</v>
      </c>
      <c r="Q86" s="118">
        <f t="shared" si="201"/>
        <v>3.1049525744297979E-2</v>
      </c>
      <c r="R86" s="20"/>
      <c r="S86" s="152">
        <f>S40/S7</f>
        <v>0.25499697153240458</v>
      </c>
      <c r="T86" s="152">
        <f>T40/T7</f>
        <v>0.25499697153240458</v>
      </c>
      <c r="U86" s="152">
        <f>U40/U7</f>
        <v>0.25499697153240458</v>
      </c>
      <c r="V86" s="152">
        <f>V40/V7</f>
        <v>0.25499697153240458</v>
      </c>
      <c r="W86" s="152">
        <f>W40/W7</f>
        <v>0.25499697153240458</v>
      </c>
      <c r="X86" s="152">
        <f>X40/X7</f>
        <v>0.25499697153240458</v>
      </c>
      <c r="Y86" s="152">
        <f>Y40/Y7</f>
        <v>0.25499697153240458</v>
      </c>
      <c r="Z86" s="152">
        <f>Z40/Z7</f>
        <v>0.25499697153240464</v>
      </c>
      <c r="AA86" s="152">
        <f>AA40/AA7</f>
        <v>0.25499697153240458</v>
      </c>
      <c r="AB86" s="152">
        <f>AB40/AB7</f>
        <v>0.25499697153240458</v>
      </c>
      <c r="AC86" s="138">
        <f t="shared" si="202"/>
        <v>1.4589356771313566E-2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>(E40)/(E7+E10)</f>
        <v>#DIV/0!</v>
      </c>
      <c r="F87" s="152" t="e">
        <f>(F40)/(F7+F10)</f>
        <v>#DIV/0!</v>
      </c>
      <c r="G87" s="152">
        <f>(G40)/(G7+G10)</f>
        <v>0.16442048517520216</v>
      </c>
      <c r="H87" s="152">
        <f>(H40)/(H7+H10)</f>
        <v>0.1702127659574468</v>
      </c>
      <c r="I87" s="152">
        <f>(I40)/(I7+I10)</f>
        <v>0.18336886993603413</v>
      </c>
      <c r="J87" s="152">
        <f>(J40)/(J7+J10)</f>
        <v>0.17760000000000001</v>
      </c>
      <c r="K87" s="152">
        <f>(K40)/(K7+K10)</f>
        <v>0.14921465968586387</v>
      </c>
      <c r="L87" s="152">
        <f>(L40)/(L7+L10)</f>
        <v>8.8495575221238937E-2</v>
      </c>
      <c r="M87" s="152">
        <f>(M40)/(M7+M10)</f>
        <v>0.20522388059701493</v>
      </c>
      <c r="N87" s="152">
        <f>(N40)/(N7+N10)</f>
        <v>0.21705426356589147</v>
      </c>
      <c r="O87" s="152">
        <f>(O40)/(O7+O10)</f>
        <v>0.21845318860244234</v>
      </c>
      <c r="P87" s="152">
        <f>(P40)/(P7+P10)</f>
        <v>0.24735605170387778</v>
      </c>
      <c r="Q87" s="118">
        <f t="shared" si="201"/>
        <v>4.6423300970962478E-2</v>
      </c>
      <c r="R87" s="20"/>
      <c r="S87" s="152">
        <f>(S40)/(S7+S10)</f>
        <v>0.24735605170387778</v>
      </c>
      <c r="T87" s="152">
        <f>(T40)/(T7+T10)</f>
        <v>0.24735605170387778</v>
      </c>
      <c r="U87" s="152">
        <f>(U40)/(U7+U10)</f>
        <v>0.24735605170387778</v>
      </c>
      <c r="V87" s="152">
        <f>(V40)/(V7+V10)</f>
        <v>0.24735605170387776</v>
      </c>
      <c r="W87" s="152">
        <f>(W40)/(W7+W10)</f>
        <v>0.24735605170387776</v>
      </c>
      <c r="X87" s="152">
        <f>(X40)/(X7+X10)</f>
        <v>0.24735605170387778</v>
      </c>
      <c r="Y87" s="152">
        <f>(Y40)/(Y7+Y10)</f>
        <v>0.24735605170387778</v>
      </c>
      <c r="Z87" s="152">
        <f>(Z40)/(Z7+Z10)</f>
        <v>0.24735605170387781</v>
      </c>
      <c r="AA87" s="152">
        <f>(AA40)/(AA7+AA10)</f>
        <v>0.24735605170387778</v>
      </c>
      <c r="AB87" s="152">
        <f>(AB40)/(AB7+AB10)</f>
        <v>0.24735605170387776</v>
      </c>
      <c r="AC87" s="138">
        <f t="shared" si="202"/>
        <v>2.1727505464175456E-2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7.1111111111111111E-2</v>
      </c>
      <c r="H88" s="152">
        <f>H20/H25</f>
        <v>0.11840411840411841</v>
      </c>
      <c r="I88" s="152">
        <f>I20/I25</f>
        <v>0.11801896733403583</v>
      </c>
      <c r="J88" s="152">
        <f>J20/J25</f>
        <v>6.899224806201551E-2</v>
      </c>
      <c r="K88" s="152">
        <f>K20/K25</f>
        <v>7.2439162422184497E-2</v>
      </c>
      <c r="L88" s="152">
        <f>L20/L25</f>
        <v>0.13144590495449948</v>
      </c>
      <c r="M88" s="152">
        <f>M20/M25</f>
        <v>0.1833555852247441</v>
      </c>
      <c r="N88" s="152">
        <f>N20/N25</f>
        <v>0.11717612809315867</v>
      </c>
      <c r="O88" s="152">
        <f>O20/O25</f>
        <v>0.15873512836568565</v>
      </c>
      <c r="P88" s="152">
        <f>P20/P25</f>
        <v>0.13492898474487111</v>
      </c>
      <c r="Q88" s="118">
        <f t="shared" si="201"/>
        <v>7.376076776693874E-2</v>
      </c>
      <c r="R88" s="20"/>
      <c r="S88" s="152">
        <f>S20/S25</f>
        <v>0.13492898474487111</v>
      </c>
      <c r="T88" s="152">
        <f>T20/T25</f>
        <v>0.13492898474487111</v>
      </c>
      <c r="U88" s="152">
        <f>U20/U25</f>
        <v>0.13492898474487114</v>
      </c>
      <c r="V88" s="152">
        <f>V20/V25</f>
        <v>0.13492898474487114</v>
      </c>
      <c r="W88" s="152">
        <f>W20/W25</f>
        <v>0.13492898474487117</v>
      </c>
      <c r="X88" s="152">
        <f>X20/X25</f>
        <v>0.13492898474487117</v>
      </c>
      <c r="Y88" s="152">
        <f>Y20/Y25</f>
        <v>0.13492898474487114</v>
      </c>
      <c r="Z88" s="152">
        <f>Z20/Z25</f>
        <v>0.13492898474487114</v>
      </c>
      <c r="AA88" s="152">
        <f>AA20/AA25</f>
        <v>0.13492898474487114</v>
      </c>
      <c r="AB88" s="152">
        <f>AB20/AB25</f>
        <v>0.13492898474487114</v>
      </c>
      <c r="AC88" s="138">
        <f t="shared" si="202"/>
        <v>3.4285437346666559E-2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1.4814814814814815E-6</v>
      </c>
      <c r="H90" s="152">
        <f>H29/H25</f>
        <v>5.1480051480051478E-3</v>
      </c>
      <c r="I90" s="152">
        <f>I29/I25</f>
        <v>4.0042149631190722E-3</v>
      </c>
      <c r="J90" s="152">
        <f>J29/J25</f>
        <v>7.4341085271317827E-3</v>
      </c>
      <c r="K90" s="152">
        <f>K29/K25</f>
        <v>1.3582342954159592E-2</v>
      </c>
      <c r="L90" s="152">
        <f>L29/L25</f>
        <v>2.2244691607684528E-2</v>
      </c>
      <c r="M90" s="152">
        <f>M29/M25</f>
        <v>1.6911437472185136E-2</v>
      </c>
      <c r="N90" s="152">
        <f>N29/N25</f>
        <v>1.3100436681222707E-2</v>
      </c>
      <c r="O90" s="152">
        <f>O29/O25</f>
        <v>9.7056981840951788E-3</v>
      </c>
      <c r="P90" s="152">
        <f>P29/P25</f>
        <v>5.7864281956864806E-3</v>
      </c>
      <c r="Q90" s="118">
        <f t="shared" si="201"/>
        <v>1.5065673089708351</v>
      </c>
      <c r="R90" s="20"/>
      <c r="S90" s="152">
        <f>S29/S25</f>
        <v>5.7864281956864798E-3</v>
      </c>
      <c r="T90" s="152">
        <f>T29/T25</f>
        <v>5.7864281956864806E-3</v>
      </c>
      <c r="U90" s="152">
        <f>U29/U25</f>
        <v>5.7864281956864806E-3</v>
      </c>
      <c r="V90" s="152">
        <f>V29/V25</f>
        <v>5.7864281956864806E-3</v>
      </c>
      <c r="W90" s="152">
        <f>W29/W25</f>
        <v>5.7864281956864806E-3</v>
      </c>
      <c r="X90" s="152">
        <f>X29/X25</f>
        <v>5.7864281956864806E-3</v>
      </c>
      <c r="Y90" s="152">
        <f>Y29/Y25</f>
        <v>5.7864281956864806E-3</v>
      </c>
      <c r="Z90" s="152">
        <f>Z29/Z25</f>
        <v>5.7864281956864806E-3</v>
      </c>
      <c r="AA90" s="152">
        <f>AA29/AA25</f>
        <v>5.7864281956864806E-3</v>
      </c>
      <c r="AB90" s="152">
        <f>AB29/AB25</f>
        <v>5.7864281956864806E-3</v>
      </c>
      <c r="AC90" s="138">
        <f t="shared" si="202"/>
        <v>0.54538821810523541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9.2592592592592591E-6</v>
      </c>
      <c r="H91" s="152">
        <f>H29/H36</f>
        <v>3.125E-2</v>
      </c>
      <c r="I91" s="152">
        <f>I29/I36</f>
        <v>2.6206896551724135E-2</v>
      </c>
      <c r="J91" s="152">
        <f>J29/J36</f>
        <v>5.5755813953488373E-2</v>
      </c>
      <c r="K91" s="152">
        <f>K29/K36</f>
        <v>9.5617529880478086E-2</v>
      </c>
      <c r="L91" s="152">
        <f>L29/L36</f>
        <v>0.18181818181818182</v>
      </c>
      <c r="M91" s="152">
        <f>M29/M36</f>
        <v>9.5477386934673364E-2</v>
      </c>
      <c r="N91" s="152">
        <f>N29/N36</f>
        <v>7.7586206896551727E-2</v>
      </c>
      <c r="O91" s="152">
        <f>O29/O36</f>
        <v>6.2753036437246959E-2</v>
      </c>
      <c r="P91" s="152">
        <f>P29/P36</f>
        <v>3.6727879799666109E-2</v>
      </c>
      <c r="Q91" s="118">
        <f t="shared" ref="Q91" si="203">((P91/G91)^(1/($H$2-$H$1) ))-1</f>
        <v>1.5108710048093696</v>
      </c>
      <c r="R91" s="20"/>
      <c r="S91" s="152">
        <f>S29/S36</f>
        <v>3.6727879799666102E-2</v>
      </c>
      <c r="T91" s="152">
        <f>T29/T36</f>
        <v>3.6727879799666102E-2</v>
      </c>
      <c r="U91" s="152">
        <f>U29/U36</f>
        <v>3.6727879799666109E-2</v>
      </c>
      <c r="V91" s="152">
        <f>V29/V36</f>
        <v>3.6727879799666102E-2</v>
      </c>
      <c r="W91" s="152">
        <f>W29/W36</f>
        <v>3.6727879799666102E-2</v>
      </c>
      <c r="X91" s="152">
        <f>X29/X36</f>
        <v>3.6727879799666102E-2</v>
      </c>
      <c r="Y91" s="152">
        <f>Y29/Y36</f>
        <v>3.6727879799666102E-2</v>
      </c>
      <c r="Z91" s="152">
        <f>Z29/Z36</f>
        <v>3.6727879799666095E-2</v>
      </c>
      <c r="AA91" s="152">
        <f>AA29/AA36</f>
        <v>3.6727879799666095E-2</v>
      </c>
      <c r="AB91" s="152">
        <f>AB29/AB36</f>
        <v>3.6727879799666095E-2</v>
      </c>
      <c r="AC91" s="138">
        <f t="shared" ref="AC91" si="204">((AB91/G91)^(1/($AB$3-$H$1) ))-1</f>
        <v>0.54664451591448548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>G29/G40</f>
        <v>1.6393442622950821E-5</v>
      </c>
      <c r="H92" s="171">
        <f>H29/H40</f>
        <v>5.5555555555555552E-2</v>
      </c>
      <c r="I92" s="171">
        <f>I29/I40</f>
        <v>4.4186046511627906E-2</v>
      </c>
      <c r="J92" s="171">
        <f>J29/J40</f>
        <v>8.6396396396396388E-2</v>
      </c>
      <c r="K92" s="171">
        <f>K29/K40</f>
        <v>0.14035087719298245</v>
      </c>
      <c r="L92" s="171">
        <f>L29/L40</f>
        <v>0.4</v>
      </c>
      <c r="M92" s="171">
        <f>M29/M40</f>
        <v>0.13818181818181818</v>
      </c>
      <c r="N92" s="171">
        <f>N29/N40</f>
        <v>0.11688311688311688</v>
      </c>
      <c r="O92" s="171">
        <f>O29/O40</f>
        <v>9.627329192546584E-2</v>
      </c>
      <c r="P92" s="171">
        <f>P29/P40</f>
        <v>5.2256532066508314E-2</v>
      </c>
      <c r="Q92" s="118">
        <f t="shared" ref="Q92" si="205">((P92/G92)^(1/($H$2-$H$1) ))-1</f>
        <v>1.4506116349406915</v>
      </c>
      <c r="R92" s="20"/>
      <c r="S92" s="171">
        <f>S29/S40</f>
        <v>5.2256532066508307E-2</v>
      </c>
      <c r="T92" s="171">
        <f>T29/T40</f>
        <v>5.2256532066508307E-2</v>
      </c>
      <c r="U92" s="171">
        <f>U29/U40</f>
        <v>5.2256532066508314E-2</v>
      </c>
      <c r="V92" s="171">
        <f>V29/V40</f>
        <v>5.2256532066508314E-2</v>
      </c>
      <c r="W92" s="171">
        <f>W29/W40</f>
        <v>5.2256532066508314E-2</v>
      </c>
      <c r="X92" s="171">
        <f>X29/X40</f>
        <v>5.2256532066508307E-2</v>
      </c>
      <c r="Y92" s="171">
        <f>Y29/Y40</f>
        <v>5.2256532066508314E-2</v>
      </c>
      <c r="Z92" s="171">
        <f>Z29/Z40</f>
        <v>5.2256532066508307E-2</v>
      </c>
      <c r="AA92" s="171">
        <f>AA29/AA40</f>
        <v>5.2256532066508314E-2</v>
      </c>
      <c r="AB92" s="171">
        <f>AB29/AB40</f>
        <v>5.2256532066508314E-2</v>
      </c>
      <c r="AC92" s="138">
        <f t="shared" ref="AC92" si="206">((AB92/G92)^(1/($AB$3-$H$1) ))-1</f>
        <v>0.52894963644179693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>G29/G12</f>
        <v>1.3333333333333334E-4</v>
      </c>
      <c r="H93" s="171">
        <f>H29/H12</f>
        <v>0.2857142857142857</v>
      </c>
      <c r="I93" s="171">
        <f>I29/I12</f>
        <v>0.23749999999999999</v>
      </c>
      <c r="J93" s="171">
        <f>J29/J12</f>
        <v>0.25236842105263158</v>
      </c>
      <c r="K93" s="171">
        <f>K29/K12</f>
        <v>0.13953488372093023</v>
      </c>
      <c r="L93" s="171">
        <f>L29/L12</f>
        <v>0.27672955974842767</v>
      </c>
      <c r="M93" s="171">
        <f>M29/M12</f>
        <v>0.84444444444444444</v>
      </c>
      <c r="N93" s="171">
        <f>N29/N12</f>
        <v>0.34951456310679613</v>
      </c>
      <c r="O93" s="171">
        <f>O29/O12</f>
        <v>0.11355311355311355</v>
      </c>
      <c r="P93" s="171">
        <f>P29/P12</f>
        <v>0.14569536423841059</v>
      </c>
      <c r="Q93" s="118">
        <f t="shared" si="201"/>
        <v>1.1757645103379764</v>
      </c>
      <c r="R93" s="20"/>
      <c r="S93" s="152">
        <f>S29/S12</f>
        <v>0.14569536423841059</v>
      </c>
      <c r="T93" s="152">
        <f>T29/T12</f>
        <v>0.14569536423841059</v>
      </c>
      <c r="U93" s="152">
        <f>U29/U12</f>
        <v>0.14569536423841059</v>
      </c>
      <c r="V93" s="152">
        <f>V29/V12</f>
        <v>0.14569536423841059</v>
      </c>
      <c r="W93" s="152">
        <f>W29/W12</f>
        <v>0.14569536423841059</v>
      </c>
      <c r="X93" s="152">
        <f>X29/X12</f>
        <v>0.14569536423841059</v>
      </c>
      <c r="Y93" s="152">
        <f>Y29/Y12</f>
        <v>0.14569536423841059</v>
      </c>
      <c r="Z93" s="152">
        <f>Z29/Z12</f>
        <v>0.14569536423841059</v>
      </c>
      <c r="AA93" s="152">
        <f>AA29/AA12</f>
        <v>0.14569536423841059</v>
      </c>
      <c r="AB93" s="152">
        <f>AB29/AB12</f>
        <v>0.14569536423841059</v>
      </c>
      <c r="AC93" s="138">
        <f t="shared" si="202"/>
        <v>0.44517826363531077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>
        <f>G29/G23</f>
        <v>1.3440860215053763E-4</v>
      </c>
      <c r="H94" s="171">
        <f>H29/H23</f>
        <v>0.34305317324185247</v>
      </c>
      <c r="I94" s="171">
        <f>I29/I23</f>
        <v>0.31666666666666665</v>
      </c>
      <c r="J94" s="171">
        <f>J29/J23</f>
        <v>0.41695652173913045</v>
      </c>
      <c r="K94" s="171">
        <f>K29/K23</f>
        <v>0.16161616161616163</v>
      </c>
      <c r="L94" s="171">
        <f>L29/L23</f>
        <v>0.34645669291338582</v>
      </c>
      <c r="M94" s="171">
        <f>M29/M23</f>
        <v>1.1515151515151516</v>
      </c>
      <c r="N94" s="171">
        <f>N29/N23</f>
        <v>0.5</v>
      </c>
      <c r="O94" s="171">
        <f>O29/O23</f>
        <v>0.5</v>
      </c>
      <c r="P94" s="171">
        <f>P29/P23</f>
        <v>0.43137254901960786</v>
      </c>
      <c r="Q94" s="118">
        <f t="shared" ref="Q94" si="207">((P94/G94)^(1/($H$2-$H$1) ))-1</f>
        <v>1.4524650484029871</v>
      </c>
      <c r="R94" s="20"/>
      <c r="S94" s="171">
        <f>S29/S23</f>
        <v>0.43137254901960781</v>
      </c>
      <c r="T94" s="171">
        <f>T29/T23</f>
        <v>0.43137254901960781</v>
      </c>
      <c r="U94" s="171">
        <f>U29/U23</f>
        <v>0.43137254901960781</v>
      </c>
      <c r="V94" s="171">
        <f>V29/V23</f>
        <v>0.43137254901960781</v>
      </c>
      <c r="W94" s="171">
        <f>W29/W23</f>
        <v>0.43137254901960781</v>
      </c>
      <c r="X94" s="171">
        <f>X29/X23</f>
        <v>0.43137254901960775</v>
      </c>
      <c r="Y94" s="171">
        <f>Y29/Y23</f>
        <v>0.43137254901960775</v>
      </c>
      <c r="Z94" s="171">
        <f>Z29/Z23</f>
        <v>0.43137254901960775</v>
      </c>
      <c r="AA94" s="171">
        <f>AA29/AA23</f>
        <v>0.4313725490196077</v>
      </c>
      <c r="AB94" s="171">
        <f>AB29/AB23</f>
        <v>0.43137254901960775</v>
      </c>
      <c r="AC94" s="138">
        <f t="shared" ref="AC94" si="208">((AB94/G94)^(1/($AB$3-$H$1) ))-1</f>
        <v>0.52949727434435756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402</v>
      </c>
      <c r="C96" s="152"/>
      <c r="D96" s="152"/>
      <c r="E96" s="152"/>
      <c r="F96" s="152"/>
      <c r="G96" s="127">
        <f>1/G90</f>
        <v>675000</v>
      </c>
      <c r="H96" s="127">
        <f t="shared" ref="H96:P96" si="209">1/H90</f>
        <v>194.25</v>
      </c>
      <c r="I96" s="127">
        <f t="shared" si="209"/>
        <v>249.73684210526318</v>
      </c>
      <c r="J96" s="127">
        <f t="shared" si="209"/>
        <v>134.51511991657978</v>
      </c>
      <c r="K96" s="127">
        <f t="shared" si="209"/>
        <v>73.625</v>
      </c>
      <c r="L96" s="127">
        <f t="shared" si="209"/>
        <v>44.95454545454546</v>
      </c>
      <c r="M96" s="127">
        <f t="shared" si="209"/>
        <v>59.131578947368418</v>
      </c>
      <c r="N96" s="127">
        <f t="shared" si="209"/>
        <v>76.333333333333343</v>
      </c>
      <c r="O96" s="127">
        <f t="shared" si="209"/>
        <v>103.03225806451613</v>
      </c>
      <c r="P96" s="127">
        <f t="shared" si="209"/>
        <v>172.81818181818181</v>
      </c>
      <c r="Q96" s="118">
        <f t="shared" si="201"/>
        <v>-0.60104801637639349</v>
      </c>
      <c r="R96" s="20"/>
      <c r="S96" s="127">
        <f t="shared" ref="S96:AB96" si="210">1/S90</f>
        <v>172.81818181818184</v>
      </c>
      <c r="T96" s="127">
        <f t="shared" si="210"/>
        <v>172.81818181818181</v>
      </c>
      <c r="U96" s="127">
        <f t="shared" si="210"/>
        <v>172.81818181818181</v>
      </c>
      <c r="V96" s="127">
        <f t="shared" si="210"/>
        <v>172.81818181818181</v>
      </c>
      <c r="W96" s="127">
        <f t="shared" si="210"/>
        <v>172.81818181818181</v>
      </c>
      <c r="X96" s="127">
        <f t="shared" si="210"/>
        <v>172.81818181818181</v>
      </c>
      <c r="Y96" s="127">
        <f t="shared" si="210"/>
        <v>172.81818181818181</v>
      </c>
      <c r="Z96" s="127">
        <f t="shared" si="210"/>
        <v>172.81818181818181</v>
      </c>
      <c r="AA96" s="127">
        <f t="shared" si="210"/>
        <v>172.81818181818181</v>
      </c>
      <c r="AB96" s="127">
        <f t="shared" si="210"/>
        <v>172.81818181818181</v>
      </c>
      <c r="AC96" s="138">
        <f t="shared" si="202"/>
        <v>-0.35291340500442236</v>
      </c>
      <c r="AD96" s="146"/>
      <c r="AE96" s="146"/>
    </row>
    <row r="97" spans="2:31" ht="12" customHeight="1" x14ac:dyDescent="0.2">
      <c r="B97" s="20" t="s">
        <v>403</v>
      </c>
      <c r="C97" s="152"/>
      <c r="D97" s="152"/>
      <c r="E97" s="152"/>
      <c r="F97" s="152"/>
      <c r="G97" s="127">
        <f t="shared" ref="G97:P100" si="211">1/G91</f>
        <v>108000</v>
      </c>
      <c r="H97" s="127">
        <f t="shared" si="211"/>
        <v>32</v>
      </c>
      <c r="I97" s="127">
        <f t="shared" si="211"/>
        <v>38.15789473684211</v>
      </c>
      <c r="J97" s="127">
        <f t="shared" si="211"/>
        <v>17.935349322210637</v>
      </c>
      <c r="K97" s="127">
        <f t="shared" si="211"/>
        <v>10.458333333333334</v>
      </c>
      <c r="L97" s="127">
        <f t="shared" si="211"/>
        <v>5.5</v>
      </c>
      <c r="M97" s="127">
        <f t="shared" si="211"/>
        <v>10.473684210526317</v>
      </c>
      <c r="N97" s="127">
        <f t="shared" si="211"/>
        <v>12.888888888888889</v>
      </c>
      <c r="O97" s="127">
        <f t="shared" si="211"/>
        <v>15.935483870967744</v>
      </c>
      <c r="P97" s="127">
        <f t="shared" si="211"/>
        <v>27.227272727272727</v>
      </c>
      <c r="Q97" s="118">
        <f t="shared" si="201"/>
        <v>-0.60173183007626396</v>
      </c>
      <c r="R97" s="20"/>
      <c r="S97" s="127">
        <f t="shared" ref="S97:AB97" si="212">1/S91</f>
        <v>27.227272727272734</v>
      </c>
      <c r="T97" s="127">
        <f t="shared" si="212"/>
        <v>27.227272727272734</v>
      </c>
      <c r="U97" s="127">
        <f t="shared" si="212"/>
        <v>27.227272727272727</v>
      </c>
      <c r="V97" s="127">
        <f t="shared" si="212"/>
        <v>27.227272727272734</v>
      </c>
      <c r="W97" s="127">
        <f t="shared" si="212"/>
        <v>27.227272727272734</v>
      </c>
      <c r="X97" s="127">
        <f t="shared" si="212"/>
        <v>27.227272727272734</v>
      </c>
      <c r="Y97" s="127">
        <f t="shared" si="212"/>
        <v>27.227272727272734</v>
      </c>
      <c r="Z97" s="127">
        <f t="shared" si="212"/>
        <v>27.227272727272737</v>
      </c>
      <c r="AA97" s="127">
        <f t="shared" si="212"/>
        <v>27.227272727272737</v>
      </c>
      <c r="AB97" s="127">
        <f t="shared" si="212"/>
        <v>27.227272727272737</v>
      </c>
      <c r="AC97" s="138">
        <f t="shared" si="202"/>
        <v>-0.35343901606974681</v>
      </c>
      <c r="AD97" s="146"/>
      <c r="AE97" s="146"/>
    </row>
    <row r="98" spans="2:31" ht="12" customHeight="1" x14ac:dyDescent="0.2">
      <c r="B98" s="20" t="s">
        <v>404</v>
      </c>
      <c r="C98" s="152"/>
      <c r="D98" s="152"/>
      <c r="E98" s="152"/>
      <c r="F98" s="152"/>
      <c r="G98" s="127">
        <f t="shared" si="211"/>
        <v>60999.999999999993</v>
      </c>
      <c r="H98" s="127">
        <f t="shared" si="211"/>
        <v>18</v>
      </c>
      <c r="I98" s="127">
        <f t="shared" si="211"/>
        <v>22.631578947368421</v>
      </c>
      <c r="J98" s="127">
        <f t="shared" si="211"/>
        <v>11.574556830031284</v>
      </c>
      <c r="K98" s="127">
        <f t="shared" si="211"/>
        <v>7.125</v>
      </c>
      <c r="L98" s="127">
        <f t="shared" si="211"/>
        <v>2.5</v>
      </c>
      <c r="M98" s="127">
        <f t="shared" si="211"/>
        <v>7.2368421052631575</v>
      </c>
      <c r="N98" s="127">
        <f t="shared" si="211"/>
        <v>8.5555555555555554</v>
      </c>
      <c r="O98" s="127">
        <f t="shared" si="211"/>
        <v>10.387096774193548</v>
      </c>
      <c r="P98" s="127">
        <f t="shared" si="211"/>
        <v>19.136363636363637</v>
      </c>
      <c r="Q98" s="118">
        <f t="shared" si="201"/>
        <v>-0.59193860596185344</v>
      </c>
      <c r="R98" s="20"/>
      <c r="S98" s="127">
        <f t="shared" ref="S98:AB98" si="213">1/S92</f>
        <v>19.13636363636364</v>
      </c>
      <c r="T98" s="127">
        <f t="shared" si="213"/>
        <v>19.13636363636364</v>
      </c>
      <c r="U98" s="127">
        <f t="shared" si="213"/>
        <v>19.136363636363637</v>
      </c>
      <c r="V98" s="127">
        <f t="shared" si="213"/>
        <v>19.136363636363637</v>
      </c>
      <c r="W98" s="127">
        <f t="shared" si="213"/>
        <v>19.136363636363637</v>
      </c>
      <c r="X98" s="127">
        <f t="shared" si="213"/>
        <v>19.13636363636364</v>
      </c>
      <c r="Y98" s="127">
        <f t="shared" si="213"/>
        <v>19.136363636363637</v>
      </c>
      <c r="Z98" s="127">
        <f t="shared" si="213"/>
        <v>19.13636363636364</v>
      </c>
      <c r="AA98" s="127">
        <f t="shared" si="213"/>
        <v>19.136363636363637</v>
      </c>
      <c r="AB98" s="127">
        <f t="shared" si="213"/>
        <v>19.136363636363637</v>
      </c>
      <c r="AC98" s="138">
        <f t="shared" si="202"/>
        <v>-0.34595621976978874</v>
      </c>
      <c r="AD98" s="146"/>
      <c r="AE98" s="146"/>
    </row>
    <row r="99" spans="2:31" ht="12" customHeight="1" x14ac:dyDescent="0.2">
      <c r="B99" s="20" t="s">
        <v>405</v>
      </c>
      <c r="C99" s="152"/>
      <c r="D99" s="152"/>
      <c r="E99" s="152"/>
      <c r="F99" s="152"/>
      <c r="G99" s="127">
        <f t="shared" si="211"/>
        <v>7500</v>
      </c>
      <c r="H99" s="127">
        <f t="shared" si="211"/>
        <v>3.5</v>
      </c>
      <c r="I99" s="127">
        <f t="shared" si="211"/>
        <v>4.2105263157894735</v>
      </c>
      <c r="J99" s="127">
        <f t="shared" si="211"/>
        <v>3.9624608967674662</v>
      </c>
      <c r="K99" s="127">
        <f t="shared" si="211"/>
        <v>7.166666666666667</v>
      </c>
      <c r="L99" s="127">
        <f t="shared" si="211"/>
        <v>3.6136363636363638</v>
      </c>
      <c r="M99" s="127">
        <f t="shared" si="211"/>
        <v>1.1842105263157894</v>
      </c>
      <c r="N99" s="127">
        <f t="shared" si="211"/>
        <v>2.8611111111111112</v>
      </c>
      <c r="O99" s="127">
        <f t="shared" si="211"/>
        <v>8.806451612903226</v>
      </c>
      <c r="P99" s="127">
        <f t="shared" si="211"/>
        <v>6.8636363636363642</v>
      </c>
      <c r="Q99" s="118">
        <f t="shared" si="201"/>
        <v>-0.54039143701049563</v>
      </c>
      <c r="R99" s="20"/>
      <c r="S99" s="127">
        <f t="shared" ref="S99:AB99" si="214">1/S93</f>
        <v>6.8636363636363642</v>
      </c>
      <c r="T99" s="127">
        <f t="shared" si="214"/>
        <v>6.8636363636363642</v>
      </c>
      <c r="U99" s="127">
        <f t="shared" si="214"/>
        <v>6.8636363636363642</v>
      </c>
      <c r="V99" s="127">
        <f t="shared" si="214"/>
        <v>6.8636363636363642</v>
      </c>
      <c r="W99" s="127">
        <f t="shared" si="214"/>
        <v>6.8636363636363642</v>
      </c>
      <c r="X99" s="127">
        <f t="shared" si="214"/>
        <v>6.8636363636363642</v>
      </c>
      <c r="Y99" s="127">
        <f t="shared" si="214"/>
        <v>6.8636363636363642</v>
      </c>
      <c r="Z99" s="127">
        <f t="shared" si="214"/>
        <v>6.8636363636363642</v>
      </c>
      <c r="AA99" s="127">
        <f t="shared" si="214"/>
        <v>6.8636363636363642</v>
      </c>
      <c r="AB99" s="127">
        <f t="shared" si="214"/>
        <v>6.8636363636363642</v>
      </c>
      <c r="AC99" s="138">
        <f t="shared" si="202"/>
        <v>-0.30804384125974593</v>
      </c>
      <c r="AD99" s="146"/>
      <c r="AE99" s="146"/>
    </row>
    <row r="100" spans="2:31" ht="12" customHeight="1" x14ac:dyDescent="0.2">
      <c r="B100" s="20" t="s">
        <v>406</v>
      </c>
      <c r="C100" s="152"/>
      <c r="D100" s="152"/>
      <c r="E100" s="152"/>
      <c r="F100" s="152"/>
      <c r="G100" s="127">
        <f t="shared" si="211"/>
        <v>7440</v>
      </c>
      <c r="H100" s="127">
        <f t="shared" si="211"/>
        <v>2.915</v>
      </c>
      <c r="I100" s="127">
        <f t="shared" si="211"/>
        <v>3.1578947368421053</v>
      </c>
      <c r="J100" s="127">
        <f t="shared" si="211"/>
        <v>2.3983315954118871</v>
      </c>
      <c r="K100" s="127">
        <f t="shared" si="211"/>
        <v>6.1874999999999991</v>
      </c>
      <c r="L100" s="127">
        <f t="shared" si="211"/>
        <v>2.8863636363636362</v>
      </c>
      <c r="M100" s="127">
        <f t="shared" si="211"/>
        <v>0.86842105263157887</v>
      </c>
      <c r="N100" s="127">
        <f t="shared" si="211"/>
        <v>2</v>
      </c>
      <c r="O100" s="127">
        <f t="shared" si="211"/>
        <v>2</v>
      </c>
      <c r="P100" s="127">
        <f t="shared" si="211"/>
        <v>2.3181818181818179</v>
      </c>
      <c r="Q100" s="118">
        <f t="shared" si="201"/>
        <v>-0.59224699220435917</v>
      </c>
      <c r="R100" s="20"/>
      <c r="S100" s="127">
        <f t="shared" ref="S100:AB100" si="215">1/S94</f>
        <v>2.3181818181818183</v>
      </c>
      <c r="T100" s="127">
        <f t="shared" si="215"/>
        <v>2.3181818181818183</v>
      </c>
      <c r="U100" s="127">
        <f t="shared" si="215"/>
        <v>2.3181818181818183</v>
      </c>
      <c r="V100" s="127">
        <f t="shared" si="215"/>
        <v>2.3181818181818183</v>
      </c>
      <c r="W100" s="127">
        <f t="shared" si="215"/>
        <v>2.3181818181818183</v>
      </c>
      <c r="X100" s="127">
        <f t="shared" si="215"/>
        <v>2.3181818181818188</v>
      </c>
      <c r="Y100" s="127">
        <f t="shared" si="215"/>
        <v>2.3181818181818188</v>
      </c>
      <c r="Z100" s="127">
        <f t="shared" si="215"/>
        <v>2.3181818181818188</v>
      </c>
      <c r="AA100" s="127">
        <f t="shared" si="215"/>
        <v>2.3181818181818188</v>
      </c>
      <c r="AB100" s="127">
        <f t="shared" si="215"/>
        <v>2.3181818181818188</v>
      </c>
      <c r="AC100" s="138">
        <f t="shared" si="202"/>
        <v>-0.34619040074545715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>F10-(F12+F13)</f>
        <v>0</v>
      </c>
      <c r="G103" s="163">
        <f>G10-(G12+G13)</f>
        <v>29.5</v>
      </c>
      <c r="H103" s="163">
        <f>H10-(H12+H13)</f>
        <v>29</v>
      </c>
      <c r="I103" s="163">
        <f>I10-(I12+I13)</f>
        <v>24</v>
      </c>
      <c r="J103" s="163">
        <f>J10-(J12+J13)</f>
        <v>91</v>
      </c>
      <c r="K103" s="163">
        <f>K10-(K12+K13)</f>
        <v>350.76</v>
      </c>
      <c r="L103" s="163">
        <f>L10-(L12+L13)</f>
        <v>424</v>
      </c>
      <c r="M103" s="163">
        <f>M10-(M12+M13)</f>
        <v>155</v>
      </c>
      <c r="N103" s="163">
        <f>N10-(N12+N13)</f>
        <v>62</v>
      </c>
      <c r="O103" s="163">
        <f>O10-(O12+O13)</f>
        <v>-223</v>
      </c>
      <c r="P103" s="163">
        <f>P10-(P12+P13)</f>
        <v>-393</v>
      </c>
      <c r="Q103" s="118">
        <f t="shared" si="201"/>
        <v>-2.3333749186421855</v>
      </c>
      <c r="R103" s="20"/>
      <c r="S103" s="163">
        <f>S10-(S12+S13)</f>
        <v>-440.16</v>
      </c>
      <c r="T103" s="163">
        <f>T10-(T12+T13)</f>
        <v>-492.97920000000005</v>
      </c>
      <c r="U103" s="163">
        <f>U10-(U12+U13)</f>
        <v>-552.13670400000012</v>
      </c>
      <c r="V103" s="163">
        <f>V10-(V12+V13)</f>
        <v>-618.39310848000025</v>
      </c>
      <c r="W103" s="163">
        <f>W10-(W12+W13)</f>
        <v>-692.60028149760024</v>
      </c>
      <c r="X103" s="163">
        <f>X10-(X12+X13)</f>
        <v>-775.71231527731231</v>
      </c>
      <c r="Y103" s="163">
        <f>Y10-(Y12+Y13)</f>
        <v>-868.79779311058985</v>
      </c>
      <c r="Z103" s="163">
        <f>Z10-(Z12+Z13)</f>
        <v>-973.05352828386071</v>
      </c>
      <c r="AA103" s="163">
        <f>AA10-(AA12+AA13)</f>
        <v>-1089.8199516779241</v>
      </c>
      <c r="AB103" s="163">
        <f>AB10-(AB12+AB13)</f>
        <v>-1220.5983458792753</v>
      </c>
      <c r="AC103" s="138">
        <f t="shared" si="202"/>
        <v>-2.2164440691772471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>G40/G18</f>
        <v>0.29901960784313725</v>
      </c>
      <c r="H104" s="152">
        <f>H40/H18</f>
        <v>0.32142857142857145</v>
      </c>
      <c r="I104" s="152">
        <f>I40/I18</f>
        <v>0.30935251798561153</v>
      </c>
      <c r="J104" s="152">
        <f>J40/J18</f>
        <v>0.31714285714285712</v>
      </c>
      <c r="K104" s="152">
        <f>K40/K18</f>
        <v>0.34406438631790742</v>
      </c>
      <c r="L104" s="152">
        <f>L40/L18</f>
        <v>0.19963702359346641</v>
      </c>
      <c r="M104" s="152">
        <f>M40/M18</f>
        <v>0.5092592592592593</v>
      </c>
      <c r="N104" s="152">
        <f>N40/N18</f>
        <v>0.54706927175843689</v>
      </c>
      <c r="O104" s="152">
        <f>O40/O18</f>
        <v>0.52103559870550165</v>
      </c>
      <c r="P104" s="152">
        <f>P40/P18</f>
        <v>0.65170278637770895</v>
      </c>
      <c r="Q104" s="118">
        <f t="shared" si="201"/>
        <v>9.0421571592820271E-2</v>
      </c>
      <c r="R104" s="20"/>
      <c r="S104" s="152">
        <f>S40/S18</f>
        <v>0.65170278637770895</v>
      </c>
      <c r="T104" s="152">
        <f>T40/T18</f>
        <v>0.65170278637770895</v>
      </c>
      <c r="U104" s="152">
        <f>U40/U18</f>
        <v>0.65170278637770884</v>
      </c>
      <c r="V104" s="152">
        <f>V40/V18</f>
        <v>0.65170278637770884</v>
      </c>
      <c r="W104" s="152">
        <f>W40/W18</f>
        <v>0.65170278637770884</v>
      </c>
      <c r="X104" s="152">
        <f>X40/X18</f>
        <v>0.65170278637770884</v>
      </c>
      <c r="Y104" s="152">
        <f>Y40/Y18</f>
        <v>0.65170278637770884</v>
      </c>
      <c r="Z104" s="152">
        <f>Z40/Z18</f>
        <v>0.65170278637770884</v>
      </c>
      <c r="AA104" s="152">
        <f>AA40/AA18</f>
        <v>0.65170278637770884</v>
      </c>
      <c r="AB104" s="152">
        <f>AB40/AB18</f>
        <v>0.65170278637770884</v>
      </c>
      <c r="AC104" s="138">
        <f t="shared" si="202"/>
        <v>4.1856462666223226E-2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>G40/G25</f>
        <v>9.0370370370370365E-2</v>
      </c>
      <c r="H105" s="152">
        <f>H40/H25</f>
        <v>9.2664092664092659E-2</v>
      </c>
      <c r="I105" s="152">
        <f>I40/I25</f>
        <v>9.0621707060063228E-2</v>
      </c>
      <c r="J105" s="152">
        <f>J40/J25</f>
        <v>8.6046511627906982E-2</v>
      </c>
      <c r="K105" s="152">
        <f>K40/K25</f>
        <v>9.6774193548387094E-2</v>
      </c>
      <c r="L105" s="152">
        <f>L40/L25</f>
        <v>5.5611729019211326E-2</v>
      </c>
      <c r="M105" s="152">
        <f>M40/M25</f>
        <v>0.12238540275923454</v>
      </c>
      <c r="N105" s="152">
        <f>N40/N25</f>
        <v>0.11208151382823872</v>
      </c>
      <c r="O105" s="152">
        <f>O40/O25</f>
        <v>0.1008140262993112</v>
      </c>
      <c r="P105" s="152">
        <f>P40/P25</f>
        <v>0.11073119410836402</v>
      </c>
      <c r="Q105" s="118">
        <f t="shared" si="201"/>
        <v>2.2833350349084292E-2</v>
      </c>
      <c r="R105" s="20"/>
      <c r="S105" s="152">
        <f>S40/S25</f>
        <v>0.110731194108364</v>
      </c>
      <c r="T105" s="152">
        <f>T40/T25</f>
        <v>0.11073119410836402</v>
      </c>
      <c r="U105" s="152">
        <f>U40/U25</f>
        <v>0.11073119410836402</v>
      </c>
      <c r="V105" s="152">
        <f>V40/V25</f>
        <v>0.11073119410836402</v>
      </c>
      <c r="W105" s="152">
        <f>W40/W25</f>
        <v>0.11073119410836402</v>
      </c>
      <c r="X105" s="152">
        <f>X40/X25</f>
        <v>0.11073119410836403</v>
      </c>
      <c r="Y105" s="152">
        <f>Y40/Y25</f>
        <v>0.11073119410836402</v>
      </c>
      <c r="Z105" s="152">
        <f>Z40/Z25</f>
        <v>0.11073119410836403</v>
      </c>
      <c r="AA105" s="152">
        <f>AA40/AA25</f>
        <v>0.11073119410836402</v>
      </c>
      <c r="AB105" s="152">
        <f>AB40/AB25</f>
        <v>0.11073119410836402</v>
      </c>
      <c r="AC105" s="138">
        <f t="shared" si="202"/>
        <v>1.075155209277856E-2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>G25/G18</f>
        <v>3.3088235294117645</v>
      </c>
      <c r="H106" s="152">
        <f>H25/H18</f>
        <v>3.46875</v>
      </c>
      <c r="I106" s="152">
        <f>I25/I18</f>
        <v>3.4136690647482015</v>
      </c>
      <c r="J106" s="152">
        <f>J25/J18</f>
        <v>3.6857142857142855</v>
      </c>
      <c r="K106" s="152">
        <f>K25/K18</f>
        <v>3.5553319919517103</v>
      </c>
      <c r="L106" s="152">
        <f>L25/L18</f>
        <v>3.5898366606170597</v>
      </c>
      <c r="M106" s="152">
        <f>M25/M18</f>
        <v>4.1611111111111114</v>
      </c>
      <c r="N106" s="152">
        <f>N25/N18</f>
        <v>4.8809946714031973</v>
      </c>
      <c r="O106" s="152">
        <f>O25/O18</f>
        <v>5.1682847896440132</v>
      </c>
      <c r="P106" s="152">
        <f>P25/P18</f>
        <v>5.8854489164086683</v>
      </c>
      <c r="Q106" s="118">
        <f t="shared" si="201"/>
        <v>6.6079406993005074E-2</v>
      </c>
      <c r="R106" s="20"/>
      <c r="S106" s="152">
        <f>S25/S18</f>
        <v>5.8854489164086692</v>
      </c>
      <c r="T106" s="152">
        <f>T25/T18</f>
        <v>5.8854489164086683</v>
      </c>
      <c r="U106" s="152">
        <f>U25/U18</f>
        <v>5.8854489164086683</v>
      </c>
      <c r="V106" s="152">
        <f>V25/V18</f>
        <v>5.8854489164086674</v>
      </c>
      <c r="W106" s="152">
        <f>W25/W18</f>
        <v>5.8854489164086674</v>
      </c>
      <c r="X106" s="152">
        <f>X25/X18</f>
        <v>5.8854489164086674</v>
      </c>
      <c r="Y106" s="152">
        <f>Y25/Y18</f>
        <v>5.8854489164086674</v>
      </c>
      <c r="Z106" s="152">
        <f>Z25/Z18</f>
        <v>5.8854489164086674</v>
      </c>
      <c r="AA106" s="152">
        <f>AA25/AA18</f>
        <v>5.8854489164086674</v>
      </c>
      <c r="AB106" s="152">
        <f>AB25/AB18</f>
        <v>5.8854489164086674</v>
      </c>
      <c r="AC106" s="138">
        <f t="shared" si="202"/>
        <v>3.0774041859289225E-2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>E68*E42</f>
        <v>0</v>
      </c>
      <c r="F108" s="165">
        <f>F68*F42</f>
        <v>0</v>
      </c>
      <c r="G108" s="165">
        <f>G68*G42</f>
        <v>20.16</v>
      </c>
      <c r="H108" s="165">
        <f>H68*H42</f>
        <v>20.16</v>
      </c>
      <c r="I108" s="165">
        <f>I68*I42</f>
        <v>31.537500000000001</v>
      </c>
      <c r="J108" s="165">
        <f>J68*J42</f>
        <v>37.844999999999999</v>
      </c>
      <c r="K108" s="165">
        <f>K68*K42</f>
        <v>44.274999999999999</v>
      </c>
      <c r="L108" s="165">
        <f>L68*L42</f>
        <v>44.274999999999999</v>
      </c>
      <c r="M108" s="165">
        <f>M68*M42</f>
        <v>75.914999999999992</v>
      </c>
      <c r="N108" s="165">
        <f>N68*N42</f>
        <v>88.567499999999995</v>
      </c>
      <c r="O108" s="165">
        <f>O68*O42</f>
        <v>96.443999999999988</v>
      </c>
      <c r="P108" s="165">
        <f>P68*P42</f>
        <v>133.27600000000001</v>
      </c>
      <c r="Q108" s="118">
        <f t="shared" si="201"/>
        <v>0.23350285211223865</v>
      </c>
      <c r="R108" s="20"/>
      <c r="S108" s="165">
        <f>S68*S42</f>
        <v>142.738596</v>
      </c>
      <c r="T108" s="165">
        <f>T68*T42</f>
        <v>152.87303631600003</v>
      </c>
      <c r="U108" s="165">
        <f>U68*U42</f>
        <v>163.72702189443604</v>
      </c>
      <c r="V108" s="165">
        <f>V68*V42</f>
        <v>175.35164044894103</v>
      </c>
      <c r="W108" s="165">
        <f>W68*W42</f>
        <v>187.80160692081586</v>
      </c>
      <c r="X108" s="165">
        <f>X68*X42</f>
        <v>201.13552101219381</v>
      </c>
      <c r="Y108" s="165">
        <f>Y68*Y42</f>
        <v>215.41614300405956</v>
      </c>
      <c r="Z108" s="165">
        <f>Z68*Z42</f>
        <v>230.71068915734782</v>
      </c>
      <c r="AA108" s="165">
        <f>AA68*AA42</f>
        <v>247.09114808751954</v>
      </c>
      <c r="AB108" s="165">
        <f>AB68*AB42</f>
        <v>264.63461960173345</v>
      </c>
      <c r="AC108" s="138">
        <f t="shared" si="202"/>
        <v>0.14511821435318373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16">(G108*0.17)+G108</f>
        <v>23.587199999999999</v>
      </c>
      <c r="H109" s="165">
        <f t="shared" si="216"/>
        <v>23.587199999999999</v>
      </c>
      <c r="I109" s="165">
        <f t="shared" si="216"/>
        <v>36.898875000000004</v>
      </c>
      <c r="J109" s="165">
        <f t="shared" si="216"/>
        <v>44.278649999999999</v>
      </c>
      <c r="K109" s="165">
        <f t="shared" si="216"/>
        <v>51.801749999999998</v>
      </c>
      <c r="L109" s="165">
        <f t="shared" si="216"/>
        <v>51.801749999999998</v>
      </c>
      <c r="M109" s="165">
        <f t="shared" si="216"/>
        <v>88.820549999999997</v>
      </c>
      <c r="N109" s="165">
        <f t="shared" si="216"/>
        <v>103.623975</v>
      </c>
      <c r="O109" s="165">
        <f t="shared" si="216"/>
        <v>112.83947999999998</v>
      </c>
      <c r="P109" s="165">
        <f t="shared" si="216"/>
        <v>155.93292000000002</v>
      </c>
      <c r="Q109" s="118">
        <f t="shared" si="201"/>
        <v>0.23350285211223887</v>
      </c>
      <c r="R109" s="20"/>
      <c r="S109" s="165">
        <f t="shared" ref="S109:AB109" si="217">(S108*0.17)+S108</f>
        <v>167.00415731999999</v>
      </c>
      <c r="T109" s="165">
        <f t="shared" si="217"/>
        <v>178.86145248972002</v>
      </c>
      <c r="U109" s="165">
        <f t="shared" si="217"/>
        <v>191.56061561649017</v>
      </c>
      <c r="V109" s="165">
        <f t="shared" si="217"/>
        <v>205.16141932526099</v>
      </c>
      <c r="W109" s="165">
        <f t="shared" si="217"/>
        <v>219.72788009735456</v>
      </c>
      <c r="X109" s="165">
        <f t="shared" si="217"/>
        <v>235.32855958426677</v>
      </c>
      <c r="Y109" s="165">
        <f t="shared" si="217"/>
        <v>252.03688731474969</v>
      </c>
      <c r="Z109" s="165">
        <f t="shared" si="217"/>
        <v>269.93150631409696</v>
      </c>
      <c r="AA109" s="165">
        <f t="shared" si="217"/>
        <v>289.09664326239789</v>
      </c>
      <c r="AB109" s="165">
        <f t="shared" si="217"/>
        <v>309.62250493402814</v>
      </c>
      <c r="AC109" s="138">
        <f t="shared" si="202"/>
        <v>0.14511821435318373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>F109/F40</f>
        <v>#DIV/0!</v>
      </c>
      <c r="G110" s="152">
        <f>G109/G40</f>
        <v>0.38667540983606558</v>
      </c>
      <c r="H110" s="152">
        <f>H109/H40</f>
        <v>0.3276</v>
      </c>
      <c r="I110" s="152">
        <f>I109/I40</f>
        <v>0.42905668604651165</v>
      </c>
      <c r="J110" s="152">
        <f>J109/J40</f>
        <v>0.39890675675675674</v>
      </c>
      <c r="K110" s="152">
        <f>K109/K40</f>
        <v>0.30293421052631581</v>
      </c>
      <c r="L110" s="152">
        <f>L109/L40</f>
        <v>0.47092499999999998</v>
      </c>
      <c r="M110" s="152">
        <f>M109/M40</f>
        <v>0.32298381818181815</v>
      </c>
      <c r="N110" s="152">
        <f>N109/N40</f>
        <v>0.33644147727272727</v>
      </c>
      <c r="O110" s="152">
        <f>O109/O40</f>
        <v>0.35043316770186328</v>
      </c>
      <c r="P110" s="152">
        <f>P109/P40</f>
        <v>0.3703869833729217</v>
      </c>
      <c r="Q110" s="118">
        <f t="shared" si="201"/>
        <v>-4.7705011463482494E-3</v>
      </c>
      <c r="R110" s="20"/>
      <c r="S110" s="152">
        <f>S109/S40</f>
        <v>0.35418255285035627</v>
      </c>
      <c r="T110" s="152">
        <f>T109/T40</f>
        <v>0.33868706616315319</v>
      </c>
      <c r="U110" s="152">
        <f>U109/U40</f>
        <v>0.32386950701851525</v>
      </c>
      <c r="V110" s="152">
        <f>V109/V40</f>
        <v>0.30970021608645526</v>
      </c>
      <c r="W110" s="152">
        <f>W109/W40</f>
        <v>0.29615083163267286</v>
      </c>
      <c r="X110" s="152">
        <f>X109/X40</f>
        <v>0.28319423274874345</v>
      </c>
      <c r="Y110" s="152">
        <f>Y109/Y40</f>
        <v>0.27080448506598587</v>
      </c>
      <c r="Z110" s="152">
        <f>Z109/Z40</f>
        <v>0.25895678884434897</v>
      </c>
      <c r="AA110" s="152">
        <f>AA109/AA40</f>
        <v>0.24762742933240875</v>
      </c>
      <c r="AB110" s="152">
        <f>AB109/AB40</f>
        <v>0.23679372929911585</v>
      </c>
      <c r="AC110" s="138">
        <f t="shared" si="202"/>
        <v>-2.548008637664112E-2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0.61332459016393437</v>
      </c>
      <c r="H111" s="152">
        <f t="shared" ref="H111:P111" si="218">1-H110</f>
        <v>0.6724</v>
      </c>
      <c r="I111" s="152">
        <f t="shared" si="218"/>
        <v>0.5709433139534883</v>
      </c>
      <c r="J111" s="152">
        <f t="shared" si="218"/>
        <v>0.6010932432432432</v>
      </c>
      <c r="K111" s="152">
        <f t="shared" si="218"/>
        <v>0.69706578947368425</v>
      </c>
      <c r="L111" s="152">
        <f t="shared" si="218"/>
        <v>0.52907499999999996</v>
      </c>
      <c r="M111" s="152">
        <f t="shared" si="218"/>
        <v>0.67701618181818191</v>
      </c>
      <c r="N111" s="152">
        <f t="shared" si="218"/>
        <v>0.66355852272727267</v>
      </c>
      <c r="O111" s="152">
        <f t="shared" si="218"/>
        <v>0.64956683229813672</v>
      </c>
      <c r="P111" s="152">
        <f t="shared" si="218"/>
        <v>0.62961301662707836</v>
      </c>
      <c r="Q111" s="118">
        <f t="shared" si="201"/>
        <v>2.9165855017161402E-3</v>
      </c>
      <c r="R111" s="20"/>
      <c r="S111" s="152">
        <f t="shared" ref="S111:AB111" si="219">1-S110</f>
        <v>0.64581744714964373</v>
      </c>
      <c r="T111" s="152">
        <f t="shared" si="219"/>
        <v>0.66131293383684686</v>
      </c>
      <c r="U111" s="152">
        <f t="shared" si="219"/>
        <v>0.67613049298148475</v>
      </c>
      <c r="V111" s="152">
        <f t="shared" si="219"/>
        <v>0.69029978391354474</v>
      </c>
      <c r="W111" s="152">
        <f t="shared" si="219"/>
        <v>0.70384916836732714</v>
      </c>
      <c r="X111" s="152">
        <f t="shared" si="219"/>
        <v>0.71680576725125655</v>
      </c>
      <c r="Y111" s="152">
        <f t="shared" si="219"/>
        <v>0.72919551493401413</v>
      </c>
      <c r="Z111" s="152">
        <f t="shared" si="219"/>
        <v>0.74104321115565108</v>
      </c>
      <c r="AA111" s="152">
        <f t="shared" si="219"/>
        <v>0.75237257066759122</v>
      </c>
      <c r="AB111" s="152">
        <f t="shared" si="219"/>
        <v>0.7632062707008842</v>
      </c>
      <c r="AC111" s="138">
        <f t="shared" si="202"/>
        <v>1.1573515024278391E-2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>H31/H25</f>
        <v>0</v>
      </c>
      <c r="I113" s="152">
        <f>I31/I25</f>
        <v>0</v>
      </c>
      <c r="J113" s="152">
        <f>J31/J25</f>
        <v>0</v>
      </c>
      <c r="K113" s="152">
        <f>K31/K25</f>
        <v>0</v>
      </c>
      <c r="L113" s="152">
        <f>L31/L25</f>
        <v>0</v>
      </c>
      <c r="M113" s="152">
        <f>M31/M25</f>
        <v>0</v>
      </c>
      <c r="N113" s="152">
        <f>N31/N25</f>
        <v>0</v>
      </c>
      <c r="O113" s="152">
        <f>O31/O25</f>
        <v>0</v>
      </c>
      <c r="P113" s="152">
        <f>P31/P25</f>
        <v>0</v>
      </c>
      <c r="Q113" s="118" t="e">
        <f t="shared" si="201"/>
        <v>#DIV/0!</v>
      </c>
      <c r="R113" s="20"/>
      <c r="S113" s="152">
        <f>S31/S25</f>
        <v>0</v>
      </c>
      <c r="T113" s="152">
        <f>T31/T25</f>
        <v>0</v>
      </c>
      <c r="U113" s="152">
        <f>U31/U25</f>
        <v>0</v>
      </c>
      <c r="V113" s="152">
        <f>V31/V25</f>
        <v>0</v>
      </c>
      <c r="W113" s="152">
        <f>W31/W25</f>
        <v>0</v>
      </c>
      <c r="X113" s="152">
        <f>X31/X25</f>
        <v>0</v>
      </c>
      <c r="Y113" s="152">
        <f>Y31/Y25</f>
        <v>0</v>
      </c>
      <c r="Z113" s="152">
        <f>Z31/Z25</f>
        <v>0</v>
      </c>
      <c r="AA113" s="152">
        <f>AA31/AA25</f>
        <v>0</v>
      </c>
      <c r="AB113" s="152">
        <f>AB31/AB25</f>
        <v>0</v>
      </c>
      <c r="AC113" s="138" t="e">
        <f t="shared" si="202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>H32/H25</f>
        <v>0</v>
      </c>
      <c r="I114" s="152">
        <f>I32/I25</f>
        <v>0</v>
      </c>
      <c r="J114" s="152">
        <f>J32/J25</f>
        <v>0</v>
      </c>
      <c r="K114" s="152">
        <f>K32/K25</f>
        <v>0</v>
      </c>
      <c r="L114" s="152">
        <f>L32/L25</f>
        <v>0</v>
      </c>
      <c r="M114" s="152">
        <f>M32/M25</f>
        <v>0</v>
      </c>
      <c r="N114" s="152">
        <f>N32/N25</f>
        <v>0</v>
      </c>
      <c r="O114" s="152">
        <f>O32/O25</f>
        <v>0</v>
      </c>
      <c r="P114" s="152">
        <f>P32/P25</f>
        <v>0</v>
      </c>
      <c r="Q114" s="118" t="e">
        <f t="shared" si="201"/>
        <v>#DIV/0!</v>
      </c>
      <c r="R114" s="20"/>
      <c r="S114" s="152">
        <f>S32/S25</f>
        <v>0</v>
      </c>
      <c r="T114" s="152">
        <f>T32/T25</f>
        <v>0</v>
      </c>
      <c r="U114" s="152">
        <f>U32/U25</f>
        <v>0</v>
      </c>
      <c r="V114" s="152">
        <f>V32/V25</f>
        <v>0</v>
      </c>
      <c r="W114" s="152">
        <f>W32/W25</f>
        <v>0</v>
      </c>
      <c r="X114" s="152">
        <f>X32/X25</f>
        <v>0</v>
      </c>
      <c r="Y114" s="152">
        <f>Y32/Y25</f>
        <v>0</v>
      </c>
      <c r="Z114" s="152">
        <f>Z32/Z25</f>
        <v>0</v>
      </c>
      <c r="AA114" s="152">
        <f>AA32/AA25</f>
        <v>0</v>
      </c>
      <c r="AB114" s="152">
        <f>AB32/AB25</f>
        <v>0</v>
      </c>
      <c r="AC114" s="138" t="e">
        <f t="shared" si="202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0.82666666666666666</v>
      </c>
      <c r="H116" s="152">
        <f>H27/H25</f>
        <v>0.82368082368082363</v>
      </c>
      <c r="I116" s="152">
        <f>I27/I25</f>
        <v>0.83140147523709163</v>
      </c>
      <c r="J116" s="152">
        <f>J27/J25</f>
        <v>0.8542635658914729</v>
      </c>
      <c r="K116" s="152">
        <f>K27/K25</f>
        <v>0.84267119411431801</v>
      </c>
      <c r="L116" s="152">
        <f>L27/L25</f>
        <v>0.88372093023255816</v>
      </c>
      <c r="M116" s="152">
        <f>M27/M25</f>
        <v>0.81486426346239427</v>
      </c>
      <c r="N116" s="152">
        <f>N27/N25</f>
        <v>0.81841339155749637</v>
      </c>
      <c r="O116" s="152">
        <f>O27/O25</f>
        <v>0.83469004383218537</v>
      </c>
      <c r="P116" s="152">
        <f>P27/P25</f>
        <v>0.82325092056812199</v>
      </c>
      <c r="Q116" s="118">
        <f t="shared" si="201"/>
        <v>-4.5995097043471933E-4</v>
      </c>
      <c r="R116" s="20"/>
      <c r="S116" s="152">
        <f>S27/S25</f>
        <v>0.82325092056812199</v>
      </c>
      <c r="T116" s="152">
        <f>T27/T25</f>
        <v>0.8232509205681221</v>
      </c>
      <c r="U116" s="152">
        <f>U27/U25</f>
        <v>0.8232509205681221</v>
      </c>
      <c r="V116" s="152">
        <f>V27/V25</f>
        <v>0.82325092056812221</v>
      </c>
      <c r="W116" s="152">
        <f>W27/W25</f>
        <v>0.82325092056812221</v>
      </c>
      <c r="X116" s="152">
        <f>X27/X25</f>
        <v>0.82325092056812232</v>
      </c>
      <c r="Y116" s="152">
        <f>Y27/Y25</f>
        <v>0.82325092056812232</v>
      </c>
      <c r="Z116" s="152">
        <f>Z27/Z25</f>
        <v>0.82325092056812232</v>
      </c>
      <c r="AA116" s="152">
        <f>AA27/AA25</f>
        <v>0.82325092056812221</v>
      </c>
      <c r="AB116" s="152">
        <f>AB27/AB25</f>
        <v>0.82325092056812221</v>
      </c>
      <c r="AC116" s="138">
        <f t="shared" si="202"/>
        <v>-2.1789788959292178E-4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0.53481481481481485</v>
      </c>
      <c r="H117" s="152">
        <f>H33/H25</f>
        <v>0.60617760617760619</v>
      </c>
      <c r="I117" s="152">
        <f>I33/I25</f>
        <v>0.59009483667017915</v>
      </c>
      <c r="J117" s="152">
        <f>J33/J25</f>
        <v>0.61240310077519378</v>
      </c>
      <c r="K117" s="152">
        <f>K33/K25</f>
        <v>0.59988681380871534</v>
      </c>
      <c r="L117" s="152">
        <f>L33/L25</f>
        <v>0.63801820020222444</v>
      </c>
      <c r="M117" s="152">
        <f>M33/M25</f>
        <v>0.56608811748998666</v>
      </c>
      <c r="N117" s="152">
        <f>N33/N25</f>
        <v>0.58406113537117899</v>
      </c>
      <c r="O117" s="152">
        <f>O33/O25</f>
        <v>0.55948653725735753</v>
      </c>
      <c r="P117" s="152">
        <f>P33/P25</f>
        <v>0.54497632824829034</v>
      </c>
      <c r="Q117" s="118">
        <f t="shared" si="201"/>
        <v>2.0935008604761052E-3</v>
      </c>
      <c r="R117" s="20"/>
      <c r="S117" s="152">
        <f>S33/S25</f>
        <v>0.54497632824829034</v>
      </c>
      <c r="T117" s="152">
        <f>T33/T25</f>
        <v>0.54497632824829045</v>
      </c>
      <c r="U117" s="152">
        <f>U33/U25</f>
        <v>0.54497632824829045</v>
      </c>
      <c r="V117" s="152">
        <f>V33/V25</f>
        <v>0.54497632824829045</v>
      </c>
      <c r="W117" s="152">
        <f>W33/W25</f>
        <v>0.54497632824829045</v>
      </c>
      <c r="X117" s="152">
        <f>X33/X25</f>
        <v>0.54497632824829045</v>
      </c>
      <c r="Y117" s="152">
        <f>Y33/Y25</f>
        <v>0.54497632824829045</v>
      </c>
      <c r="Z117" s="152">
        <f>Z33/Z25</f>
        <v>0.54497632824829045</v>
      </c>
      <c r="AA117" s="152">
        <f>AA33/AA25</f>
        <v>0.54497632824829045</v>
      </c>
      <c r="AB117" s="152">
        <f>AB33/AB25</f>
        <v>0.54497632824829045</v>
      </c>
      <c r="AC117" s="138">
        <f t="shared" si="202"/>
        <v>9.9111255780170993E-4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8.2962962962962961E-2</v>
      </c>
      <c r="H118" s="152">
        <f>H34/H25</f>
        <v>8.6229086229086233E-2</v>
      </c>
      <c r="I118" s="152">
        <f>I34/I25</f>
        <v>8.956796628029505E-2</v>
      </c>
      <c r="J118" s="152">
        <f>J34/J25</f>
        <v>8.4496124031007758E-2</v>
      </c>
      <c r="K118" s="152">
        <f>K34/K25</f>
        <v>9.2812676853423884E-2</v>
      </c>
      <c r="L118" s="152">
        <f>L34/L25</f>
        <v>0.11172901921132457</v>
      </c>
      <c r="M118" s="152">
        <f>M34/M25</f>
        <v>0.11214953271028037</v>
      </c>
      <c r="N118" s="152">
        <f>N34/N25</f>
        <v>0.10553129548762737</v>
      </c>
      <c r="O118" s="152">
        <f>O34/O25</f>
        <v>0.10206637445209768</v>
      </c>
      <c r="P118" s="152">
        <f>P34/P25</f>
        <v>9.863229879011047E-2</v>
      </c>
      <c r="Q118" s="118">
        <f t="shared" si="201"/>
        <v>1.9408668645794602E-2</v>
      </c>
      <c r="R118" s="20"/>
      <c r="S118" s="152">
        <f>S34/S25</f>
        <v>9.863229879011047E-2</v>
      </c>
      <c r="T118" s="152">
        <f>T34/T25</f>
        <v>9.863229879011047E-2</v>
      </c>
      <c r="U118" s="152">
        <f>U34/U25</f>
        <v>9.8632298790110484E-2</v>
      </c>
      <c r="V118" s="152">
        <f>V34/V25</f>
        <v>9.8632298790110498E-2</v>
      </c>
      <c r="W118" s="152">
        <f>W34/W25</f>
        <v>9.8632298790110498E-2</v>
      </c>
      <c r="X118" s="152">
        <f>X34/X25</f>
        <v>9.8632298790110498E-2</v>
      </c>
      <c r="Y118" s="152">
        <f>Y34/Y25</f>
        <v>9.8632298790110498E-2</v>
      </c>
      <c r="Z118" s="152">
        <f>Z34/Z25</f>
        <v>9.8632298790110512E-2</v>
      </c>
      <c r="AA118" s="152">
        <f>AA34/AA25</f>
        <v>9.8632298790110484E-2</v>
      </c>
      <c r="AB118" s="152">
        <f>AB34/AB25</f>
        <v>9.8632298790110484E-2</v>
      </c>
      <c r="AC118" s="138">
        <f t="shared" si="202"/>
        <v>9.1470813375944537E-3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2.4647058823529413</v>
      </c>
      <c r="H121" s="25">
        <f>H15/H9</f>
        <v>2.2678571428571428</v>
      </c>
      <c r="I121" s="25">
        <f>I15/I9</f>
        <v>2.1353383458646618</v>
      </c>
      <c r="J121" s="25">
        <f>J15/J9</f>
        <v>2.1167512690355328</v>
      </c>
      <c r="K121" s="25">
        <f>K15/K9</f>
        <v>2.6920152091254752</v>
      </c>
      <c r="L121" s="25">
        <f>L15/L9</f>
        <v>2.2160493827160495</v>
      </c>
      <c r="M121" s="25">
        <f>M15/M9</f>
        <v>1.5523114355231145</v>
      </c>
      <c r="N121" s="25">
        <f>N15/N9</f>
        <v>1.5549019607843138</v>
      </c>
      <c r="O121" s="25">
        <f>O15/O9</f>
        <v>1.5</v>
      </c>
      <c r="P121" s="25">
        <f>P15/P9</f>
        <v>1.5930735930735931</v>
      </c>
      <c r="Q121" s="118">
        <f t="shared" si="201"/>
        <v>-4.7332843533489655E-2</v>
      </c>
      <c r="R121" s="20"/>
      <c r="S121" s="20">
        <f>S15/S9</f>
        <v>1.5930735930735929</v>
      </c>
      <c r="T121" s="20">
        <f>T15/T9</f>
        <v>1.5930735930735929</v>
      </c>
      <c r="U121" s="20">
        <f>U15/U9</f>
        <v>1.5930735930735929</v>
      </c>
      <c r="V121" s="20">
        <f>V15/V9</f>
        <v>1.5930735930735929</v>
      </c>
      <c r="W121" s="20">
        <f>W15/W9</f>
        <v>1.5930735930735926</v>
      </c>
      <c r="X121" s="20">
        <f>X15/X9</f>
        <v>1.5930735930735926</v>
      </c>
      <c r="Y121" s="20">
        <f>Y15/Y9</f>
        <v>1.5930735930735926</v>
      </c>
      <c r="Z121" s="20">
        <f>Z15/Z9</f>
        <v>1.5930735930735924</v>
      </c>
      <c r="AA121" s="20">
        <f>AA15/AA9</f>
        <v>1.5930735930735924</v>
      </c>
      <c r="AB121" s="20">
        <f>AB15/AB9</f>
        <v>1.5930735930735922</v>
      </c>
      <c r="AC121" s="138">
        <f t="shared" si="202"/>
        <v>-2.2707028002136864E-2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8.8235294117647065E-2</v>
      </c>
      <c r="H122" s="25">
        <f>H12/H9</f>
        <v>0.125</v>
      </c>
      <c r="I122" s="25">
        <f>I12/I9</f>
        <v>0.12030075187969924</v>
      </c>
      <c r="J122" s="25">
        <f>J12/J9</f>
        <v>0.19289340101522842</v>
      </c>
      <c r="K122" s="25">
        <f>K12/K9</f>
        <v>0.6539923954372624</v>
      </c>
      <c r="L122" s="25">
        <f>L12/L9</f>
        <v>0.49074074074074076</v>
      </c>
      <c r="M122" s="25">
        <f>M12/M9</f>
        <v>0.10948905109489052</v>
      </c>
      <c r="N122" s="25">
        <f>N12/N9</f>
        <v>0.20196078431372549</v>
      </c>
      <c r="O122" s="25">
        <f>O12/O9</f>
        <v>0.36497326203208558</v>
      </c>
      <c r="P122" s="25">
        <f>P12/P9</f>
        <v>0.21789321789321789</v>
      </c>
      <c r="Q122" s="118">
        <f t="shared" si="201"/>
        <v>0.10566197765506669</v>
      </c>
      <c r="R122" s="128"/>
      <c r="S122" s="20">
        <f>S12/S9</f>
        <v>0.21789321789321789</v>
      </c>
      <c r="T122" s="20">
        <f>T12/T9</f>
        <v>0.21789321789321789</v>
      </c>
      <c r="U122" s="20">
        <f>U12/U9</f>
        <v>0.21789321789321789</v>
      </c>
      <c r="V122" s="20">
        <f>V12/V9</f>
        <v>0.21789321789321786</v>
      </c>
      <c r="W122" s="20">
        <f>W12/W9</f>
        <v>0.21789321789321786</v>
      </c>
      <c r="X122" s="20">
        <f>X12/X9</f>
        <v>0.21789321789321783</v>
      </c>
      <c r="Y122" s="20">
        <f>Y12/Y9</f>
        <v>0.21789321789321786</v>
      </c>
      <c r="Z122" s="20">
        <f>Z12/Z9</f>
        <v>0.21789321789321783</v>
      </c>
      <c r="AA122" s="20">
        <f>AA12/AA9</f>
        <v>0.21789321789321786</v>
      </c>
      <c r="AB122" s="20">
        <f>AB12/AB9</f>
        <v>0.21789321789321783</v>
      </c>
      <c r="AC122" s="118">
        <f t="shared" ref="AC122" si="220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1.875</v>
      </c>
      <c r="H123" s="25">
        <f>H25/360</f>
        <v>2.1583333333333332</v>
      </c>
      <c r="I123" s="25">
        <f>I25/360</f>
        <v>2.6361111111111111</v>
      </c>
      <c r="J123" s="25">
        <f>J25/360</f>
        <v>3.5833333333333335</v>
      </c>
      <c r="K123" s="25">
        <f>K25/360</f>
        <v>4.9083333333333332</v>
      </c>
      <c r="L123" s="25">
        <f>L25/360</f>
        <v>5.4944444444444445</v>
      </c>
      <c r="M123" s="25">
        <f>M25/360</f>
        <v>6.2416666666666663</v>
      </c>
      <c r="N123" s="25">
        <f>N25/360</f>
        <v>7.6333333333333337</v>
      </c>
      <c r="O123" s="25">
        <f>O25/360</f>
        <v>8.8722222222222218</v>
      </c>
      <c r="P123" s="25">
        <f>P25/360</f>
        <v>10.561111111111112</v>
      </c>
      <c r="Q123" s="118">
        <f t="shared" si="201"/>
        <v>0.21174723593215905</v>
      </c>
      <c r="R123" s="128"/>
      <c r="S123" s="25">
        <f>S25/360</f>
        <v>11.828444444444447</v>
      </c>
      <c r="T123" s="25">
        <f>T25/360</f>
        <v>13.24785777777778</v>
      </c>
      <c r="U123" s="25">
        <f>U25/360</f>
        <v>14.837600711111115</v>
      </c>
      <c r="V123" s="25">
        <f>V25/360</f>
        <v>16.61811279644445</v>
      </c>
      <c r="W123" s="25">
        <f>W25/360</f>
        <v>18.612286332017785</v>
      </c>
      <c r="X123" s="25">
        <f>X25/360</f>
        <v>20.845760691859919</v>
      </c>
      <c r="Y123" s="25">
        <f>Y25/360</f>
        <v>23.347251974883111</v>
      </c>
      <c r="Z123" s="25">
        <f>Z25/360</f>
        <v>26.148922211869088</v>
      </c>
      <c r="AA123" s="25">
        <f>AA25/360</f>
        <v>29.286792877293383</v>
      </c>
      <c r="AB123" s="25">
        <f>AB25/360</f>
        <v>32.801208022568595</v>
      </c>
      <c r="AC123" s="118">
        <f t="shared" ref="AC123:AC134" si="221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1.55</v>
      </c>
      <c r="H124" s="25">
        <f>H27/360</f>
        <v>1.7777777777777777</v>
      </c>
      <c r="I124" s="25">
        <f>I27/360</f>
        <v>2.1916666666666669</v>
      </c>
      <c r="J124" s="25">
        <f>J27/360</f>
        <v>3.0611111111111109</v>
      </c>
      <c r="K124" s="25">
        <f>K27/360</f>
        <v>4.1361111111111111</v>
      </c>
      <c r="L124" s="25">
        <f>L27/360</f>
        <v>4.8555555555555552</v>
      </c>
      <c r="M124" s="25">
        <f>M27/360</f>
        <v>5.0861111111111112</v>
      </c>
      <c r="N124" s="25">
        <f>N27/360</f>
        <v>6.2472222222222218</v>
      </c>
      <c r="O124" s="25">
        <f>O27/360</f>
        <v>7.4055555555555559</v>
      </c>
      <c r="P124" s="25">
        <f>P27/360</f>
        <v>8.6944444444444446</v>
      </c>
      <c r="Q124" s="118">
        <f t="shared" si="201"/>
        <v>0.21118989161507029</v>
      </c>
      <c r="R124" s="128"/>
      <c r="S124" s="25">
        <f>S27/360</f>
        <v>9.7377777777777794</v>
      </c>
      <c r="T124" s="25">
        <f>T27/360</f>
        <v>10.906311111111114</v>
      </c>
      <c r="U124" s="25">
        <f>U27/360</f>
        <v>12.215068444444448</v>
      </c>
      <c r="V124" s="25">
        <f>V27/360</f>
        <v>13.680876657777784</v>
      </c>
      <c r="W124" s="25">
        <f>W27/360</f>
        <v>15.322581856711119</v>
      </c>
      <c r="X124" s="25">
        <f>X27/360</f>
        <v>17.161291679516456</v>
      </c>
      <c r="Y124" s="25">
        <f>Y27/360</f>
        <v>19.220646681058433</v>
      </c>
      <c r="Z124" s="25">
        <f>Z27/360</f>
        <v>21.527124282785447</v>
      </c>
      <c r="AA124" s="25">
        <f>AA27/360</f>
        <v>24.110379196719705</v>
      </c>
      <c r="AB124" s="25">
        <f>AB27/360</f>
        <v>27.003624700326068</v>
      </c>
      <c r="AC124" s="118">
        <f t="shared" si="221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0.17777777777777778</v>
      </c>
      <c r="H126" s="25">
        <f>H10/H7</f>
        <v>0.17174515235457063</v>
      </c>
      <c r="I126" s="25">
        <f>I10/I7</f>
        <v>0.13559322033898305</v>
      </c>
      <c r="J126" s="25">
        <f>J10/J7</f>
        <v>0.30208333333333331</v>
      </c>
      <c r="K126" s="25">
        <f>K10/K7</f>
        <v>0.84838709677419355</v>
      </c>
      <c r="L126" s="25">
        <f>L10/L7</f>
        <v>0.9605678233438486</v>
      </c>
      <c r="M126" s="25">
        <f>M10/M7</f>
        <v>0.53669724770642202</v>
      </c>
      <c r="N126" s="25">
        <f>N10/N7</f>
        <v>0.30904059040590404</v>
      </c>
      <c r="O126" s="25">
        <f>O10/O7</f>
        <v>0.11161387631975868</v>
      </c>
      <c r="P126" s="25">
        <f>P10/P7</f>
        <v>3.0890369473046637E-2</v>
      </c>
      <c r="Q126" s="118">
        <f t="shared" si="201"/>
        <v>-0.1767163049296363</v>
      </c>
      <c r="R126" s="128"/>
      <c r="S126" s="25">
        <f>S10/S7</f>
        <v>3.0890369473046637E-2</v>
      </c>
      <c r="T126" s="25">
        <f>T10/T7</f>
        <v>3.0890369473046637E-2</v>
      </c>
      <c r="U126" s="25">
        <f>U10/U7</f>
        <v>3.0890369473046637E-2</v>
      </c>
      <c r="V126" s="25">
        <f>V10/V7</f>
        <v>3.0890369473046637E-2</v>
      </c>
      <c r="W126" s="25">
        <f>W10/W7</f>
        <v>3.0890369473046637E-2</v>
      </c>
      <c r="X126" s="25">
        <f>X10/X7</f>
        <v>3.0890369473046641E-2</v>
      </c>
      <c r="Y126" s="25">
        <f>Y10/Y7</f>
        <v>3.0890369473046644E-2</v>
      </c>
      <c r="Z126" s="25">
        <f>Z10/Z7</f>
        <v>3.0890369473046644E-2</v>
      </c>
      <c r="AA126" s="25">
        <f>AA10/AA7</f>
        <v>3.0890369473046644E-2</v>
      </c>
      <c r="AB126" s="25">
        <f>AB10/AB7</f>
        <v>3.0890369473046641E-2</v>
      </c>
      <c r="AC126" s="118">
        <f t="shared" si="221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0.15094339622641509</v>
      </c>
      <c r="H127" s="25">
        <f>H10/(H10+H7)</f>
        <v>0.14657210401891252</v>
      </c>
      <c r="I127" s="25">
        <f>I10/(I10+I7)</f>
        <v>0.11940298507462686</v>
      </c>
      <c r="J127" s="25">
        <f>J10/(J10+J7)</f>
        <v>0.23200000000000001</v>
      </c>
      <c r="K127" s="25">
        <f>K10/(K10+K7)</f>
        <v>0.45898778359511344</v>
      </c>
      <c r="L127" s="25">
        <f>L10/(L10+L7)</f>
        <v>0.48994368463395011</v>
      </c>
      <c r="M127" s="25">
        <f>M10/(M10+M7)</f>
        <v>0.34925373134328358</v>
      </c>
      <c r="N127" s="25">
        <f>N10/(N10+N7)</f>
        <v>0.23608174770965468</v>
      </c>
      <c r="O127" s="25">
        <f>O10/(O10+O7)</f>
        <v>0.10040705563093623</v>
      </c>
      <c r="P127" s="25">
        <f>P10/(P10+P7)</f>
        <v>2.9964747356051705E-2</v>
      </c>
      <c r="Q127" s="118">
        <f t="shared" si="201"/>
        <v>-0.16444048484557905</v>
      </c>
      <c r="R127" s="128"/>
      <c r="S127" s="25">
        <f>S10/(S10+S7)</f>
        <v>2.9964747356051702E-2</v>
      </c>
      <c r="T127" s="25">
        <f>T10/(T10+T7)</f>
        <v>2.9964747356051702E-2</v>
      </c>
      <c r="U127" s="25">
        <f>U10/(U10+U7)</f>
        <v>2.9964747356051705E-2</v>
      </c>
      <c r="V127" s="25">
        <f>V10/(V10+V7)</f>
        <v>2.9964747356051705E-2</v>
      </c>
      <c r="W127" s="25">
        <f>W10/(W10+W7)</f>
        <v>2.9964747356051705E-2</v>
      </c>
      <c r="X127" s="25">
        <f>X10/(X10+X7)</f>
        <v>2.9964747356051709E-2</v>
      </c>
      <c r="Y127" s="25">
        <f>Y10/(Y10+Y7)</f>
        <v>2.9964747356051712E-2</v>
      </c>
      <c r="Z127" s="25">
        <f>Z10/(Z10+Z7)</f>
        <v>2.9964747356051712E-2</v>
      </c>
      <c r="AA127" s="25">
        <f>AA10/(AA10+AA7)</f>
        <v>2.9964747356051712E-2</v>
      </c>
      <c r="AB127" s="25">
        <f>AB10/(AB10+AB7)</f>
        <v>2.9964747356051705E-2</v>
      </c>
      <c r="AC127" s="118">
        <f t="shared" si="221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132</v>
      </c>
      <c r="H129" s="25">
        <f>H16</f>
        <v>145</v>
      </c>
      <c r="I129" s="25">
        <f>I16</f>
        <v>147</v>
      </c>
      <c r="J129" s="25">
        <f>J16</f>
        <v>224</v>
      </c>
      <c r="K129" s="25">
        <f>K16</f>
        <v>477</v>
      </c>
      <c r="L129" s="25">
        <f>L16</f>
        <v>445</v>
      </c>
      <c r="M129" s="25">
        <f>M16</f>
        <v>234</v>
      </c>
      <c r="N129" s="25">
        <f>N16</f>
        <v>336</v>
      </c>
      <c r="O129" s="25">
        <f>O16</f>
        <v>365</v>
      </c>
      <c r="P129" s="25">
        <f>P16</f>
        <v>335</v>
      </c>
      <c r="Q129" s="118">
        <f t="shared" si="201"/>
        <v>0.10902467354362688</v>
      </c>
      <c r="R129" s="128"/>
      <c r="S129" s="25">
        <f>S16</f>
        <v>375.20000000000005</v>
      </c>
      <c r="T129" s="25">
        <f>T16</f>
        <v>420.2240000000001</v>
      </c>
      <c r="U129" s="25">
        <f>U16</f>
        <v>470.65088000000014</v>
      </c>
      <c r="V129" s="25">
        <f>V16</f>
        <v>527.12898560000019</v>
      </c>
      <c r="W129" s="25">
        <f>W16</f>
        <v>590.38446387200031</v>
      </c>
      <c r="X129" s="25">
        <f>X16</f>
        <v>661.2305995366404</v>
      </c>
      <c r="Y129" s="25">
        <f>Y16</f>
        <v>740.57827148103729</v>
      </c>
      <c r="Z129" s="25">
        <f>Z16</f>
        <v>829.4476640587618</v>
      </c>
      <c r="AA129" s="25">
        <f>AA16</f>
        <v>928.98138374581333</v>
      </c>
      <c r="AB129" s="25">
        <f>AB16</f>
        <v>1040.4591497953111</v>
      </c>
      <c r="AC129" s="118">
        <f t="shared" si="221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>G129*365/G25</f>
        <v>71.37777777777778</v>
      </c>
      <c r="H130" s="119">
        <f>H129*365/H25</f>
        <v>68.11454311454311</v>
      </c>
      <c r="I130" s="119">
        <f>I129*365/I25</f>
        <v>56.53846153846154</v>
      </c>
      <c r="J130" s="119">
        <f>J129*365/J25</f>
        <v>63.379844961240309</v>
      </c>
      <c r="K130" s="119">
        <f>K129*365/K25</f>
        <v>98.531409168081495</v>
      </c>
      <c r="L130" s="119">
        <f>L129*365/L25</f>
        <v>82.115773508594543</v>
      </c>
      <c r="M130" s="119">
        <f>M129*365/M25</f>
        <v>38.010680907877166</v>
      </c>
      <c r="N130" s="119">
        <f>N129*365/N25</f>
        <v>44.62882096069869</v>
      </c>
      <c r="O130" s="119">
        <f>O129*365/O25</f>
        <v>41.71102066374452</v>
      </c>
      <c r="P130" s="119">
        <f>P129*365/P25</f>
        <v>32.160704892162023</v>
      </c>
      <c r="Q130" s="118">
        <f t="shared" si="201"/>
        <v>-8.4772268788804728E-2</v>
      </c>
      <c r="R130" s="128"/>
      <c r="S130" s="119">
        <f>S129*365/S25</f>
        <v>32.160704892162023</v>
      </c>
      <c r="T130" s="119">
        <f>T129*365/T25</f>
        <v>32.160704892162023</v>
      </c>
      <c r="U130" s="119">
        <f>U129*365/U25</f>
        <v>32.160704892162023</v>
      </c>
      <c r="V130" s="119">
        <f>V129*365/V25</f>
        <v>32.160704892162023</v>
      </c>
      <c r="W130" s="119">
        <f>W129*365/W25</f>
        <v>32.16070489216203</v>
      </c>
      <c r="X130" s="119">
        <f>X129*365/X25</f>
        <v>32.160704892162023</v>
      </c>
      <c r="Y130" s="119">
        <f>Y129*365/Y25</f>
        <v>32.160704892162023</v>
      </c>
      <c r="Z130" s="119">
        <f>Z129*365/Z25</f>
        <v>32.160704892162023</v>
      </c>
      <c r="AA130" s="119">
        <f>AA129*365/AA25</f>
        <v>32.160704892162023</v>
      </c>
      <c r="AB130" s="119">
        <f>AB129*365/AB25</f>
        <v>32.160704892162023</v>
      </c>
      <c r="AC130" s="118">
        <f t="shared" si="221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42857.142857142855</v>
      </c>
      <c r="H131" s="133">
        <f>H78/H29</f>
        <v>12.698412698412698</v>
      </c>
      <c r="I131" s="133">
        <f>I78/I29</f>
        <v>1.5124016938898972</v>
      </c>
      <c r="J131" s="133">
        <f>J78/J29</f>
        <v>0.71087393270751631</v>
      </c>
      <c r="K131" s="133">
        <f>K78/K29</f>
        <v>0.41337285902503296</v>
      </c>
      <c r="L131" s="133">
        <f>L78/L29</f>
        <v>0.21739130434782608</v>
      </c>
      <c r="M131" s="133">
        <f>M78/M29</f>
        <v>0.20694890753855594</v>
      </c>
      <c r="N131" s="133">
        <f>N78/N29</f>
        <v>0.25467079408988119</v>
      </c>
      <c r="O131" s="133">
        <f>O78/O29</f>
        <v>0.31393782251709501</v>
      </c>
      <c r="P131" s="133">
        <f>P78/P29</f>
        <v>0.53116021707516048</v>
      </c>
      <c r="Q131" s="118">
        <f t="shared" si="201"/>
        <v>-0.71502926775453468</v>
      </c>
      <c r="R131" s="128"/>
      <c r="S131" s="133">
        <f>S78/S29</f>
        <v>0.52074531085800058</v>
      </c>
      <c r="T131" s="133">
        <f>T78/T29</f>
        <v>0.51053461848823589</v>
      </c>
      <c r="U131" s="133">
        <f>U78/U29</f>
        <v>0.50052413577278021</v>
      </c>
      <c r="V131" s="133">
        <f>V78/V29</f>
        <v>0.4907099370321375</v>
      </c>
      <c r="W131" s="133">
        <f>W78/W29</f>
        <v>0.48108817356091915</v>
      </c>
      <c r="X131" s="133">
        <f>X78/X29</f>
        <v>0.47165507211854824</v>
      </c>
      <c r="Y131" s="133">
        <f>Y78/Y29</f>
        <v>0.46240693344955713</v>
      </c>
      <c r="Z131" s="133">
        <f>Z78/Z29</f>
        <v>0.45334013083289909</v>
      </c>
      <c r="AA131" s="133">
        <f>AA78/AA29</f>
        <v>0.444451108659705</v>
      </c>
      <c r="AB131" s="133">
        <f>AB78/AB29</f>
        <v>0.43573638103892648</v>
      </c>
      <c r="AC131" s="118">
        <f t="shared" si="221"/>
        <v>-1.9607843137254832E-2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6.4285714285714288</v>
      </c>
      <c r="H133" s="180">
        <f>H25/H14</f>
        <v>5.976923076923077</v>
      </c>
      <c r="I133" s="180">
        <f>I25/I14</f>
        <v>6.083333333333333</v>
      </c>
      <c r="J133" s="180">
        <f>J25/J14</f>
        <v>5.8371040723981897</v>
      </c>
      <c r="K133" s="180">
        <f>K25/K14</f>
        <v>5.9295302013422821</v>
      </c>
      <c r="L133" s="180">
        <f>L25/L14</f>
        <v>7.0642857142857141</v>
      </c>
      <c r="M133" s="180">
        <f>M25/M14</f>
        <v>7.5402684563758386</v>
      </c>
      <c r="N133" s="180">
        <f>N25/N14</f>
        <v>6.7188264058679703</v>
      </c>
      <c r="O133" s="180">
        <f>O25/O14</f>
        <v>7.035242290748899</v>
      </c>
      <c r="P133" s="180">
        <f>P25/P14</f>
        <v>7.2557251908396942</v>
      </c>
      <c r="Q133" s="118">
        <f t="shared" si="201"/>
        <v>1.3539562837350916E-2</v>
      </c>
      <c r="R133" s="128"/>
      <c r="S133" s="20">
        <f>S25/S14</f>
        <v>7.2557251908396942</v>
      </c>
      <c r="T133" s="20">
        <f>T25/T14</f>
        <v>7.2557251908396942</v>
      </c>
      <c r="U133" s="20">
        <f>U25/U14</f>
        <v>7.2557251908396942</v>
      </c>
      <c r="V133" s="20">
        <f>V25/V14</f>
        <v>7.2557251908396934</v>
      </c>
      <c r="W133" s="20">
        <f>W25/W14</f>
        <v>7.2557251908396925</v>
      </c>
      <c r="X133" s="20">
        <f>X25/X14</f>
        <v>7.2557251908396925</v>
      </c>
      <c r="Y133" s="20">
        <f>Y25/Y14</f>
        <v>7.2557251908396925</v>
      </c>
      <c r="Z133" s="20">
        <f>Z25/Z14</f>
        <v>7.2557251908396934</v>
      </c>
      <c r="AA133" s="20">
        <f>AA25/AA14</f>
        <v>7.2557251908396942</v>
      </c>
      <c r="AB133" s="20">
        <f>AB25/AB14</f>
        <v>7.2557251908396934</v>
      </c>
      <c r="AC133" s="118">
        <f t="shared" si="221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5.3142857142857141</v>
      </c>
      <c r="H134" s="180">
        <f>H27/H14</f>
        <v>4.9230769230769234</v>
      </c>
      <c r="I134" s="180">
        <f>I27/I14</f>
        <v>5.0576923076923075</v>
      </c>
      <c r="J134" s="180">
        <f>J27/J14</f>
        <v>4.9864253393665159</v>
      </c>
      <c r="K134" s="180">
        <f>K27/K14</f>
        <v>4.9966442953020138</v>
      </c>
      <c r="L134" s="180">
        <f>L27/L14</f>
        <v>6.2428571428571429</v>
      </c>
      <c r="M134" s="180">
        <f>M27/M14</f>
        <v>6.1442953020134228</v>
      </c>
      <c r="N134" s="180">
        <f>N27/N14</f>
        <v>5.4987775061124697</v>
      </c>
      <c r="O134" s="180">
        <f>O27/O14</f>
        <v>5.8722466960352424</v>
      </c>
      <c r="P134" s="180">
        <f>P27/P14</f>
        <v>5.9732824427480917</v>
      </c>
      <c r="Q134" s="118">
        <f t="shared" si="201"/>
        <v>1.3073384331849791E-2</v>
      </c>
      <c r="R134" s="128"/>
      <c r="S134" s="20">
        <f>S27/S14</f>
        <v>5.9732824427480908</v>
      </c>
      <c r="T134" s="20">
        <f>T27/T14</f>
        <v>5.9732824427480917</v>
      </c>
      <c r="U134" s="20">
        <f>U27/U14</f>
        <v>5.9732824427480908</v>
      </c>
      <c r="V134" s="20">
        <f>V27/V14</f>
        <v>5.9732824427480917</v>
      </c>
      <c r="W134" s="20">
        <f>W27/W14</f>
        <v>5.9732824427480917</v>
      </c>
      <c r="X134" s="20">
        <f>X27/X14</f>
        <v>5.9732824427480917</v>
      </c>
      <c r="Y134" s="20">
        <f>Y27/Y14</f>
        <v>5.9732824427480926</v>
      </c>
      <c r="Z134" s="20">
        <f>Z27/Z14</f>
        <v>5.9732824427480926</v>
      </c>
      <c r="AA134" s="20">
        <f>AA27/AA14</f>
        <v>5.9732824427480926</v>
      </c>
      <c r="AB134" s="20">
        <f>AB27/AB14</f>
        <v>5.9732824427480917</v>
      </c>
      <c r="AC134" s="118">
        <f t="shared" si="221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9.7768733809012272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42.823542662231347</v>
      </c>
      <c r="S138" s="133">
        <f>PV($C$1, ($AB$3-$S$3), 0, -AB52)</f>
        <v>4.7178479204153181</v>
      </c>
      <c r="T138" s="133">
        <f>PV($C$1, ($AB$3-$S$3), 0, -AE52)</f>
        <v>38.105694741816031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222">S139+T139</f>
        <v>167.93745590342988</v>
      </c>
      <c r="S139" s="133">
        <f>PV($C$1, ($AB$3-$S$3), 0, -AB54)</f>
        <v>18.501584124954139</v>
      </c>
      <c r="T139" s="133">
        <f>PV($C$1, ($AB$3-$S$3), 0, -AE54)</f>
        <v>149.43587177847573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222"/>
        <v>162.74980584220944</v>
      </c>
      <c r="S140" s="133">
        <f>PV($C$1, ($AB$3-$S$3), 0, -AB55)</f>
        <v>17.930063355497648</v>
      </c>
      <c r="T140" s="133">
        <f>PV($C$1, ($AB$3-$S$3), 0, -AE55)</f>
        <v>144.81974248671179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222"/>
        <v>5.1876500612204266</v>
      </c>
      <c r="S141" s="133">
        <f>PV($C$1, ($AB$3-$S$3), 0, -AB56)</f>
        <v>0.57152076945648767</v>
      </c>
      <c r="T141" s="133">
        <f>PV($C$1, ($AB$3-$S$3), 0, -AE56)</f>
        <v>4.6161292917639392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222"/>
        <v>15.359512926358516</v>
      </c>
      <c r="S142" s="133">
        <f>PV($C$1, ($AB$3-$S$3), 0, -AB62)</f>
        <v>1.6921497291750907</v>
      </c>
      <c r="T142" s="133">
        <f>PV($C$1, ($AB$3-$S$3), 0, -AE62)</f>
        <v>13.667363197183425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222"/>
        <v>162.74980584220944</v>
      </c>
      <c r="S144" s="133">
        <f>PV($C$1, ($AB$3-$S$3), 0, -AB58)</f>
        <v>17.930063355497648</v>
      </c>
      <c r="T144" s="133">
        <f>PV($C$1, ($AB$3-$S$3), 0, -$AE$58)</f>
        <v>144.81974248671179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22"/>
        <v>92.258796186802442</v>
      </c>
      <c r="S145" s="133">
        <f>PV($C$1, ($AB$3-$S$3), 0, -AB59)</f>
        <v>10.164104664647727</v>
      </c>
      <c r="T145" s="133">
        <f>PV($C$1, ($AB$3-$S$3), 0, -$AE$59)</f>
        <v>82.094691522154719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222"/>
        <v>204.55616221792698</v>
      </c>
      <c r="S146" s="133">
        <f>PV($C$1, ($AB$3-$S$3), 0, -AB60)</f>
        <v>22.535848379941108</v>
      </c>
      <c r="T146" s="133">
        <f>PV($C$1, ($AB$3-$S$3), 0, -$AE$60)</f>
        <v>182.02031383798587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22"/>
        <v>112.29736603112448</v>
      </c>
      <c r="S148" s="133">
        <f>PV($C$1, ($AB$3-$S$3), 0, -AB65)</f>
        <v>12.371743715293375</v>
      </c>
      <c r="T148" s="133">
        <f>PV($C$1, ($AB$3-$S$3), 0, -AE65)</f>
        <v>99.925622315831106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22"/>
        <v>24.610257098709106</v>
      </c>
      <c r="S149" s="133">
        <f>PV($C$1, ($AB$3-$S$3), 0, -AB66)</f>
        <v>3.754107015057321</v>
      </c>
      <c r="T149" s="133">
        <f>PV($C$1, ($AB$3-$S$3), 0, -AE66)</f>
        <v>20.856150083651784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223">S151+T151</f>
        <v>959.74920984776486</v>
      </c>
      <c r="S151" s="133">
        <f>PV($C$1, ($AB$3-$S$3), 0, -AB12)</f>
        <v>105.73508244085545</v>
      </c>
      <c r="T151" s="133">
        <f>PV($C$1, ($AB$3-$S$3), 0, -AE12)</f>
        <v>854.01412740690944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18.723160551068375</v>
      </c>
      <c r="S152" s="140">
        <f>S151/P42</f>
        <v>2.0627210776600751</v>
      </c>
      <c r="T152" s="140">
        <f>T151/P42</f>
        <v>16.660439473408299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224">S155+T155</f>
        <v>30.171093613175291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22.458965779458772</v>
      </c>
      <c r="T155" s="133">
        <f>PV($C$1, ($AB$3-$S$3), 0, -AE68)</f>
        <v>7.7121278337165196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222"/>
        <v>6991.848719081333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5204.6403464946879</v>
      </c>
      <c r="T157" s="133">
        <f>PV($C$1, ($AB$3-$S$3), 0, -AE70)</f>
        <v>1787.2083725866453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225">S159+T159</f>
        <v>111.89526355213916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83.29336441101357</v>
      </c>
      <c r="T159" s="133">
        <f>PV($C$1, ($AB$3-$S$3), 0, -AE72)</f>
        <v>28.601899141125589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225"/>
        <v>181.6527538045803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135.21992386977834</v>
      </c>
      <c r="T160" s="133">
        <f>PV($C$1, ($AB$3-$S$3), 0, -AE73)</f>
        <v>46.432829934801973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225"/>
        <v>-69.757490252441158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-51.926559458764778</v>
      </c>
      <c r="T161" s="133">
        <f>PV($C$1, ($AB$3-$S$3), 0, -AE74)</f>
        <v>-17.830930793676387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225"/>
        <v>-221.31183455723718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-164.74162264836539</v>
      </c>
      <c r="T162" s="133">
        <f>PV($C$1, ($AB$3-$S$3), 0, -AE75)</f>
        <v>-56.570211908871784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18.059045699870559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13.442916408106619</v>
      </c>
      <c r="T164" s="133">
        <f>PV($C$1, ($AB$3-$S$3), 0, -AE76)</f>
        <v>4.6161292917639392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240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300</v>
      </c>
      <c r="Q166" s="20">
        <v>225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310</v>
      </c>
      <c r="H167" s="22">
        <v>450</v>
      </c>
      <c r="I167" s="22">
        <v>120</v>
      </c>
      <c r="J167" s="22">
        <v>190</v>
      </c>
      <c r="K167" s="22">
        <v>200</v>
      </c>
      <c r="L167" s="22">
        <v>140</v>
      </c>
      <c r="M167" s="22">
        <v>150</v>
      </c>
      <c r="N167" s="22">
        <v>150</v>
      </c>
      <c r="O167" s="22">
        <v>210</v>
      </c>
      <c r="P167" s="22">
        <v>225</v>
      </c>
      <c r="Q167" s="118">
        <f t="shared" ref="Q167:Q172" si="226">((P167/G167)^(1/($H$2-$H$1) ))-1</f>
        <v>-3.4981482167816158E-2</v>
      </c>
      <c r="R167" s="31">
        <f>L2-3%</f>
        <v>0.09</v>
      </c>
      <c r="S167" s="119">
        <f t="shared" ref="S167" si="227">P167*(1+$R167)</f>
        <v>245.25000000000003</v>
      </c>
      <c r="T167" s="119">
        <f t="shared" ref="T167:AB167" si="228">S167*(1+$R167)</f>
        <v>267.32250000000005</v>
      </c>
      <c r="U167" s="119">
        <f t="shared" si="228"/>
        <v>291.38152500000007</v>
      </c>
      <c r="V167" s="119">
        <f t="shared" si="228"/>
        <v>317.60586225000009</v>
      </c>
      <c r="W167" s="119">
        <f t="shared" si="228"/>
        <v>346.19038985250012</v>
      </c>
      <c r="X167" s="119">
        <f t="shared" si="228"/>
        <v>377.34752493922514</v>
      </c>
      <c r="Y167" s="119">
        <f t="shared" si="228"/>
        <v>411.3088021837554</v>
      </c>
      <c r="Z167" s="119">
        <f t="shared" si="228"/>
        <v>448.32659438029344</v>
      </c>
      <c r="AA167" s="119">
        <f t="shared" si="228"/>
        <v>488.67598787451988</v>
      </c>
      <c r="AB167" s="119">
        <f t="shared" si="228"/>
        <v>532.65682678322673</v>
      </c>
      <c r="AC167" s="138">
        <f t="shared" ref="AC167:AC172" si="229">((AB167/G167)^(1/($AB$3-$H$1) ))-1</f>
        <v>2.8899454658387613E-2</v>
      </c>
      <c r="AD167" s="31">
        <v>0.08</v>
      </c>
      <c r="AE167" s="127">
        <f t="shared" ref="AE167:AE175" si="230">(AB167*(1+AC167))/($C$1-AD167)</f>
        <v>5480.5031859732926</v>
      </c>
    </row>
    <row r="168" spans="2:31" x14ac:dyDescent="0.2">
      <c r="B168" s="20" t="s">
        <v>361</v>
      </c>
      <c r="C168" s="25" t="e">
        <f>C167/C49</f>
        <v>#DIV/0!</v>
      </c>
      <c r="D168" s="25" t="e">
        <f>D167/D49</f>
        <v>#DIV/0!</v>
      </c>
      <c r="E168" s="25" t="e">
        <f>E167/E49</f>
        <v>#DIV/0!</v>
      </c>
      <c r="F168" s="25" t="e">
        <f>F167/F49</f>
        <v>#DIV/0!</v>
      </c>
      <c r="G168" s="25">
        <f>G167/G49</f>
        <v>1.1573333333333335</v>
      </c>
      <c r="H168" s="25">
        <f>H167/H49</f>
        <v>1.4594594594594597</v>
      </c>
      <c r="I168" s="25">
        <f>I167/I49</f>
        <v>3.1903055848261328</v>
      </c>
      <c r="J168" s="25">
        <f>J167/J49</f>
        <v>3.7160465116279071</v>
      </c>
      <c r="K168" s="25">
        <f>K167/K49</f>
        <v>2.8636106395019807</v>
      </c>
      <c r="L168" s="25">
        <f>L167/L49</f>
        <v>1.7906976744186049</v>
      </c>
      <c r="M168" s="25">
        <f>M167/M49</f>
        <v>3.3785046728971966</v>
      </c>
      <c r="N168" s="25">
        <f>N167/N49</f>
        <v>2.7625545851528384</v>
      </c>
      <c r="O168" s="25">
        <f>O167/O49</f>
        <v>3.3373825923606759</v>
      </c>
      <c r="P168" s="25">
        <f>P167/P49</f>
        <v>3.0335349815886374</v>
      </c>
      <c r="Q168" s="118">
        <f t="shared" ref="Q168" si="231">((P168/G168)^(1/($H$2-$H$1) ))-1</f>
        <v>0.11300970061900872</v>
      </c>
      <c r="R168" s="128"/>
      <c r="S168" s="25">
        <f>S167/S49</f>
        <v>3.0113251719020062</v>
      </c>
      <c r="T168" s="25">
        <f>T167/T49</f>
        <v>2.9892779697505811</v>
      </c>
      <c r="U168" s="25">
        <f>U167/U49</f>
        <v>2.9673921846149067</v>
      </c>
      <c r="V168" s="25">
        <f>V167/V49</f>
        <v>2.9456666346918334</v>
      </c>
      <c r="W168" s="25">
        <f>W167/W49</f>
        <v>2.9241001468306971</v>
      </c>
      <c r="X168" s="25">
        <f>X167/X49</f>
        <v>2.9026915564699722</v>
      </c>
      <c r="Y168" s="25">
        <f>Y167/Y49</f>
        <v>2.8814397075743883</v>
      </c>
      <c r="Z168" s="25">
        <f>Z167/Z49</f>
        <v>2.8603434525725042</v>
      </c>
      <c r="AA168" s="25">
        <f>AA167/AA49</f>
        <v>2.839401652294741</v>
      </c>
      <c r="AB168" s="25">
        <f>AB167/AB49</f>
        <v>2.8186131759118691</v>
      </c>
      <c r="AC168" s="138">
        <f t="shared" ref="AC168" si="232">((AB168/G168)^(1/($AB$3-$H$1) ))-1</f>
        <v>4.796350498340618E-2</v>
      </c>
      <c r="AD168" s="31">
        <v>0.08</v>
      </c>
      <c r="AE168" s="127">
        <f t="shared" ref="AE168" si="233">(AB168*(1+AC168))/($C$1-AD168)</f>
        <v>29.538037430210128</v>
      </c>
    </row>
    <row r="169" spans="2:31" x14ac:dyDescent="0.2">
      <c r="B169" s="20" t="s">
        <v>389</v>
      </c>
      <c r="C169" s="25" t="e">
        <f>C167/C52</f>
        <v>#DIV/0!</v>
      </c>
      <c r="D169" s="25" t="e">
        <f>D167/D52</f>
        <v>#DIV/0!</v>
      </c>
      <c r="E169" s="25" t="e">
        <f>E167/E52</f>
        <v>#DIV/0!</v>
      </c>
      <c r="F169" s="25" t="e">
        <f>F167/F52</f>
        <v>#DIV/0!</v>
      </c>
      <c r="G169" s="25">
        <f>G167/G52</f>
        <v>12.806557377049181</v>
      </c>
      <c r="H169" s="25">
        <f>H167/H52</f>
        <v>15.75</v>
      </c>
      <c r="I169" s="25">
        <f>I167/I52</f>
        <v>35.204651162790697</v>
      </c>
      <c r="J169" s="25">
        <f>J167/J52</f>
        <v>43.18648648648648</v>
      </c>
      <c r="K169" s="25">
        <f>K167/K52</f>
        <v>29.5906432748538</v>
      </c>
      <c r="L169" s="25">
        <f>L167/L52</f>
        <v>32.200000000000003</v>
      </c>
      <c r="M169" s="25">
        <f>M167/M52</f>
        <v>27.605454545454545</v>
      </c>
      <c r="N169" s="25">
        <f>N167/N52</f>
        <v>24.647727272727273</v>
      </c>
      <c r="O169" s="25">
        <f>O167/O52</f>
        <v>33.104347826086958</v>
      </c>
      <c r="P169" s="25">
        <f>P167/P52</f>
        <v>27.395486935866984</v>
      </c>
      <c r="Q169" s="118">
        <f t="shared" si="226"/>
        <v>8.8163287048811823E-2</v>
      </c>
      <c r="R169" s="128"/>
      <c r="S169" s="119">
        <f>S167/S52</f>
        <v>27.19491283508653</v>
      </c>
      <c r="T169" s="119">
        <f>T167/T52</f>
        <v>26.995807223258215</v>
      </c>
      <c r="U169" s="119">
        <f>U167/U52</f>
        <v>26.798159348945074</v>
      </c>
      <c r="V169" s="119">
        <f>V167/V52</f>
        <v>26.601958539426011</v>
      </c>
      <c r="W169" s="119">
        <f>W167/W52</f>
        <v>26.407194200119502</v>
      </c>
      <c r="X169" s="119">
        <f>X167/X52</f>
        <v>26.213855814011481</v>
      </c>
      <c r="Y169" s="119">
        <f>Y167/Y52</f>
        <v>26.021932941087467</v>
      </c>
      <c r="Z169" s="119">
        <f>Z167/Z52</f>
        <v>25.831415217768789</v>
      </c>
      <c r="AA169" s="119">
        <f>AA167/AA52</f>
        <v>25.642292356352986</v>
      </c>
      <c r="AB169" s="119">
        <f>AB167/AB52</f>
        <v>25.45455414445826</v>
      </c>
      <c r="AC169" s="138">
        <f t="shared" si="229"/>
        <v>3.6816122432441256E-2</v>
      </c>
      <c r="AD169" s="31">
        <v>0.08</v>
      </c>
      <c r="AE169" s="127">
        <f t="shared" si="230"/>
        <v>263.91692126303843</v>
      </c>
    </row>
    <row r="170" spans="2:31" x14ac:dyDescent="0.2">
      <c r="B170" s="20" t="s">
        <v>258</v>
      </c>
      <c r="C170" s="25" t="e">
        <f>C167/C55</f>
        <v>#DIV/0!</v>
      </c>
      <c r="D170" s="25" t="e">
        <f>D167/D55</f>
        <v>#DIV/0!</v>
      </c>
      <c r="E170" s="25" t="e">
        <f>E167/E55</f>
        <v>#DIV/0!</v>
      </c>
      <c r="F170" s="25" t="e">
        <f>F167/F55</f>
        <v>#DIV/0!</v>
      </c>
      <c r="G170" s="25">
        <f>G167/G55</f>
        <v>2.7031141868512112</v>
      </c>
      <c r="H170" s="25">
        <f>H167/H55</f>
        <v>3.3749999999999996</v>
      </c>
      <c r="I170" s="25">
        <f>I167/I55</f>
        <v>7.8030927835051553</v>
      </c>
      <c r="J170" s="25">
        <f>J167/J55</f>
        <v>10.535604395604397</v>
      </c>
      <c r="K170" s="25">
        <f>K167/K55</f>
        <v>8.5617597292724206</v>
      </c>
      <c r="L170" s="25">
        <f>L167/L55</f>
        <v>5.2944693572496258</v>
      </c>
      <c r="M170" s="25">
        <f>M167/M55</f>
        <v>9.2466504263093796</v>
      </c>
      <c r="N170" s="25">
        <f>N167/N55</f>
        <v>7.341876208897486</v>
      </c>
      <c r="O170" s="25">
        <f>O167/O55</f>
        <v>8.3604705882352945</v>
      </c>
      <c r="P170" s="25">
        <f>P167/P55</f>
        <v>7.2084374999999996</v>
      </c>
      <c r="Q170" s="118">
        <f t="shared" si="226"/>
        <v>0.11514347997440288</v>
      </c>
      <c r="R170" s="128"/>
      <c r="S170" s="119">
        <f>S167/S55</f>
        <v>7.1556614397321425</v>
      </c>
      <c r="T170" s="119">
        <f>T167/T55</f>
        <v>7.1032717756198167</v>
      </c>
      <c r="U170" s="119">
        <f>U167/U55</f>
        <v>7.0512656786911725</v>
      </c>
      <c r="V170" s="119">
        <f>V167/V55</f>
        <v>6.9996403406864687</v>
      </c>
      <c r="W170" s="119">
        <f>W167/W55</f>
        <v>6.9483929739064427</v>
      </c>
      <c r="X170" s="119">
        <f>X167/X55</f>
        <v>6.8975208110617707</v>
      </c>
      <c r="Y170" s="119">
        <f>Y167/Y55</f>
        <v>6.8470211051236403</v>
      </c>
      <c r="Z170" s="119">
        <f>Z167/Z55</f>
        <v>6.7968911291754148</v>
      </c>
      <c r="AA170" s="119">
        <f>AA167/AA55</f>
        <v>6.7471281762653801</v>
      </c>
      <c r="AB170" s="119">
        <f>AB167/AB55</f>
        <v>6.697729559260579</v>
      </c>
      <c r="AC170" s="138">
        <f t="shared" si="229"/>
        <v>4.8914693679386279E-2</v>
      </c>
      <c r="AD170" s="31">
        <v>0.08</v>
      </c>
      <c r="AE170" s="127">
        <f t="shared" si="230"/>
        <v>70.253469489991815</v>
      </c>
    </row>
    <row r="171" spans="2:31" x14ac:dyDescent="0.2">
      <c r="B171" s="20" t="s">
        <v>259</v>
      </c>
      <c r="C171" s="25" t="e">
        <f>C167/C64</f>
        <v>#DIV/0!</v>
      </c>
      <c r="D171" s="25" t="e">
        <f>D167/D64</f>
        <v>#DIV/0!</v>
      </c>
      <c r="E171" s="25" t="e">
        <f>E167/E64</f>
        <v>#DIV/0!</v>
      </c>
      <c r="F171" s="25" t="e">
        <f>F167/F64</f>
        <v>#DIV/0!</v>
      </c>
      <c r="G171" s="25">
        <f>G167/G64</f>
        <v>29.479245283018869</v>
      </c>
      <c r="H171" s="25">
        <f>H167/H64</f>
        <v>34.363636363636367</v>
      </c>
      <c r="I171" s="25">
        <f>I167/I64</f>
        <v>94.612499999999997</v>
      </c>
      <c r="J171" s="25">
        <f>J167/J64</f>
        <v>88.772222222222226</v>
      </c>
      <c r="K171" s="25">
        <f>K167/K64</f>
        <v>28.874686144715817</v>
      </c>
      <c r="L171" s="25">
        <f>L167/L64</f>
        <v>19.145945945945943</v>
      </c>
      <c r="M171" s="25">
        <f>M167/M64</f>
        <v>24.253993610223642</v>
      </c>
      <c r="N171" s="25">
        <f>N167/N64</f>
        <v>27.807692307692307</v>
      </c>
      <c r="O171" s="25">
        <f>O167/O64</f>
        <v>28.73207547169811</v>
      </c>
      <c r="P171" s="25">
        <f>P167/P64</f>
        <v>25.976351351351351</v>
      </c>
      <c r="Q171" s="118">
        <f t="shared" si="226"/>
        <v>-1.3957227037197151E-2</v>
      </c>
      <c r="R171" s="128"/>
      <c r="S171" s="119">
        <f>S167/S64</f>
        <v>25.786167350386101</v>
      </c>
      <c r="T171" s="119">
        <f>T167/T64</f>
        <v>25.597375767999345</v>
      </c>
      <c r="U171" s="119">
        <f>U167/U64</f>
        <v>25.409966409697919</v>
      </c>
      <c r="V171" s="119">
        <f>V167/V64</f>
        <v>25.223929155626912</v>
      </c>
      <c r="W171" s="119">
        <f>W167/W64</f>
        <v>25.03925396002322</v>
      </c>
      <c r="X171" s="119">
        <f>X167/X64</f>
        <v>24.855930850673055</v>
      </c>
      <c r="Y171" s="119">
        <f>Y167/Y64</f>
        <v>24.673949928373474</v>
      </c>
      <c r="Z171" s="119">
        <f>Z167/Z64</f>
        <v>24.493301366397887</v>
      </c>
      <c r="AA171" s="119">
        <f>AA167/AA64</f>
        <v>24.313975409965327</v>
      </c>
      <c r="AB171" s="119">
        <f>AB167/AB64</f>
        <v>24.135962375713799</v>
      </c>
      <c r="AC171" s="138">
        <f t="shared" si="229"/>
        <v>-1.0470249878491655E-2</v>
      </c>
      <c r="AD171" s="31">
        <v>0.08</v>
      </c>
      <c r="AE171" s="127">
        <f t="shared" si="230"/>
        <v>238.83252818582204</v>
      </c>
    </row>
    <row r="172" spans="2:31" x14ac:dyDescent="0.2">
      <c r="B172" s="20" t="s">
        <v>260</v>
      </c>
      <c r="C172" s="25" t="e">
        <f>C167/C66</f>
        <v>#DIV/0!</v>
      </c>
      <c r="D172" s="25" t="e">
        <f>D167/D66</f>
        <v>#DIV/0!</v>
      </c>
      <c r="E172" s="25" t="e">
        <f>E167/E66</f>
        <v>#DIV/0!</v>
      </c>
      <c r="F172" s="25" t="e">
        <f>F167/F66</f>
        <v>#DIV/0!</v>
      </c>
      <c r="G172" s="25">
        <f>G167/G66</f>
        <v>5.918181818181818</v>
      </c>
      <c r="H172" s="25">
        <f>H167/H66</f>
        <v>7.8206896551724139</v>
      </c>
      <c r="I172" s="25">
        <f>I167/I66</f>
        <v>20.595918367346936</v>
      </c>
      <c r="J172" s="25">
        <f>J167/J66</f>
        <v>21.400446428571428</v>
      </c>
      <c r="K172" s="25">
        <f>K167/K66</f>
        <v>10.607966457023062</v>
      </c>
      <c r="L172" s="25">
        <f>L167/L66</f>
        <v>7.9595505617977533</v>
      </c>
      <c r="M172" s="25">
        <f>M167/M66</f>
        <v>32.442307692307686</v>
      </c>
      <c r="N172" s="25">
        <f>N167/N66</f>
        <v>22.59375</v>
      </c>
      <c r="O172" s="25">
        <f>O167/O66</f>
        <v>29.204383561643834</v>
      </c>
      <c r="P172" s="25">
        <f>P167/P66</f>
        <v>34.428358208955224</v>
      </c>
      <c r="Q172" s="118">
        <f t="shared" si="226"/>
        <v>0.21610137309330923</v>
      </c>
      <c r="R172" s="128"/>
      <c r="S172" s="119">
        <f>S167/S66</f>
        <v>34.176293443496803</v>
      </c>
      <c r="T172" s="119">
        <f>T167/T66</f>
        <v>33.926074152214049</v>
      </c>
      <c r="U172" s="119">
        <f>U167/U66</f>
        <v>33.677686823599622</v>
      </c>
      <c r="V172" s="119">
        <f>V167/V66</f>
        <v>33.431118045069702</v>
      </c>
      <c r="W172" s="119">
        <f>W167/W66</f>
        <v>33.186354502239723</v>
      </c>
      <c r="X172" s="119">
        <f>X167/X66</f>
        <v>32.943382978205463</v>
      </c>
      <c r="Y172" s="119">
        <f>Y167/Y66</f>
        <v>32.702190352829319</v>
      </c>
      <c r="Z172" s="119">
        <f>Z167/Z66</f>
        <v>32.462763602031821</v>
      </c>
      <c r="AA172" s="119">
        <f>AA167/AA66</f>
        <v>32.225089797088373</v>
      </c>
      <c r="AB172" s="119">
        <f>AB167/AB66</f>
        <v>31.989156103931119</v>
      </c>
      <c r="AC172" s="138">
        <f t="shared" si="229"/>
        <v>9.2871707882490551E-2</v>
      </c>
      <c r="AD172" s="31">
        <v>0.08</v>
      </c>
      <c r="AE172" s="127">
        <f t="shared" si="230"/>
        <v>349.60043665022806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>G167/G60</f>
        <v>2.0370273794002611</v>
      </c>
      <c r="H173" s="182">
        <f>H167/H60</f>
        <v>2.5714285714285716</v>
      </c>
      <c r="I173" s="182">
        <f>I167/I60</f>
        <v>5.9598425196850391</v>
      </c>
      <c r="J173" s="182">
        <f>J167/J60</f>
        <v>8.6372972972972963</v>
      </c>
      <c r="K173" s="182">
        <f>K167/K60</f>
        <v>9.387755102040817</v>
      </c>
      <c r="L173" s="182">
        <f>L167/L60</f>
        <v>8.4534606205250604</v>
      </c>
      <c r="M173" s="182">
        <f>M167/M60</f>
        <v>12.030903328050712</v>
      </c>
      <c r="N173" s="182">
        <f>N167/N60</f>
        <v>7.3561046511627914</v>
      </c>
      <c r="O173" s="182">
        <f>O167/O60</f>
        <v>6.868298969072165</v>
      </c>
      <c r="P173" s="182">
        <f>P167/P60</f>
        <v>5.7352063649925409</v>
      </c>
      <c r="Q173" s="118">
        <f t="shared" ref="Q173:Q175" si="234">((P173/G173)^(1/($H$2-$H$1) ))-1</f>
        <v>0.12188991117929127</v>
      </c>
      <c r="R173" s="128"/>
      <c r="S173" s="135">
        <f>S167/S60</f>
        <v>5.6932164612488441</v>
      </c>
      <c r="T173" s="135">
        <f>T167/T60</f>
        <v>5.6515339835861322</v>
      </c>
      <c r="U173" s="135">
        <f>U167/U60</f>
        <v>5.6101566812063037</v>
      </c>
      <c r="V173" s="135">
        <f>V167/V60</f>
        <v>5.5690823197903283</v>
      </c>
      <c r="W173" s="135">
        <f>W167/W60</f>
        <v>5.5283086813775775</v>
      </c>
      <c r="X173" s="135">
        <f>X167/X60</f>
        <v>5.4878335642460634</v>
      </c>
      <c r="Y173" s="135">
        <f>Y167/Y60</f>
        <v>5.4476547827935473</v>
      </c>
      <c r="Z173" s="135">
        <f>Z167/Z60</f>
        <v>5.4077701674195238</v>
      </c>
      <c r="AA173" s="135">
        <f>AA167/AA60</f>
        <v>5.3681775644080592</v>
      </c>
      <c r="AB173" s="135">
        <f>AB167/AB60</f>
        <v>5.3288748358114999</v>
      </c>
      <c r="AC173" s="138">
        <f t="shared" ref="AC173" si="235">((AB173/G173)^(1/($AB$3-$H$1) ))-1</f>
        <v>5.1915808236746575E-2</v>
      </c>
      <c r="AD173" s="31">
        <v>0.08</v>
      </c>
      <c r="AE173" s="127">
        <f t="shared" si="230"/>
        <v>56.055276799051143</v>
      </c>
    </row>
    <row r="174" spans="2:31" x14ac:dyDescent="0.2">
      <c r="B174" s="20" t="s">
        <v>371</v>
      </c>
      <c r="C174" s="161" t="e">
        <f>C52/C167</f>
        <v>#DIV/0!</v>
      </c>
      <c r="D174" s="161" t="e">
        <f>D52/D167</f>
        <v>#DIV/0!</v>
      </c>
      <c r="E174" s="161" t="e">
        <f>E52/E167</f>
        <v>#DIV/0!</v>
      </c>
      <c r="F174" s="161" t="e">
        <f>F52/F167</f>
        <v>#DIV/0!</v>
      </c>
      <c r="G174" s="161">
        <f>G52/G167</f>
        <v>7.8084997439836143E-2</v>
      </c>
      <c r="H174" s="161">
        <f>H52/H167</f>
        <v>6.3492063492063489E-2</v>
      </c>
      <c r="I174" s="161">
        <f>I52/I167</f>
        <v>2.8405337561104506E-2</v>
      </c>
      <c r="J174" s="161">
        <f>J52/J167</f>
        <v>2.3155391451279806E-2</v>
      </c>
      <c r="K174" s="161">
        <f>K52/K167</f>
        <v>3.3794466403162055E-2</v>
      </c>
      <c r="L174" s="161">
        <f>L52/L167</f>
        <v>3.1055900621118012E-2</v>
      </c>
      <c r="M174" s="161">
        <f>M52/M167</f>
        <v>3.6224725021405522E-2</v>
      </c>
      <c r="N174" s="161">
        <f>N52/N167</f>
        <v>4.0571692023974176E-2</v>
      </c>
      <c r="O174" s="161">
        <f>O52/O167</f>
        <v>3.0207512477016023E-2</v>
      </c>
      <c r="P174" s="161">
        <f>P52/P167</f>
        <v>3.6502362682620193E-2</v>
      </c>
      <c r="Q174" s="118">
        <f t="shared" si="234"/>
        <v>-8.1020273425983724E-2</v>
      </c>
      <c r="R174" s="128"/>
      <c r="S174" s="161">
        <f>S52/S167</f>
        <v>3.6771583202495607E-2</v>
      </c>
      <c r="T174" s="161">
        <f>T52/T167</f>
        <v>3.7042789338725568E-2</v>
      </c>
      <c r="U174" s="161">
        <f>U52/U167</f>
        <v>3.7315995736079001E-2</v>
      </c>
      <c r="V174" s="161">
        <f>V52/V167</f>
        <v>3.7591217147336285E-2</v>
      </c>
      <c r="W174" s="161">
        <f>W52/W167</f>
        <v>3.7868468434085839E-2</v>
      </c>
      <c r="X174" s="161">
        <f>X52/X167</f>
        <v>3.8147764567526665E-2</v>
      </c>
      <c r="Y174" s="161">
        <f>Y52/Y167</f>
        <v>3.8429120629276725E-2</v>
      </c>
      <c r="Z174" s="161">
        <f>Z52/Z167</f>
        <v>3.8712551812187385E-2</v>
      </c>
      <c r="AA174" s="161">
        <f>AA52/AA167</f>
        <v>3.8998073421163758E-2</v>
      </c>
      <c r="AB174" s="161">
        <f>AB52/AB167</f>
        <v>3.9285700873991192E-2</v>
      </c>
      <c r="AC174" s="138">
        <f t="shared" ref="AC174:AC175" si="236">((AB174/G174)^(1/($AB$3-$H$1) ))-1</f>
        <v>-3.5508825177282266E-2</v>
      </c>
      <c r="AD174" s="31">
        <v>0.08</v>
      </c>
      <c r="AE174" s="127">
        <f t="shared" si="230"/>
        <v>0.37890711789689635</v>
      </c>
    </row>
    <row r="175" spans="2:31" x14ac:dyDescent="0.2">
      <c r="B175" s="20" t="s">
        <v>320</v>
      </c>
      <c r="C175" s="152" t="e">
        <f>C43/C167</f>
        <v>#DIV/0!</v>
      </c>
      <c r="D175" s="152" t="e">
        <f>D43/D167</f>
        <v>#DIV/0!</v>
      </c>
      <c r="E175" s="152" t="e">
        <f>E43/E167</f>
        <v>#DIV/0!</v>
      </c>
      <c r="F175" s="152" t="e">
        <f>F43/F167</f>
        <v>#DIV/0!</v>
      </c>
      <c r="G175" s="152">
        <f>G43/G167</f>
        <v>2.5806451612903226E-2</v>
      </c>
      <c r="H175" s="152">
        <f>H43/H167</f>
        <v>1.7777777777777778E-2</v>
      </c>
      <c r="I175" s="152">
        <f>I43/I167</f>
        <v>1.0416666666666666E-2</v>
      </c>
      <c r="J175" s="152">
        <f>J43/J167</f>
        <v>7.8947368421052634E-3</v>
      </c>
      <c r="K175" s="152">
        <f>K43/K167</f>
        <v>8.7500000000000008E-3</v>
      </c>
      <c r="L175" s="152">
        <f>L43/L167</f>
        <v>1.2500000000000001E-2</v>
      </c>
      <c r="M175" s="152">
        <f>M43/M167</f>
        <v>0.01</v>
      </c>
      <c r="N175" s="152">
        <f>N43/N167</f>
        <v>1.1666666666666667E-2</v>
      </c>
      <c r="O175" s="152">
        <f>O43/O167</f>
        <v>9.0476190476190474E-3</v>
      </c>
      <c r="P175" s="152">
        <f>P43/P167</f>
        <v>1.1555555555555557E-2</v>
      </c>
      <c r="Q175" s="118">
        <f t="shared" si="234"/>
        <v>-8.5404267265075773E-2</v>
      </c>
      <c r="R175" s="128"/>
      <c r="S175" s="152">
        <f>S43/S167</f>
        <v>1.1131498470948013E-2</v>
      </c>
      <c r="T175" s="152">
        <f>T43/T167</f>
        <v>1.0723003114215975E-2</v>
      </c>
      <c r="U175" s="152">
        <f>U43/U167</f>
        <v>1.0329498412776857E-2</v>
      </c>
      <c r="V175" s="152">
        <f>V43/V167</f>
        <v>9.9504342508400928E-3</v>
      </c>
      <c r="W175" s="152">
        <f>W43/W167</f>
        <v>9.5852807003505482E-3</v>
      </c>
      <c r="X175" s="152">
        <f>X43/X167</f>
        <v>9.2335272801541985E-3</v>
      </c>
      <c r="Y175" s="152">
        <f>Y43/Y167</f>
        <v>8.8946822423503751E-3</v>
      </c>
      <c r="Z175" s="152">
        <f>Z43/Z167</f>
        <v>8.5682718848329297E-3</v>
      </c>
      <c r="AA175" s="152">
        <f>AA43/AA167</f>
        <v>8.2538398890592436E-3</v>
      </c>
      <c r="AB175" s="152">
        <f>AB43/AB167</f>
        <v>7.9509466821212887E-3</v>
      </c>
      <c r="AC175" s="138">
        <f t="shared" si="236"/>
        <v>-6.0084143621273234E-2</v>
      </c>
      <c r="AD175" s="31">
        <v>0.08</v>
      </c>
      <c r="AE175" s="127">
        <f t="shared" si="230"/>
        <v>7.4732208597476285E-2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7" t="s">
        <v>351</v>
      </c>
      <c r="L178" s="198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0.86590625060810988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9.0861501253657856E-2</v>
      </c>
      <c r="N180" s="20"/>
      <c r="O180" s="20"/>
      <c r="P180" s="128">
        <f>(P167-R146)/P167</f>
        <v>9.0861501253657856E-2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0.25361130709586721</v>
      </c>
      <c r="N181" s="20"/>
      <c r="O181" s="20"/>
      <c r="P181" s="128">
        <f>(P167-R139)/P167</f>
        <v>0.25361130709586721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0.91678595310636279</v>
      </c>
      <c r="N182" s="20"/>
      <c r="O182" s="20"/>
      <c r="P182" s="128">
        <f>(P167-R152)/P167</f>
        <v>0.91678595310636279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0.91973757466724204</v>
      </c>
      <c r="N183" s="20"/>
      <c r="O183" s="20"/>
      <c r="P183" s="128">
        <f>(P167-R164)/P167</f>
        <v>0.91973757466724204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5.2541192533900523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407</v>
      </c>
      <c r="AD184" s="115" t="s">
        <v>408</v>
      </c>
      <c r="AE184" s="115" t="s">
        <v>409</v>
      </c>
      <c r="AF184" s="115" t="s">
        <v>410</v>
      </c>
      <c r="AG184" s="115" t="s">
        <v>411</v>
      </c>
      <c r="AH184" s="115" t="s">
        <v>412</v>
      </c>
      <c r="AI184" s="115" t="s">
        <v>413</v>
      </c>
      <c r="AJ184" s="115" t="s">
        <v>414</v>
      </c>
      <c r="AK184" s="115" t="s">
        <v>415</v>
      </c>
      <c r="AL184" s="115" t="s">
        <v>416</v>
      </c>
      <c r="AM184" s="115" t="s">
        <v>417</v>
      </c>
      <c r="AN184" s="115" t="s">
        <v>418</v>
      </c>
      <c r="AO184" s="115" t="s">
        <v>419</v>
      </c>
      <c r="AP184" s="115" t="s">
        <v>420</v>
      </c>
      <c r="AQ184" s="115" t="s">
        <v>421</v>
      </c>
      <c r="AR184" s="115" t="s">
        <v>422</v>
      </c>
      <c r="AS184" s="115" t="s">
        <v>423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0.19032685627658374</v>
      </c>
      <c r="Q185" s="20"/>
      <c r="R185" s="20"/>
      <c r="S185" s="185">
        <f>P167-S186</f>
        <v>214.24543928100866</v>
      </c>
      <c r="T185" s="185">
        <f>S185-T186</f>
        <v>202.41542249011817</v>
      </c>
      <c r="U185" s="185">
        <f t="shared" ref="U185:W185" si="237">T185-U186</f>
        <v>189.40240402013865</v>
      </c>
      <c r="V185" s="185">
        <f t="shared" si="237"/>
        <v>175.08808370316115</v>
      </c>
      <c r="W185" s="185">
        <f t="shared" si="237"/>
        <v>159.34233135448591</v>
      </c>
      <c r="X185" s="185">
        <f>W185-X186</f>
        <v>142.02200377094314</v>
      </c>
      <c r="Y185" s="185">
        <f t="shared" ref="Y185:AB185" si="238">X185-Y186</f>
        <v>122.9696434290461</v>
      </c>
      <c r="Z185" s="185">
        <f t="shared" si="238"/>
        <v>102.01204705295935</v>
      </c>
      <c r="AA185" s="185">
        <f t="shared" si="238"/>
        <v>78.958691039263925</v>
      </c>
      <c r="AB185" s="185">
        <f t="shared" si="238"/>
        <v>53.599999424198955</v>
      </c>
      <c r="AC185" s="185">
        <f t="shared" ref="AC185" si="239">AB185-AC186</f>
        <v>25.705438647627481</v>
      </c>
      <c r="AD185" s="185">
        <f t="shared" ref="AD185" si="240">AC185-AD186</f>
        <v>-4.9785782066011421</v>
      </c>
      <c r="AE185" s="185">
        <f t="shared" ref="AE185" si="241">AD185-AE186</f>
        <v>-38.730996746252629</v>
      </c>
      <c r="AF185" s="185">
        <f t="shared" ref="AF185" si="242">AE185-AF186</f>
        <v>-75.858657139869266</v>
      </c>
      <c r="AG185" s="185">
        <f t="shared" ref="AG185" si="243">AF185-AG186</f>
        <v>-116.69908357284757</v>
      </c>
      <c r="AH185" s="185">
        <f t="shared" ref="AH185" si="244">AG185-AH186</f>
        <v>-161.62355264912372</v>
      </c>
      <c r="AI185" s="185">
        <f t="shared" ref="AI185" si="245">AH185-AI186</f>
        <v>-211.04046863302747</v>
      </c>
      <c r="AJ185" s="185">
        <f t="shared" ref="AJ185" si="246">AI185-AJ186</f>
        <v>-265.3990762153216</v>
      </c>
      <c r="AK185" s="185">
        <f t="shared" ref="AK185" si="247">AJ185-AK186</f>
        <v>-325.19354455584516</v>
      </c>
      <c r="AL185" s="185">
        <f t="shared" ref="AL185" si="248">AK185-AL186</f>
        <v>-390.96745973042107</v>
      </c>
      <c r="AM185" s="185">
        <f t="shared" ref="AM185" si="249">AL185-AM186</f>
        <v>-463.31876642245459</v>
      </c>
      <c r="AN185" s="185">
        <f t="shared" ref="AN185" si="250">AM185-AN186</f>
        <v>-542.90520378369149</v>
      </c>
      <c r="AO185" s="185">
        <f t="shared" ref="AO185" si="251">AN185-AO186</f>
        <v>-630.45028488105208</v>
      </c>
      <c r="AP185" s="185">
        <f t="shared" ref="AP185" si="252">AO185-AP186</f>
        <v>-726.74987408814866</v>
      </c>
      <c r="AQ185" s="185">
        <f t="shared" ref="AQ185" si="253">AP185-AQ186</f>
        <v>-832.6794222159549</v>
      </c>
      <c r="AR185" s="185">
        <f t="shared" ref="AR185" si="254">AQ185-AR186</f>
        <v>-949.20192515654185</v>
      </c>
      <c r="AS185" s="185">
        <f t="shared" ref="AS185" si="255">AR185-AS186</f>
        <v>-1077.3766783911874</v>
      </c>
    </row>
    <row r="186" spans="2:45" x14ac:dyDescent="0.2">
      <c r="B186" s="20" t="s">
        <v>396</v>
      </c>
      <c r="C186" s="20"/>
      <c r="D186" s="20"/>
      <c r="E186" s="20"/>
      <c r="F186" s="20"/>
      <c r="G186" s="20"/>
      <c r="H186" s="20"/>
      <c r="I186" s="20"/>
      <c r="J186" s="20"/>
      <c r="K186" s="184">
        <v>0.1</v>
      </c>
      <c r="L186" s="20"/>
      <c r="M186" s="24">
        <v>11</v>
      </c>
      <c r="N186" s="20"/>
      <c r="O186" s="20"/>
      <c r="P186" s="181">
        <f>P167/Q137</f>
        <v>23.013492272440541</v>
      </c>
      <c r="Q186" s="20"/>
      <c r="R186" s="20"/>
      <c r="S186" s="186">
        <f>Q137*(1+$K$186)</f>
        <v>10.754560718991351</v>
      </c>
      <c r="T186" s="186">
        <f>S186*(1+$K$186)</f>
        <v>11.830016790890488</v>
      </c>
      <c r="U186" s="186">
        <f t="shared" ref="U186:AB186" si="256">T186*(1+$K$186)</f>
        <v>13.013018469979537</v>
      </c>
      <c r="V186" s="186">
        <f t="shared" si="256"/>
        <v>14.314320316977492</v>
      </c>
      <c r="W186" s="186">
        <f t="shared" si="256"/>
        <v>15.745752348675243</v>
      </c>
      <c r="X186" s="186">
        <f t="shared" si="256"/>
        <v>17.320327583542767</v>
      </c>
      <c r="Y186" s="186">
        <f t="shared" si="256"/>
        <v>19.052360341897046</v>
      </c>
      <c r="Z186" s="186">
        <f t="shared" si="256"/>
        <v>20.957596376086752</v>
      </c>
      <c r="AA186" s="186">
        <f t="shared" si="256"/>
        <v>23.053356013695428</v>
      </c>
      <c r="AB186" s="186">
        <f t="shared" si="256"/>
        <v>25.358691615064973</v>
      </c>
      <c r="AC186" s="186">
        <f t="shared" ref="AC186" si="257">AB186*(1+$K$186)</f>
        <v>27.894560776571474</v>
      </c>
      <c r="AD186" s="186">
        <f t="shared" ref="AD186" si="258">AC186*(1+$K$186)</f>
        <v>30.684016854228624</v>
      </c>
      <c r="AE186" s="186">
        <f t="shared" ref="AE186" si="259">AD186*(1+$K$186)</f>
        <v>33.752418539651487</v>
      </c>
      <c r="AF186" s="186">
        <f t="shared" ref="AF186" si="260">AE186*(1+$K$186)</f>
        <v>37.127660393616637</v>
      </c>
      <c r="AG186" s="186">
        <f t="shared" ref="AG186" si="261">AF186*(1+$K$186)</f>
        <v>40.840426432978305</v>
      </c>
      <c r="AH186" s="186">
        <f t="shared" ref="AH186" si="262">AG186*(1+$K$186)</f>
        <v>44.924469076276139</v>
      </c>
      <c r="AI186" s="186">
        <f t="shared" ref="AI186" si="263">AH186*(1+$K$186)</f>
        <v>49.416915983903756</v>
      </c>
      <c r="AJ186" s="186">
        <f t="shared" ref="AJ186" si="264">AI186*(1+$K$186)</f>
        <v>54.358607582294134</v>
      </c>
      <c r="AK186" s="186">
        <f t="shared" ref="AK186" si="265">AJ186*(1+$K$186)</f>
        <v>59.794468340523551</v>
      </c>
      <c r="AL186" s="186">
        <f t="shared" ref="AL186" si="266">AK186*(1+$K$186)</f>
        <v>65.773915174575905</v>
      </c>
      <c r="AM186" s="186">
        <f t="shared" ref="AM186" si="267">AL186*(1+$K$186)</f>
        <v>72.351306692033504</v>
      </c>
      <c r="AN186" s="186">
        <f t="shared" ref="AN186" si="268">AM186*(1+$K$186)</f>
        <v>79.586437361236861</v>
      </c>
      <c r="AO186" s="186">
        <f t="shared" ref="AO186" si="269">AN186*(1+$K$186)</f>
        <v>87.545081097360551</v>
      </c>
      <c r="AP186" s="186">
        <f t="shared" ref="AP186" si="270">AO186*(1+$K$186)</f>
        <v>96.299589207096616</v>
      </c>
      <c r="AQ186" s="186">
        <f t="shared" ref="AQ186" si="271">AP186*(1+$K$186)</f>
        <v>105.92954812780629</v>
      </c>
      <c r="AR186" s="186">
        <f t="shared" ref="AR186" si="272">AQ186*(1+$K$186)</f>
        <v>116.52250294058692</v>
      </c>
      <c r="AS186" s="186">
        <f t="shared" ref="AS186" si="273">AR186*(1+$K$186)</f>
        <v>128.17475323464561</v>
      </c>
    </row>
    <row r="187" spans="2:45" x14ac:dyDescent="0.2">
      <c r="B187" s="20" t="s">
        <v>395</v>
      </c>
      <c r="C187" s="20"/>
      <c r="D187" s="20"/>
      <c r="E187" s="20"/>
      <c r="F187" s="20"/>
      <c r="G187" s="20"/>
      <c r="H187" s="20"/>
      <c r="I187" s="20"/>
      <c r="J187" s="20"/>
      <c r="K187" s="184">
        <v>0.15</v>
      </c>
      <c r="L187" s="20"/>
      <c r="M187" s="24">
        <v>10</v>
      </c>
      <c r="N187" s="20"/>
      <c r="O187" s="20"/>
      <c r="P187" s="181">
        <f>P167/P52</f>
        <v>27.395486935866984</v>
      </c>
      <c r="Q187" s="20"/>
      <c r="R187" s="20"/>
      <c r="S187" s="186">
        <f>P52*(1+$K$187)</f>
        <v>9.4449863441279742</v>
      </c>
      <c r="T187" s="186">
        <f>S187*(1+$K$187)</f>
        <v>10.861734295747169</v>
      </c>
      <c r="U187" s="186">
        <f t="shared" ref="U187:AB187" si="274">T187*(1+$K$187)</f>
        <v>12.490994440109244</v>
      </c>
      <c r="V187" s="186">
        <f t="shared" si="274"/>
        <v>14.364643606125629</v>
      </c>
      <c r="W187" s="186">
        <f t="shared" si="274"/>
        <v>16.519340147044471</v>
      </c>
      <c r="X187" s="186">
        <f t="shared" si="274"/>
        <v>18.997241169101141</v>
      </c>
      <c r="Y187" s="186">
        <f t="shared" si="274"/>
        <v>21.846827344466309</v>
      </c>
      <c r="Z187" s="186">
        <f t="shared" si="274"/>
        <v>25.123851446136253</v>
      </c>
      <c r="AA187" s="186">
        <f t="shared" si="274"/>
        <v>28.89242916305669</v>
      </c>
      <c r="AB187" s="186">
        <f t="shared" si="274"/>
        <v>33.22629353751519</v>
      </c>
      <c r="AC187" s="186">
        <f t="shared" ref="AC187" si="275">AB187*(1+$K$187)</f>
        <v>38.210237568142468</v>
      </c>
      <c r="AD187" s="186">
        <f t="shared" ref="AD187" si="276">AC187*(1+$K$187)</f>
        <v>43.941773203363837</v>
      </c>
      <c r="AE187" s="186">
        <f t="shared" ref="AE187" si="277">AD187*(1+$K$187)</f>
        <v>50.533039183868411</v>
      </c>
      <c r="AF187" s="186">
        <f t="shared" ref="AF187" si="278">AE187*(1+$K$187)</f>
        <v>58.112995061448665</v>
      </c>
      <c r="AG187" s="186">
        <f t="shared" ref="AG187" si="279">AF187*(1+$K$187)</f>
        <v>66.829944320665959</v>
      </c>
      <c r="AH187" s="186">
        <f t="shared" ref="AH187" si="280">AG187*(1+$K$187)</f>
        <v>76.854435968765841</v>
      </c>
      <c r="AI187" s="186">
        <f t="shared" ref="AI187" si="281">AH187*(1+$K$187)</f>
        <v>88.382601364080713</v>
      </c>
      <c r="AJ187" s="186">
        <f t="shared" ref="AJ187" si="282">AI187*(1+$K$187)</f>
        <v>101.63999156869281</v>
      </c>
      <c r="AK187" s="186">
        <f t="shared" ref="AK187" si="283">AJ187*(1+$K$187)</f>
        <v>116.88599030399672</v>
      </c>
      <c r="AL187" s="186">
        <f t="shared" ref="AL187" si="284">AK187*(1+$K$187)</f>
        <v>134.41888884959621</v>
      </c>
      <c r="AM187" s="186">
        <f t="shared" ref="AM187" si="285">AL187*(1+$K$187)</f>
        <v>154.58172217703563</v>
      </c>
      <c r="AN187" s="186">
        <f t="shared" ref="AN187" si="286">AM187*(1+$K$187)</f>
        <v>177.76898050359097</v>
      </c>
      <c r="AO187" s="186">
        <f t="shared" ref="AO187" si="287">AN187*(1+$K$187)</f>
        <v>204.43432757912959</v>
      </c>
      <c r="AP187" s="186">
        <f t="shared" ref="AP187" si="288">AO187*(1+$K$187)</f>
        <v>235.099476715999</v>
      </c>
      <c r="AQ187" s="186">
        <f t="shared" ref="AQ187" si="289">AP187*(1+$K$187)</f>
        <v>270.36439822339884</v>
      </c>
      <c r="AR187" s="186">
        <f t="shared" ref="AR187" si="290">AQ187*(1+$K$187)</f>
        <v>310.91905795690866</v>
      </c>
      <c r="AS187" s="186">
        <f t="shared" ref="AS187" si="291">AR187*(1+$K$187)</f>
        <v>357.55691665044492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215.55501365587202</v>
      </c>
      <c r="T188" s="185">
        <f>S188-T187</f>
        <v>204.69327936012485</v>
      </c>
      <c r="U188" s="185">
        <f t="shared" ref="U188:Z188" si="292">T188-U187</f>
        <v>192.20228492001561</v>
      </c>
      <c r="V188" s="185">
        <f t="shared" si="292"/>
        <v>177.83764131388997</v>
      </c>
      <c r="W188" s="185">
        <f t="shared" si="292"/>
        <v>161.31830116684552</v>
      </c>
      <c r="X188" s="185">
        <f t="shared" si="292"/>
        <v>142.32105999774438</v>
      </c>
      <c r="Y188" s="185">
        <f t="shared" si="292"/>
        <v>120.47423265327808</v>
      </c>
      <c r="Z188" s="185">
        <f t="shared" si="292"/>
        <v>95.350381207141822</v>
      </c>
      <c r="AA188" s="185">
        <f>Z188-AA187</f>
        <v>66.457952044085133</v>
      </c>
      <c r="AB188" s="185">
        <f t="shared" ref="AB188" si="293">AA188-AB187</f>
        <v>33.231658506569943</v>
      </c>
      <c r="AC188" s="185">
        <f t="shared" ref="AC188" si="294">AB188-AC187</f>
        <v>-4.9785790615725247</v>
      </c>
      <c r="AD188" s="185">
        <f t="shared" ref="AD188" si="295">AC188-AD187</f>
        <v>-48.920352264936362</v>
      </c>
      <c r="AE188" s="185">
        <f t="shared" ref="AE188" si="296">AD188-AE187</f>
        <v>-99.45339144880478</v>
      </c>
      <c r="AF188" s="185">
        <f t="shared" ref="AF188" si="297">AE188-AF187</f>
        <v>-157.56638651025344</v>
      </c>
      <c r="AG188" s="185">
        <f t="shared" ref="AG188" si="298">AF188-AG187</f>
        <v>-224.3963308309194</v>
      </c>
      <c r="AH188" s="185">
        <f t="shared" ref="AH188" si="299">AG188-AH187</f>
        <v>-301.25076679968527</v>
      </c>
      <c r="AI188" s="185">
        <f t="shared" ref="AI188" si="300">AH188-AI187</f>
        <v>-389.63336816376597</v>
      </c>
      <c r="AJ188" s="185">
        <f t="shared" ref="AJ188" si="301">AI188-AJ187</f>
        <v>-491.27335973245874</v>
      </c>
      <c r="AK188" s="185">
        <f t="shared" ref="AK188" si="302">AJ188-AK187</f>
        <v>-608.15935003645541</v>
      </c>
      <c r="AL188" s="185">
        <f t="shared" ref="AL188" si="303">AK188-AL187</f>
        <v>-742.57823888605162</v>
      </c>
      <c r="AM188" s="185">
        <f t="shared" ref="AM188" si="304">AL188-AM187</f>
        <v>-897.15996106308728</v>
      </c>
      <c r="AN188" s="185">
        <f t="shared" ref="AN188" si="305">AM188-AN187</f>
        <v>-1074.9289415666783</v>
      </c>
      <c r="AO188" s="185">
        <f t="shared" ref="AO188" si="306">AN188-AO187</f>
        <v>-1279.3632691458079</v>
      </c>
      <c r="AP188" s="185">
        <f t="shared" ref="AP188" si="307">AO188-AP187</f>
        <v>-1514.462745861807</v>
      </c>
      <c r="AQ188" s="185">
        <f t="shared" ref="AQ188" si="308">AP188-AQ187</f>
        <v>-1784.8271440852059</v>
      </c>
      <c r="AR188" s="185">
        <f t="shared" ref="AR188" si="309">AQ188-AR187</f>
        <v>-2095.7462020421144</v>
      </c>
      <c r="AS188" s="185">
        <f t="shared" ref="AS188" si="310">AR188-AS187</f>
        <v>-2453.3031186925591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>C10/C7</f>
        <v>#DIV/0!</v>
      </c>
      <c r="D190" s="25" t="e">
        <f>D10/D7</f>
        <v>#DIV/0!</v>
      </c>
      <c r="E190" s="25" t="e">
        <f>E10/E7</f>
        <v>#DIV/0!</v>
      </c>
      <c r="F190" s="25" t="e">
        <f>F10/F7</f>
        <v>#DIV/0!</v>
      </c>
      <c r="G190" s="25">
        <f>G10/G7</f>
        <v>0.17777777777777778</v>
      </c>
      <c r="H190" s="25">
        <f>H10/H7</f>
        <v>0.17174515235457063</v>
      </c>
      <c r="I190" s="25">
        <f>I10/I7</f>
        <v>0.13559322033898305</v>
      </c>
      <c r="J190" s="25">
        <f>J10/J7</f>
        <v>0.30208333333333331</v>
      </c>
      <c r="K190" s="25">
        <f>K10/K7</f>
        <v>0.84838709677419355</v>
      </c>
      <c r="L190" s="25">
        <f>L10/L7</f>
        <v>0.9605678233438486</v>
      </c>
      <c r="M190" s="25">
        <f>M10/M7</f>
        <v>0.53669724770642202</v>
      </c>
      <c r="N190" s="25">
        <f>N10/N7</f>
        <v>0.30904059040590404</v>
      </c>
      <c r="O190" s="25">
        <f>O10/O7</f>
        <v>0.11161387631975868</v>
      </c>
      <c r="P190" s="25">
        <f>P10/P7</f>
        <v>3.0890369473046637E-2</v>
      </c>
      <c r="Q190" s="118">
        <f t="shared" ref="Q190:Q192" si="311">((P190/G190)^(1/($H$2-$H$1) ))-1</f>
        <v>-0.1767163049296363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7.4666666666666668</v>
      </c>
      <c r="H191" s="112">
        <f t="shared" ref="H191:P191" si="312">H10/H12</f>
        <v>4.4285714285714288</v>
      </c>
      <c r="I191" s="112">
        <f t="shared" si="312"/>
        <v>3.5</v>
      </c>
      <c r="J191" s="112">
        <f t="shared" si="312"/>
        <v>3.8157894736842106</v>
      </c>
      <c r="K191" s="112">
        <f t="shared" si="312"/>
        <v>3.058139534883721</v>
      </c>
      <c r="L191" s="112">
        <f t="shared" si="312"/>
        <v>3.8301886792452828</v>
      </c>
      <c r="M191" s="112">
        <f t="shared" si="312"/>
        <v>10.4</v>
      </c>
      <c r="N191" s="112">
        <f t="shared" si="312"/>
        <v>3.2524271844660193</v>
      </c>
      <c r="O191" s="112">
        <f t="shared" si="312"/>
        <v>0.54212454212454209</v>
      </c>
      <c r="P191" s="112">
        <f t="shared" si="312"/>
        <v>0.33774834437086093</v>
      </c>
      <c r="Q191" s="118">
        <f t="shared" si="311"/>
        <v>-0.29106342132808571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2.1132075471698113</v>
      </c>
      <c r="H192" s="25">
        <f t="shared" ref="H192:P192" si="313">H10/(H12+H13)</f>
        <v>1.8787878787878789</v>
      </c>
      <c r="I192" s="25">
        <f t="shared" si="313"/>
        <v>1.75</v>
      </c>
      <c r="J192" s="25">
        <f t="shared" si="313"/>
        <v>2.6851851851851851</v>
      </c>
      <c r="K192" s="25">
        <f t="shared" si="313"/>
        <v>3.0015978087194704</v>
      </c>
      <c r="L192" s="25">
        <f t="shared" si="313"/>
        <v>3.291891891891892</v>
      </c>
      <c r="M192" s="25">
        <f t="shared" si="313"/>
        <v>1.4952076677316295</v>
      </c>
      <c r="N192" s="25">
        <f t="shared" si="313"/>
        <v>1.2271062271062272</v>
      </c>
      <c r="O192" s="25">
        <f t="shared" si="313"/>
        <v>0.39892183288409705</v>
      </c>
      <c r="P192" s="25">
        <f t="shared" si="313"/>
        <v>0.11486486486486487</v>
      </c>
      <c r="Q192" s="118">
        <f t="shared" si="311"/>
        <v>-0.27644479414093459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4" t="s">
        <v>337</v>
      </c>
      <c r="M195" s="195"/>
      <c r="N195" s="196"/>
      <c r="O195" s="23" t="s">
        <v>340</v>
      </c>
      <c r="P195" s="20"/>
      <c r="Q195" s="194" t="s">
        <v>338</v>
      </c>
      <c r="R195" s="195"/>
      <c r="S195" s="196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320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15</v>
      </c>
      <c r="O197" s="173">
        <f>N197</f>
        <v>15</v>
      </c>
      <c r="P197" s="20"/>
      <c r="Q197" s="167" t="s">
        <v>341</v>
      </c>
      <c r="R197" s="167"/>
      <c r="S197" s="21">
        <v>320</v>
      </c>
      <c r="T197" s="173">
        <f>S197</f>
        <v>320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320</v>
      </c>
      <c r="E199" s="176" t="s">
        <v>397</v>
      </c>
      <c r="F199" s="22">
        <v>0</v>
      </c>
      <c r="G199" s="22">
        <v>2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343</v>
      </c>
      <c r="M199" s="167"/>
      <c r="N199" s="168">
        <f>N197*N198</f>
        <v>15</v>
      </c>
      <c r="O199" s="173">
        <f>N199</f>
        <v>15</v>
      </c>
      <c r="P199" s="20"/>
      <c r="Q199" s="167" t="s">
        <v>344</v>
      </c>
      <c r="R199" s="167"/>
      <c r="S199" s="168">
        <f>S197*S198</f>
        <v>320</v>
      </c>
      <c r="T199" s="173">
        <f>S199</f>
        <v>320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300</v>
      </c>
      <c r="O200" s="21">
        <v>315</v>
      </c>
      <c r="P200" s="20"/>
      <c r="Q200" s="167" t="s">
        <v>345</v>
      </c>
      <c r="R200" s="167"/>
      <c r="S200" s="21">
        <v>300</v>
      </c>
      <c r="T200" s="21">
        <v>320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300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300</v>
      </c>
      <c r="O201" s="168">
        <f>O200*O198</f>
        <v>315</v>
      </c>
      <c r="P201" s="20"/>
      <c r="Q201" s="167" t="s">
        <v>342</v>
      </c>
      <c r="R201" s="167"/>
      <c r="S201" s="21">
        <v>20</v>
      </c>
      <c r="T201" s="127">
        <f>S201</f>
        <v>20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20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6000</v>
      </c>
      <c r="T202" s="168">
        <f>T201*T200</f>
        <v>6400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6000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20</v>
      </c>
      <c r="O204" s="170">
        <f>O201/O199</f>
        <v>21</v>
      </c>
      <c r="P204" s="20"/>
      <c r="Q204" s="169" t="s">
        <v>347</v>
      </c>
      <c r="R204" s="169"/>
      <c r="S204" s="170">
        <f>S202/S199</f>
        <v>18.75</v>
      </c>
      <c r="T204" s="170">
        <f>T202/T199</f>
        <v>20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18.75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>
        <v>8</v>
      </c>
      <c r="N207" s="20">
        <v>12</v>
      </c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7" t="s">
        <v>27</v>
      </c>
      <c r="E208" s="188"/>
      <c r="F208" s="188"/>
      <c r="G208" s="189"/>
      <c r="H208" s="20"/>
      <c r="I208" s="187" t="s">
        <v>392</v>
      </c>
      <c r="J208" s="188"/>
      <c r="K208" s="189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320</v>
      </c>
      <c r="H209" s="20"/>
      <c r="I209" s="20" t="s">
        <v>28</v>
      </c>
      <c r="J209" s="127"/>
      <c r="K209" s="21">
        <f>G209</f>
        <v>320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6000</v>
      </c>
      <c r="H210" s="20"/>
      <c r="I210" s="20" t="s">
        <v>29</v>
      </c>
      <c r="J210" s="20"/>
      <c r="K210" s="21">
        <f>G210</f>
        <v>6000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10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0.34060281566503203</v>
      </c>
      <c r="H212" s="20"/>
      <c r="I212" s="23" t="s">
        <v>393</v>
      </c>
      <c r="J212" s="23"/>
      <c r="K212" s="23">
        <f>(K210-K209)/K209</f>
        <v>17.75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120</v>
      </c>
      <c r="H213" s="20"/>
      <c r="I213" s="23" t="s">
        <v>394</v>
      </c>
      <c r="J213" s="23"/>
      <c r="K213" s="23">
        <f>K210/K209</f>
        <v>18.75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10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0.34060281566503203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9" t="s">
        <v>27</v>
      </c>
      <c r="K5" s="199"/>
      <c r="M5" s="199" t="s">
        <v>65</v>
      </c>
      <c r="N5" s="19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9" t="s">
        <v>36</v>
      </c>
      <c r="K14" s="199"/>
      <c r="L14" s="19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99" t="s">
        <v>27</v>
      </c>
      <c r="S5" s="19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9" t="s">
        <v>36</v>
      </c>
      <c r="S14" s="199"/>
      <c r="T14" s="19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99" t="s">
        <v>27</v>
      </c>
      <c r="C2" s="199"/>
      <c r="E2" s="199" t="s">
        <v>65</v>
      </c>
      <c r="F2" s="199"/>
      <c r="H2" s="203" t="s">
        <v>36</v>
      </c>
      <c r="I2" s="20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0" t="s">
        <v>68</v>
      </c>
      <c r="E10" s="201"/>
      <c r="F10" s="201"/>
      <c r="G10" s="201"/>
      <c r="H10" s="202"/>
      <c r="I10" s="200" t="s">
        <v>72</v>
      </c>
      <c r="J10" s="201"/>
      <c r="K10" s="201"/>
      <c r="L10" s="20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2014-04-15T08:54:12Z</dcterms:modified>
</cp:coreProperties>
</file>
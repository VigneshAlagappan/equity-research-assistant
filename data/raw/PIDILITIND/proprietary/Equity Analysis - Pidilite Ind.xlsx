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K2" i="18"/>
  <c r="Q60" l="1"/>
  <c r="P60"/>
  <c r="O60"/>
  <c r="N60"/>
  <c r="M60"/>
  <c r="L60"/>
  <c r="K60"/>
  <c r="J60"/>
  <c r="I60"/>
  <c r="H60"/>
  <c r="G60"/>
  <c r="Q58"/>
  <c r="P58"/>
  <c r="O58"/>
  <c r="N58"/>
  <c r="M58"/>
  <c r="L58"/>
  <c r="K58"/>
  <c r="J58"/>
  <c r="I58"/>
  <c r="H58"/>
  <c r="G58"/>
  <c r="Q56"/>
  <c r="P56"/>
  <c r="O56"/>
  <c r="N56"/>
  <c r="M56"/>
  <c r="L56"/>
  <c r="K56"/>
  <c r="J56"/>
  <c r="I56"/>
  <c r="H56"/>
  <c r="G56"/>
  <c r="Q54"/>
  <c r="P54"/>
  <c r="O54"/>
  <c r="N54"/>
  <c r="M54"/>
  <c r="L54"/>
  <c r="K54"/>
  <c r="J54"/>
  <c r="I54"/>
  <c r="H54"/>
  <c r="G54"/>
  <c r="Q52"/>
  <c r="P52"/>
  <c r="O52"/>
  <c r="N52"/>
  <c r="M52"/>
  <c r="L52"/>
  <c r="K52"/>
  <c r="J52"/>
  <c r="I52"/>
  <c r="H52"/>
  <c r="G52"/>
  <c r="G49"/>
  <c r="Q48"/>
  <c r="P48"/>
  <c r="O48"/>
  <c r="N48"/>
  <c r="M48"/>
  <c r="L48"/>
  <c r="K48"/>
  <c r="J48"/>
  <c r="I48"/>
  <c r="G48"/>
  <c r="G47"/>
  <c r="H48" s="1"/>
  <c r="Q46"/>
  <c r="P46"/>
  <c r="O46"/>
  <c r="N46"/>
  <c r="M46"/>
  <c r="L46"/>
  <c r="K46"/>
  <c r="J46"/>
  <c r="I46"/>
  <c r="G46"/>
  <c r="G45"/>
  <c r="H46" s="1"/>
  <c r="Q44"/>
  <c r="P44"/>
  <c r="O44"/>
  <c r="N44"/>
  <c r="M44"/>
  <c r="L44"/>
  <c r="K44"/>
  <c r="J44"/>
  <c r="I44"/>
  <c r="G44"/>
  <c r="G43"/>
  <c r="H44" s="1"/>
  <c r="G42"/>
  <c r="G41"/>
  <c r="G40"/>
  <c r="Q39"/>
  <c r="P39"/>
  <c r="O39"/>
  <c r="N39"/>
  <c r="M39"/>
  <c r="L39"/>
  <c r="K39"/>
  <c r="J39"/>
  <c r="I39"/>
  <c r="G38"/>
  <c r="G39" s="1"/>
  <c r="Q37"/>
  <c r="P37"/>
  <c r="O37"/>
  <c r="N37"/>
  <c r="M37"/>
  <c r="L37"/>
  <c r="K37"/>
  <c r="J37"/>
  <c r="I37"/>
  <c r="G36"/>
  <c r="G37" s="1"/>
  <c r="Q30"/>
  <c r="P30"/>
  <c r="O30"/>
  <c r="N30"/>
  <c r="M30"/>
  <c r="L30"/>
  <c r="K30"/>
  <c r="J30"/>
  <c r="I30"/>
  <c r="H30"/>
  <c r="G30"/>
  <c r="Q28"/>
  <c r="P28"/>
  <c r="O28"/>
  <c r="N28"/>
  <c r="M28"/>
  <c r="L28"/>
  <c r="K28"/>
  <c r="J28"/>
  <c r="I28"/>
  <c r="H28"/>
  <c r="G28"/>
  <c r="Q26"/>
  <c r="P26"/>
  <c r="O26"/>
  <c r="N26"/>
  <c r="M26"/>
  <c r="L26"/>
  <c r="K26"/>
  <c r="J26"/>
  <c r="I26"/>
  <c r="H26"/>
  <c r="G26"/>
  <c r="Q11"/>
  <c r="P11"/>
  <c r="O11"/>
  <c r="N11"/>
  <c r="M11"/>
  <c r="L11"/>
  <c r="K11"/>
  <c r="J11"/>
  <c r="I11"/>
  <c r="H11"/>
  <c r="G11"/>
  <c r="Q8"/>
  <c r="P8"/>
  <c r="O8"/>
  <c r="N8"/>
  <c r="M8"/>
  <c r="L8"/>
  <c r="K8"/>
  <c r="J8"/>
  <c r="I8"/>
  <c r="H8"/>
  <c r="G8"/>
  <c r="H37" l="1"/>
  <c r="H39"/>
  <c r="H266" l="1"/>
  <c r="H268" s="1"/>
  <c r="H269" s="1"/>
  <c r="H265"/>
  <c r="H264"/>
  <c r="T201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H211"/>
  <c r="G212"/>
  <c r="H212"/>
  <c r="G66"/>
  <c r="H66"/>
  <c r="H202" s="1"/>
  <c r="G67"/>
  <c r="H67"/>
  <c r="G68"/>
  <c r="H68"/>
  <c r="G70"/>
  <c r="G204" s="1"/>
  <c r="H70"/>
  <c r="H204" s="1"/>
  <c r="G71"/>
  <c r="G205" s="1"/>
  <c r="H71"/>
  <c r="H205" s="1"/>
  <c r="G72"/>
  <c r="H72"/>
  <c r="H203" s="1"/>
  <c r="G73"/>
  <c r="H73"/>
  <c r="G74"/>
  <c r="H74"/>
  <c r="H75"/>
  <c r="H206" s="1"/>
  <c r="G76"/>
  <c r="H76"/>
  <c r="G78"/>
  <c r="H78"/>
  <c r="G79"/>
  <c r="H79"/>
  <c r="G80"/>
  <c r="H80"/>
  <c r="H209" s="1"/>
  <c r="G82"/>
  <c r="H82"/>
  <c r="G83"/>
  <c r="H83"/>
  <c r="G84"/>
  <c r="G207" s="1"/>
  <c r="H84"/>
  <c r="H207" s="1"/>
  <c r="G85"/>
  <c r="H85"/>
  <c r="G86"/>
  <c r="G208" s="1"/>
  <c r="H86"/>
  <c r="H208" s="1"/>
  <c r="G88"/>
  <c r="H88"/>
  <c r="G90"/>
  <c r="H90"/>
  <c r="G92"/>
  <c r="H92"/>
  <c r="G93"/>
  <c r="H93"/>
  <c r="G94"/>
  <c r="H94"/>
  <c r="G95"/>
  <c r="H95"/>
  <c r="G96"/>
  <c r="H96"/>
  <c r="G98"/>
  <c r="H98"/>
  <c r="G99"/>
  <c r="H99"/>
  <c r="H100"/>
  <c r="G102"/>
  <c r="H102"/>
  <c r="G105"/>
  <c r="H105"/>
  <c r="G106"/>
  <c r="H106"/>
  <c r="G107"/>
  <c r="H107"/>
  <c r="G108"/>
  <c r="H108"/>
  <c r="G109"/>
  <c r="H109"/>
  <c r="G110"/>
  <c r="H110"/>
  <c r="G112"/>
  <c r="H112"/>
  <c r="G113"/>
  <c r="H113"/>
  <c r="G114"/>
  <c r="H114"/>
  <c r="G115"/>
  <c r="H115"/>
  <c r="G116"/>
  <c r="H116"/>
  <c r="G118"/>
  <c r="H118"/>
  <c r="G119"/>
  <c r="H119"/>
  <c r="G120"/>
  <c r="H120"/>
  <c r="G121"/>
  <c r="H121"/>
  <c r="G122"/>
  <c r="H122"/>
  <c r="G124"/>
  <c r="H124"/>
  <c r="G125"/>
  <c r="H125"/>
  <c r="G126"/>
  <c r="T126" s="1"/>
  <c r="H126"/>
  <c r="G127"/>
  <c r="T127" s="1"/>
  <c r="H127"/>
  <c r="G128"/>
  <c r="T128" s="1"/>
  <c r="H128"/>
  <c r="G129"/>
  <c r="H129"/>
  <c r="G130"/>
  <c r="H130"/>
  <c r="G131"/>
  <c r="H131"/>
  <c r="G132"/>
  <c r="H132"/>
  <c r="G134"/>
  <c r="H134"/>
  <c r="G135"/>
  <c r="H135"/>
  <c r="G136"/>
  <c r="H136"/>
  <c r="G137"/>
  <c r="H137"/>
  <c r="G139"/>
  <c r="H139"/>
  <c r="G140"/>
  <c r="H140"/>
  <c r="G141"/>
  <c r="H141"/>
  <c r="G142"/>
  <c r="H142"/>
  <c r="G143"/>
  <c r="H143"/>
  <c r="G145"/>
  <c r="H145"/>
  <c r="G146"/>
  <c r="H146"/>
  <c r="G147"/>
  <c r="H147"/>
  <c r="G149"/>
  <c r="H149"/>
  <c r="G150"/>
  <c r="H150"/>
  <c r="G151"/>
  <c r="H151"/>
  <c r="G154"/>
  <c r="H154"/>
  <c r="G155"/>
  <c r="H155"/>
  <c r="G156"/>
  <c r="H156"/>
  <c r="G157"/>
  <c r="H157"/>
  <c r="G159"/>
  <c r="H159"/>
  <c r="G160"/>
  <c r="H160"/>
  <c r="G162"/>
  <c r="H162"/>
  <c r="G163"/>
  <c r="H163"/>
  <c r="G164"/>
  <c r="H164"/>
  <c r="G166"/>
  <c r="H166"/>
  <c r="G167"/>
  <c r="H167"/>
  <c r="T130" l="1"/>
  <c r="H215"/>
  <c r="H216"/>
  <c r="H217" s="1"/>
  <c r="H214"/>
  <c r="G214"/>
  <c r="G209"/>
  <c r="G203"/>
  <c r="G202"/>
  <c r="H267"/>
  <c r="H270"/>
  <c r="G100"/>
  <c r="G75"/>
  <c r="S129"/>
  <c r="T129" s="1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R48"/>
  <c r="S130"/>
  <c r="R130"/>
  <c r="Q130"/>
  <c r="P130"/>
  <c r="O130"/>
  <c r="N130"/>
  <c r="M130"/>
  <c r="L130"/>
  <c r="K130"/>
  <c r="J130"/>
  <c r="I130"/>
  <c r="V57"/>
  <c r="G206" l="1"/>
  <c r="G215"/>
  <c r="G216"/>
  <c r="AF47"/>
  <c r="AH47"/>
  <c r="S126"/>
  <c r="R126"/>
  <c r="Q126"/>
  <c r="P126"/>
  <c r="O126"/>
  <c r="N126"/>
  <c r="M126"/>
  <c r="L126"/>
  <c r="K126"/>
  <c r="J126"/>
  <c r="U49"/>
  <c r="S46"/>
  <c r="R46"/>
  <c r="S44"/>
  <c r="R44"/>
  <c r="S39"/>
  <c r="R39"/>
  <c r="S37"/>
  <c r="R37"/>
  <c r="I126"/>
  <c r="G217" l="1"/>
  <c r="S132"/>
  <c r="T132" s="1"/>
  <c r="S131"/>
  <c r="T131" s="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T125" s="1"/>
  <c r="R125"/>
  <c r="Q125"/>
  <c r="P125"/>
  <c r="O125"/>
  <c r="N125"/>
  <c r="M125"/>
  <c r="L125"/>
  <c r="K125"/>
  <c r="J125"/>
  <c r="I125"/>
  <c r="S124"/>
  <c r="T124" s="1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AF49" l="1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T212" s="1"/>
  <c r="R212"/>
  <c r="Q212"/>
  <c r="P212"/>
  <c r="O212"/>
  <c r="N212"/>
  <c r="M212"/>
  <c r="L212"/>
  <c r="K212"/>
  <c r="J212"/>
  <c r="I212"/>
  <c r="Y38" l="1"/>
  <c r="X127"/>
  <c r="Y36"/>
  <c r="X128"/>
  <c r="X126"/>
  <c r="S60"/>
  <c r="R60"/>
  <c r="S58"/>
  <c r="R58"/>
  <c r="S56"/>
  <c r="R56"/>
  <c r="S54"/>
  <c r="R54"/>
  <c r="S52"/>
  <c r="R52"/>
  <c r="S30"/>
  <c r="R30"/>
  <c r="S28"/>
  <c r="R28"/>
  <c r="S26"/>
  <c r="R26"/>
  <c r="S11"/>
  <c r="R11"/>
  <c r="S8"/>
  <c r="R8"/>
  <c r="Z38" l="1"/>
  <c r="Y127"/>
  <c r="Z36"/>
  <c r="Y128"/>
  <c r="Y126"/>
  <c r="S102"/>
  <c r="T102" s="1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V225" l="1"/>
  <c r="V224" s="1"/>
  <c r="G225"/>
  <c r="H225"/>
  <c r="V220"/>
  <c r="V221" s="1"/>
  <c r="V222" s="1"/>
  <c r="G220"/>
  <c r="H220"/>
  <c r="AB38"/>
  <c r="AA127"/>
  <c r="AB36"/>
  <c r="AA126"/>
  <c r="AA128"/>
  <c r="AH45"/>
  <c r="AH40"/>
  <c r="AH49"/>
  <c r="AH41"/>
  <c r="AH42"/>
  <c r="AH43"/>
  <c r="M225"/>
  <c r="M226" s="1"/>
  <c r="M227" s="1"/>
  <c r="S225"/>
  <c r="R225"/>
  <c r="R224" s="1"/>
  <c r="V226"/>
  <c r="V227" s="1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T220" s="1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V219" l="1"/>
  <c r="T225"/>
  <c r="S205"/>
  <c r="T205" s="1"/>
  <c r="T71"/>
  <c r="S204"/>
  <c r="T204" s="1"/>
  <c r="T70"/>
  <c r="G219"/>
  <c r="G221"/>
  <c r="H224"/>
  <c r="H226"/>
  <c r="H227" s="1"/>
  <c r="H219"/>
  <c r="H221"/>
  <c r="H222" s="1"/>
  <c r="G224"/>
  <c r="G226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22" s="1"/>
  <c r="S219"/>
  <c r="M221"/>
  <c r="M222" s="1"/>
  <c r="M219"/>
  <c r="J226"/>
  <c r="J227" s="1"/>
  <c r="J224"/>
  <c r="Q226"/>
  <c r="Q227" s="1"/>
  <c r="Q224"/>
  <c r="S226"/>
  <c r="S227" s="1"/>
  <c r="S224"/>
  <c r="R221"/>
  <c r="R205"/>
  <c r="T224" l="1"/>
  <c r="T219"/>
  <c r="T226"/>
  <c r="G227"/>
  <c r="T227" s="1"/>
  <c r="T221"/>
  <c r="G222"/>
  <c r="T222" s="1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T147" s="1"/>
  <c r="S146"/>
  <c r="T146" s="1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T211" s="1"/>
  <c r="S66"/>
  <c r="S67"/>
  <c r="T67" s="1"/>
  <c r="S68"/>
  <c r="S72"/>
  <c r="S73"/>
  <c r="T73" s="1"/>
  <c r="S74"/>
  <c r="T74" s="1"/>
  <c r="S75"/>
  <c r="S76"/>
  <c r="T76" s="1"/>
  <c r="S78"/>
  <c r="T78" s="1"/>
  <c r="S79"/>
  <c r="T79" s="1"/>
  <c r="S80"/>
  <c r="S82"/>
  <c r="T82" s="1"/>
  <c r="S83"/>
  <c r="T83" s="1"/>
  <c r="S85"/>
  <c r="T85" s="1"/>
  <c r="S86"/>
  <c r="S88"/>
  <c r="S90"/>
  <c r="S93"/>
  <c r="T93" s="1"/>
  <c r="S94"/>
  <c r="T94" s="1"/>
  <c r="S95"/>
  <c r="T95" s="1"/>
  <c r="S96"/>
  <c r="T96" s="1"/>
  <c r="S98"/>
  <c r="S99"/>
  <c r="T99" s="1"/>
  <c r="S100"/>
  <c r="T100" s="1"/>
  <c r="S105"/>
  <c r="T105" s="1"/>
  <c r="S106"/>
  <c r="T106" s="1"/>
  <c r="S107"/>
  <c r="T107" s="1"/>
  <c r="S108"/>
  <c r="T108" s="1"/>
  <c r="S109"/>
  <c r="T109" s="1"/>
  <c r="S112"/>
  <c r="S113"/>
  <c r="S114"/>
  <c r="S115"/>
  <c r="S116"/>
  <c r="S134"/>
  <c r="T134" s="1"/>
  <c r="S135"/>
  <c r="T135" s="1"/>
  <c r="S136"/>
  <c r="T136" s="1"/>
  <c r="S137"/>
  <c r="T137" s="1"/>
  <c r="S145"/>
  <c r="T145" s="1"/>
  <c r="S149"/>
  <c r="T149" s="1"/>
  <c r="S150"/>
  <c r="T150" s="1"/>
  <c r="S151"/>
  <c r="T151" s="1"/>
  <c r="S154"/>
  <c r="T154" s="1"/>
  <c r="S155"/>
  <c r="T155" s="1"/>
  <c r="S156"/>
  <c r="T156" s="1"/>
  <c r="S157"/>
  <c r="T157" s="1"/>
  <c r="S159"/>
  <c r="T159" s="1"/>
  <c r="S160"/>
  <c r="T160" s="1"/>
  <c r="S162"/>
  <c r="S166"/>
  <c r="T166" s="1"/>
  <c r="S167"/>
  <c r="T167" s="1"/>
  <c r="V17"/>
  <c r="V19"/>
  <c r="V24"/>
  <c r="S92" l="1"/>
  <c r="T92" s="1"/>
  <c r="T90"/>
  <c r="S139"/>
  <c r="T88"/>
  <c r="S140"/>
  <c r="T140" s="1"/>
  <c r="T139"/>
  <c r="S214"/>
  <c r="T214" s="1"/>
  <c r="T72"/>
  <c r="S110"/>
  <c r="T110" s="1"/>
  <c r="T68"/>
  <c r="S164"/>
  <c r="T164" s="1"/>
  <c r="T98"/>
  <c r="S122"/>
  <c r="T122" s="1"/>
  <c r="T116"/>
  <c r="S120"/>
  <c r="T120" s="1"/>
  <c r="T114"/>
  <c r="S119"/>
  <c r="T119" s="1"/>
  <c r="T113"/>
  <c r="S202"/>
  <c r="T202" s="1"/>
  <c r="T66"/>
  <c r="S118"/>
  <c r="T118" s="1"/>
  <c r="T112"/>
  <c r="S163"/>
  <c r="T163" s="1"/>
  <c r="T162"/>
  <c r="S208"/>
  <c r="T208" s="1"/>
  <c r="T86"/>
  <c r="S121"/>
  <c r="T121" s="1"/>
  <c r="T115"/>
  <c r="S209"/>
  <c r="T209" s="1"/>
  <c r="T80"/>
  <c r="S206"/>
  <c r="T206" s="1"/>
  <c r="T75"/>
  <c r="R238"/>
  <c r="S203"/>
  <c r="T203" s="1"/>
  <c r="S84"/>
  <c r="S141"/>
  <c r="S143"/>
  <c r="T143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142" l="1"/>
  <c r="T142" s="1"/>
  <c r="T141"/>
  <c r="S207"/>
  <c r="T207" s="1"/>
  <c r="T84"/>
  <c r="S216"/>
  <c r="S215"/>
  <c r="T215" s="1"/>
  <c r="J238"/>
  <c r="U59"/>
  <c r="V59" s="1"/>
  <c r="S217" l="1"/>
  <c r="T217" s="1"/>
  <c r="T216"/>
  <c r="M234"/>
  <c r="M233"/>
  <c r="M232"/>
  <c r="M231"/>
  <c r="AG53" l="1"/>
  <c r="U53"/>
  <c r="V53" l="1"/>
  <c r="W53" l="1"/>
  <c r="V238"/>
  <c r="V239" s="1"/>
  <c r="X53" l="1"/>
  <c r="W252"/>
  <c r="W253" s="1"/>
  <c r="D250"/>
  <c r="I264" s="1"/>
  <c r="M264" s="1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I265" s="1"/>
  <c r="M265" s="1"/>
  <c r="J257"/>
  <c r="K257" s="1"/>
  <c r="L257" s="1"/>
  <c r="L258" s="1"/>
  <c r="J255"/>
  <c r="J249"/>
  <c r="J248"/>
  <c r="K248" s="1"/>
  <c r="L248" s="1"/>
  <c r="Y53" l="1"/>
  <c r="I270"/>
  <c r="I267"/>
  <c r="D260"/>
  <c r="M268"/>
  <c r="M267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W249"/>
  <c r="W248"/>
  <c r="Q249"/>
  <c r="Q252" s="1"/>
  <c r="Q248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Z53" l="1"/>
  <c r="V14"/>
  <c r="W14" s="1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53"/>
  <c r="P252"/>
  <c r="V250"/>
  <c r="W250" s="1"/>
  <c r="W255" s="1"/>
  <c r="P250"/>
  <c r="Q250" s="1"/>
  <c r="Q255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K251" l="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55"/>
  <c r="V255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<sst xmlns="http://schemas.openxmlformats.org/spreadsheetml/2006/main" count="699" uniqueCount="497">
  <si>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</si>
  <si>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</si>
  <si>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</si>
  <si>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</si>
  <si>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</si>
  <si>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</si>
  <si>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</si>
  <si>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</si>
  <si>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</si>
  <si>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</si>
  <si>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</si>
  <si>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</si>
  <si>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</si>
  <si>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</si>
  <si>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</si>
  <si>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</si>
  <si>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</si>
  <si>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</si>
  <si>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</si>
  <si>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</si>
  <si>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</si>
  <si>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</si>
  <si>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</si>
  <si>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</si>
  <si>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</si>
  <si>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</si>
  <si>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</si>
  <si>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</si>
  <si>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</si>
  <si>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</si>
  <si>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</si>
  <si>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</si>
  <si>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</si>
  <si>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</si>
  <si>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</si>
  <si>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</si>
  <si>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</si>
  <si>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</si>
  <si>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</si>
  <si>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</si>
  <si>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</si>
  <si>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</si>
  <si>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</si>
  <si>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</si>
  <si>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</si>
  <si>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</si>
  <si>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</si>
  <si>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</si>
  <si>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</si>
  <si>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</si>
  <si>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</si>
  <si>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</si>
  <si>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</si>
  <si>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</si>
  <si>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</si>
  <si>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</si>
  <si>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</si>
  <si>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</si>
  <si>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</si>
  <si>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</si>
  <si>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</si>
  <si>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</si>
  <si>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</si>
  <si>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</si>
  <si>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</si>
  <si>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</si>
  <si>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</si>
  <si>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</si>
  <si>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</si>
  <si>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</si>
  <si>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</si>
  <si>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</si>
  <si>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</si>
  <si>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</si>
  <si>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</si>
  <si>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</si>
  <si>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</si>
  <si>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</si>
  <si>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</si>
  <si>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</si>
  <si>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</si>
  <si>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</si>
  <si>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</si>
  <si>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</si>
  <si>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</si>
  <si>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</si>
  <si>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</si>
  <si>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</si>
  <si>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</si>
  <si>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</si>
  <si>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</si>
  <si>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</si>
  <si>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</si>
  <si>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</si>
  <si>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</si>
  <si>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</si>
  <si>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</si>
  <si>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</si>
  <si>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</si>
  <si>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</si>
  <si>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</si>
  <si>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</si>
  <si>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</si>
  <si>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</si>
  <si>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</si>
  <si>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</si>
  <si>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</si>
  <si>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</si>
  <si>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</si>
  <si>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</si>
  <si>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</si>
  <si>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</si>
  <si>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</si>
  <si>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</si>
  <si>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</si>
  <si>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</si>
  <si>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</si>
  <si>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</si>
  <si>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</si>
  <si>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</si>
  <si>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</si>
  <si>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</si>
  <si>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</si>
  <si>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</si>
  <si>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</si>
  <si>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</si>
  <si>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</si>
  <si>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</si>
  <si>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</si>
  <si>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</si>
  <si>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</si>
  <si>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</si>
  <si>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</si>
  <si>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</si>
  <si>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</si>
  <si>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</si>
  <si>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</si>
  <si>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</si>
  <si>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</si>
  <si>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</si>
  <si>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</si>
  <si>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</si>
  <si>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</si>
  <si>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</si>
  <si>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</si>
  <si>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</si>
  <si>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</si>
  <si>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</si>
  <si>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</si>
  <si>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</si>
  <si>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</si>
  <si>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</si>
  <si>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</si>
  <si>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</si>
  <si>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</si>
  <si>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</si>
  <si>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</si>
  <si>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</si>
  <si>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</si>
  <si>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</si>
  <si>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</si>
  <si>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</si>
  <si>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</si>
  <si>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</si>
  <si>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</si>
  <si>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</si>
  <si>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</si>
  <si>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</si>
  <si>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</si>
  <si>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</si>
  <si>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</si>
  <si>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</si>
  <si>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</si>
  <si>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</si>
  <si>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</si>
  <si>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</si>
  <si>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</si>
  <si>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</si>
  <si>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</si>
  <si>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</si>
  <si>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</si>
  <si>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</si>
  <si>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</si>
  <si>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</si>
  <si>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</si>
  <si>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</si>
  <si>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</si>
  <si>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</si>
  <si>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</si>
  <si>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</si>
  <si>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</si>
  <si>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</si>
  <si>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</si>
  <si>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</si>
  <si>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</si>
  <si>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</si>
  <si>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</si>
  <si>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</si>
  <si>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</si>
  <si>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</si>
  <si>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</si>
  <si>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</si>
  <si>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</si>
  <si>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</si>
  <si>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</si>
  <si>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</si>
  <si>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</si>
  <si>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</si>
  <si>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</si>
  <si>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</si>
  <si>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</si>
  <si>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</si>
  <si>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</si>
  <si>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</si>
  <si>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</si>
  <si>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</si>
  <si>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</si>
  <si>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</si>
  <si>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</si>
  <si>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</si>
  <si>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</si>
  <si>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</si>
  <si>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</si>
  <si>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</si>
  <si>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</si>
  <si>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</si>
  <si>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</si>
  <si>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</si>
  <si>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</si>
  <si>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</si>
  <si>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</si>
  <si>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</si>
  <si>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</si>
  <si>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</si>
  <si>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</si>
  <si>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</si>
  <si>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</si>
  <si>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</si>
  <si>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</si>
  <si>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</si>
  <si>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</si>
  <si>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</si>
  <si>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</si>
  <si>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</si>
  <si>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</si>
  <si>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</si>
  <si>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</si>
  <si>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</si>
  <si>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</si>
  <si>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</si>
  <si>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</si>
  <si>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</si>
  <si>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</si>
  <si>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</si>
  <si>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</si>
  <si>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</si>
  <si>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</si>
  <si>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</si>
  <si>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</si>
  <si>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</si>
  <si>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</si>
  <si>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</si>
  <si>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</si>
  <si>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</si>
  <si>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</si>
  <si>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</si>
  <si>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</si>
  <si>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</si>
  <si>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</si>
  <si>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</si>
  <si>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</si>
  <si>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</si>
  <si>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</si>
  <si>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</si>
  <si>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</si>
  <si>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</si>
  <si>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</si>
  <si>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</si>
  <si>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</si>
  <si>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</si>
  <si>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</si>
  <si>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</si>
  <si>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</si>
  <si>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</si>
  <si>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</si>
  <si>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</si>
  <si>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</si>
  <si>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</si>
  <si>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</si>
  <si>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</si>
  <si>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</si>
  <si>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</si>
  <si>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</si>
  <si>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</si>
  <si>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</si>
  <si>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</si>
  <si>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</si>
  <si>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</si>
  <si>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</si>
  <si>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</si>
  <si>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</si>
  <si>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</si>
  <si>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</si>
  <si>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</si>
  <si>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</si>
  <si>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</si>
  <si>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</si>
  <si>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</si>
  <si>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</si>
  <si>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</si>
  <si>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</si>
  <si>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</si>
  <si>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</si>
  <si>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</si>
  <si>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</si>
  <si>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</si>
  <si>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</si>
  <si>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</si>
  <si>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</si>
  <si>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</si>
  <si>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</si>
  <si>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</si>
  <si>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</si>
  <si>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</si>
  <si>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</si>
  <si>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</si>
  <si>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</si>
  <si>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</si>
  <si>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</si>
  <si>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</si>
  <si>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</si>
  <si>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</si>
  <si>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</si>
  <si>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</si>
  <si>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</si>
  <si>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</si>
  <si>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</si>
  <si>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</si>
  <si>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</si>
  <si>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</si>
  <si>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</si>
  <si>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</si>
  <si>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</si>
  <si>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</si>
  <si>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</si>
  <si>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</si>
  <si>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</si>
  <si>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</si>
  <si>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</si>
  <si>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</si>
  <si>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</si>
  <si>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</si>
  <si>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</si>
  <si>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</si>
  <si>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</si>
  <si>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</si>
  <si>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</si>
  <si>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</si>
  <si>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</si>
  <si>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</si>
  <si>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</si>
  <si>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</si>
  <si>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</si>
  <si>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</si>
  <si>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</si>
  <si>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</si>
  <si>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</si>
  <si>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</si>
  <si>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</si>
  <si>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</si>
  <si>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</si>
  <si>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</si>
  <si>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</si>
  <si>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</si>
  <si>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</si>
  <si>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</si>
  <si>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</si>
  <si>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</si>
  <si>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</si>
  <si>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</si>
  <si>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</si>
  <si>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</si>
  <si>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</si>
  <si>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</si>
  <si>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</si>
  <si>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</si>
  <si>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</si>
  <si>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</si>
  <si>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</si>
  <si>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</si>
  <si>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</si>
  <si>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</si>
  <si>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</si>
  <si>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</si>
  <si>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</si>
  <si>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</si>
  <si>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</si>
  <si>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</si>
  <si>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</si>
  <si>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</si>
  <si>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</si>
  <si>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</si>
  <si>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</si>
  <si>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</si>
  <si>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</si>
  <si>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</si>
  <si>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</si>
  <si>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</si>
  <si>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</si>
  <si>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</si>
  <si>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</si>
  <si>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</si>
  <si>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</si>
  <si>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</si>
  <si>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</si>
  <si>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</si>
  <si>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</si>
  <si>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</si>
  <si>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</si>
  <si>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</si>
  <si>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</si>
  <si>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</si>
  <si>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</si>
  <si>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</si>
  <si>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</si>
  <si>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</si>
  <si>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</si>
  <si>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</si>
  <si>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</si>
  <si>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</si>
  <si>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</si>
  <si>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</si>
  <si>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</si>
  <si>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</si>
  <si>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</si>
  <si>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</si>
  <si>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</si>
  <si>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</si>
  <si>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</si>
  <si>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</si>
  <si>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</si>
  <si>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</si>
  <si>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</si>
  <si>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</si>
  <si>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</si>
  <si>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</si>
  <si>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</si>
  <si>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</si>
  <si>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</si>
  <si>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</si>
  <si>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</si>
  <si>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</si>
  <si>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</si>
  <si>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</si>
  <si>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</si>
  <si>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</si>
  <si>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</si>
  <si>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</si>
  <si>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</si>
  <si>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</si>
  <si>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</si>
  <si>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</si>
  <si>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</si>
  <si>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</si>
  <si>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</si>
  <si>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</si>
  <si>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</si>
  <si>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</si>
  <si>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</si>
  <si>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</si>
  <si>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</si>
  <si>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</si>
  <si>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</si>
  <si>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</si>
  <si>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</si>
  <si>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</si>
  <si>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</si>
  <si>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</si>
  <si>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</si>
  <si>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</si>
  <si>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</si>
  <si>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</si>
  <si>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</si>
  <si>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</si>
  <si>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</si>
  <si>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</si>
  <si>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</si>
  <si>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</si>
  <si>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</si>
  <si>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</si>
  <si>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</si>
  <si>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</si>
  <si>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</si>
  <si>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</si>
  <si>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</si>
  <si>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10x1</t>
  </si>
  <si>
    <t>1x1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</si>
</sst>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174" fontId="8" fillId="5" borderId="1" xfId="2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3792128"/>
        <c:axId val="98894208"/>
      </c:lineChart>
      <c:catAx>
        <c:axId val="73792128"/>
        <c:scaling>
          <c:orientation val="minMax"/>
        </c:scaling>
        <c:axPos val="b"/>
        <c:tickLblPos val="nextTo"/>
        <c:crossAx val="98894208"/>
        <c:crosses val="autoZero"/>
        <c:auto val="1"/>
        <c:lblAlgn val="ctr"/>
        <c:lblOffset val="100"/>
      </c:catAx>
      <c:valAx>
        <c:axId val="98894208"/>
        <c:scaling>
          <c:orientation val="minMax"/>
        </c:scaling>
        <c:axPos val="l"/>
        <c:majorGridlines/>
        <c:numFmt formatCode="General" sourceLinked="1"/>
        <c:tickLblPos val="nextTo"/>
        <c:crossAx val="7379212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315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I185" activePane="bottomRight" state="frozen"/>
      <selection pane="topRight" activeCell="C1" sqref="C1"/>
      <selection pane="bottomLeft" activeCell="A5" sqref="A5"/>
      <selection pane="bottomRight" activeCell="V205" sqref="V205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.7109375" style="104" customWidth="1"/>
    <col min="8" max="8" width="9" style="104" bestFit="1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3" width="9.710937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0.22</v>
      </c>
      <c r="H1" s="104" t="s">
        <v>252</v>
      </c>
      <c r="J1" s="126">
        <v>2004</v>
      </c>
      <c r="L1" s="104" t="s">
        <v>323</v>
      </c>
      <c r="N1" s="162">
        <v>0.05</v>
      </c>
      <c r="P1" s="104" t="s">
        <v>394</v>
      </c>
      <c r="R1" s="162">
        <v>0.05</v>
      </c>
    </row>
    <row r="2" spans="2:34">
      <c r="B2" s="151" t="s">
        <v>312</v>
      </c>
      <c r="C2" s="120"/>
      <c r="H2" s="104" t="s">
        <v>253</v>
      </c>
      <c r="J2" s="126">
        <v>2016</v>
      </c>
      <c r="K2" s="104">
        <f>J2-J1</f>
        <v>12</v>
      </c>
      <c r="L2" s="104" t="s">
        <v>324</v>
      </c>
      <c r="N2" s="162">
        <v>0.1</v>
      </c>
      <c r="P2" s="104" t="s">
        <v>462</v>
      </c>
      <c r="R2" s="162">
        <v>0.22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10" t="s">
        <v>290</v>
      </c>
      <c r="AH2" s="211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2" t="s">
        <v>291</v>
      </c>
      <c r="AH3" s="213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20"/>
      <c r="U5" s="20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146">
        <v>289</v>
      </c>
      <c r="H6" s="146">
        <v>336</v>
      </c>
      <c r="I6" s="146">
        <v>388</v>
      </c>
      <c r="J6" s="146">
        <v>455</v>
      </c>
      <c r="K6" s="146">
        <v>591</v>
      </c>
      <c r="L6" s="146">
        <v>669</v>
      </c>
      <c r="M6" s="146">
        <v>821</v>
      </c>
      <c r="N6" s="146">
        <v>1034</v>
      </c>
      <c r="O6" s="146">
        <v>1275</v>
      </c>
      <c r="P6" s="146">
        <v>1600</v>
      </c>
      <c r="Q6" s="146">
        <v>1901</v>
      </c>
      <c r="R6" s="203">
        <v>2219</v>
      </c>
      <c r="S6" s="203">
        <v>2731</v>
      </c>
      <c r="T6" s="118">
        <f>((S6/G6)^(1/($J$2-$J$1) ))-1</f>
        <v>0.20582788128043195</v>
      </c>
      <c r="U6" s="31">
        <f>$N$2</f>
        <v>0.1</v>
      </c>
      <c r="V6" s="152">
        <f>S6*(1+$U6)</f>
        <v>3004.1000000000004</v>
      </c>
      <c r="W6" s="152">
        <f>V6*(1+$U6)</f>
        <v>3304.5100000000007</v>
      </c>
      <c r="X6" s="152">
        <f t="shared" ref="X6:AE6" si="0">W6*(1+$U6)</f>
        <v>3634.9610000000011</v>
      </c>
      <c r="Y6" s="152">
        <f t="shared" si="0"/>
        <v>3998.4571000000014</v>
      </c>
      <c r="Z6" s="152">
        <f t="shared" si="0"/>
        <v>4398.302810000002</v>
      </c>
      <c r="AA6" s="152">
        <f t="shared" si="0"/>
        <v>4838.1330910000024</v>
      </c>
      <c r="AB6" s="152">
        <f t="shared" si="0"/>
        <v>5321.9464001000033</v>
      </c>
      <c r="AC6" s="152">
        <f t="shared" si="0"/>
        <v>5854.1410401100038</v>
      </c>
      <c r="AD6" s="152">
        <f t="shared" si="0"/>
        <v>6439.5551441210046</v>
      </c>
      <c r="AE6" s="152">
        <f t="shared" si="0"/>
        <v>7083.5106585331059</v>
      </c>
      <c r="AF6" s="137">
        <f>((AE6/I6)^(1/($AE$3-$J$1) ))-1</f>
        <v>0.14833200171287864</v>
      </c>
      <c r="AG6" s="31">
        <f>$N$1</f>
        <v>0.05</v>
      </c>
      <c r="AH6" s="145">
        <f t="shared" ref="AH6:AH59" si="1">(AE6*(1+AG6))/($C$1-AG6)</f>
        <v>43751.095243880955</v>
      </c>
    </row>
    <row r="7" spans="2:34">
      <c r="B7" s="20" t="s">
        <v>240</v>
      </c>
      <c r="C7" s="140"/>
      <c r="D7" s="140"/>
      <c r="E7" s="146"/>
      <c r="F7" s="146"/>
      <c r="G7" s="146">
        <v>315</v>
      </c>
      <c r="H7" s="146">
        <v>361</v>
      </c>
      <c r="I7" s="146">
        <v>413</v>
      </c>
      <c r="J7" s="146">
        <v>480</v>
      </c>
      <c r="K7" s="146">
        <v>620</v>
      </c>
      <c r="L7" s="146">
        <v>634</v>
      </c>
      <c r="M7" s="146">
        <v>872</v>
      </c>
      <c r="N7" s="146">
        <v>1084</v>
      </c>
      <c r="O7" s="146">
        <v>1326</v>
      </c>
      <c r="P7" s="146">
        <v>1651</v>
      </c>
      <c r="Q7" s="146">
        <v>1952</v>
      </c>
      <c r="R7" s="203">
        <v>2270</v>
      </c>
      <c r="S7" s="203">
        <v>2782</v>
      </c>
      <c r="T7" s="118">
        <f>((S7/G7)^(1/($J$2-$J$1) ))-1</f>
        <v>0.19904978162631703</v>
      </c>
      <c r="U7" s="31">
        <f>$N$2</f>
        <v>0.1</v>
      </c>
      <c r="V7" s="152">
        <f t="shared" ref="V7:V59" si="2">S7*(1+$U7)</f>
        <v>3060.2000000000003</v>
      </c>
      <c r="W7" s="152">
        <f t="shared" ref="W7:AE7" si="3">V7*(1+$U7)</f>
        <v>3366.2200000000007</v>
      </c>
      <c r="X7" s="152">
        <f t="shared" si="3"/>
        <v>3702.842000000001</v>
      </c>
      <c r="Y7" s="152">
        <f t="shared" si="3"/>
        <v>4073.1262000000015</v>
      </c>
      <c r="Z7" s="152">
        <f t="shared" si="3"/>
        <v>4480.4388200000021</v>
      </c>
      <c r="AA7" s="152">
        <f t="shared" si="3"/>
        <v>4928.482702000003</v>
      </c>
      <c r="AB7" s="152">
        <f t="shared" si="3"/>
        <v>5421.330972200004</v>
      </c>
      <c r="AC7" s="152">
        <f t="shared" si="3"/>
        <v>5963.4640694200052</v>
      </c>
      <c r="AD7" s="152">
        <f t="shared" si="3"/>
        <v>6559.8104763620058</v>
      </c>
      <c r="AE7" s="152">
        <f t="shared" si="3"/>
        <v>7215.7915239982067</v>
      </c>
      <c r="AF7" s="137">
        <f>((AE7/I7)^(1/($AE$3-$J$1) ))-1</f>
        <v>0.14593176555821663</v>
      </c>
      <c r="AG7" s="31">
        <f>$N$1</f>
        <v>0.05</v>
      </c>
      <c r="AH7" s="145">
        <f t="shared" si="1"/>
        <v>44568.124118812462</v>
      </c>
    </row>
    <row r="8" spans="2:34">
      <c r="B8" s="20"/>
      <c r="C8" s="140"/>
      <c r="D8" s="140"/>
      <c r="E8" s="146"/>
      <c r="F8" s="146"/>
      <c r="G8" s="149" t="e">
        <f t="shared" ref="G8:Q8" si="4">(G7-F7)/F7</f>
        <v>#DIV/0!</v>
      </c>
      <c r="H8" s="149">
        <f t="shared" si="4"/>
        <v>0.14603174603174604</v>
      </c>
      <c r="I8" s="149">
        <f t="shared" si="4"/>
        <v>0.1440443213296399</v>
      </c>
      <c r="J8" s="149">
        <f t="shared" si="4"/>
        <v>0.16222760290556901</v>
      </c>
      <c r="K8" s="149">
        <f t="shared" si="4"/>
        <v>0.29166666666666669</v>
      </c>
      <c r="L8" s="149">
        <f t="shared" si="4"/>
        <v>2.2580645161290321E-2</v>
      </c>
      <c r="M8" s="149">
        <f t="shared" si="4"/>
        <v>0.37539432176656151</v>
      </c>
      <c r="N8" s="149">
        <f t="shared" si="4"/>
        <v>0.24311926605504589</v>
      </c>
      <c r="O8" s="149">
        <f t="shared" si="4"/>
        <v>0.22324723247232472</v>
      </c>
      <c r="P8" s="149">
        <f t="shared" si="4"/>
        <v>0.24509803921568626</v>
      </c>
      <c r="Q8" s="149">
        <f t="shared" si="4"/>
        <v>0.1823137492428831</v>
      </c>
      <c r="R8" s="149">
        <f t="shared" ref="R8:S8" si="5">(R7-Q7)/Q7</f>
        <v>0.16290983606557377</v>
      </c>
      <c r="S8" s="149">
        <f t="shared" si="5"/>
        <v>0.22555066079295155</v>
      </c>
      <c r="T8" s="128"/>
      <c r="U8" s="20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146">
        <v>85</v>
      </c>
      <c r="H9" s="146">
        <v>112</v>
      </c>
      <c r="I9" s="146">
        <v>133</v>
      </c>
      <c r="J9" s="146">
        <v>197</v>
      </c>
      <c r="K9" s="146">
        <v>263</v>
      </c>
      <c r="L9" s="146">
        <v>324</v>
      </c>
      <c r="M9" s="146">
        <v>411</v>
      </c>
      <c r="N9" s="146">
        <v>510</v>
      </c>
      <c r="O9" s="146">
        <v>748</v>
      </c>
      <c r="P9" s="146">
        <v>693</v>
      </c>
      <c r="Q9" s="146">
        <v>704</v>
      </c>
      <c r="R9" s="203">
        <v>750</v>
      </c>
      <c r="S9" s="203">
        <v>912</v>
      </c>
      <c r="T9" s="118">
        <f>((S9/G9)^(1/($J$2-$J$1) ))-1</f>
        <v>0.21865654715441729</v>
      </c>
      <c r="U9" s="31">
        <f t="shared" ref="U9:U55" si="6">$N$2</f>
        <v>0.1</v>
      </c>
      <c r="V9" s="152">
        <f t="shared" si="2"/>
        <v>1003.2</v>
      </c>
      <c r="W9" s="152">
        <f t="shared" ref="W9" si="7">V9*(1+$U9)</f>
        <v>1103.5200000000002</v>
      </c>
      <c r="X9" s="152">
        <f t="shared" ref="X9" si="8">W9*(1+$U9)</f>
        <v>1213.8720000000003</v>
      </c>
      <c r="Y9" s="152">
        <f t="shared" ref="Y9" si="9">X9*(1+$U9)</f>
        <v>1335.2592000000004</v>
      </c>
      <c r="Z9" s="152">
        <f t="shared" ref="Z9" si="10">Y9*(1+$U9)</f>
        <v>1468.7851200000007</v>
      </c>
      <c r="AA9" s="152">
        <f t="shared" ref="AA9" si="11">Z9*(1+$U9)</f>
        <v>1615.6636320000009</v>
      </c>
      <c r="AB9" s="152">
        <f t="shared" ref="AB9" si="12">AA9*(1+$U9)</f>
        <v>1777.2299952000012</v>
      </c>
      <c r="AC9" s="152">
        <f t="shared" ref="AC9" si="13">AB9*(1+$U9)</f>
        <v>1954.9529947200015</v>
      </c>
      <c r="AD9" s="152">
        <f t="shared" ref="AD9" si="14">AC9*(1+$U9)</f>
        <v>2150.4482941920019</v>
      </c>
      <c r="AE9" s="152">
        <f t="shared" ref="AE9" si="15">AD9*(1+$U9)</f>
        <v>2365.4931236112025</v>
      </c>
      <c r="AF9" s="137">
        <f>((AE9/I9)^(1/($AE$3-$J$1) ))-1</f>
        <v>0.14690420540277671</v>
      </c>
      <c r="AG9" s="31">
        <f t="shared" ref="AG9:AG99" si="16">$N$1</f>
        <v>0.05</v>
      </c>
      <c r="AH9" s="145">
        <f t="shared" si="1"/>
        <v>14610.398704657429</v>
      </c>
    </row>
    <row r="10" spans="2:34">
      <c r="B10" s="20" t="s">
        <v>4</v>
      </c>
      <c r="C10" s="140"/>
      <c r="D10" s="140"/>
      <c r="E10" s="146"/>
      <c r="F10" s="146"/>
      <c r="G10" s="146">
        <v>56</v>
      </c>
      <c r="H10" s="146">
        <v>62</v>
      </c>
      <c r="I10" s="146">
        <v>56</v>
      </c>
      <c r="J10" s="146">
        <v>145</v>
      </c>
      <c r="K10" s="146">
        <v>526</v>
      </c>
      <c r="L10" s="146">
        <v>609</v>
      </c>
      <c r="M10" s="146">
        <v>468</v>
      </c>
      <c r="N10" s="146">
        <v>335</v>
      </c>
      <c r="O10" s="146">
        <v>148</v>
      </c>
      <c r="P10" s="146">
        <v>51</v>
      </c>
      <c r="Q10" s="146">
        <v>46</v>
      </c>
      <c r="R10" s="203">
        <v>58</v>
      </c>
      <c r="S10" s="203">
        <v>84</v>
      </c>
      <c r="T10" s="118">
        <f>((S10/G10)^(1/($J$2-$J$1) ))-1</f>
        <v>3.436608313191658E-2</v>
      </c>
      <c r="U10" s="31">
        <f t="shared" si="6"/>
        <v>0.1</v>
      </c>
      <c r="V10" s="152">
        <f t="shared" si="2"/>
        <v>92.4</v>
      </c>
      <c r="W10" s="152">
        <f t="shared" ref="W10:AE10" si="17">V10*(1+$U10)</f>
        <v>101.64000000000001</v>
      </c>
      <c r="X10" s="152">
        <f t="shared" si="17"/>
        <v>111.80400000000003</v>
      </c>
      <c r="Y10" s="152">
        <f t="shared" si="17"/>
        <v>122.98440000000004</v>
      </c>
      <c r="Z10" s="152">
        <f t="shared" si="17"/>
        <v>135.28284000000005</v>
      </c>
      <c r="AA10" s="152">
        <f t="shared" si="17"/>
        <v>148.81112400000006</v>
      </c>
      <c r="AB10" s="152">
        <f t="shared" si="17"/>
        <v>163.69223640000007</v>
      </c>
      <c r="AC10" s="152">
        <f t="shared" si="17"/>
        <v>180.0614600400001</v>
      </c>
      <c r="AD10" s="152">
        <f t="shared" si="17"/>
        <v>198.06760604400012</v>
      </c>
      <c r="AE10" s="152">
        <f t="shared" si="17"/>
        <v>217.87436664840016</v>
      </c>
      <c r="AF10" s="137">
        <f t="shared" ref="AF10:AF57" si="18">((AE10/I10)^(1/($AE$3-$J$1) ))-1</f>
        <v>6.6832163301452585E-2</v>
      </c>
      <c r="AG10" s="31">
        <f t="shared" si="16"/>
        <v>0.05</v>
      </c>
      <c r="AH10" s="145">
        <f t="shared" si="1"/>
        <v>1345.6946175342364</v>
      </c>
    </row>
    <row r="11" spans="2:34">
      <c r="B11" s="20"/>
      <c r="C11" s="140"/>
      <c r="D11" s="140"/>
      <c r="E11" s="146"/>
      <c r="F11" s="146"/>
      <c r="G11" s="149" t="e">
        <f t="shared" ref="G11:Q11" si="19">(G10-F10)/F10</f>
        <v>#DIV/0!</v>
      </c>
      <c r="H11" s="149">
        <f t="shared" si="19"/>
        <v>0.10714285714285714</v>
      </c>
      <c r="I11" s="149">
        <f t="shared" si="19"/>
        <v>-9.6774193548387094E-2</v>
      </c>
      <c r="J11" s="149">
        <f t="shared" si="19"/>
        <v>1.5892857142857142</v>
      </c>
      <c r="K11" s="149">
        <f t="shared" si="19"/>
        <v>2.6275862068965519</v>
      </c>
      <c r="L11" s="149">
        <f t="shared" si="19"/>
        <v>0.15779467680608364</v>
      </c>
      <c r="M11" s="149">
        <f t="shared" si="19"/>
        <v>-0.23152709359605911</v>
      </c>
      <c r="N11" s="149">
        <f t="shared" si="19"/>
        <v>-0.28418803418803418</v>
      </c>
      <c r="O11" s="149">
        <f t="shared" si="19"/>
        <v>-0.55820895522388059</v>
      </c>
      <c r="P11" s="149">
        <f t="shared" si="19"/>
        <v>-0.65540540540540537</v>
      </c>
      <c r="Q11" s="149">
        <f t="shared" si="19"/>
        <v>-9.8039215686274508E-2</v>
      </c>
      <c r="R11" s="149">
        <f t="shared" ref="R11:S11" si="20">(R10-Q10)/Q10</f>
        <v>0.2608695652173913</v>
      </c>
      <c r="S11" s="149">
        <f t="shared" si="20"/>
        <v>0.44827586206896552</v>
      </c>
      <c r="T11" s="128"/>
      <c r="U11" s="20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6"/>
        <v>0.05</v>
      </c>
      <c r="AH11" s="152"/>
    </row>
    <row r="12" spans="2:34">
      <c r="B12" s="20" t="s">
        <v>2</v>
      </c>
      <c r="C12" s="140"/>
      <c r="D12" s="140"/>
      <c r="E12" s="146"/>
      <c r="F12" s="146"/>
      <c r="G12" s="146">
        <v>7.5</v>
      </c>
      <c r="H12" s="146">
        <v>14</v>
      </c>
      <c r="I12" s="146">
        <v>16</v>
      </c>
      <c r="J12" s="146">
        <v>38</v>
      </c>
      <c r="K12" s="146">
        <v>172</v>
      </c>
      <c r="L12" s="146">
        <v>159</v>
      </c>
      <c r="M12" s="146">
        <v>45</v>
      </c>
      <c r="N12" s="146">
        <v>103</v>
      </c>
      <c r="O12" s="146">
        <v>273</v>
      </c>
      <c r="P12" s="146">
        <v>151</v>
      </c>
      <c r="Q12" s="146">
        <v>177</v>
      </c>
      <c r="R12" s="203">
        <v>86</v>
      </c>
      <c r="S12" s="203">
        <v>132</v>
      </c>
      <c r="T12" s="118">
        <f>((S12/G12)^(1/($J$2-$J$1) ))-1</f>
        <v>0.26996783727606677</v>
      </c>
      <c r="U12" s="31">
        <f t="shared" si="6"/>
        <v>0.1</v>
      </c>
      <c r="V12" s="152">
        <f t="shared" si="2"/>
        <v>145.20000000000002</v>
      </c>
      <c r="W12" s="152">
        <f t="shared" ref="W12:AE12" si="21">V12*(1+$U12)</f>
        <v>159.72000000000003</v>
      </c>
      <c r="X12" s="152">
        <f t="shared" si="21"/>
        <v>175.69200000000004</v>
      </c>
      <c r="Y12" s="152">
        <f t="shared" si="21"/>
        <v>193.26120000000006</v>
      </c>
      <c r="Z12" s="152">
        <f t="shared" si="21"/>
        <v>212.58732000000009</v>
      </c>
      <c r="AA12" s="152">
        <f t="shared" si="21"/>
        <v>233.84605200000013</v>
      </c>
      <c r="AB12" s="152">
        <f t="shared" si="21"/>
        <v>257.23065720000017</v>
      </c>
      <c r="AC12" s="152">
        <f t="shared" si="21"/>
        <v>282.95372292000019</v>
      </c>
      <c r="AD12" s="152">
        <f t="shared" si="21"/>
        <v>311.24909521200021</v>
      </c>
      <c r="AE12" s="152">
        <f t="shared" si="21"/>
        <v>342.37400473320025</v>
      </c>
      <c r="AF12" s="137">
        <f t="shared" si="18"/>
        <v>0.15704824162195075</v>
      </c>
      <c r="AG12" s="31">
        <f t="shared" si="16"/>
        <v>0.05</v>
      </c>
      <c r="AH12" s="145">
        <f t="shared" si="1"/>
        <v>2114.6629704109428</v>
      </c>
    </row>
    <row r="13" spans="2:34">
      <c r="B13" s="20" t="s">
        <v>218</v>
      </c>
      <c r="C13" s="140"/>
      <c r="D13" s="140"/>
      <c r="E13" s="146"/>
      <c r="F13" s="146"/>
      <c r="G13" s="146">
        <v>19</v>
      </c>
      <c r="H13" s="146">
        <v>19</v>
      </c>
      <c r="I13" s="146">
        <v>16</v>
      </c>
      <c r="J13" s="146">
        <v>16</v>
      </c>
      <c r="K13" s="146">
        <v>3.24</v>
      </c>
      <c r="L13" s="146">
        <v>26</v>
      </c>
      <c r="M13" s="146">
        <v>268</v>
      </c>
      <c r="N13" s="146">
        <v>170</v>
      </c>
      <c r="O13" s="146">
        <v>98</v>
      </c>
      <c r="P13" s="146">
        <v>293</v>
      </c>
      <c r="Q13" s="146">
        <v>260</v>
      </c>
      <c r="R13" s="203">
        <v>360</v>
      </c>
      <c r="S13" s="203">
        <v>649</v>
      </c>
      <c r="T13" s="118">
        <f t="shared" ref="T13:T59" si="22">((S13/G13)^(1/($J$2-$J$1) ))-1</f>
        <v>0.34211869116296567</v>
      </c>
      <c r="U13" s="31">
        <f t="shared" si="6"/>
        <v>0.1</v>
      </c>
      <c r="V13" s="152">
        <f t="shared" si="2"/>
        <v>713.90000000000009</v>
      </c>
      <c r="W13" s="152">
        <f t="shared" ref="W13:AE13" si="23">V13*(1+$U13)</f>
        <v>785.29000000000019</v>
      </c>
      <c r="X13" s="152">
        <f t="shared" si="23"/>
        <v>863.8190000000003</v>
      </c>
      <c r="Y13" s="152">
        <f t="shared" si="23"/>
        <v>950.20090000000039</v>
      </c>
      <c r="Z13" s="152">
        <f t="shared" si="23"/>
        <v>1045.2209900000005</v>
      </c>
      <c r="AA13" s="152">
        <f t="shared" si="23"/>
        <v>1149.7430890000007</v>
      </c>
      <c r="AB13" s="152">
        <f t="shared" si="23"/>
        <v>1264.7173979000008</v>
      </c>
      <c r="AC13" s="152">
        <f t="shared" si="23"/>
        <v>1391.189137690001</v>
      </c>
      <c r="AD13" s="152">
        <f t="shared" si="23"/>
        <v>1530.3080514590013</v>
      </c>
      <c r="AE13" s="152">
        <f t="shared" si="23"/>
        <v>1683.3388566049016</v>
      </c>
      <c r="AF13" s="137">
        <f t="shared" si="18"/>
        <v>0.24821147211826755</v>
      </c>
      <c r="AG13" s="31">
        <f t="shared" si="16"/>
        <v>0.05</v>
      </c>
      <c r="AH13" s="145">
        <f t="shared" si="1"/>
        <v>10397.092937853806</v>
      </c>
    </row>
    <row r="14" spans="2:34">
      <c r="B14" s="20" t="s">
        <v>369</v>
      </c>
      <c r="C14" s="140"/>
      <c r="D14" s="140"/>
      <c r="E14" s="146"/>
      <c r="F14" s="146"/>
      <c r="G14" s="146">
        <v>105</v>
      </c>
      <c r="H14" s="146">
        <v>130</v>
      </c>
      <c r="I14" s="146">
        <v>156</v>
      </c>
      <c r="J14" s="146">
        <v>221</v>
      </c>
      <c r="K14" s="146">
        <v>298</v>
      </c>
      <c r="L14" s="146">
        <v>280</v>
      </c>
      <c r="M14" s="146">
        <v>298</v>
      </c>
      <c r="N14" s="146">
        <v>409</v>
      </c>
      <c r="O14" s="146">
        <v>454</v>
      </c>
      <c r="P14" s="146">
        <v>524</v>
      </c>
      <c r="Q14" s="146">
        <v>600</v>
      </c>
      <c r="R14" s="203">
        <v>641</v>
      </c>
      <c r="S14" s="203">
        <v>629</v>
      </c>
      <c r="T14" s="118">
        <f t="shared" si="22"/>
        <v>0.16088298425236847</v>
      </c>
      <c r="U14" s="31">
        <f t="shared" si="6"/>
        <v>0.1</v>
      </c>
      <c r="V14" s="152">
        <f t="shared" si="2"/>
        <v>691.90000000000009</v>
      </c>
      <c r="W14" s="152">
        <f t="shared" ref="W14" si="24">V14*(1+$U14)</f>
        <v>761.09000000000015</v>
      </c>
      <c r="X14" s="152">
        <f t="shared" ref="X14" si="25">W14*(1+$U14)</f>
        <v>837.19900000000018</v>
      </c>
      <c r="Y14" s="152">
        <f t="shared" ref="Y14" si="26">X14*(1+$U14)</f>
        <v>920.91890000000024</v>
      </c>
      <c r="Z14" s="152">
        <f t="shared" ref="Z14" si="27">Y14*(1+$U14)</f>
        <v>1013.0107900000004</v>
      </c>
      <c r="AA14" s="152">
        <f t="shared" ref="AA14" si="28">Z14*(1+$U14)</f>
        <v>1114.3118690000006</v>
      </c>
      <c r="AB14" s="152">
        <f t="shared" ref="AB14" si="29">AA14*(1+$U14)</f>
        <v>1225.7430559000006</v>
      </c>
      <c r="AC14" s="152">
        <f t="shared" ref="AC14" si="30">AB14*(1+$U14)</f>
        <v>1348.3173614900008</v>
      </c>
      <c r="AD14" s="152">
        <f t="shared" ref="AD14" si="31">AC14*(1+$U14)</f>
        <v>1483.149097639001</v>
      </c>
      <c r="AE14" s="152">
        <f t="shared" ref="AE14" si="32">AD14*(1+$U14)</f>
        <v>1631.4640074029012</v>
      </c>
      <c r="AF14" s="137">
        <f t="shared" ref="AF14" si="33">((AE14/I14)^(1/($AE$3-$J$1) ))-1</f>
        <v>0.11826665765844013</v>
      </c>
      <c r="AG14" s="31">
        <f t="shared" si="16"/>
        <v>0.05</v>
      </c>
      <c r="AH14" s="145">
        <f t="shared" ref="AH14" si="34">(AE14*(1+AG14))/($C$1-AG14)</f>
        <v>10076.689457488508</v>
      </c>
    </row>
    <row r="15" spans="2:34">
      <c r="B15" s="20" t="s">
        <v>19</v>
      </c>
      <c r="C15" s="140"/>
      <c r="D15" s="140"/>
      <c r="E15" s="146"/>
      <c r="F15" s="146"/>
      <c r="G15" s="146">
        <v>209.5</v>
      </c>
      <c r="H15" s="146">
        <v>254</v>
      </c>
      <c r="I15" s="146">
        <v>284</v>
      </c>
      <c r="J15" s="146">
        <v>417</v>
      </c>
      <c r="K15" s="146">
        <v>708</v>
      </c>
      <c r="L15" s="146">
        <v>718</v>
      </c>
      <c r="M15" s="146">
        <v>638</v>
      </c>
      <c r="N15" s="146">
        <v>793</v>
      </c>
      <c r="O15" s="146">
        <v>1122</v>
      </c>
      <c r="P15" s="146">
        <v>1104</v>
      </c>
      <c r="Q15" s="146">
        <v>1301</v>
      </c>
      <c r="R15" s="203">
        <v>1313</v>
      </c>
      <c r="S15" s="203">
        <v>1490</v>
      </c>
      <c r="T15" s="118">
        <f t="shared" si="22"/>
        <v>0.17760647992547707</v>
      </c>
      <c r="U15" s="31">
        <f t="shared" si="6"/>
        <v>0.1</v>
      </c>
      <c r="V15" s="152">
        <f t="shared" si="2"/>
        <v>1639.0000000000002</v>
      </c>
      <c r="W15" s="152">
        <f t="shared" ref="W15:AE15" si="35">V15*(1+$U15)</f>
        <v>1802.9000000000003</v>
      </c>
      <c r="X15" s="152">
        <f t="shared" si="35"/>
        <v>1983.1900000000005</v>
      </c>
      <c r="Y15" s="152">
        <f t="shared" si="35"/>
        <v>2181.5090000000009</v>
      </c>
      <c r="Z15" s="152">
        <f t="shared" si="35"/>
        <v>2399.659900000001</v>
      </c>
      <c r="AA15" s="152">
        <f t="shared" si="35"/>
        <v>2639.6258900000012</v>
      </c>
      <c r="AB15" s="152">
        <f t="shared" si="35"/>
        <v>2903.5884790000014</v>
      </c>
      <c r="AC15" s="152">
        <f t="shared" si="35"/>
        <v>3193.9473269000018</v>
      </c>
      <c r="AD15" s="152">
        <f t="shared" si="35"/>
        <v>3513.3420595900025</v>
      </c>
      <c r="AE15" s="152">
        <f t="shared" si="35"/>
        <v>3864.6762655490029</v>
      </c>
      <c r="AF15" s="137">
        <f t="shared" si="18"/>
        <v>0.13237488253863616</v>
      </c>
      <c r="AG15" s="31">
        <f t="shared" si="16"/>
        <v>0.05</v>
      </c>
      <c r="AH15" s="145">
        <f t="shared" si="1"/>
        <v>23870.059287214433</v>
      </c>
    </row>
    <row r="16" spans="2:34">
      <c r="B16" s="20" t="s">
        <v>23</v>
      </c>
      <c r="C16" s="140"/>
      <c r="D16" s="140"/>
      <c r="E16" s="146"/>
      <c r="F16" s="146"/>
      <c r="G16" s="146">
        <v>132</v>
      </c>
      <c r="H16" s="146">
        <v>145</v>
      </c>
      <c r="I16" s="146">
        <v>147</v>
      </c>
      <c r="J16" s="146">
        <v>224</v>
      </c>
      <c r="K16" s="146">
        <v>477</v>
      </c>
      <c r="L16" s="146">
        <v>445</v>
      </c>
      <c r="M16" s="146">
        <v>234</v>
      </c>
      <c r="N16" s="146">
        <v>336</v>
      </c>
      <c r="O16" s="146">
        <v>365</v>
      </c>
      <c r="P16" s="146">
        <v>335</v>
      </c>
      <c r="Q16" s="146">
        <v>555</v>
      </c>
      <c r="R16" s="203">
        <v>534</v>
      </c>
      <c r="S16" s="203">
        <v>730</v>
      </c>
      <c r="T16" s="118">
        <f t="shared" si="22"/>
        <v>0.15317639521499449</v>
      </c>
      <c r="U16" s="31">
        <f t="shared" si="6"/>
        <v>0.1</v>
      </c>
      <c r="V16" s="152">
        <f t="shared" si="2"/>
        <v>803.00000000000011</v>
      </c>
      <c r="W16" s="152">
        <f t="shared" ref="W16:AE16" si="36">V16*(1+$U16)</f>
        <v>883.30000000000018</v>
      </c>
      <c r="X16" s="152">
        <f t="shared" si="36"/>
        <v>971.63000000000022</v>
      </c>
      <c r="Y16" s="152">
        <f t="shared" si="36"/>
        <v>1068.7930000000003</v>
      </c>
      <c r="Z16" s="152">
        <f t="shared" si="36"/>
        <v>1175.6723000000004</v>
      </c>
      <c r="AA16" s="152">
        <f t="shared" si="36"/>
        <v>1293.2395300000005</v>
      </c>
      <c r="AB16" s="152">
        <f t="shared" si="36"/>
        <v>1422.5634830000006</v>
      </c>
      <c r="AC16" s="152">
        <f t="shared" si="36"/>
        <v>1564.8198313000007</v>
      </c>
      <c r="AD16" s="152">
        <f t="shared" si="36"/>
        <v>1721.3018144300008</v>
      </c>
      <c r="AE16" s="152">
        <f t="shared" si="36"/>
        <v>1893.4319958730011</v>
      </c>
      <c r="AF16" s="137">
        <f t="shared" si="18"/>
        <v>0.12941596563492053</v>
      </c>
      <c r="AG16" s="31">
        <f t="shared" si="16"/>
        <v>0.05</v>
      </c>
      <c r="AH16" s="145">
        <f t="shared" si="1"/>
        <v>11694.727033333244</v>
      </c>
    </row>
    <row r="17" spans="2:34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28"/>
      <c r="U17" s="20"/>
      <c r="V17" s="152">
        <f t="shared" si="2"/>
        <v>0</v>
      </c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146">
        <v>204</v>
      </c>
      <c r="H18" s="146">
        <v>224</v>
      </c>
      <c r="I18" s="146">
        <v>278</v>
      </c>
      <c r="J18" s="146">
        <v>350</v>
      </c>
      <c r="K18" s="146">
        <v>497</v>
      </c>
      <c r="L18" s="146">
        <v>551</v>
      </c>
      <c r="M18" s="146">
        <v>540</v>
      </c>
      <c r="N18" s="146">
        <v>563</v>
      </c>
      <c r="O18" s="146">
        <v>618</v>
      </c>
      <c r="P18" s="146">
        <v>646</v>
      </c>
      <c r="Q18" s="146">
        <v>729</v>
      </c>
      <c r="R18" s="203">
        <v>978</v>
      </c>
      <c r="S18" s="203">
        <v>1131</v>
      </c>
      <c r="T18" s="118">
        <f t="shared" si="22"/>
        <v>0.15341617230788418</v>
      </c>
      <c r="U18" s="31">
        <f t="shared" si="6"/>
        <v>0.1</v>
      </c>
      <c r="V18" s="152">
        <f t="shared" si="2"/>
        <v>1244.1000000000001</v>
      </c>
      <c r="W18" s="152">
        <f t="shared" ref="W18:W34" si="37">V18*(1+$U18)</f>
        <v>1368.5100000000002</v>
      </c>
      <c r="X18" s="152">
        <f t="shared" ref="X18:X34" si="38">W18*(1+$U18)</f>
        <v>1505.3610000000003</v>
      </c>
      <c r="Y18" s="152">
        <f t="shared" ref="Y18:Y34" si="39">X18*(1+$U18)</f>
        <v>1655.8971000000006</v>
      </c>
      <c r="Z18" s="152">
        <f t="shared" ref="Z18:Z51" si="40">Y18*(1+$U18)</f>
        <v>1821.4868100000008</v>
      </c>
      <c r="AA18" s="152">
        <f t="shared" ref="AA18:AA51" si="41">Z18*(1+$U18)</f>
        <v>2003.6354910000011</v>
      </c>
      <c r="AB18" s="152">
        <f t="shared" ref="AB18:AB51" si="42">AA18*(1+$U18)</f>
        <v>2203.9990401000014</v>
      </c>
      <c r="AC18" s="152">
        <f t="shared" ref="AC18:AC51" si="43">AB18*(1+$U18)</f>
        <v>2424.3989441100016</v>
      </c>
      <c r="AD18" s="152">
        <f t="shared" ref="AD18:AD51" si="44">AC18*(1+$U18)</f>
        <v>2666.8388385210019</v>
      </c>
      <c r="AE18" s="152">
        <f t="shared" ref="AE18:AE51" si="45">AD18*(1+$U18)</f>
        <v>2933.5227223731022</v>
      </c>
      <c r="AF18" s="137">
        <f t="shared" si="18"/>
        <v>0.11874394585937531</v>
      </c>
      <c r="AG18" s="31">
        <f t="shared" si="16"/>
        <v>0.05</v>
      </c>
      <c r="AH18" s="145">
        <f t="shared" si="1"/>
        <v>18118.816814657399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28"/>
      <c r="U19" s="20"/>
      <c r="V19" s="152">
        <f t="shared" si="2"/>
        <v>0</v>
      </c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>
        <v>48</v>
      </c>
      <c r="H20" s="146">
        <v>92</v>
      </c>
      <c r="I20" s="146">
        <v>112</v>
      </c>
      <c r="J20" s="146">
        <v>89</v>
      </c>
      <c r="K20" s="146">
        <v>128</v>
      </c>
      <c r="L20" s="146">
        <v>260</v>
      </c>
      <c r="M20" s="146">
        <v>412</v>
      </c>
      <c r="N20" s="146">
        <v>322</v>
      </c>
      <c r="O20" s="146">
        <v>507</v>
      </c>
      <c r="P20" s="146">
        <v>513</v>
      </c>
      <c r="Q20" s="146">
        <v>398</v>
      </c>
      <c r="R20" s="146">
        <v>573</v>
      </c>
      <c r="S20" s="146">
        <v>907</v>
      </c>
      <c r="T20" s="118">
        <f t="shared" si="22"/>
        <v>0.27750861485653311</v>
      </c>
      <c r="U20" s="31">
        <f t="shared" si="6"/>
        <v>0.1</v>
      </c>
      <c r="V20" s="152">
        <f t="shared" si="2"/>
        <v>997.7</v>
      </c>
      <c r="W20" s="152">
        <f t="shared" ref="W20:W22" si="46">V20*(1+$U20)</f>
        <v>1097.47</v>
      </c>
      <c r="X20" s="152">
        <f t="shared" ref="X20:X22" si="47">W20*(1+$U20)</f>
        <v>1207.2170000000001</v>
      </c>
      <c r="Y20" s="152">
        <f t="shared" ref="Y20:Y22" si="48">X20*(1+$U20)</f>
        <v>1327.9387000000002</v>
      </c>
      <c r="Z20" s="152">
        <f t="shared" ref="Z20:Z22" si="49">Y20*(1+$U20)</f>
        <v>1460.7325700000004</v>
      </c>
      <c r="AA20" s="152">
        <f t="shared" ref="AA20:AA22" si="50">Z20*(1+$U20)</f>
        <v>1606.8058270000006</v>
      </c>
      <c r="AB20" s="152">
        <f t="shared" ref="AB20:AB22" si="51">AA20*(1+$U20)</f>
        <v>1767.4864097000009</v>
      </c>
      <c r="AC20" s="152">
        <f t="shared" ref="AC20:AC22" si="52">AB20*(1+$U20)</f>
        <v>1944.2350506700011</v>
      </c>
      <c r="AD20" s="152">
        <f t="shared" ref="AD20:AD22" si="53">AC20*(1+$U20)</f>
        <v>2138.6585557370013</v>
      </c>
      <c r="AE20" s="152">
        <f t="shared" ref="AE20:AE22" si="54">AD20*(1+$U20)</f>
        <v>2352.5244113107015</v>
      </c>
      <c r="AF20" s="137">
        <f t="shared" ref="AF20:AF22" si="55">((AE20/I20)^(1/($AE$3-$J$1) ))-1</f>
        <v>0.15602555347578173</v>
      </c>
      <c r="AG20" s="31">
        <f t="shared" si="16"/>
        <v>0.05</v>
      </c>
      <c r="AH20" s="145">
        <f t="shared" si="1"/>
        <v>14530.297834566099</v>
      </c>
    </row>
    <row r="21" spans="2:34">
      <c r="B21" s="20" t="s">
        <v>284</v>
      </c>
      <c r="C21" s="140"/>
      <c r="D21" s="140"/>
      <c r="E21" s="146"/>
      <c r="F21" s="146"/>
      <c r="G21" s="146">
        <v>-41</v>
      </c>
      <c r="H21" s="146">
        <v>-70</v>
      </c>
      <c r="I21" s="146">
        <v>-77</v>
      </c>
      <c r="J21" s="146">
        <v>-125</v>
      </c>
      <c r="K21" s="146">
        <v>-290</v>
      </c>
      <c r="L21" s="146">
        <v>-228</v>
      </c>
      <c r="M21" s="146">
        <v>-345</v>
      </c>
      <c r="N21" s="146">
        <v>-37</v>
      </c>
      <c r="O21" s="146">
        <v>-231</v>
      </c>
      <c r="P21" s="146">
        <v>-197</v>
      </c>
      <c r="Q21" s="146">
        <v>-140</v>
      </c>
      <c r="R21" s="146">
        <v>-444</v>
      </c>
      <c r="S21" s="146">
        <v>-469</v>
      </c>
      <c r="T21" s="118">
        <f t="shared" si="22"/>
        <v>0.22517769646047747</v>
      </c>
      <c r="U21" s="31">
        <f t="shared" si="6"/>
        <v>0.1</v>
      </c>
      <c r="V21" s="152">
        <f t="shared" si="2"/>
        <v>-515.90000000000009</v>
      </c>
      <c r="W21" s="152">
        <f t="shared" si="46"/>
        <v>-567.49000000000012</v>
      </c>
      <c r="X21" s="152">
        <f t="shared" si="47"/>
        <v>-624.23900000000015</v>
      </c>
      <c r="Y21" s="152">
        <f t="shared" si="48"/>
        <v>-686.66290000000026</v>
      </c>
      <c r="Z21" s="152">
        <f t="shared" si="49"/>
        <v>-755.32919000000038</v>
      </c>
      <c r="AA21" s="152">
        <f t="shared" si="50"/>
        <v>-830.86210900000049</v>
      </c>
      <c r="AB21" s="152">
        <f t="shared" si="51"/>
        <v>-913.94831990000057</v>
      </c>
      <c r="AC21" s="152">
        <f t="shared" si="52"/>
        <v>-1005.3431518900007</v>
      </c>
      <c r="AD21" s="152">
        <f t="shared" si="53"/>
        <v>-1105.877467079001</v>
      </c>
      <c r="AE21" s="152">
        <f t="shared" si="54"/>
        <v>-1216.4652137869011</v>
      </c>
      <c r="AF21" s="137">
        <f t="shared" si="55"/>
        <v>0.14045096645396571</v>
      </c>
      <c r="AG21" s="31">
        <f t="shared" si="16"/>
        <v>0.05</v>
      </c>
      <c r="AH21" s="145">
        <f t="shared" si="1"/>
        <v>-7513.4616145661548</v>
      </c>
    </row>
    <row r="22" spans="2:34">
      <c r="B22" s="20" t="s">
        <v>285</v>
      </c>
      <c r="C22" s="140"/>
      <c r="D22" s="140"/>
      <c r="E22" s="146"/>
      <c r="F22" s="146"/>
      <c r="G22" s="146">
        <v>-7</v>
      </c>
      <c r="H22" s="146">
        <v>-18</v>
      </c>
      <c r="I22" s="146">
        <v>-35</v>
      </c>
      <c r="J22" s="146">
        <v>47</v>
      </c>
      <c r="K22" s="146">
        <v>288</v>
      </c>
      <c r="L22" s="146">
        <v>-54</v>
      </c>
      <c r="M22" s="146">
        <v>-160</v>
      </c>
      <c r="N22" s="146">
        <v>-246</v>
      </c>
      <c r="O22" s="146">
        <v>-285</v>
      </c>
      <c r="P22" s="146">
        <v>-625</v>
      </c>
      <c r="Q22" s="146">
        <v>-220</v>
      </c>
      <c r="R22" s="146">
        <v>-173</v>
      </c>
      <c r="S22" s="146">
        <v>-413</v>
      </c>
      <c r="T22" s="118">
        <f t="shared" si="22"/>
        <v>0.40465930662347205</v>
      </c>
      <c r="U22" s="31">
        <f t="shared" si="6"/>
        <v>0.1</v>
      </c>
      <c r="V22" s="152">
        <f t="shared" si="2"/>
        <v>-454.3</v>
      </c>
      <c r="W22" s="152">
        <f t="shared" si="46"/>
        <v>-499.73000000000008</v>
      </c>
      <c r="X22" s="152">
        <f t="shared" si="47"/>
        <v>-549.70300000000009</v>
      </c>
      <c r="Y22" s="152">
        <f t="shared" si="48"/>
        <v>-604.67330000000015</v>
      </c>
      <c r="Z22" s="152">
        <f t="shared" si="49"/>
        <v>-665.14063000000021</v>
      </c>
      <c r="AA22" s="152">
        <f t="shared" si="50"/>
        <v>-731.65469300000029</v>
      </c>
      <c r="AB22" s="152">
        <f t="shared" si="51"/>
        <v>-804.82016230000033</v>
      </c>
      <c r="AC22" s="152">
        <f t="shared" si="52"/>
        <v>-885.30217853000045</v>
      </c>
      <c r="AD22" s="152">
        <f t="shared" si="53"/>
        <v>-973.83239638300051</v>
      </c>
      <c r="AE22" s="152">
        <f t="shared" si="54"/>
        <v>-1071.2156360213007</v>
      </c>
      <c r="AF22" s="137">
        <f t="shared" si="55"/>
        <v>0.17693587966511659</v>
      </c>
      <c r="AG22" s="31">
        <f t="shared" si="16"/>
        <v>0.05</v>
      </c>
      <c r="AH22" s="145">
        <f t="shared" si="1"/>
        <v>-6616.331869543329</v>
      </c>
    </row>
    <row r="23" spans="2:34">
      <c r="B23" s="20" t="s">
        <v>294</v>
      </c>
      <c r="C23" s="140"/>
      <c r="D23" s="140"/>
      <c r="E23" s="146"/>
      <c r="F23" s="146"/>
      <c r="G23" s="146">
        <v>7.44</v>
      </c>
      <c r="H23" s="146">
        <v>11.66</v>
      </c>
      <c r="I23" s="146">
        <v>12</v>
      </c>
      <c r="J23" s="146">
        <v>23</v>
      </c>
      <c r="K23" s="146">
        <v>148.5</v>
      </c>
      <c r="L23" s="146">
        <v>127</v>
      </c>
      <c r="M23" s="146">
        <v>33</v>
      </c>
      <c r="N23" s="146">
        <v>72</v>
      </c>
      <c r="O23" s="146">
        <v>62</v>
      </c>
      <c r="P23" s="146">
        <v>51</v>
      </c>
      <c r="Q23" s="146">
        <v>88</v>
      </c>
      <c r="R23" s="146">
        <v>43.71</v>
      </c>
      <c r="S23" s="146">
        <v>67.7</v>
      </c>
      <c r="T23" s="118">
        <f t="shared" si="22"/>
        <v>0.20203739256959374</v>
      </c>
      <c r="U23" s="31">
        <f t="shared" si="6"/>
        <v>0.1</v>
      </c>
      <c r="V23" s="152">
        <f t="shared" si="2"/>
        <v>74.470000000000013</v>
      </c>
      <c r="W23" s="152">
        <f t="shared" ref="W23" si="56">V23*(1+$U23)</f>
        <v>81.917000000000016</v>
      </c>
      <c r="X23" s="152">
        <f t="shared" ref="X23" si="57">W23*(1+$U23)</f>
        <v>90.108700000000027</v>
      </c>
      <c r="Y23" s="152">
        <f t="shared" ref="Y23" si="58">X23*(1+$U23)</f>
        <v>99.119570000000039</v>
      </c>
      <c r="Z23" s="152">
        <f t="shared" ref="Z23" si="59">Y23*(1+$U23)</f>
        <v>109.03152700000005</v>
      </c>
      <c r="AA23" s="152">
        <f t="shared" ref="AA23" si="60">Z23*(1+$U23)</f>
        <v>119.93467970000007</v>
      </c>
      <c r="AB23" s="152">
        <f t="shared" ref="AB23" si="61">AA23*(1+$U23)</f>
        <v>131.9281476700001</v>
      </c>
      <c r="AC23" s="152">
        <f t="shared" ref="AC23" si="62">AB23*(1+$U23)</f>
        <v>145.12096243700012</v>
      </c>
      <c r="AD23" s="152">
        <f t="shared" ref="AD23" si="63">AC23*(1+$U23)</f>
        <v>159.63305868070015</v>
      </c>
      <c r="AE23" s="152">
        <f t="shared" ref="AE23" si="64">AD23*(1+$U23)</f>
        <v>175.59636454877017</v>
      </c>
      <c r="AF23" s="137">
        <f t="shared" ref="AF23" si="65">((AE23/I23)^(1/($AE$3-$J$1) ))-1</f>
        <v>0.13629764945198741</v>
      </c>
      <c r="AG23" s="31">
        <f t="shared" si="16"/>
        <v>0.05</v>
      </c>
      <c r="AH23" s="145">
        <f t="shared" si="1"/>
        <v>1084.5657810365217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28"/>
      <c r="U24" s="20"/>
      <c r="V24" s="152">
        <f t="shared" si="2"/>
        <v>0</v>
      </c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6">
        <v>675</v>
      </c>
      <c r="H25" s="146">
        <v>777</v>
      </c>
      <c r="I25" s="146">
        <v>949</v>
      </c>
      <c r="J25" s="146">
        <v>1290</v>
      </c>
      <c r="K25" s="146">
        <v>1767</v>
      </c>
      <c r="L25" s="146">
        <v>1978</v>
      </c>
      <c r="M25" s="146">
        <v>2247</v>
      </c>
      <c r="N25" s="146">
        <v>2748</v>
      </c>
      <c r="O25" s="146">
        <v>3194</v>
      </c>
      <c r="P25" s="146">
        <v>3802</v>
      </c>
      <c r="Q25" s="146">
        <v>4380</v>
      </c>
      <c r="R25" s="203">
        <v>4896</v>
      </c>
      <c r="S25" s="203">
        <v>5398</v>
      </c>
      <c r="T25" s="118">
        <f t="shared" si="22"/>
        <v>0.18917040484733949</v>
      </c>
      <c r="U25" s="31">
        <f t="shared" si="6"/>
        <v>0.1</v>
      </c>
      <c r="V25" s="152">
        <f t="shared" si="2"/>
        <v>5937.8</v>
      </c>
      <c r="W25" s="152">
        <f t="shared" si="37"/>
        <v>6531.5800000000008</v>
      </c>
      <c r="X25" s="152">
        <f t="shared" si="38"/>
        <v>7184.7380000000012</v>
      </c>
      <c r="Y25" s="152">
        <f t="shared" si="39"/>
        <v>7903.2118000000019</v>
      </c>
      <c r="Z25" s="152">
        <f t="shared" si="40"/>
        <v>8693.5329800000036</v>
      </c>
      <c r="AA25" s="152">
        <f t="shared" si="41"/>
        <v>9562.8862780000054</v>
      </c>
      <c r="AB25" s="152">
        <f t="shared" si="42"/>
        <v>10519.174905800006</v>
      </c>
      <c r="AC25" s="152">
        <f t="shared" si="43"/>
        <v>11571.092396380007</v>
      </c>
      <c r="AD25" s="152">
        <f t="shared" si="44"/>
        <v>12728.201636018008</v>
      </c>
      <c r="AE25" s="152">
        <f t="shared" si="45"/>
        <v>14001.02179961981</v>
      </c>
      <c r="AF25" s="137">
        <f t="shared" si="18"/>
        <v>0.13674118777648769</v>
      </c>
      <c r="AG25" s="31">
        <f t="shared" si="16"/>
        <v>0.05</v>
      </c>
      <c r="AH25" s="145">
        <f t="shared" si="1"/>
        <v>86476.899350592954</v>
      </c>
    </row>
    <row r="26" spans="2:34" s="123" customFormat="1">
      <c r="B26" s="23"/>
      <c r="C26" s="147"/>
      <c r="D26" s="147"/>
      <c r="E26" s="148"/>
      <c r="F26" s="148"/>
      <c r="G26" s="149" t="e">
        <f t="shared" ref="G26:Q26" si="66">(G25-F25)/F25</f>
        <v>#DIV/0!</v>
      </c>
      <c r="H26" s="149">
        <f t="shared" si="66"/>
        <v>0.15111111111111111</v>
      </c>
      <c r="I26" s="149">
        <f t="shared" si="66"/>
        <v>0.22136422136422138</v>
      </c>
      <c r="J26" s="149">
        <f t="shared" si="66"/>
        <v>0.35932560590094836</v>
      </c>
      <c r="K26" s="149">
        <f t="shared" si="66"/>
        <v>0.36976744186046512</v>
      </c>
      <c r="L26" s="149">
        <f t="shared" si="66"/>
        <v>0.11941143180531975</v>
      </c>
      <c r="M26" s="149">
        <f t="shared" si="66"/>
        <v>0.13599595551061677</v>
      </c>
      <c r="N26" s="149">
        <f t="shared" si="66"/>
        <v>0.22296395193591456</v>
      </c>
      <c r="O26" s="149">
        <f t="shared" si="66"/>
        <v>0.16229985443959244</v>
      </c>
      <c r="P26" s="149">
        <f t="shared" si="66"/>
        <v>0.19035691922354414</v>
      </c>
      <c r="Q26" s="149">
        <f t="shared" si="66"/>
        <v>0.15202524986849028</v>
      </c>
      <c r="R26" s="149">
        <f t="shared" ref="R26:S26" si="67">(R25-Q25)/Q25</f>
        <v>0.11780821917808219</v>
      </c>
      <c r="S26" s="149">
        <f t="shared" si="67"/>
        <v>0.10253267973856209</v>
      </c>
      <c r="T26" s="128"/>
      <c r="U26" s="20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6">
        <v>558</v>
      </c>
      <c r="H27" s="146">
        <v>640</v>
      </c>
      <c r="I27" s="146">
        <v>789</v>
      </c>
      <c r="J27" s="146">
        <v>1102</v>
      </c>
      <c r="K27" s="146">
        <v>1489</v>
      </c>
      <c r="L27" s="146">
        <v>1748</v>
      </c>
      <c r="M27" s="146">
        <v>1831</v>
      </c>
      <c r="N27" s="146">
        <v>2249</v>
      </c>
      <c r="O27" s="146">
        <v>2666</v>
      </c>
      <c r="P27" s="146">
        <v>3130</v>
      </c>
      <c r="Q27" s="146">
        <v>3670</v>
      </c>
      <c r="R27" s="203">
        <v>4085</v>
      </c>
      <c r="S27" s="203">
        <v>4173</v>
      </c>
      <c r="T27" s="118">
        <f t="shared" si="22"/>
        <v>0.18254547012797739</v>
      </c>
      <c r="U27" s="31">
        <f t="shared" si="6"/>
        <v>0.1</v>
      </c>
      <c r="V27" s="152">
        <f t="shared" si="2"/>
        <v>4590.3</v>
      </c>
      <c r="W27" s="152">
        <f t="shared" si="37"/>
        <v>5049.3300000000008</v>
      </c>
      <c r="X27" s="152">
        <f t="shared" si="38"/>
        <v>5554.2630000000017</v>
      </c>
      <c r="Y27" s="152">
        <f t="shared" si="39"/>
        <v>6109.6893000000027</v>
      </c>
      <c r="Z27" s="152">
        <f t="shared" si="40"/>
        <v>6720.6582300000036</v>
      </c>
      <c r="AA27" s="152">
        <f t="shared" si="41"/>
        <v>7392.7240530000045</v>
      </c>
      <c r="AB27" s="152">
        <f t="shared" si="42"/>
        <v>8131.9964583000055</v>
      </c>
      <c r="AC27" s="152">
        <f t="shared" si="43"/>
        <v>8945.1961041300074</v>
      </c>
      <c r="AD27" s="152">
        <f t="shared" si="44"/>
        <v>9839.7157145430083</v>
      </c>
      <c r="AE27" s="152">
        <f t="shared" si="45"/>
        <v>10823.68728599731</v>
      </c>
      <c r="AF27" s="137">
        <f t="shared" si="18"/>
        <v>0.13280995976623355</v>
      </c>
      <c r="AG27" s="31">
        <f t="shared" si="16"/>
        <v>0.05</v>
      </c>
      <c r="AH27" s="145">
        <f t="shared" si="1"/>
        <v>66852.18617821869</v>
      </c>
    </row>
    <row r="28" spans="2:34" s="123" customFormat="1">
      <c r="B28" s="23"/>
      <c r="C28" s="147"/>
      <c r="D28" s="147"/>
      <c r="E28" s="148"/>
      <c r="F28" s="148"/>
      <c r="G28" s="149" t="e">
        <f t="shared" ref="G28:Q28" si="68">(G27-F27)/F27</f>
        <v>#DIV/0!</v>
      </c>
      <c r="H28" s="149">
        <f t="shared" si="68"/>
        <v>0.14695340501792115</v>
      </c>
      <c r="I28" s="149">
        <f t="shared" si="68"/>
        <v>0.23281250000000001</v>
      </c>
      <c r="J28" s="149">
        <f t="shared" si="68"/>
        <v>0.39670468948035487</v>
      </c>
      <c r="K28" s="149">
        <f t="shared" si="68"/>
        <v>0.35117967332123412</v>
      </c>
      <c r="L28" s="149">
        <f t="shared" si="68"/>
        <v>0.17394224311618536</v>
      </c>
      <c r="M28" s="149">
        <f t="shared" si="68"/>
        <v>4.7482837528604119E-2</v>
      </c>
      <c r="N28" s="149">
        <f t="shared" si="68"/>
        <v>0.22829055161114145</v>
      </c>
      <c r="O28" s="149">
        <f t="shared" si="68"/>
        <v>0.18541574032903513</v>
      </c>
      <c r="P28" s="149">
        <f t="shared" si="68"/>
        <v>0.17404351087771944</v>
      </c>
      <c r="Q28" s="149">
        <f t="shared" si="68"/>
        <v>0.17252396166134185</v>
      </c>
      <c r="R28" s="149">
        <f t="shared" ref="R28:S28" si="69">(R27-Q27)/Q27</f>
        <v>0.11307901907356949</v>
      </c>
      <c r="S28" s="149">
        <f t="shared" si="69"/>
        <v>2.1542227662178701E-2</v>
      </c>
      <c r="T28" s="128"/>
      <c r="U28" s="20"/>
      <c r="V28" s="152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320</v>
      </c>
      <c r="C29" s="147"/>
      <c r="D29" s="147"/>
      <c r="E29" s="148"/>
      <c r="F29" s="148"/>
      <c r="G29" s="146">
        <v>1E-3</v>
      </c>
      <c r="H29" s="146">
        <v>4</v>
      </c>
      <c r="I29" s="146">
        <v>3.8</v>
      </c>
      <c r="J29" s="146">
        <v>9.59</v>
      </c>
      <c r="K29" s="146">
        <v>24</v>
      </c>
      <c r="L29" s="146">
        <v>44</v>
      </c>
      <c r="M29" s="146">
        <v>38</v>
      </c>
      <c r="N29" s="146">
        <v>36</v>
      </c>
      <c r="O29" s="146">
        <v>31</v>
      </c>
      <c r="P29" s="146">
        <v>22</v>
      </c>
      <c r="Q29" s="146">
        <v>16</v>
      </c>
      <c r="R29" s="203">
        <v>15.63</v>
      </c>
      <c r="S29" s="203">
        <v>13.27</v>
      </c>
      <c r="T29" s="118">
        <f t="shared" si="22"/>
        <v>1.2058327322280489</v>
      </c>
      <c r="U29" s="31">
        <f t="shared" si="6"/>
        <v>0.1</v>
      </c>
      <c r="V29" s="152">
        <f t="shared" si="2"/>
        <v>14.597000000000001</v>
      </c>
      <c r="W29" s="152">
        <f t="shared" ref="W29" si="70">V29*(1+$U29)</f>
        <v>16.056700000000003</v>
      </c>
      <c r="X29" s="152">
        <f t="shared" ref="X29" si="71">W29*(1+$U29)</f>
        <v>17.662370000000006</v>
      </c>
      <c r="Y29" s="152">
        <f t="shared" ref="Y29" si="72">X29*(1+$U29)</f>
        <v>19.42860700000001</v>
      </c>
      <c r="Z29" s="152">
        <f t="shared" ref="Z29" si="73">Y29*(1+$U29)</f>
        <v>21.371467700000014</v>
      </c>
      <c r="AA29" s="152">
        <f t="shared" ref="AA29" si="74">Z29*(1+$U29)</f>
        <v>23.508614470000019</v>
      </c>
      <c r="AB29" s="152">
        <f t="shared" ref="AB29" si="75">AA29*(1+$U29)</f>
        <v>25.859475917000022</v>
      </c>
      <c r="AC29" s="152">
        <f t="shared" ref="AC29" si="76">AB29*(1+$U29)</f>
        <v>28.445423508700028</v>
      </c>
      <c r="AD29" s="152">
        <f t="shared" ref="AD29" si="77">AC29*(1+$U29)</f>
        <v>31.289965859570032</v>
      </c>
      <c r="AE29" s="152">
        <f t="shared" ref="AE29" si="78">AD29*(1+$U29)</f>
        <v>34.418962445527036</v>
      </c>
      <c r="AF29" s="137">
        <f t="shared" ref="AF29" si="79">((AE29/I29)^(1/($AE$3-$J$1) ))-1</f>
        <v>0.11063691343113935</v>
      </c>
      <c r="AG29" s="31">
        <f t="shared" si="16"/>
        <v>0.05</v>
      </c>
      <c r="AH29" s="145">
        <f t="shared" ref="AH29" si="80">(AE29*(1+AG29))/($C$1-AG29)</f>
        <v>212.58770922237289</v>
      </c>
    </row>
    <row r="30" spans="2:34" s="123" customFormat="1">
      <c r="B30" s="23"/>
      <c r="C30" s="147"/>
      <c r="D30" s="147"/>
      <c r="E30" s="148"/>
      <c r="F30" s="148"/>
      <c r="G30" s="149" t="e">
        <f t="shared" ref="G30:Q30" si="81">(G29-F29)/F29</f>
        <v>#DIV/0!</v>
      </c>
      <c r="H30" s="149">
        <f t="shared" si="81"/>
        <v>3999</v>
      </c>
      <c r="I30" s="149">
        <f t="shared" si="81"/>
        <v>-5.0000000000000044E-2</v>
      </c>
      <c r="J30" s="149">
        <f t="shared" si="81"/>
        <v>1.523684210526316</v>
      </c>
      <c r="K30" s="149">
        <f t="shared" si="81"/>
        <v>1.502606882168926</v>
      </c>
      <c r="L30" s="149">
        <f t="shared" si="81"/>
        <v>0.83333333333333337</v>
      </c>
      <c r="M30" s="149">
        <f t="shared" si="81"/>
        <v>-0.13636363636363635</v>
      </c>
      <c r="N30" s="149">
        <f t="shared" si="81"/>
        <v>-5.2631578947368418E-2</v>
      </c>
      <c r="O30" s="149">
        <f t="shared" si="81"/>
        <v>-0.1388888888888889</v>
      </c>
      <c r="P30" s="149">
        <f t="shared" si="81"/>
        <v>-0.29032258064516131</v>
      </c>
      <c r="Q30" s="149">
        <f t="shared" si="81"/>
        <v>-0.27272727272727271</v>
      </c>
      <c r="R30" s="149">
        <f t="shared" ref="R30:S30" si="82">(R29-Q29)/Q29</f>
        <v>-2.3124999999999951E-2</v>
      </c>
      <c r="S30" s="149">
        <f t="shared" si="82"/>
        <v>-0.15099168266154839</v>
      </c>
      <c r="T30" s="128"/>
      <c r="U30" s="20"/>
      <c r="V30" s="152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328</v>
      </c>
      <c r="C31" s="140"/>
      <c r="D31" s="140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203">
        <v>0</v>
      </c>
      <c r="S31" s="203">
        <v>0</v>
      </c>
      <c r="T31" s="118" t="e">
        <f t="shared" si="22"/>
        <v>#DIV/0!</v>
      </c>
      <c r="U31" s="31">
        <f t="shared" si="6"/>
        <v>0.1</v>
      </c>
      <c r="V31" s="152">
        <f t="shared" si="2"/>
        <v>0</v>
      </c>
      <c r="W31" s="152">
        <f>V31*(1+$U31)</f>
        <v>0</v>
      </c>
      <c r="X31" s="152">
        <f t="shared" ref="X31:AE32" si="83">W31*(1+$U31)</f>
        <v>0</v>
      </c>
      <c r="Y31" s="152">
        <f t="shared" si="83"/>
        <v>0</v>
      </c>
      <c r="Z31" s="152">
        <f t="shared" si="83"/>
        <v>0</v>
      </c>
      <c r="AA31" s="152">
        <f t="shared" si="83"/>
        <v>0</v>
      </c>
      <c r="AB31" s="152">
        <f t="shared" si="83"/>
        <v>0</v>
      </c>
      <c r="AC31" s="152">
        <f t="shared" si="83"/>
        <v>0</v>
      </c>
      <c r="AD31" s="152">
        <f t="shared" si="83"/>
        <v>0</v>
      </c>
      <c r="AE31" s="152">
        <f t="shared" si="83"/>
        <v>0</v>
      </c>
      <c r="AF31" s="137" t="e">
        <f t="shared" ref="AF31" si="84">((AE31/I31)^(1/($AE$3-$J$1) ))-1</f>
        <v>#DIV/0!</v>
      </c>
      <c r="AG31" s="31">
        <f t="shared" si="16"/>
        <v>0.05</v>
      </c>
      <c r="AH31" s="145">
        <f t="shared" si="1"/>
        <v>0</v>
      </c>
    </row>
    <row r="32" spans="2:34">
      <c r="B32" s="20" t="s">
        <v>327</v>
      </c>
      <c r="C32" s="140"/>
      <c r="D32" s="140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203">
        <v>0</v>
      </c>
      <c r="S32" s="203">
        <v>0</v>
      </c>
      <c r="T32" s="118" t="e">
        <f t="shared" si="22"/>
        <v>#DIV/0!</v>
      </c>
      <c r="U32" s="31">
        <f t="shared" si="6"/>
        <v>0.1</v>
      </c>
      <c r="V32" s="152">
        <f t="shared" si="2"/>
        <v>0</v>
      </c>
      <c r="W32" s="152">
        <f>V32*(1+$U32)</f>
        <v>0</v>
      </c>
      <c r="X32" s="152">
        <f t="shared" si="83"/>
        <v>0</v>
      </c>
      <c r="Y32" s="152">
        <f t="shared" si="83"/>
        <v>0</v>
      </c>
      <c r="Z32" s="152">
        <f t="shared" si="83"/>
        <v>0</v>
      </c>
      <c r="AA32" s="152">
        <f t="shared" si="83"/>
        <v>0</v>
      </c>
      <c r="AB32" s="152">
        <f t="shared" si="83"/>
        <v>0</v>
      </c>
      <c r="AC32" s="152">
        <f t="shared" si="83"/>
        <v>0</v>
      </c>
      <c r="AD32" s="152">
        <f t="shared" si="83"/>
        <v>0</v>
      </c>
      <c r="AE32" s="152">
        <f t="shared" si="83"/>
        <v>0</v>
      </c>
      <c r="AF32" s="137" t="e">
        <f t="shared" ref="AF32" si="85">((AE32/I32)^(1/($AE$3-$J$1) ))-1</f>
        <v>#DIV/0!</v>
      </c>
      <c r="AG32" s="31">
        <f t="shared" si="16"/>
        <v>0.05</v>
      </c>
      <c r="AH32" s="145">
        <f t="shared" si="1"/>
        <v>0</v>
      </c>
    </row>
    <row r="33" spans="1:34">
      <c r="B33" s="20" t="s">
        <v>487</v>
      </c>
      <c r="C33" s="140"/>
      <c r="D33" s="140"/>
      <c r="E33" s="146"/>
      <c r="F33" s="146"/>
      <c r="G33" s="146">
        <v>361</v>
      </c>
      <c r="H33" s="146">
        <v>471</v>
      </c>
      <c r="I33" s="146">
        <v>560</v>
      </c>
      <c r="J33" s="146">
        <v>790</v>
      </c>
      <c r="K33" s="146">
        <v>1060</v>
      </c>
      <c r="L33" s="146">
        <v>1262</v>
      </c>
      <c r="M33" s="146">
        <v>1272</v>
      </c>
      <c r="N33" s="146">
        <v>1605</v>
      </c>
      <c r="O33" s="146">
        <v>1787</v>
      </c>
      <c r="P33" s="146">
        <v>2072</v>
      </c>
      <c r="Q33" s="146">
        <v>2432</v>
      </c>
      <c r="R33" s="203">
        <v>2708</v>
      </c>
      <c r="S33" s="203">
        <v>2581</v>
      </c>
      <c r="T33" s="118">
        <f t="shared" si="22"/>
        <v>0.17812145989038286</v>
      </c>
      <c r="U33" s="31">
        <f t="shared" si="6"/>
        <v>0.1</v>
      </c>
      <c r="V33" s="152">
        <f t="shared" si="2"/>
        <v>2839.1000000000004</v>
      </c>
      <c r="W33" s="152">
        <f t="shared" si="37"/>
        <v>3123.0100000000007</v>
      </c>
      <c r="X33" s="152">
        <f t="shared" si="38"/>
        <v>3435.3110000000011</v>
      </c>
      <c r="Y33" s="152">
        <f t="shared" si="39"/>
        <v>3778.8421000000017</v>
      </c>
      <c r="Z33" s="152">
        <f t="shared" si="40"/>
        <v>4156.7263100000018</v>
      </c>
      <c r="AA33" s="152">
        <f t="shared" si="41"/>
        <v>4572.3989410000022</v>
      </c>
      <c r="AB33" s="152">
        <f t="shared" si="42"/>
        <v>5029.6388351000032</v>
      </c>
      <c r="AC33" s="152">
        <f t="shared" si="43"/>
        <v>5532.6027186100036</v>
      </c>
      <c r="AD33" s="152">
        <f t="shared" si="44"/>
        <v>6085.8629904710042</v>
      </c>
      <c r="AE33" s="152">
        <f t="shared" si="45"/>
        <v>6694.4492895181047</v>
      </c>
      <c r="AF33" s="137">
        <f t="shared" si="18"/>
        <v>0.12541008178965396</v>
      </c>
      <c r="AG33" s="31">
        <f t="shared" si="16"/>
        <v>0.05</v>
      </c>
      <c r="AH33" s="145">
        <f t="shared" si="1"/>
        <v>41348.069141141241</v>
      </c>
    </row>
    <row r="34" spans="1:34">
      <c r="B34" s="20" t="s">
        <v>307</v>
      </c>
      <c r="C34" s="140"/>
      <c r="D34" s="140"/>
      <c r="E34" s="146"/>
      <c r="F34" s="146"/>
      <c r="G34" s="146">
        <v>56</v>
      </c>
      <c r="H34" s="146">
        <v>67</v>
      </c>
      <c r="I34" s="146">
        <v>85</v>
      </c>
      <c r="J34" s="146">
        <v>109</v>
      </c>
      <c r="K34" s="146">
        <v>164</v>
      </c>
      <c r="L34" s="146">
        <v>221</v>
      </c>
      <c r="M34" s="146">
        <v>252</v>
      </c>
      <c r="N34" s="146">
        <v>290</v>
      </c>
      <c r="O34" s="146">
        <v>326</v>
      </c>
      <c r="P34" s="146">
        <v>375</v>
      </c>
      <c r="Q34" s="146">
        <v>442</v>
      </c>
      <c r="R34" s="203">
        <v>497</v>
      </c>
      <c r="S34" s="203">
        <v>574</v>
      </c>
      <c r="T34" s="118">
        <f t="shared" si="22"/>
        <v>0.21402320724174939</v>
      </c>
      <c r="U34" s="31">
        <f t="shared" si="6"/>
        <v>0.1</v>
      </c>
      <c r="V34" s="152">
        <f t="shared" si="2"/>
        <v>631.40000000000009</v>
      </c>
      <c r="W34" s="152">
        <f t="shared" si="37"/>
        <v>694.54000000000019</v>
      </c>
      <c r="X34" s="152">
        <f t="shared" si="38"/>
        <v>763.99400000000026</v>
      </c>
      <c r="Y34" s="152">
        <f t="shared" si="39"/>
        <v>840.39340000000038</v>
      </c>
      <c r="Z34" s="152">
        <f t="shared" si="40"/>
        <v>924.43274000000054</v>
      </c>
      <c r="AA34" s="152">
        <f t="shared" si="41"/>
        <v>1016.8760140000006</v>
      </c>
      <c r="AB34" s="152">
        <f t="shared" si="42"/>
        <v>1118.5636154000008</v>
      </c>
      <c r="AC34" s="152">
        <f t="shared" si="43"/>
        <v>1230.4199769400009</v>
      </c>
      <c r="AD34" s="152">
        <f t="shared" si="44"/>
        <v>1353.4619746340011</v>
      </c>
      <c r="AE34" s="152">
        <f t="shared" si="45"/>
        <v>1488.8081720974012</v>
      </c>
      <c r="AF34" s="137">
        <f t="shared" si="18"/>
        <v>0.14606821379071655</v>
      </c>
      <c r="AG34" s="31">
        <f t="shared" si="16"/>
        <v>0.05</v>
      </c>
      <c r="AH34" s="145">
        <f t="shared" si="1"/>
        <v>9195.5798864839489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6" t="s">
        <v>480</v>
      </c>
      <c r="B36" s="200" t="s">
        <v>474</v>
      </c>
      <c r="C36" s="140"/>
      <c r="D36" s="140"/>
      <c r="E36" s="146"/>
      <c r="F36" s="146"/>
      <c r="G36" s="203">
        <f>H36</f>
        <v>0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118" t="e">
        <f t="shared" si="22"/>
        <v>#DIV/0!</v>
      </c>
      <c r="U36" s="31">
        <f t="shared" si="6"/>
        <v>0.1</v>
      </c>
      <c r="V36" s="152">
        <f t="shared" ref="V36:V49" si="86">S36*(1+$U36)</f>
        <v>0</v>
      </c>
      <c r="W36" s="152">
        <f t="shared" ref="W36:W49" si="87">V36*(1+$U36)</f>
        <v>0</v>
      </c>
      <c r="X36" s="152">
        <f t="shared" ref="X36:X49" si="88">W36*(1+$U36)</f>
        <v>0</v>
      </c>
      <c r="Y36" s="152">
        <f t="shared" ref="Y36:Y49" si="89">X36*(1+$U36)</f>
        <v>0</v>
      </c>
      <c r="Z36" s="152">
        <f t="shared" ref="Z36:Z49" si="90">Y36*(1+$U36)</f>
        <v>0</v>
      </c>
      <c r="AA36" s="152">
        <f t="shared" ref="AA36:AA49" si="91">Z36*(1+$U36)</f>
        <v>0</v>
      </c>
      <c r="AB36" s="152">
        <f t="shared" ref="AB36:AB49" si="92">AA36*(1+$U36)</f>
        <v>0</v>
      </c>
      <c r="AC36" s="152">
        <f t="shared" ref="AC36:AC49" si="93">AB36*(1+$U36)</f>
        <v>0</v>
      </c>
      <c r="AD36" s="152">
        <f t="shared" ref="AD36:AD49" si="94">AC36*(1+$U36)</f>
        <v>0</v>
      </c>
      <c r="AE36" s="152">
        <f t="shared" ref="AE36:AE49" si="95">AD36*(1+$U36)</f>
        <v>0</v>
      </c>
      <c r="AF36" s="137" t="e">
        <f t="shared" ref="AF36:AF49" si="96">((AE36/I36)^(1/($AE$3-$J$1) ))-1</f>
        <v>#DIV/0!</v>
      </c>
      <c r="AG36" s="31">
        <f t="shared" si="16"/>
        <v>0.05</v>
      </c>
      <c r="AH36" s="145">
        <f t="shared" ref="AH36:AH49" si="97">(AE36*(1+AG36))/($C$1-AG36)</f>
        <v>0</v>
      </c>
    </row>
    <row r="37" spans="1:34">
      <c r="A37" s="206"/>
      <c r="B37" s="200"/>
      <c r="C37" s="140"/>
      <c r="D37" s="140"/>
      <c r="E37" s="146"/>
      <c r="F37" s="146"/>
      <c r="G37" s="149" t="e">
        <f t="shared" ref="G37:Q37" si="98">(G36-F36)/F36</f>
        <v>#DIV/0!</v>
      </c>
      <c r="H37" s="149" t="e">
        <f t="shared" si="98"/>
        <v>#DIV/0!</v>
      </c>
      <c r="I37" s="149" t="e">
        <f t="shared" si="98"/>
        <v>#DIV/0!</v>
      </c>
      <c r="J37" s="149" t="e">
        <f t="shared" si="98"/>
        <v>#DIV/0!</v>
      </c>
      <c r="K37" s="149" t="e">
        <f t="shared" si="98"/>
        <v>#DIV/0!</v>
      </c>
      <c r="L37" s="149" t="e">
        <f t="shared" si="98"/>
        <v>#DIV/0!</v>
      </c>
      <c r="M37" s="149" t="e">
        <f t="shared" si="98"/>
        <v>#DIV/0!</v>
      </c>
      <c r="N37" s="149" t="e">
        <f t="shared" si="98"/>
        <v>#DIV/0!</v>
      </c>
      <c r="O37" s="149" t="e">
        <f t="shared" si="98"/>
        <v>#DIV/0!</v>
      </c>
      <c r="P37" s="149" t="e">
        <f t="shared" si="98"/>
        <v>#DIV/0!</v>
      </c>
      <c r="Q37" s="149" t="e">
        <f t="shared" si="98"/>
        <v>#DIV/0!</v>
      </c>
      <c r="R37" s="149" t="e">
        <f t="shared" ref="R37" si="99">(R36-Q36)/Q36</f>
        <v>#DIV/0!</v>
      </c>
      <c r="S37" s="149" t="e">
        <f t="shared" ref="S37" si="100">(S36-R36)/R36</f>
        <v>#DIV/0!</v>
      </c>
      <c r="T37" s="128"/>
      <c r="U37" s="20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6"/>
      <c r="B38" s="200" t="s">
        <v>475</v>
      </c>
      <c r="C38" s="140"/>
      <c r="D38" s="140"/>
      <c r="E38" s="146"/>
      <c r="F38" s="146"/>
      <c r="G38" s="203">
        <f>H38</f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118" t="e">
        <f t="shared" si="22"/>
        <v>#DIV/0!</v>
      </c>
      <c r="U38" s="31">
        <f t="shared" si="6"/>
        <v>0.1</v>
      </c>
      <c r="V38" s="152">
        <f t="shared" si="86"/>
        <v>0</v>
      </c>
      <c r="W38" s="152">
        <f t="shared" si="87"/>
        <v>0</v>
      </c>
      <c r="X38" s="152">
        <f t="shared" si="88"/>
        <v>0</v>
      </c>
      <c r="Y38" s="152">
        <f t="shared" si="89"/>
        <v>0</v>
      </c>
      <c r="Z38" s="152">
        <f t="shared" si="90"/>
        <v>0</v>
      </c>
      <c r="AA38" s="152">
        <f t="shared" si="91"/>
        <v>0</v>
      </c>
      <c r="AB38" s="152">
        <f t="shared" si="92"/>
        <v>0</v>
      </c>
      <c r="AC38" s="152">
        <f t="shared" si="93"/>
        <v>0</v>
      </c>
      <c r="AD38" s="152">
        <f t="shared" si="94"/>
        <v>0</v>
      </c>
      <c r="AE38" s="152">
        <f t="shared" si="95"/>
        <v>0</v>
      </c>
      <c r="AF38" s="137" t="e">
        <f t="shared" si="96"/>
        <v>#DIV/0!</v>
      </c>
      <c r="AG38" s="31">
        <f t="shared" si="16"/>
        <v>0.05</v>
      </c>
      <c r="AH38" s="145">
        <f t="shared" si="97"/>
        <v>0</v>
      </c>
    </row>
    <row r="39" spans="1:34">
      <c r="A39" s="206"/>
      <c r="B39" s="200"/>
      <c r="C39" s="140"/>
      <c r="D39" s="140"/>
      <c r="E39" s="146"/>
      <c r="F39" s="146"/>
      <c r="G39" s="149" t="e">
        <f t="shared" ref="G39:Q39" si="101">(G38-F38)/F38</f>
        <v>#DIV/0!</v>
      </c>
      <c r="H39" s="149" t="e">
        <f t="shared" si="101"/>
        <v>#DIV/0!</v>
      </c>
      <c r="I39" s="149" t="e">
        <f t="shared" si="101"/>
        <v>#DIV/0!</v>
      </c>
      <c r="J39" s="149" t="e">
        <f t="shared" si="101"/>
        <v>#DIV/0!</v>
      </c>
      <c r="K39" s="149" t="e">
        <f t="shared" si="101"/>
        <v>#DIV/0!</v>
      </c>
      <c r="L39" s="149" t="e">
        <f t="shared" si="101"/>
        <v>#DIV/0!</v>
      </c>
      <c r="M39" s="149" t="e">
        <f t="shared" si="101"/>
        <v>#DIV/0!</v>
      </c>
      <c r="N39" s="149" t="e">
        <f t="shared" si="101"/>
        <v>#DIV/0!</v>
      </c>
      <c r="O39" s="149" t="e">
        <f t="shared" si="101"/>
        <v>#DIV/0!</v>
      </c>
      <c r="P39" s="149" t="e">
        <f t="shared" si="101"/>
        <v>#DIV/0!</v>
      </c>
      <c r="Q39" s="149" t="e">
        <f t="shared" si="101"/>
        <v>#DIV/0!</v>
      </c>
      <c r="R39" s="149" t="e">
        <f t="shared" ref="R39" si="102">(R38-Q38)/Q38</f>
        <v>#DIV/0!</v>
      </c>
      <c r="S39" s="149" t="e">
        <f t="shared" ref="S39" si="103">(S38-R38)/R38</f>
        <v>#DIV/0!</v>
      </c>
      <c r="T39" s="128"/>
      <c r="U39" s="20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6"/>
      <c r="B40" s="200" t="s">
        <v>479</v>
      </c>
      <c r="C40" s="140"/>
      <c r="D40" s="140"/>
      <c r="E40" s="146"/>
      <c r="F40" s="146"/>
      <c r="G40" s="203">
        <f>H40</f>
        <v>0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118" t="e">
        <f t="shared" si="22"/>
        <v>#DIV/0!</v>
      </c>
      <c r="U40" s="31">
        <f t="shared" si="6"/>
        <v>0.1</v>
      </c>
      <c r="V40" s="152">
        <f t="shared" si="86"/>
        <v>0</v>
      </c>
      <c r="W40" s="152">
        <f t="shared" si="87"/>
        <v>0</v>
      </c>
      <c r="X40" s="152">
        <f t="shared" si="88"/>
        <v>0</v>
      </c>
      <c r="Y40" s="152">
        <f t="shared" si="89"/>
        <v>0</v>
      </c>
      <c r="Z40" s="152">
        <f t="shared" si="90"/>
        <v>0</v>
      </c>
      <c r="AA40" s="152">
        <f t="shared" si="91"/>
        <v>0</v>
      </c>
      <c r="AB40" s="152">
        <f t="shared" si="92"/>
        <v>0</v>
      </c>
      <c r="AC40" s="152">
        <f t="shared" si="93"/>
        <v>0</v>
      </c>
      <c r="AD40" s="152">
        <f t="shared" si="94"/>
        <v>0</v>
      </c>
      <c r="AE40" s="152">
        <f t="shared" si="95"/>
        <v>0</v>
      </c>
      <c r="AF40" s="137" t="e">
        <f t="shared" si="96"/>
        <v>#DIV/0!</v>
      </c>
      <c r="AG40" s="31">
        <f t="shared" si="16"/>
        <v>0.05</v>
      </c>
      <c r="AH40" s="145">
        <f t="shared" si="97"/>
        <v>0</v>
      </c>
    </row>
    <row r="41" spans="1:34">
      <c r="A41" s="206"/>
      <c r="B41" s="200" t="s">
        <v>476</v>
      </c>
      <c r="C41" s="140"/>
      <c r="D41" s="140"/>
      <c r="E41" s="146"/>
      <c r="F41" s="146"/>
      <c r="G41" s="203">
        <f>H41</f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118" t="e">
        <f t="shared" si="22"/>
        <v>#DIV/0!</v>
      </c>
      <c r="U41" s="31">
        <f t="shared" si="6"/>
        <v>0.1</v>
      </c>
      <c r="V41" s="152">
        <f t="shared" si="86"/>
        <v>0</v>
      </c>
      <c r="W41" s="152">
        <f t="shared" si="87"/>
        <v>0</v>
      </c>
      <c r="X41" s="152">
        <f t="shared" si="88"/>
        <v>0</v>
      </c>
      <c r="Y41" s="152">
        <f t="shared" si="89"/>
        <v>0</v>
      </c>
      <c r="Z41" s="152">
        <f t="shared" si="90"/>
        <v>0</v>
      </c>
      <c r="AA41" s="152">
        <f t="shared" si="91"/>
        <v>0</v>
      </c>
      <c r="AB41" s="152">
        <f t="shared" si="92"/>
        <v>0</v>
      </c>
      <c r="AC41" s="152">
        <f t="shared" si="93"/>
        <v>0</v>
      </c>
      <c r="AD41" s="152">
        <f t="shared" si="94"/>
        <v>0</v>
      </c>
      <c r="AE41" s="152">
        <f t="shared" si="95"/>
        <v>0</v>
      </c>
      <c r="AF41" s="137" t="e">
        <f t="shared" si="96"/>
        <v>#DIV/0!</v>
      </c>
      <c r="AG41" s="31">
        <f t="shared" si="16"/>
        <v>0.05</v>
      </c>
      <c r="AH41" s="145">
        <f t="shared" si="97"/>
        <v>0</v>
      </c>
    </row>
    <row r="42" spans="1:34">
      <c r="A42" s="206"/>
      <c r="B42" s="200" t="s">
        <v>478</v>
      </c>
      <c r="C42" s="140"/>
      <c r="D42" s="140"/>
      <c r="E42" s="146"/>
      <c r="F42" s="146"/>
      <c r="G42" s="203">
        <f>H42</f>
        <v>0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118" t="e">
        <f t="shared" si="22"/>
        <v>#DIV/0!</v>
      </c>
      <c r="U42" s="31">
        <f t="shared" si="6"/>
        <v>0.1</v>
      </c>
      <c r="V42" s="152">
        <f t="shared" si="86"/>
        <v>0</v>
      </c>
      <c r="W42" s="152">
        <f t="shared" si="87"/>
        <v>0</v>
      </c>
      <c r="X42" s="152">
        <f t="shared" si="88"/>
        <v>0</v>
      </c>
      <c r="Y42" s="152">
        <f t="shared" si="89"/>
        <v>0</v>
      </c>
      <c r="Z42" s="152">
        <f t="shared" si="90"/>
        <v>0</v>
      </c>
      <c r="AA42" s="152">
        <f t="shared" si="91"/>
        <v>0</v>
      </c>
      <c r="AB42" s="152">
        <f t="shared" si="92"/>
        <v>0</v>
      </c>
      <c r="AC42" s="152">
        <f t="shared" si="93"/>
        <v>0</v>
      </c>
      <c r="AD42" s="152">
        <f t="shared" si="94"/>
        <v>0</v>
      </c>
      <c r="AE42" s="152">
        <f t="shared" si="95"/>
        <v>0</v>
      </c>
      <c r="AF42" s="137" t="e">
        <f t="shared" si="96"/>
        <v>#DIV/0!</v>
      </c>
      <c r="AG42" s="31">
        <f t="shared" si="16"/>
        <v>0.05</v>
      </c>
      <c r="AH42" s="145">
        <f t="shared" si="97"/>
        <v>0</v>
      </c>
    </row>
    <row r="43" spans="1:34">
      <c r="A43" s="206"/>
      <c r="B43" s="200" t="s">
        <v>477</v>
      </c>
      <c r="C43" s="140"/>
      <c r="D43" s="140"/>
      <c r="E43" s="146"/>
      <c r="F43" s="146"/>
      <c r="G43" s="203">
        <f>H43</f>
        <v>0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118" t="e">
        <f t="shared" si="22"/>
        <v>#DIV/0!</v>
      </c>
      <c r="U43" s="31">
        <f t="shared" si="6"/>
        <v>0.1</v>
      </c>
      <c r="V43" s="152">
        <f t="shared" si="86"/>
        <v>0</v>
      </c>
      <c r="W43" s="152">
        <f t="shared" si="87"/>
        <v>0</v>
      </c>
      <c r="X43" s="152">
        <f t="shared" si="88"/>
        <v>0</v>
      </c>
      <c r="Y43" s="152">
        <f t="shared" si="89"/>
        <v>0</v>
      </c>
      <c r="Z43" s="152">
        <f t="shared" si="90"/>
        <v>0</v>
      </c>
      <c r="AA43" s="152">
        <f t="shared" si="91"/>
        <v>0</v>
      </c>
      <c r="AB43" s="152">
        <f t="shared" si="92"/>
        <v>0</v>
      </c>
      <c r="AC43" s="152">
        <f t="shared" si="93"/>
        <v>0</v>
      </c>
      <c r="AD43" s="152">
        <f t="shared" si="94"/>
        <v>0</v>
      </c>
      <c r="AE43" s="152">
        <f t="shared" si="95"/>
        <v>0</v>
      </c>
      <c r="AF43" s="137" t="e">
        <f t="shared" si="96"/>
        <v>#DIV/0!</v>
      </c>
      <c r="AG43" s="31">
        <f t="shared" si="16"/>
        <v>0.05</v>
      </c>
      <c r="AH43" s="145">
        <f t="shared" si="97"/>
        <v>0</v>
      </c>
    </row>
    <row r="44" spans="1:34">
      <c r="A44" s="206"/>
      <c r="B44" s="200"/>
      <c r="C44" s="140"/>
      <c r="D44" s="140"/>
      <c r="E44" s="146"/>
      <c r="F44" s="146"/>
      <c r="G44" s="149" t="e">
        <f t="shared" ref="G44:Q44" si="104">(G43-F43)/F43</f>
        <v>#DIV/0!</v>
      </c>
      <c r="H44" s="149" t="e">
        <f t="shared" si="104"/>
        <v>#DIV/0!</v>
      </c>
      <c r="I44" s="149" t="e">
        <f t="shared" si="104"/>
        <v>#DIV/0!</v>
      </c>
      <c r="J44" s="149" t="e">
        <f t="shared" si="104"/>
        <v>#DIV/0!</v>
      </c>
      <c r="K44" s="149" t="e">
        <f t="shared" si="104"/>
        <v>#DIV/0!</v>
      </c>
      <c r="L44" s="149" t="e">
        <f t="shared" si="104"/>
        <v>#DIV/0!</v>
      </c>
      <c r="M44" s="149" t="e">
        <f t="shared" si="104"/>
        <v>#DIV/0!</v>
      </c>
      <c r="N44" s="149" t="e">
        <f t="shared" si="104"/>
        <v>#DIV/0!</v>
      </c>
      <c r="O44" s="149" t="e">
        <f t="shared" si="104"/>
        <v>#DIV/0!</v>
      </c>
      <c r="P44" s="149" t="e">
        <f t="shared" si="104"/>
        <v>#DIV/0!</v>
      </c>
      <c r="Q44" s="149" t="e">
        <f t="shared" si="104"/>
        <v>#DIV/0!</v>
      </c>
      <c r="R44" s="149" t="e">
        <f t="shared" ref="R44" si="105">(R43-Q43)/Q43</f>
        <v>#DIV/0!</v>
      </c>
      <c r="S44" s="149" t="e">
        <f t="shared" ref="S44" si="106">(S43-R43)/R43</f>
        <v>#DIV/0!</v>
      </c>
      <c r="T44" s="128"/>
      <c r="U44" s="20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6"/>
      <c r="B45" s="200" t="s">
        <v>218</v>
      </c>
      <c r="C45" s="140"/>
      <c r="D45" s="140"/>
      <c r="E45" s="146"/>
      <c r="F45" s="146"/>
      <c r="G45" s="203">
        <f>H45</f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118" t="e">
        <f t="shared" si="22"/>
        <v>#DIV/0!</v>
      </c>
      <c r="U45" s="31">
        <f t="shared" si="6"/>
        <v>0.1</v>
      </c>
      <c r="V45" s="152">
        <f t="shared" si="86"/>
        <v>0</v>
      </c>
      <c r="W45" s="152">
        <f t="shared" si="87"/>
        <v>0</v>
      </c>
      <c r="X45" s="152">
        <f t="shared" si="88"/>
        <v>0</v>
      </c>
      <c r="Y45" s="152">
        <f t="shared" si="89"/>
        <v>0</v>
      </c>
      <c r="Z45" s="152">
        <f t="shared" si="90"/>
        <v>0</v>
      </c>
      <c r="AA45" s="152">
        <f t="shared" si="91"/>
        <v>0</v>
      </c>
      <c r="AB45" s="152">
        <f t="shared" si="92"/>
        <v>0</v>
      </c>
      <c r="AC45" s="152">
        <f t="shared" si="93"/>
        <v>0</v>
      </c>
      <c r="AD45" s="152">
        <f t="shared" si="94"/>
        <v>0</v>
      </c>
      <c r="AE45" s="152">
        <f t="shared" si="95"/>
        <v>0</v>
      </c>
      <c r="AF45" s="137" t="e">
        <f t="shared" si="96"/>
        <v>#DIV/0!</v>
      </c>
      <c r="AG45" s="31">
        <f t="shared" si="16"/>
        <v>0.05</v>
      </c>
      <c r="AH45" s="145">
        <f t="shared" si="97"/>
        <v>0</v>
      </c>
    </row>
    <row r="46" spans="1:34">
      <c r="A46" s="201"/>
      <c r="B46" s="200"/>
      <c r="C46" s="140"/>
      <c r="D46" s="140"/>
      <c r="E46" s="146"/>
      <c r="F46" s="146"/>
      <c r="G46" s="149" t="e">
        <f t="shared" ref="G46:Q46" si="107">(G45-F45)/F45</f>
        <v>#DIV/0!</v>
      </c>
      <c r="H46" s="149" t="e">
        <f t="shared" si="107"/>
        <v>#DIV/0!</v>
      </c>
      <c r="I46" s="149" t="e">
        <f t="shared" si="107"/>
        <v>#DIV/0!</v>
      </c>
      <c r="J46" s="149" t="e">
        <f t="shared" si="107"/>
        <v>#DIV/0!</v>
      </c>
      <c r="K46" s="149" t="e">
        <f t="shared" si="107"/>
        <v>#DIV/0!</v>
      </c>
      <c r="L46" s="149" t="e">
        <f t="shared" si="107"/>
        <v>#DIV/0!</v>
      </c>
      <c r="M46" s="149" t="e">
        <f t="shared" si="107"/>
        <v>#DIV/0!</v>
      </c>
      <c r="N46" s="149" t="e">
        <f t="shared" si="107"/>
        <v>#DIV/0!</v>
      </c>
      <c r="O46" s="149" t="e">
        <f t="shared" si="107"/>
        <v>#DIV/0!</v>
      </c>
      <c r="P46" s="149" t="e">
        <f t="shared" si="107"/>
        <v>#DIV/0!</v>
      </c>
      <c r="Q46" s="149" t="e">
        <f t="shared" si="107"/>
        <v>#DIV/0!</v>
      </c>
      <c r="R46" s="149" t="e">
        <f t="shared" ref="R46" si="108">(R45-Q45)/Q45</f>
        <v>#DIV/0!</v>
      </c>
      <c r="S46" s="149" t="e">
        <f t="shared" ref="S46" si="109">(S45-R45)/R45</f>
        <v>#DIV/0!</v>
      </c>
      <c r="T46" s="128"/>
      <c r="U46" s="20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1"/>
      <c r="B47" s="200" t="s">
        <v>491</v>
      </c>
      <c r="C47" s="140"/>
      <c r="D47" s="140"/>
      <c r="E47" s="146"/>
      <c r="F47" s="146"/>
      <c r="G47" s="203">
        <f>H47</f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118" t="e">
        <f t="shared" si="22"/>
        <v>#DIV/0!</v>
      </c>
      <c r="U47" s="31">
        <f t="shared" si="6"/>
        <v>0.1</v>
      </c>
      <c r="V47" s="152">
        <f t="shared" ref="V47" si="110">S47*(1+$U47)</f>
        <v>0</v>
      </c>
      <c r="W47" s="152">
        <f t="shared" ref="W47" si="111">V47*(1+$U47)</f>
        <v>0</v>
      </c>
      <c r="X47" s="152">
        <f t="shared" ref="X47" si="112">W47*(1+$U47)</f>
        <v>0</v>
      </c>
      <c r="Y47" s="152">
        <f t="shared" ref="Y47" si="113">X47*(1+$U47)</f>
        <v>0</v>
      </c>
      <c r="Z47" s="152">
        <f t="shared" ref="Z47" si="114">Y47*(1+$U47)</f>
        <v>0</v>
      </c>
      <c r="AA47" s="152">
        <f t="shared" ref="AA47" si="115">Z47*(1+$U47)</f>
        <v>0</v>
      </c>
      <c r="AB47" s="152">
        <f t="shared" ref="AB47" si="116">AA47*(1+$U47)</f>
        <v>0</v>
      </c>
      <c r="AC47" s="152">
        <f t="shared" ref="AC47" si="117">AB47*(1+$U47)</f>
        <v>0</v>
      </c>
      <c r="AD47" s="152">
        <f t="shared" ref="AD47" si="118">AC47*(1+$U47)</f>
        <v>0</v>
      </c>
      <c r="AE47" s="152">
        <f t="shared" ref="AE47" si="119">AD47*(1+$U47)</f>
        <v>0</v>
      </c>
      <c r="AF47" s="137" t="e">
        <f t="shared" ref="AF47" si="120">((AE47/I47)^(1/($AE$3-$J$1) ))-1</f>
        <v>#DIV/0!</v>
      </c>
      <c r="AG47" s="31">
        <f t="shared" si="16"/>
        <v>0.05</v>
      </c>
      <c r="AH47" s="145">
        <f t="shared" si="97"/>
        <v>0</v>
      </c>
    </row>
    <row r="48" spans="1:34">
      <c r="A48" s="201"/>
      <c r="B48" s="200"/>
      <c r="C48" s="140"/>
      <c r="D48" s="140"/>
      <c r="E48" s="146"/>
      <c r="F48" s="146"/>
      <c r="G48" s="149" t="e">
        <f t="shared" ref="G48:Q48" si="121">(G47-F47)/F47</f>
        <v>#DIV/0!</v>
      </c>
      <c r="H48" s="149" t="e">
        <f t="shared" si="121"/>
        <v>#DIV/0!</v>
      </c>
      <c r="I48" s="149" t="e">
        <f t="shared" si="121"/>
        <v>#DIV/0!</v>
      </c>
      <c r="J48" s="149" t="e">
        <f t="shared" si="121"/>
        <v>#DIV/0!</v>
      </c>
      <c r="K48" s="149" t="e">
        <f t="shared" si="121"/>
        <v>#DIV/0!</v>
      </c>
      <c r="L48" s="149" t="e">
        <f t="shared" si="121"/>
        <v>#DIV/0!</v>
      </c>
      <c r="M48" s="149" t="e">
        <f t="shared" si="121"/>
        <v>#DIV/0!</v>
      </c>
      <c r="N48" s="149" t="e">
        <f t="shared" si="121"/>
        <v>#DIV/0!</v>
      </c>
      <c r="O48" s="149" t="e">
        <f t="shared" si="121"/>
        <v>#DIV/0!</v>
      </c>
      <c r="P48" s="149" t="e">
        <f t="shared" si="121"/>
        <v>#DIV/0!</v>
      </c>
      <c r="Q48" s="149" t="e">
        <f t="shared" si="121"/>
        <v>#DIV/0!</v>
      </c>
      <c r="R48" s="149" t="e">
        <f t="shared" ref="R48" si="122">(R47-Q47)/Q47</f>
        <v>#DIV/0!</v>
      </c>
      <c r="S48" s="149" t="e">
        <f t="shared" ref="S48" si="123">(S47-R47)/R47</f>
        <v>#DIV/0!</v>
      </c>
      <c r="T48" s="128"/>
      <c r="U48" s="20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1"/>
      <c r="B49" s="200" t="s">
        <v>481</v>
      </c>
      <c r="C49" s="140"/>
      <c r="D49" s="140"/>
      <c r="E49" s="146"/>
      <c r="F49" s="146"/>
      <c r="G49" s="203">
        <f>H49</f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118" t="e">
        <f t="shared" si="22"/>
        <v>#DIV/0!</v>
      </c>
      <c r="U49" s="31">
        <f t="shared" si="6"/>
        <v>0.1</v>
      </c>
      <c r="V49" s="152">
        <f t="shared" si="86"/>
        <v>0</v>
      </c>
      <c r="W49" s="152">
        <f t="shared" si="87"/>
        <v>0</v>
      </c>
      <c r="X49" s="152">
        <f t="shared" si="88"/>
        <v>0</v>
      </c>
      <c r="Y49" s="152">
        <f t="shared" si="89"/>
        <v>0</v>
      </c>
      <c r="Z49" s="152">
        <f t="shared" si="90"/>
        <v>0</v>
      </c>
      <c r="AA49" s="152">
        <f t="shared" si="91"/>
        <v>0</v>
      </c>
      <c r="AB49" s="152">
        <f t="shared" si="92"/>
        <v>0</v>
      </c>
      <c r="AC49" s="152">
        <f t="shared" si="93"/>
        <v>0</v>
      </c>
      <c r="AD49" s="152">
        <f t="shared" si="94"/>
        <v>0</v>
      </c>
      <c r="AE49" s="152">
        <f t="shared" si="95"/>
        <v>0</v>
      </c>
      <c r="AF49" s="137" t="e">
        <f t="shared" si="96"/>
        <v>#DIV/0!</v>
      </c>
      <c r="AG49" s="31">
        <f t="shared" si="16"/>
        <v>0.05</v>
      </c>
      <c r="AH49" s="145">
        <f t="shared" si="97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146">
        <v>108</v>
      </c>
      <c r="H51" s="146">
        <v>128</v>
      </c>
      <c r="I51" s="146">
        <v>145</v>
      </c>
      <c r="J51" s="146">
        <v>172</v>
      </c>
      <c r="K51" s="146">
        <v>251</v>
      </c>
      <c r="L51" s="146">
        <v>242</v>
      </c>
      <c r="M51" s="146">
        <v>398</v>
      </c>
      <c r="N51" s="146">
        <v>464</v>
      </c>
      <c r="O51" s="146">
        <v>494</v>
      </c>
      <c r="P51" s="146">
        <v>599</v>
      </c>
      <c r="Q51" s="146">
        <v>671</v>
      </c>
      <c r="R51" s="203">
        <v>770</v>
      </c>
      <c r="S51" s="203">
        <v>1173</v>
      </c>
      <c r="T51" s="118">
        <f t="shared" si="22"/>
        <v>0.21989613327472357</v>
      </c>
      <c r="U51" s="31">
        <f t="shared" si="6"/>
        <v>0.1</v>
      </c>
      <c r="V51" s="152">
        <f t="shared" si="2"/>
        <v>1290.3000000000002</v>
      </c>
      <c r="W51" s="152">
        <f t="shared" ref="W51" si="124">V51*(1+$U51)</f>
        <v>1419.3300000000004</v>
      </c>
      <c r="X51" s="152">
        <f t="shared" ref="X51" si="125">W51*(1+$U51)</f>
        <v>1561.2630000000006</v>
      </c>
      <c r="Y51" s="152">
        <f t="shared" ref="Y51" si="126">X51*(1+$U51)</f>
        <v>1717.3893000000007</v>
      </c>
      <c r="Z51" s="152">
        <f t="shared" si="40"/>
        <v>1889.1282300000009</v>
      </c>
      <c r="AA51" s="152">
        <f t="shared" si="41"/>
        <v>2078.0410530000013</v>
      </c>
      <c r="AB51" s="152">
        <f t="shared" si="42"/>
        <v>2285.8451583000015</v>
      </c>
      <c r="AC51" s="152">
        <f t="shared" si="43"/>
        <v>2514.4296741300018</v>
      </c>
      <c r="AD51" s="152">
        <f t="shared" si="44"/>
        <v>2765.8726415430024</v>
      </c>
      <c r="AE51" s="152">
        <f t="shared" si="45"/>
        <v>3042.4599056973029</v>
      </c>
      <c r="AF51" s="137">
        <f t="shared" si="18"/>
        <v>0.15596734230653331</v>
      </c>
      <c r="AG51" s="31">
        <f t="shared" si="16"/>
        <v>0.05</v>
      </c>
      <c r="AH51" s="145">
        <f t="shared" si="1"/>
        <v>18791.664123424522</v>
      </c>
    </row>
    <row r="52" spans="1:34" s="123" customFormat="1">
      <c r="B52" s="23"/>
      <c r="C52" s="147"/>
      <c r="D52" s="147"/>
      <c r="E52" s="148"/>
      <c r="F52" s="148"/>
      <c r="G52" s="149" t="e">
        <f t="shared" ref="G52:Q52" si="127">(G51-F51)/F51</f>
        <v>#DIV/0!</v>
      </c>
      <c r="H52" s="149">
        <f t="shared" si="127"/>
        <v>0.18518518518518517</v>
      </c>
      <c r="I52" s="149">
        <f t="shared" si="127"/>
        <v>0.1328125</v>
      </c>
      <c r="J52" s="149">
        <f t="shared" si="127"/>
        <v>0.18620689655172415</v>
      </c>
      <c r="K52" s="149">
        <f t="shared" si="127"/>
        <v>0.45930232558139533</v>
      </c>
      <c r="L52" s="149">
        <f t="shared" si="127"/>
        <v>-3.5856573705179286E-2</v>
      </c>
      <c r="M52" s="149">
        <f t="shared" si="127"/>
        <v>0.64462809917355368</v>
      </c>
      <c r="N52" s="149">
        <f t="shared" si="127"/>
        <v>0.16582914572864321</v>
      </c>
      <c r="O52" s="149">
        <f t="shared" si="127"/>
        <v>6.4655172413793108E-2</v>
      </c>
      <c r="P52" s="149">
        <f t="shared" si="127"/>
        <v>0.2125506072874494</v>
      </c>
      <c r="Q52" s="149">
        <f t="shared" si="127"/>
        <v>0.12020033388981637</v>
      </c>
      <c r="R52" s="149">
        <f t="shared" ref="R52:S52" si="128">(R51-Q51)/Q51</f>
        <v>0.14754098360655737</v>
      </c>
      <c r="S52" s="149">
        <f t="shared" si="128"/>
        <v>0.52337662337662338</v>
      </c>
      <c r="T52" s="128"/>
      <c r="U52" s="20"/>
      <c r="V52" s="152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396</v>
      </c>
      <c r="C53" s="147"/>
      <c r="D53" s="147"/>
      <c r="E53" s="148"/>
      <c r="F53" s="148"/>
      <c r="G53" s="146">
        <v>92</v>
      </c>
      <c r="H53" s="146">
        <v>105</v>
      </c>
      <c r="I53" s="146">
        <v>131</v>
      </c>
      <c r="J53" s="146">
        <v>146</v>
      </c>
      <c r="K53" s="146">
        <v>208</v>
      </c>
      <c r="L53" s="146">
        <v>127</v>
      </c>
      <c r="M53" s="146">
        <v>311</v>
      </c>
      <c r="N53" s="146">
        <v>403</v>
      </c>
      <c r="O53" s="146">
        <v>432</v>
      </c>
      <c r="P53" s="146">
        <v>581</v>
      </c>
      <c r="Q53" s="146">
        <v>612</v>
      </c>
      <c r="R53" s="203">
        <v>678</v>
      </c>
      <c r="S53" s="203">
        <v>1078</v>
      </c>
      <c r="T53" s="118">
        <f t="shared" si="22"/>
        <v>0.22763495121669375</v>
      </c>
      <c r="U53" s="31">
        <f t="shared" si="6"/>
        <v>0.1</v>
      </c>
      <c r="V53" s="152">
        <f t="shared" si="2"/>
        <v>1185.8000000000002</v>
      </c>
      <c r="W53" s="152">
        <f t="shared" ref="W53" si="129">V53*(1+$U53)</f>
        <v>1304.3800000000003</v>
      </c>
      <c r="X53" s="152">
        <f t="shared" ref="X53" si="130">W53*(1+$U53)</f>
        <v>1434.8180000000004</v>
      </c>
      <c r="Y53" s="152">
        <f t="shared" ref="Y53" si="131">X53*(1+$U53)</f>
        <v>1578.2998000000007</v>
      </c>
      <c r="Z53" s="152">
        <f t="shared" ref="Z53" si="132">Y53*(1+$U53)</f>
        <v>1736.1297800000009</v>
      </c>
      <c r="AA53" s="152">
        <f t="shared" ref="AA53" si="133">Z53*(1+$U53)</f>
        <v>1909.7427580000012</v>
      </c>
      <c r="AB53" s="152">
        <f t="shared" ref="AB53" si="134">AA53*(1+$U53)</f>
        <v>2100.7170338000014</v>
      </c>
      <c r="AC53" s="152">
        <f t="shared" ref="AC53" si="135">AB53*(1+$U53)</f>
        <v>2310.7887371800016</v>
      </c>
      <c r="AD53" s="152">
        <f t="shared" ref="AD53" si="136">AC53*(1+$U53)</f>
        <v>2541.8676108980021</v>
      </c>
      <c r="AE53" s="152">
        <f t="shared" ref="AE53" si="137">AD53*(1+$U53)</f>
        <v>2796.0543719878024</v>
      </c>
      <c r="AF53" s="137">
        <f t="shared" ref="AF53" si="138">((AE53/I53)^(1/($AE$3-$J$1) ))-1</f>
        <v>0.15690787417489926</v>
      </c>
      <c r="AG53" s="31">
        <f t="shared" si="16"/>
        <v>0.05</v>
      </c>
      <c r="AH53" s="145">
        <f t="shared" ref="AH53" si="139">(AE53*(1+AG53))/($C$1-AG53)</f>
        <v>17269.747591689371</v>
      </c>
    </row>
    <row r="54" spans="1:34" s="123" customFormat="1">
      <c r="B54" s="23"/>
      <c r="C54" s="147"/>
      <c r="D54" s="147"/>
      <c r="E54" s="148"/>
      <c r="F54" s="148"/>
      <c r="G54" s="149" t="e">
        <f t="shared" ref="G54:Q54" si="140">(G53-F53)/F53</f>
        <v>#DIV/0!</v>
      </c>
      <c r="H54" s="149">
        <f t="shared" si="140"/>
        <v>0.14130434782608695</v>
      </c>
      <c r="I54" s="149">
        <f t="shared" si="140"/>
        <v>0.24761904761904763</v>
      </c>
      <c r="J54" s="149">
        <f t="shared" si="140"/>
        <v>0.11450381679389313</v>
      </c>
      <c r="K54" s="149">
        <f t="shared" si="140"/>
        <v>0.42465753424657532</v>
      </c>
      <c r="L54" s="149">
        <f t="shared" si="140"/>
        <v>-0.38942307692307693</v>
      </c>
      <c r="M54" s="149">
        <f t="shared" si="140"/>
        <v>1.4488188976377954</v>
      </c>
      <c r="N54" s="149">
        <f t="shared" si="140"/>
        <v>0.29581993569131831</v>
      </c>
      <c r="O54" s="149">
        <f t="shared" si="140"/>
        <v>7.1960297766749379E-2</v>
      </c>
      <c r="P54" s="149">
        <f t="shared" si="140"/>
        <v>0.34490740740740738</v>
      </c>
      <c r="Q54" s="149">
        <f t="shared" si="140"/>
        <v>5.3356282271944923E-2</v>
      </c>
      <c r="R54" s="149">
        <f t="shared" ref="R54:S54" si="141">(R53-Q53)/Q53</f>
        <v>0.10784313725490197</v>
      </c>
      <c r="S54" s="149">
        <f t="shared" si="141"/>
        <v>0.58997050147492625</v>
      </c>
      <c r="T54" s="128"/>
      <c r="U54" s="20"/>
      <c r="V54" s="152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397</v>
      </c>
      <c r="C55" s="140"/>
      <c r="D55" s="140"/>
      <c r="E55" s="146"/>
      <c r="F55" s="146"/>
      <c r="G55" s="146">
        <v>61</v>
      </c>
      <c r="H55" s="146">
        <v>72</v>
      </c>
      <c r="I55" s="146">
        <v>86</v>
      </c>
      <c r="J55" s="146">
        <v>111</v>
      </c>
      <c r="K55" s="146">
        <v>171</v>
      </c>
      <c r="L55" s="146">
        <v>110</v>
      </c>
      <c r="M55" s="146">
        <v>275</v>
      </c>
      <c r="N55" s="146">
        <v>308</v>
      </c>
      <c r="O55" s="146">
        <v>322</v>
      </c>
      <c r="P55" s="146">
        <v>421</v>
      </c>
      <c r="Q55" s="146">
        <v>447</v>
      </c>
      <c r="R55" s="203">
        <v>508</v>
      </c>
      <c r="S55" s="203">
        <v>756</v>
      </c>
      <c r="T55" s="118">
        <f t="shared" si="22"/>
        <v>0.23338689613026231</v>
      </c>
      <c r="U55" s="31">
        <f t="shared" si="6"/>
        <v>0.1</v>
      </c>
      <c r="V55" s="152">
        <f t="shared" si="2"/>
        <v>831.6</v>
      </c>
      <c r="W55" s="152">
        <f t="shared" ref="W55:AE55" si="142">V55*(1+$U55)</f>
        <v>914.7600000000001</v>
      </c>
      <c r="X55" s="152">
        <f t="shared" si="142"/>
        <v>1006.2360000000002</v>
      </c>
      <c r="Y55" s="152">
        <f t="shared" si="142"/>
        <v>1106.8596000000002</v>
      </c>
      <c r="Z55" s="152">
        <f t="shared" si="142"/>
        <v>1217.5455600000003</v>
      </c>
      <c r="AA55" s="152">
        <f t="shared" si="142"/>
        <v>1339.3001160000003</v>
      </c>
      <c r="AB55" s="152">
        <f t="shared" si="142"/>
        <v>1473.2301276000005</v>
      </c>
      <c r="AC55" s="152">
        <f t="shared" si="142"/>
        <v>1620.5531403600007</v>
      </c>
      <c r="AD55" s="152">
        <f t="shared" si="142"/>
        <v>1782.608454396001</v>
      </c>
      <c r="AE55" s="152">
        <f t="shared" si="142"/>
        <v>1960.8692998356012</v>
      </c>
      <c r="AF55" s="137">
        <f t="shared" si="18"/>
        <v>0.16055117346359737</v>
      </c>
      <c r="AG55" s="31">
        <f t="shared" si="16"/>
        <v>0.05</v>
      </c>
      <c r="AH55" s="145">
        <f t="shared" si="1"/>
        <v>12111.251557808126</v>
      </c>
    </row>
    <row r="56" spans="1:34" s="123" customFormat="1">
      <c r="B56" s="23"/>
      <c r="C56" s="147"/>
      <c r="D56" s="147"/>
      <c r="E56" s="148"/>
      <c r="F56" s="148"/>
      <c r="G56" s="149" t="e">
        <f t="shared" ref="G56:Q56" si="143">(G55-F55)/F55</f>
        <v>#DIV/0!</v>
      </c>
      <c r="H56" s="149">
        <f t="shared" si="143"/>
        <v>0.18032786885245902</v>
      </c>
      <c r="I56" s="149">
        <f t="shared" si="143"/>
        <v>0.19444444444444445</v>
      </c>
      <c r="J56" s="149">
        <f t="shared" si="143"/>
        <v>0.29069767441860467</v>
      </c>
      <c r="K56" s="149">
        <f t="shared" si="143"/>
        <v>0.54054054054054057</v>
      </c>
      <c r="L56" s="149">
        <f t="shared" si="143"/>
        <v>-0.35672514619883039</v>
      </c>
      <c r="M56" s="149">
        <f t="shared" si="143"/>
        <v>1.5</v>
      </c>
      <c r="N56" s="149">
        <f t="shared" si="143"/>
        <v>0.12</v>
      </c>
      <c r="O56" s="149">
        <f t="shared" si="143"/>
        <v>4.5454545454545456E-2</v>
      </c>
      <c r="P56" s="149">
        <f t="shared" si="143"/>
        <v>0.30745341614906835</v>
      </c>
      <c r="Q56" s="149">
        <f t="shared" si="143"/>
        <v>6.1757719714964368E-2</v>
      </c>
      <c r="R56" s="149">
        <f t="shared" ref="R56:S56" si="144">(R55-Q55)/Q55</f>
        <v>0.13646532438478748</v>
      </c>
      <c r="S56" s="149">
        <f t="shared" si="144"/>
        <v>0.48818897637795278</v>
      </c>
      <c r="T56" s="128"/>
      <c r="U56" s="20"/>
      <c r="V56" s="152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205">
        <v>2.52</v>
      </c>
      <c r="H57" s="205">
        <v>2.52</v>
      </c>
      <c r="I57" s="205">
        <v>25.23</v>
      </c>
      <c r="J57" s="205">
        <v>25.23</v>
      </c>
      <c r="K57" s="205">
        <v>25.3</v>
      </c>
      <c r="L57" s="205">
        <v>25.3</v>
      </c>
      <c r="M57" s="205">
        <v>50.61</v>
      </c>
      <c r="N57" s="205">
        <v>50.61</v>
      </c>
      <c r="O57" s="205">
        <v>50.76</v>
      </c>
      <c r="P57" s="205">
        <v>51.26</v>
      </c>
      <c r="Q57" s="205">
        <v>51.26</v>
      </c>
      <c r="R57" s="205">
        <v>51.26</v>
      </c>
      <c r="S57" s="205">
        <v>51.26</v>
      </c>
      <c r="T57" s="118">
        <f t="shared" si="22"/>
        <v>0.28537990206604857</v>
      </c>
      <c r="U57" s="31">
        <v>0.02</v>
      </c>
      <c r="V57" s="152">
        <f t="shared" si="2"/>
        <v>52.285199999999996</v>
      </c>
      <c r="W57" s="152">
        <f>V57*(1+$U57)</f>
        <v>53.330903999999997</v>
      </c>
      <c r="X57" s="152">
        <f t="shared" ref="X57:AE57" si="145">W57*(1+$U57)</f>
        <v>54.397522079999995</v>
      </c>
      <c r="Y57" s="152">
        <f t="shared" si="145"/>
        <v>55.485472521599995</v>
      </c>
      <c r="Z57" s="152">
        <f t="shared" si="145"/>
        <v>56.595181972031995</v>
      </c>
      <c r="AA57" s="152">
        <f t="shared" si="145"/>
        <v>57.727085611472639</v>
      </c>
      <c r="AB57" s="152">
        <f t="shared" si="145"/>
        <v>58.881627323702091</v>
      </c>
      <c r="AC57" s="152">
        <f t="shared" si="145"/>
        <v>60.059259870176135</v>
      </c>
      <c r="AD57" s="152">
        <f t="shared" si="145"/>
        <v>61.26044506757966</v>
      </c>
      <c r="AE57" s="152">
        <f t="shared" si="145"/>
        <v>62.485653968931253</v>
      </c>
      <c r="AF57" s="137">
        <f t="shared" si="18"/>
        <v>4.4131947694117102E-2</v>
      </c>
      <c r="AG57" s="31">
        <f t="shared" si="16"/>
        <v>0.05</v>
      </c>
      <c r="AH57" s="145">
        <f t="shared" si="1"/>
        <v>385.94080392575194</v>
      </c>
    </row>
    <row r="58" spans="1:34">
      <c r="B58" s="20"/>
      <c r="C58" s="141"/>
      <c r="D58" s="141"/>
      <c r="E58" s="142"/>
      <c r="F58" s="142"/>
      <c r="G58" s="149" t="e">
        <f t="shared" ref="G58:Q58" si="146">(G57-F57)/F57</f>
        <v>#DIV/0!</v>
      </c>
      <c r="H58" s="149">
        <f t="shared" si="146"/>
        <v>0</v>
      </c>
      <c r="I58" s="149">
        <f t="shared" si="146"/>
        <v>9.0119047619047628</v>
      </c>
      <c r="J58" s="149">
        <f t="shared" si="146"/>
        <v>0</v>
      </c>
      <c r="K58" s="149">
        <f t="shared" si="146"/>
        <v>2.7744748315497534E-3</v>
      </c>
      <c r="L58" s="149">
        <f t="shared" si="146"/>
        <v>0</v>
      </c>
      <c r="M58" s="149">
        <f t="shared" si="146"/>
        <v>1.000395256916996</v>
      </c>
      <c r="N58" s="149">
        <f t="shared" si="146"/>
        <v>0</v>
      </c>
      <c r="O58" s="149">
        <f t="shared" si="146"/>
        <v>2.9638411381149692E-3</v>
      </c>
      <c r="P58" s="149">
        <f t="shared" si="146"/>
        <v>9.8502758077226166E-3</v>
      </c>
      <c r="Q58" s="149">
        <f t="shared" si="146"/>
        <v>0</v>
      </c>
      <c r="R58" s="149">
        <f t="shared" ref="R58:S58" si="147">(R57-Q57)/Q57</f>
        <v>0</v>
      </c>
      <c r="S58" s="149">
        <f t="shared" si="147"/>
        <v>0</v>
      </c>
      <c r="T58" s="128"/>
      <c r="U58" s="20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205">
        <v>8</v>
      </c>
      <c r="H59" s="205">
        <v>8</v>
      </c>
      <c r="I59" s="205">
        <v>1.25</v>
      </c>
      <c r="J59" s="205">
        <v>1.5</v>
      </c>
      <c r="K59" s="205">
        <v>1.75</v>
      </c>
      <c r="L59" s="205">
        <v>1.75</v>
      </c>
      <c r="M59" s="205">
        <v>1.5</v>
      </c>
      <c r="N59" s="205">
        <v>1.75</v>
      </c>
      <c r="O59" s="205">
        <v>1.9</v>
      </c>
      <c r="P59" s="205">
        <v>2.6</v>
      </c>
      <c r="Q59" s="205">
        <v>2.7</v>
      </c>
      <c r="R59" s="144">
        <v>2.9</v>
      </c>
      <c r="S59" s="144">
        <v>4.1500000000000004</v>
      </c>
      <c r="T59" s="118">
        <f t="shared" si="22"/>
        <v>-5.3225594129960307E-2</v>
      </c>
      <c r="U59" s="31">
        <f>R1</f>
        <v>0.05</v>
      </c>
      <c r="V59" s="152">
        <f t="shared" si="2"/>
        <v>4.3575000000000008</v>
      </c>
      <c r="W59" s="152">
        <f t="shared" ref="W59" si="148">V59*(1+$U59)</f>
        <v>4.5753750000000011</v>
      </c>
      <c r="X59" s="152">
        <f t="shared" ref="X59" si="149">W59*(1+$U59)</f>
        <v>4.8041437500000015</v>
      </c>
      <c r="Y59" s="152">
        <f t="shared" ref="Y59" si="150">X59*(1+$U59)</f>
        <v>5.0443509375000017</v>
      </c>
      <c r="Z59" s="152">
        <f t="shared" ref="Z59" si="151">Y59*(1+$U59)</f>
        <v>5.2965684843750021</v>
      </c>
      <c r="AA59" s="152">
        <f t="shared" ref="AA59" si="152">Z59*(1+$U59)</f>
        <v>5.5613969085937525</v>
      </c>
      <c r="AB59" s="152">
        <f t="shared" ref="AB59" si="153">AA59*(1+$U59)</f>
        <v>5.83946675402344</v>
      </c>
      <c r="AC59" s="152">
        <f t="shared" ref="AC59" si="154">AB59*(1+$U59)</f>
        <v>6.1314400917246124</v>
      </c>
      <c r="AD59" s="152">
        <f t="shared" ref="AD59" si="155">AC59*(1+$U59)</f>
        <v>6.4380120963108434</v>
      </c>
      <c r="AE59" s="152">
        <f t="shared" ref="AE59" si="156">AD59*(1+$U59)</f>
        <v>6.7599127011263862</v>
      </c>
      <c r="AF59" s="137">
        <f t="shared" ref="AF59" si="157">((AE59/I59)^(1/($AE$3-$J$1) ))-1</f>
        <v>8.3692933975972661E-2</v>
      </c>
      <c r="AG59" s="31">
        <f t="shared" si="16"/>
        <v>0.05</v>
      </c>
      <c r="AH59" s="145">
        <f t="shared" si="1"/>
        <v>41.752401977545333</v>
      </c>
    </row>
    <row r="60" spans="1:34">
      <c r="B60" s="20"/>
      <c r="C60" s="144"/>
      <c r="D60" s="144"/>
      <c r="E60" s="144"/>
      <c r="F60" s="144"/>
      <c r="G60" s="149" t="e">
        <f t="shared" ref="G60:Q60" si="158">(G59-F59)/F59</f>
        <v>#DIV/0!</v>
      </c>
      <c r="H60" s="149">
        <f t="shared" si="158"/>
        <v>0</v>
      </c>
      <c r="I60" s="149">
        <f t="shared" si="158"/>
        <v>-0.84375</v>
      </c>
      <c r="J60" s="149">
        <f t="shared" si="158"/>
        <v>0.2</v>
      </c>
      <c r="K60" s="149">
        <f t="shared" si="158"/>
        <v>0.16666666666666666</v>
      </c>
      <c r="L60" s="149">
        <f t="shared" si="158"/>
        <v>0</v>
      </c>
      <c r="M60" s="149">
        <f t="shared" si="158"/>
        <v>-0.14285714285714285</v>
      </c>
      <c r="N60" s="149">
        <f t="shared" si="158"/>
        <v>0.16666666666666666</v>
      </c>
      <c r="O60" s="149">
        <f t="shared" si="158"/>
        <v>8.571428571428566E-2</v>
      </c>
      <c r="P60" s="149">
        <f t="shared" si="158"/>
        <v>0.36842105263157904</v>
      </c>
      <c r="Q60" s="149">
        <f t="shared" si="158"/>
        <v>3.8461538461538491E-2</v>
      </c>
      <c r="R60" s="149">
        <f t="shared" ref="R60:S60" si="159">(R59-Q59)/Q59</f>
        <v>7.4074074074073973E-2</v>
      </c>
      <c r="S60" s="149">
        <f t="shared" si="159"/>
        <v>0.43103448275862083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422</v>
      </c>
      <c r="C61" s="20"/>
      <c r="D61" s="20"/>
      <c r="E61" s="127"/>
      <c r="F61" s="127"/>
      <c r="G61" s="146">
        <v>0</v>
      </c>
      <c r="H61" s="146">
        <v>0</v>
      </c>
      <c r="I61" s="146" t="s">
        <v>495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420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 t="s">
        <v>496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421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127"/>
      <c r="I64" s="127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160">G25/G57</f>
        <v>267.85714285714283</v>
      </c>
      <c r="H66" s="133">
        <f t="shared" si="160"/>
        <v>308.33333333333331</v>
      </c>
      <c r="I66" s="133">
        <f t="shared" ref="I66:R66" si="161">I25/I57</f>
        <v>37.613951644867221</v>
      </c>
      <c r="J66" s="133">
        <f t="shared" si="161"/>
        <v>51.129607609988106</v>
      </c>
      <c r="K66" s="133">
        <f t="shared" si="161"/>
        <v>69.841897233201578</v>
      </c>
      <c r="L66" s="133">
        <f t="shared" si="161"/>
        <v>78.181818181818173</v>
      </c>
      <c r="M66" s="133">
        <f t="shared" si="161"/>
        <v>44.398340248962654</v>
      </c>
      <c r="N66" s="133">
        <f t="shared" si="161"/>
        <v>54.297569650266745</v>
      </c>
      <c r="O66" s="133">
        <f t="shared" si="161"/>
        <v>62.923561859732075</v>
      </c>
      <c r="P66" s="133">
        <f t="shared" si="161"/>
        <v>74.170893484198203</v>
      </c>
      <c r="Q66" s="133">
        <f t="shared" si="161"/>
        <v>85.446742099102622</v>
      </c>
      <c r="R66" s="133">
        <f t="shared" si="161"/>
        <v>95.513070620366761</v>
      </c>
      <c r="S66" s="133">
        <f t="shared" ref="S66" si="162">S25/S57</f>
        <v>105.3062817011315</v>
      </c>
      <c r="T66" s="118">
        <f t="shared" ref="T66:T68" si="163">((S66/G66)^(1/($J$2-$J$1) ))-1</f>
        <v>-7.4849075408808918E-2</v>
      </c>
      <c r="U66" s="128"/>
      <c r="V66" s="156">
        <f t="shared" ref="V66:AE66" si="164">V25/V57</f>
        <v>113.56559791298494</v>
      </c>
      <c r="W66" s="156">
        <f t="shared" si="164"/>
        <v>122.47270363165045</v>
      </c>
      <c r="X66" s="156">
        <f t="shared" si="164"/>
        <v>132.07840587727009</v>
      </c>
      <c r="Y66" s="156">
        <f t="shared" si="164"/>
        <v>142.4374965343109</v>
      </c>
      <c r="Z66" s="156">
        <f t="shared" si="164"/>
        <v>153.60906488994314</v>
      </c>
      <c r="AA66" s="156">
        <f t="shared" si="164"/>
        <v>165.65683468523284</v>
      </c>
      <c r="AB66" s="156">
        <f t="shared" si="164"/>
        <v>178.64952760172167</v>
      </c>
      <c r="AC66" s="156">
        <f t="shared" si="164"/>
        <v>192.66125525675866</v>
      </c>
      <c r="AD66" s="156">
        <f t="shared" si="164"/>
        <v>207.77194194356326</v>
      </c>
      <c r="AE66" s="156">
        <f t="shared" si="164"/>
        <v>224.06778052737218</v>
      </c>
      <c r="AF66" s="137">
        <f t="shared" ref="AF66" si="165">((AE66/I66)^(1/($AE$3-$J$1) ))-1</f>
        <v>8.8694958799882206E-2</v>
      </c>
      <c r="AG66" s="31">
        <f t="shared" si="16"/>
        <v>0.05</v>
      </c>
      <c r="AH66" s="145">
        <f t="shared" ref="AH66:AH67" si="166">(AE66*(1+AG66))/($C$1-AG66)</f>
        <v>1383.9480561984753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167">G27/G57</f>
        <v>221.42857142857142</v>
      </c>
      <c r="H67" s="133">
        <f t="shared" si="167"/>
        <v>253.96825396825398</v>
      </c>
      <c r="I67" s="133">
        <f t="shared" ref="I67:R67" si="168">I27/I57</f>
        <v>31.272294887039237</v>
      </c>
      <c r="J67" s="133">
        <f t="shared" si="168"/>
        <v>43.678160919540232</v>
      </c>
      <c r="K67" s="133">
        <f t="shared" si="168"/>
        <v>58.853754940711461</v>
      </c>
      <c r="L67" s="133">
        <f t="shared" si="168"/>
        <v>69.090909090909093</v>
      </c>
      <c r="M67" s="133">
        <f t="shared" si="168"/>
        <v>36.17862082592373</v>
      </c>
      <c r="N67" s="133">
        <f t="shared" si="168"/>
        <v>44.437858130804187</v>
      </c>
      <c r="O67" s="133">
        <f t="shared" si="168"/>
        <v>52.521670606776993</v>
      </c>
      <c r="P67" s="133">
        <f t="shared" si="168"/>
        <v>61.061256340226301</v>
      </c>
      <c r="Q67" s="133">
        <f t="shared" si="168"/>
        <v>71.59578618806087</v>
      </c>
      <c r="R67" s="133">
        <f t="shared" si="168"/>
        <v>79.69176746000781</v>
      </c>
      <c r="S67" s="133">
        <f t="shared" ref="S67" si="169">S27/S57</f>
        <v>81.408505657432698</v>
      </c>
      <c r="T67" s="118">
        <f t="shared" si="163"/>
        <v>-8.0003142862885013E-2</v>
      </c>
      <c r="U67" s="128"/>
      <c r="V67" s="156">
        <f t="shared" ref="V67:AE67" si="170">V27/V57</f>
        <v>87.793486493309786</v>
      </c>
      <c r="W67" s="156">
        <f t="shared" si="170"/>
        <v>94.679250139843887</v>
      </c>
      <c r="X67" s="156">
        <f t="shared" si="170"/>
        <v>102.10507368022382</v>
      </c>
      <c r="Y67" s="156">
        <f t="shared" si="170"/>
        <v>110.11331475318256</v>
      </c>
      <c r="Z67" s="156">
        <f t="shared" si="170"/>
        <v>118.7496531651969</v>
      </c>
      <c r="AA67" s="156">
        <f t="shared" si="170"/>
        <v>128.06335145266331</v>
      </c>
      <c r="AB67" s="156">
        <f t="shared" si="170"/>
        <v>138.10753588032321</v>
      </c>
      <c r="AC67" s="156">
        <f t="shared" si="170"/>
        <v>148.93949947877994</v>
      </c>
      <c r="AD67" s="156">
        <f t="shared" si="170"/>
        <v>160.62102884966464</v>
      </c>
      <c r="AE67" s="156">
        <f t="shared" si="170"/>
        <v>173.21875660257953</v>
      </c>
      <c r="AF67" s="137">
        <f t="shared" ref="AF67" si="171">((AE67/I67)^(1/($AE$3-$J$1) ))-1</f>
        <v>8.4929890583230083E-2</v>
      </c>
      <c r="AG67" s="31">
        <f t="shared" si="16"/>
        <v>0.05</v>
      </c>
      <c r="AH67" s="145">
        <f t="shared" si="166"/>
        <v>1069.8805554865207</v>
      </c>
    </row>
    <row r="68" spans="2:34">
      <c r="B68" s="20" t="s">
        <v>423</v>
      </c>
      <c r="C68" s="133"/>
      <c r="D68" s="133"/>
      <c r="E68" s="133"/>
      <c r="F68" s="133"/>
      <c r="G68" s="133">
        <f t="shared" ref="G68:H68" si="172">G53-G55</f>
        <v>31</v>
      </c>
      <c r="H68" s="133">
        <f t="shared" si="172"/>
        <v>33</v>
      </c>
      <c r="I68" s="133">
        <f>I53-I55</f>
        <v>45</v>
      </c>
      <c r="J68" s="133">
        <f t="shared" ref="J68:R68" si="173">J53-J55</f>
        <v>35</v>
      </c>
      <c r="K68" s="133">
        <f t="shared" si="173"/>
        <v>37</v>
      </c>
      <c r="L68" s="133">
        <f t="shared" si="173"/>
        <v>17</v>
      </c>
      <c r="M68" s="133">
        <f t="shared" si="173"/>
        <v>36</v>
      </c>
      <c r="N68" s="133">
        <f t="shared" si="173"/>
        <v>95</v>
      </c>
      <c r="O68" s="133">
        <f t="shared" si="173"/>
        <v>110</v>
      </c>
      <c r="P68" s="133">
        <f t="shared" si="173"/>
        <v>160</v>
      </c>
      <c r="Q68" s="133">
        <f t="shared" si="173"/>
        <v>165</v>
      </c>
      <c r="R68" s="133">
        <f t="shared" si="173"/>
        <v>170</v>
      </c>
      <c r="S68" s="133">
        <f t="shared" ref="S68" si="174">S53-S55</f>
        <v>322</v>
      </c>
      <c r="T68" s="118">
        <f t="shared" si="163"/>
        <v>0.21536814199114085</v>
      </c>
      <c r="U68" s="128"/>
      <c r="V68" s="133">
        <f t="shared" ref="V68:AE68" si="175">V53-V55</f>
        <v>354.20000000000016</v>
      </c>
      <c r="W68" s="133">
        <f t="shared" si="175"/>
        <v>389.62000000000023</v>
      </c>
      <c r="X68" s="133">
        <f t="shared" si="175"/>
        <v>428.58200000000022</v>
      </c>
      <c r="Y68" s="133">
        <f t="shared" si="175"/>
        <v>471.44020000000046</v>
      </c>
      <c r="Z68" s="133">
        <f t="shared" si="175"/>
        <v>518.58422000000064</v>
      </c>
      <c r="AA68" s="133">
        <f t="shared" si="175"/>
        <v>570.44264200000089</v>
      </c>
      <c r="AB68" s="133">
        <f t="shared" si="175"/>
        <v>627.48690620000093</v>
      </c>
      <c r="AC68" s="133">
        <f t="shared" si="175"/>
        <v>690.23559682000086</v>
      </c>
      <c r="AD68" s="133">
        <f t="shared" si="175"/>
        <v>759.25915650200113</v>
      </c>
      <c r="AE68" s="133">
        <f t="shared" si="175"/>
        <v>835.1850721522012</v>
      </c>
      <c r="AF68" s="137">
        <f t="shared" ref="AF68" si="176">((AE68/I68)^(1/($AE$3-$J$1) ))-1</f>
        <v>0.14923304507723523</v>
      </c>
      <c r="AG68" s="31">
        <f t="shared" si="16"/>
        <v>0.05</v>
      </c>
      <c r="AH68" s="145">
        <f t="shared" ref="AH68" si="177">(AE68*(1+AG68))/($C$1-AG68)</f>
        <v>5158.4960338812434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458</v>
      </c>
      <c r="C70" s="133"/>
      <c r="D70" s="133"/>
      <c r="E70" s="133"/>
      <c r="F70" s="133"/>
      <c r="G70" s="25">
        <f t="shared" ref="G70:H70" si="178">G51/G57</f>
        <v>42.857142857142854</v>
      </c>
      <c r="H70" s="25">
        <f t="shared" si="178"/>
        <v>50.793650793650791</v>
      </c>
      <c r="I70" s="25">
        <f t="shared" ref="I70:R70" si="179">I51/I57</f>
        <v>5.7471264367816088</v>
      </c>
      <c r="J70" s="25">
        <f t="shared" si="179"/>
        <v>6.8172810146650811</v>
      </c>
      <c r="K70" s="25">
        <f t="shared" si="179"/>
        <v>9.920948616600791</v>
      </c>
      <c r="L70" s="25">
        <f t="shared" si="179"/>
        <v>9.5652173913043477</v>
      </c>
      <c r="M70" s="25">
        <f t="shared" si="179"/>
        <v>7.864058486465126</v>
      </c>
      <c r="N70" s="25">
        <f t="shared" si="179"/>
        <v>9.1681485872357236</v>
      </c>
      <c r="O70" s="25">
        <f t="shared" si="179"/>
        <v>9.7320724980299449</v>
      </c>
      <c r="P70" s="25">
        <f t="shared" si="179"/>
        <v>11.685524775653532</v>
      </c>
      <c r="Q70" s="25">
        <f t="shared" si="179"/>
        <v>13.090128755364807</v>
      </c>
      <c r="R70" s="25">
        <f t="shared" si="179"/>
        <v>15.021459227467812</v>
      </c>
      <c r="S70" s="25">
        <f>S51/S57</f>
        <v>22.883339836129537</v>
      </c>
      <c r="T70" s="118">
        <f t="shared" ref="T70:T134" si="180">((S70/G70)^(1/($J$2-$J$1) ))-1</f>
        <v>-5.0945069769700146E-2</v>
      </c>
      <c r="U70" s="128"/>
      <c r="V70" s="112">
        <f>V51/V57</f>
        <v>24.678111587982837</v>
      </c>
      <c r="W70" s="112">
        <f t="shared" ref="W70:AE70" si="181">W51/W57</f>
        <v>26.613649751746202</v>
      </c>
      <c r="X70" s="112">
        <f t="shared" si="181"/>
        <v>28.700994830314535</v>
      </c>
      <c r="Y70" s="112">
        <f t="shared" si="181"/>
        <v>30.952053248378419</v>
      </c>
      <c r="Z70" s="112">
        <f t="shared" si="181"/>
        <v>33.379665267859082</v>
      </c>
      <c r="AA70" s="112">
        <f t="shared" si="181"/>
        <v>35.997678230044109</v>
      </c>
      <c r="AB70" s="112">
        <f t="shared" si="181"/>
        <v>38.821025542204438</v>
      </c>
      <c r="AC70" s="112">
        <f t="shared" si="181"/>
        <v>41.865811859240083</v>
      </c>
      <c r="AD70" s="112">
        <f t="shared" si="181"/>
        <v>45.149404946239308</v>
      </c>
      <c r="AE70" s="112">
        <f t="shared" si="181"/>
        <v>48.690534745944355</v>
      </c>
      <c r="AF70" s="137">
        <f t="shared" ref="AF70:AF71" si="182">((AE70/I70)^(1/($AE$3-$J$1) ))-1</f>
        <v>0.10710848840455056</v>
      </c>
      <c r="AG70" s="31">
        <f t="shared" si="16"/>
        <v>0.05</v>
      </c>
      <c r="AH70" s="145">
        <f t="shared" ref="AH70:AH71" si="183">(AE70*(1+AG70))/($C$1-AG70)</f>
        <v>300.73565578377401</v>
      </c>
    </row>
    <row r="71" spans="2:34">
      <c r="B71" s="20" t="s">
        <v>459</v>
      </c>
      <c r="C71" s="133"/>
      <c r="D71" s="133"/>
      <c r="E71" s="133"/>
      <c r="F71" s="133"/>
      <c r="G71" s="25">
        <f t="shared" ref="G71:H71" si="184">G53/G57</f>
        <v>36.507936507936506</v>
      </c>
      <c r="H71" s="25">
        <f t="shared" si="184"/>
        <v>41.666666666666664</v>
      </c>
      <c r="I71" s="25">
        <f t="shared" ref="I71:R71" si="185">I53/I57</f>
        <v>5.1922314704716603</v>
      </c>
      <c r="J71" s="25">
        <f t="shared" si="185"/>
        <v>5.7867617915180336</v>
      </c>
      <c r="K71" s="25">
        <f t="shared" si="185"/>
        <v>8.2213438735177871</v>
      </c>
      <c r="L71" s="25">
        <f t="shared" si="185"/>
        <v>5.0197628458498018</v>
      </c>
      <c r="M71" s="25">
        <f t="shared" si="185"/>
        <v>6.1450306263584276</v>
      </c>
      <c r="N71" s="25">
        <f t="shared" si="185"/>
        <v>7.9628531910689588</v>
      </c>
      <c r="O71" s="25">
        <f t="shared" si="185"/>
        <v>8.5106382978723403</v>
      </c>
      <c r="P71" s="25">
        <f t="shared" si="185"/>
        <v>11.334373780725713</v>
      </c>
      <c r="Q71" s="25">
        <f t="shared" si="185"/>
        <v>11.939133827545845</v>
      </c>
      <c r="R71" s="25">
        <f t="shared" si="185"/>
        <v>13.226687475614515</v>
      </c>
      <c r="S71" s="25">
        <f>S53/S57</f>
        <v>21.030042918454935</v>
      </c>
      <c r="T71" s="118">
        <f t="shared" si="180"/>
        <v>-4.4924423321493379E-2</v>
      </c>
      <c r="U71" s="128"/>
      <c r="V71" s="112">
        <f>V53/V57</f>
        <v>22.679458049314153</v>
      </c>
      <c r="W71" s="112">
        <f t="shared" ref="W71:AE71" si="186">W53/W57</f>
        <v>24.458239072789773</v>
      </c>
      <c r="X71" s="112">
        <f t="shared" si="186"/>
        <v>26.376532333400739</v>
      </c>
      <c r="Y71" s="112">
        <f t="shared" si="186"/>
        <v>28.445279967392956</v>
      </c>
      <c r="Z71" s="112">
        <f t="shared" si="186"/>
        <v>30.676282317776721</v>
      </c>
      <c r="AA71" s="112">
        <f t="shared" si="186"/>
        <v>33.082265244661173</v>
      </c>
      <c r="AB71" s="112">
        <f t="shared" si="186"/>
        <v>35.676952714830676</v>
      </c>
      <c r="AC71" s="112">
        <f t="shared" si="186"/>
        <v>38.475145084621317</v>
      </c>
      <c r="AD71" s="112">
        <f t="shared" si="186"/>
        <v>41.492803522630837</v>
      </c>
      <c r="AE71" s="112">
        <f t="shared" si="186"/>
        <v>44.747141053817572</v>
      </c>
      <c r="AF71" s="137">
        <f t="shared" si="182"/>
        <v>0.10800926715233539</v>
      </c>
      <c r="AG71" s="31">
        <f t="shared" si="16"/>
        <v>0.05</v>
      </c>
      <c r="AH71" s="145">
        <f t="shared" si="183"/>
        <v>276.37940062652035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187">G55/G57</f>
        <v>24.206349206349206</v>
      </c>
      <c r="H72" s="133">
        <f t="shared" si="187"/>
        <v>28.571428571428573</v>
      </c>
      <c r="I72" s="133">
        <f t="shared" ref="I72:R72" si="188">I55/I57</f>
        <v>3.4086405073325405</v>
      </c>
      <c r="J72" s="133">
        <f t="shared" si="188"/>
        <v>4.3995243757431632</v>
      </c>
      <c r="K72" s="133">
        <f t="shared" si="188"/>
        <v>6.7588932806324111</v>
      </c>
      <c r="L72" s="133">
        <f t="shared" si="188"/>
        <v>4.3478260869565215</v>
      </c>
      <c r="M72" s="133">
        <f t="shared" si="188"/>
        <v>5.4337087532108281</v>
      </c>
      <c r="N72" s="133">
        <f t="shared" si="188"/>
        <v>6.0857538035961269</v>
      </c>
      <c r="O72" s="133">
        <f t="shared" si="188"/>
        <v>6.3435776201733649</v>
      </c>
      <c r="P72" s="133">
        <f t="shared" si="188"/>
        <v>8.2130316035895436</v>
      </c>
      <c r="Q72" s="133">
        <f t="shared" si="188"/>
        <v>8.7202497073741707</v>
      </c>
      <c r="R72" s="133">
        <f t="shared" si="188"/>
        <v>9.9102614124073352</v>
      </c>
      <c r="S72" s="133">
        <f t="shared" ref="S72" si="189">S55/S57</f>
        <v>14.748341786968396</v>
      </c>
      <c r="T72" s="118">
        <f t="shared" si="180"/>
        <v>-4.0449524574186713E-2</v>
      </c>
      <c r="U72" s="128"/>
      <c r="V72" s="156">
        <f t="shared" ref="V72:AE72" si="190">V55/V57</f>
        <v>15.90507447614239</v>
      </c>
      <c r="W72" s="156">
        <f t="shared" si="190"/>
        <v>17.152531297800618</v>
      </c>
      <c r="X72" s="156">
        <f t="shared" si="190"/>
        <v>18.49782787017714</v>
      </c>
      <c r="Y72" s="156">
        <f t="shared" si="190"/>
        <v>19.948637899210642</v>
      </c>
      <c r="Z72" s="156">
        <f t="shared" si="190"/>
        <v>21.513236950129123</v>
      </c>
      <c r="AA72" s="156">
        <f t="shared" si="190"/>
        <v>23.200549652100033</v>
      </c>
      <c r="AB72" s="156">
        <f t="shared" si="190"/>
        <v>25.020200605205922</v>
      </c>
      <c r="AC72" s="156">
        <f t="shared" si="190"/>
        <v>26.982569280124032</v>
      </c>
      <c r="AD72" s="156">
        <f t="shared" si="190"/>
        <v>29.098849223663176</v>
      </c>
      <c r="AE72" s="156">
        <f t="shared" si="190"/>
        <v>31.381111907872054</v>
      </c>
      <c r="AF72" s="137">
        <f t="shared" ref="AF72:AF86" si="191">((AE72/I72)^(1/($AE$3-$J$1) ))-1</f>
        <v>0.11149857642665073</v>
      </c>
      <c r="AG72" s="31">
        <f t="shared" si="16"/>
        <v>0.05</v>
      </c>
      <c r="AH72" s="145">
        <f t="shared" ref="AH72:AH100" si="192">(AE72*(1+AG72))/($C$1-AG72)</f>
        <v>193.82451472509214</v>
      </c>
    </row>
    <row r="73" spans="2:34">
      <c r="B73" s="20" t="s">
        <v>384</v>
      </c>
      <c r="C73" s="133"/>
      <c r="D73" s="133"/>
      <c r="E73" s="133"/>
      <c r="F73" s="133"/>
      <c r="G73" s="133">
        <f t="shared" ref="G73:H73" si="193">G20/G57</f>
        <v>19.047619047619047</v>
      </c>
      <c r="H73" s="133">
        <f t="shared" si="193"/>
        <v>36.507936507936506</v>
      </c>
      <c r="I73" s="133">
        <f>I20/I57</f>
        <v>4.439159730479588</v>
      </c>
      <c r="J73" s="133">
        <f t="shared" ref="J73:R73" si="194">J20/J57</f>
        <v>3.5275465715418153</v>
      </c>
      <c r="K73" s="133">
        <f t="shared" si="194"/>
        <v>5.0592885375494072</v>
      </c>
      <c r="L73" s="133">
        <f t="shared" si="194"/>
        <v>10.276679841897232</v>
      </c>
      <c r="M73" s="133">
        <f t="shared" si="194"/>
        <v>8.140683659355858</v>
      </c>
      <c r="N73" s="133">
        <f t="shared" si="194"/>
        <v>6.3623789764868608</v>
      </c>
      <c r="O73" s="133">
        <f t="shared" si="194"/>
        <v>9.9881796690307336</v>
      </c>
      <c r="P73" s="133">
        <f t="shared" si="194"/>
        <v>10.00780335544284</v>
      </c>
      <c r="Q73" s="133">
        <f t="shared" si="194"/>
        <v>7.7643386656262194</v>
      </c>
      <c r="R73" s="133">
        <f t="shared" si="194"/>
        <v>11.178306671868905</v>
      </c>
      <c r="S73" s="133">
        <f t="shared" ref="S73" si="195">S20/S57</f>
        <v>17.694108466640657</v>
      </c>
      <c r="T73" s="118">
        <f t="shared" si="180"/>
        <v>-6.123704903790439E-3</v>
      </c>
      <c r="U73" s="128"/>
      <c r="V73" s="133">
        <f t="shared" ref="V73:AE73" si="196">V20/V57</f>
        <v>19.081881679710513</v>
      </c>
      <c r="W73" s="133">
        <f t="shared" si="196"/>
        <v>20.578499850668198</v>
      </c>
      <c r="X73" s="133">
        <f t="shared" si="196"/>
        <v>22.192499838955904</v>
      </c>
      <c r="Y73" s="133">
        <f t="shared" si="196"/>
        <v>23.933088061619113</v>
      </c>
      <c r="Z73" s="133">
        <f t="shared" si="196"/>
        <v>25.81019300762846</v>
      </c>
      <c r="AA73" s="133">
        <f t="shared" si="196"/>
        <v>27.834521870971869</v>
      </c>
      <c r="AB73" s="133">
        <f t="shared" si="196"/>
        <v>30.017621625557901</v>
      </c>
      <c r="AC73" s="133">
        <f t="shared" si="196"/>
        <v>32.371944890307539</v>
      </c>
      <c r="AD73" s="133">
        <f t="shared" si="196"/>
        <v>34.910920960135584</v>
      </c>
      <c r="AE73" s="133">
        <f t="shared" si="196"/>
        <v>37.649032407989353</v>
      </c>
      <c r="AF73" s="137">
        <f t="shared" ref="AF73" si="197">((AE73/I73)^(1/($AE$3-$J$1) ))-1</f>
        <v>0.10716423918334539</v>
      </c>
      <c r="AG73" s="31">
        <f t="shared" si="16"/>
        <v>0.05</v>
      </c>
      <c r="AH73" s="145">
        <f t="shared" si="192"/>
        <v>232.53814134346371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198">G7/G57</f>
        <v>125</v>
      </c>
      <c r="H74" s="133">
        <f t="shared" si="198"/>
        <v>143.25396825396825</v>
      </c>
      <c r="I74" s="133">
        <f t="shared" ref="I74:R74" si="199">I7/I57</f>
        <v>16.369401506143479</v>
      </c>
      <c r="J74" s="133">
        <f t="shared" si="199"/>
        <v>19.024970273483948</v>
      </c>
      <c r="K74" s="133">
        <f t="shared" si="199"/>
        <v>24.505928853754941</v>
      </c>
      <c r="L74" s="133">
        <f t="shared" si="199"/>
        <v>25.059288537549406</v>
      </c>
      <c r="M74" s="133">
        <f t="shared" si="199"/>
        <v>17.229796482908515</v>
      </c>
      <c r="N74" s="133">
        <f t="shared" si="199"/>
        <v>21.418691958111044</v>
      </c>
      <c r="O74" s="133">
        <f t="shared" si="199"/>
        <v>26.122931442080379</v>
      </c>
      <c r="P74" s="133">
        <f t="shared" si="199"/>
        <v>32.208349590323841</v>
      </c>
      <c r="Q74" s="133">
        <f t="shared" si="199"/>
        <v>38.080374561061255</v>
      </c>
      <c r="R74" s="133">
        <f t="shared" si="199"/>
        <v>44.284042138119396</v>
      </c>
      <c r="S74" s="133">
        <f t="shared" ref="S74" si="200">S7/S57</f>
        <v>54.272337104955135</v>
      </c>
      <c r="T74" s="118">
        <f t="shared" si="180"/>
        <v>-6.7163116757131047E-2</v>
      </c>
      <c r="U74" s="128"/>
      <c r="V74" s="156">
        <f t="shared" ref="V74:AE74" si="201">V7/V57</f>
        <v>58.528990995539857</v>
      </c>
      <c r="W74" s="156">
        <f t="shared" si="201"/>
        <v>63.119500093229263</v>
      </c>
      <c r="X74" s="156">
        <f t="shared" si="201"/>
        <v>68.070049120149207</v>
      </c>
      <c r="Y74" s="156">
        <f t="shared" si="201"/>
        <v>73.4088765021217</v>
      </c>
      <c r="Z74" s="156">
        <f t="shared" si="201"/>
        <v>79.166435443464593</v>
      </c>
      <c r="AA74" s="156">
        <f t="shared" si="201"/>
        <v>85.375567635108879</v>
      </c>
      <c r="AB74" s="156">
        <f t="shared" si="201"/>
        <v>92.071690586882141</v>
      </c>
      <c r="AC74" s="156">
        <f t="shared" si="201"/>
        <v>99.292999652519967</v>
      </c>
      <c r="AD74" s="156">
        <f t="shared" si="201"/>
        <v>107.08068589977643</v>
      </c>
      <c r="AE74" s="156">
        <f t="shared" si="201"/>
        <v>115.47917106838635</v>
      </c>
      <c r="AF74" s="137">
        <f t="shared" si="191"/>
        <v>9.7497081751895864E-2</v>
      </c>
      <c r="AG74" s="31">
        <f t="shared" si="16"/>
        <v>0.05</v>
      </c>
      <c r="AH74" s="145">
        <f t="shared" si="192"/>
        <v>713.25370365768049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02">G6/G57</f>
        <v>114.68253968253968</v>
      </c>
      <c r="H75" s="143">
        <f t="shared" si="202"/>
        <v>133.33333333333334</v>
      </c>
      <c r="I75" s="143">
        <f t="shared" ref="I75:R75" si="203">I6/I57</f>
        <v>15.378517637732857</v>
      </c>
      <c r="J75" s="143">
        <f t="shared" si="203"/>
        <v>18.034086405073324</v>
      </c>
      <c r="K75" s="143">
        <f t="shared" si="203"/>
        <v>23.359683794466402</v>
      </c>
      <c r="L75" s="143">
        <f t="shared" si="203"/>
        <v>26.442687747035574</v>
      </c>
      <c r="M75" s="143">
        <f t="shared" si="203"/>
        <v>16.222090495949416</v>
      </c>
      <c r="N75" s="143">
        <f t="shared" si="203"/>
        <v>20.430744912072711</v>
      </c>
      <c r="O75" s="143">
        <f t="shared" si="203"/>
        <v>25.118203309692671</v>
      </c>
      <c r="P75" s="143">
        <f t="shared" si="203"/>
        <v>31.213421771361688</v>
      </c>
      <c r="Q75" s="143">
        <f t="shared" si="203"/>
        <v>37.085446742099101</v>
      </c>
      <c r="R75" s="143">
        <f t="shared" si="203"/>
        <v>43.289114319157243</v>
      </c>
      <c r="S75" s="143">
        <f t="shared" ref="S75" si="204">S6/S57</f>
        <v>53.277409285992981</v>
      </c>
      <c r="T75" s="118">
        <f t="shared" si="180"/>
        <v>-6.188989002998202E-2</v>
      </c>
      <c r="U75" s="128"/>
      <c r="V75" s="155">
        <f t="shared" ref="V75:AE75" si="205">V6/V57</f>
        <v>57.456029622149302</v>
      </c>
      <c r="W75" s="155">
        <f t="shared" si="205"/>
        <v>61.962384886631604</v>
      </c>
      <c r="X75" s="155">
        <f t="shared" si="205"/>
        <v>66.822179779700761</v>
      </c>
      <c r="Y75" s="155">
        <f t="shared" si="205"/>
        <v>72.063135056540034</v>
      </c>
      <c r="Z75" s="155">
        <f t="shared" si="205"/>
        <v>77.715145649209845</v>
      </c>
      <c r="AA75" s="155">
        <f t="shared" si="205"/>
        <v>83.810451190324343</v>
      </c>
      <c r="AB75" s="155">
        <f t="shared" si="205"/>
        <v>90.383819911134111</v>
      </c>
      <c r="AC75" s="155">
        <f t="shared" si="205"/>
        <v>97.47274696298777</v>
      </c>
      <c r="AD75" s="155">
        <f t="shared" si="205"/>
        <v>105.11766829341818</v>
      </c>
      <c r="AE75" s="155">
        <f t="shared" si="205"/>
        <v>113.36219129682354</v>
      </c>
      <c r="AF75" s="137">
        <f t="shared" si="191"/>
        <v>9.9795867992430454E-2</v>
      </c>
      <c r="AG75" s="31">
        <f t="shared" si="16"/>
        <v>0.05</v>
      </c>
      <c r="AH75" s="145">
        <f t="shared" si="192"/>
        <v>700.17824036273373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06">G10/G57</f>
        <v>22.222222222222221</v>
      </c>
      <c r="H76" s="143">
        <f t="shared" si="206"/>
        <v>24.603174603174605</v>
      </c>
      <c r="I76" s="143">
        <f t="shared" ref="I76:R76" si="207">I10/I57</f>
        <v>2.219579865239794</v>
      </c>
      <c r="J76" s="143">
        <f t="shared" si="207"/>
        <v>5.7471264367816088</v>
      </c>
      <c r="K76" s="143">
        <f t="shared" si="207"/>
        <v>20.790513833992094</v>
      </c>
      <c r="L76" s="143">
        <f t="shared" si="207"/>
        <v>24.071146245059289</v>
      </c>
      <c r="M76" s="143">
        <f t="shared" si="207"/>
        <v>9.2471843509187917</v>
      </c>
      <c r="N76" s="143">
        <f t="shared" si="207"/>
        <v>6.6192452084568272</v>
      </c>
      <c r="O76" s="143">
        <f t="shared" si="207"/>
        <v>2.9156816390858946</v>
      </c>
      <c r="P76" s="143">
        <f t="shared" si="207"/>
        <v>0.99492781896215376</v>
      </c>
      <c r="Q76" s="143">
        <f t="shared" si="207"/>
        <v>0.89738587592664854</v>
      </c>
      <c r="R76" s="143">
        <f t="shared" si="207"/>
        <v>1.1314865392118612</v>
      </c>
      <c r="S76" s="143">
        <f t="shared" ref="S76" si="208">S10/S57</f>
        <v>1.6387046429964887</v>
      </c>
      <c r="T76" s="118">
        <f t="shared" si="180"/>
        <v>-0.19528375893435579</v>
      </c>
      <c r="U76" s="128"/>
      <c r="V76" s="155">
        <f t="shared" ref="V76:AE76" si="209">V10/V57</f>
        <v>1.7672304973491544</v>
      </c>
      <c r="W76" s="155">
        <f t="shared" si="209"/>
        <v>1.9058368108667354</v>
      </c>
      <c r="X76" s="155">
        <f t="shared" si="209"/>
        <v>2.0553142077974602</v>
      </c>
      <c r="Y76" s="155">
        <f t="shared" si="209"/>
        <v>2.2165153221345157</v>
      </c>
      <c r="Z76" s="155">
        <f t="shared" si="209"/>
        <v>2.3903596611254585</v>
      </c>
      <c r="AA76" s="155">
        <f t="shared" si="209"/>
        <v>2.5778388502333374</v>
      </c>
      <c r="AB76" s="155">
        <f t="shared" si="209"/>
        <v>2.7800222894673245</v>
      </c>
      <c r="AC76" s="155">
        <f t="shared" si="209"/>
        <v>2.998063253347115</v>
      </c>
      <c r="AD76" s="155">
        <f t="shared" si="209"/>
        <v>3.2332054692959087</v>
      </c>
      <c r="AE76" s="155">
        <f t="shared" si="209"/>
        <v>3.4867902119857841</v>
      </c>
      <c r="AF76" s="137">
        <f t="shared" si="191"/>
        <v>2.1740753797896195E-2</v>
      </c>
      <c r="AG76" s="31">
        <f t="shared" si="16"/>
        <v>0.05</v>
      </c>
      <c r="AH76" s="145">
        <f t="shared" si="192"/>
        <v>21.536057191676903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10">(G7-G10)/G57</f>
        <v>102.77777777777777</v>
      </c>
      <c r="H78" s="143">
        <f t="shared" si="210"/>
        <v>118.65079365079364</v>
      </c>
      <c r="I78" s="143">
        <f t="shared" ref="I78:R78" si="211">(I7-I10)/I57</f>
        <v>14.149821640903685</v>
      </c>
      <c r="J78" s="143">
        <f t="shared" si="211"/>
        <v>13.277843836702338</v>
      </c>
      <c r="K78" s="143">
        <f t="shared" si="211"/>
        <v>3.7154150197628457</v>
      </c>
      <c r="L78" s="143">
        <f t="shared" si="211"/>
        <v>0.98814229249011853</v>
      </c>
      <c r="M78" s="143">
        <f t="shared" si="211"/>
        <v>7.9826121319897254</v>
      </c>
      <c r="N78" s="143">
        <f t="shared" si="211"/>
        <v>14.799446749654219</v>
      </c>
      <c r="O78" s="143">
        <f t="shared" si="211"/>
        <v>23.207249802994486</v>
      </c>
      <c r="P78" s="143">
        <f t="shared" si="211"/>
        <v>31.213421771361688</v>
      </c>
      <c r="Q78" s="143">
        <f t="shared" si="211"/>
        <v>37.18298868513461</v>
      </c>
      <c r="R78" s="143">
        <f t="shared" si="211"/>
        <v>43.152555598907533</v>
      </c>
      <c r="S78" s="143">
        <f t="shared" ref="S78" si="212">(S7-S10)/S57</f>
        <v>52.633632461958648</v>
      </c>
      <c r="T78" s="118">
        <f t="shared" si="180"/>
        <v>-5.4241303687608378E-2</v>
      </c>
      <c r="U78" s="128"/>
      <c r="V78" s="155">
        <f t="shared" ref="V78:AE78" si="213">(V7-V10)/V57</f>
        <v>56.761760498190704</v>
      </c>
      <c r="W78" s="155">
        <f t="shared" si="213"/>
        <v>61.213663282362532</v>
      </c>
      <c r="X78" s="155">
        <f t="shared" si="213"/>
        <v>66.014734912351756</v>
      </c>
      <c r="Y78" s="155">
        <f t="shared" si="213"/>
        <v>71.192361179987202</v>
      </c>
      <c r="Z78" s="155">
        <f t="shared" si="213"/>
        <v>76.776075782339134</v>
      </c>
      <c r="AA78" s="155">
        <f t="shared" si="213"/>
        <v>82.797728784875545</v>
      </c>
      <c r="AB78" s="155">
        <f t="shared" si="213"/>
        <v>89.291668297414816</v>
      </c>
      <c r="AC78" s="155">
        <f t="shared" si="213"/>
        <v>96.29493639917284</v>
      </c>
      <c r="AD78" s="155">
        <f t="shared" si="213"/>
        <v>103.84748043048052</v>
      </c>
      <c r="AE78" s="155">
        <f t="shared" si="213"/>
        <v>111.99238085640056</v>
      </c>
      <c r="AF78" s="137">
        <f t="shared" si="191"/>
        <v>0.10352642865692507</v>
      </c>
      <c r="AG78" s="31">
        <f t="shared" si="16"/>
        <v>0.05</v>
      </c>
      <c r="AH78" s="145">
        <f t="shared" si="192"/>
        <v>691.71764646600354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14">(G7-G10-G9)/G57</f>
        <v>69.047619047619051</v>
      </c>
      <c r="H79" s="143">
        <f t="shared" si="214"/>
        <v>74.206349206349202</v>
      </c>
      <c r="I79" s="143">
        <f t="shared" ref="I79:R79" si="215">(I7-I10-I9)/I57</f>
        <v>8.878319460959176</v>
      </c>
      <c r="J79" s="143">
        <f t="shared" si="215"/>
        <v>5.4696789536266346</v>
      </c>
      <c r="K79" s="143">
        <f t="shared" si="215"/>
        <v>-6.6798418972332012</v>
      </c>
      <c r="L79" s="143">
        <f t="shared" si="215"/>
        <v>-11.818181818181818</v>
      </c>
      <c r="M79" s="143">
        <f t="shared" si="215"/>
        <v>-0.13831258644536654</v>
      </c>
      <c r="N79" s="143">
        <f t="shared" si="215"/>
        <v>4.7223868800632287</v>
      </c>
      <c r="O79" s="143">
        <f t="shared" si="215"/>
        <v>8.47123719464145</v>
      </c>
      <c r="P79" s="143">
        <f t="shared" si="215"/>
        <v>17.694108466640657</v>
      </c>
      <c r="Q79" s="143">
        <f t="shared" si="215"/>
        <v>23.449083105735468</v>
      </c>
      <c r="R79" s="143">
        <f t="shared" si="215"/>
        <v>28.521264143581742</v>
      </c>
      <c r="S79" s="143">
        <f t="shared" ref="S79" si="216">(S7-S10-S9)/S57</f>
        <v>34.841982052282482</v>
      </c>
      <c r="T79" s="118">
        <f t="shared" si="180"/>
        <v>-5.5403833411175385E-2</v>
      </c>
      <c r="U79" s="128"/>
      <c r="V79" s="155">
        <f t="shared" ref="V79:AE79" si="217">(V7-V10-V9)/V57</f>
        <v>37.574686526971306</v>
      </c>
      <c r="W79" s="155">
        <f t="shared" si="217"/>
        <v>40.521720764380831</v>
      </c>
      <c r="X79" s="155">
        <f t="shared" si="217"/>
        <v>43.699894941979331</v>
      </c>
      <c r="Y79" s="155">
        <f t="shared" si="217"/>
        <v>47.127337682526736</v>
      </c>
      <c r="Z79" s="155">
        <f t="shared" si="217"/>
        <v>50.823599461548447</v>
      </c>
      <c r="AA79" s="155">
        <f t="shared" si="217"/>
        <v>54.809764125199315</v>
      </c>
      <c r="AB79" s="155">
        <f t="shared" si="217"/>
        <v>59.108569154626707</v>
      </c>
      <c r="AC79" s="155">
        <f t="shared" si="217"/>
        <v>63.744535362832728</v>
      </c>
      <c r="AD79" s="155">
        <f t="shared" si="217"/>
        <v>68.744106763839213</v>
      </c>
      <c r="AE79" s="155">
        <f t="shared" si="217"/>
        <v>74.135801411983465</v>
      </c>
      <c r="AF79" s="137">
        <f t="shared" si="191"/>
        <v>0.10634440467268091</v>
      </c>
      <c r="AG79" s="31">
        <f t="shared" si="16"/>
        <v>0.05</v>
      </c>
      <c r="AH79" s="145">
        <f t="shared" si="192"/>
        <v>457.89759695636855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18">(G7+G15-G10-G9)/G57</f>
        <v>152.18253968253967</v>
      </c>
      <c r="H80" s="143">
        <f t="shared" si="218"/>
        <v>175</v>
      </c>
      <c r="I80" s="143">
        <f t="shared" ref="I80:R80" si="219">(I7+I15-I10-I9)/I57</f>
        <v>20.134760206103845</v>
      </c>
      <c r="J80" s="143">
        <f t="shared" si="219"/>
        <v>21.997621878715815</v>
      </c>
      <c r="K80" s="143">
        <f t="shared" si="219"/>
        <v>21.304347826086957</v>
      </c>
      <c r="L80" s="143">
        <f t="shared" si="219"/>
        <v>16.561264822134387</v>
      </c>
      <c r="M80" s="143">
        <f t="shared" si="219"/>
        <v>12.467891721003754</v>
      </c>
      <c r="N80" s="143">
        <f t="shared" si="219"/>
        <v>20.391227030231178</v>
      </c>
      <c r="O80" s="143">
        <f t="shared" si="219"/>
        <v>30.575256107171001</v>
      </c>
      <c r="P80" s="143">
        <f t="shared" si="219"/>
        <v>39.231369488880219</v>
      </c>
      <c r="Q80" s="143">
        <f t="shared" si="219"/>
        <v>48.829496683573936</v>
      </c>
      <c r="R80" s="143">
        <f t="shared" si="219"/>
        <v>54.135778384705425</v>
      </c>
      <c r="S80" s="143">
        <f t="shared" ref="S80" si="220">(S7+S15-S10-S9)/S57</f>
        <v>63.909481076863052</v>
      </c>
      <c r="T80" s="118">
        <f t="shared" si="180"/>
        <v>-6.9749228991587309E-2</v>
      </c>
      <c r="U80" s="128"/>
      <c r="V80" s="155">
        <f t="shared" ref="V80:AE80" si="221">(V7+V15-V10-V9)/V57</f>
        <v>68.92198939661705</v>
      </c>
      <c r="W80" s="155">
        <f t="shared" si="221"/>
        <v>74.327635623802664</v>
      </c>
      <c r="X80" s="155">
        <f t="shared" si="221"/>
        <v>80.157254104100929</v>
      </c>
      <c r="Y80" s="155">
        <f t="shared" si="221"/>
        <v>86.444097563246117</v>
      </c>
      <c r="Z80" s="155">
        <f t="shared" si="221"/>
        <v>93.224026783892896</v>
      </c>
      <c r="AA80" s="155">
        <f t="shared" si="221"/>
        <v>100.53571515910018</v>
      </c>
      <c r="AB80" s="155">
        <f t="shared" si="221"/>
        <v>108.42086928922568</v>
      </c>
      <c r="AC80" s="155">
        <f t="shared" si="221"/>
        <v>116.92446688053751</v>
      </c>
      <c r="AD80" s="155">
        <f t="shared" si="221"/>
        <v>126.09501330254048</v>
      </c>
      <c r="AE80" s="155">
        <f t="shared" si="221"/>
        <v>135.98481826744558</v>
      </c>
      <c r="AF80" s="137">
        <f t="shared" si="191"/>
        <v>9.5221834821550333E-2</v>
      </c>
      <c r="AG80" s="31">
        <f t="shared" si="16"/>
        <v>0.05</v>
      </c>
      <c r="AH80" s="145">
        <f t="shared" si="192"/>
        <v>839.90623047539918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22">G12/G57</f>
        <v>2.9761904761904763</v>
      </c>
      <c r="H82" s="143">
        <f t="shared" si="222"/>
        <v>5.5555555555555554</v>
      </c>
      <c r="I82" s="143">
        <f t="shared" ref="I82:R82" si="223">I12/I57</f>
        <v>0.63416567578279825</v>
      </c>
      <c r="J82" s="143">
        <f t="shared" si="223"/>
        <v>1.5061434799841458</v>
      </c>
      <c r="K82" s="143">
        <f t="shared" si="223"/>
        <v>6.7984189723320156</v>
      </c>
      <c r="L82" s="143">
        <f t="shared" si="223"/>
        <v>6.2845849802371543</v>
      </c>
      <c r="M82" s="143">
        <f t="shared" si="223"/>
        <v>0.88915234143449917</v>
      </c>
      <c r="N82" s="143">
        <f t="shared" si="223"/>
        <v>2.0351709148389645</v>
      </c>
      <c r="O82" s="143">
        <f t="shared" si="223"/>
        <v>5.378250591016549</v>
      </c>
      <c r="P82" s="143">
        <f t="shared" si="223"/>
        <v>2.9457666796722592</v>
      </c>
      <c r="Q82" s="143">
        <f t="shared" si="223"/>
        <v>3.4529847834568868</v>
      </c>
      <c r="R82" s="143">
        <f t="shared" si="223"/>
        <v>1.6777214202106907</v>
      </c>
      <c r="S82" s="143">
        <f t="shared" ref="S82" si="224">S12/S57</f>
        <v>2.5751072961373391</v>
      </c>
      <c r="T82" s="118">
        <f t="shared" si="180"/>
        <v>-1.1990279889400379E-2</v>
      </c>
      <c r="U82" s="128"/>
      <c r="V82" s="155">
        <f t="shared" ref="V82:AE82" si="225">V12/V57</f>
        <v>2.7770764958343856</v>
      </c>
      <c r="W82" s="155">
        <f t="shared" si="225"/>
        <v>2.9948864170762985</v>
      </c>
      <c r="X82" s="155">
        <f t="shared" si="225"/>
        <v>3.2297794693960085</v>
      </c>
      <c r="Y82" s="155">
        <f t="shared" si="225"/>
        <v>3.4830955062113822</v>
      </c>
      <c r="Z82" s="155">
        <f t="shared" si="225"/>
        <v>3.7562794674828632</v>
      </c>
      <c r="AA82" s="155">
        <f t="shared" si="225"/>
        <v>4.0508896217952453</v>
      </c>
      <c r="AB82" s="155">
        <f t="shared" si="225"/>
        <v>4.3686064548772254</v>
      </c>
      <c r="AC82" s="155">
        <f t="shared" si="225"/>
        <v>4.7112422552597533</v>
      </c>
      <c r="AD82" s="155">
        <f t="shared" si="225"/>
        <v>5.0807514517507135</v>
      </c>
      <c r="AE82" s="155">
        <f t="shared" si="225"/>
        <v>5.4792417616919469</v>
      </c>
      <c r="AF82" s="137">
        <f t="shared" si="191"/>
        <v>0.10814370173922971</v>
      </c>
      <c r="AG82" s="31">
        <f t="shared" si="16"/>
        <v>0.05</v>
      </c>
      <c r="AH82" s="145">
        <f t="shared" si="192"/>
        <v>33.842375586920852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26">G13/G57</f>
        <v>7.5396825396825395</v>
      </c>
      <c r="H83" s="143">
        <f t="shared" si="226"/>
        <v>7.5396825396825395</v>
      </c>
      <c r="I83" s="143">
        <f t="shared" ref="I83:R83" si="227">I13/I57</f>
        <v>0.63416567578279825</v>
      </c>
      <c r="J83" s="143">
        <f t="shared" si="227"/>
        <v>0.63416567578279825</v>
      </c>
      <c r="K83" s="143">
        <f t="shared" si="227"/>
        <v>0.12806324110671938</v>
      </c>
      <c r="L83" s="143">
        <f t="shared" si="227"/>
        <v>1.0276679841897234</v>
      </c>
      <c r="M83" s="143">
        <f t="shared" si="227"/>
        <v>5.2953961667654612</v>
      </c>
      <c r="N83" s="143">
        <f t="shared" si="227"/>
        <v>3.35901995653033</v>
      </c>
      <c r="O83" s="143">
        <f t="shared" si="227"/>
        <v>1.9306540583136329</v>
      </c>
      <c r="P83" s="143">
        <f t="shared" si="227"/>
        <v>5.7159578618806091</v>
      </c>
      <c r="Q83" s="143">
        <f t="shared" si="227"/>
        <v>5.0721810378462742</v>
      </c>
      <c r="R83" s="143">
        <f t="shared" si="227"/>
        <v>7.0230198985563792</v>
      </c>
      <c r="S83" s="143">
        <f t="shared" ref="S83" si="228">S13/S57</f>
        <v>12.660944206008585</v>
      </c>
      <c r="T83" s="118">
        <f t="shared" si="180"/>
        <v>4.4141649488776302E-2</v>
      </c>
      <c r="U83" s="128"/>
      <c r="V83" s="155">
        <f t="shared" ref="V83:AE83" si="229">V13/V57</f>
        <v>13.653959437852397</v>
      </c>
      <c r="W83" s="155">
        <f t="shared" si="229"/>
        <v>14.724858217291802</v>
      </c>
      <c r="X83" s="155">
        <f t="shared" si="229"/>
        <v>15.879749057863711</v>
      </c>
      <c r="Y83" s="155">
        <f t="shared" si="229"/>
        <v>17.125219572205964</v>
      </c>
      <c r="Z83" s="155">
        <f t="shared" si="229"/>
        <v>18.468374048457413</v>
      </c>
      <c r="AA83" s="155">
        <f t="shared" si="229"/>
        <v>19.916873973826622</v>
      </c>
      <c r="AB83" s="155">
        <f t="shared" si="229"/>
        <v>21.478981736479692</v>
      </c>
      <c r="AC83" s="155">
        <f t="shared" si="229"/>
        <v>23.163607755027119</v>
      </c>
      <c r="AD83" s="155">
        <f t="shared" si="229"/>
        <v>24.980361304441015</v>
      </c>
      <c r="AE83" s="155">
        <f t="shared" si="229"/>
        <v>26.939605328318745</v>
      </c>
      <c r="AF83" s="137">
        <f t="shared" si="191"/>
        <v>0.19545376891765831</v>
      </c>
      <c r="AG83" s="31">
        <f t="shared" si="16"/>
        <v>0.05</v>
      </c>
      <c r="AH83" s="145">
        <f t="shared" si="192"/>
        <v>166.39167996902756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30">(G82+G83)</f>
        <v>10.515873015873016</v>
      </c>
      <c r="H84" s="143">
        <f t="shared" si="230"/>
        <v>13.095238095238095</v>
      </c>
      <c r="I84" s="143">
        <f t="shared" ref="I84:R84" si="231">(I82+I83)</f>
        <v>1.2683313515655965</v>
      </c>
      <c r="J84" s="143">
        <f t="shared" si="231"/>
        <v>2.140309155766944</v>
      </c>
      <c r="K84" s="143">
        <f t="shared" si="231"/>
        <v>6.9264822134387352</v>
      </c>
      <c r="L84" s="143">
        <f t="shared" si="231"/>
        <v>7.3122529644268779</v>
      </c>
      <c r="M84" s="143">
        <f t="shared" si="231"/>
        <v>6.1845485081999607</v>
      </c>
      <c r="N84" s="143">
        <f t="shared" si="231"/>
        <v>5.394190871369295</v>
      </c>
      <c r="O84" s="143">
        <f t="shared" si="231"/>
        <v>7.3089046493301817</v>
      </c>
      <c r="P84" s="143">
        <f t="shared" si="231"/>
        <v>8.6617245415528679</v>
      </c>
      <c r="Q84" s="143">
        <f t="shared" ref="Q84" si="232">(Q82+Q83)</f>
        <v>8.5251658213031618</v>
      </c>
      <c r="R84" s="143">
        <f t="shared" si="231"/>
        <v>8.7007413187670704</v>
      </c>
      <c r="S84" s="143">
        <f t="shared" ref="S84" si="233">(S82+S83)</f>
        <v>15.236051502145925</v>
      </c>
      <c r="T84" s="118">
        <f t="shared" si="180"/>
        <v>3.1380520976022064E-2</v>
      </c>
      <c r="U84" s="128"/>
      <c r="V84" s="155">
        <f t="shared" ref="V84:AE84" si="234">(V82+V83)</f>
        <v>16.431035933686783</v>
      </c>
      <c r="W84" s="155">
        <f t="shared" si="234"/>
        <v>17.719744634368102</v>
      </c>
      <c r="X84" s="155">
        <f t="shared" si="234"/>
        <v>19.10952852725972</v>
      </c>
      <c r="Y84" s="155">
        <f t="shared" si="234"/>
        <v>20.608315078417345</v>
      </c>
      <c r="Z84" s="155">
        <f t="shared" si="234"/>
        <v>22.224653515940275</v>
      </c>
      <c r="AA84" s="155">
        <f t="shared" si="234"/>
        <v>23.967763595621868</v>
      </c>
      <c r="AB84" s="155">
        <f t="shared" si="234"/>
        <v>25.84758819135692</v>
      </c>
      <c r="AC84" s="155">
        <f t="shared" si="234"/>
        <v>27.87485001028687</v>
      </c>
      <c r="AD84" s="155">
        <f t="shared" si="234"/>
        <v>30.061112756191729</v>
      </c>
      <c r="AE84" s="155">
        <f t="shared" si="234"/>
        <v>32.418847090010694</v>
      </c>
      <c r="AF84" s="137">
        <f t="shared" si="191"/>
        <v>0.16688188304072527</v>
      </c>
      <c r="AG84" s="31">
        <f t="shared" si="16"/>
        <v>0.05</v>
      </c>
      <c r="AH84" s="145">
        <f t="shared" si="192"/>
        <v>200.23405555594843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35">G15/G57</f>
        <v>83.134920634920633</v>
      </c>
      <c r="H85" s="143">
        <f t="shared" si="235"/>
        <v>100.7936507936508</v>
      </c>
      <c r="I85" s="143">
        <f t="shared" ref="I85:R85" si="236">I15/I57</f>
        <v>11.256440745144669</v>
      </c>
      <c r="J85" s="143">
        <f t="shared" si="236"/>
        <v>16.527942925089178</v>
      </c>
      <c r="K85" s="143">
        <f t="shared" si="236"/>
        <v>27.984189723320156</v>
      </c>
      <c r="L85" s="143">
        <f t="shared" si="236"/>
        <v>28.379446640316203</v>
      </c>
      <c r="M85" s="143">
        <f t="shared" si="236"/>
        <v>12.60620430744912</v>
      </c>
      <c r="N85" s="143">
        <f t="shared" si="236"/>
        <v>15.66884015016795</v>
      </c>
      <c r="O85" s="143">
        <f t="shared" si="236"/>
        <v>22.104018912529551</v>
      </c>
      <c r="P85" s="143">
        <f t="shared" si="236"/>
        <v>21.537261022239562</v>
      </c>
      <c r="Q85" s="143">
        <f t="shared" si="236"/>
        <v>25.380413577838471</v>
      </c>
      <c r="R85" s="143">
        <f t="shared" si="236"/>
        <v>25.614514241123683</v>
      </c>
      <c r="S85" s="143">
        <f t="shared" ref="S85" si="237">S15/S57</f>
        <v>29.06749902458057</v>
      </c>
      <c r="T85" s="118">
        <f t="shared" si="180"/>
        <v>-8.3845579013132721E-2</v>
      </c>
      <c r="U85" s="128"/>
      <c r="V85" s="155">
        <f t="shared" ref="V85:AE85" si="238">V15/V57</f>
        <v>31.34730286964572</v>
      </c>
      <c r="W85" s="155">
        <f t="shared" si="238"/>
        <v>33.805914859421854</v>
      </c>
      <c r="X85" s="155">
        <f t="shared" si="238"/>
        <v>36.457359162121612</v>
      </c>
      <c r="Y85" s="155">
        <f t="shared" si="238"/>
        <v>39.316759880719395</v>
      </c>
      <c r="Z85" s="155">
        <f t="shared" si="238"/>
        <v>42.400427322344441</v>
      </c>
      <c r="AA85" s="155">
        <f t="shared" si="238"/>
        <v>45.72595103390087</v>
      </c>
      <c r="AB85" s="155">
        <f t="shared" si="238"/>
        <v>49.312300134598978</v>
      </c>
      <c r="AC85" s="155">
        <f t="shared" si="238"/>
        <v>53.17993151770478</v>
      </c>
      <c r="AD85" s="155">
        <f t="shared" si="238"/>
        <v>57.350906538701238</v>
      </c>
      <c r="AE85" s="155">
        <f t="shared" si="238"/>
        <v>61.849016855462125</v>
      </c>
      <c r="AF85" s="137">
        <f t="shared" si="191"/>
        <v>8.4513202607578997E-2</v>
      </c>
      <c r="AG85" s="31">
        <f t="shared" si="16"/>
        <v>0.05</v>
      </c>
      <c r="AH85" s="145">
        <f t="shared" si="192"/>
        <v>382.00863351903081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239">G16/G57</f>
        <v>52.38095238095238</v>
      </c>
      <c r="H86" s="143">
        <f t="shared" si="239"/>
        <v>57.539682539682538</v>
      </c>
      <c r="I86" s="143">
        <f t="shared" ref="I86:R86" si="240">I16/I57</f>
        <v>5.8263971462544593</v>
      </c>
      <c r="J86" s="143">
        <f t="shared" si="240"/>
        <v>8.878319460959176</v>
      </c>
      <c r="K86" s="143">
        <f t="shared" si="240"/>
        <v>18.853754940711461</v>
      </c>
      <c r="L86" s="143">
        <f t="shared" si="240"/>
        <v>17.588932806324109</v>
      </c>
      <c r="M86" s="143">
        <f t="shared" si="240"/>
        <v>4.6235921754593958</v>
      </c>
      <c r="N86" s="143">
        <f t="shared" si="240"/>
        <v>6.6390041493775938</v>
      </c>
      <c r="O86" s="143">
        <f t="shared" si="240"/>
        <v>7.1907013396375099</v>
      </c>
      <c r="P86" s="143">
        <f t="shared" si="240"/>
        <v>6.5353101833788534</v>
      </c>
      <c r="Q86" s="143">
        <f t="shared" si="240"/>
        <v>10.827155676941086</v>
      </c>
      <c r="R86" s="143">
        <f t="shared" si="240"/>
        <v>10.417479516191962</v>
      </c>
      <c r="S86" s="143">
        <f t="shared" ref="S86" si="241">S16/S57</f>
        <v>14.241123683183769</v>
      </c>
      <c r="T86" s="118">
        <f t="shared" si="180"/>
        <v>-0.10285169904909641</v>
      </c>
      <c r="U86" s="128"/>
      <c r="V86" s="155">
        <f t="shared" ref="V86:AE86" si="242">V16/V57</f>
        <v>15.358074560296226</v>
      </c>
      <c r="W86" s="155">
        <f t="shared" si="242"/>
        <v>16.562629427770439</v>
      </c>
      <c r="X86" s="155">
        <f t="shared" si="242"/>
        <v>17.861659186811259</v>
      </c>
      <c r="Y86" s="155">
        <f t="shared" si="242"/>
        <v>19.262573632835675</v>
      </c>
      <c r="Z86" s="155">
        <f t="shared" si="242"/>
        <v>20.773363721685531</v>
      </c>
      <c r="AA86" s="155">
        <f t="shared" si="242"/>
        <v>22.402647150837335</v>
      </c>
      <c r="AB86" s="155">
        <f t="shared" si="242"/>
        <v>24.159717515608893</v>
      </c>
      <c r="AC86" s="155">
        <f t="shared" si="242"/>
        <v>26.054597320754688</v>
      </c>
      <c r="AD86" s="155">
        <f t="shared" si="242"/>
        <v>28.098095149833487</v>
      </c>
      <c r="AE86" s="155">
        <f t="shared" si="242"/>
        <v>30.301867318447883</v>
      </c>
      <c r="AF86" s="137">
        <f t="shared" si="191"/>
        <v>8.1679349175309168E-2</v>
      </c>
      <c r="AG86" s="136"/>
      <c r="AH86" s="145">
        <f t="shared" si="192"/>
        <v>137.73576053839946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6"/>
        <v>0.05</v>
      </c>
      <c r="AH87" s="145">
        <f t="shared" si="192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243">G59</f>
        <v>8</v>
      </c>
      <c r="H88" s="157">
        <f t="shared" si="243"/>
        <v>8</v>
      </c>
      <c r="I88" s="157">
        <f t="shared" ref="I88:R88" si="244">I59</f>
        <v>1.25</v>
      </c>
      <c r="J88" s="157">
        <f t="shared" si="244"/>
        <v>1.5</v>
      </c>
      <c r="K88" s="157">
        <f t="shared" si="244"/>
        <v>1.75</v>
      </c>
      <c r="L88" s="157">
        <f t="shared" si="244"/>
        <v>1.75</v>
      </c>
      <c r="M88" s="157">
        <f t="shared" si="244"/>
        <v>1.5</v>
      </c>
      <c r="N88" s="157">
        <f t="shared" si="244"/>
        <v>1.75</v>
      </c>
      <c r="O88" s="157">
        <f t="shared" si="244"/>
        <v>1.9</v>
      </c>
      <c r="P88" s="157">
        <f t="shared" si="244"/>
        <v>2.6</v>
      </c>
      <c r="Q88" s="157">
        <f t="shared" si="244"/>
        <v>2.7</v>
      </c>
      <c r="R88" s="157">
        <f t="shared" si="244"/>
        <v>2.9</v>
      </c>
      <c r="S88" s="157">
        <f t="shared" ref="S88" si="245">S59</f>
        <v>4.1500000000000004</v>
      </c>
      <c r="T88" s="118">
        <f t="shared" si="180"/>
        <v>-5.3225594129960307E-2</v>
      </c>
      <c r="U88" s="128"/>
      <c r="V88" s="157">
        <f t="shared" ref="V88:AE88" si="246">V59</f>
        <v>4.3575000000000008</v>
      </c>
      <c r="W88" s="157">
        <f t="shared" si="246"/>
        <v>4.5753750000000011</v>
      </c>
      <c r="X88" s="157">
        <f t="shared" si="246"/>
        <v>4.8041437500000015</v>
      </c>
      <c r="Y88" s="157">
        <f t="shared" si="246"/>
        <v>5.0443509375000017</v>
      </c>
      <c r="Z88" s="157">
        <f t="shared" si="246"/>
        <v>5.2965684843750021</v>
      </c>
      <c r="AA88" s="157">
        <f t="shared" si="246"/>
        <v>5.5613969085937525</v>
      </c>
      <c r="AB88" s="157">
        <f t="shared" si="246"/>
        <v>5.83946675402344</v>
      </c>
      <c r="AC88" s="157">
        <f t="shared" si="246"/>
        <v>6.1314400917246124</v>
      </c>
      <c r="AD88" s="157">
        <f t="shared" si="246"/>
        <v>6.4380120963108434</v>
      </c>
      <c r="AE88" s="157">
        <f t="shared" si="246"/>
        <v>6.7599127011263862</v>
      </c>
      <c r="AF88" s="137">
        <f t="shared" ref="AF88" si="247">((AE88/I88)^(1/($AE$3-$J$1) ))-1</f>
        <v>8.3692933975972661E-2</v>
      </c>
      <c r="AG88" s="31">
        <f t="shared" si="16"/>
        <v>0.05</v>
      </c>
      <c r="AH88" s="145">
        <f t="shared" si="192"/>
        <v>41.752401977545333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313</v>
      </c>
      <c r="C90" s="127"/>
      <c r="D90" s="127"/>
      <c r="E90" s="127"/>
      <c r="F90" s="127"/>
      <c r="G90" s="143">
        <f t="shared" ref="G90:H90" si="248">G20+G21</f>
        <v>7</v>
      </c>
      <c r="H90" s="143">
        <f t="shared" si="248"/>
        <v>22</v>
      </c>
      <c r="I90" s="143">
        <f t="shared" ref="I90:R90" si="249">I20+I21</f>
        <v>35</v>
      </c>
      <c r="J90" s="143">
        <f t="shared" si="249"/>
        <v>-36</v>
      </c>
      <c r="K90" s="143">
        <f t="shared" si="249"/>
        <v>-162</v>
      </c>
      <c r="L90" s="143">
        <f t="shared" si="249"/>
        <v>32</v>
      </c>
      <c r="M90" s="143">
        <f t="shared" si="249"/>
        <v>67</v>
      </c>
      <c r="N90" s="143">
        <f t="shared" si="249"/>
        <v>285</v>
      </c>
      <c r="O90" s="143">
        <f t="shared" si="249"/>
        <v>276</v>
      </c>
      <c r="P90" s="143">
        <f t="shared" si="249"/>
        <v>316</v>
      </c>
      <c r="Q90" s="143">
        <f t="shared" si="249"/>
        <v>258</v>
      </c>
      <c r="R90" s="143">
        <f t="shared" si="249"/>
        <v>129</v>
      </c>
      <c r="S90" s="143">
        <f t="shared" ref="S90" si="250">S20+S21</f>
        <v>438</v>
      </c>
      <c r="T90" s="118">
        <f t="shared" si="180"/>
        <v>0.41155565381140113</v>
      </c>
      <c r="U90" s="128"/>
      <c r="V90" s="143">
        <f t="shared" ref="V90:AE90" si="251">V20+V21</f>
        <v>481.79999999999995</v>
      </c>
      <c r="W90" s="143">
        <f t="shared" si="251"/>
        <v>529.9799999999999</v>
      </c>
      <c r="X90" s="143">
        <f t="shared" si="251"/>
        <v>582.97799999999995</v>
      </c>
      <c r="Y90" s="143">
        <f t="shared" si="251"/>
        <v>641.27579999999989</v>
      </c>
      <c r="Z90" s="143">
        <f t="shared" si="251"/>
        <v>705.40337999999997</v>
      </c>
      <c r="AA90" s="143">
        <f t="shared" si="251"/>
        <v>775.9437180000001</v>
      </c>
      <c r="AB90" s="143">
        <f t="shared" si="251"/>
        <v>853.53808980000031</v>
      </c>
      <c r="AC90" s="143">
        <f t="shared" si="251"/>
        <v>938.89189878000036</v>
      </c>
      <c r="AD90" s="143">
        <f t="shared" si="251"/>
        <v>1032.7810886580003</v>
      </c>
      <c r="AE90" s="143">
        <f t="shared" si="251"/>
        <v>1136.0591975238003</v>
      </c>
      <c r="AF90" s="137">
        <f t="shared" ref="AF90:AF95" si="252">((AE90/I90)^(1/($AE$3-$J$1) ))-1</f>
        <v>0.18023430601664803</v>
      </c>
      <c r="AG90" s="31">
        <f t="shared" si="16"/>
        <v>0.05</v>
      </c>
      <c r="AH90" s="145">
        <f t="shared" si="192"/>
        <v>7016.8362199999438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314</v>
      </c>
      <c r="C92" s="127"/>
      <c r="D92" s="127"/>
      <c r="E92" s="127"/>
      <c r="F92" s="127"/>
      <c r="G92" s="143">
        <f t="shared" ref="G92:H92" si="253">G90/G57</f>
        <v>2.7777777777777777</v>
      </c>
      <c r="H92" s="143">
        <f t="shared" si="253"/>
        <v>8.7301587301587293</v>
      </c>
      <c r="I92" s="143">
        <f t="shared" ref="I92:R92" si="254">I90/I57</f>
        <v>1.3872374157748713</v>
      </c>
      <c r="J92" s="143">
        <f t="shared" si="254"/>
        <v>-1.426872770511296</v>
      </c>
      <c r="K92" s="143">
        <f t="shared" si="254"/>
        <v>-6.4031620553359678</v>
      </c>
      <c r="L92" s="143">
        <f t="shared" si="254"/>
        <v>1.2648221343873518</v>
      </c>
      <c r="M92" s="143">
        <f t="shared" si="254"/>
        <v>1.3238490416913653</v>
      </c>
      <c r="N92" s="143">
        <f t="shared" si="254"/>
        <v>5.6312981624184948</v>
      </c>
      <c r="O92" s="143">
        <f t="shared" si="254"/>
        <v>5.4373522458628845</v>
      </c>
      <c r="P92" s="143">
        <f t="shared" si="254"/>
        <v>6.1646507998439333</v>
      </c>
      <c r="Q92" s="143">
        <f t="shared" si="254"/>
        <v>5.0331642606320717</v>
      </c>
      <c r="R92" s="143">
        <f t="shared" si="254"/>
        <v>2.5165821303160358</v>
      </c>
      <c r="S92" s="143">
        <f t="shared" ref="S92" si="255">S90/S57</f>
        <v>8.5446742099102622</v>
      </c>
      <c r="T92" s="118">
        <f t="shared" si="180"/>
        <v>9.8162225457660179E-2</v>
      </c>
      <c r="U92" s="128"/>
      <c r="V92" s="145">
        <f t="shared" ref="V92:AE92" si="256">V90/V57</f>
        <v>9.2148447361777333</v>
      </c>
      <c r="W92" s="145">
        <f t="shared" si="256"/>
        <v>9.9375776566622598</v>
      </c>
      <c r="X92" s="145">
        <f t="shared" si="256"/>
        <v>10.716995512086752</v>
      </c>
      <c r="Y92" s="145">
        <f t="shared" si="256"/>
        <v>11.557544179701399</v>
      </c>
      <c r="Z92" s="145">
        <f t="shared" si="256"/>
        <v>12.464018233011313</v>
      </c>
      <c r="AA92" s="145">
        <f t="shared" si="256"/>
        <v>13.441588290502398</v>
      </c>
      <c r="AB92" s="145">
        <f t="shared" si="256"/>
        <v>14.495830509365335</v>
      </c>
      <c r="AC92" s="145">
        <f t="shared" si="256"/>
        <v>15.632758392452812</v>
      </c>
      <c r="AD92" s="145">
        <f t="shared" si="256"/>
        <v>16.858857089900088</v>
      </c>
      <c r="AE92" s="145">
        <f t="shared" si="256"/>
        <v>18.181120391068724</v>
      </c>
      <c r="AF92" s="137">
        <f t="shared" si="252"/>
        <v>0.13034976912937335</v>
      </c>
      <c r="AG92" s="31">
        <f t="shared" si="16"/>
        <v>0.05</v>
      </c>
      <c r="AH92" s="145">
        <f t="shared" si="192"/>
        <v>112.29515535660094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257">G20/G57</f>
        <v>19.047619047619047</v>
      </c>
      <c r="H93" s="143">
        <f t="shared" si="257"/>
        <v>36.507936507936506</v>
      </c>
      <c r="I93" s="143">
        <f t="shared" ref="I93:R93" si="258">I20/I57</f>
        <v>4.439159730479588</v>
      </c>
      <c r="J93" s="143">
        <f t="shared" si="258"/>
        <v>3.5275465715418153</v>
      </c>
      <c r="K93" s="143">
        <f t="shared" si="258"/>
        <v>5.0592885375494072</v>
      </c>
      <c r="L93" s="143">
        <f t="shared" si="258"/>
        <v>10.276679841897232</v>
      </c>
      <c r="M93" s="143">
        <f t="shared" si="258"/>
        <v>8.140683659355858</v>
      </c>
      <c r="N93" s="143">
        <f t="shared" si="258"/>
        <v>6.3623789764868608</v>
      </c>
      <c r="O93" s="143">
        <f t="shared" si="258"/>
        <v>9.9881796690307336</v>
      </c>
      <c r="P93" s="143">
        <f t="shared" si="258"/>
        <v>10.00780335544284</v>
      </c>
      <c r="Q93" s="143">
        <f t="shared" si="258"/>
        <v>7.7643386656262194</v>
      </c>
      <c r="R93" s="143">
        <f t="shared" si="258"/>
        <v>11.178306671868905</v>
      </c>
      <c r="S93" s="143">
        <f t="shared" ref="S93" si="259">S20/S57</f>
        <v>17.694108466640657</v>
      </c>
      <c r="T93" s="118">
        <f t="shared" si="180"/>
        <v>-6.123704903790439E-3</v>
      </c>
      <c r="U93" s="128"/>
      <c r="V93" s="145">
        <f t="shared" ref="V93:AE93" si="260">V20/V57</f>
        <v>19.081881679710513</v>
      </c>
      <c r="W93" s="145">
        <f t="shared" si="260"/>
        <v>20.578499850668198</v>
      </c>
      <c r="X93" s="145">
        <f t="shared" si="260"/>
        <v>22.192499838955904</v>
      </c>
      <c r="Y93" s="145">
        <f t="shared" si="260"/>
        <v>23.933088061619113</v>
      </c>
      <c r="Z93" s="145">
        <f t="shared" si="260"/>
        <v>25.81019300762846</v>
      </c>
      <c r="AA93" s="145">
        <f t="shared" si="260"/>
        <v>27.834521870971869</v>
      </c>
      <c r="AB93" s="145">
        <f t="shared" si="260"/>
        <v>30.017621625557901</v>
      </c>
      <c r="AC93" s="145">
        <f t="shared" si="260"/>
        <v>32.371944890307539</v>
      </c>
      <c r="AD93" s="145">
        <f t="shared" si="260"/>
        <v>34.910920960135584</v>
      </c>
      <c r="AE93" s="145">
        <f t="shared" si="260"/>
        <v>37.649032407989353</v>
      </c>
      <c r="AF93" s="137">
        <f t="shared" si="252"/>
        <v>0.10716423918334539</v>
      </c>
      <c r="AG93" s="31">
        <f t="shared" si="16"/>
        <v>0.05</v>
      </c>
      <c r="AH93" s="145">
        <f t="shared" si="192"/>
        <v>232.53814134346371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261">G21/G57</f>
        <v>-16.269841269841269</v>
      </c>
      <c r="H94" s="143">
        <f t="shared" si="261"/>
        <v>-27.777777777777779</v>
      </c>
      <c r="I94" s="143">
        <f t="shared" ref="I94:R94" si="262">I21/I57</f>
        <v>-3.0519223147047168</v>
      </c>
      <c r="J94" s="143">
        <f t="shared" si="262"/>
        <v>-4.9544193420531109</v>
      </c>
      <c r="K94" s="143">
        <f t="shared" si="262"/>
        <v>-11.462450592885375</v>
      </c>
      <c r="L94" s="143">
        <f t="shared" si="262"/>
        <v>-9.0118577075098809</v>
      </c>
      <c r="M94" s="143">
        <f t="shared" si="262"/>
        <v>-6.8168346176644929</v>
      </c>
      <c r="N94" s="143">
        <f t="shared" si="262"/>
        <v>-0.73108081406836589</v>
      </c>
      <c r="O94" s="143">
        <f t="shared" si="262"/>
        <v>-4.5508274231678492</v>
      </c>
      <c r="P94" s="143">
        <f t="shared" si="262"/>
        <v>-3.8431525555989077</v>
      </c>
      <c r="Q94" s="143">
        <f t="shared" si="262"/>
        <v>-2.7311744049941478</v>
      </c>
      <c r="R94" s="143">
        <f t="shared" si="262"/>
        <v>-8.6617245415528679</v>
      </c>
      <c r="S94" s="143">
        <f t="shared" ref="S94" si="263">S21/S57</f>
        <v>-9.1494342567303946</v>
      </c>
      <c r="T94" s="118">
        <f t="shared" si="180"/>
        <v>-4.6836118651618519E-2</v>
      </c>
      <c r="U94" s="128"/>
      <c r="V94" s="145">
        <f t="shared" ref="V94:AE94" si="264">V21/V57</f>
        <v>-9.8670369435327796</v>
      </c>
      <c r="W94" s="145">
        <f t="shared" si="264"/>
        <v>-10.64092219400594</v>
      </c>
      <c r="X94" s="145">
        <f t="shared" si="264"/>
        <v>-11.475504326869151</v>
      </c>
      <c r="Y94" s="145">
        <f t="shared" si="264"/>
        <v>-12.375543881917714</v>
      </c>
      <c r="Z94" s="145">
        <f t="shared" si="264"/>
        <v>-13.346174774617145</v>
      </c>
      <c r="AA94" s="145">
        <f t="shared" si="264"/>
        <v>-14.392933580469469</v>
      </c>
      <c r="AB94" s="145">
        <f t="shared" si="264"/>
        <v>-15.521791116192565</v>
      </c>
      <c r="AC94" s="145">
        <f t="shared" si="264"/>
        <v>-16.739186497854728</v>
      </c>
      <c r="AD94" s="145">
        <f t="shared" si="264"/>
        <v>-18.052063870235497</v>
      </c>
      <c r="AE94" s="145">
        <f t="shared" si="264"/>
        <v>-19.467912016920632</v>
      </c>
      <c r="AF94" s="137">
        <f t="shared" si="252"/>
        <v>9.2247937602677021E-2</v>
      </c>
      <c r="AG94" s="31">
        <f t="shared" si="16"/>
        <v>0.05</v>
      </c>
      <c r="AH94" s="145">
        <f t="shared" si="192"/>
        <v>-120.24298598686275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265">G22/G57</f>
        <v>-2.7777777777777777</v>
      </c>
      <c r="H95" s="143">
        <f t="shared" si="265"/>
        <v>-7.1428571428571432</v>
      </c>
      <c r="I95" s="143">
        <f t="shared" ref="I95:R95" si="266">I22/I57</f>
        <v>-1.3872374157748713</v>
      </c>
      <c r="J95" s="143">
        <f t="shared" si="266"/>
        <v>1.8628616726119698</v>
      </c>
      <c r="K95" s="143">
        <f t="shared" si="266"/>
        <v>11.383399209486166</v>
      </c>
      <c r="L95" s="143">
        <f t="shared" si="266"/>
        <v>-2.1343873517786562</v>
      </c>
      <c r="M95" s="143">
        <f t="shared" si="266"/>
        <v>-3.1614305473226634</v>
      </c>
      <c r="N95" s="143">
        <f t="shared" si="266"/>
        <v>-4.8606994665085956</v>
      </c>
      <c r="O95" s="143">
        <f t="shared" si="266"/>
        <v>-5.6146572104018917</v>
      </c>
      <c r="P95" s="143">
        <f t="shared" si="266"/>
        <v>-12.192742879438159</v>
      </c>
      <c r="Q95" s="143">
        <f t="shared" si="266"/>
        <v>-4.2918454935622323</v>
      </c>
      <c r="R95" s="143">
        <f t="shared" si="266"/>
        <v>-3.3749512290284822</v>
      </c>
      <c r="S95" s="143">
        <f t="shared" ref="S95" si="267">S22/S57</f>
        <v>-8.0569644947327355</v>
      </c>
      <c r="T95" s="118">
        <f t="shared" si="180"/>
        <v>9.2797004500926317E-2</v>
      </c>
      <c r="U95" s="128"/>
      <c r="V95" s="145">
        <f t="shared" ref="V95:AE95" si="268">V22/V57</f>
        <v>-8.6888832786333428</v>
      </c>
      <c r="W95" s="145">
        <f t="shared" si="268"/>
        <v>-9.370364320094783</v>
      </c>
      <c r="X95" s="145">
        <f t="shared" si="268"/>
        <v>-10.105294855004178</v>
      </c>
      <c r="Y95" s="145">
        <f t="shared" si="268"/>
        <v>-10.897867000494703</v>
      </c>
      <c r="Z95" s="145">
        <f t="shared" si="268"/>
        <v>-11.752601667200169</v>
      </c>
      <c r="AA95" s="145">
        <f t="shared" si="268"/>
        <v>-12.674374346980576</v>
      </c>
      <c r="AB95" s="145">
        <f t="shared" si="268"/>
        <v>-13.668442923214347</v>
      </c>
      <c r="AC95" s="145">
        <f t="shared" si="268"/>
        <v>-14.740477662289981</v>
      </c>
      <c r="AD95" s="145">
        <f t="shared" si="268"/>
        <v>-15.896593557371549</v>
      </c>
      <c r="AE95" s="145">
        <f t="shared" si="268"/>
        <v>-17.143385208930106</v>
      </c>
      <c r="AF95" s="137">
        <f t="shared" si="252"/>
        <v>0.12719075617242304</v>
      </c>
      <c r="AG95" s="31">
        <f t="shared" si="16"/>
        <v>0.05</v>
      </c>
      <c r="AH95" s="145">
        <f t="shared" si="192"/>
        <v>-105.8856145257448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269">G23/G57</f>
        <v>2.9523809523809526</v>
      </c>
      <c r="H96" s="143">
        <f t="shared" si="269"/>
        <v>4.6269841269841274</v>
      </c>
      <c r="I96" s="143">
        <f t="shared" ref="I96:R96" si="270">I23/I57</f>
        <v>0.47562425683709869</v>
      </c>
      <c r="J96" s="143">
        <f t="shared" si="270"/>
        <v>0.91161315893777251</v>
      </c>
      <c r="K96" s="143">
        <f t="shared" si="270"/>
        <v>5.8695652173913038</v>
      </c>
      <c r="L96" s="143">
        <f t="shared" si="270"/>
        <v>5.0197628458498018</v>
      </c>
      <c r="M96" s="143">
        <f t="shared" si="270"/>
        <v>0.65204505038529936</v>
      </c>
      <c r="N96" s="143">
        <f t="shared" si="270"/>
        <v>1.4226437462951986</v>
      </c>
      <c r="O96" s="143">
        <f t="shared" si="270"/>
        <v>1.2214342001576044</v>
      </c>
      <c r="P96" s="143">
        <f t="shared" si="270"/>
        <v>0.99492781896215376</v>
      </c>
      <c r="Q96" s="143">
        <f t="shared" si="270"/>
        <v>1.7167381974248928</v>
      </c>
      <c r="R96" s="143">
        <f t="shared" si="270"/>
        <v>0.85271166601638715</v>
      </c>
      <c r="S96" s="143">
        <f t="shared" ref="S96" si="271">S23/S57</f>
        <v>1.3207179087007415</v>
      </c>
      <c r="T96" s="118">
        <f t="shared" si="180"/>
        <v>-6.4838814861267635E-2</v>
      </c>
      <c r="U96" s="128"/>
      <c r="V96" s="145">
        <f t="shared" ref="V96:AE96" si="272">V23/V57</f>
        <v>1.4243036270302116</v>
      </c>
      <c r="W96" s="145">
        <f t="shared" si="272"/>
        <v>1.536013715424738</v>
      </c>
      <c r="X96" s="145">
        <f t="shared" si="272"/>
        <v>1.6564853793796197</v>
      </c>
      <c r="Y96" s="145">
        <f t="shared" si="272"/>
        <v>1.7864058012917468</v>
      </c>
      <c r="Z96" s="145">
        <f t="shared" si="272"/>
        <v>1.9265160602165898</v>
      </c>
      <c r="AA96" s="145">
        <f t="shared" si="272"/>
        <v>2.0776153590571069</v>
      </c>
      <c r="AB96" s="145">
        <f t="shared" si="272"/>
        <v>2.2405655832968803</v>
      </c>
      <c r="AC96" s="145">
        <f t="shared" si="272"/>
        <v>2.4162962172809492</v>
      </c>
      <c r="AD96" s="145">
        <f t="shared" si="272"/>
        <v>2.6058096460872986</v>
      </c>
      <c r="AE96" s="145">
        <f t="shared" si="272"/>
        <v>2.8101868732314004</v>
      </c>
      <c r="AF96" s="137">
        <f t="shared" ref="AF96" si="273">((AE96/I96)^(1/($AE$3-$J$1) ))-1</f>
        <v>8.8270167349453255E-2</v>
      </c>
      <c r="AG96" s="31">
        <f t="shared" si="16"/>
        <v>0.05</v>
      </c>
      <c r="AH96" s="145">
        <f t="shared" si="192"/>
        <v>17.357036569958652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493</v>
      </c>
      <c r="C98" s="143"/>
      <c r="D98" s="143"/>
      <c r="E98" s="143"/>
      <c r="F98" s="143"/>
      <c r="G98" s="143">
        <f t="shared" ref="G98:H98" si="274">G51/G57</f>
        <v>42.857142857142854</v>
      </c>
      <c r="H98" s="143">
        <f t="shared" si="274"/>
        <v>50.793650793650791</v>
      </c>
      <c r="I98" s="143">
        <f t="shared" ref="I98:R98" si="275">I51/I57</f>
        <v>5.7471264367816088</v>
      </c>
      <c r="J98" s="143">
        <f t="shared" si="275"/>
        <v>6.8172810146650811</v>
      </c>
      <c r="K98" s="143">
        <f t="shared" si="275"/>
        <v>9.920948616600791</v>
      </c>
      <c r="L98" s="143">
        <f t="shared" si="275"/>
        <v>9.5652173913043477</v>
      </c>
      <c r="M98" s="143">
        <f t="shared" si="275"/>
        <v>7.864058486465126</v>
      </c>
      <c r="N98" s="143">
        <f t="shared" si="275"/>
        <v>9.1681485872357236</v>
      </c>
      <c r="O98" s="143">
        <f t="shared" si="275"/>
        <v>9.7320724980299449</v>
      </c>
      <c r="P98" s="143">
        <f t="shared" si="275"/>
        <v>11.685524775653532</v>
      </c>
      <c r="Q98" s="143">
        <f t="shared" si="275"/>
        <v>13.090128755364807</v>
      </c>
      <c r="R98" s="143">
        <f t="shared" si="275"/>
        <v>15.021459227467812</v>
      </c>
      <c r="S98" s="143">
        <f t="shared" ref="S98" si="276">S51/S57</f>
        <v>22.883339836129537</v>
      </c>
      <c r="T98" s="118">
        <f t="shared" si="180"/>
        <v>-5.0945069769700146E-2</v>
      </c>
      <c r="U98" s="128"/>
      <c r="V98" s="143">
        <f t="shared" ref="V98:AE98" si="277">V51/V57</f>
        <v>24.678111587982837</v>
      </c>
      <c r="W98" s="143">
        <f t="shared" si="277"/>
        <v>26.613649751746202</v>
      </c>
      <c r="X98" s="143">
        <f t="shared" si="277"/>
        <v>28.700994830314535</v>
      </c>
      <c r="Y98" s="143">
        <f t="shared" si="277"/>
        <v>30.952053248378419</v>
      </c>
      <c r="Z98" s="143">
        <f t="shared" si="277"/>
        <v>33.379665267859082</v>
      </c>
      <c r="AA98" s="143">
        <f t="shared" si="277"/>
        <v>35.997678230044109</v>
      </c>
      <c r="AB98" s="143">
        <f t="shared" si="277"/>
        <v>38.821025542204438</v>
      </c>
      <c r="AC98" s="143">
        <f t="shared" si="277"/>
        <v>41.865811859240083</v>
      </c>
      <c r="AD98" s="143">
        <f t="shared" si="277"/>
        <v>45.149404946239308</v>
      </c>
      <c r="AE98" s="143">
        <f t="shared" si="277"/>
        <v>48.690534745944355</v>
      </c>
      <c r="AF98" s="137">
        <f t="shared" ref="AF98:AF100" si="278">((AE98/I98)^(1/($AE$3-$J$1) ))-1</f>
        <v>0.10710848840455056</v>
      </c>
      <c r="AG98" s="31">
        <f t="shared" si="16"/>
        <v>0.05</v>
      </c>
      <c r="AH98" s="145">
        <f t="shared" si="192"/>
        <v>300.73565578377401</v>
      </c>
    </row>
    <row r="99" spans="2:34">
      <c r="B99" s="20" t="s">
        <v>494</v>
      </c>
      <c r="C99" s="143"/>
      <c r="D99" s="143"/>
      <c r="E99" s="143"/>
      <c r="F99" s="143"/>
      <c r="G99" s="143">
        <f t="shared" ref="G99:H99" si="279">G55/G57</f>
        <v>24.206349206349206</v>
      </c>
      <c r="H99" s="143">
        <f t="shared" si="279"/>
        <v>28.571428571428573</v>
      </c>
      <c r="I99" s="143">
        <f t="shared" ref="I99:R99" si="280">I55/I57</f>
        <v>3.4086405073325405</v>
      </c>
      <c r="J99" s="143">
        <f t="shared" si="280"/>
        <v>4.3995243757431632</v>
      </c>
      <c r="K99" s="143">
        <f t="shared" si="280"/>
        <v>6.7588932806324111</v>
      </c>
      <c r="L99" s="143">
        <f t="shared" si="280"/>
        <v>4.3478260869565215</v>
      </c>
      <c r="M99" s="143">
        <f t="shared" si="280"/>
        <v>5.4337087532108281</v>
      </c>
      <c r="N99" s="143">
        <f t="shared" si="280"/>
        <v>6.0857538035961269</v>
      </c>
      <c r="O99" s="143">
        <f t="shared" si="280"/>
        <v>6.3435776201733649</v>
      </c>
      <c r="P99" s="143">
        <f t="shared" si="280"/>
        <v>8.2130316035895436</v>
      </c>
      <c r="Q99" s="143">
        <f t="shared" si="280"/>
        <v>8.7202497073741707</v>
      </c>
      <c r="R99" s="143">
        <f t="shared" si="280"/>
        <v>9.9102614124073352</v>
      </c>
      <c r="S99" s="143">
        <f t="shared" ref="S99" si="281">S55/S57</f>
        <v>14.748341786968396</v>
      </c>
      <c r="T99" s="118">
        <f t="shared" si="180"/>
        <v>-4.0449524574186713E-2</v>
      </c>
      <c r="U99" s="128"/>
      <c r="V99" s="143">
        <f t="shared" ref="V99:AE99" si="282">V55/V57</f>
        <v>15.90507447614239</v>
      </c>
      <c r="W99" s="143">
        <f t="shared" si="282"/>
        <v>17.152531297800618</v>
      </c>
      <c r="X99" s="143">
        <f t="shared" si="282"/>
        <v>18.49782787017714</v>
      </c>
      <c r="Y99" s="143">
        <f t="shared" si="282"/>
        <v>19.948637899210642</v>
      </c>
      <c r="Z99" s="143">
        <f t="shared" si="282"/>
        <v>21.513236950129123</v>
      </c>
      <c r="AA99" s="143">
        <f t="shared" si="282"/>
        <v>23.200549652100033</v>
      </c>
      <c r="AB99" s="143">
        <f t="shared" si="282"/>
        <v>25.020200605205922</v>
      </c>
      <c r="AC99" s="143">
        <f t="shared" si="282"/>
        <v>26.982569280124032</v>
      </c>
      <c r="AD99" s="143">
        <f t="shared" si="282"/>
        <v>29.098849223663176</v>
      </c>
      <c r="AE99" s="143">
        <f t="shared" si="282"/>
        <v>31.381111907872054</v>
      </c>
      <c r="AF99" s="137">
        <f t="shared" si="278"/>
        <v>0.11149857642665073</v>
      </c>
      <c r="AG99" s="31">
        <f t="shared" si="16"/>
        <v>0.05</v>
      </c>
      <c r="AH99" s="145">
        <f t="shared" si="192"/>
        <v>193.82451472509214</v>
      </c>
    </row>
    <row r="100" spans="2:34">
      <c r="B100" s="20" t="s">
        <v>310</v>
      </c>
      <c r="C100" s="143"/>
      <c r="D100" s="143"/>
      <c r="E100" s="143"/>
      <c r="F100" s="143"/>
      <c r="G100" s="143">
        <f t="shared" ref="G100:H100" si="283">G6/G57</f>
        <v>114.68253968253968</v>
      </c>
      <c r="H100" s="143">
        <f t="shared" si="283"/>
        <v>133.33333333333334</v>
      </c>
      <c r="I100" s="143">
        <f t="shared" ref="I100:R100" si="284">I6/I57</f>
        <v>15.378517637732857</v>
      </c>
      <c r="J100" s="143">
        <f t="shared" si="284"/>
        <v>18.034086405073324</v>
      </c>
      <c r="K100" s="143">
        <f t="shared" si="284"/>
        <v>23.359683794466402</v>
      </c>
      <c r="L100" s="143">
        <f t="shared" si="284"/>
        <v>26.442687747035574</v>
      </c>
      <c r="M100" s="143">
        <f t="shared" si="284"/>
        <v>16.222090495949416</v>
      </c>
      <c r="N100" s="143">
        <f t="shared" si="284"/>
        <v>20.430744912072711</v>
      </c>
      <c r="O100" s="143">
        <f t="shared" si="284"/>
        <v>25.118203309692671</v>
      </c>
      <c r="P100" s="143">
        <f t="shared" si="284"/>
        <v>31.213421771361688</v>
      </c>
      <c r="Q100" s="143">
        <f t="shared" si="284"/>
        <v>37.085446742099101</v>
      </c>
      <c r="R100" s="143">
        <f t="shared" si="284"/>
        <v>43.289114319157243</v>
      </c>
      <c r="S100" s="143">
        <f t="shared" ref="S100" si="285">S6/S57</f>
        <v>53.277409285992981</v>
      </c>
      <c r="T100" s="118">
        <f t="shared" si="180"/>
        <v>-6.188989002998202E-2</v>
      </c>
      <c r="U100" s="128"/>
      <c r="V100" s="143">
        <f t="shared" ref="V100:AE100" si="286">V6/V57</f>
        <v>57.456029622149302</v>
      </c>
      <c r="W100" s="143">
        <f t="shared" si="286"/>
        <v>61.962384886631604</v>
      </c>
      <c r="X100" s="143">
        <f t="shared" si="286"/>
        <v>66.822179779700761</v>
      </c>
      <c r="Y100" s="143">
        <f t="shared" si="286"/>
        <v>72.063135056540034</v>
      </c>
      <c r="Z100" s="143">
        <f t="shared" si="286"/>
        <v>77.715145649209845</v>
      </c>
      <c r="AA100" s="143">
        <f t="shared" si="286"/>
        <v>83.810451190324343</v>
      </c>
      <c r="AB100" s="143">
        <f t="shared" si="286"/>
        <v>90.383819911134111</v>
      </c>
      <c r="AC100" s="143">
        <f t="shared" si="286"/>
        <v>97.47274696298777</v>
      </c>
      <c r="AD100" s="143">
        <f t="shared" si="286"/>
        <v>105.11766829341818</v>
      </c>
      <c r="AE100" s="143">
        <f t="shared" si="286"/>
        <v>113.36219129682354</v>
      </c>
      <c r="AF100" s="137">
        <f t="shared" si="278"/>
        <v>9.9795867992430454E-2</v>
      </c>
      <c r="AG100" s="31">
        <f t="shared" ref="AG100" si="287">$N$1</f>
        <v>0.05</v>
      </c>
      <c r="AH100" s="145">
        <f t="shared" si="192"/>
        <v>700.17824036273373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463</v>
      </c>
      <c r="C102" s="127"/>
      <c r="D102" s="127"/>
      <c r="E102" s="127"/>
      <c r="F102" s="127"/>
      <c r="G102" s="143">
        <f t="shared" ref="G102:H102" si="288">G55/$S$57</f>
        <v>1.1900117050331642</v>
      </c>
      <c r="H102" s="143">
        <f t="shared" si="288"/>
        <v>1.4046039797112759</v>
      </c>
      <c r="I102" s="143">
        <f t="shared" ref="I102:S102" si="289">I55/$S$57</f>
        <v>1.6777214202106907</v>
      </c>
      <c r="J102" s="143">
        <f t="shared" si="289"/>
        <v>2.165431135388217</v>
      </c>
      <c r="K102" s="143">
        <f t="shared" si="289"/>
        <v>3.3359344518142802</v>
      </c>
      <c r="L102" s="143">
        <f t="shared" si="289"/>
        <v>2.1459227467811162</v>
      </c>
      <c r="M102" s="143">
        <f t="shared" si="289"/>
        <v>5.3648068669527902</v>
      </c>
      <c r="N102" s="143">
        <f t="shared" si="289"/>
        <v>6.0085836909871251</v>
      </c>
      <c r="O102" s="143">
        <f t="shared" si="289"/>
        <v>6.2817011314865399</v>
      </c>
      <c r="P102" s="143">
        <f t="shared" si="289"/>
        <v>8.2130316035895436</v>
      </c>
      <c r="Q102" s="143">
        <f t="shared" si="289"/>
        <v>8.7202497073741707</v>
      </c>
      <c r="R102" s="143">
        <f t="shared" si="289"/>
        <v>9.9102614124073352</v>
      </c>
      <c r="S102" s="143">
        <f t="shared" si="289"/>
        <v>14.748341786968396</v>
      </c>
      <c r="T102" s="118">
        <f t="shared" si="180"/>
        <v>0.23338689613026231</v>
      </c>
      <c r="U102" s="128"/>
      <c r="V102" s="143">
        <f t="shared" ref="V102:AE102" si="290">V55/V57</f>
        <v>15.90507447614239</v>
      </c>
      <c r="W102" s="143">
        <f t="shared" si="290"/>
        <v>17.152531297800618</v>
      </c>
      <c r="X102" s="143">
        <f t="shared" si="290"/>
        <v>18.49782787017714</v>
      </c>
      <c r="Y102" s="143">
        <f t="shared" si="290"/>
        <v>19.948637899210642</v>
      </c>
      <c r="Z102" s="143">
        <f t="shared" si="290"/>
        <v>21.513236950129123</v>
      </c>
      <c r="AA102" s="143">
        <f t="shared" si="290"/>
        <v>23.200549652100033</v>
      </c>
      <c r="AB102" s="143">
        <f t="shared" si="290"/>
        <v>25.020200605205922</v>
      </c>
      <c r="AC102" s="143">
        <f t="shared" si="290"/>
        <v>26.982569280124032</v>
      </c>
      <c r="AD102" s="143">
        <f t="shared" si="290"/>
        <v>29.098849223663176</v>
      </c>
      <c r="AE102" s="143">
        <f t="shared" si="290"/>
        <v>31.381111907872054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308</v>
      </c>
      <c r="C105" s="150"/>
      <c r="D105" s="150"/>
      <c r="E105" s="150"/>
      <c r="F105" s="150"/>
      <c r="G105" s="150">
        <f t="shared" ref="G105:H105" si="291">G51/G25</f>
        <v>0.16</v>
      </c>
      <c r="H105" s="150">
        <f t="shared" si="291"/>
        <v>0.16473616473616473</v>
      </c>
      <c r="I105" s="150">
        <f t="shared" ref="I105:R105" si="292">I51/I25</f>
        <v>0.15279241306638566</v>
      </c>
      <c r="J105" s="150">
        <f t="shared" si="292"/>
        <v>0.13333333333333333</v>
      </c>
      <c r="K105" s="150">
        <f t="shared" si="292"/>
        <v>0.14204867006225241</v>
      </c>
      <c r="L105" s="150">
        <f t="shared" si="292"/>
        <v>0.12234580384226491</v>
      </c>
      <c r="M105" s="150">
        <f t="shared" si="292"/>
        <v>0.17712505562972852</v>
      </c>
      <c r="N105" s="150">
        <f t="shared" si="292"/>
        <v>0.16885007278020378</v>
      </c>
      <c r="O105" s="150">
        <f t="shared" si="292"/>
        <v>0.15466499686912963</v>
      </c>
      <c r="P105" s="150">
        <f t="shared" si="292"/>
        <v>0.15754865860073644</v>
      </c>
      <c r="Q105" s="150">
        <f t="shared" si="292"/>
        <v>0.15319634703196347</v>
      </c>
      <c r="R105" s="150">
        <f t="shared" si="292"/>
        <v>0.15727124183006536</v>
      </c>
      <c r="S105" s="150">
        <f t="shared" ref="S105" si="293">S51/S25</f>
        <v>0.21730270470544646</v>
      </c>
      <c r="T105" s="118">
        <f t="shared" si="180"/>
        <v>2.5837952493720451E-2</v>
      </c>
      <c r="U105" s="150"/>
      <c r="V105" s="150">
        <f t="shared" ref="V105:AE105" si="294">V51/V25</f>
        <v>0.21730270470544649</v>
      </c>
      <c r="W105" s="150">
        <f t="shared" si="294"/>
        <v>0.21730270470544649</v>
      </c>
      <c r="X105" s="150">
        <f t="shared" si="294"/>
        <v>0.21730270470544652</v>
      </c>
      <c r="Y105" s="150">
        <f t="shared" si="294"/>
        <v>0.21730270470544649</v>
      </c>
      <c r="Z105" s="150">
        <f t="shared" si="294"/>
        <v>0.21730270470544649</v>
      </c>
      <c r="AA105" s="150">
        <f t="shared" si="294"/>
        <v>0.21730270470544646</v>
      </c>
      <c r="AB105" s="150">
        <f t="shared" si="294"/>
        <v>0.21730270470544646</v>
      </c>
      <c r="AC105" s="150">
        <f t="shared" si="294"/>
        <v>0.21730270470544649</v>
      </c>
      <c r="AD105" s="150">
        <f t="shared" si="294"/>
        <v>0.21730270470544652</v>
      </c>
      <c r="AE105" s="150">
        <f t="shared" si="294"/>
        <v>0.21730270470544652</v>
      </c>
      <c r="AF105" s="137">
        <f t="shared" ref="AF105:AF154" si="295">((AE105/I105)^(1/($AE$3-$J$1) ))-1</f>
        <v>1.6913396590874541E-2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>
        <f t="shared" ref="G106:H106" si="296">G55/G25</f>
        <v>9.0370370370370365E-2</v>
      </c>
      <c r="H106" s="150">
        <f t="shared" si="296"/>
        <v>9.2664092664092659E-2</v>
      </c>
      <c r="I106" s="150">
        <f t="shared" ref="I106:R106" si="297">I55/I25</f>
        <v>9.0621707060063228E-2</v>
      </c>
      <c r="J106" s="150">
        <f t="shared" si="297"/>
        <v>8.6046511627906982E-2</v>
      </c>
      <c r="K106" s="150">
        <f t="shared" si="297"/>
        <v>9.6774193548387094E-2</v>
      </c>
      <c r="L106" s="150">
        <f t="shared" si="297"/>
        <v>5.5611729019211326E-2</v>
      </c>
      <c r="M106" s="150">
        <f t="shared" si="297"/>
        <v>0.12238540275923454</v>
      </c>
      <c r="N106" s="150">
        <f t="shared" si="297"/>
        <v>0.11208151382823872</v>
      </c>
      <c r="O106" s="150">
        <f t="shared" si="297"/>
        <v>0.1008140262993112</v>
      </c>
      <c r="P106" s="150">
        <f t="shared" si="297"/>
        <v>0.11073119410836402</v>
      </c>
      <c r="Q106" s="150">
        <f t="shared" si="297"/>
        <v>0.10205479452054794</v>
      </c>
      <c r="R106" s="150">
        <f t="shared" si="297"/>
        <v>0.10375816993464053</v>
      </c>
      <c r="S106" s="150">
        <f t="shared" ref="S106" si="298">S55/S25</f>
        <v>0.14005187106335679</v>
      </c>
      <c r="T106" s="118">
        <f t="shared" si="180"/>
        <v>3.7182636822011395E-2</v>
      </c>
      <c r="U106" s="150"/>
      <c r="V106" s="150">
        <f t="shared" ref="V106:AE106" si="299">V55/V25</f>
        <v>0.14005187106335679</v>
      </c>
      <c r="W106" s="150">
        <f t="shared" si="299"/>
        <v>0.14005187106335679</v>
      </c>
      <c r="X106" s="150">
        <f t="shared" si="299"/>
        <v>0.14005187106335681</v>
      </c>
      <c r="Y106" s="150">
        <f t="shared" si="299"/>
        <v>0.14005187106335679</v>
      </c>
      <c r="Z106" s="150">
        <f t="shared" si="299"/>
        <v>0.14005187106335676</v>
      </c>
      <c r="AA106" s="150">
        <f t="shared" si="299"/>
        <v>0.14005187106335676</v>
      </c>
      <c r="AB106" s="150">
        <f t="shared" si="299"/>
        <v>0.14005187106335676</v>
      </c>
      <c r="AC106" s="150">
        <f t="shared" si="299"/>
        <v>0.14005187106335679</v>
      </c>
      <c r="AD106" s="150">
        <f t="shared" si="299"/>
        <v>0.14005187106335679</v>
      </c>
      <c r="AE106" s="150">
        <f t="shared" si="299"/>
        <v>0.14005187106335679</v>
      </c>
      <c r="AF106" s="137">
        <f t="shared" si="295"/>
        <v>2.0945828252852516E-2</v>
      </c>
      <c r="AG106" s="145"/>
      <c r="AH106" s="145"/>
    </row>
    <row r="107" spans="2:34">
      <c r="B107" s="20" t="s">
        <v>355</v>
      </c>
      <c r="C107" s="150"/>
      <c r="D107" s="150"/>
      <c r="E107" s="150"/>
      <c r="F107" s="150"/>
      <c r="G107" s="150">
        <f t="shared" ref="G107:H107" si="300">G55/G7</f>
        <v>0.19365079365079366</v>
      </c>
      <c r="H107" s="150">
        <f t="shared" si="300"/>
        <v>0.1994459833795014</v>
      </c>
      <c r="I107" s="150">
        <f>I55/I7</f>
        <v>0.20823244552058112</v>
      </c>
      <c r="J107" s="150">
        <f t="shared" ref="J107:Q107" si="301">J55/J7</f>
        <v>0.23125000000000001</v>
      </c>
      <c r="K107" s="150">
        <f t="shared" si="301"/>
        <v>0.27580645161290324</v>
      </c>
      <c r="L107" s="150">
        <f t="shared" si="301"/>
        <v>0.17350157728706625</v>
      </c>
      <c r="M107" s="150">
        <f t="shared" si="301"/>
        <v>0.31536697247706424</v>
      </c>
      <c r="N107" s="150">
        <f t="shared" si="301"/>
        <v>0.28413284132841327</v>
      </c>
      <c r="O107" s="150">
        <f t="shared" si="301"/>
        <v>0.24283559577677225</v>
      </c>
      <c r="P107" s="150">
        <f t="shared" si="301"/>
        <v>0.25499697153240458</v>
      </c>
      <c r="Q107" s="150">
        <f t="shared" si="301"/>
        <v>0.22899590163934427</v>
      </c>
      <c r="R107" s="150">
        <f t="shared" ref="R107:S107" si="302">R55/R7</f>
        <v>0.22378854625550662</v>
      </c>
      <c r="S107" s="150">
        <f t="shared" si="302"/>
        <v>0.2717469446441409</v>
      </c>
      <c r="T107" s="118">
        <f t="shared" si="180"/>
        <v>2.8636938207329932E-2</v>
      </c>
      <c r="U107" s="20"/>
      <c r="V107" s="150">
        <f t="shared" ref="V107" si="303">V55/V7</f>
        <v>0.2717469446441409</v>
      </c>
      <c r="W107" s="150">
        <f t="shared" ref="W107:AE107" si="304">W55/W7</f>
        <v>0.2717469446441409</v>
      </c>
      <c r="X107" s="150">
        <f t="shared" si="304"/>
        <v>0.2717469446441409</v>
      </c>
      <c r="Y107" s="150">
        <f t="shared" si="304"/>
        <v>0.27174694464414084</v>
      </c>
      <c r="Z107" s="150">
        <f t="shared" si="304"/>
        <v>0.27174694464414084</v>
      </c>
      <c r="AA107" s="150">
        <f t="shared" si="304"/>
        <v>0.27174694464414079</v>
      </c>
      <c r="AB107" s="150">
        <f t="shared" si="304"/>
        <v>0.27174694464414079</v>
      </c>
      <c r="AC107" s="150">
        <f t="shared" si="304"/>
        <v>0.27174694464414079</v>
      </c>
      <c r="AD107" s="150">
        <f t="shared" si="304"/>
        <v>0.27174694464414079</v>
      </c>
      <c r="AE107" s="150">
        <f t="shared" si="304"/>
        <v>0.27174694464414084</v>
      </c>
      <c r="AF107" s="137">
        <f t="shared" si="295"/>
        <v>1.2757660049906416E-2</v>
      </c>
      <c r="AG107" s="145"/>
      <c r="AH107" s="145"/>
    </row>
    <row r="108" spans="2:34">
      <c r="B108" s="20" t="s">
        <v>356</v>
      </c>
      <c r="C108" s="150"/>
      <c r="D108" s="150"/>
      <c r="E108" s="150"/>
      <c r="F108" s="150"/>
      <c r="G108" s="150">
        <f t="shared" ref="G108:H108" si="305">(G55)/(G7+G10)</f>
        <v>0.16442048517520216</v>
      </c>
      <c r="H108" s="150">
        <f t="shared" si="305"/>
        <v>0.1702127659574468</v>
      </c>
      <c r="I108" s="150">
        <f>(I55)/(I7+I10)</f>
        <v>0.18336886993603413</v>
      </c>
      <c r="J108" s="150">
        <f t="shared" ref="J108:Q108" si="306">(J55)/(J7+J10)</f>
        <v>0.17760000000000001</v>
      </c>
      <c r="K108" s="150">
        <f t="shared" si="306"/>
        <v>0.14921465968586387</v>
      </c>
      <c r="L108" s="150">
        <f t="shared" si="306"/>
        <v>8.8495575221238937E-2</v>
      </c>
      <c r="M108" s="150">
        <f t="shared" si="306"/>
        <v>0.20522388059701493</v>
      </c>
      <c r="N108" s="150">
        <f t="shared" si="306"/>
        <v>0.21705426356589147</v>
      </c>
      <c r="O108" s="150">
        <f t="shared" si="306"/>
        <v>0.21845318860244234</v>
      </c>
      <c r="P108" s="150">
        <f t="shared" si="306"/>
        <v>0.24735605170387778</v>
      </c>
      <c r="Q108" s="150">
        <f t="shared" si="306"/>
        <v>0.22372372372372373</v>
      </c>
      <c r="R108" s="150">
        <f t="shared" ref="R108:S108" si="307">(R55)/(R7+R10)</f>
        <v>0.21821305841924399</v>
      </c>
      <c r="S108" s="150">
        <f t="shared" si="307"/>
        <v>0.26378227494766227</v>
      </c>
      <c r="T108" s="118">
        <f t="shared" si="180"/>
        <v>4.0177543879801991E-2</v>
      </c>
      <c r="U108" s="20"/>
      <c r="V108" s="150">
        <f t="shared" ref="V108:AE108" si="308">(V55)/(V7+V10)</f>
        <v>0.26378227494766221</v>
      </c>
      <c r="W108" s="150">
        <f t="shared" si="308"/>
        <v>0.26378227494766221</v>
      </c>
      <c r="X108" s="150">
        <f t="shared" si="308"/>
        <v>0.26378227494766221</v>
      </c>
      <c r="Y108" s="150">
        <f t="shared" si="308"/>
        <v>0.26378227494766221</v>
      </c>
      <c r="Z108" s="150">
        <f t="shared" si="308"/>
        <v>0.26378227494766221</v>
      </c>
      <c r="AA108" s="150">
        <f t="shared" si="308"/>
        <v>0.26378227494766215</v>
      </c>
      <c r="AB108" s="150">
        <f t="shared" si="308"/>
        <v>0.26378227494766215</v>
      </c>
      <c r="AC108" s="150">
        <f t="shared" si="308"/>
        <v>0.2637822749476621</v>
      </c>
      <c r="AD108" s="150">
        <f t="shared" si="308"/>
        <v>0.26378227494766215</v>
      </c>
      <c r="AE108" s="150">
        <f t="shared" si="308"/>
        <v>0.26378227494766215</v>
      </c>
      <c r="AF108" s="137">
        <f t="shared" si="295"/>
        <v>1.7466221254467174E-2</v>
      </c>
      <c r="AG108" s="145"/>
      <c r="AH108" s="145"/>
    </row>
    <row r="109" spans="2:34">
      <c r="B109" s="20" t="s">
        <v>372</v>
      </c>
      <c r="C109" s="150"/>
      <c r="D109" s="150"/>
      <c r="E109" s="150"/>
      <c r="F109" s="150"/>
      <c r="G109" s="150">
        <f t="shared" ref="G109:H109" si="309">G20/G25</f>
        <v>7.1111111111111111E-2</v>
      </c>
      <c r="H109" s="150">
        <f t="shared" si="309"/>
        <v>0.11840411840411841</v>
      </c>
      <c r="I109" s="150">
        <f>I20/I25</f>
        <v>0.11801896733403583</v>
      </c>
      <c r="J109" s="150">
        <f t="shared" ref="J109:R109" si="310">J20/J25</f>
        <v>6.899224806201551E-2</v>
      </c>
      <c r="K109" s="150">
        <f t="shared" si="310"/>
        <v>7.2439162422184497E-2</v>
      </c>
      <c r="L109" s="150">
        <f t="shared" si="310"/>
        <v>0.13144590495449948</v>
      </c>
      <c r="M109" s="150">
        <f t="shared" si="310"/>
        <v>0.1833555852247441</v>
      </c>
      <c r="N109" s="150">
        <f t="shared" si="310"/>
        <v>0.11717612809315867</v>
      </c>
      <c r="O109" s="150">
        <f t="shared" si="310"/>
        <v>0.15873512836568565</v>
      </c>
      <c r="P109" s="150">
        <f t="shared" si="310"/>
        <v>0.13492898474487111</v>
      </c>
      <c r="Q109" s="150">
        <f t="shared" si="310"/>
        <v>9.0867579908675805E-2</v>
      </c>
      <c r="R109" s="150">
        <f t="shared" si="310"/>
        <v>0.1170343137254902</v>
      </c>
      <c r="S109" s="150">
        <f t="shared" ref="S109" si="311">S20/S25</f>
        <v>0.16802519451648759</v>
      </c>
      <c r="T109" s="118">
        <f t="shared" si="180"/>
        <v>7.4285577280687631E-2</v>
      </c>
      <c r="U109" s="20"/>
      <c r="V109" s="150">
        <f t="shared" ref="V109:AE109" si="312">V20/V25</f>
        <v>0.16802519451648759</v>
      </c>
      <c r="W109" s="150">
        <f t="shared" si="312"/>
        <v>0.16802519451648756</v>
      </c>
      <c r="X109" s="150">
        <f t="shared" si="312"/>
        <v>0.16802519451648756</v>
      </c>
      <c r="Y109" s="150">
        <f t="shared" si="312"/>
        <v>0.16802519451648756</v>
      </c>
      <c r="Z109" s="150">
        <f t="shared" si="312"/>
        <v>0.16802519451648756</v>
      </c>
      <c r="AA109" s="150">
        <f t="shared" si="312"/>
        <v>0.16802519451648756</v>
      </c>
      <c r="AB109" s="150">
        <f t="shared" si="312"/>
        <v>0.16802519451648756</v>
      </c>
      <c r="AC109" s="150">
        <f t="shared" si="312"/>
        <v>0.16802519451648759</v>
      </c>
      <c r="AD109" s="150">
        <f t="shared" si="312"/>
        <v>0.16802519451648759</v>
      </c>
      <c r="AE109" s="150">
        <f t="shared" si="312"/>
        <v>0.16802519451648756</v>
      </c>
      <c r="AF109" s="137">
        <f t="shared" si="295"/>
        <v>1.6964605405928035E-2</v>
      </c>
      <c r="AG109" s="145"/>
      <c r="AH109" s="145"/>
    </row>
    <row r="110" spans="2:34">
      <c r="B110" s="20" t="s">
        <v>424</v>
      </c>
      <c r="C110" s="150"/>
      <c r="D110" s="150"/>
      <c r="E110" s="150"/>
      <c r="F110" s="150"/>
      <c r="G110" s="150">
        <f t="shared" ref="G110:H110" si="313">G68/G25</f>
        <v>4.5925925925925926E-2</v>
      </c>
      <c r="H110" s="150">
        <f t="shared" si="313"/>
        <v>4.2471042471042469E-2</v>
      </c>
      <c r="I110" s="150">
        <f>I68/I25</f>
        <v>4.7418335089567963E-2</v>
      </c>
      <c r="J110" s="150">
        <f t="shared" ref="J110:R110" si="314">J68/J25</f>
        <v>2.7131782945736434E-2</v>
      </c>
      <c r="K110" s="150">
        <f t="shared" si="314"/>
        <v>2.0939445387662705E-2</v>
      </c>
      <c r="L110" s="150">
        <f t="shared" si="314"/>
        <v>8.5945399393326585E-3</v>
      </c>
      <c r="M110" s="150">
        <f t="shared" si="314"/>
        <v>1.602136181575434E-2</v>
      </c>
      <c r="N110" s="150">
        <f t="shared" si="314"/>
        <v>3.4570596797671035E-2</v>
      </c>
      <c r="O110" s="150">
        <f t="shared" si="314"/>
        <v>3.4439574201628055E-2</v>
      </c>
      <c r="P110" s="150">
        <f t="shared" si="314"/>
        <v>4.2083114150447132E-2</v>
      </c>
      <c r="Q110" s="150">
        <f t="shared" si="314"/>
        <v>3.7671232876712327E-2</v>
      </c>
      <c r="R110" s="150">
        <f t="shared" si="314"/>
        <v>3.4722222222222224E-2</v>
      </c>
      <c r="S110" s="150">
        <f t="shared" ref="S110" si="315">S68/S25</f>
        <v>5.9651722860318633E-2</v>
      </c>
      <c r="T110" s="118">
        <f t="shared" si="180"/>
        <v>2.2030263313830512E-2</v>
      </c>
      <c r="U110" s="20"/>
      <c r="V110" s="150">
        <f t="shared" ref="V110:AE110" si="316">V68/V25</f>
        <v>5.9651722860318661E-2</v>
      </c>
      <c r="W110" s="150">
        <f t="shared" si="316"/>
        <v>5.9651722860318668E-2</v>
      </c>
      <c r="X110" s="150">
        <f t="shared" si="316"/>
        <v>5.9651722860318661E-2</v>
      </c>
      <c r="Y110" s="150">
        <f t="shared" si="316"/>
        <v>5.9651722860318682E-2</v>
      </c>
      <c r="Z110" s="150">
        <f t="shared" si="316"/>
        <v>5.9651722860318689E-2</v>
      </c>
      <c r="AA110" s="150">
        <f t="shared" si="316"/>
        <v>5.9651722860318696E-2</v>
      </c>
      <c r="AB110" s="150">
        <f t="shared" si="316"/>
        <v>5.9651722860318689E-2</v>
      </c>
      <c r="AC110" s="150">
        <f t="shared" si="316"/>
        <v>5.9651722860318675E-2</v>
      </c>
      <c r="AD110" s="150">
        <f t="shared" si="316"/>
        <v>5.9651722860318689E-2</v>
      </c>
      <c r="AE110" s="150">
        <f t="shared" si="316"/>
        <v>5.9651722860318682E-2</v>
      </c>
      <c r="AF110" s="137">
        <f t="shared" si="295"/>
        <v>1.0989183320771589E-2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319</v>
      </c>
      <c r="C112" s="150"/>
      <c r="D112" s="150"/>
      <c r="E112" s="150"/>
      <c r="F112" s="150"/>
      <c r="G112" s="150">
        <f t="shared" ref="G112:H112" si="317">G29/G25</f>
        <v>1.4814814814814815E-6</v>
      </c>
      <c r="H112" s="150">
        <f t="shared" si="317"/>
        <v>5.1480051480051478E-3</v>
      </c>
      <c r="I112" s="150">
        <f>I29/I25</f>
        <v>4.0042149631190722E-3</v>
      </c>
      <c r="J112" s="150">
        <f t="shared" ref="J112:R112" si="318">J29/J25</f>
        <v>7.4341085271317827E-3</v>
      </c>
      <c r="K112" s="150">
        <f t="shared" si="318"/>
        <v>1.3582342954159592E-2</v>
      </c>
      <c r="L112" s="150">
        <f t="shared" si="318"/>
        <v>2.2244691607684528E-2</v>
      </c>
      <c r="M112" s="150">
        <f t="shared" si="318"/>
        <v>1.6911437472185136E-2</v>
      </c>
      <c r="N112" s="150">
        <f t="shared" si="318"/>
        <v>1.3100436681222707E-2</v>
      </c>
      <c r="O112" s="150">
        <f t="shared" si="318"/>
        <v>9.7056981840951788E-3</v>
      </c>
      <c r="P112" s="150">
        <f t="shared" si="318"/>
        <v>5.7864281956864806E-3</v>
      </c>
      <c r="Q112" s="150">
        <f t="shared" si="318"/>
        <v>3.6529680365296802E-3</v>
      </c>
      <c r="R112" s="150">
        <f t="shared" si="318"/>
        <v>3.1924019607843137E-3</v>
      </c>
      <c r="S112" s="150">
        <f t="shared" ref="S112" si="319">S29/S25</f>
        <v>2.4583178955168579E-3</v>
      </c>
      <c r="T112" s="118">
        <f t="shared" si="180"/>
        <v>0.85493409795312192</v>
      </c>
      <c r="U112" s="20"/>
      <c r="V112" s="150">
        <f t="shared" ref="V112:AE112" si="320">V29/V25</f>
        <v>2.4583178955168584E-3</v>
      </c>
      <c r="W112" s="150">
        <f t="shared" si="320"/>
        <v>2.4583178955168584E-3</v>
      </c>
      <c r="X112" s="150">
        <f t="shared" si="320"/>
        <v>2.4583178955168584E-3</v>
      </c>
      <c r="Y112" s="150">
        <f t="shared" si="320"/>
        <v>2.4583178955168588E-3</v>
      </c>
      <c r="Z112" s="150">
        <f t="shared" si="320"/>
        <v>2.4583178955168588E-3</v>
      </c>
      <c r="AA112" s="150">
        <f t="shared" si="320"/>
        <v>2.4583178955168588E-3</v>
      </c>
      <c r="AB112" s="150">
        <f t="shared" si="320"/>
        <v>2.4583178955168588E-3</v>
      </c>
      <c r="AC112" s="150">
        <f t="shared" si="320"/>
        <v>2.4583178955168592E-3</v>
      </c>
      <c r="AD112" s="150">
        <f t="shared" si="320"/>
        <v>2.4583178955168592E-3</v>
      </c>
      <c r="AE112" s="150">
        <f t="shared" si="320"/>
        <v>2.4583178955168588E-3</v>
      </c>
      <c r="AF112" s="137">
        <f t="shared" si="295"/>
        <v>-2.2964131700382362E-2</v>
      </c>
      <c r="AG112" s="145"/>
      <c r="AH112" s="145"/>
    </row>
    <row r="113" spans="1:34">
      <c r="B113" s="20" t="s">
        <v>365</v>
      </c>
      <c r="C113" s="150"/>
      <c r="D113" s="150"/>
      <c r="E113" s="150"/>
      <c r="F113" s="150"/>
      <c r="G113" s="150">
        <f t="shared" ref="G113:H113" si="321">G29/G51</f>
        <v>9.2592592592592591E-6</v>
      </c>
      <c r="H113" s="150">
        <f t="shared" si="321"/>
        <v>3.125E-2</v>
      </c>
      <c r="I113" s="150">
        <f>I29/I51</f>
        <v>2.6206896551724135E-2</v>
      </c>
      <c r="J113" s="150">
        <f t="shared" ref="J113:R113" si="322">J29/J51</f>
        <v>5.5755813953488373E-2</v>
      </c>
      <c r="K113" s="150">
        <f t="shared" si="322"/>
        <v>9.5617529880478086E-2</v>
      </c>
      <c r="L113" s="150">
        <f t="shared" si="322"/>
        <v>0.18181818181818182</v>
      </c>
      <c r="M113" s="150">
        <f t="shared" si="322"/>
        <v>9.5477386934673364E-2</v>
      </c>
      <c r="N113" s="150">
        <f t="shared" si="322"/>
        <v>7.7586206896551727E-2</v>
      </c>
      <c r="O113" s="150">
        <f t="shared" si="322"/>
        <v>6.2753036437246959E-2</v>
      </c>
      <c r="P113" s="150">
        <f t="shared" si="322"/>
        <v>3.6727879799666109E-2</v>
      </c>
      <c r="Q113" s="150">
        <f t="shared" si="322"/>
        <v>2.3845007451564829E-2</v>
      </c>
      <c r="R113" s="150">
        <f t="shared" si="322"/>
        <v>2.0298701298701299E-2</v>
      </c>
      <c r="S113" s="150">
        <f t="shared" ref="S113" si="323">S29/S51</f>
        <v>1.1312872975277067E-2</v>
      </c>
      <c r="T113" s="118">
        <f t="shared" si="180"/>
        <v>0.80821356184370319</v>
      </c>
      <c r="U113" s="20"/>
      <c r="V113" s="150">
        <f t="shared" ref="V113:AE113" si="324">V29/V51</f>
        <v>1.1312872975277067E-2</v>
      </c>
      <c r="W113" s="150">
        <f t="shared" si="324"/>
        <v>1.1312872975277066E-2</v>
      </c>
      <c r="X113" s="150">
        <f t="shared" si="324"/>
        <v>1.1312872975277067E-2</v>
      </c>
      <c r="Y113" s="150">
        <f t="shared" si="324"/>
        <v>1.1312872975277069E-2</v>
      </c>
      <c r="Z113" s="150">
        <f t="shared" si="324"/>
        <v>1.1312872975277069E-2</v>
      </c>
      <c r="AA113" s="150">
        <f t="shared" si="324"/>
        <v>1.1312872975277069E-2</v>
      </c>
      <c r="AB113" s="150">
        <f t="shared" si="324"/>
        <v>1.1312872975277071E-2</v>
      </c>
      <c r="AC113" s="150">
        <f t="shared" si="324"/>
        <v>1.1312872975277071E-2</v>
      </c>
      <c r="AD113" s="150">
        <f t="shared" si="324"/>
        <v>1.1312872975277069E-2</v>
      </c>
      <c r="AE113" s="150">
        <f t="shared" si="324"/>
        <v>1.1312872975277069E-2</v>
      </c>
      <c r="AF113" s="137">
        <f t="shared" ref="AF113" si="325">((AE113/I113)^(1/($AE$3-$J$1) ))-1</f>
        <v>-3.9214281594620815E-2</v>
      </c>
      <c r="AG113" s="145"/>
      <c r="AH113" s="145"/>
    </row>
    <row r="114" spans="1:34" ht="12" customHeight="1">
      <c r="B114" s="20" t="s">
        <v>364</v>
      </c>
      <c r="C114" s="150"/>
      <c r="D114" s="150"/>
      <c r="E114" s="150"/>
      <c r="F114" s="150"/>
      <c r="G114" s="169">
        <f t="shared" ref="G114:H114" si="326">G29/G55</f>
        <v>1.6393442622950821E-5</v>
      </c>
      <c r="H114" s="169">
        <f t="shared" si="326"/>
        <v>5.5555555555555552E-2</v>
      </c>
      <c r="I114" s="169">
        <f t="shared" ref="I114:R114" si="327">I29/I55</f>
        <v>4.4186046511627906E-2</v>
      </c>
      <c r="J114" s="169">
        <f t="shared" si="327"/>
        <v>8.6396396396396388E-2</v>
      </c>
      <c r="K114" s="169">
        <f t="shared" si="327"/>
        <v>0.14035087719298245</v>
      </c>
      <c r="L114" s="169">
        <f t="shared" si="327"/>
        <v>0.4</v>
      </c>
      <c r="M114" s="169">
        <f t="shared" si="327"/>
        <v>0.13818181818181818</v>
      </c>
      <c r="N114" s="169">
        <f t="shared" si="327"/>
        <v>0.11688311688311688</v>
      </c>
      <c r="O114" s="169">
        <f t="shared" si="327"/>
        <v>9.627329192546584E-2</v>
      </c>
      <c r="P114" s="169">
        <f t="shared" si="327"/>
        <v>5.2256532066508314E-2</v>
      </c>
      <c r="Q114" s="169">
        <f t="shared" si="327"/>
        <v>3.5794183445190156E-2</v>
      </c>
      <c r="R114" s="169">
        <f t="shared" si="327"/>
        <v>3.0767716535433073E-2</v>
      </c>
      <c r="S114" s="169">
        <f t="shared" ref="S114" si="328">S29/S55</f>
        <v>1.7552910052910053E-2</v>
      </c>
      <c r="T114" s="118">
        <f t="shared" si="180"/>
        <v>0.78843535564454625</v>
      </c>
      <c r="U114" s="20"/>
      <c r="V114" s="169">
        <f t="shared" ref="V114:AE114" si="329">V29/V55</f>
        <v>1.7552910052910053E-2</v>
      </c>
      <c r="W114" s="169">
        <f t="shared" si="329"/>
        <v>1.7552910052910053E-2</v>
      </c>
      <c r="X114" s="169">
        <f t="shared" si="329"/>
        <v>1.7552910052910056E-2</v>
      </c>
      <c r="Y114" s="169">
        <f t="shared" si="329"/>
        <v>1.755291005291006E-2</v>
      </c>
      <c r="Z114" s="169">
        <f t="shared" si="329"/>
        <v>1.755291005291006E-2</v>
      </c>
      <c r="AA114" s="169">
        <f t="shared" si="329"/>
        <v>1.7552910052910063E-2</v>
      </c>
      <c r="AB114" s="169">
        <f t="shared" si="329"/>
        <v>1.7552910052910063E-2</v>
      </c>
      <c r="AC114" s="169">
        <f t="shared" si="329"/>
        <v>1.7552910052910063E-2</v>
      </c>
      <c r="AD114" s="169">
        <f t="shared" si="329"/>
        <v>1.755291005291006E-2</v>
      </c>
      <c r="AE114" s="169">
        <f t="shared" si="329"/>
        <v>1.755291005291006E-2</v>
      </c>
      <c r="AF114" s="137">
        <f t="shared" ref="AF114" si="330">((AE114/I114)^(1/($AE$3-$J$1) ))-1</f>
        <v>-4.3009098757353259E-2</v>
      </c>
      <c r="AG114" s="145"/>
      <c r="AH114" s="145"/>
    </row>
    <row r="115" spans="1:34" ht="12" customHeight="1">
      <c r="B115" s="20" t="s">
        <v>321</v>
      </c>
      <c r="C115" s="150"/>
      <c r="D115" s="150"/>
      <c r="E115" s="150"/>
      <c r="F115" s="150"/>
      <c r="G115" s="169">
        <f t="shared" ref="G115:H115" si="331">G29/G12</f>
        <v>1.3333333333333334E-4</v>
      </c>
      <c r="H115" s="169">
        <f t="shared" si="331"/>
        <v>0.2857142857142857</v>
      </c>
      <c r="I115" s="169">
        <f t="shared" ref="I115:R115" si="332">I29/I12</f>
        <v>0.23749999999999999</v>
      </c>
      <c r="J115" s="169">
        <f t="shared" si="332"/>
        <v>0.25236842105263158</v>
      </c>
      <c r="K115" s="169">
        <f t="shared" si="332"/>
        <v>0.13953488372093023</v>
      </c>
      <c r="L115" s="169">
        <f t="shared" si="332"/>
        <v>0.27672955974842767</v>
      </c>
      <c r="M115" s="169">
        <f t="shared" si="332"/>
        <v>0.84444444444444444</v>
      </c>
      <c r="N115" s="169">
        <f t="shared" si="332"/>
        <v>0.34951456310679613</v>
      </c>
      <c r="O115" s="169">
        <f t="shared" si="332"/>
        <v>0.11355311355311355</v>
      </c>
      <c r="P115" s="169">
        <f t="shared" si="332"/>
        <v>0.14569536423841059</v>
      </c>
      <c r="Q115" s="169">
        <f t="shared" si="332"/>
        <v>9.03954802259887E-2</v>
      </c>
      <c r="R115" s="169">
        <f t="shared" si="332"/>
        <v>0.18174418604651163</v>
      </c>
      <c r="S115" s="169">
        <f t="shared" ref="S115" si="333">S29/S12</f>
        <v>0.10053030303030303</v>
      </c>
      <c r="T115" s="118">
        <f t="shared" si="180"/>
        <v>0.73692015457596427</v>
      </c>
      <c r="U115" s="20"/>
      <c r="V115" s="150">
        <f t="shared" ref="V115:AE115" si="334">V29/V12</f>
        <v>0.10053030303030303</v>
      </c>
      <c r="W115" s="150">
        <f t="shared" si="334"/>
        <v>0.10053030303030303</v>
      </c>
      <c r="X115" s="150">
        <f t="shared" si="334"/>
        <v>0.10053030303030304</v>
      </c>
      <c r="Y115" s="150">
        <f t="shared" si="334"/>
        <v>0.10053030303030305</v>
      </c>
      <c r="Z115" s="150">
        <f t="shared" si="334"/>
        <v>0.10053030303030305</v>
      </c>
      <c r="AA115" s="150">
        <f t="shared" si="334"/>
        <v>0.10053030303030305</v>
      </c>
      <c r="AB115" s="150">
        <f t="shared" si="334"/>
        <v>0.10053030303030305</v>
      </c>
      <c r="AC115" s="150">
        <f t="shared" si="334"/>
        <v>0.10053030303030307</v>
      </c>
      <c r="AD115" s="150">
        <f t="shared" si="334"/>
        <v>0.10053030303030307</v>
      </c>
      <c r="AE115" s="150">
        <f t="shared" si="334"/>
        <v>0.10053030303030307</v>
      </c>
      <c r="AF115" s="137">
        <f t="shared" si="295"/>
        <v>-4.0111835030968046E-2</v>
      </c>
      <c r="AG115" s="145"/>
      <c r="AH115" s="145"/>
    </row>
    <row r="116" spans="1:34" ht="12" customHeight="1">
      <c r="B116" s="20" t="s">
        <v>366</v>
      </c>
      <c r="C116" s="150"/>
      <c r="D116" s="150"/>
      <c r="E116" s="150"/>
      <c r="F116" s="150"/>
      <c r="G116" s="169">
        <f t="shared" ref="G116:H116" si="335">G29/G23</f>
        <v>1.3440860215053763E-4</v>
      </c>
      <c r="H116" s="169">
        <f t="shared" si="335"/>
        <v>0.34305317324185247</v>
      </c>
      <c r="I116" s="169">
        <f>I29/I23</f>
        <v>0.31666666666666665</v>
      </c>
      <c r="J116" s="169">
        <f t="shared" ref="J116:R116" si="336">J29/J23</f>
        <v>0.41695652173913045</v>
      </c>
      <c r="K116" s="169">
        <f t="shared" si="336"/>
        <v>0.16161616161616163</v>
      </c>
      <c r="L116" s="169">
        <f t="shared" si="336"/>
        <v>0.34645669291338582</v>
      </c>
      <c r="M116" s="169">
        <f t="shared" si="336"/>
        <v>1.1515151515151516</v>
      </c>
      <c r="N116" s="169">
        <f t="shared" si="336"/>
        <v>0.5</v>
      </c>
      <c r="O116" s="169">
        <f t="shared" si="336"/>
        <v>0.5</v>
      </c>
      <c r="P116" s="169">
        <f t="shared" si="336"/>
        <v>0.43137254901960786</v>
      </c>
      <c r="Q116" s="169">
        <f t="shared" si="336"/>
        <v>0.18181818181818182</v>
      </c>
      <c r="R116" s="169">
        <f t="shared" si="336"/>
        <v>0.35758407687028143</v>
      </c>
      <c r="S116" s="169">
        <f t="shared" ref="S116" si="337">S29/S23</f>
        <v>0.19601181683899555</v>
      </c>
      <c r="T116" s="118">
        <f t="shared" si="180"/>
        <v>0.83507829778293585</v>
      </c>
      <c r="U116" s="20"/>
      <c r="V116" s="169">
        <f t="shared" ref="V116:AE116" si="338">V29/V23</f>
        <v>0.19601181683899555</v>
      </c>
      <c r="W116" s="169">
        <f t="shared" si="338"/>
        <v>0.19601181683899557</v>
      </c>
      <c r="X116" s="169">
        <f t="shared" si="338"/>
        <v>0.19601181683899557</v>
      </c>
      <c r="Y116" s="169">
        <f t="shared" si="338"/>
        <v>0.1960118168389956</v>
      </c>
      <c r="Z116" s="169">
        <f t="shared" si="338"/>
        <v>0.1960118168389956</v>
      </c>
      <c r="AA116" s="169">
        <f t="shared" si="338"/>
        <v>0.1960118168389956</v>
      </c>
      <c r="AB116" s="169">
        <f t="shared" si="338"/>
        <v>0.1960118168389956</v>
      </c>
      <c r="AC116" s="169">
        <f t="shared" si="338"/>
        <v>0.1960118168389956</v>
      </c>
      <c r="AD116" s="169">
        <f t="shared" si="338"/>
        <v>0.1960118168389956</v>
      </c>
      <c r="AE116" s="169">
        <f t="shared" si="338"/>
        <v>0.1960118168389956</v>
      </c>
      <c r="AF116" s="137">
        <f t="shared" ref="AF116" si="339">((AE116/I116)^(1/($AE$3-$J$1) ))-1</f>
        <v>-2.2582759044889045E-2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398</v>
      </c>
      <c r="C118" s="150"/>
      <c r="D118" s="150"/>
      <c r="E118" s="150"/>
      <c r="F118" s="150"/>
      <c r="G118" s="127">
        <f t="shared" ref="G118:H118" si="340">1/G112</f>
        <v>675000</v>
      </c>
      <c r="H118" s="127">
        <f t="shared" si="340"/>
        <v>194.25</v>
      </c>
      <c r="I118" s="127">
        <f>1/I112</f>
        <v>249.73684210526318</v>
      </c>
      <c r="J118" s="127">
        <f t="shared" ref="J118:R118" si="341">1/J112</f>
        <v>134.51511991657978</v>
      </c>
      <c r="K118" s="127">
        <f t="shared" si="341"/>
        <v>73.625</v>
      </c>
      <c r="L118" s="127">
        <f t="shared" si="341"/>
        <v>44.95454545454546</v>
      </c>
      <c r="M118" s="127">
        <f t="shared" si="341"/>
        <v>59.131578947368418</v>
      </c>
      <c r="N118" s="127">
        <f t="shared" si="341"/>
        <v>76.333333333333343</v>
      </c>
      <c r="O118" s="127">
        <f t="shared" si="341"/>
        <v>103.03225806451613</v>
      </c>
      <c r="P118" s="127">
        <f t="shared" si="341"/>
        <v>172.81818181818181</v>
      </c>
      <c r="Q118" s="127">
        <f t="shared" si="341"/>
        <v>273.75</v>
      </c>
      <c r="R118" s="127">
        <f t="shared" si="341"/>
        <v>313.24376199616125</v>
      </c>
      <c r="S118" s="127">
        <f t="shared" ref="S118" si="342">1/S112</f>
        <v>406.78221552373776</v>
      </c>
      <c r="T118" s="118">
        <f t="shared" si="180"/>
        <v>-0.46089728950291142</v>
      </c>
      <c r="U118" s="20"/>
      <c r="V118" s="127">
        <f t="shared" ref="V118:AE118" si="343">1/V112</f>
        <v>406.7822155237377</v>
      </c>
      <c r="W118" s="127">
        <f t="shared" si="343"/>
        <v>406.7822155237377</v>
      </c>
      <c r="X118" s="127">
        <f t="shared" si="343"/>
        <v>406.7822155237377</v>
      </c>
      <c r="Y118" s="127">
        <f t="shared" si="343"/>
        <v>406.78221552373765</v>
      </c>
      <c r="Z118" s="127">
        <f t="shared" si="343"/>
        <v>406.78221552373765</v>
      </c>
      <c r="AA118" s="127">
        <f t="shared" si="343"/>
        <v>406.78221552373765</v>
      </c>
      <c r="AB118" s="127">
        <f t="shared" si="343"/>
        <v>406.78221552373765</v>
      </c>
      <c r="AC118" s="127">
        <f t="shared" si="343"/>
        <v>406.78221552373759</v>
      </c>
      <c r="AD118" s="127">
        <f t="shared" si="343"/>
        <v>406.78221552373759</v>
      </c>
      <c r="AE118" s="127">
        <f t="shared" si="343"/>
        <v>406.78221552373765</v>
      </c>
      <c r="AF118" s="137">
        <f t="shared" si="295"/>
        <v>2.3503877846724253E-2</v>
      </c>
      <c r="AG118" s="145"/>
      <c r="AH118" s="145"/>
    </row>
    <row r="119" spans="1:34" ht="12" customHeight="1">
      <c r="B119" s="20" t="s">
        <v>399</v>
      </c>
      <c r="C119" s="150"/>
      <c r="D119" s="150"/>
      <c r="E119" s="150"/>
      <c r="F119" s="150"/>
      <c r="G119" s="127">
        <f t="shared" ref="G119:H119" si="344">1/G113</f>
        <v>108000</v>
      </c>
      <c r="H119" s="127">
        <f t="shared" si="344"/>
        <v>32</v>
      </c>
      <c r="I119" s="127">
        <f t="shared" ref="I119:R122" si="345">1/I113</f>
        <v>38.15789473684211</v>
      </c>
      <c r="J119" s="127">
        <f t="shared" si="345"/>
        <v>17.935349322210637</v>
      </c>
      <c r="K119" s="127">
        <f t="shared" si="345"/>
        <v>10.458333333333334</v>
      </c>
      <c r="L119" s="127">
        <f t="shared" si="345"/>
        <v>5.5</v>
      </c>
      <c r="M119" s="127">
        <f t="shared" si="345"/>
        <v>10.473684210526317</v>
      </c>
      <c r="N119" s="127">
        <f t="shared" si="345"/>
        <v>12.888888888888889</v>
      </c>
      <c r="O119" s="127">
        <f t="shared" si="345"/>
        <v>15.935483870967744</v>
      </c>
      <c r="P119" s="127">
        <f t="shared" si="345"/>
        <v>27.227272727272727</v>
      </c>
      <c r="Q119" s="127">
        <f t="shared" si="345"/>
        <v>41.9375</v>
      </c>
      <c r="R119" s="127">
        <f t="shared" si="345"/>
        <v>49.264235444657707</v>
      </c>
      <c r="S119" s="127">
        <f t="shared" ref="S119" si="346">1/S113</f>
        <v>88.394875659382066</v>
      </c>
      <c r="T119" s="118">
        <f t="shared" si="180"/>
        <v>-0.44696797927985177</v>
      </c>
      <c r="U119" s="20"/>
      <c r="V119" s="127">
        <f t="shared" ref="V119:AE119" si="347">1/V113</f>
        <v>88.394875659382066</v>
      </c>
      <c r="W119" s="127">
        <f t="shared" si="347"/>
        <v>88.39487565938208</v>
      </c>
      <c r="X119" s="127">
        <f t="shared" si="347"/>
        <v>88.394875659382066</v>
      </c>
      <c r="Y119" s="127">
        <f t="shared" si="347"/>
        <v>88.394875659382052</v>
      </c>
      <c r="Z119" s="127">
        <f t="shared" si="347"/>
        <v>88.394875659382052</v>
      </c>
      <c r="AA119" s="127">
        <f t="shared" si="347"/>
        <v>88.394875659382052</v>
      </c>
      <c r="AB119" s="127">
        <f t="shared" si="347"/>
        <v>88.394875659382038</v>
      </c>
      <c r="AC119" s="127">
        <f t="shared" si="347"/>
        <v>88.394875659382038</v>
      </c>
      <c r="AD119" s="127">
        <f t="shared" si="347"/>
        <v>88.394875659382052</v>
      </c>
      <c r="AE119" s="127">
        <f t="shared" si="347"/>
        <v>88.394875659382052</v>
      </c>
      <c r="AF119" s="137">
        <f t="shared" si="295"/>
        <v>4.0814804845043851E-2</v>
      </c>
      <c r="AG119" s="145"/>
      <c r="AH119" s="145"/>
    </row>
    <row r="120" spans="1:34" ht="12" customHeight="1">
      <c r="B120" s="20" t="s">
        <v>400</v>
      </c>
      <c r="C120" s="150"/>
      <c r="D120" s="150"/>
      <c r="E120" s="150"/>
      <c r="F120" s="150"/>
      <c r="G120" s="127">
        <f t="shared" ref="G120:H120" si="348">1/G114</f>
        <v>60999.999999999993</v>
      </c>
      <c r="H120" s="127">
        <f t="shared" si="348"/>
        <v>18</v>
      </c>
      <c r="I120" s="127">
        <f t="shared" si="345"/>
        <v>22.631578947368421</v>
      </c>
      <c r="J120" s="127">
        <f t="shared" si="345"/>
        <v>11.574556830031284</v>
      </c>
      <c r="K120" s="127">
        <f t="shared" si="345"/>
        <v>7.125</v>
      </c>
      <c r="L120" s="127">
        <f t="shared" si="345"/>
        <v>2.5</v>
      </c>
      <c r="M120" s="127">
        <f t="shared" si="345"/>
        <v>7.2368421052631575</v>
      </c>
      <c r="N120" s="127">
        <f t="shared" si="345"/>
        <v>8.5555555555555554</v>
      </c>
      <c r="O120" s="127">
        <f t="shared" si="345"/>
        <v>10.387096774193548</v>
      </c>
      <c r="P120" s="127">
        <f t="shared" si="345"/>
        <v>19.136363636363637</v>
      </c>
      <c r="Q120" s="127">
        <f t="shared" si="345"/>
        <v>27.9375</v>
      </c>
      <c r="R120" s="127">
        <f t="shared" si="345"/>
        <v>32.501599488163784</v>
      </c>
      <c r="S120" s="127">
        <f t="shared" ref="S120" si="349">1/S114</f>
        <v>56.970610399397138</v>
      </c>
      <c r="T120" s="118">
        <f t="shared" si="180"/>
        <v>-0.44085202920873634</v>
      </c>
      <c r="U120" s="20"/>
      <c r="V120" s="127">
        <f t="shared" ref="V120:AE120" si="350">1/V114</f>
        <v>56.970610399397138</v>
      </c>
      <c r="W120" s="127">
        <f t="shared" si="350"/>
        <v>56.970610399397138</v>
      </c>
      <c r="X120" s="127">
        <f t="shared" si="350"/>
        <v>56.970610399397124</v>
      </c>
      <c r="Y120" s="127">
        <f t="shared" si="350"/>
        <v>56.970610399397117</v>
      </c>
      <c r="Z120" s="127">
        <f t="shared" si="350"/>
        <v>56.970610399397117</v>
      </c>
      <c r="AA120" s="127">
        <f t="shared" si="350"/>
        <v>56.970610399397103</v>
      </c>
      <c r="AB120" s="127">
        <f t="shared" si="350"/>
        <v>56.970610399397103</v>
      </c>
      <c r="AC120" s="127">
        <f t="shared" si="350"/>
        <v>56.970610399397103</v>
      </c>
      <c r="AD120" s="127">
        <f t="shared" si="350"/>
        <v>56.970610399397117</v>
      </c>
      <c r="AE120" s="127">
        <f t="shared" si="350"/>
        <v>56.970610399397117</v>
      </c>
      <c r="AF120" s="137">
        <f t="shared" si="295"/>
        <v>4.4942014288230192E-2</v>
      </c>
      <c r="AG120" s="145"/>
      <c r="AH120" s="145"/>
    </row>
    <row r="121" spans="1:34" ht="12" customHeight="1">
      <c r="B121" s="20" t="s">
        <v>401</v>
      </c>
      <c r="C121" s="150"/>
      <c r="D121" s="150"/>
      <c r="E121" s="150"/>
      <c r="F121" s="150"/>
      <c r="G121" s="127">
        <f t="shared" ref="G121:H121" si="351">1/G115</f>
        <v>7500</v>
      </c>
      <c r="H121" s="127">
        <f t="shared" si="351"/>
        <v>3.5</v>
      </c>
      <c r="I121" s="127">
        <f t="shared" si="345"/>
        <v>4.2105263157894735</v>
      </c>
      <c r="J121" s="127">
        <f t="shared" si="345"/>
        <v>3.9624608967674662</v>
      </c>
      <c r="K121" s="127">
        <f t="shared" si="345"/>
        <v>7.166666666666667</v>
      </c>
      <c r="L121" s="127">
        <f t="shared" si="345"/>
        <v>3.6136363636363638</v>
      </c>
      <c r="M121" s="127">
        <f t="shared" si="345"/>
        <v>1.1842105263157894</v>
      </c>
      <c r="N121" s="127">
        <f t="shared" si="345"/>
        <v>2.8611111111111112</v>
      </c>
      <c r="O121" s="127">
        <f t="shared" si="345"/>
        <v>8.806451612903226</v>
      </c>
      <c r="P121" s="127">
        <f t="shared" si="345"/>
        <v>6.8636363636363642</v>
      </c>
      <c r="Q121" s="127">
        <f t="shared" si="345"/>
        <v>11.0625</v>
      </c>
      <c r="R121" s="127">
        <f t="shared" si="345"/>
        <v>5.5022392834293026</v>
      </c>
      <c r="S121" s="127">
        <f t="shared" ref="S121" si="352">1/S115</f>
        <v>9.9472494348153742</v>
      </c>
      <c r="T121" s="118">
        <f t="shared" si="180"/>
        <v>-0.4242682961761528</v>
      </c>
      <c r="U121" s="20"/>
      <c r="V121" s="127">
        <f t="shared" ref="V121:AE121" si="353">1/V115</f>
        <v>9.9472494348153742</v>
      </c>
      <c r="W121" s="127">
        <f t="shared" si="353"/>
        <v>9.9472494348153742</v>
      </c>
      <c r="X121" s="127">
        <f t="shared" si="353"/>
        <v>9.9472494348153724</v>
      </c>
      <c r="Y121" s="127">
        <f t="shared" si="353"/>
        <v>9.9472494348153706</v>
      </c>
      <c r="Z121" s="127">
        <f t="shared" si="353"/>
        <v>9.9472494348153706</v>
      </c>
      <c r="AA121" s="127">
        <f t="shared" si="353"/>
        <v>9.9472494348153706</v>
      </c>
      <c r="AB121" s="127">
        <f t="shared" si="353"/>
        <v>9.9472494348153706</v>
      </c>
      <c r="AC121" s="127">
        <f t="shared" si="353"/>
        <v>9.9472494348153688</v>
      </c>
      <c r="AD121" s="127">
        <f t="shared" si="353"/>
        <v>9.9472494348153688</v>
      </c>
      <c r="AE121" s="127">
        <f t="shared" si="353"/>
        <v>9.9472494348153688</v>
      </c>
      <c r="AF121" s="137">
        <f t="shared" si="295"/>
        <v>4.1788029579739705E-2</v>
      </c>
      <c r="AG121" s="145"/>
      <c r="AH121" s="145"/>
    </row>
    <row r="122" spans="1:34" ht="12" customHeight="1">
      <c r="B122" s="20" t="s">
        <v>402</v>
      </c>
      <c r="C122" s="150"/>
      <c r="D122" s="150"/>
      <c r="E122" s="150"/>
      <c r="F122" s="150"/>
      <c r="G122" s="127">
        <f t="shared" ref="G122:H122" si="354">1/G116</f>
        <v>7440</v>
      </c>
      <c r="H122" s="127">
        <f t="shared" si="354"/>
        <v>2.915</v>
      </c>
      <c r="I122" s="127">
        <f t="shared" si="345"/>
        <v>3.1578947368421053</v>
      </c>
      <c r="J122" s="127">
        <f t="shared" si="345"/>
        <v>2.3983315954118871</v>
      </c>
      <c r="K122" s="127">
        <f t="shared" si="345"/>
        <v>6.1874999999999991</v>
      </c>
      <c r="L122" s="127">
        <f t="shared" si="345"/>
        <v>2.8863636363636362</v>
      </c>
      <c r="M122" s="127">
        <f t="shared" si="345"/>
        <v>0.86842105263157887</v>
      </c>
      <c r="N122" s="127">
        <f t="shared" si="345"/>
        <v>2</v>
      </c>
      <c r="O122" s="127">
        <f t="shared" si="345"/>
        <v>2</v>
      </c>
      <c r="P122" s="127">
        <f t="shared" si="345"/>
        <v>2.3181818181818179</v>
      </c>
      <c r="Q122" s="127">
        <f t="shared" si="345"/>
        <v>5.5</v>
      </c>
      <c r="R122" s="127">
        <f t="shared" si="345"/>
        <v>2.7965451055662185</v>
      </c>
      <c r="S122" s="127">
        <f t="shared" ref="S122" si="355">1/S116</f>
        <v>5.1017332328560672</v>
      </c>
      <c r="T122" s="118">
        <f t="shared" si="180"/>
        <v>-0.4550641238533758</v>
      </c>
      <c r="U122" s="20"/>
      <c r="V122" s="127">
        <f t="shared" ref="V122:AE122" si="356">1/V116</f>
        <v>5.1017332328560672</v>
      </c>
      <c r="W122" s="127">
        <f t="shared" si="356"/>
        <v>5.1017332328560663</v>
      </c>
      <c r="X122" s="127">
        <f t="shared" si="356"/>
        <v>5.1017332328560663</v>
      </c>
      <c r="Y122" s="127">
        <f t="shared" si="356"/>
        <v>5.1017332328560654</v>
      </c>
      <c r="Z122" s="127">
        <f t="shared" si="356"/>
        <v>5.1017332328560654</v>
      </c>
      <c r="AA122" s="127">
        <f t="shared" si="356"/>
        <v>5.1017332328560654</v>
      </c>
      <c r="AB122" s="127">
        <f t="shared" si="356"/>
        <v>5.1017332328560654</v>
      </c>
      <c r="AC122" s="127">
        <f t="shared" si="356"/>
        <v>5.1017332328560654</v>
      </c>
      <c r="AD122" s="127">
        <f t="shared" si="356"/>
        <v>5.1017332328560654</v>
      </c>
      <c r="AE122" s="127">
        <f t="shared" si="356"/>
        <v>5.1017332328560654</v>
      </c>
      <c r="AF122" s="137">
        <f t="shared" si="295"/>
        <v>2.3104522918811599E-2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6" t="s">
        <v>480</v>
      </c>
      <c r="B124" s="200" t="s">
        <v>488</v>
      </c>
      <c r="C124" s="150"/>
      <c r="D124" s="150"/>
      <c r="E124" s="150"/>
      <c r="F124" s="150"/>
      <c r="G124" s="169" t="e">
        <f t="shared" ref="G124:H124" si="357">G25/(G36+G38)</f>
        <v>#DIV/0!</v>
      </c>
      <c r="H124" s="169" t="e">
        <f t="shared" si="357"/>
        <v>#DIV/0!</v>
      </c>
      <c r="I124" s="169" t="e">
        <f t="shared" ref="I124:S124" si="358">I25/(I36+I38)</f>
        <v>#DIV/0!</v>
      </c>
      <c r="J124" s="169" t="e">
        <f t="shared" si="358"/>
        <v>#DIV/0!</v>
      </c>
      <c r="K124" s="169" t="e">
        <f t="shared" si="358"/>
        <v>#DIV/0!</v>
      </c>
      <c r="L124" s="169" t="e">
        <f t="shared" si="358"/>
        <v>#DIV/0!</v>
      </c>
      <c r="M124" s="169" t="e">
        <f t="shared" si="358"/>
        <v>#DIV/0!</v>
      </c>
      <c r="N124" s="169" t="e">
        <f t="shared" si="358"/>
        <v>#DIV/0!</v>
      </c>
      <c r="O124" s="169" t="e">
        <f t="shared" si="358"/>
        <v>#DIV/0!</v>
      </c>
      <c r="P124" s="169" t="e">
        <f t="shared" si="358"/>
        <v>#DIV/0!</v>
      </c>
      <c r="Q124" s="169" t="e">
        <f t="shared" si="358"/>
        <v>#DIV/0!</v>
      </c>
      <c r="R124" s="169" t="e">
        <f t="shared" si="358"/>
        <v>#DIV/0!</v>
      </c>
      <c r="S124" s="169" t="e">
        <f t="shared" si="358"/>
        <v>#DIV/0!</v>
      </c>
      <c r="T124" s="118" t="e">
        <f t="shared" si="180"/>
        <v>#DIV/0!</v>
      </c>
      <c r="U124" s="20"/>
      <c r="V124" s="169" t="e">
        <f t="shared" ref="V124:AE124" si="359">V25/(V36+V38)</f>
        <v>#DIV/0!</v>
      </c>
      <c r="W124" s="169" t="e">
        <f t="shared" si="359"/>
        <v>#DIV/0!</v>
      </c>
      <c r="X124" s="169" t="e">
        <f t="shared" si="359"/>
        <v>#DIV/0!</v>
      </c>
      <c r="Y124" s="169" t="e">
        <f t="shared" si="359"/>
        <v>#DIV/0!</v>
      </c>
      <c r="Z124" s="169" t="e">
        <f t="shared" si="359"/>
        <v>#DIV/0!</v>
      </c>
      <c r="AA124" s="169" t="e">
        <f t="shared" si="359"/>
        <v>#DIV/0!</v>
      </c>
      <c r="AB124" s="169" t="e">
        <f t="shared" si="359"/>
        <v>#DIV/0!</v>
      </c>
      <c r="AC124" s="169" t="e">
        <f t="shared" si="359"/>
        <v>#DIV/0!</v>
      </c>
      <c r="AD124" s="169" t="e">
        <f t="shared" si="359"/>
        <v>#DIV/0!</v>
      </c>
      <c r="AE124" s="169" t="e">
        <f t="shared" si="359"/>
        <v>#DIV/0!</v>
      </c>
      <c r="AF124" s="137" t="e">
        <f t="shared" ref="AF124:AF132" si="360">((AE124/I124)^(1/($AE$3-$J$1) ))-1</f>
        <v>#DIV/0!</v>
      </c>
      <c r="AG124" s="145"/>
      <c r="AH124" s="145"/>
    </row>
    <row r="125" spans="1:34" ht="12" customHeight="1">
      <c r="A125" s="206"/>
      <c r="B125" s="200" t="s">
        <v>482</v>
      </c>
      <c r="C125" s="150"/>
      <c r="D125" s="150"/>
      <c r="E125" s="150"/>
      <c r="F125" s="150"/>
      <c r="G125" s="169" t="e">
        <f t="shared" ref="G125:H125" si="361">G25/G43</f>
        <v>#DIV/0!</v>
      </c>
      <c r="H125" s="169" t="e">
        <f t="shared" si="361"/>
        <v>#DIV/0!</v>
      </c>
      <c r="I125" s="169" t="e">
        <f t="shared" ref="I125:S125" si="362">I25/I43</f>
        <v>#DIV/0!</v>
      </c>
      <c r="J125" s="169" t="e">
        <f t="shared" si="362"/>
        <v>#DIV/0!</v>
      </c>
      <c r="K125" s="169" t="e">
        <f t="shared" si="362"/>
        <v>#DIV/0!</v>
      </c>
      <c r="L125" s="169" t="e">
        <f t="shared" si="362"/>
        <v>#DIV/0!</v>
      </c>
      <c r="M125" s="169" t="e">
        <f t="shared" si="362"/>
        <v>#DIV/0!</v>
      </c>
      <c r="N125" s="169" t="e">
        <f t="shared" si="362"/>
        <v>#DIV/0!</v>
      </c>
      <c r="O125" s="169" t="e">
        <f t="shared" si="362"/>
        <v>#DIV/0!</v>
      </c>
      <c r="P125" s="169" t="e">
        <f t="shared" si="362"/>
        <v>#DIV/0!</v>
      </c>
      <c r="Q125" s="169" t="e">
        <f t="shared" si="362"/>
        <v>#DIV/0!</v>
      </c>
      <c r="R125" s="169" t="e">
        <f t="shared" si="362"/>
        <v>#DIV/0!</v>
      </c>
      <c r="S125" s="169" t="e">
        <f t="shared" si="362"/>
        <v>#DIV/0!</v>
      </c>
      <c r="T125" s="118" t="e">
        <f t="shared" si="180"/>
        <v>#DIV/0!</v>
      </c>
      <c r="U125" s="20"/>
      <c r="V125" s="169" t="e">
        <f t="shared" ref="V125:AE125" si="363">V25/V43</f>
        <v>#DIV/0!</v>
      </c>
      <c r="W125" s="169" t="e">
        <f t="shared" si="363"/>
        <v>#DIV/0!</v>
      </c>
      <c r="X125" s="169" t="e">
        <f t="shared" si="363"/>
        <v>#DIV/0!</v>
      </c>
      <c r="Y125" s="169" t="e">
        <f t="shared" si="363"/>
        <v>#DIV/0!</v>
      </c>
      <c r="Z125" s="169" t="e">
        <f t="shared" si="363"/>
        <v>#DIV/0!</v>
      </c>
      <c r="AA125" s="169" t="e">
        <f t="shared" si="363"/>
        <v>#DIV/0!</v>
      </c>
      <c r="AB125" s="169" t="e">
        <f t="shared" si="363"/>
        <v>#DIV/0!</v>
      </c>
      <c r="AC125" s="169" t="e">
        <f t="shared" si="363"/>
        <v>#DIV/0!</v>
      </c>
      <c r="AD125" s="169" t="e">
        <f t="shared" si="363"/>
        <v>#DIV/0!</v>
      </c>
      <c r="AE125" s="169" t="e">
        <f t="shared" si="363"/>
        <v>#DIV/0!</v>
      </c>
      <c r="AF125" s="137" t="e">
        <f t="shared" si="360"/>
        <v>#DIV/0!</v>
      </c>
      <c r="AG125" s="145"/>
      <c r="AH125" s="145"/>
    </row>
    <row r="126" spans="1:34" ht="12" customHeight="1">
      <c r="A126" s="206"/>
      <c r="B126" s="200" t="s">
        <v>489</v>
      </c>
      <c r="C126" s="150"/>
      <c r="D126" s="150"/>
      <c r="E126" s="150"/>
      <c r="F126" s="150"/>
      <c r="G126" s="169" t="e">
        <f t="shared" ref="G126:H126" si="364">G43/(G36)</f>
        <v>#DIV/0!</v>
      </c>
      <c r="H126" s="169" t="e">
        <f t="shared" si="364"/>
        <v>#DIV/0!</v>
      </c>
      <c r="I126" s="169" t="e">
        <f t="shared" ref="I126:S126" si="365">I43/(I36)</f>
        <v>#DIV/0!</v>
      </c>
      <c r="J126" s="169" t="e">
        <f t="shared" si="365"/>
        <v>#DIV/0!</v>
      </c>
      <c r="K126" s="169" t="e">
        <f t="shared" si="365"/>
        <v>#DIV/0!</v>
      </c>
      <c r="L126" s="169" t="e">
        <f t="shared" si="365"/>
        <v>#DIV/0!</v>
      </c>
      <c r="M126" s="169" t="e">
        <f t="shared" si="365"/>
        <v>#DIV/0!</v>
      </c>
      <c r="N126" s="169" t="e">
        <f t="shared" si="365"/>
        <v>#DIV/0!</v>
      </c>
      <c r="O126" s="169" t="e">
        <f t="shared" si="365"/>
        <v>#DIV/0!</v>
      </c>
      <c r="P126" s="169" t="e">
        <f t="shared" si="365"/>
        <v>#DIV/0!</v>
      </c>
      <c r="Q126" s="169" t="e">
        <f t="shared" si="365"/>
        <v>#DIV/0!</v>
      </c>
      <c r="R126" s="169" t="e">
        <f t="shared" si="365"/>
        <v>#DIV/0!</v>
      </c>
      <c r="S126" s="169" t="e">
        <f t="shared" si="365"/>
        <v>#DIV/0!</v>
      </c>
      <c r="T126" s="118" t="e">
        <f t="shared" si="180"/>
        <v>#DIV/0!</v>
      </c>
      <c r="U126" s="20"/>
      <c r="V126" s="169" t="e">
        <f t="shared" ref="V126:AE126" si="366">V43/(V36+V38)</f>
        <v>#DIV/0!</v>
      </c>
      <c r="W126" s="169" t="e">
        <f t="shared" si="366"/>
        <v>#DIV/0!</v>
      </c>
      <c r="X126" s="169" t="e">
        <f t="shared" si="366"/>
        <v>#DIV/0!</v>
      </c>
      <c r="Y126" s="169" t="e">
        <f t="shared" si="366"/>
        <v>#DIV/0!</v>
      </c>
      <c r="Z126" s="169" t="e">
        <f t="shared" si="366"/>
        <v>#DIV/0!</v>
      </c>
      <c r="AA126" s="169" t="e">
        <f t="shared" si="366"/>
        <v>#DIV/0!</v>
      </c>
      <c r="AB126" s="169" t="e">
        <f t="shared" si="366"/>
        <v>#DIV/0!</v>
      </c>
      <c r="AC126" s="169" t="e">
        <f t="shared" si="366"/>
        <v>#DIV/0!</v>
      </c>
      <c r="AD126" s="169" t="e">
        <f t="shared" si="366"/>
        <v>#DIV/0!</v>
      </c>
      <c r="AE126" s="169" t="e">
        <f t="shared" si="366"/>
        <v>#DIV/0!</v>
      </c>
      <c r="AF126" s="137" t="e">
        <f t="shared" si="360"/>
        <v>#DIV/0!</v>
      </c>
      <c r="AG126" s="145"/>
      <c r="AH126" s="145"/>
    </row>
    <row r="127" spans="1:34" ht="12" customHeight="1">
      <c r="A127" s="206"/>
      <c r="B127" s="200" t="s">
        <v>486</v>
      </c>
      <c r="C127" s="150"/>
      <c r="D127" s="150"/>
      <c r="E127" s="150"/>
      <c r="F127" s="150"/>
      <c r="G127" s="169" t="e">
        <f t="shared" ref="G127:H127" si="367">G43/G38</f>
        <v>#DIV/0!</v>
      </c>
      <c r="H127" s="169" t="e">
        <f t="shared" si="367"/>
        <v>#DIV/0!</v>
      </c>
      <c r="I127" s="169" t="e">
        <f t="shared" ref="I127:S127" si="368">I43/I38</f>
        <v>#DIV/0!</v>
      </c>
      <c r="J127" s="169" t="e">
        <f t="shared" si="368"/>
        <v>#DIV/0!</v>
      </c>
      <c r="K127" s="169" t="e">
        <f t="shared" si="368"/>
        <v>#DIV/0!</v>
      </c>
      <c r="L127" s="169" t="e">
        <f t="shared" si="368"/>
        <v>#DIV/0!</v>
      </c>
      <c r="M127" s="169" t="e">
        <f t="shared" si="368"/>
        <v>#DIV/0!</v>
      </c>
      <c r="N127" s="169" t="e">
        <f t="shared" si="368"/>
        <v>#DIV/0!</v>
      </c>
      <c r="O127" s="169" t="e">
        <f t="shared" si="368"/>
        <v>#DIV/0!</v>
      </c>
      <c r="P127" s="169" t="e">
        <f t="shared" si="368"/>
        <v>#DIV/0!</v>
      </c>
      <c r="Q127" s="169" t="e">
        <f t="shared" si="368"/>
        <v>#DIV/0!</v>
      </c>
      <c r="R127" s="169" t="e">
        <f t="shared" si="368"/>
        <v>#DIV/0!</v>
      </c>
      <c r="S127" s="169" t="e">
        <f t="shared" si="368"/>
        <v>#DIV/0!</v>
      </c>
      <c r="T127" s="118" t="e">
        <f t="shared" si="180"/>
        <v>#DIV/0!</v>
      </c>
      <c r="U127" s="20"/>
      <c r="V127" s="169" t="e">
        <f t="shared" ref="V127:AE127" si="369">V43/V38</f>
        <v>#DIV/0!</v>
      </c>
      <c r="W127" s="169" t="e">
        <f t="shared" si="369"/>
        <v>#DIV/0!</v>
      </c>
      <c r="X127" s="169" t="e">
        <f t="shared" si="369"/>
        <v>#DIV/0!</v>
      </c>
      <c r="Y127" s="169" t="e">
        <f t="shared" si="369"/>
        <v>#DIV/0!</v>
      </c>
      <c r="Z127" s="169" t="e">
        <f t="shared" si="369"/>
        <v>#DIV/0!</v>
      </c>
      <c r="AA127" s="169" t="e">
        <f t="shared" si="369"/>
        <v>#DIV/0!</v>
      </c>
      <c r="AB127" s="169" t="e">
        <f t="shared" si="369"/>
        <v>#DIV/0!</v>
      </c>
      <c r="AC127" s="169" t="e">
        <f t="shared" si="369"/>
        <v>#DIV/0!</v>
      </c>
      <c r="AD127" s="169" t="e">
        <f t="shared" si="369"/>
        <v>#DIV/0!</v>
      </c>
      <c r="AE127" s="169" t="e">
        <f t="shared" si="369"/>
        <v>#DIV/0!</v>
      </c>
      <c r="AF127" s="137" t="e">
        <f t="shared" si="360"/>
        <v>#DIV/0!</v>
      </c>
      <c r="AG127" s="145"/>
      <c r="AH127" s="145"/>
    </row>
    <row r="128" spans="1:34" ht="12" customHeight="1">
      <c r="A128" s="206"/>
      <c r="B128" s="200" t="s">
        <v>485</v>
      </c>
      <c r="C128" s="150"/>
      <c r="D128" s="150"/>
      <c r="E128" s="150"/>
      <c r="F128" s="150"/>
      <c r="G128" s="169" t="e">
        <f t="shared" ref="G128:H128" si="370">G43/(G36+G38)</f>
        <v>#DIV/0!</v>
      </c>
      <c r="H128" s="169" t="e">
        <f t="shared" si="370"/>
        <v>#DIV/0!</v>
      </c>
      <c r="I128" s="169" t="e">
        <f t="shared" ref="I128:S128" si="371">I43/(I36+I38)</f>
        <v>#DIV/0!</v>
      </c>
      <c r="J128" s="169" t="e">
        <f t="shared" si="371"/>
        <v>#DIV/0!</v>
      </c>
      <c r="K128" s="169" t="e">
        <f t="shared" si="371"/>
        <v>#DIV/0!</v>
      </c>
      <c r="L128" s="169" t="e">
        <f t="shared" si="371"/>
        <v>#DIV/0!</v>
      </c>
      <c r="M128" s="169" t="e">
        <f t="shared" si="371"/>
        <v>#DIV/0!</v>
      </c>
      <c r="N128" s="169" t="e">
        <f t="shared" si="371"/>
        <v>#DIV/0!</v>
      </c>
      <c r="O128" s="169" t="e">
        <f t="shared" si="371"/>
        <v>#DIV/0!</v>
      </c>
      <c r="P128" s="169" t="e">
        <f t="shared" si="371"/>
        <v>#DIV/0!</v>
      </c>
      <c r="Q128" s="169" t="e">
        <f t="shared" si="371"/>
        <v>#DIV/0!</v>
      </c>
      <c r="R128" s="169" t="e">
        <f t="shared" si="371"/>
        <v>#DIV/0!</v>
      </c>
      <c r="S128" s="169" t="e">
        <f t="shared" si="371"/>
        <v>#DIV/0!</v>
      </c>
      <c r="T128" s="118" t="e">
        <f t="shared" si="180"/>
        <v>#DIV/0!</v>
      </c>
      <c r="U128" s="20"/>
      <c r="V128" s="169" t="e">
        <f t="shared" ref="V128:AE128" si="372">V43/(V36+V38)</f>
        <v>#DIV/0!</v>
      </c>
      <c r="W128" s="169" t="e">
        <f t="shared" si="372"/>
        <v>#DIV/0!</v>
      </c>
      <c r="X128" s="169" t="e">
        <f t="shared" si="372"/>
        <v>#DIV/0!</v>
      </c>
      <c r="Y128" s="169" t="e">
        <f t="shared" si="372"/>
        <v>#DIV/0!</v>
      </c>
      <c r="Z128" s="169" t="e">
        <f t="shared" si="372"/>
        <v>#DIV/0!</v>
      </c>
      <c r="AA128" s="169" t="e">
        <f t="shared" si="372"/>
        <v>#DIV/0!</v>
      </c>
      <c r="AB128" s="169" t="e">
        <f t="shared" si="372"/>
        <v>#DIV/0!</v>
      </c>
      <c r="AC128" s="169" t="e">
        <f t="shared" si="372"/>
        <v>#DIV/0!</v>
      </c>
      <c r="AD128" s="169" t="e">
        <f t="shared" si="372"/>
        <v>#DIV/0!</v>
      </c>
      <c r="AE128" s="169" t="e">
        <f t="shared" si="372"/>
        <v>#DIV/0!</v>
      </c>
      <c r="AF128" s="137" t="e">
        <f>((AE128/I128)^(1/($AE$3-$J$1) ))-1</f>
        <v>#DIV/0!</v>
      </c>
      <c r="AG128" s="145"/>
      <c r="AH128" s="145"/>
    </row>
    <row r="129" spans="1:34" ht="12" customHeight="1">
      <c r="A129" s="206"/>
      <c r="B129" s="200" t="s">
        <v>492</v>
      </c>
      <c r="C129" s="150"/>
      <c r="D129" s="150"/>
      <c r="E129" s="150"/>
      <c r="F129" s="150"/>
      <c r="G129" s="169">
        <f t="shared" ref="G129:H129" si="373">G47/G25</f>
        <v>0</v>
      </c>
      <c r="H129" s="169">
        <f t="shared" si="373"/>
        <v>0</v>
      </c>
      <c r="I129" s="169">
        <f t="shared" ref="I129:S129" si="374">I47/I25</f>
        <v>0</v>
      </c>
      <c r="J129" s="169">
        <f t="shared" si="374"/>
        <v>0</v>
      </c>
      <c r="K129" s="169">
        <f t="shared" si="374"/>
        <v>0</v>
      </c>
      <c r="L129" s="169">
        <f t="shared" si="374"/>
        <v>0</v>
      </c>
      <c r="M129" s="169">
        <f t="shared" si="374"/>
        <v>0</v>
      </c>
      <c r="N129" s="169">
        <f t="shared" si="374"/>
        <v>0</v>
      </c>
      <c r="O129" s="169">
        <f t="shared" si="374"/>
        <v>0</v>
      </c>
      <c r="P129" s="169">
        <f t="shared" si="374"/>
        <v>0</v>
      </c>
      <c r="Q129" s="169">
        <f t="shared" si="374"/>
        <v>0</v>
      </c>
      <c r="R129" s="169">
        <f t="shared" si="374"/>
        <v>0</v>
      </c>
      <c r="S129" s="169">
        <f t="shared" si="374"/>
        <v>0</v>
      </c>
      <c r="T129" s="118" t="e">
        <f t="shared" si="180"/>
        <v>#DIV/0!</v>
      </c>
      <c r="U129" s="20"/>
      <c r="V129" s="169">
        <f t="shared" ref="V129:AE129" si="375">V47/V25</f>
        <v>0</v>
      </c>
      <c r="W129" s="169">
        <f t="shared" si="375"/>
        <v>0</v>
      </c>
      <c r="X129" s="169">
        <f t="shared" si="375"/>
        <v>0</v>
      </c>
      <c r="Y129" s="169">
        <f t="shared" si="375"/>
        <v>0</v>
      </c>
      <c r="Z129" s="169">
        <f t="shared" si="375"/>
        <v>0</v>
      </c>
      <c r="AA129" s="169">
        <f t="shared" si="375"/>
        <v>0</v>
      </c>
      <c r="AB129" s="169">
        <f t="shared" si="375"/>
        <v>0</v>
      </c>
      <c r="AC129" s="169">
        <f t="shared" si="375"/>
        <v>0</v>
      </c>
      <c r="AD129" s="169">
        <f t="shared" si="375"/>
        <v>0</v>
      </c>
      <c r="AE129" s="169">
        <f t="shared" si="375"/>
        <v>0</v>
      </c>
      <c r="AF129" s="137" t="e">
        <f>((AE129/I129)^(1/($AE$3-$J$1) ))-1</f>
        <v>#DIV/0!</v>
      </c>
      <c r="AG129" s="145"/>
      <c r="AH129" s="145"/>
    </row>
    <row r="130" spans="1:34" ht="12" customHeight="1">
      <c r="A130" s="206"/>
      <c r="B130" s="200" t="s">
        <v>490</v>
      </c>
      <c r="C130" s="150"/>
      <c r="D130" s="150"/>
      <c r="E130" s="150"/>
      <c r="F130" s="150"/>
      <c r="G130" s="204" t="e">
        <f t="shared" ref="G130:H130" si="376">G55/G49</f>
        <v>#DIV/0!</v>
      </c>
      <c r="H130" s="204" t="e">
        <f t="shared" si="376"/>
        <v>#DIV/0!</v>
      </c>
      <c r="I130" s="204" t="e">
        <f t="shared" ref="I130:S130" si="377">I55/I49</f>
        <v>#DIV/0!</v>
      </c>
      <c r="J130" s="204" t="e">
        <f t="shared" si="377"/>
        <v>#DIV/0!</v>
      </c>
      <c r="K130" s="204" t="e">
        <f t="shared" si="377"/>
        <v>#DIV/0!</v>
      </c>
      <c r="L130" s="204" t="e">
        <f t="shared" si="377"/>
        <v>#DIV/0!</v>
      </c>
      <c r="M130" s="204" t="e">
        <f t="shared" si="377"/>
        <v>#DIV/0!</v>
      </c>
      <c r="N130" s="204" t="e">
        <f t="shared" si="377"/>
        <v>#DIV/0!</v>
      </c>
      <c r="O130" s="204" t="e">
        <f t="shared" si="377"/>
        <v>#DIV/0!</v>
      </c>
      <c r="P130" s="204" t="e">
        <f t="shared" si="377"/>
        <v>#DIV/0!</v>
      </c>
      <c r="Q130" s="204" t="e">
        <f t="shared" si="377"/>
        <v>#DIV/0!</v>
      </c>
      <c r="R130" s="204" t="e">
        <f t="shared" si="377"/>
        <v>#DIV/0!</v>
      </c>
      <c r="S130" s="204" t="e">
        <f t="shared" si="377"/>
        <v>#DIV/0!</v>
      </c>
      <c r="T130" s="118" t="e">
        <f t="shared" si="180"/>
        <v>#DIV/0!</v>
      </c>
      <c r="U130" s="20"/>
      <c r="V130" s="204" t="e">
        <f t="shared" ref="V130:AE130" si="378">V55/V49</f>
        <v>#DIV/0!</v>
      </c>
      <c r="W130" s="204" t="e">
        <f t="shared" si="378"/>
        <v>#DIV/0!</v>
      </c>
      <c r="X130" s="204" t="e">
        <f t="shared" si="378"/>
        <v>#DIV/0!</v>
      </c>
      <c r="Y130" s="204" t="e">
        <f t="shared" si="378"/>
        <v>#DIV/0!</v>
      </c>
      <c r="Z130" s="204" t="e">
        <f t="shared" si="378"/>
        <v>#DIV/0!</v>
      </c>
      <c r="AA130" s="204" t="e">
        <f t="shared" si="378"/>
        <v>#DIV/0!</v>
      </c>
      <c r="AB130" s="204" t="e">
        <f t="shared" si="378"/>
        <v>#DIV/0!</v>
      </c>
      <c r="AC130" s="204" t="e">
        <f t="shared" si="378"/>
        <v>#DIV/0!</v>
      </c>
      <c r="AD130" s="204" t="e">
        <f t="shared" si="378"/>
        <v>#DIV/0!</v>
      </c>
      <c r="AE130" s="204" t="e">
        <f t="shared" si="378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6"/>
      <c r="B131" s="200" t="s">
        <v>483</v>
      </c>
      <c r="C131" s="150"/>
      <c r="D131" s="150"/>
      <c r="E131" s="150"/>
      <c r="F131" s="150"/>
      <c r="G131" s="169" t="e">
        <f t="shared" ref="G131:H131" si="379">G55/G43</f>
        <v>#DIV/0!</v>
      </c>
      <c r="H131" s="169" t="e">
        <f t="shared" si="379"/>
        <v>#DIV/0!</v>
      </c>
      <c r="I131" s="169" t="e">
        <f t="shared" ref="I131:S131" si="380">I55/I43</f>
        <v>#DIV/0!</v>
      </c>
      <c r="J131" s="169" t="e">
        <f t="shared" si="380"/>
        <v>#DIV/0!</v>
      </c>
      <c r="K131" s="169" t="e">
        <f t="shared" si="380"/>
        <v>#DIV/0!</v>
      </c>
      <c r="L131" s="169" t="e">
        <f t="shared" si="380"/>
        <v>#DIV/0!</v>
      </c>
      <c r="M131" s="169" t="e">
        <f t="shared" si="380"/>
        <v>#DIV/0!</v>
      </c>
      <c r="N131" s="169" t="e">
        <f t="shared" si="380"/>
        <v>#DIV/0!</v>
      </c>
      <c r="O131" s="169" t="e">
        <f t="shared" si="380"/>
        <v>#DIV/0!</v>
      </c>
      <c r="P131" s="169" t="e">
        <f t="shared" si="380"/>
        <v>#DIV/0!</v>
      </c>
      <c r="Q131" s="169" t="e">
        <f t="shared" si="380"/>
        <v>#DIV/0!</v>
      </c>
      <c r="R131" s="169" t="e">
        <f t="shared" si="380"/>
        <v>#DIV/0!</v>
      </c>
      <c r="S131" s="169" t="e">
        <f t="shared" si="380"/>
        <v>#DIV/0!</v>
      </c>
      <c r="T131" s="118" t="e">
        <f t="shared" si="180"/>
        <v>#DIV/0!</v>
      </c>
      <c r="U131" s="20"/>
      <c r="V131" s="169" t="e">
        <f t="shared" ref="V131:AE131" si="381">V55/V43</f>
        <v>#DIV/0!</v>
      </c>
      <c r="W131" s="169" t="e">
        <f t="shared" si="381"/>
        <v>#DIV/0!</v>
      </c>
      <c r="X131" s="169" t="e">
        <f t="shared" si="381"/>
        <v>#DIV/0!</v>
      </c>
      <c r="Y131" s="169" t="e">
        <f t="shared" si="381"/>
        <v>#DIV/0!</v>
      </c>
      <c r="Z131" s="169" t="e">
        <f t="shared" si="381"/>
        <v>#DIV/0!</v>
      </c>
      <c r="AA131" s="169" t="e">
        <f t="shared" si="381"/>
        <v>#DIV/0!</v>
      </c>
      <c r="AB131" s="169" t="e">
        <f t="shared" si="381"/>
        <v>#DIV/0!</v>
      </c>
      <c r="AC131" s="169" t="e">
        <f t="shared" si="381"/>
        <v>#DIV/0!</v>
      </c>
      <c r="AD131" s="169" t="e">
        <f t="shared" si="381"/>
        <v>#DIV/0!</v>
      </c>
      <c r="AE131" s="169" t="e">
        <f t="shared" si="381"/>
        <v>#DIV/0!</v>
      </c>
      <c r="AF131" s="137" t="e">
        <f t="shared" si="360"/>
        <v>#DIV/0!</v>
      </c>
      <c r="AG131" s="145"/>
      <c r="AH131" s="145"/>
    </row>
    <row r="132" spans="1:34" ht="12" customHeight="1">
      <c r="A132" s="206"/>
      <c r="B132" s="200" t="s">
        <v>484</v>
      </c>
      <c r="C132" s="150"/>
      <c r="D132" s="150"/>
      <c r="E132" s="150"/>
      <c r="F132" s="150"/>
      <c r="G132" s="169" t="e">
        <f t="shared" ref="G132:H132" si="382">G55/(G36+G38)</f>
        <v>#DIV/0!</v>
      </c>
      <c r="H132" s="169" t="e">
        <f t="shared" si="382"/>
        <v>#DIV/0!</v>
      </c>
      <c r="I132" s="169" t="e">
        <f t="shared" ref="I132:S132" si="383">I55/(I36+I38)</f>
        <v>#DIV/0!</v>
      </c>
      <c r="J132" s="169" t="e">
        <f t="shared" si="383"/>
        <v>#DIV/0!</v>
      </c>
      <c r="K132" s="169" t="e">
        <f t="shared" si="383"/>
        <v>#DIV/0!</v>
      </c>
      <c r="L132" s="169" t="e">
        <f t="shared" si="383"/>
        <v>#DIV/0!</v>
      </c>
      <c r="M132" s="169" t="e">
        <f t="shared" si="383"/>
        <v>#DIV/0!</v>
      </c>
      <c r="N132" s="169" t="e">
        <f t="shared" si="383"/>
        <v>#DIV/0!</v>
      </c>
      <c r="O132" s="169" t="e">
        <f t="shared" si="383"/>
        <v>#DIV/0!</v>
      </c>
      <c r="P132" s="169" t="e">
        <f t="shared" si="383"/>
        <v>#DIV/0!</v>
      </c>
      <c r="Q132" s="169" t="e">
        <f t="shared" si="383"/>
        <v>#DIV/0!</v>
      </c>
      <c r="R132" s="169" t="e">
        <f t="shared" si="383"/>
        <v>#DIV/0!</v>
      </c>
      <c r="S132" s="169" t="e">
        <f t="shared" si="383"/>
        <v>#DIV/0!</v>
      </c>
      <c r="T132" s="118" t="e">
        <f t="shared" si="180"/>
        <v>#DIV/0!</v>
      </c>
      <c r="U132" s="20"/>
      <c r="V132" s="169" t="e">
        <f t="shared" ref="V132:AE132" si="384">V55/(V36+V38)</f>
        <v>#DIV/0!</v>
      </c>
      <c r="W132" s="169" t="e">
        <f t="shared" si="384"/>
        <v>#DIV/0!</v>
      </c>
      <c r="X132" s="169" t="e">
        <f t="shared" si="384"/>
        <v>#DIV/0!</v>
      </c>
      <c r="Y132" s="169" t="e">
        <f t="shared" si="384"/>
        <v>#DIV/0!</v>
      </c>
      <c r="Z132" s="169" t="e">
        <f t="shared" si="384"/>
        <v>#DIV/0!</v>
      </c>
      <c r="AA132" s="169" t="e">
        <f t="shared" si="384"/>
        <v>#DIV/0!</v>
      </c>
      <c r="AB132" s="169" t="e">
        <f t="shared" si="384"/>
        <v>#DIV/0!</v>
      </c>
      <c r="AC132" s="169" t="e">
        <f t="shared" si="384"/>
        <v>#DIV/0!</v>
      </c>
      <c r="AD132" s="169" t="e">
        <f t="shared" si="384"/>
        <v>#DIV/0!</v>
      </c>
      <c r="AE132" s="169" t="e">
        <f t="shared" si="384"/>
        <v>#DIV/0!</v>
      </c>
      <c r="AF132" s="137" t="e">
        <f t="shared" si="360"/>
        <v>#DIV/0!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2"/>
      <c r="AG133" s="145"/>
      <c r="AH133" s="145"/>
    </row>
    <row r="134" spans="1:34">
      <c r="B134" s="20" t="s">
        <v>322</v>
      </c>
      <c r="C134" s="150"/>
      <c r="D134" s="150"/>
      <c r="E134" s="150"/>
      <c r="F134" s="150"/>
      <c r="G134" s="161">
        <f t="shared" ref="G134:H134" si="385">G10-(G12+G13)</f>
        <v>29.5</v>
      </c>
      <c r="H134" s="161">
        <f t="shared" si="385"/>
        <v>29</v>
      </c>
      <c r="I134" s="161">
        <f t="shared" ref="I134:S134" si="386">I10-(I12+I13)</f>
        <v>24</v>
      </c>
      <c r="J134" s="161">
        <f t="shared" si="386"/>
        <v>91</v>
      </c>
      <c r="K134" s="161">
        <f t="shared" si="386"/>
        <v>350.76</v>
      </c>
      <c r="L134" s="161">
        <f t="shared" si="386"/>
        <v>424</v>
      </c>
      <c r="M134" s="161">
        <f t="shared" si="386"/>
        <v>155</v>
      </c>
      <c r="N134" s="161">
        <f t="shared" si="386"/>
        <v>62</v>
      </c>
      <c r="O134" s="161">
        <f t="shared" si="386"/>
        <v>-223</v>
      </c>
      <c r="P134" s="161">
        <f t="shared" si="386"/>
        <v>-393</v>
      </c>
      <c r="Q134" s="161">
        <f t="shared" si="386"/>
        <v>-391</v>
      </c>
      <c r="R134" s="161">
        <f t="shared" si="386"/>
        <v>-388</v>
      </c>
      <c r="S134" s="161">
        <f t="shared" si="386"/>
        <v>-697</v>
      </c>
      <c r="T134" s="118" t="e">
        <f t="shared" si="180"/>
        <v>#NUM!</v>
      </c>
      <c r="U134" s="20"/>
      <c r="V134" s="161">
        <f t="shared" ref="V134:AE134" si="387">V10-(V12+V13)</f>
        <v>-766.70000000000016</v>
      </c>
      <c r="W134" s="161">
        <f t="shared" si="387"/>
        <v>-843.37000000000023</v>
      </c>
      <c r="X134" s="161">
        <f t="shared" si="387"/>
        <v>-927.70700000000033</v>
      </c>
      <c r="Y134" s="161">
        <f t="shared" si="387"/>
        <v>-1020.4777000000004</v>
      </c>
      <c r="Z134" s="161">
        <f t="shared" si="387"/>
        <v>-1122.5254700000005</v>
      </c>
      <c r="AA134" s="161">
        <f t="shared" si="387"/>
        <v>-1234.7780170000008</v>
      </c>
      <c r="AB134" s="161">
        <f t="shared" si="387"/>
        <v>-1358.2558187000009</v>
      </c>
      <c r="AC134" s="161">
        <f t="shared" si="387"/>
        <v>-1494.0814005700011</v>
      </c>
      <c r="AD134" s="161">
        <f t="shared" si="387"/>
        <v>-1643.4895406270014</v>
      </c>
      <c r="AE134" s="161">
        <f t="shared" si="387"/>
        <v>-1807.8384946897017</v>
      </c>
      <c r="AF134" s="137">
        <f t="shared" si="295"/>
        <v>-2.2285094305810422</v>
      </c>
      <c r="AG134" s="145"/>
      <c r="AH134" s="145"/>
    </row>
    <row r="135" spans="1:34" ht="12" customHeight="1">
      <c r="B135" s="20" t="s">
        <v>317</v>
      </c>
      <c r="C135" s="20"/>
      <c r="D135" s="20"/>
      <c r="E135" s="20"/>
      <c r="F135" s="20"/>
      <c r="G135" s="150">
        <f t="shared" ref="G135:H135" si="388">G55/G18</f>
        <v>0.29901960784313725</v>
      </c>
      <c r="H135" s="150">
        <f t="shared" si="388"/>
        <v>0.32142857142857145</v>
      </c>
      <c r="I135" s="150">
        <f t="shared" ref="I135:S135" si="389">I55/I18</f>
        <v>0.30935251798561153</v>
      </c>
      <c r="J135" s="150">
        <f t="shared" si="389"/>
        <v>0.31714285714285712</v>
      </c>
      <c r="K135" s="150">
        <f t="shared" si="389"/>
        <v>0.34406438631790742</v>
      </c>
      <c r="L135" s="150">
        <f t="shared" si="389"/>
        <v>0.19963702359346641</v>
      </c>
      <c r="M135" s="150">
        <f t="shared" si="389"/>
        <v>0.5092592592592593</v>
      </c>
      <c r="N135" s="150">
        <f t="shared" si="389"/>
        <v>0.54706927175843689</v>
      </c>
      <c r="O135" s="150">
        <f t="shared" si="389"/>
        <v>0.52103559870550165</v>
      </c>
      <c r="P135" s="150">
        <f t="shared" si="389"/>
        <v>0.65170278637770895</v>
      </c>
      <c r="Q135" s="150">
        <f t="shared" si="389"/>
        <v>0.61316872427983538</v>
      </c>
      <c r="R135" s="150">
        <f t="shared" si="389"/>
        <v>0.51942740286298572</v>
      </c>
      <c r="S135" s="150">
        <f t="shared" si="389"/>
        <v>0.66843501326259946</v>
      </c>
      <c r="T135" s="118">
        <f t="shared" ref="T135:T167" si="390">((S135/G135)^(1/($J$2-$J$1) ))-1</f>
        <v>6.9333797932071395E-2</v>
      </c>
      <c r="U135" s="20"/>
      <c r="V135" s="150">
        <f t="shared" ref="V135:AE135" si="391">V55/V18</f>
        <v>0.66843501326259946</v>
      </c>
      <c r="W135" s="150">
        <f t="shared" si="391"/>
        <v>0.66843501326259946</v>
      </c>
      <c r="X135" s="150">
        <f t="shared" si="391"/>
        <v>0.66843501326259946</v>
      </c>
      <c r="Y135" s="150">
        <f t="shared" si="391"/>
        <v>0.66843501326259935</v>
      </c>
      <c r="Z135" s="150">
        <f t="shared" si="391"/>
        <v>0.66843501326259935</v>
      </c>
      <c r="AA135" s="150">
        <f t="shared" si="391"/>
        <v>0.66843501326259924</v>
      </c>
      <c r="AB135" s="150">
        <f t="shared" si="391"/>
        <v>0.66843501326259924</v>
      </c>
      <c r="AC135" s="150">
        <f t="shared" si="391"/>
        <v>0.66843501326259935</v>
      </c>
      <c r="AD135" s="150">
        <f t="shared" si="391"/>
        <v>0.66843501326259935</v>
      </c>
      <c r="AE135" s="150">
        <f t="shared" si="391"/>
        <v>0.66843501326259935</v>
      </c>
      <c r="AF135" s="137">
        <f t="shared" si="295"/>
        <v>3.7369791147434883E-2</v>
      </c>
      <c r="AG135" s="20"/>
      <c r="AH135" s="20"/>
    </row>
    <row r="136" spans="1:34">
      <c r="B136" s="20" t="s">
        <v>318</v>
      </c>
      <c r="C136" s="20"/>
      <c r="D136" s="20"/>
      <c r="E136" s="20"/>
      <c r="F136" s="20"/>
      <c r="G136" s="150">
        <f t="shared" ref="G136:H136" si="392">G55/G25</f>
        <v>9.0370370370370365E-2</v>
      </c>
      <c r="H136" s="150">
        <f t="shared" si="392"/>
        <v>9.2664092664092659E-2</v>
      </c>
      <c r="I136" s="150">
        <f t="shared" ref="I136:S136" si="393">I55/I25</f>
        <v>9.0621707060063228E-2</v>
      </c>
      <c r="J136" s="150">
        <f t="shared" si="393"/>
        <v>8.6046511627906982E-2</v>
      </c>
      <c r="K136" s="150">
        <f t="shared" si="393"/>
        <v>9.6774193548387094E-2</v>
      </c>
      <c r="L136" s="150">
        <f t="shared" si="393"/>
        <v>5.5611729019211326E-2</v>
      </c>
      <c r="M136" s="150">
        <f t="shared" si="393"/>
        <v>0.12238540275923454</v>
      </c>
      <c r="N136" s="150">
        <f t="shared" si="393"/>
        <v>0.11208151382823872</v>
      </c>
      <c r="O136" s="150">
        <f t="shared" si="393"/>
        <v>0.1008140262993112</v>
      </c>
      <c r="P136" s="150">
        <f t="shared" si="393"/>
        <v>0.11073119410836402</v>
      </c>
      <c r="Q136" s="150">
        <f t="shared" si="393"/>
        <v>0.10205479452054794</v>
      </c>
      <c r="R136" s="150">
        <f t="shared" si="393"/>
        <v>0.10375816993464053</v>
      </c>
      <c r="S136" s="150">
        <f t="shared" si="393"/>
        <v>0.14005187106335679</v>
      </c>
      <c r="T136" s="118">
        <f t="shared" si="390"/>
        <v>3.7182636822011395E-2</v>
      </c>
      <c r="U136" s="20"/>
      <c r="V136" s="150">
        <f t="shared" ref="V136:AE136" si="394">V55/V25</f>
        <v>0.14005187106335679</v>
      </c>
      <c r="W136" s="150">
        <f t="shared" si="394"/>
        <v>0.14005187106335679</v>
      </c>
      <c r="X136" s="150">
        <f t="shared" si="394"/>
        <v>0.14005187106335681</v>
      </c>
      <c r="Y136" s="150">
        <f t="shared" si="394"/>
        <v>0.14005187106335679</v>
      </c>
      <c r="Z136" s="150">
        <f t="shared" si="394"/>
        <v>0.14005187106335676</v>
      </c>
      <c r="AA136" s="150">
        <f t="shared" si="394"/>
        <v>0.14005187106335676</v>
      </c>
      <c r="AB136" s="150">
        <f t="shared" si="394"/>
        <v>0.14005187106335676</v>
      </c>
      <c r="AC136" s="150">
        <f t="shared" si="394"/>
        <v>0.14005187106335679</v>
      </c>
      <c r="AD136" s="150">
        <f t="shared" si="394"/>
        <v>0.14005187106335679</v>
      </c>
      <c r="AE136" s="150">
        <f t="shared" si="394"/>
        <v>0.14005187106335679</v>
      </c>
      <c r="AF136" s="137">
        <f t="shared" si="295"/>
        <v>2.0945828252852516E-2</v>
      </c>
      <c r="AG136" s="20"/>
      <c r="AH136" s="20"/>
    </row>
    <row r="137" spans="1:34">
      <c r="B137" s="20" t="s">
        <v>344</v>
      </c>
      <c r="C137" s="20"/>
      <c r="D137" s="20"/>
      <c r="E137" s="150"/>
      <c r="F137" s="150"/>
      <c r="G137" s="150">
        <f t="shared" ref="G137:H137" si="395">G25/G18</f>
        <v>3.3088235294117645</v>
      </c>
      <c r="H137" s="150">
        <f t="shared" si="395"/>
        <v>3.46875</v>
      </c>
      <c r="I137" s="150">
        <f t="shared" ref="I137:S137" si="396">I25/I18</f>
        <v>3.4136690647482015</v>
      </c>
      <c r="J137" s="150">
        <f t="shared" si="396"/>
        <v>3.6857142857142855</v>
      </c>
      <c r="K137" s="150">
        <f t="shared" si="396"/>
        <v>3.5553319919517103</v>
      </c>
      <c r="L137" s="150">
        <f t="shared" si="396"/>
        <v>3.5898366606170597</v>
      </c>
      <c r="M137" s="150">
        <f t="shared" si="396"/>
        <v>4.1611111111111114</v>
      </c>
      <c r="N137" s="150">
        <f t="shared" si="396"/>
        <v>4.8809946714031973</v>
      </c>
      <c r="O137" s="150">
        <f t="shared" si="396"/>
        <v>5.1682847896440132</v>
      </c>
      <c r="P137" s="150">
        <f t="shared" si="396"/>
        <v>5.8854489164086683</v>
      </c>
      <c r="Q137" s="150">
        <f t="shared" si="396"/>
        <v>6.0082304526748969</v>
      </c>
      <c r="R137" s="150">
        <f t="shared" si="396"/>
        <v>5.0061349693251538</v>
      </c>
      <c r="S137" s="150">
        <f t="shared" si="396"/>
        <v>4.7727674624226353</v>
      </c>
      <c r="T137" s="118">
        <f t="shared" si="390"/>
        <v>3.0998553165692444E-2</v>
      </c>
      <c r="U137" s="20"/>
      <c r="V137" s="150">
        <f t="shared" ref="V137:AE137" si="397">V25/V18</f>
        <v>4.7727674624226344</v>
      </c>
      <c r="W137" s="150">
        <f t="shared" si="397"/>
        <v>4.7727674624226344</v>
      </c>
      <c r="X137" s="150">
        <f t="shared" si="397"/>
        <v>4.7727674624226344</v>
      </c>
      <c r="Y137" s="150">
        <f t="shared" si="397"/>
        <v>4.7727674624226344</v>
      </c>
      <c r="Z137" s="150">
        <f t="shared" si="397"/>
        <v>4.7727674624226344</v>
      </c>
      <c r="AA137" s="150">
        <f t="shared" si="397"/>
        <v>4.7727674624226344</v>
      </c>
      <c r="AB137" s="150">
        <f t="shared" si="397"/>
        <v>4.7727674624226344</v>
      </c>
      <c r="AC137" s="150">
        <f t="shared" si="397"/>
        <v>4.7727674624226344</v>
      </c>
      <c r="AD137" s="150">
        <f t="shared" si="397"/>
        <v>4.7727674624226344</v>
      </c>
      <c r="AE137" s="150">
        <f t="shared" si="397"/>
        <v>4.7727674624226344</v>
      </c>
      <c r="AF137" s="137">
        <f t="shared" si="295"/>
        <v>1.6087007204573123E-2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330</v>
      </c>
      <c r="C139" s="20"/>
      <c r="D139" s="20"/>
      <c r="E139" s="163"/>
      <c r="F139" s="163"/>
      <c r="G139" s="163">
        <f t="shared" ref="G139:H139" si="398">G88*G57</f>
        <v>20.16</v>
      </c>
      <c r="H139" s="163">
        <f t="shared" si="398"/>
        <v>20.16</v>
      </c>
      <c r="I139" s="163">
        <f t="shared" ref="I139:S139" si="399">I88*I57</f>
        <v>31.537500000000001</v>
      </c>
      <c r="J139" s="163">
        <f t="shared" si="399"/>
        <v>37.844999999999999</v>
      </c>
      <c r="K139" s="163">
        <f t="shared" si="399"/>
        <v>44.274999999999999</v>
      </c>
      <c r="L139" s="163">
        <f t="shared" si="399"/>
        <v>44.274999999999999</v>
      </c>
      <c r="M139" s="163">
        <f t="shared" si="399"/>
        <v>75.914999999999992</v>
      </c>
      <c r="N139" s="163">
        <f t="shared" si="399"/>
        <v>88.567499999999995</v>
      </c>
      <c r="O139" s="163">
        <f t="shared" si="399"/>
        <v>96.443999999999988</v>
      </c>
      <c r="P139" s="163">
        <f t="shared" si="399"/>
        <v>133.27600000000001</v>
      </c>
      <c r="Q139" s="163">
        <f t="shared" si="399"/>
        <v>138.40200000000002</v>
      </c>
      <c r="R139" s="163">
        <f t="shared" si="399"/>
        <v>148.654</v>
      </c>
      <c r="S139" s="163">
        <f t="shared" si="399"/>
        <v>212.72900000000001</v>
      </c>
      <c r="T139" s="118">
        <f t="shared" si="390"/>
        <v>0.21696479309587291</v>
      </c>
      <c r="U139" s="20"/>
      <c r="V139" s="163">
        <f t="shared" ref="V139:AE139" si="400">V88*V57</f>
        <v>227.83275900000004</v>
      </c>
      <c r="W139" s="163">
        <f t="shared" si="400"/>
        <v>244.00888488900003</v>
      </c>
      <c r="X139" s="163">
        <f t="shared" si="400"/>
        <v>261.33351571611905</v>
      </c>
      <c r="Y139" s="163">
        <f t="shared" si="400"/>
        <v>279.88819533196352</v>
      </c>
      <c r="Z139" s="163">
        <f t="shared" si="400"/>
        <v>299.76025720053292</v>
      </c>
      <c r="AA139" s="163">
        <f t="shared" si="400"/>
        <v>321.04323546177085</v>
      </c>
      <c r="AB139" s="163">
        <f t="shared" si="400"/>
        <v>343.83730517955655</v>
      </c>
      <c r="AC139" s="163">
        <f t="shared" si="400"/>
        <v>368.2497538473051</v>
      </c>
      <c r="AD139" s="163">
        <f t="shared" si="400"/>
        <v>394.3954863704638</v>
      </c>
      <c r="AE139" s="163">
        <f t="shared" si="400"/>
        <v>422.39756590276676</v>
      </c>
      <c r="AF139" s="137">
        <f t="shared" si="295"/>
        <v>0.13151841385468477</v>
      </c>
      <c r="AG139" s="20"/>
      <c r="AH139" s="20"/>
    </row>
    <row r="140" spans="1:34">
      <c r="B140" s="20" t="s">
        <v>331</v>
      </c>
      <c r="C140" s="20"/>
      <c r="D140" s="20"/>
      <c r="E140" s="163"/>
      <c r="F140" s="163"/>
      <c r="G140" s="163">
        <f t="shared" ref="G140:H140" si="401">(G139*0.17)+G139</f>
        <v>23.587199999999999</v>
      </c>
      <c r="H140" s="163">
        <f t="shared" si="401"/>
        <v>23.587199999999999</v>
      </c>
      <c r="I140" s="163">
        <f t="shared" ref="I140:R140" si="402">(I139*0.17)+I139</f>
        <v>36.898875000000004</v>
      </c>
      <c r="J140" s="163">
        <f t="shared" si="402"/>
        <v>44.278649999999999</v>
      </c>
      <c r="K140" s="163">
        <f t="shared" si="402"/>
        <v>51.801749999999998</v>
      </c>
      <c r="L140" s="163">
        <f t="shared" si="402"/>
        <v>51.801749999999998</v>
      </c>
      <c r="M140" s="163">
        <f t="shared" si="402"/>
        <v>88.820549999999997</v>
      </c>
      <c r="N140" s="163">
        <f t="shared" si="402"/>
        <v>103.623975</v>
      </c>
      <c r="O140" s="163">
        <f t="shared" si="402"/>
        <v>112.83947999999998</v>
      </c>
      <c r="P140" s="163">
        <f t="shared" si="402"/>
        <v>155.93292000000002</v>
      </c>
      <c r="Q140" s="163">
        <f t="shared" si="402"/>
        <v>161.93034000000003</v>
      </c>
      <c r="R140" s="163">
        <f t="shared" si="402"/>
        <v>173.92518000000001</v>
      </c>
      <c r="S140" s="163">
        <f t="shared" ref="S140" si="403">(S139*0.17)+S139</f>
        <v>248.89293000000004</v>
      </c>
      <c r="T140" s="118">
        <f t="shared" si="390"/>
        <v>0.21696479309587291</v>
      </c>
      <c r="U140" s="20"/>
      <c r="V140" s="163">
        <f t="shared" ref="V140:AE140" si="404">(V139*0.17)+V139</f>
        <v>266.56432803000007</v>
      </c>
      <c r="W140" s="163">
        <f t="shared" si="404"/>
        <v>285.49039532013001</v>
      </c>
      <c r="X140" s="163">
        <f t="shared" si="404"/>
        <v>305.76021338785927</v>
      </c>
      <c r="Y140" s="163">
        <f t="shared" si="404"/>
        <v>327.4691885383973</v>
      </c>
      <c r="Z140" s="163">
        <f t="shared" si="404"/>
        <v>350.7195009246235</v>
      </c>
      <c r="AA140" s="163">
        <f t="shared" si="404"/>
        <v>375.62058549027188</v>
      </c>
      <c r="AB140" s="163">
        <f t="shared" si="404"/>
        <v>402.28964706008117</v>
      </c>
      <c r="AC140" s="163">
        <f t="shared" si="404"/>
        <v>430.85221200134697</v>
      </c>
      <c r="AD140" s="163">
        <f t="shared" si="404"/>
        <v>461.44271905344266</v>
      </c>
      <c r="AE140" s="163">
        <f t="shared" si="404"/>
        <v>494.20515210623711</v>
      </c>
      <c r="AF140" s="137">
        <f t="shared" si="295"/>
        <v>0.13151841385468477</v>
      </c>
      <c r="AG140" s="20"/>
      <c r="AH140" s="20"/>
    </row>
    <row r="141" spans="1:34">
      <c r="B141" s="20" t="s">
        <v>332</v>
      </c>
      <c r="C141" s="20"/>
      <c r="D141" s="20"/>
      <c r="E141" s="20"/>
      <c r="F141" s="20"/>
      <c r="G141" s="150">
        <f t="shared" ref="G141:H141" si="405">G140/G55</f>
        <v>0.38667540983606558</v>
      </c>
      <c r="H141" s="150">
        <f t="shared" si="405"/>
        <v>0.3276</v>
      </c>
      <c r="I141" s="150">
        <f t="shared" ref="I141:S141" si="406">I140/I55</f>
        <v>0.42905668604651165</v>
      </c>
      <c r="J141" s="150">
        <f t="shared" si="406"/>
        <v>0.39890675675675674</v>
      </c>
      <c r="K141" s="150">
        <f t="shared" si="406"/>
        <v>0.30293421052631581</v>
      </c>
      <c r="L141" s="150">
        <f t="shared" si="406"/>
        <v>0.47092499999999998</v>
      </c>
      <c r="M141" s="150">
        <f t="shared" si="406"/>
        <v>0.32298381818181815</v>
      </c>
      <c r="N141" s="150">
        <f t="shared" si="406"/>
        <v>0.33644147727272727</v>
      </c>
      <c r="O141" s="150">
        <f t="shared" si="406"/>
        <v>0.35043316770186328</v>
      </c>
      <c r="P141" s="150">
        <f t="shared" si="406"/>
        <v>0.3703869833729217</v>
      </c>
      <c r="Q141" s="150">
        <f t="shared" si="406"/>
        <v>0.36226026845637588</v>
      </c>
      <c r="R141" s="150">
        <f t="shared" si="406"/>
        <v>0.3423724015748032</v>
      </c>
      <c r="S141" s="150">
        <f t="shared" si="406"/>
        <v>0.32922345238095241</v>
      </c>
      <c r="T141" s="118">
        <f t="shared" si="390"/>
        <v>-1.3314640431087321E-2</v>
      </c>
      <c r="U141" s="20"/>
      <c r="V141" s="150">
        <f t="shared" ref="V141:AE141" si="407">V140/V55</f>
        <v>0.32054392500000006</v>
      </c>
      <c r="W141" s="150">
        <f t="shared" si="407"/>
        <v>0.31209322152272723</v>
      </c>
      <c r="X141" s="150">
        <f t="shared" si="407"/>
        <v>0.30386530931894623</v>
      </c>
      <c r="Y141" s="150">
        <f t="shared" si="407"/>
        <v>0.2958543148005377</v>
      </c>
      <c r="Z141" s="150">
        <f t="shared" si="407"/>
        <v>0.28805451922852354</v>
      </c>
      <c r="AA141" s="150">
        <f t="shared" si="407"/>
        <v>0.2804603546306807</v>
      </c>
      <c r="AB141" s="150">
        <f t="shared" si="407"/>
        <v>0.27306639982678088</v>
      </c>
      <c r="AC141" s="150">
        <f t="shared" si="407"/>
        <v>0.26586737655862031</v>
      </c>
      <c r="AD141" s="150">
        <f t="shared" si="407"/>
        <v>0.25885814572207488</v>
      </c>
      <c r="AE141" s="150">
        <f t="shared" si="407"/>
        <v>0.25203370369849287</v>
      </c>
      <c r="AF141" s="137">
        <f t="shared" si="295"/>
        <v>-2.5016354532877871E-2</v>
      </c>
      <c r="AG141" s="20"/>
      <c r="AH141" s="20"/>
    </row>
    <row r="142" spans="1:34">
      <c r="B142" s="20" t="s">
        <v>325</v>
      </c>
      <c r="C142" s="20"/>
      <c r="D142" s="20"/>
      <c r="E142" s="20"/>
      <c r="F142" s="20"/>
      <c r="G142" s="150">
        <f t="shared" ref="G142:H142" si="408">1-G141</f>
        <v>0.61332459016393437</v>
      </c>
      <c r="H142" s="150">
        <f t="shared" si="408"/>
        <v>0.6724</v>
      </c>
      <c r="I142" s="150">
        <f>1-I141</f>
        <v>0.5709433139534883</v>
      </c>
      <c r="J142" s="150">
        <f t="shared" ref="J142:R142" si="409">1-J141</f>
        <v>0.6010932432432432</v>
      </c>
      <c r="K142" s="150">
        <f t="shared" si="409"/>
        <v>0.69706578947368425</v>
      </c>
      <c r="L142" s="150">
        <f t="shared" si="409"/>
        <v>0.52907499999999996</v>
      </c>
      <c r="M142" s="150">
        <f t="shared" si="409"/>
        <v>0.67701618181818191</v>
      </c>
      <c r="N142" s="150">
        <f t="shared" si="409"/>
        <v>0.66355852272727267</v>
      </c>
      <c r="O142" s="150">
        <f t="shared" si="409"/>
        <v>0.64956683229813672</v>
      </c>
      <c r="P142" s="150">
        <f t="shared" si="409"/>
        <v>0.62961301662707836</v>
      </c>
      <c r="Q142" s="150">
        <f t="shared" si="409"/>
        <v>0.63773973154362418</v>
      </c>
      <c r="R142" s="150">
        <f t="shared" si="409"/>
        <v>0.6576275984251968</v>
      </c>
      <c r="S142" s="150">
        <f t="shared" ref="S142" si="410">1-S141</f>
        <v>0.67077654761904759</v>
      </c>
      <c r="T142" s="118">
        <f t="shared" si="390"/>
        <v>7.4897221082934617E-3</v>
      </c>
      <c r="U142" s="20"/>
      <c r="V142" s="150">
        <f t="shared" ref="V142:AE142" si="411">1-V141</f>
        <v>0.67945607499999994</v>
      </c>
      <c r="W142" s="150">
        <f t="shared" si="411"/>
        <v>0.68790677847727277</v>
      </c>
      <c r="X142" s="150">
        <f t="shared" si="411"/>
        <v>0.69613469068105371</v>
      </c>
      <c r="Y142" s="150">
        <f t="shared" si="411"/>
        <v>0.7041456851994623</v>
      </c>
      <c r="Z142" s="150">
        <f t="shared" si="411"/>
        <v>0.71194548077147646</v>
      </c>
      <c r="AA142" s="150">
        <f t="shared" si="411"/>
        <v>0.71953964536931925</v>
      </c>
      <c r="AB142" s="150">
        <f t="shared" si="411"/>
        <v>0.72693360017321917</v>
      </c>
      <c r="AC142" s="150">
        <f t="shared" si="411"/>
        <v>0.73413262344137964</v>
      </c>
      <c r="AD142" s="150">
        <f t="shared" si="411"/>
        <v>0.74114185427792512</v>
      </c>
      <c r="AE142" s="150">
        <f t="shared" si="411"/>
        <v>0.74796629630150713</v>
      </c>
      <c r="AF142" s="137">
        <f t="shared" si="295"/>
        <v>1.2943430751394702E-2</v>
      </c>
      <c r="AG142" s="20"/>
      <c r="AH142" s="20"/>
    </row>
    <row r="143" spans="1:34">
      <c r="B143" s="20" t="s">
        <v>448</v>
      </c>
      <c r="C143" s="20"/>
      <c r="D143" s="20"/>
      <c r="E143" s="20"/>
      <c r="F143" s="20"/>
      <c r="G143" s="150">
        <f t="shared" ref="G143:H143" si="412">G140/G20</f>
        <v>0.4914</v>
      </c>
      <c r="H143" s="150">
        <f t="shared" si="412"/>
        <v>0.25638260869565216</v>
      </c>
      <c r="I143" s="150">
        <f t="shared" ref="I143:S143" si="413">I140/I20</f>
        <v>0.32945424107142862</v>
      </c>
      <c r="J143" s="150">
        <f t="shared" si="413"/>
        <v>0.4975129213483146</v>
      </c>
      <c r="K143" s="150">
        <f t="shared" si="413"/>
        <v>0.40470117187499999</v>
      </c>
      <c r="L143" s="150">
        <f t="shared" si="413"/>
        <v>0.19923749999999998</v>
      </c>
      <c r="M143" s="150">
        <f t="shared" si="413"/>
        <v>0.21558385922330098</v>
      </c>
      <c r="N143" s="150">
        <f t="shared" si="413"/>
        <v>0.32181358695652174</v>
      </c>
      <c r="O143" s="150">
        <f t="shared" si="413"/>
        <v>0.22256307692307689</v>
      </c>
      <c r="P143" s="150">
        <f t="shared" si="413"/>
        <v>0.30396280701754391</v>
      </c>
      <c r="Q143" s="150">
        <f t="shared" si="413"/>
        <v>0.40686015075376891</v>
      </c>
      <c r="R143" s="150">
        <f t="shared" si="413"/>
        <v>0.30353434554973824</v>
      </c>
      <c r="S143" s="150">
        <f t="shared" si="413"/>
        <v>0.27441337375964725</v>
      </c>
      <c r="T143" s="118">
        <f t="shared" si="390"/>
        <v>-4.7392104488829023E-2</v>
      </c>
      <c r="U143" s="20"/>
      <c r="V143" s="150">
        <f t="shared" ref="V143:AE143" si="414">V140/V20</f>
        <v>0.26717883936052927</v>
      </c>
      <c r="W143" s="150">
        <f t="shared" si="414"/>
        <v>0.26013503359556983</v>
      </c>
      <c r="X143" s="150">
        <f t="shared" si="414"/>
        <v>0.25327692816441388</v>
      </c>
      <c r="Y143" s="150">
        <f t="shared" si="414"/>
        <v>0.24659962733098845</v>
      </c>
      <c r="Z143" s="150">
        <f t="shared" si="414"/>
        <v>0.24009836442862598</v>
      </c>
      <c r="AA143" s="150">
        <f t="shared" si="414"/>
        <v>0.23376849845732589</v>
      </c>
      <c r="AB143" s="150">
        <f t="shared" si="414"/>
        <v>0.22760551077072361</v>
      </c>
      <c r="AC143" s="150">
        <f t="shared" si="414"/>
        <v>0.22160500185040455</v>
      </c>
      <c r="AD143" s="150">
        <f t="shared" si="414"/>
        <v>0.21576268816525754</v>
      </c>
      <c r="AE143" s="150">
        <f t="shared" si="414"/>
        <v>0.21007439911362802</v>
      </c>
      <c r="AF143" s="137" t="s">
        <v>449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329</v>
      </c>
      <c r="C145" s="150"/>
      <c r="D145" s="150"/>
      <c r="E145" s="150"/>
      <c r="F145" s="150"/>
      <c r="G145" s="150">
        <f t="shared" ref="G145:H145" si="415">G31/G25</f>
        <v>0</v>
      </c>
      <c r="H145" s="150">
        <f t="shared" si="415"/>
        <v>0</v>
      </c>
      <c r="I145" s="150">
        <f t="shared" ref="I145:S145" si="416">I31/I25</f>
        <v>0</v>
      </c>
      <c r="J145" s="150">
        <f t="shared" si="416"/>
        <v>0</v>
      </c>
      <c r="K145" s="150">
        <f t="shared" si="416"/>
        <v>0</v>
      </c>
      <c r="L145" s="150">
        <f t="shared" si="416"/>
        <v>0</v>
      </c>
      <c r="M145" s="150">
        <f t="shared" si="416"/>
        <v>0</v>
      </c>
      <c r="N145" s="150">
        <f t="shared" si="416"/>
        <v>0</v>
      </c>
      <c r="O145" s="150">
        <f t="shared" si="416"/>
        <v>0</v>
      </c>
      <c r="P145" s="150">
        <f t="shared" si="416"/>
        <v>0</v>
      </c>
      <c r="Q145" s="150">
        <f t="shared" si="416"/>
        <v>0</v>
      </c>
      <c r="R145" s="150">
        <f t="shared" si="416"/>
        <v>0</v>
      </c>
      <c r="S145" s="150">
        <f t="shared" si="416"/>
        <v>0</v>
      </c>
      <c r="T145" s="118" t="e">
        <f t="shared" si="390"/>
        <v>#DIV/0!</v>
      </c>
      <c r="U145" s="20"/>
      <c r="V145" s="150">
        <f t="shared" ref="V145:AE145" si="417">V31/V25</f>
        <v>0</v>
      </c>
      <c r="W145" s="150">
        <f t="shared" si="417"/>
        <v>0</v>
      </c>
      <c r="X145" s="150">
        <f t="shared" si="417"/>
        <v>0</v>
      </c>
      <c r="Y145" s="150">
        <f t="shared" si="417"/>
        <v>0</v>
      </c>
      <c r="Z145" s="150">
        <f t="shared" si="417"/>
        <v>0</v>
      </c>
      <c r="AA145" s="150">
        <f t="shared" si="417"/>
        <v>0</v>
      </c>
      <c r="AB145" s="150">
        <f t="shared" si="417"/>
        <v>0</v>
      </c>
      <c r="AC145" s="150">
        <f t="shared" si="417"/>
        <v>0</v>
      </c>
      <c r="AD145" s="150">
        <f t="shared" si="417"/>
        <v>0</v>
      </c>
      <c r="AE145" s="150">
        <f t="shared" si="417"/>
        <v>0</v>
      </c>
      <c r="AF145" s="137" t="e">
        <f t="shared" si="295"/>
        <v>#DIV/0!</v>
      </c>
      <c r="AG145" s="20"/>
      <c r="AH145" s="20"/>
    </row>
    <row r="146" spans="2:34">
      <c r="B146" s="20" t="s">
        <v>326</v>
      </c>
      <c r="C146" s="150"/>
      <c r="D146" s="150"/>
      <c r="E146" s="150"/>
      <c r="F146" s="150"/>
      <c r="G146" s="150">
        <f t="shared" ref="G146:H146" si="418">G32/G25</f>
        <v>0</v>
      </c>
      <c r="H146" s="150">
        <f t="shared" si="418"/>
        <v>0</v>
      </c>
      <c r="I146" s="150">
        <f t="shared" ref="I146:S146" si="419">I32/I25</f>
        <v>0</v>
      </c>
      <c r="J146" s="150">
        <f t="shared" si="419"/>
        <v>0</v>
      </c>
      <c r="K146" s="150">
        <f t="shared" si="419"/>
        <v>0</v>
      </c>
      <c r="L146" s="150">
        <f t="shared" si="419"/>
        <v>0</v>
      </c>
      <c r="M146" s="150">
        <f t="shared" si="419"/>
        <v>0</v>
      </c>
      <c r="N146" s="150">
        <f t="shared" si="419"/>
        <v>0</v>
      </c>
      <c r="O146" s="150">
        <f t="shared" si="419"/>
        <v>0</v>
      </c>
      <c r="P146" s="150">
        <f t="shared" si="419"/>
        <v>0</v>
      </c>
      <c r="Q146" s="150">
        <f t="shared" si="419"/>
        <v>0</v>
      </c>
      <c r="R146" s="150">
        <f t="shared" si="419"/>
        <v>0</v>
      </c>
      <c r="S146" s="150">
        <f t="shared" si="419"/>
        <v>0</v>
      </c>
      <c r="T146" s="118" t="e">
        <f t="shared" si="390"/>
        <v>#DIV/0!</v>
      </c>
      <c r="U146" s="20"/>
      <c r="V146" s="150">
        <f t="shared" ref="V146:AE146" si="420">V32/V25</f>
        <v>0</v>
      </c>
      <c r="W146" s="150">
        <f t="shared" si="420"/>
        <v>0</v>
      </c>
      <c r="X146" s="150">
        <f t="shared" si="420"/>
        <v>0</v>
      </c>
      <c r="Y146" s="150">
        <f t="shared" si="420"/>
        <v>0</v>
      </c>
      <c r="Z146" s="150">
        <f t="shared" si="420"/>
        <v>0</v>
      </c>
      <c r="AA146" s="150">
        <f t="shared" si="420"/>
        <v>0</v>
      </c>
      <c r="AB146" s="150">
        <f t="shared" si="420"/>
        <v>0</v>
      </c>
      <c r="AC146" s="150">
        <f t="shared" si="420"/>
        <v>0</v>
      </c>
      <c r="AD146" s="150">
        <f t="shared" si="420"/>
        <v>0</v>
      </c>
      <c r="AE146" s="150">
        <f t="shared" si="420"/>
        <v>0</v>
      </c>
      <c r="AF146" s="137" t="e">
        <f t="shared" si="295"/>
        <v>#DIV/0!</v>
      </c>
      <c r="AG146" s="20"/>
      <c r="AH146" s="20"/>
    </row>
    <row r="147" spans="2:34">
      <c r="B147" s="20" t="s">
        <v>456</v>
      </c>
      <c r="C147" s="150"/>
      <c r="D147" s="150"/>
      <c r="E147" s="150"/>
      <c r="F147" s="150"/>
      <c r="G147" s="150">
        <f t="shared" ref="G147:H147" si="421">(G31+G32)/G25</f>
        <v>0</v>
      </c>
      <c r="H147" s="150">
        <f t="shared" si="421"/>
        <v>0</v>
      </c>
      <c r="I147" s="150">
        <f t="shared" ref="I147:S147" si="422">(I31+I32)/I25</f>
        <v>0</v>
      </c>
      <c r="J147" s="150">
        <f t="shared" si="422"/>
        <v>0</v>
      </c>
      <c r="K147" s="150">
        <f t="shared" si="422"/>
        <v>0</v>
      </c>
      <c r="L147" s="150">
        <f t="shared" si="422"/>
        <v>0</v>
      </c>
      <c r="M147" s="150">
        <f t="shared" si="422"/>
        <v>0</v>
      </c>
      <c r="N147" s="150">
        <f t="shared" si="422"/>
        <v>0</v>
      </c>
      <c r="O147" s="150">
        <f t="shared" si="422"/>
        <v>0</v>
      </c>
      <c r="P147" s="150">
        <f t="shared" si="422"/>
        <v>0</v>
      </c>
      <c r="Q147" s="150">
        <f t="shared" si="422"/>
        <v>0</v>
      </c>
      <c r="R147" s="150">
        <f t="shared" si="422"/>
        <v>0</v>
      </c>
      <c r="S147" s="150">
        <f t="shared" si="422"/>
        <v>0</v>
      </c>
      <c r="T147" s="118" t="e">
        <f t="shared" si="390"/>
        <v>#DIV/0!</v>
      </c>
      <c r="U147" s="20"/>
      <c r="V147" s="150">
        <f t="shared" ref="V147:AE147" si="423">(V31+V32)/V25</f>
        <v>0</v>
      </c>
      <c r="W147" s="150">
        <f t="shared" si="423"/>
        <v>0</v>
      </c>
      <c r="X147" s="150">
        <f t="shared" si="423"/>
        <v>0</v>
      </c>
      <c r="Y147" s="150">
        <f t="shared" si="423"/>
        <v>0</v>
      </c>
      <c r="Z147" s="150">
        <f t="shared" si="423"/>
        <v>0</v>
      </c>
      <c r="AA147" s="150">
        <f t="shared" si="423"/>
        <v>0</v>
      </c>
      <c r="AB147" s="150">
        <f t="shared" si="423"/>
        <v>0</v>
      </c>
      <c r="AC147" s="150">
        <f t="shared" si="423"/>
        <v>0</v>
      </c>
      <c r="AD147" s="150">
        <f t="shared" si="423"/>
        <v>0</v>
      </c>
      <c r="AE147" s="150">
        <f t="shared" si="423"/>
        <v>0</v>
      </c>
      <c r="AF147" s="137" t="e">
        <f t="shared" si="295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350</v>
      </c>
      <c r="C149" s="20"/>
      <c r="D149" s="20"/>
      <c r="E149" s="20"/>
      <c r="F149" s="20"/>
      <c r="G149" s="150">
        <f t="shared" ref="G149:H149" si="424">G27/G25</f>
        <v>0.82666666666666666</v>
      </c>
      <c r="H149" s="150">
        <f t="shared" si="424"/>
        <v>0.82368082368082363</v>
      </c>
      <c r="I149" s="150">
        <f t="shared" ref="I149:S149" si="425">I27/I25</f>
        <v>0.83140147523709163</v>
      </c>
      <c r="J149" s="150">
        <f t="shared" si="425"/>
        <v>0.8542635658914729</v>
      </c>
      <c r="K149" s="150">
        <f t="shared" si="425"/>
        <v>0.84267119411431801</v>
      </c>
      <c r="L149" s="150">
        <f t="shared" si="425"/>
        <v>0.88372093023255816</v>
      </c>
      <c r="M149" s="150">
        <f t="shared" si="425"/>
        <v>0.81486426346239427</v>
      </c>
      <c r="N149" s="150">
        <f t="shared" si="425"/>
        <v>0.81841339155749637</v>
      </c>
      <c r="O149" s="150">
        <f t="shared" si="425"/>
        <v>0.83469004383218537</v>
      </c>
      <c r="P149" s="150">
        <f t="shared" si="425"/>
        <v>0.82325092056812199</v>
      </c>
      <c r="Q149" s="150">
        <f t="shared" si="425"/>
        <v>0.83789954337899542</v>
      </c>
      <c r="R149" s="150">
        <f t="shared" si="425"/>
        <v>0.83435457516339873</v>
      </c>
      <c r="S149" s="150">
        <f t="shared" si="425"/>
        <v>0.7730640978140052</v>
      </c>
      <c r="T149" s="118">
        <f t="shared" si="390"/>
        <v>-5.5710558321644399E-3</v>
      </c>
      <c r="U149" s="20"/>
      <c r="V149" s="150">
        <f t="shared" ref="V149:AE149" si="426">V27/V25</f>
        <v>0.7730640978140052</v>
      </c>
      <c r="W149" s="150">
        <f t="shared" si="426"/>
        <v>0.7730640978140052</v>
      </c>
      <c r="X149" s="150">
        <f t="shared" si="426"/>
        <v>0.77306409781400531</v>
      </c>
      <c r="Y149" s="150">
        <f t="shared" si="426"/>
        <v>0.77306409781400531</v>
      </c>
      <c r="Z149" s="150">
        <f t="shared" si="426"/>
        <v>0.77306409781400531</v>
      </c>
      <c r="AA149" s="150">
        <f t="shared" si="426"/>
        <v>0.7730640978140052</v>
      </c>
      <c r="AB149" s="150">
        <f t="shared" si="426"/>
        <v>0.77306409781400531</v>
      </c>
      <c r="AC149" s="150">
        <f t="shared" si="426"/>
        <v>0.77306409781400531</v>
      </c>
      <c r="AD149" s="150">
        <f t="shared" si="426"/>
        <v>0.77306409781400531</v>
      </c>
      <c r="AE149" s="150">
        <f t="shared" si="426"/>
        <v>0.77306409781400531</v>
      </c>
      <c r="AF149" s="137">
        <f t="shared" si="295"/>
        <v>-3.4583316347882587E-3</v>
      </c>
      <c r="AG149" s="20"/>
      <c r="AH149" s="20"/>
    </row>
    <row r="150" spans="2:34">
      <c r="B150" s="20" t="str">
        <f>B33</f>
        <v>Top Expenses ( Interest Out gol )</v>
      </c>
      <c r="C150" s="20"/>
      <c r="D150" s="20"/>
      <c r="E150" s="20"/>
      <c r="F150" s="20"/>
      <c r="G150" s="150">
        <f t="shared" ref="G150:H150" si="427">G33/G25</f>
        <v>0.53481481481481485</v>
      </c>
      <c r="H150" s="150">
        <f t="shared" si="427"/>
        <v>0.60617760617760619</v>
      </c>
      <c r="I150" s="150">
        <f t="shared" ref="I150:S150" si="428">I33/I25</f>
        <v>0.59009483667017915</v>
      </c>
      <c r="J150" s="150">
        <f t="shared" si="428"/>
        <v>0.61240310077519378</v>
      </c>
      <c r="K150" s="150">
        <f t="shared" si="428"/>
        <v>0.59988681380871534</v>
      </c>
      <c r="L150" s="150">
        <f t="shared" si="428"/>
        <v>0.63801820020222444</v>
      </c>
      <c r="M150" s="150">
        <f t="shared" si="428"/>
        <v>0.56608811748998666</v>
      </c>
      <c r="N150" s="150">
        <f t="shared" si="428"/>
        <v>0.58406113537117899</v>
      </c>
      <c r="O150" s="150">
        <f t="shared" si="428"/>
        <v>0.55948653725735753</v>
      </c>
      <c r="P150" s="150">
        <f t="shared" si="428"/>
        <v>0.54497632824829034</v>
      </c>
      <c r="Q150" s="150">
        <f t="shared" si="428"/>
        <v>0.55525114155251143</v>
      </c>
      <c r="R150" s="150">
        <f t="shared" si="428"/>
        <v>0.55310457516339873</v>
      </c>
      <c r="S150" s="150">
        <f t="shared" si="428"/>
        <v>0.47814005187106334</v>
      </c>
      <c r="T150" s="118">
        <f t="shared" si="390"/>
        <v>-9.2913050240054362E-3</v>
      </c>
      <c r="U150" s="20"/>
      <c r="V150" s="150">
        <f t="shared" ref="V150:AE150" si="429">V33/V25</f>
        <v>0.4781400518710634</v>
      </c>
      <c r="W150" s="150">
        <f t="shared" si="429"/>
        <v>0.4781400518710634</v>
      </c>
      <c r="X150" s="150">
        <f t="shared" si="429"/>
        <v>0.4781400518710634</v>
      </c>
      <c r="Y150" s="150">
        <f t="shared" si="429"/>
        <v>0.47814005187106345</v>
      </c>
      <c r="Z150" s="150">
        <f t="shared" si="429"/>
        <v>0.47814005187106334</v>
      </c>
      <c r="AA150" s="150">
        <f t="shared" si="429"/>
        <v>0.47814005187106334</v>
      </c>
      <c r="AB150" s="150">
        <f t="shared" si="429"/>
        <v>0.4781400518710634</v>
      </c>
      <c r="AC150" s="150">
        <f t="shared" si="429"/>
        <v>0.4781400518710634</v>
      </c>
      <c r="AD150" s="150">
        <f t="shared" si="429"/>
        <v>0.4781400518710634</v>
      </c>
      <c r="AE150" s="150">
        <f t="shared" si="429"/>
        <v>0.47814005187106334</v>
      </c>
      <c r="AF150" s="137">
        <f t="shared" si="295"/>
        <v>-9.9680614274192392E-3</v>
      </c>
      <c r="AG150" s="20"/>
      <c r="AH150" s="20"/>
    </row>
    <row r="151" spans="2:34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H151" si="430">G34/G25</f>
        <v>8.2962962962962961E-2</v>
      </c>
      <c r="H151" s="150">
        <f t="shared" si="430"/>
        <v>8.6229086229086233E-2</v>
      </c>
      <c r="I151" s="150">
        <f t="shared" ref="I151:S151" si="431">I34/I25</f>
        <v>8.956796628029505E-2</v>
      </c>
      <c r="J151" s="150">
        <f t="shared" si="431"/>
        <v>8.4496124031007758E-2</v>
      </c>
      <c r="K151" s="150">
        <f t="shared" si="431"/>
        <v>9.2812676853423884E-2</v>
      </c>
      <c r="L151" s="150">
        <f t="shared" si="431"/>
        <v>0.11172901921132457</v>
      </c>
      <c r="M151" s="150">
        <f t="shared" si="431"/>
        <v>0.11214953271028037</v>
      </c>
      <c r="N151" s="150">
        <f t="shared" si="431"/>
        <v>0.10553129548762737</v>
      </c>
      <c r="O151" s="150">
        <f t="shared" si="431"/>
        <v>0.10206637445209768</v>
      </c>
      <c r="P151" s="150">
        <f t="shared" si="431"/>
        <v>9.863229879011047E-2</v>
      </c>
      <c r="Q151" s="150">
        <f t="shared" si="431"/>
        <v>0.10091324200913242</v>
      </c>
      <c r="R151" s="150">
        <f t="shared" si="431"/>
        <v>0.10151143790849673</v>
      </c>
      <c r="S151" s="150">
        <f t="shared" si="431"/>
        <v>0.10633567988143756</v>
      </c>
      <c r="T151" s="118">
        <f t="shared" si="390"/>
        <v>2.0899277591423404E-2</v>
      </c>
      <c r="U151" s="20"/>
      <c r="V151" s="150">
        <f t="shared" ref="V151:AE151" si="432">V34/V25</f>
        <v>0.10633567988143758</v>
      </c>
      <c r="W151" s="150">
        <f t="shared" si="432"/>
        <v>0.10633567988143759</v>
      </c>
      <c r="X151" s="150">
        <f t="shared" si="432"/>
        <v>0.10633567988143759</v>
      </c>
      <c r="Y151" s="150">
        <f t="shared" si="432"/>
        <v>0.10633567988143759</v>
      </c>
      <c r="Z151" s="150">
        <f t="shared" si="432"/>
        <v>0.10633567988143759</v>
      </c>
      <c r="AA151" s="150">
        <f t="shared" si="432"/>
        <v>0.10633567988143758</v>
      </c>
      <c r="AB151" s="150">
        <f t="shared" si="432"/>
        <v>0.10633567988143759</v>
      </c>
      <c r="AC151" s="150">
        <f t="shared" si="432"/>
        <v>0.10633567988143758</v>
      </c>
      <c r="AD151" s="150">
        <f t="shared" si="432"/>
        <v>0.10633567988143759</v>
      </c>
      <c r="AE151" s="150">
        <f t="shared" si="432"/>
        <v>0.10633567988143758</v>
      </c>
      <c r="AF151" s="137">
        <f t="shared" si="295"/>
        <v>8.2050568014280234E-3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358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361</v>
      </c>
      <c r="C154" s="20"/>
      <c r="D154" s="20"/>
      <c r="E154" s="20"/>
      <c r="F154" s="20"/>
      <c r="G154" s="25">
        <f t="shared" ref="G154:H154" si="433">G15/G9</f>
        <v>2.4647058823529413</v>
      </c>
      <c r="H154" s="25">
        <f t="shared" si="433"/>
        <v>2.2678571428571428</v>
      </c>
      <c r="I154" s="25">
        <f t="shared" ref="I154:S154" si="434">I15/I9</f>
        <v>2.1353383458646618</v>
      </c>
      <c r="J154" s="25">
        <f t="shared" si="434"/>
        <v>2.1167512690355328</v>
      </c>
      <c r="K154" s="25">
        <f t="shared" si="434"/>
        <v>2.6920152091254752</v>
      </c>
      <c r="L154" s="25">
        <f t="shared" si="434"/>
        <v>2.2160493827160495</v>
      </c>
      <c r="M154" s="25">
        <f t="shared" si="434"/>
        <v>1.5523114355231145</v>
      </c>
      <c r="N154" s="25">
        <f t="shared" si="434"/>
        <v>1.5549019607843138</v>
      </c>
      <c r="O154" s="25">
        <f t="shared" si="434"/>
        <v>1.5</v>
      </c>
      <c r="P154" s="25">
        <f t="shared" si="434"/>
        <v>1.5930735930735931</v>
      </c>
      <c r="Q154" s="25">
        <f t="shared" si="434"/>
        <v>1.8480113636363635</v>
      </c>
      <c r="R154" s="25">
        <f t="shared" si="434"/>
        <v>1.7506666666666666</v>
      </c>
      <c r="S154" s="25">
        <f t="shared" si="434"/>
        <v>1.6337719298245614</v>
      </c>
      <c r="T154" s="118">
        <f t="shared" si="390"/>
        <v>-3.3684689361241915E-2</v>
      </c>
      <c r="U154" s="20"/>
      <c r="V154" s="20">
        <f t="shared" ref="V154:AE154" si="435">V15/V9</f>
        <v>1.6337719298245617</v>
      </c>
      <c r="W154" s="20">
        <f t="shared" si="435"/>
        <v>1.6337719298245614</v>
      </c>
      <c r="X154" s="20">
        <f t="shared" si="435"/>
        <v>1.6337719298245614</v>
      </c>
      <c r="Y154" s="20">
        <f t="shared" si="435"/>
        <v>1.6337719298245617</v>
      </c>
      <c r="Z154" s="20">
        <f t="shared" si="435"/>
        <v>1.6337719298245614</v>
      </c>
      <c r="AA154" s="20">
        <f t="shared" si="435"/>
        <v>1.6337719298245612</v>
      </c>
      <c r="AB154" s="20">
        <f t="shared" si="435"/>
        <v>1.633771929824561</v>
      </c>
      <c r="AC154" s="20">
        <f t="shared" si="435"/>
        <v>1.6337719298245612</v>
      </c>
      <c r="AD154" s="20">
        <f t="shared" si="435"/>
        <v>1.6337719298245612</v>
      </c>
      <c r="AE154" s="20">
        <f t="shared" si="435"/>
        <v>1.633771929824561</v>
      </c>
      <c r="AF154" s="137">
        <f t="shared" si="295"/>
        <v>-1.2668296790347977E-2</v>
      </c>
      <c r="AG154" s="20"/>
      <c r="AH154" s="20"/>
    </row>
    <row r="155" spans="2:34">
      <c r="B155" s="20" t="s">
        <v>351</v>
      </c>
      <c r="C155" s="20"/>
      <c r="D155" s="20"/>
      <c r="E155" s="20"/>
      <c r="F155" s="20"/>
      <c r="G155" s="25">
        <f t="shared" ref="G155:H155" si="436">G12/G9</f>
        <v>8.8235294117647065E-2</v>
      </c>
      <c r="H155" s="25">
        <f t="shared" si="436"/>
        <v>0.125</v>
      </c>
      <c r="I155" s="25">
        <f t="shared" ref="I155:S155" si="437">I12/I9</f>
        <v>0.12030075187969924</v>
      </c>
      <c r="J155" s="25">
        <f t="shared" si="437"/>
        <v>0.19289340101522842</v>
      </c>
      <c r="K155" s="25">
        <f t="shared" si="437"/>
        <v>0.6539923954372624</v>
      </c>
      <c r="L155" s="25">
        <f t="shared" si="437"/>
        <v>0.49074074074074076</v>
      </c>
      <c r="M155" s="25">
        <f t="shared" si="437"/>
        <v>0.10948905109489052</v>
      </c>
      <c r="N155" s="25">
        <f t="shared" si="437"/>
        <v>0.20196078431372549</v>
      </c>
      <c r="O155" s="25">
        <f t="shared" si="437"/>
        <v>0.36497326203208558</v>
      </c>
      <c r="P155" s="25">
        <f t="shared" si="437"/>
        <v>0.21789321789321789</v>
      </c>
      <c r="Q155" s="25">
        <f t="shared" si="437"/>
        <v>0.25142045454545453</v>
      </c>
      <c r="R155" s="25">
        <f t="shared" si="437"/>
        <v>0.11466666666666667</v>
      </c>
      <c r="S155" s="25">
        <f t="shared" si="437"/>
        <v>0.14473684210526316</v>
      </c>
      <c r="T155" s="118">
        <f t="shared" si="390"/>
        <v>4.2104799946680815E-2</v>
      </c>
      <c r="U155" s="128"/>
      <c r="V155" s="20">
        <f t="shared" ref="V155:AE155" si="438">V12/V9</f>
        <v>0.14473684210526316</v>
      </c>
      <c r="W155" s="20">
        <f t="shared" si="438"/>
        <v>0.14473684210526316</v>
      </c>
      <c r="X155" s="20">
        <f t="shared" si="438"/>
        <v>0.14473684210526316</v>
      </c>
      <c r="Y155" s="20">
        <f t="shared" si="438"/>
        <v>0.14473684210526316</v>
      </c>
      <c r="Z155" s="20">
        <f t="shared" si="438"/>
        <v>0.14473684210526316</v>
      </c>
      <c r="AA155" s="20">
        <f t="shared" si="438"/>
        <v>0.14473684210526316</v>
      </c>
      <c r="AB155" s="20">
        <f t="shared" si="438"/>
        <v>0.14473684210526316</v>
      </c>
      <c r="AC155" s="20">
        <f t="shared" si="438"/>
        <v>0.14473684210526314</v>
      </c>
      <c r="AD155" s="20">
        <f t="shared" si="438"/>
        <v>0.14473684210526314</v>
      </c>
      <c r="AE155" s="20">
        <f t="shared" si="438"/>
        <v>0.14473684210526311</v>
      </c>
      <c r="AF155" s="118">
        <f t="shared" ref="AF155" si="439">((AE155/V155)^(1/($J$2-$J$1) ))-1</f>
        <v>0</v>
      </c>
      <c r="AG155" s="20"/>
      <c r="AH155" s="20"/>
    </row>
    <row r="156" spans="2:34">
      <c r="B156" s="20" t="s">
        <v>353</v>
      </c>
      <c r="C156" s="20"/>
      <c r="D156" s="20"/>
      <c r="E156" s="20"/>
      <c r="F156" s="20"/>
      <c r="G156" s="25">
        <f t="shared" ref="G156:H156" si="440">G25/360</f>
        <v>1.875</v>
      </c>
      <c r="H156" s="25">
        <f t="shared" si="440"/>
        <v>2.1583333333333332</v>
      </c>
      <c r="I156" s="25">
        <f t="shared" ref="I156:S156" si="441">I25/360</f>
        <v>2.6361111111111111</v>
      </c>
      <c r="J156" s="25">
        <f t="shared" si="441"/>
        <v>3.5833333333333335</v>
      </c>
      <c r="K156" s="25">
        <f t="shared" si="441"/>
        <v>4.9083333333333332</v>
      </c>
      <c r="L156" s="25">
        <f t="shared" si="441"/>
        <v>5.4944444444444445</v>
      </c>
      <c r="M156" s="25">
        <f t="shared" si="441"/>
        <v>6.2416666666666663</v>
      </c>
      <c r="N156" s="25">
        <f t="shared" si="441"/>
        <v>7.6333333333333337</v>
      </c>
      <c r="O156" s="25">
        <f t="shared" si="441"/>
        <v>8.8722222222222218</v>
      </c>
      <c r="P156" s="25">
        <f t="shared" si="441"/>
        <v>10.561111111111112</v>
      </c>
      <c r="Q156" s="25">
        <f t="shared" si="441"/>
        <v>12.166666666666666</v>
      </c>
      <c r="R156" s="25">
        <f t="shared" si="441"/>
        <v>13.6</v>
      </c>
      <c r="S156" s="25">
        <f t="shared" si="441"/>
        <v>14.994444444444444</v>
      </c>
      <c r="T156" s="118">
        <f t="shared" si="390"/>
        <v>0.18917040484733949</v>
      </c>
      <c r="U156" s="128"/>
      <c r="V156" s="25">
        <f t="shared" ref="V156:AE156" si="442">V25/360</f>
        <v>16.49388888888889</v>
      </c>
      <c r="W156" s="25">
        <f t="shared" si="442"/>
        <v>18.143277777777779</v>
      </c>
      <c r="X156" s="25">
        <f t="shared" si="442"/>
        <v>19.95760555555556</v>
      </c>
      <c r="Y156" s="25">
        <f t="shared" si="442"/>
        <v>21.953366111111116</v>
      </c>
      <c r="Z156" s="25">
        <f t="shared" si="442"/>
        <v>24.148702722222232</v>
      </c>
      <c r="AA156" s="25">
        <f t="shared" si="442"/>
        <v>26.56357299444446</v>
      </c>
      <c r="AB156" s="25">
        <f t="shared" si="442"/>
        <v>29.219930293888904</v>
      </c>
      <c r="AC156" s="25">
        <f t="shared" si="442"/>
        <v>32.141923323277794</v>
      </c>
      <c r="AD156" s="25">
        <f t="shared" si="442"/>
        <v>35.356115655605578</v>
      </c>
      <c r="AE156" s="25">
        <f t="shared" si="442"/>
        <v>38.891727221166136</v>
      </c>
      <c r="AF156" s="118">
        <f t="shared" ref="AF156:AF167" si="443">((AE156/V156)^(1/($J$2-$J$1) ))-1</f>
        <v>7.4099498643941608E-2</v>
      </c>
      <c r="AG156" s="20"/>
      <c r="AH156" s="20"/>
    </row>
    <row r="157" spans="2:34">
      <c r="B157" s="20" t="s">
        <v>352</v>
      </c>
      <c r="C157" s="20"/>
      <c r="D157" s="20"/>
      <c r="E157" s="20"/>
      <c r="F157" s="20"/>
      <c r="G157" s="25">
        <f t="shared" ref="G157:H157" si="444">G27/360</f>
        <v>1.55</v>
      </c>
      <c r="H157" s="25">
        <f t="shared" si="444"/>
        <v>1.7777777777777777</v>
      </c>
      <c r="I157" s="25">
        <f t="shared" ref="I157:S157" si="445">I27/360</f>
        <v>2.1916666666666669</v>
      </c>
      <c r="J157" s="25">
        <f t="shared" si="445"/>
        <v>3.0611111111111109</v>
      </c>
      <c r="K157" s="25">
        <f t="shared" si="445"/>
        <v>4.1361111111111111</v>
      </c>
      <c r="L157" s="25">
        <f t="shared" si="445"/>
        <v>4.8555555555555552</v>
      </c>
      <c r="M157" s="25">
        <f t="shared" si="445"/>
        <v>5.0861111111111112</v>
      </c>
      <c r="N157" s="25">
        <f t="shared" si="445"/>
        <v>6.2472222222222218</v>
      </c>
      <c r="O157" s="25">
        <f t="shared" si="445"/>
        <v>7.4055555555555559</v>
      </c>
      <c r="P157" s="25">
        <f t="shared" si="445"/>
        <v>8.6944444444444446</v>
      </c>
      <c r="Q157" s="25">
        <f t="shared" si="445"/>
        <v>10.194444444444445</v>
      </c>
      <c r="R157" s="25">
        <f t="shared" si="445"/>
        <v>11.347222222222221</v>
      </c>
      <c r="S157" s="25">
        <f t="shared" si="445"/>
        <v>11.591666666666667</v>
      </c>
      <c r="T157" s="118">
        <f t="shared" si="390"/>
        <v>0.18254547012797739</v>
      </c>
      <c r="U157" s="128"/>
      <c r="V157" s="25">
        <f t="shared" ref="V157:AE157" si="446">V27/360</f>
        <v>12.750833333333334</v>
      </c>
      <c r="W157" s="25">
        <f t="shared" si="446"/>
        <v>14.025916666666669</v>
      </c>
      <c r="X157" s="25">
        <f t="shared" si="446"/>
        <v>15.428508333333339</v>
      </c>
      <c r="Y157" s="25">
        <f t="shared" si="446"/>
        <v>16.971359166666673</v>
      </c>
      <c r="Z157" s="25">
        <f t="shared" si="446"/>
        <v>18.668495083333344</v>
      </c>
      <c r="AA157" s="25">
        <f t="shared" si="446"/>
        <v>20.535344591666679</v>
      </c>
      <c r="AB157" s="25">
        <f t="shared" si="446"/>
        <v>22.588879050833349</v>
      </c>
      <c r="AC157" s="25">
        <f t="shared" si="446"/>
        <v>24.847766955916686</v>
      </c>
      <c r="AD157" s="25">
        <f t="shared" si="446"/>
        <v>27.332543651508356</v>
      </c>
      <c r="AE157" s="25">
        <f t="shared" si="446"/>
        <v>30.065798016659194</v>
      </c>
      <c r="AF157" s="118">
        <f t="shared" si="443"/>
        <v>7.4099498643941608E-2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362</v>
      </c>
      <c r="C159" s="20"/>
      <c r="D159" s="20"/>
      <c r="E159" s="20"/>
      <c r="F159" s="20"/>
      <c r="G159" s="25">
        <f t="shared" ref="G159:H159" si="447">G10/G7</f>
        <v>0.17777777777777778</v>
      </c>
      <c r="H159" s="25">
        <f t="shared" si="447"/>
        <v>0.17174515235457063</v>
      </c>
      <c r="I159" s="25">
        <f t="shared" ref="I159:S159" si="448">I10/I7</f>
        <v>0.13559322033898305</v>
      </c>
      <c r="J159" s="25">
        <f t="shared" si="448"/>
        <v>0.30208333333333331</v>
      </c>
      <c r="K159" s="25">
        <f t="shared" si="448"/>
        <v>0.84838709677419355</v>
      </c>
      <c r="L159" s="25">
        <f t="shared" si="448"/>
        <v>0.9605678233438486</v>
      </c>
      <c r="M159" s="25">
        <f t="shared" si="448"/>
        <v>0.53669724770642202</v>
      </c>
      <c r="N159" s="25">
        <f t="shared" si="448"/>
        <v>0.30904059040590404</v>
      </c>
      <c r="O159" s="25">
        <f t="shared" si="448"/>
        <v>0.11161387631975868</v>
      </c>
      <c r="P159" s="25">
        <f t="shared" si="448"/>
        <v>3.0890369473046637E-2</v>
      </c>
      <c r="Q159" s="25">
        <f t="shared" si="448"/>
        <v>2.3565573770491802E-2</v>
      </c>
      <c r="R159" s="25">
        <f t="shared" si="448"/>
        <v>2.5550660792951541E-2</v>
      </c>
      <c r="S159" s="25">
        <f t="shared" si="448"/>
        <v>3.01941049604601E-2</v>
      </c>
      <c r="T159" s="118">
        <f t="shared" si="390"/>
        <v>-0.13734517200030982</v>
      </c>
      <c r="U159" s="128"/>
      <c r="V159" s="25">
        <f t="shared" ref="V159:AE159" si="449">V10/V7</f>
        <v>3.01941049604601E-2</v>
      </c>
      <c r="W159" s="25">
        <f t="shared" si="449"/>
        <v>3.01941049604601E-2</v>
      </c>
      <c r="X159" s="25">
        <f t="shared" si="449"/>
        <v>3.01941049604601E-2</v>
      </c>
      <c r="Y159" s="25">
        <f t="shared" si="449"/>
        <v>3.01941049604601E-2</v>
      </c>
      <c r="Z159" s="25">
        <f t="shared" si="449"/>
        <v>3.0194104960460096E-2</v>
      </c>
      <c r="AA159" s="25">
        <f t="shared" si="449"/>
        <v>3.0194104960460096E-2</v>
      </c>
      <c r="AB159" s="25">
        <f t="shared" si="449"/>
        <v>3.0194104960460093E-2</v>
      </c>
      <c r="AC159" s="25">
        <f t="shared" si="449"/>
        <v>3.0194104960460089E-2</v>
      </c>
      <c r="AD159" s="25">
        <f t="shared" si="449"/>
        <v>3.0194104960460093E-2</v>
      </c>
      <c r="AE159" s="25">
        <f t="shared" si="449"/>
        <v>3.0194104960460093E-2</v>
      </c>
      <c r="AF159" s="118">
        <f t="shared" si="443"/>
        <v>0</v>
      </c>
      <c r="AG159" s="20"/>
      <c r="AH159" s="20"/>
    </row>
    <row r="160" spans="2:34">
      <c r="B160" s="20" t="s">
        <v>354</v>
      </c>
      <c r="C160" s="20"/>
      <c r="D160" s="20"/>
      <c r="E160" s="20"/>
      <c r="F160" s="20"/>
      <c r="G160" s="25">
        <f t="shared" ref="G160:H160" si="450">G10/(G10+G7)</f>
        <v>0.15094339622641509</v>
      </c>
      <c r="H160" s="25">
        <f t="shared" si="450"/>
        <v>0.14657210401891252</v>
      </c>
      <c r="I160" s="25">
        <f t="shared" ref="I160:S160" si="451">I10/(I10+I7)</f>
        <v>0.11940298507462686</v>
      </c>
      <c r="J160" s="25">
        <f t="shared" si="451"/>
        <v>0.23200000000000001</v>
      </c>
      <c r="K160" s="25">
        <f t="shared" si="451"/>
        <v>0.45898778359511344</v>
      </c>
      <c r="L160" s="25">
        <f t="shared" si="451"/>
        <v>0.48994368463395011</v>
      </c>
      <c r="M160" s="25">
        <f t="shared" si="451"/>
        <v>0.34925373134328358</v>
      </c>
      <c r="N160" s="25">
        <f t="shared" si="451"/>
        <v>0.23608174770965468</v>
      </c>
      <c r="O160" s="25">
        <f t="shared" si="451"/>
        <v>0.10040705563093623</v>
      </c>
      <c r="P160" s="25">
        <f t="shared" si="451"/>
        <v>2.9964747356051705E-2</v>
      </c>
      <c r="Q160" s="25">
        <f t="shared" si="451"/>
        <v>2.3023023023023025E-2</v>
      </c>
      <c r="R160" s="25">
        <f t="shared" si="451"/>
        <v>2.4914089347079039E-2</v>
      </c>
      <c r="S160" s="25">
        <f t="shared" si="451"/>
        <v>2.930914166085136E-2</v>
      </c>
      <c r="T160" s="118">
        <f t="shared" si="390"/>
        <v>-0.12766677252658609</v>
      </c>
      <c r="U160" s="128"/>
      <c r="V160" s="25">
        <f t="shared" ref="V160:AE160" si="452">V10/(V10+V7)</f>
        <v>2.930914166085136E-2</v>
      </c>
      <c r="W160" s="25">
        <f t="shared" si="452"/>
        <v>2.930914166085136E-2</v>
      </c>
      <c r="X160" s="25">
        <f t="shared" si="452"/>
        <v>2.930914166085136E-2</v>
      </c>
      <c r="Y160" s="25">
        <f t="shared" si="452"/>
        <v>2.9309141660851357E-2</v>
      </c>
      <c r="Z160" s="25">
        <f t="shared" si="452"/>
        <v>2.930914166085136E-2</v>
      </c>
      <c r="AA160" s="25">
        <f t="shared" si="452"/>
        <v>2.9309141660851357E-2</v>
      </c>
      <c r="AB160" s="25">
        <f t="shared" si="452"/>
        <v>2.930914166085135E-2</v>
      </c>
      <c r="AC160" s="25">
        <f t="shared" si="452"/>
        <v>2.930914166085135E-2</v>
      </c>
      <c r="AD160" s="25">
        <f t="shared" si="452"/>
        <v>2.9309141660851353E-2</v>
      </c>
      <c r="AE160" s="25">
        <f t="shared" si="452"/>
        <v>2.9309141660851353E-2</v>
      </c>
      <c r="AF160" s="118">
        <f t="shared" si="443"/>
        <v>0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359</v>
      </c>
      <c r="C162" s="20"/>
      <c r="D162" s="20"/>
      <c r="E162" s="20"/>
      <c r="F162" s="20"/>
      <c r="G162" s="25">
        <f t="shared" ref="G162:H162" si="453">G16</f>
        <v>132</v>
      </c>
      <c r="H162" s="25">
        <f t="shared" si="453"/>
        <v>145</v>
      </c>
      <c r="I162" s="25">
        <f t="shared" ref="I162:S162" si="454">I16</f>
        <v>147</v>
      </c>
      <c r="J162" s="25">
        <f t="shared" si="454"/>
        <v>224</v>
      </c>
      <c r="K162" s="25">
        <f t="shared" si="454"/>
        <v>477</v>
      </c>
      <c r="L162" s="25">
        <f t="shared" si="454"/>
        <v>445</v>
      </c>
      <c r="M162" s="25">
        <f t="shared" si="454"/>
        <v>234</v>
      </c>
      <c r="N162" s="25">
        <f t="shared" si="454"/>
        <v>336</v>
      </c>
      <c r="O162" s="25">
        <f t="shared" si="454"/>
        <v>365</v>
      </c>
      <c r="P162" s="25">
        <f t="shared" si="454"/>
        <v>335</v>
      </c>
      <c r="Q162" s="25">
        <f t="shared" si="454"/>
        <v>555</v>
      </c>
      <c r="R162" s="25">
        <f t="shared" si="454"/>
        <v>534</v>
      </c>
      <c r="S162" s="25">
        <f t="shared" si="454"/>
        <v>730</v>
      </c>
      <c r="T162" s="118">
        <f t="shared" si="390"/>
        <v>0.15317639521499449</v>
      </c>
      <c r="U162" s="128"/>
      <c r="V162" s="25">
        <f t="shared" ref="V162:AE162" si="455">V16</f>
        <v>803.00000000000011</v>
      </c>
      <c r="W162" s="25">
        <f t="shared" si="455"/>
        <v>883.30000000000018</v>
      </c>
      <c r="X162" s="25">
        <f t="shared" si="455"/>
        <v>971.63000000000022</v>
      </c>
      <c r="Y162" s="25">
        <f t="shared" si="455"/>
        <v>1068.7930000000003</v>
      </c>
      <c r="Z162" s="25">
        <f t="shared" si="455"/>
        <v>1175.6723000000004</v>
      </c>
      <c r="AA162" s="25">
        <f t="shared" si="455"/>
        <v>1293.2395300000005</v>
      </c>
      <c r="AB162" s="25">
        <f t="shared" si="455"/>
        <v>1422.5634830000006</v>
      </c>
      <c r="AC162" s="25">
        <f t="shared" si="455"/>
        <v>1564.8198313000007</v>
      </c>
      <c r="AD162" s="25">
        <f t="shared" si="455"/>
        <v>1721.3018144300008</v>
      </c>
      <c r="AE162" s="25">
        <f t="shared" si="455"/>
        <v>1893.4319958730011</v>
      </c>
      <c r="AF162" s="118">
        <f t="shared" si="443"/>
        <v>7.4099498643941608E-2</v>
      </c>
      <c r="AG162" s="20"/>
      <c r="AH162" s="20"/>
    </row>
    <row r="163" spans="2:34">
      <c r="B163" s="20" t="s">
        <v>360</v>
      </c>
      <c r="C163" s="20"/>
      <c r="D163" s="20"/>
      <c r="E163" s="20"/>
      <c r="F163" s="20"/>
      <c r="G163" s="119">
        <f t="shared" ref="G163:H163" si="456">G162*365/G25</f>
        <v>71.37777777777778</v>
      </c>
      <c r="H163" s="119">
        <f t="shared" si="456"/>
        <v>68.11454311454311</v>
      </c>
      <c r="I163" s="119">
        <f t="shared" ref="I163:S163" si="457">I162*365/I25</f>
        <v>56.53846153846154</v>
      </c>
      <c r="J163" s="119">
        <f t="shared" si="457"/>
        <v>63.379844961240309</v>
      </c>
      <c r="K163" s="119">
        <f t="shared" si="457"/>
        <v>98.531409168081495</v>
      </c>
      <c r="L163" s="119">
        <f t="shared" si="457"/>
        <v>82.115773508594543</v>
      </c>
      <c r="M163" s="119">
        <f t="shared" si="457"/>
        <v>38.010680907877166</v>
      </c>
      <c r="N163" s="119">
        <f t="shared" si="457"/>
        <v>44.62882096069869</v>
      </c>
      <c r="O163" s="119">
        <f t="shared" si="457"/>
        <v>41.71102066374452</v>
      </c>
      <c r="P163" s="119">
        <f t="shared" si="457"/>
        <v>32.160704892162023</v>
      </c>
      <c r="Q163" s="119">
        <f t="shared" si="457"/>
        <v>46.25</v>
      </c>
      <c r="R163" s="119">
        <f t="shared" si="457"/>
        <v>39.810049019607845</v>
      </c>
      <c r="S163" s="119">
        <f t="shared" si="457"/>
        <v>49.360874397925159</v>
      </c>
      <c r="T163" s="118">
        <f t="shared" si="390"/>
        <v>-3.0268168031785003E-2</v>
      </c>
      <c r="U163" s="128"/>
      <c r="V163" s="119">
        <f t="shared" ref="V163:AE163" si="458">V162*365/V25</f>
        <v>49.360874397925166</v>
      </c>
      <c r="W163" s="119">
        <f t="shared" si="458"/>
        <v>49.360874397925159</v>
      </c>
      <c r="X163" s="119">
        <f t="shared" si="458"/>
        <v>49.360874397925159</v>
      </c>
      <c r="Y163" s="119">
        <f t="shared" si="458"/>
        <v>49.360874397925159</v>
      </c>
      <c r="Z163" s="119">
        <f t="shared" si="458"/>
        <v>49.360874397925159</v>
      </c>
      <c r="AA163" s="119">
        <f t="shared" si="458"/>
        <v>49.360874397925151</v>
      </c>
      <c r="AB163" s="119">
        <f t="shared" si="458"/>
        <v>49.360874397925151</v>
      </c>
      <c r="AC163" s="119">
        <f t="shared" si="458"/>
        <v>49.360874397925144</v>
      </c>
      <c r="AD163" s="119">
        <f t="shared" si="458"/>
        <v>49.360874397925159</v>
      </c>
      <c r="AE163" s="119">
        <f t="shared" si="458"/>
        <v>49.360874397925151</v>
      </c>
      <c r="AF163" s="118">
        <f t="shared" si="443"/>
        <v>0</v>
      </c>
      <c r="AG163" s="20"/>
      <c r="AH163" s="20"/>
    </row>
    <row r="164" spans="2:34">
      <c r="B164" s="20" t="s">
        <v>363</v>
      </c>
      <c r="C164" s="20"/>
      <c r="D164" s="20"/>
      <c r="E164" s="20"/>
      <c r="F164" s="20"/>
      <c r="G164" s="133">
        <f t="shared" ref="G164:H164" si="459">G98/G29</f>
        <v>42857.142857142855</v>
      </c>
      <c r="H164" s="133">
        <f t="shared" si="459"/>
        <v>12.698412698412698</v>
      </c>
      <c r="I164" s="133">
        <f t="shared" ref="I164:S164" si="460">I98/I29</f>
        <v>1.5124016938898972</v>
      </c>
      <c r="J164" s="133">
        <f t="shared" si="460"/>
        <v>0.71087393270751631</v>
      </c>
      <c r="K164" s="133">
        <f t="shared" si="460"/>
        <v>0.41337285902503296</v>
      </c>
      <c r="L164" s="133">
        <f t="shared" si="460"/>
        <v>0.21739130434782608</v>
      </c>
      <c r="M164" s="133">
        <f t="shared" si="460"/>
        <v>0.20694890753855594</v>
      </c>
      <c r="N164" s="133">
        <f t="shared" si="460"/>
        <v>0.25467079408988119</v>
      </c>
      <c r="O164" s="133">
        <f t="shared" si="460"/>
        <v>0.31393782251709501</v>
      </c>
      <c r="P164" s="133">
        <f t="shared" si="460"/>
        <v>0.53116021707516048</v>
      </c>
      <c r="Q164" s="133">
        <f t="shared" si="460"/>
        <v>0.81813304721030045</v>
      </c>
      <c r="R164" s="133">
        <f t="shared" si="460"/>
        <v>0.96106584948610441</v>
      </c>
      <c r="S164" s="133">
        <f t="shared" si="460"/>
        <v>1.7244415852396033</v>
      </c>
      <c r="T164" s="118">
        <f t="shared" si="390"/>
        <v>-0.5697520866545096</v>
      </c>
      <c r="U164" s="128"/>
      <c r="V164" s="133">
        <f t="shared" ref="V164:AE164" si="461">V98/V29</f>
        <v>1.6906290051368662</v>
      </c>
      <c r="W164" s="133">
        <f t="shared" si="461"/>
        <v>1.6574794168008493</v>
      </c>
      <c r="X164" s="133">
        <f t="shared" si="461"/>
        <v>1.6249798203929895</v>
      </c>
      <c r="Y164" s="133">
        <f t="shared" si="461"/>
        <v>1.5931174709735187</v>
      </c>
      <c r="Z164" s="133">
        <f t="shared" si="461"/>
        <v>1.5618798735034496</v>
      </c>
      <c r="AA164" s="133">
        <f t="shared" si="461"/>
        <v>1.5312547779445582</v>
      </c>
      <c r="AB164" s="133">
        <f t="shared" si="461"/>
        <v>1.5012301744554495</v>
      </c>
      <c r="AC164" s="133">
        <f t="shared" si="461"/>
        <v>1.4717942886818132</v>
      </c>
      <c r="AD164" s="133">
        <f t="shared" si="461"/>
        <v>1.4429355771390326</v>
      </c>
      <c r="AE164" s="133">
        <f t="shared" si="461"/>
        <v>1.414642722685326</v>
      </c>
      <c r="AF164" s="118">
        <f t="shared" si="443"/>
        <v>-1.4742223947839528E-2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370</v>
      </c>
      <c r="C166" s="20"/>
      <c r="D166" s="20"/>
      <c r="E166" s="20"/>
      <c r="F166" s="20"/>
      <c r="G166" s="178">
        <f t="shared" ref="G166:H166" si="462">G25/G14</f>
        <v>6.4285714285714288</v>
      </c>
      <c r="H166" s="178">
        <f t="shared" si="462"/>
        <v>5.976923076923077</v>
      </c>
      <c r="I166" s="178">
        <f t="shared" ref="I166:S166" si="463">I25/I14</f>
        <v>6.083333333333333</v>
      </c>
      <c r="J166" s="178">
        <f t="shared" si="463"/>
        <v>5.8371040723981897</v>
      </c>
      <c r="K166" s="178">
        <f t="shared" si="463"/>
        <v>5.9295302013422821</v>
      </c>
      <c r="L166" s="178">
        <f t="shared" si="463"/>
        <v>7.0642857142857141</v>
      </c>
      <c r="M166" s="178">
        <f t="shared" si="463"/>
        <v>7.5402684563758386</v>
      </c>
      <c r="N166" s="178">
        <f t="shared" si="463"/>
        <v>6.7188264058679703</v>
      </c>
      <c r="O166" s="178">
        <f t="shared" si="463"/>
        <v>7.035242290748899</v>
      </c>
      <c r="P166" s="178">
        <f t="shared" si="463"/>
        <v>7.2557251908396942</v>
      </c>
      <c r="Q166" s="178">
        <f t="shared" si="463"/>
        <v>7.3</v>
      </c>
      <c r="R166" s="178">
        <f t="shared" si="463"/>
        <v>7.6380655226209049</v>
      </c>
      <c r="S166" s="178">
        <f t="shared" si="463"/>
        <v>8.5818759936406988</v>
      </c>
      <c r="T166" s="118">
        <f t="shared" si="390"/>
        <v>2.4367159290553886E-2</v>
      </c>
      <c r="U166" s="128"/>
      <c r="V166" s="20">
        <f t="shared" ref="V166:AE166" si="464">V25/V14</f>
        <v>8.5818759936406988</v>
      </c>
      <c r="W166" s="20">
        <f t="shared" si="464"/>
        <v>8.5818759936406988</v>
      </c>
      <c r="X166" s="20">
        <f t="shared" si="464"/>
        <v>8.5818759936406988</v>
      </c>
      <c r="Y166" s="20">
        <f t="shared" si="464"/>
        <v>8.5818759936406988</v>
      </c>
      <c r="Z166" s="20">
        <f t="shared" si="464"/>
        <v>8.5818759936407005</v>
      </c>
      <c r="AA166" s="20">
        <f t="shared" si="464"/>
        <v>8.5818759936407005</v>
      </c>
      <c r="AB166" s="20">
        <f t="shared" si="464"/>
        <v>8.5818759936407005</v>
      </c>
      <c r="AC166" s="20">
        <f t="shared" si="464"/>
        <v>8.5818759936406988</v>
      </c>
      <c r="AD166" s="20">
        <f t="shared" si="464"/>
        <v>8.5818759936406988</v>
      </c>
      <c r="AE166" s="20">
        <f t="shared" si="464"/>
        <v>8.5818759936406988</v>
      </c>
      <c r="AF166" s="118">
        <f t="shared" si="443"/>
        <v>0</v>
      </c>
      <c r="AG166" s="20"/>
      <c r="AH166" s="20"/>
    </row>
    <row r="167" spans="2:34">
      <c r="B167" s="20" t="s">
        <v>371</v>
      </c>
      <c r="C167" s="20"/>
      <c r="D167" s="20"/>
      <c r="E167" s="20"/>
      <c r="F167" s="20"/>
      <c r="G167" s="178">
        <f t="shared" ref="G167:H167" si="465">G27/G14</f>
        <v>5.3142857142857141</v>
      </c>
      <c r="H167" s="178">
        <f t="shared" si="465"/>
        <v>4.9230769230769234</v>
      </c>
      <c r="I167" s="178">
        <f t="shared" ref="I167:S167" si="466">I27/I14</f>
        <v>5.0576923076923075</v>
      </c>
      <c r="J167" s="178">
        <f t="shared" si="466"/>
        <v>4.9864253393665159</v>
      </c>
      <c r="K167" s="178">
        <f t="shared" si="466"/>
        <v>4.9966442953020138</v>
      </c>
      <c r="L167" s="178">
        <f t="shared" si="466"/>
        <v>6.2428571428571429</v>
      </c>
      <c r="M167" s="178">
        <f t="shared" si="466"/>
        <v>6.1442953020134228</v>
      </c>
      <c r="N167" s="178">
        <f t="shared" si="466"/>
        <v>5.4987775061124697</v>
      </c>
      <c r="O167" s="178">
        <f t="shared" si="466"/>
        <v>5.8722466960352424</v>
      </c>
      <c r="P167" s="178">
        <f t="shared" si="466"/>
        <v>5.9732824427480917</v>
      </c>
      <c r="Q167" s="178">
        <f t="shared" si="466"/>
        <v>6.1166666666666663</v>
      </c>
      <c r="R167" s="178">
        <f t="shared" si="466"/>
        <v>6.3728549141965676</v>
      </c>
      <c r="S167" s="178">
        <f t="shared" si="466"/>
        <v>6.634340222575517</v>
      </c>
      <c r="T167" s="118">
        <f t="shared" si="390"/>
        <v>1.8660352653510515E-2</v>
      </c>
      <c r="U167" s="128"/>
      <c r="V167" s="20">
        <f t="shared" ref="V167:AE167" si="467">V27/V14</f>
        <v>6.6343402225755161</v>
      </c>
      <c r="W167" s="20">
        <f t="shared" si="467"/>
        <v>6.6343402225755161</v>
      </c>
      <c r="X167" s="20">
        <f t="shared" si="467"/>
        <v>6.634340222575517</v>
      </c>
      <c r="Y167" s="20">
        <f t="shared" si="467"/>
        <v>6.6343402225755179</v>
      </c>
      <c r="Z167" s="20">
        <f t="shared" si="467"/>
        <v>6.6343402225755179</v>
      </c>
      <c r="AA167" s="20">
        <f t="shared" si="467"/>
        <v>6.634340222575517</v>
      </c>
      <c r="AB167" s="20">
        <f t="shared" si="467"/>
        <v>6.6343402225755179</v>
      </c>
      <c r="AC167" s="20">
        <f t="shared" si="467"/>
        <v>6.6343402225755179</v>
      </c>
      <c r="AD167" s="20">
        <f t="shared" si="467"/>
        <v>6.6343402225755179</v>
      </c>
      <c r="AE167" s="20">
        <f t="shared" si="467"/>
        <v>6.6343402225755179</v>
      </c>
      <c r="AF167" s="118">
        <f t="shared" si="443"/>
        <v>0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469</v>
      </c>
      <c r="T169" s="23"/>
      <c r="U169" s="23" t="s">
        <v>470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>
        <f>AVERAGE(O102:S102)</f>
        <v>9.5747171283651973</v>
      </c>
      <c r="T170" s="158">
        <f>AVERAGE(I72:S72)</f>
        <v>7.1245280852713089</v>
      </c>
      <c r="U170" s="158">
        <f>AVERAGE(I102:S102)</f>
        <v>6.2338169049054732</v>
      </c>
      <c r="V170" s="192" t="s">
        <v>425</v>
      </c>
      <c r="W170" s="193" t="s">
        <v>426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>
        <f>V171+W171</f>
        <v>37.613241362448818</v>
      </c>
      <c r="V171" s="133">
        <f>PV($C$1, ($AE$3-$V$3), 0, -AE72)</f>
        <v>5.2411893701772936</v>
      </c>
      <c r="W171" s="133">
        <f>PV($C$1, ($AE$3-$V$3), 0, -AH72)</f>
        <v>32.372051992271523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>
        <f t="shared" ref="U172:U190" si="468">V172+W172</f>
        <v>138.41274797663047</v>
      </c>
      <c r="V172" s="133">
        <f>PV($C$1, ($AE$3-$V$3), 0, -AE74)</f>
        <v>19.287022259038668</v>
      </c>
      <c r="W172" s="133">
        <f>PV($C$1, ($AE$3-$V$3), 0, -AH74)</f>
        <v>119.12572571759181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>
        <f t="shared" si="468"/>
        <v>135.8753467736081</v>
      </c>
      <c r="V173" s="133">
        <f>PV($C$1, ($AE$3-$V$3), 0, -AE75)</f>
        <v>18.933449960256866</v>
      </c>
      <c r="W173" s="133">
        <f>PV($C$1, ($AE$3-$V$3), 0, -AH75)</f>
        <v>116.94189681335125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>
        <f t="shared" si="468"/>
        <v>4.1792490402720901</v>
      </c>
      <c r="V174" s="133">
        <f>PV($C$1, ($AE$3-$V$3), 0, -AE76)</f>
        <v>0.58235437446414373</v>
      </c>
      <c r="W174" s="133">
        <f>PV($C$1, ($AE$3-$V$3), 0, -AH76)</f>
        <v>3.5968946658079468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>
        <f t="shared" si="468"/>
        <v>6.5673913489990001</v>
      </c>
      <c r="V175" s="133">
        <f>PV($C$1, ($AE$3-$V$3), 0, -AE82)</f>
        <v>0.91512830272936885</v>
      </c>
      <c r="W175" s="133">
        <f>PV($C$1, ($AE$3-$V$3), 0, -AH82)</f>
        <v>5.6522630462696313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>
        <f t="shared" si="468"/>
        <v>134.23349893635836</v>
      </c>
      <c r="V177" s="133">
        <f>PV($C$1, ($AE$3-$V$3), 0, -AE78)</f>
        <v>18.704667884574526</v>
      </c>
      <c r="W177" s="133">
        <f>PV($C$1, ($AE$3-$V$3), 0, -$AH$78)</f>
        <v>115.52883105178384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>
        <f t="shared" si="468"/>
        <v>88.858795070547089</v>
      </c>
      <c r="V178" s="133">
        <f>PV($C$1, ($AE$3-$V$3), 0, -AE79)</f>
        <v>12.381963247535248</v>
      </c>
      <c r="W178" s="133">
        <f>PV($C$1, ($AE$3-$V$3), 0, -$AH$79)</f>
        <v>76.476831823011835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>
        <f t="shared" si="468"/>
        <v>162.99071257061152</v>
      </c>
      <c r="V179" s="133">
        <f>PV($C$1, ($AE$3-$V$3), 0, -AE80)</f>
        <v>22.711820604101607</v>
      </c>
      <c r="W179" s="133">
        <f>PV($C$1, ($AE$3-$V$3), 0, -$AH$80)</f>
        <v>140.27889196650992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>
        <f t="shared" si="468"/>
        <v>74.131917500064475</v>
      </c>
      <c r="V181" s="133">
        <f>PV($C$1, ($AE$3-$V$3), 0, -AE85)</f>
        <v>10.329857356566359</v>
      </c>
      <c r="W181" s="133">
        <f>PV($C$1, ($AE$3-$V$3), 0, -AH85)</f>
        <v>63.80206014349811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>
        <f t="shared" si="468"/>
        <v>28.065195124338004</v>
      </c>
      <c r="V182" s="133">
        <f>PV($C$1, ($AE$3-$V$3), 0, -AE86)</f>
        <v>5.0609368257002965</v>
      </c>
      <c r="W182" s="133">
        <f>PV($C$1, ($AE$3-$V$3), 0, -AH86)</f>
        <v>23.004258298637708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469">V184+W184</f>
        <v>410.3677433121041</v>
      </c>
      <c r="V184" s="133">
        <f>PV($C$1, ($AE$3-$V$3), 0, -AE12)</f>
        <v>57.182390461522701</v>
      </c>
      <c r="W184" s="133">
        <f>PV($C$1, ($AE$3-$V$3), 0, -AH12)</f>
        <v>353.18535285058141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>
        <f>V185+W185</f>
        <v>8.0056134083516213</v>
      </c>
      <c r="V185" s="139">
        <f>V184/R57</f>
        <v>1.1155362946063734</v>
      </c>
      <c r="W185" s="139">
        <f>W184/R57</f>
        <v>6.8900771137452486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470">V188+W188</f>
        <v>39.328242486487852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32.354867990819159</v>
      </c>
      <c r="W188" s="133">
        <f>PV($C$1, ($AE$3-$V$3), 0, -AH88)</f>
        <v>6.9733744956686898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468"/>
        <v>6609.4361827743769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5437.5029664974481</v>
      </c>
      <c r="W190" s="133">
        <f>PV($C$1, ($AE$3-$V$3), 0, -AH90)</f>
        <v>1171.9332162769288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457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>
        <f t="shared" ref="U192:U195" si="471">V192+W192</f>
        <v>105.77525820663863</v>
      </c>
      <c r="V192" s="133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87.020021734925763</v>
      </c>
      <c r="W192" s="133">
        <f>PV($C$1, ($AE$3-$V$3), 0, -AH92)</f>
        <v>18.755236471712859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>
        <f t="shared" si="471"/>
        <v>219.03689313566497</v>
      </c>
      <c r="V193" s="133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180.19899477985774</v>
      </c>
      <c r="W193" s="133">
        <f>PV($C$1, ($AE$3-$V$3), 0, -AH93)</f>
        <v>38.837898355807233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>
        <f t="shared" si="471"/>
        <v>-113.26163492902637</v>
      </c>
      <c r="V194" s="133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-93.178973044931993</v>
      </c>
      <c r="W194" s="133">
        <f>PV($C$1, ($AE$3-$V$3), 0, -AH94)</f>
        <v>-20.082661884094378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>
        <f t="shared" si="471"/>
        <v>-99.737857624067971</v>
      </c>
      <c r="V195" s="133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-82.053125517178898</v>
      </c>
      <c r="W195" s="133">
        <f>PV($C$1, ($AE$3-$V$3), 0, -AH95)</f>
        <v>-17.684732106889076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455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>
        <f>U193+U194+U195</f>
        <v>6.0374005825706263</v>
      </c>
      <c r="V196" s="110">
        <f t="shared" ref="V196:W196" si="472">V193+V194+V195</f>
        <v>4.9668962177468501</v>
      </c>
      <c r="W196" s="110">
        <f t="shared" si="472"/>
        <v>1.0705043648237798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>
        <f>V198+W198</f>
        <v>16.349280777601461</v>
      </c>
      <c r="V198" s="133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13.450354957658625</v>
      </c>
      <c r="W198" s="133">
        <f>PV($C$1, ($AE$3-$V$3), 0, -AH96)</f>
        <v>2.8989258199428343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81">
        <v>41729</v>
      </c>
      <c r="R199" s="20">
        <v>610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9" t="s">
        <v>468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194">
        <v>0</v>
      </c>
      <c r="Q200" s="23" t="s">
        <v>386</v>
      </c>
      <c r="R200" s="20">
        <v>680</v>
      </c>
      <c r="S200" s="20"/>
      <c r="T200" s="20">
        <v>150</v>
      </c>
      <c r="U200" s="23" t="s">
        <v>387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310</v>
      </c>
      <c r="H201" s="22">
        <v>450</v>
      </c>
      <c r="I201" s="22">
        <v>120</v>
      </c>
      <c r="J201" s="22">
        <v>190</v>
      </c>
      <c r="K201" s="22">
        <v>200</v>
      </c>
      <c r="L201" s="22">
        <v>140</v>
      </c>
      <c r="M201" s="22">
        <v>150</v>
      </c>
      <c r="N201" s="22">
        <v>150</v>
      </c>
      <c r="O201" s="22">
        <v>210</v>
      </c>
      <c r="P201" s="22">
        <v>240</v>
      </c>
      <c r="Q201" s="22">
        <v>280</v>
      </c>
      <c r="R201" s="22">
        <v>590</v>
      </c>
      <c r="S201" s="22">
        <v>250</v>
      </c>
      <c r="T201" s="118">
        <f t="shared" ref="T201:T227" si="473">((S201/G201)^(1/($J$2-$J$1) ))-1</f>
        <v>-1.7766234255984226E-2</v>
      </c>
      <c r="U201" s="31">
        <v>0</v>
      </c>
      <c r="V201" s="195">
        <v>50</v>
      </c>
      <c r="W201" s="119">
        <f t="shared" ref="W201:AE201" si="474">V201*(1+$U201)</f>
        <v>50</v>
      </c>
      <c r="X201" s="119">
        <f t="shared" si="474"/>
        <v>50</v>
      </c>
      <c r="Y201" s="119">
        <f t="shared" si="474"/>
        <v>50</v>
      </c>
      <c r="Z201" s="119">
        <f t="shared" si="474"/>
        <v>50</v>
      </c>
      <c r="AA201" s="119">
        <f t="shared" si="474"/>
        <v>50</v>
      </c>
      <c r="AB201" s="119">
        <f t="shared" si="474"/>
        <v>50</v>
      </c>
      <c r="AC201" s="119">
        <f t="shared" si="474"/>
        <v>50</v>
      </c>
      <c r="AD201" s="119">
        <f t="shared" si="474"/>
        <v>50</v>
      </c>
      <c r="AE201" s="119">
        <f t="shared" si="474"/>
        <v>50</v>
      </c>
      <c r="AF201" s="137">
        <f t="shared" ref="AF201:AF208" si="475">((AE201/I201)^(1/($AE$3-$J$1) ))-1</f>
        <v>-4.0831952553254225E-2</v>
      </c>
      <c r="AG201" s="31">
        <f t="shared" ref="AG201:AG208" si="476">$N$1</f>
        <v>0.05</v>
      </c>
      <c r="AH201" s="127">
        <f t="shared" ref="AH201:AH212" si="477">(AE201*(1+AF201))/($C$1-AG201)</f>
        <v>282.1082492490429</v>
      </c>
    </row>
    <row r="202" spans="2:34">
      <c r="B202" s="20" t="s">
        <v>357</v>
      </c>
      <c r="C202" s="25"/>
      <c r="D202" s="25"/>
      <c r="E202" s="25"/>
      <c r="F202" s="25"/>
      <c r="G202" s="25">
        <f t="shared" ref="G202:H202" si="478">G201/G66</f>
        <v>1.1573333333333335</v>
      </c>
      <c r="H202" s="25">
        <f t="shared" si="478"/>
        <v>1.4594594594594597</v>
      </c>
      <c r="I202" s="25">
        <f t="shared" ref="I202:S202" si="479">I201/I66</f>
        <v>3.1903055848261328</v>
      </c>
      <c r="J202" s="25">
        <f t="shared" si="479"/>
        <v>3.7160465116279071</v>
      </c>
      <c r="K202" s="25">
        <f t="shared" si="479"/>
        <v>2.8636106395019807</v>
      </c>
      <c r="L202" s="25">
        <f t="shared" si="479"/>
        <v>1.7906976744186049</v>
      </c>
      <c r="M202" s="25">
        <f t="shared" si="479"/>
        <v>3.3785046728971966</v>
      </c>
      <c r="N202" s="25">
        <f t="shared" si="479"/>
        <v>2.7625545851528384</v>
      </c>
      <c r="O202" s="25">
        <f t="shared" si="479"/>
        <v>3.3373825923606759</v>
      </c>
      <c r="P202" s="25">
        <f t="shared" si="479"/>
        <v>3.2357706470278802</v>
      </c>
      <c r="Q202" s="25">
        <f t="shared" si="479"/>
        <v>3.2768949771689493</v>
      </c>
      <c r="R202" s="25">
        <f t="shared" si="479"/>
        <v>6.1771650326797385</v>
      </c>
      <c r="S202" s="25">
        <f t="shared" si="479"/>
        <v>2.3740274175620599</v>
      </c>
      <c r="T202" s="118">
        <f t="shared" si="473"/>
        <v>6.1701112365043276E-2</v>
      </c>
      <c r="U202" s="128"/>
      <c r="V202" s="25">
        <f t="shared" ref="V202:AE202" si="480">V201/V66</f>
        <v>0.44027417562060023</v>
      </c>
      <c r="W202" s="25">
        <f t="shared" si="480"/>
        <v>0.40825423557546558</v>
      </c>
      <c r="X202" s="25">
        <f t="shared" si="480"/>
        <v>0.37856301844270446</v>
      </c>
      <c r="Y202" s="25">
        <f t="shared" si="480"/>
        <v>0.35103116255596228</v>
      </c>
      <c r="Z202" s="25">
        <f t="shared" si="480"/>
        <v>0.32550162346098316</v>
      </c>
      <c r="AA202" s="25">
        <f t="shared" si="480"/>
        <v>0.30182877811836611</v>
      </c>
      <c r="AB202" s="25">
        <f t="shared" si="480"/>
        <v>0.27987759425521225</v>
      </c>
      <c r="AC202" s="25">
        <f t="shared" si="480"/>
        <v>0.25952286012756043</v>
      </c>
      <c r="AD202" s="25">
        <f t="shared" si="480"/>
        <v>0.2406484703001015</v>
      </c>
      <c r="AE202" s="25">
        <f t="shared" si="480"/>
        <v>0.22314676336918501</v>
      </c>
      <c r="AF202" s="137">
        <f t="shared" ref="AF202" si="481">((AE202/I202)^(1/($AE$3-$J$1) ))-1</f>
        <v>-0.1189744751789058</v>
      </c>
      <c r="AG202" s="31">
        <f t="shared" si="476"/>
        <v>0.05</v>
      </c>
      <c r="AH202" s="127">
        <f t="shared" ref="AH202" si="482">(AE202*(1+AF202))/($C$1-AG202)</f>
        <v>1.1564587900556751</v>
      </c>
    </row>
    <row r="203" spans="2:34">
      <c r="B203" s="20" t="s">
        <v>385</v>
      </c>
      <c r="C203" s="25"/>
      <c r="D203" s="25"/>
      <c r="E203" s="25"/>
      <c r="F203" s="25"/>
      <c r="G203" s="25">
        <f t="shared" ref="G203:H203" si="483">G201/G72</f>
        <v>12.806557377049181</v>
      </c>
      <c r="H203" s="25">
        <f t="shared" si="483"/>
        <v>15.75</v>
      </c>
      <c r="I203" s="25">
        <f t="shared" ref="I203:S203" si="484">I201/I72</f>
        <v>35.204651162790697</v>
      </c>
      <c r="J203" s="25">
        <f t="shared" si="484"/>
        <v>43.18648648648648</v>
      </c>
      <c r="K203" s="25">
        <f t="shared" si="484"/>
        <v>29.5906432748538</v>
      </c>
      <c r="L203" s="25">
        <f t="shared" si="484"/>
        <v>32.200000000000003</v>
      </c>
      <c r="M203" s="25">
        <f t="shared" si="484"/>
        <v>27.605454545454545</v>
      </c>
      <c r="N203" s="25">
        <f t="shared" si="484"/>
        <v>24.647727272727273</v>
      </c>
      <c r="O203" s="25">
        <f t="shared" si="484"/>
        <v>33.104347826086958</v>
      </c>
      <c r="P203" s="25">
        <f t="shared" si="484"/>
        <v>29.221852731591447</v>
      </c>
      <c r="Q203" s="25">
        <f t="shared" si="484"/>
        <v>32.109172259507829</v>
      </c>
      <c r="R203" s="25">
        <f t="shared" si="484"/>
        <v>59.534251968503938</v>
      </c>
      <c r="S203" s="25">
        <f t="shared" si="484"/>
        <v>16.951058201058203</v>
      </c>
      <c r="T203" s="118">
        <f t="shared" si="473"/>
        <v>2.3639496721771236E-2</v>
      </c>
      <c r="U203" s="128"/>
      <c r="V203" s="119">
        <f t="shared" ref="V203:AE203" si="485">V201/V72</f>
        <v>3.1436507936507931</v>
      </c>
      <c r="W203" s="119">
        <f t="shared" si="485"/>
        <v>2.9150216450216444</v>
      </c>
      <c r="X203" s="119">
        <f t="shared" si="485"/>
        <v>2.7030200708382517</v>
      </c>
      <c r="Y203" s="119">
        <f t="shared" si="485"/>
        <v>2.5064367929591063</v>
      </c>
      <c r="Z203" s="119">
        <f t="shared" si="485"/>
        <v>2.3241504807438984</v>
      </c>
      <c r="AA203" s="119">
        <f t="shared" si="485"/>
        <v>2.155121354871615</v>
      </c>
      <c r="AB203" s="119">
        <f t="shared" si="485"/>
        <v>1.9983852563354974</v>
      </c>
      <c r="AC203" s="119">
        <f t="shared" si="485"/>
        <v>1.8530481467838249</v>
      </c>
      <c r="AD203" s="119">
        <f t="shared" si="485"/>
        <v>1.71828100883591</v>
      </c>
      <c r="AE203" s="119">
        <f t="shared" si="485"/>
        <v>1.5933151172842075</v>
      </c>
      <c r="AF203" s="137">
        <f t="shared" si="475"/>
        <v>-0.13704968428266584</v>
      </c>
      <c r="AG203" s="31">
        <f t="shared" si="476"/>
        <v>0.05</v>
      </c>
      <c r="AH203" s="127">
        <f t="shared" si="477"/>
        <v>8.0879516676329892</v>
      </c>
    </row>
    <row r="204" spans="2:34">
      <c r="B204" s="20" t="s">
        <v>460</v>
      </c>
      <c r="C204" s="25"/>
      <c r="D204" s="25"/>
      <c r="E204" s="25"/>
      <c r="F204" s="25"/>
      <c r="G204" s="25">
        <f t="shared" ref="G204:H204" si="486">G201/G70</f>
        <v>7.2333333333333343</v>
      </c>
      <c r="H204" s="25">
        <f t="shared" si="486"/>
        <v>8.859375</v>
      </c>
      <c r="I204" s="25">
        <f t="shared" ref="I204:S204" si="487">I201/I70</f>
        <v>20.880000000000003</v>
      </c>
      <c r="J204" s="25">
        <f t="shared" si="487"/>
        <v>27.870348837209303</v>
      </c>
      <c r="K204" s="25">
        <f t="shared" si="487"/>
        <v>20.159362549800797</v>
      </c>
      <c r="L204" s="25">
        <f t="shared" si="487"/>
        <v>14.636363636363637</v>
      </c>
      <c r="M204" s="25">
        <f t="shared" si="487"/>
        <v>19.074120603015075</v>
      </c>
      <c r="N204" s="25">
        <f t="shared" si="487"/>
        <v>16.360991379310345</v>
      </c>
      <c r="O204" s="25">
        <f t="shared" si="487"/>
        <v>21.578137651821862</v>
      </c>
      <c r="P204" s="25">
        <f t="shared" si="487"/>
        <v>20.538230383973289</v>
      </c>
      <c r="Q204" s="25">
        <f t="shared" si="487"/>
        <v>21.39016393442623</v>
      </c>
      <c r="R204" s="25">
        <f t="shared" si="487"/>
        <v>39.277142857142856</v>
      </c>
      <c r="S204" s="25">
        <f t="shared" si="487"/>
        <v>10.924978687127025</v>
      </c>
      <c r="T204" s="118">
        <f t="shared" si="473"/>
        <v>3.4959868451096554E-2</v>
      </c>
      <c r="U204" s="128"/>
      <c r="V204" s="25">
        <f t="shared" ref="V204:AE204" si="488">V201/V70</f>
        <v>2.026086956521739</v>
      </c>
      <c r="W204" s="25">
        <f t="shared" si="488"/>
        <v>1.8787351778656121</v>
      </c>
      <c r="X204" s="25">
        <f t="shared" si="488"/>
        <v>1.742099892202658</v>
      </c>
      <c r="Y204" s="25">
        <f t="shared" si="488"/>
        <v>1.615401718224283</v>
      </c>
      <c r="Z204" s="25">
        <f t="shared" si="488"/>
        <v>1.4979179568988805</v>
      </c>
      <c r="AA204" s="25">
        <f t="shared" si="488"/>
        <v>1.3889784691244165</v>
      </c>
      <c r="AB204" s="25">
        <f t="shared" si="488"/>
        <v>1.287961853188095</v>
      </c>
      <c r="AC204" s="25">
        <f t="shared" si="488"/>
        <v>1.1942919002289607</v>
      </c>
      <c r="AD204" s="25">
        <f t="shared" si="488"/>
        <v>1.1074343074850364</v>
      </c>
      <c r="AE204" s="25">
        <f t="shared" si="488"/>
        <v>1.0268936305770335</v>
      </c>
      <c r="AF204" s="137">
        <f t="shared" ref="AF204:AF205" si="489">((AE204/I204)^(1/($AE$3-$J$1) ))-1</f>
        <v>-0.13362777226195888</v>
      </c>
      <c r="AG204" s="31">
        <f t="shared" si="476"/>
        <v>0.05</v>
      </c>
      <c r="AH204" s="127">
        <f t="shared" ref="AH204:AH205" si="490">(AE204*(1+AF204))/($C$1-AG204)</f>
        <v>5.2333654257237043</v>
      </c>
    </row>
    <row r="205" spans="2:34">
      <c r="B205" s="20" t="s">
        <v>461</v>
      </c>
      <c r="C205" s="25"/>
      <c r="D205" s="25"/>
      <c r="E205" s="25"/>
      <c r="F205" s="25"/>
      <c r="G205" s="25">
        <f t="shared" ref="G205:H205" si="491">G201/G71</f>
        <v>8.4913043478260875</v>
      </c>
      <c r="H205" s="25">
        <f t="shared" si="491"/>
        <v>10.8</v>
      </c>
      <c r="I205" s="25">
        <f t="shared" ref="I205:S205" si="492">I201/I71</f>
        <v>23.11145038167939</v>
      </c>
      <c r="J205" s="25">
        <f t="shared" si="492"/>
        <v>32.833561643835623</v>
      </c>
      <c r="K205" s="25">
        <f t="shared" si="492"/>
        <v>24.326923076923077</v>
      </c>
      <c r="L205" s="25">
        <f t="shared" si="492"/>
        <v>27.889763779527563</v>
      </c>
      <c r="M205" s="25">
        <f t="shared" si="492"/>
        <v>24.409967845659164</v>
      </c>
      <c r="N205" s="25">
        <f t="shared" si="492"/>
        <v>18.837468982630273</v>
      </c>
      <c r="O205" s="25">
        <f t="shared" si="492"/>
        <v>24.675000000000001</v>
      </c>
      <c r="P205" s="25">
        <f t="shared" si="492"/>
        <v>21.174526678141135</v>
      </c>
      <c r="Q205" s="25">
        <f t="shared" si="492"/>
        <v>23.452287581699345</v>
      </c>
      <c r="R205" s="25">
        <f t="shared" si="492"/>
        <v>44.606784660766962</v>
      </c>
      <c r="S205" s="25">
        <f t="shared" si="492"/>
        <v>11.887755102040817</v>
      </c>
      <c r="T205" s="118">
        <f t="shared" si="473"/>
        <v>2.8435643972760882E-2</v>
      </c>
      <c r="U205" s="128"/>
      <c r="V205" s="25">
        <f t="shared" ref="V205:AE205" si="493">V201/V71</f>
        <v>2.2046382189239324</v>
      </c>
      <c r="W205" s="25">
        <f t="shared" si="493"/>
        <v>2.044300893911283</v>
      </c>
      <c r="X205" s="25">
        <f t="shared" si="493"/>
        <v>1.8956244652631893</v>
      </c>
      <c r="Y205" s="25">
        <f t="shared" si="493"/>
        <v>1.7577608677895027</v>
      </c>
      <c r="Z205" s="25">
        <f t="shared" si="493"/>
        <v>1.6299237137684477</v>
      </c>
      <c r="AA205" s="25">
        <f t="shared" si="493"/>
        <v>1.5113838073125605</v>
      </c>
      <c r="AB205" s="25">
        <f t="shared" si="493"/>
        <v>1.4014649849625562</v>
      </c>
      <c r="AC205" s="25">
        <f t="shared" si="493"/>
        <v>1.2995402587834612</v>
      </c>
      <c r="AD205" s="25">
        <f t="shared" si="493"/>
        <v>1.2050282399628456</v>
      </c>
      <c r="AE205" s="25">
        <f t="shared" si="493"/>
        <v>1.1173898225110024</v>
      </c>
      <c r="AF205" s="137">
        <f t="shared" si="489"/>
        <v>-0.13433210724683053</v>
      </c>
      <c r="AG205" s="31">
        <f t="shared" si="476"/>
        <v>0.05</v>
      </c>
      <c r="AH205" s="127">
        <f t="shared" si="490"/>
        <v>5.6899323119819858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494">G201/G75</f>
        <v>2.7031141868512112</v>
      </c>
      <c r="H206" s="25">
        <f t="shared" si="494"/>
        <v>3.3749999999999996</v>
      </c>
      <c r="I206" s="25">
        <f t="shared" ref="I206:S206" si="495">I201/I75</f>
        <v>7.8030927835051553</v>
      </c>
      <c r="J206" s="25">
        <f t="shared" si="495"/>
        <v>10.535604395604397</v>
      </c>
      <c r="K206" s="25">
        <f t="shared" si="495"/>
        <v>8.5617597292724206</v>
      </c>
      <c r="L206" s="25">
        <f t="shared" si="495"/>
        <v>5.2944693572496258</v>
      </c>
      <c r="M206" s="25">
        <f t="shared" si="495"/>
        <v>9.2466504263093796</v>
      </c>
      <c r="N206" s="25">
        <f t="shared" si="495"/>
        <v>7.341876208897486</v>
      </c>
      <c r="O206" s="25">
        <f t="shared" si="495"/>
        <v>8.3604705882352945</v>
      </c>
      <c r="P206" s="25">
        <f t="shared" si="495"/>
        <v>7.6889999999999992</v>
      </c>
      <c r="Q206" s="25">
        <f t="shared" si="495"/>
        <v>7.5501315097317203</v>
      </c>
      <c r="R206" s="25">
        <f t="shared" si="495"/>
        <v>13.629292474087425</v>
      </c>
      <c r="S206" s="25">
        <f t="shared" si="495"/>
        <v>4.6924203588429148</v>
      </c>
      <c r="T206" s="118">
        <f t="shared" si="473"/>
        <v>4.7034623446716717E-2</v>
      </c>
      <c r="U206" s="128"/>
      <c r="V206" s="119">
        <f t="shared" ref="V206:AE206" si="496">V201/V75</f>
        <v>0.87023068473086762</v>
      </c>
      <c r="W206" s="119">
        <f t="shared" si="496"/>
        <v>0.80694118038680451</v>
      </c>
      <c r="X206" s="119">
        <f t="shared" si="496"/>
        <v>0.7482545490859458</v>
      </c>
      <c r="Y206" s="119">
        <f t="shared" si="496"/>
        <v>0.69383603642514979</v>
      </c>
      <c r="Z206" s="119">
        <f t="shared" si="496"/>
        <v>0.64337523377604799</v>
      </c>
      <c r="AA206" s="119">
        <f t="shared" si="496"/>
        <v>0.59658430768324444</v>
      </c>
      <c r="AB206" s="119">
        <f t="shared" si="496"/>
        <v>0.55319635803355383</v>
      </c>
      <c r="AC206" s="119">
        <f t="shared" si="496"/>
        <v>0.51296389563111355</v>
      </c>
      <c r="AD206" s="119">
        <f t="shared" si="496"/>
        <v>0.47565743049430531</v>
      </c>
      <c r="AE206" s="119">
        <f t="shared" si="496"/>
        <v>0.44106416282199218</v>
      </c>
      <c r="AF206" s="137">
        <f t="shared" si="475"/>
        <v>-0.12786720212214209</v>
      </c>
      <c r="AG206" s="31">
        <f t="shared" si="476"/>
        <v>0.05</v>
      </c>
      <c r="AH206" s="127">
        <f t="shared" si="477"/>
        <v>2.262744249209407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497">G201/G84</f>
        <v>29.479245283018869</v>
      </c>
      <c r="H207" s="25">
        <f t="shared" si="497"/>
        <v>34.363636363636367</v>
      </c>
      <c r="I207" s="25">
        <f t="shared" ref="I207:S207" si="498">I201/I84</f>
        <v>94.612499999999997</v>
      </c>
      <c r="J207" s="25">
        <f t="shared" si="498"/>
        <v>88.772222222222226</v>
      </c>
      <c r="K207" s="25">
        <f t="shared" si="498"/>
        <v>28.874686144715817</v>
      </c>
      <c r="L207" s="25">
        <f t="shared" si="498"/>
        <v>19.145945945945943</v>
      </c>
      <c r="M207" s="25">
        <f t="shared" si="498"/>
        <v>24.253993610223642</v>
      </c>
      <c r="N207" s="25">
        <f t="shared" si="498"/>
        <v>27.807692307692307</v>
      </c>
      <c r="O207" s="25">
        <f t="shared" si="498"/>
        <v>28.73207547169811</v>
      </c>
      <c r="P207" s="25">
        <f t="shared" si="498"/>
        <v>27.708108108108107</v>
      </c>
      <c r="Q207" s="25">
        <f t="shared" si="498"/>
        <v>32.843935926773447</v>
      </c>
      <c r="R207" s="25">
        <f t="shared" si="498"/>
        <v>67.810313901345282</v>
      </c>
      <c r="S207" s="25">
        <f t="shared" si="498"/>
        <v>16.408450704225348</v>
      </c>
      <c r="T207" s="118">
        <f t="shared" si="473"/>
        <v>-4.7651428577977661E-2</v>
      </c>
      <c r="U207" s="128"/>
      <c r="V207" s="119">
        <f t="shared" ref="V207:AE207" si="499">V201/V84</f>
        <v>3.0430217669654285</v>
      </c>
      <c r="W207" s="119">
        <f t="shared" si="499"/>
        <v>2.8217110930043057</v>
      </c>
      <c r="X207" s="119">
        <f t="shared" si="499"/>
        <v>2.6164957407858105</v>
      </c>
      <c r="Y207" s="119">
        <f t="shared" si="499"/>
        <v>2.4262051414559336</v>
      </c>
      <c r="Z207" s="119">
        <f t="shared" si="499"/>
        <v>2.2497538584409562</v>
      </c>
      <c r="AA207" s="119">
        <f t="shared" si="499"/>
        <v>2.0861353960088866</v>
      </c>
      <c r="AB207" s="119">
        <f t="shared" si="499"/>
        <v>1.9344164581173309</v>
      </c>
      <c r="AC207" s="119">
        <f t="shared" si="499"/>
        <v>1.793731624799707</v>
      </c>
      <c r="AD207" s="119">
        <f t="shared" si="499"/>
        <v>1.6632784157233644</v>
      </c>
      <c r="AE207" s="119">
        <f t="shared" si="499"/>
        <v>1.5423127127616649</v>
      </c>
      <c r="AF207" s="137">
        <f t="shared" si="475"/>
        <v>-0.17800759323874948</v>
      </c>
      <c r="AG207" s="31">
        <f t="shared" si="476"/>
        <v>0.05</v>
      </c>
      <c r="AH207" s="127">
        <f t="shared" si="477"/>
        <v>7.457466698479025</v>
      </c>
    </row>
    <row r="208" spans="2:34">
      <c r="B208" s="20" t="s">
        <v>260</v>
      </c>
      <c r="C208" s="25"/>
      <c r="D208" s="25"/>
      <c r="E208" s="25"/>
      <c r="F208" s="25"/>
      <c r="G208" s="25">
        <f t="shared" ref="G208:H208" si="500">G201/G86</f>
        <v>5.918181818181818</v>
      </c>
      <c r="H208" s="25">
        <f t="shared" si="500"/>
        <v>7.8206896551724139</v>
      </c>
      <c r="I208" s="25">
        <f t="shared" ref="I208:S208" si="501">I201/I86</f>
        <v>20.595918367346936</v>
      </c>
      <c r="J208" s="25">
        <f t="shared" si="501"/>
        <v>21.400446428571428</v>
      </c>
      <c r="K208" s="25">
        <f t="shared" si="501"/>
        <v>10.607966457023062</v>
      </c>
      <c r="L208" s="25">
        <f t="shared" si="501"/>
        <v>7.9595505617977533</v>
      </c>
      <c r="M208" s="25">
        <f t="shared" si="501"/>
        <v>32.442307692307686</v>
      </c>
      <c r="N208" s="25">
        <f t="shared" si="501"/>
        <v>22.59375</v>
      </c>
      <c r="O208" s="25">
        <f t="shared" si="501"/>
        <v>29.204383561643834</v>
      </c>
      <c r="P208" s="25">
        <f t="shared" si="501"/>
        <v>36.723582089552238</v>
      </c>
      <c r="Q208" s="25">
        <f t="shared" si="501"/>
        <v>25.860900900900898</v>
      </c>
      <c r="R208" s="25">
        <f t="shared" si="501"/>
        <v>56.635580524344569</v>
      </c>
      <c r="S208" s="25">
        <f t="shared" si="501"/>
        <v>17.554794520547944</v>
      </c>
      <c r="T208" s="118">
        <f t="shared" si="473"/>
        <v>9.4839910751576495E-2</v>
      </c>
      <c r="U208" s="128"/>
      <c r="V208" s="119">
        <f t="shared" ref="V208:AE208" si="502">V201/V86</f>
        <v>3.2556164383561637</v>
      </c>
      <c r="W208" s="119">
        <f t="shared" si="502"/>
        <v>3.0188443337484427</v>
      </c>
      <c r="X208" s="119">
        <f t="shared" si="502"/>
        <v>2.7992920185667374</v>
      </c>
      <c r="Y208" s="119">
        <f t="shared" si="502"/>
        <v>2.5957071444891562</v>
      </c>
      <c r="Z208" s="119">
        <f t="shared" si="502"/>
        <v>2.406928443071763</v>
      </c>
      <c r="AA208" s="119">
        <f t="shared" si="502"/>
        <v>2.2318791017574533</v>
      </c>
      <c r="AB208" s="119">
        <f t="shared" si="502"/>
        <v>2.0695606216296381</v>
      </c>
      <c r="AC208" s="119">
        <f t="shared" si="502"/>
        <v>1.9190471218747556</v>
      </c>
      <c r="AD208" s="119">
        <f t="shared" si="502"/>
        <v>1.7794800584656825</v>
      </c>
      <c r="AE208" s="119">
        <f t="shared" si="502"/>
        <v>1.6500633269409053</v>
      </c>
      <c r="AF208" s="137">
        <f t="shared" si="475"/>
        <v>-0.11326027609010758</v>
      </c>
      <c r="AG208" s="31">
        <f t="shared" si="476"/>
        <v>0.05</v>
      </c>
      <c r="AH208" s="127">
        <f t="shared" si="477"/>
        <v>8.6069217586200999</v>
      </c>
    </row>
    <row r="209" spans="2:34">
      <c r="B209" s="20" t="s">
        <v>281</v>
      </c>
      <c r="C209" s="25"/>
      <c r="D209" s="25"/>
      <c r="E209" s="25"/>
      <c r="F209" s="25"/>
      <c r="G209" s="180">
        <f t="shared" ref="G209:H209" si="503">G201/G80</f>
        <v>2.0370273794002611</v>
      </c>
      <c r="H209" s="180">
        <f t="shared" si="503"/>
        <v>2.5714285714285716</v>
      </c>
      <c r="I209" s="180">
        <f t="shared" ref="I209:S209" si="504">I201/I80</f>
        <v>5.9598425196850391</v>
      </c>
      <c r="J209" s="180">
        <f t="shared" si="504"/>
        <v>8.6372972972972963</v>
      </c>
      <c r="K209" s="180">
        <f t="shared" si="504"/>
        <v>9.387755102040817</v>
      </c>
      <c r="L209" s="180">
        <f t="shared" si="504"/>
        <v>8.4534606205250604</v>
      </c>
      <c r="M209" s="180">
        <f t="shared" si="504"/>
        <v>12.030903328050712</v>
      </c>
      <c r="N209" s="180">
        <f t="shared" si="504"/>
        <v>7.3561046511627914</v>
      </c>
      <c r="O209" s="180">
        <f t="shared" si="504"/>
        <v>6.868298969072165</v>
      </c>
      <c r="P209" s="180">
        <f t="shared" si="504"/>
        <v>6.1175534559920433</v>
      </c>
      <c r="Q209" s="180">
        <f t="shared" si="504"/>
        <v>5.7342389133040355</v>
      </c>
      <c r="R209" s="180">
        <f t="shared" si="504"/>
        <v>10.898522522522523</v>
      </c>
      <c r="S209" s="180">
        <f t="shared" si="504"/>
        <v>3.9117826617826617</v>
      </c>
      <c r="T209" s="118">
        <f t="shared" si="473"/>
        <v>5.5880625263285078E-2</v>
      </c>
      <c r="U209" s="128"/>
      <c r="V209" s="134">
        <f t="shared" ref="V209:AE209" si="505">V201/V80</f>
        <v>0.7254578754578751</v>
      </c>
      <c r="W209" s="134">
        <f t="shared" si="505"/>
        <v>0.67269730269730266</v>
      </c>
      <c r="X209" s="134">
        <f t="shared" si="505"/>
        <v>0.62377386250113509</v>
      </c>
      <c r="Y209" s="134">
        <f t="shared" si="505"/>
        <v>0.57840849068287059</v>
      </c>
      <c r="Z209" s="134">
        <f t="shared" si="505"/>
        <v>0.5363424186332072</v>
      </c>
      <c r="AA209" s="134">
        <f t="shared" si="505"/>
        <v>0.49733569727806481</v>
      </c>
      <c r="AB209" s="134">
        <f t="shared" si="505"/>
        <v>0.46116582838511466</v>
      </c>
      <c r="AC209" s="134">
        <f t="shared" si="505"/>
        <v>0.42762649541165176</v>
      </c>
      <c r="AD209" s="134">
        <f t="shared" si="505"/>
        <v>0.39652638665444062</v>
      </c>
      <c r="AE209" s="134">
        <f t="shared" si="505"/>
        <v>0.36768810398866325</v>
      </c>
      <c r="AF209" s="137">
        <f t="shared" ref="AF209" si="506">((AE209/I209)^(1/($AE$3-$J$1) ))-1</f>
        <v>-0.12422486755568796</v>
      </c>
      <c r="AG209" s="31">
        <f t="shared" ref="AG209:AG212" si="507">$N$1</f>
        <v>0.05</v>
      </c>
      <c r="AH209" s="127">
        <f t="shared" si="477"/>
        <v>1.8941888115815857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07"/>
        <v>0.05</v>
      </c>
      <c r="AH210" s="127"/>
    </row>
    <row r="211" spans="2:34">
      <c r="B211" s="20" t="s">
        <v>316</v>
      </c>
      <c r="C211" s="150"/>
      <c r="D211" s="150"/>
      <c r="E211" s="150"/>
      <c r="F211" s="150"/>
      <c r="G211" s="150">
        <f t="shared" ref="G211:H211" si="508">G59/G201</f>
        <v>2.5806451612903226E-2</v>
      </c>
      <c r="H211" s="150">
        <f t="shared" si="508"/>
        <v>1.7777777777777778E-2</v>
      </c>
      <c r="I211" s="150">
        <f t="shared" ref="I211:S211" si="509">I59/I201</f>
        <v>1.0416666666666666E-2</v>
      </c>
      <c r="J211" s="150">
        <f t="shared" si="509"/>
        <v>7.8947368421052634E-3</v>
      </c>
      <c r="K211" s="150">
        <f t="shared" si="509"/>
        <v>8.7500000000000008E-3</v>
      </c>
      <c r="L211" s="150">
        <f t="shared" si="509"/>
        <v>1.2500000000000001E-2</v>
      </c>
      <c r="M211" s="150">
        <f t="shared" si="509"/>
        <v>0.01</v>
      </c>
      <c r="N211" s="150">
        <f t="shared" si="509"/>
        <v>1.1666666666666667E-2</v>
      </c>
      <c r="O211" s="150">
        <f t="shared" si="509"/>
        <v>9.0476190476190474E-3</v>
      </c>
      <c r="P211" s="150">
        <f t="shared" si="509"/>
        <v>1.0833333333333334E-2</v>
      </c>
      <c r="Q211" s="150">
        <f t="shared" si="509"/>
        <v>9.642857142857144E-3</v>
      </c>
      <c r="R211" s="150">
        <f t="shared" si="509"/>
        <v>4.9152542372881353E-3</v>
      </c>
      <c r="S211" s="150">
        <f t="shared" si="509"/>
        <v>1.66E-2</v>
      </c>
      <c r="T211" s="118">
        <f t="shared" si="473"/>
        <v>-3.6100733970509169E-2</v>
      </c>
      <c r="U211" s="128"/>
      <c r="V211" s="150">
        <f t="shared" ref="V211:AE211" si="510">V59/V201</f>
        <v>8.7150000000000019E-2</v>
      </c>
      <c r="W211" s="150">
        <f t="shared" si="510"/>
        <v>9.1507500000000019E-2</v>
      </c>
      <c r="X211" s="150">
        <f t="shared" si="510"/>
        <v>9.6082875000000026E-2</v>
      </c>
      <c r="Y211" s="150">
        <f t="shared" si="510"/>
        <v>0.10088701875000003</v>
      </c>
      <c r="Z211" s="150">
        <f t="shared" si="510"/>
        <v>0.10593136968750004</v>
      </c>
      <c r="AA211" s="150">
        <f t="shared" si="510"/>
        <v>0.11122793817187505</v>
      </c>
      <c r="AB211" s="150">
        <f t="shared" si="510"/>
        <v>0.11678933508046879</v>
      </c>
      <c r="AC211" s="150">
        <f t="shared" si="510"/>
        <v>0.12262880183449225</v>
      </c>
      <c r="AD211" s="150">
        <f t="shared" si="510"/>
        <v>0.12876024192621688</v>
      </c>
      <c r="AE211" s="150">
        <f t="shared" si="510"/>
        <v>0.13519825402252772</v>
      </c>
      <c r="AF211" s="137">
        <f t="shared" ref="AF211:AF216" si="511">((AE211/I211)^(1/($AE$3-$J$1) ))-1</f>
        <v>0.12982593285994626</v>
      </c>
      <c r="AG211" s="31">
        <f t="shared" si="507"/>
        <v>0.05</v>
      </c>
      <c r="AH211" s="127">
        <f t="shared" si="477"/>
        <v>0.89853231454140225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12">G201*G57</f>
        <v>781.2</v>
      </c>
      <c r="H212" s="163">
        <f t="shared" si="512"/>
        <v>1134</v>
      </c>
      <c r="I212" s="163">
        <f t="shared" ref="I212:S212" si="513">I201*I57</f>
        <v>3027.6</v>
      </c>
      <c r="J212" s="163">
        <f t="shared" si="513"/>
        <v>4793.7</v>
      </c>
      <c r="K212" s="163">
        <f t="shared" si="513"/>
        <v>5060</v>
      </c>
      <c r="L212" s="163">
        <f t="shared" si="513"/>
        <v>3542</v>
      </c>
      <c r="M212" s="163">
        <f t="shared" si="513"/>
        <v>7591.5</v>
      </c>
      <c r="N212" s="163">
        <f t="shared" si="513"/>
        <v>7591.5</v>
      </c>
      <c r="O212" s="163">
        <f t="shared" si="513"/>
        <v>10659.6</v>
      </c>
      <c r="P212" s="163">
        <f t="shared" si="513"/>
        <v>12302.4</v>
      </c>
      <c r="Q212" s="163">
        <f t="shared" si="513"/>
        <v>14352.8</v>
      </c>
      <c r="R212" s="163">
        <f t="shared" si="513"/>
        <v>30243.399999999998</v>
      </c>
      <c r="S212" s="163">
        <f t="shared" si="513"/>
        <v>12815</v>
      </c>
      <c r="T212" s="118">
        <f t="shared" si="473"/>
        <v>0.2625435416180093</v>
      </c>
      <c r="U212" s="128"/>
      <c r="V212" s="163">
        <f t="shared" ref="V212:AE212" si="514">V201*V57</f>
        <v>2614.2599999999998</v>
      </c>
      <c r="W212" s="163">
        <f t="shared" si="514"/>
        <v>2666.5452</v>
      </c>
      <c r="X212" s="163">
        <f t="shared" si="514"/>
        <v>2719.8761039999999</v>
      </c>
      <c r="Y212" s="163">
        <f t="shared" si="514"/>
        <v>2774.2736260799998</v>
      </c>
      <c r="Z212" s="163">
        <f t="shared" si="514"/>
        <v>2829.7590986015998</v>
      </c>
      <c r="AA212" s="163">
        <f t="shared" si="514"/>
        <v>2886.354280573632</v>
      </c>
      <c r="AB212" s="163">
        <f t="shared" si="514"/>
        <v>2944.0813661851043</v>
      </c>
      <c r="AC212" s="163">
        <f t="shared" si="514"/>
        <v>3002.9629935088069</v>
      </c>
      <c r="AD212" s="163">
        <f t="shared" si="514"/>
        <v>3063.0222533789829</v>
      </c>
      <c r="AE212" s="163">
        <f t="shared" si="514"/>
        <v>3124.2826984465628</v>
      </c>
      <c r="AF212" s="137">
        <f t="shared" si="511"/>
        <v>1.4980015465340113E-3</v>
      </c>
      <c r="AG212" s="31">
        <f t="shared" si="507"/>
        <v>0.05</v>
      </c>
      <c r="AH212" s="127">
        <f t="shared" si="477"/>
        <v>18405.66399270968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367</v>
      </c>
      <c r="C214" s="159"/>
      <c r="D214" s="159"/>
      <c r="E214" s="159"/>
      <c r="F214" s="159"/>
      <c r="G214" s="159">
        <f t="shared" ref="G214:H214" si="515">G72/G201</f>
        <v>7.8084997439836143E-2</v>
      </c>
      <c r="H214" s="159">
        <f t="shared" si="515"/>
        <v>6.3492063492063489E-2</v>
      </c>
      <c r="I214" s="159">
        <f t="shared" ref="I214:S214" si="516">I72/I201</f>
        <v>2.8405337561104506E-2</v>
      </c>
      <c r="J214" s="159">
        <f t="shared" si="516"/>
        <v>2.3155391451279806E-2</v>
      </c>
      <c r="K214" s="159">
        <f t="shared" si="516"/>
        <v>3.3794466403162055E-2</v>
      </c>
      <c r="L214" s="159">
        <f t="shared" si="516"/>
        <v>3.1055900621118012E-2</v>
      </c>
      <c r="M214" s="159">
        <f t="shared" si="516"/>
        <v>3.6224725021405522E-2</v>
      </c>
      <c r="N214" s="159">
        <f t="shared" si="516"/>
        <v>4.0571692023974176E-2</v>
      </c>
      <c r="O214" s="159">
        <f t="shared" si="516"/>
        <v>3.0207512477016023E-2</v>
      </c>
      <c r="P214" s="159">
        <f t="shared" si="516"/>
        <v>3.4220965014956431E-2</v>
      </c>
      <c r="Q214" s="159">
        <f t="shared" si="516"/>
        <v>3.1143748954907752E-2</v>
      </c>
      <c r="R214" s="159">
        <f t="shared" si="516"/>
        <v>1.6797053241368366E-2</v>
      </c>
      <c r="S214" s="159">
        <f t="shared" si="516"/>
        <v>5.8993367147873586E-2</v>
      </c>
      <c r="T214" s="118">
        <f t="shared" si="473"/>
        <v>-2.3093576202830479E-2</v>
      </c>
      <c r="U214" s="128"/>
      <c r="V214" s="159">
        <f t="shared" ref="V214:AE214" si="517">V72/V201</f>
        <v>0.31810148952284778</v>
      </c>
      <c r="W214" s="159">
        <f t="shared" si="517"/>
        <v>0.34305062595601238</v>
      </c>
      <c r="X214" s="159">
        <f t="shared" si="517"/>
        <v>0.36995655740354283</v>
      </c>
      <c r="Y214" s="159">
        <f t="shared" si="517"/>
        <v>0.39897275798421283</v>
      </c>
      <c r="Z214" s="159">
        <f t="shared" si="517"/>
        <v>0.43026473900258244</v>
      </c>
      <c r="AA214" s="159">
        <f t="shared" si="517"/>
        <v>0.46401099304200066</v>
      </c>
      <c r="AB214" s="159">
        <f t="shared" si="517"/>
        <v>0.50040401210411845</v>
      </c>
      <c r="AC214" s="159">
        <f t="shared" si="517"/>
        <v>0.5396513856024806</v>
      </c>
      <c r="AD214" s="159">
        <f t="shared" si="517"/>
        <v>0.58197698447326351</v>
      </c>
      <c r="AE214" s="159">
        <f t="shared" si="517"/>
        <v>0.62762223815744111</v>
      </c>
      <c r="AF214" s="137">
        <f t="shared" ref="AF214" si="518">((AE214/I214)^(1/($AE$3-$J$1) ))-1</f>
        <v>0.15881526640237942</v>
      </c>
      <c r="AG214" s="31">
        <f t="shared" ref="AG214" si="519">$N$1</f>
        <v>0.05</v>
      </c>
      <c r="AH214" s="127">
        <f t="shared" ref="AH214" si="520">(AE214*(1+AF214))/($C$1-AG214)</f>
        <v>4.2782248888851342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21">G203</f>
        <v>12.806557377049181</v>
      </c>
      <c r="H215" s="179">
        <f t="shared" si="521"/>
        <v>15.75</v>
      </c>
      <c r="I215" s="179">
        <f t="shared" ref="I215:S215" si="522">I203</f>
        <v>35.204651162790697</v>
      </c>
      <c r="J215" s="179">
        <f t="shared" si="522"/>
        <v>43.18648648648648</v>
      </c>
      <c r="K215" s="179">
        <f t="shared" si="522"/>
        <v>29.5906432748538</v>
      </c>
      <c r="L215" s="179">
        <f t="shared" si="522"/>
        <v>32.200000000000003</v>
      </c>
      <c r="M215" s="179">
        <f t="shared" si="522"/>
        <v>27.605454545454545</v>
      </c>
      <c r="N215" s="179">
        <f t="shared" si="522"/>
        <v>24.647727272727273</v>
      </c>
      <c r="O215" s="179">
        <f t="shared" si="522"/>
        <v>33.104347826086958</v>
      </c>
      <c r="P215" s="179">
        <f t="shared" si="522"/>
        <v>29.221852731591447</v>
      </c>
      <c r="Q215" s="179">
        <f t="shared" si="522"/>
        <v>32.109172259507829</v>
      </c>
      <c r="R215" s="179">
        <f t="shared" si="522"/>
        <v>59.534251968503938</v>
      </c>
      <c r="S215" s="179">
        <f t="shared" si="522"/>
        <v>16.951058201058203</v>
      </c>
      <c r="T215" s="118">
        <f t="shared" si="473"/>
        <v>2.3639496721771236E-2</v>
      </c>
      <c r="U215" s="128"/>
      <c r="V215" s="150">
        <f t="shared" ref="V215:AE215" si="523">V203</f>
        <v>3.1436507936507931</v>
      </c>
      <c r="W215" s="150">
        <f t="shared" si="523"/>
        <v>2.9150216450216444</v>
      </c>
      <c r="X215" s="150">
        <f t="shared" si="523"/>
        <v>2.7030200708382517</v>
      </c>
      <c r="Y215" s="150">
        <f t="shared" si="523"/>
        <v>2.5064367929591063</v>
      </c>
      <c r="Z215" s="150">
        <f t="shared" si="523"/>
        <v>2.3241504807438984</v>
      </c>
      <c r="AA215" s="150">
        <f t="shared" si="523"/>
        <v>2.155121354871615</v>
      </c>
      <c r="AB215" s="150">
        <f t="shared" si="523"/>
        <v>1.9983852563354974</v>
      </c>
      <c r="AC215" s="150">
        <f t="shared" si="523"/>
        <v>1.8530481467838249</v>
      </c>
      <c r="AD215" s="150">
        <f t="shared" si="523"/>
        <v>1.71828100883591</v>
      </c>
      <c r="AE215" s="150">
        <f t="shared" si="523"/>
        <v>1.5933151172842075</v>
      </c>
      <c r="AF215" s="137">
        <f t="shared" ref="AF215" si="524">((AE215/I215)^(1/($AE$3-$J$1) ))-1</f>
        <v>-0.13704968428266584</v>
      </c>
      <c r="AG215" s="31">
        <f t="shared" ref="AG215:AG217" si="525">$N$1</f>
        <v>0.05</v>
      </c>
      <c r="AH215" s="179">
        <f>(AH202)/($N$2*100)</f>
        <v>0.11564587900556751</v>
      </c>
    </row>
    <row r="216" spans="2:34">
      <c r="B216" s="20" t="s">
        <v>442</v>
      </c>
      <c r="C216" s="179"/>
      <c r="D216" s="179"/>
      <c r="E216" s="179"/>
      <c r="F216" s="179"/>
      <c r="G216" s="179">
        <f t="shared" ref="G216:H216" si="526">(G203)/($N$2*100)</f>
        <v>1.2806557377049181</v>
      </c>
      <c r="H216" s="179">
        <f t="shared" si="526"/>
        <v>1.575</v>
      </c>
      <c r="I216" s="179">
        <f t="shared" ref="I216:S216" si="527">(I203)/($N$2*100)</f>
        <v>3.5204651162790697</v>
      </c>
      <c r="J216" s="179">
        <f t="shared" si="527"/>
        <v>4.3186486486486482</v>
      </c>
      <c r="K216" s="179">
        <f t="shared" si="527"/>
        <v>2.9590643274853798</v>
      </c>
      <c r="L216" s="179">
        <f t="shared" si="527"/>
        <v>3.22</v>
      </c>
      <c r="M216" s="179">
        <f t="shared" si="527"/>
        <v>2.7605454545454546</v>
      </c>
      <c r="N216" s="179">
        <f t="shared" si="527"/>
        <v>2.4647727272727273</v>
      </c>
      <c r="O216" s="179">
        <f t="shared" si="527"/>
        <v>3.3104347826086959</v>
      </c>
      <c r="P216" s="179">
        <f t="shared" si="527"/>
        <v>2.9221852731591449</v>
      </c>
      <c r="Q216" s="179">
        <f t="shared" si="527"/>
        <v>3.2109172259507828</v>
      </c>
      <c r="R216" s="179">
        <f t="shared" si="527"/>
        <v>5.953425196850394</v>
      </c>
      <c r="S216" s="179">
        <f t="shared" si="527"/>
        <v>1.6951058201058202</v>
      </c>
      <c r="T216" s="118">
        <f t="shared" si="473"/>
        <v>2.3639496721771236E-2</v>
      </c>
      <c r="U216" s="128"/>
      <c r="V216" s="179">
        <f t="shared" ref="V216:AE216" si="528">(V203)/($N$2*100)</f>
        <v>0.31436507936507929</v>
      </c>
      <c r="W216" s="179">
        <f t="shared" si="528"/>
        <v>0.29150216450216443</v>
      </c>
      <c r="X216" s="179">
        <f t="shared" si="528"/>
        <v>0.27030200708382518</v>
      </c>
      <c r="Y216" s="179">
        <f t="shared" si="528"/>
        <v>0.25064367929591064</v>
      </c>
      <c r="Z216" s="179">
        <f t="shared" si="528"/>
        <v>0.23241504807438984</v>
      </c>
      <c r="AA216" s="179">
        <f t="shared" si="528"/>
        <v>0.2155121354871615</v>
      </c>
      <c r="AB216" s="179">
        <f t="shared" si="528"/>
        <v>0.19983852563354973</v>
      </c>
      <c r="AC216" s="179">
        <f t="shared" si="528"/>
        <v>0.1853048146783825</v>
      </c>
      <c r="AD216" s="179">
        <f t="shared" si="528"/>
        <v>0.17182810088359099</v>
      </c>
      <c r="AE216" s="179">
        <f t="shared" si="528"/>
        <v>0.15933151172842075</v>
      </c>
      <c r="AF216" s="137">
        <f t="shared" si="511"/>
        <v>-0.13704968428266584</v>
      </c>
      <c r="AG216" s="31">
        <f t="shared" si="525"/>
        <v>0.05</v>
      </c>
      <c r="AH216" s="179">
        <f>(AH203)/($N$2*100)</f>
        <v>0.80879516676329888</v>
      </c>
    </row>
    <row r="217" spans="2:34">
      <c r="B217" s="20" t="s">
        <v>443</v>
      </c>
      <c r="C217" s="150"/>
      <c r="D217" s="150"/>
      <c r="E217" s="150"/>
      <c r="F217" s="150"/>
      <c r="G217" s="150">
        <f t="shared" ref="G217:H217" si="529">G216-1</f>
        <v>0.28065573770491814</v>
      </c>
      <c r="H217" s="150">
        <f t="shared" si="529"/>
        <v>0.57499999999999996</v>
      </c>
      <c r="I217" s="150">
        <f t="shared" ref="I217:R217" si="530">I216-1</f>
        <v>2.5204651162790697</v>
      </c>
      <c r="J217" s="150">
        <f t="shared" si="530"/>
        <v>3.3186486486486482</v>
      </c>
      <c r="K217" s="150">
        <f t="shared" si="530"/>
        <v>1.9590643274853798</v>
      </c>
      <c r="L217" s="150">
        <f t="shared" si="530"/>
        <v>2.2200000000000002</v>
      </c>
      <c r="M217" s="150">
        <f t="shared" si="530"/>
        <v>1.7605454545454546</v>
      </c>
      <c r="N217" s="150">
        <f t="shared" si="530"/>
        <v>1.4647727272727273</v>
      </c>
      <c r="O217" s="150">
        <f t="shared" si="530"/>
        <v>2.3104347826086959</v>
      </c>
      <c r="P217" s="150">
        <f t="shared" si="530"/>
        <v>1.9221852731591449</v>
      </c>
      <c r="Q217" s="150">
        <f t="shared" si="530"/>
        <v>2.2109172259507828</v>
      </c>
      <c r="R217" s="150">
        <f t="shared" si="530"/>
        <v>4.953425196850394</v>
      </c>
      <c r="S217" s="150">
        <f>S216-1</f>
        <v>0.69510582010582023</v>
      </c>
      <c r="T217" s="118">
        <f t="shared" si="473"/>
        <v>7.8507285780337277E-2</v>
      </c>
      <c r="U217" s="128"/>
      <c r="V217" s="150">
        <f t="shared" ref="V217:AE217" si="531">V216-1</f>
        <v>-0.68563492063492071</v>
      </c>
      <c r="W217" s="150">
        <f t="shared" si="531"/>
        <v>-0.70849783549783552</v>
      </c>
      <c r="X217" s="150">
        <f t="shared" si="531"/>
        <v>-0.72969799291617488</v>
      </c>
      <c r="Y217" s="150">
        <f t="shared" si="531"/>
        <v>-0.74935632070408942</v>
      </c>
      <c r="Z217" s="150">
        <f t="shared" si="531"/>
        <v>-0.76758495192561016</v>
      </c>
      <c r="AA217" s="150">
        <f t="shared" si="531"/>
        <v>-0.78448786451283847</v>
      </c>
      <c r="AB217" s="150">
        <f t="shared" si="531"/>
        <v>-0.80016147436645024</v>
      </c>
      <c r="AC217" s="150">
        <f t="shared" si="531"/>
        <v>-0.81469518532161755</v>
      </c>
      <c r="AD217" s="150">
        <f t="shared" si="531"/>
        <v>-0.82817189911640898</v>
      </c>
      <c r="AE217" s="150">
        <f t="shared" si="531"/>
        <v>-0.84066848827157925</v>
      </c>
      <c r="AF217" s="137">
        <f t="shared" ref="AF217" si="532">((AE217/I217)^(1/($AE$3-$J$1) ))-1</f>
        <v>-1.9490576082673945</v>
      </c>
      <c r="AG217" s="31">
        <f t="shared" si="525"/>
        <v>0.05</v>
      </c>
      <c r="AH217" s="179">
        <f>(AH204)/($N$2*100)</f>
        <v>0.52333654257237039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471</v>
      </c>
      <c r="C219" s="150"/>
      <c r="D219" s="150"/>
      <c r="E219" s="150"/>
      <c r="F219" s="150"/>
      <c r="G219" s="150">
        <f t="shared" ref="G219:S219" si="533">1/G220</f>
        <v>2.0109086790017657E-2</v>
      </c>
      <c r="H219" s="150">
        <f t="shared" si="533"/>
        <v>1.3852926455345497E-2</v>
      </c>
      <c r="I219" s="150">
        <f t="shared" si="533"/>
        <v>5.1948474207545607E-2</v>
      </c>
      <c r="J219" s="150">
        <f t="shared" si="533"/>
        <v>3.2809562657397227E-2</v>
      </c>
      <c r="K219" s="150">
        <f t="shared" si="533"/>
        <v>3.1169084524527366E-2</v>
      </c>
      <c r="L219" s="150">
        <f t="shared" si="533"/>
        <v>4.4527263606467665E-2</v>
      </c>
      <c r="M219" s="150">
        <f t="shared" si="533"/>
        <v>4.155877936603649E-2</v>
      </c>
      <c r="N219" s="150">
        <f t="shared" si="533"/>
        <v>4.155877936603649E-2</v>
      </c>
      <c r="O219" s="150">
        <f t="shared" si="533"/>
        <v>2.9684842404311781E-2</v>
      </c>
      <c r="P219" s="150">
        <f t="shared" si="533"/>
        <v>2.5974237103772804E-2</v>
      </c>
      <c r="Q219" s="150">
        <f t="shared" si="533"/>
        <v>2.2263631803233833E-2</v>
      </c>
      <c r="R219" s="150">
        <f t="shared" si="533"/>
        <v>1.0565791364246565E-2</v>
      </c>
      <c r="S219" s="150">
        <f t="shared" si="533"/>
        <v>2.4935267619621896E-2</v>
      </c>
      <c r="T219" s="118">
        <f t="shared" si="473"/>
        <v>1.8087582483510722E-2</v>
      </c>
      <c r="U219" s="128"/>
      <c r="V219" s="150">
        <f t="shared" ref="V219:AE219" si="534">1/V220</f>
        <v>0.12467633809810946</v>
      </c>
      <c r="W219" s="150">
        <f t="shared" si="534"/>
        <v>0.12467633809810946</v>
      </c>
      <c r="X219" s="150">
        <f t="shared" si="534"/>
        <v>0.12467633809810946</v>
      </c>
      <c r="Y219" s="150">
        <f t="shared" si="534"/>
        <v>0.12467633809810946</v>
      </c>
      <c r="Z219" s="150">
        <f t="shared" si="534"/>
        <v>0.12467633809810946</v>
      </c>
      <c r="AA219" s="150">
        <f t="shared" si="534"/>
        <v>0.12467633809810946</v>
      </c>
      <c r="AB219" s="150">
        <f t="shared" si="534"/>
        <v>0.12467633809810946</v>
      </c>
      <c r="AC219" s="150">
        <f t="shared" si="534"/>
        <v>0.12467633809810946</v>
      </c>
      <c r="AD219" s="150">
        <f t="shared" si="534"/>
        <v>0.12467633809810946</v>
      </c>
      <c r="AE219" s="150">
        <f t="shared" si="534"/>
        <v>0.12467633809810946</v>
      </c>
      <c r="AF219" s="137">
        <f t="shared" ref="AF219" si="535">((AE219/I219)^(1/($AE$3-$J$1) ))-1</f>
        <v>4.2570175958161593E-2</v>
      </c>
      <c r="AG219" s="31">
        <f t="shared" ref="AG219:AG222" si="536">$N$1</f>
        <v>0.05</v>
      </c>
      <c r="AH219" s="179">
        <f>(AH206)/($N$2*100)</f>
        <v>0.22627442492094069</v>
      </c>
    </row>
    <row r="220" spans="2:34">
      <c r="B220" s="20" t="s">
        <v>472</v>
      </c>
      <c r="C220" s="129"/>
      <c r="D220" s="129"/>
      <c r="E220" s="129"/>
      <c r="F220" s="129"/>
      <c r="G220" s="134">
        <f t="shared" ref="G220:H220" si="537">G201/$U$170</f>
        <v>49.728762446657178</v>
      </c>
      <c r="H220" s="134">
        <f t="shared" si="537"/>
        <v>72.186913229018487</v>
      </c>
      <c r="I220" s="134">
        <f t="shared" ref="I220:S220" si="538">I201/$U$170</f>
        <v>19.249843527738264</v>
      </c>
      <c r="J220" s="134">
        <f t="shared" si="538"/>
        <v>30.478918918918918</v>
      </c>
      <c r="K220" s="134">
        <f t="shared" si="538"/>
        <v>32.08307254623044</v>
      </c>
      <c r="L220" s="134">
        <f t="shared" si="538"/>
        <v>22.458150782361308</v>
      </c>
      <c r="M220" s="134">
        <f t="shared" si="538"/>
        <v>24.06230440967283</v>
      </c>
      <c r="N220" s="134">
        <f t="shared" si="538"/>
        <v>24.06230440967283</v>
      </c>
      <c r="O220" s="134">
        <f t="shared" si="538"/>
        <v>33.687226173541958</v>
      </c>
      <c r="P220" s="134">
        <f t="shared" si="538"/>
        <v>38.499687055476528</v>
      </c>
      <c r="Q220" s="134">
        <f t="shared" si="538"/>
        <v>44.916301564722616</v>
      </c>
      <c r="R220" s="134">
        <f t="shared" si="538"/>
        <v>94.645064011379802</v>
      </c>
      <c r="S220" s="134">
        <f t="shared" si="538"/>
        <v>40.103840682788046</v>
      </c>
      <c r="T220" s="118">
        <f t="shared" si="473"/>
        <v>-1.7766234255984226E-2</v>
      </c>
      <c r="U220" s="128"/>
      <c r="V220" s="134">
        <f t="shared" ref="V220:AE220" si="539">V201/$U$170</f>
        <v>8.02076813655761</v>
      </c>
      <c r="W220" s="134">
        <f t="shared" si="539"/>
        <v>8.02076813655761</v>
      </c>
      <c r="X220" s="134">
        <f t="shared" si="539"/>
        <v>8.02076813655761</v>
      </c>
      <c r="Y220" s="134">
        <f t="shared" si="539"/>
        <v>8.02076813655761</v>
      </c>
      <c r="Z220" s="134">
        <f t="shared" si="539"/>
        <v>8.02076813655761</v>
      </c>
      <c r="AA220" s="134">
        <f t="shared" si="539"/>
        <v>8.02076813655761</v>
      </c>
      <c r="AB220" s="134">
        <f t="shared" si="539"/>
        <v>8.02076813655761</v>
      </c>
      <c r="AC220" s="134">
        <f t="shared" si="539"/>
        <v>8.02076813655761</v>
      </c>
      <c r="AD220" s="134">
        <f t="shared" si="539"/>
        <v>8.02076813655761</v>
      </c>
      <c r="AE220" s="134">
        <f t="shared" si="539"/>
        <v>8.02076813655761</v>
      </c>
      <c r="AF220" s="137">
        <f t="shared" ref="AF220:AF222" si="540">((AE220/I220)^(1/($AE$3-$J$1) ))-1</f>
        <v>-4.0831952553254225E-2</v>
      </c>
      <c r="AG220" s="31">
        <f t="shared" si="536"/>
        <v>0.05</v>
      </c>
      <c r="AH220" s="179">
        <f>(AH206)/($N$2*100)</f>
        <v>0.22627442492094069</v>
      </c>
    </row>
    <row r="221" spans="2:34">
      <c r="B221" s="20" t="s">
        <v>466</v>
      </c>
      <c r="C221" s="129"/>
      <c r="D221" s="129"/>
      <c r="E221" s="129"/>
      <c r="F221" s="129"/>
      <c r="G221" s="179">
        <f t="shared" ref="G221:H221" si="541">(G220)/($N$2*100)</f>
        <v>4.9728762446657182</v>
      </c>
      <c r="H221" s="179">
        <f t="shared" si="541"/>
        <v>7.218691322901849</v>
      </c>
      <c r="I221" s="179">
        <f t="shared" ref="I221:S221" si="542">(I220)/($N$2*100)</f>
        <v>1.9249843527738264</v>
      </c>
      <c r="J221" s="179">
        <f t="shared" si="542"/>
        <v>3.0478918918918918</v>
      </c>
      <c r="K221" s="179">
        <f t="shared" si="542"/>
        <v>3.208307254623044</v>
      </c>
      <c r="L221" s="179">
        <f t="shared" si="542"/>
        <v>2.2458150782361308</v>
      </c>
      <c r="M221" s="179">
        <f t="shared" si="542"/>
        <v>2.406230440967283</v>
      </c>
      <c r="N221" s="179">
        <f t="shared" si="542"/>
        <v>2.406230440967283</v>
      </c>
      <c r="O221" s="179">
        <f t="shared" si="542"/>
        <v>3.3687226173541958</v>
      </c>
      <c r="P221" s="179">
        <f t="shared" si="542"/>
        <v>3.8499687055476528</v>
      </c>
      <c r="Q221" s="179">
        <f t="shared" si="542"/>
        <v>4.4916301564722616</v>
      </c>
      <c r="R221" s="179">
        <f t="shared" si="542"/>
        <v>9.4645064011379798</v>
      </c>
      <c r="S221" s="179">
        <f t="shared" si="542"/>
        <v>4.010384068278805</v>
      </c>
      <c r="T221" s="118">
        <f t="shared" si="473"/>
        <v>-1.7766234255984226E-2</v>
      </c>
      <c r="U221" s="128"/>
      <c r="V221" s="179">
        <f t="shared" ref="V221:AE221" si="543">(V220)/($N$2*100)</f>
        <v>0.802076813655761</v>
      </c>
      <c r="W221" s="179">
        <f t="shared" si="543"/>
        <v>0.802076813655761</v>
      </c>
      <c r="X221" s="179">
        <f t="shared" si="543"/>
        <v>0.802076813655761</v>
      </c>
      <c r="Y221" s="179">
        <f t="shared" si="543"/>
        <v>0.802076813655761</v>
      </c>
      <c r="Z221" s="179">
        <f t="shared" si="543"/>
        <v>0.802076813655761</v>
      </c>
      <c r="AA221" s="179">
        <f t="shared" si="543"/>
        <v>0.802076813655761</v>
      </c>
      <c r="AB221" s="179">
        <f t="shared" si="543"/>
        <v>0.802076813655761</v>
      </c>
      <c r="AC221" s="179">
        <f t="shared" si="543"/>
        <v>0.802076813655761</v>
      </c>
      <c r="AD221" s="179">
        <f t="shared" si="543"/>
        <v>0.802076813655761</v>
      </c>
      <c r="AE221" s="179">
        <f t="shared" si="543"/>
        <v>0.802076813655761</v>
      </c>
      <c r="AF221" s="137">
        <f t="shared" si="540"/>
        <v>-4.0831952553254225E-2</v>
      </c>
      <c r="AG221" s="31">
        <f t="shared" si="536"/>
        <v>0.05</v>
      </c>
      <c r="AH221" s="179">
        <f>(AH207)/($N$2*100)</f>
        <v>0.7457466698479025</v>
      </c>
    </row>
    <row r="222" spans="2:34">
      <c r="B222" s="20" t="s">
        <v>467</v>
      </c>
      <c r="C222" s="129"/>
      <c r="D222" s="129"/>
      <c r="E222" s="129"/>
      <c r="F222" s="129"/>
      <c r="G222" s="150">
        <f t="shared" ref="G222:H222" si="544">G221-1</f>
        <v>3.9728762446657182</v>
      </c>
      <c r="H222" s="150">
        <f t="shared" si="544"/>
        <v>6.218691322901849</v>
      </c>
      <c r="I222" s="150">
        <f t="shared" ref="I222:S222" si="545">I221-1</f>
        <v>0.9249843527738264</v>
      </c>
      <c r="J222" s="150">
        <f t="shared" si="545"/>
        <v>2.0478918918918918</v>
      </c>
      <c r="K222" s="150">
        <f t="shared" si="545"/>
        <v>2.208307254623044</v>
      </c>
      <c r="L222" s="150">
        <f t="shared" si="545"/>
        <v>1.2458150782361308</v>
      </c>
      <c r="M222" s="150">
        <f t="shared" si="545"/>
        <v>1.406230440967283</v>
      </c>
      <c r="N222" s="150">
        <f t="shared" si="545"/>
        <v>1.406230440967283</v>
      </c>
      <c r="O222" s="150">
        <f t="shared" si="545"/>
        <v>2.3687226173541958</v>
      </c>
      <c r="P222" s="150">
        <f t="shared" si="545"/>
        <v>2.8499687055476528</v>
      </c>
      <c r="Q222" s="150">
        <f t="shared" si="545"/>
        <v>3.4916301564722616</v>
      </c>
      <c r="R222" s="150">
        <f t="shared" si="545"/>
        <v>8.4645064011379798</v>
      </c>
      <c r="S222" s="150">
        <f t="shared" si="545"/>
        <v>3.010384068278805</v>
      </c>
      <c r="T222" s="118">
        <f t="shared" si="473"/>
        <v>-2.2853368647896333E-2</v>
      </c>
      <c r="U222" s="128"/>
      <c r="V222" s="150">
        <f t="shared" ref="V222:AE222" si="546">V221-1</f>
        <v>-0.197923186344239</v>
      </c>
      <c r="W222" s="150">
        <f t="shared" si="546"/>
        <v>-0.197923186344239</v>
      </c>
      <c r="X222" s="150">
        <f t="shared" si="546"/>
        <v>-0.197923186344239</v>
      </c>
      <c r="Y222" s="150">
        <f t="shared" si="546"/>
        <v>-0.197923186344239</v>
      </c>
      <c r="Z222" s="150">
        <f t="shared" si="546"/>
        <v>-0.197923186344239</v>
      </c>
      <c r="AA222" s="150">
        <f t="shared" si="546"/>
        <v>-0.197923186344239</v>
      </c>
      <c r="AB222" s="150">
        <f t="shared" si="546"/>
        <v>-0.197923186344239</v>
      </c>
      <c r="AC222" s="150">
        <f t="shared" si="546"/>
        <v>-0.197923186344239</v>
      </c>
      <c r="AD222" s="150">
        <f t="shared" si="546"/>
        <v>-0.197923186344239</v>
      </c>
      <c r="AE222" s="150">
        <f t="shared" si="546"/>
        <v>-0.197923186344239</v>
      </c>
      <c r="AF222" s="137">
        <f t="shared" si="540"/>
        <v>-1.929207036549454</v>
      </c>
      <c r="AG222" s="31">
        <f t="shared" si="536"/>
        <v>0.05</v>
      </c>
      <c r="AH222" s="179">
        <f>(AH208)/($N$2*100)</f>
        <v>0.86069217586200997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7"/>
      <c r="N223" s="198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471</v>
      </c>
      <c r="C224" s="129"/>
      <c r="D224" s="129"/>
      <c r="E224" s="129"/>
      <c r="F224" s="129"/>
      <c r="G224" s="150">
        <f t="shared" ref="G224:S224" si="547">1/G225</f>
        <v>3.0886184285049027E-2</v>
      </c>
      <c r="H224" s="150">
        <f t="shared" si="547"/>
        <v>2.1277149174144885E-2</v>
      </c>
      <c r="I224" s="150">
        <f t="shared" si="547"/>
        <v>7.978930940304331E-2</v>
      </c>
      <c r="J224" s="150">
        <f t="shared" si="547"/>
        <v>5.039324804402736E-2</v>
      </c>
      <c r="K224" s="150">
        <f t="shared" si="547"/>
        <v>4.7873585641825991E-2</v>
      </c>
      <c r="L224" s="150">
        <f t="shared" si="547"/>
        <v>6.839083663117998E-2</v>
      </c>
      <c r="M224" s="150">
        <f t="shared" si="547"/>
        <v>6.3831447522434651E-2</v>
      </c>
      <c r="N224" s="150">
        <f t="shared" si="547"/>
        <v>6.3831447522434651E-2</v>
      </c>
      <c r="O224" s="150">
        <f t="shared" si="547"/>
        <v>4.559389108745332E-2</v>
      </c>
      <c r="P224" s="150">
        <f t="shared" si="547"/>
        <v>3.9894654701521655E-2</v>
      </c>
      <c r="Q224" s="150">
        <f t="shared" si="547"/>
        <v>3.419541831558999E-2</v>
      </c>
      <c r="R224" s="150">
        <f t="shared" si="547"/>
        <v>1.6228334115873214E-2</v>
      </c>
      <c r="S224" s="150">
        <f t="shared" si="547"/>
        <v>3.8298868513460788E-2</v>
      </c>
      <c r="T224" s="118">
        <f t="shared" si="473"/>
        <v>1.8087582483510722E-2</v>
      </c>
      <c r="U224" s="128"/>
      <c r="V224" s="150">
        <f t="shared" ref="V224:AE224" si="548">1/V225</f>
        <v>0.19149434256730397</v>
      </c>
      <c r="W224" s="150">
        <f t="shared" si="548"/>
        <v>0.19149434256730397</v>
      </c>
      <c r="X224" s="150">
        <f t="shared" si="548"/>
        <v>0.19149434256730397</v>
      </c>
      <c r="Y224" s="150">
        <f t="shared" si="548"/>
        <v>0.19149434256730397</v>
      </c>
      <c r="Z224" s="150">
        <f t="shared" si="548"/>
        <v>0.19149434256730397</v>
      </c>
      <c r="AA224" s="150">
        <f t="shared" si="548"/>
        <v>0.19149434256730397</v>
      </c>
      <c r="AB224" s="150">
        <f t="shared" si="548"/>
        <v>0.19149434256730397</v>
      </c>
      <c r="AC224" s="150">
        <f t="shared" si="548"/>
        <v>0.19149434256730397</v>
      </c>
      <c r="AD224" s="150">
        <f t="shared" si="548"/>
        <v>0.19149434256730397</v>
      </c>
      <c r="AE224" s="150">
        <f t="shared" si="548"/>
        <v>0.19149434256730397</v>
      </c>
      <c r="AF224" s="137">
        <f t="shared" ref="AF224" si="549">((AE224/I224)^(1/($AE$3-$J$1) ))-1</f>
        <v>4.2570175958161593E-2</v>
      </c>
      <c r="AG224" s="31">
        <f t="shared" ref="AG224" si="550">$N$1</f>
        <v>0.05</v>
      </c>
      <c r="AH224" s="179">
        <f>(AH210)/($N$2*100)</f>
        <v>0</v>
      </c>
    </row>
    <row r="225" spans="2:48">
      <c r="B225" s="20" t="s">
        <v>473</v>
      </c>
      <c r="C225" s="129"/>
      <c r="D225" s="129"/>
      <c r="E225" s="129"/>
      <c r="F225" s="129"/>
      <c r="G225" s="134">
        <f t="shared" ref="G225:H225" si="551">G201/$S$170</f>
        <v>32.376935615321919</v>
      </c>
      <c r="H225" s="134">
        <f t="shared" si="551"/>
        <v>46.998777506112468</v>
      </c>
      <c r="I225" s="134">
        <f t="shared" ref="I225:S225" si="552">I201/$S$170</f>
        <v>12.533007334963324</v>
      </c>
      <c r="J225" s="134">
        <f t="shared" si="552"/>
        <v>19.843928280358597</v>
      </c>
      <c r="K225" s="134">
        <f t="shared" si="552"/>
        <v>20.888345558272206</v>
      </c>
      <c r="L225" s="134">
        <f t="shared" si="552"/>
        <v>14.621841890790545</v>
      </c>
      <c r="M225" s="134">
        <f t="shared" si="552"/>
        <v>15.666259168704157</v>
      </c>
      <c r="N225" s="134">
        <f t="shared" si="552"/>
        <v>15.666259168704157</v>
      </c>
      <c r="O225" s="134">
        <f t="shared" si="552"/>
        <v>21.93276283618582</v>
      </c>
      <c r="P225" s="134">
        <f t="shared" si="552"/>
        <v>25.066014669926648</v>
      </c>
      <c r="Q225" s="134">
        <f t="shared" si="552"/>
        <v>29.24368378158109</v>
      </c>
      <c r="R225" s="134">
        <f t="shared" si="552"/>
        <v>61.620619396903017</v>
      </c>
      <c r="S225" s="134">
        <f t="shared" si="552"/>
        <v>26.110431947840262</v>
      </c>
      <c r="T225" s="118">
        <f t="shared" si="473"/>
        <v>-1.7766234255984226E-2</v>
      </c>
      <c r="U225" s="128"/>
      <c r="V225" s="134">
        <f t="shared" ref="V225:AE225" si="553">V201/$S$170</f>
        <v>5.2220863895680516</v>
      </c>
      <c r="W225" s="134">
        <f t="shared" si="553"/>
        <v>5.2220863895680516</v>
      </c>
      <c r="X225" s="134">
        <f t="shared" si="553"/>
        <v>5.2220863895680516</v>
      </c>
      <c r="Y225" s="134">
        <f t="shared" si="553"/>
        <v>5.2220863895680516</v>
      </c>
      <c r="Z225" s="134">
        <f t="shared" si="553"/>
        <v>5.2220863895680516</v>
      </c>
      <c r="AA225" s="134">
        <f t="shared" si="553"/>
        <v>5.2220863895680516</v>
      </c>
      <c r="AB225" s="134">
        <f t="shared" si="553"/>
        <v>5.2220863895680516</v>
      </c>
      <c r="AC225" s="134">
        <f t="shared" si="553"/>
        <v>5.2220863895680516</v>
      </c>
      <c r="AD225" s="134">
        <f t="shared" si="553"/>
        <v>5.2220863895680516</v>
      </c>
      <c r="AE225" s="134">
        <f t="shared" si="553"/>
        <v>5.2220863895680516</v>
      </c>
      <c r="AF225" s="137">
        <f t="shared" ref="AF225:AF227" si="554">((AE225/I225)^(1/($AE$3-$J$1) ))-1</f>
        <v>-4.0831952553254225E-2</v>
      </c>
      <c r="AG225" s="31">
        <f t="shared" ref="AG225:AG227" si="555">$N$1</f>
        <v>0.05</v>
      </c>
      <c r="AH225" s="179">
        <f>(AH210)/($N$2*100)</f>
        <v>0</v>
      </c>
    </row>
    <row r="226" spans="2:48">
      <c r="B226" s="20" t="s">
        <v>466</v>
      </c>
      <c r="C226" s="129"/>
      <c r="D226" s="129"/>
      <c r="E226" s="129"/>
      <c r="F226" s="129"/>
      <c r="G226" s="179">
        <f t="shared" ref="G226:H226" si="556">(G225)/($N$2*100)</f>
        <v>3.237693561532192</v>
      </c>
      <c r="H226" s="179">
        <f t="shared" si="556"/>
        <v>4.6998777506112468</v>
      </c>
      <c r="I226" s="179">
        <f t="shared" ref="I226:S226" si="557">(I225)/($N$2*100)</f>
        <v>1.2533007334963324</v>
      </c>
      <c r="J226" s="179">
        <f t="shared" si="557"/>
        <v>1.9843928280358596</v>
      </c>
      <c r="K226" s="179">
        <f t="shared" si="557"/>
        <v>2.0888345558272206</v>
      </c>
      <c r="L226" s="179">
        <f t="shared" si="557"/>
        <v>1.4621841890790546</v>
      </c>
      <c r="M226" s="179">
        <f t="shared" si="557"/>
        <v>1.5666259168704157</v>
      </c>
      <c r="N226" s="179">
        <f t="shared" si="557"/>
        <v>1.5666259168704157</v>
      </c>
      <c r="O226" s="179">
        <f t="shared" si="557"/>
        <v>2.193276283618582</v>
      </c>
      <c r="P226" s="179">
        <f t="shared" si="557"/>
        <v>2.5066014669926648</v>
      </c>
      <c r="Q226" s="179">
        <f t="shared" si="557"/>
        <v>2.9243683781581091</v>
      </c>
      <c r="R226" s="179">
        <f t="shared" si="557"/>
        <v>6.162061939690302</v>
      </c>
      <c r="S226" s="179">
        <f t="shared" si="557"/>
        <v>2.6110431947840262</v>
      </c>
      <c r="T226" s="118">
        <f t="shared" si="473"/>
        <v>-1.7766234255984226E-2</v>
      </c>
      <c r="U226" s="128"/>
      <c r="V226" s="179">
        <f t="shared" ref="V226:AE226" si="558">(V225)/($N$2*100)</f>
        <v>0.52220863895680514</v>
      </c>
      <c r="W226" s="179">
        <f t="shared" si="558"/>
        <v>0.52220863895680514</v>
      </c>
      <c r="X226" s="179">
        <f t="shared" si="558"/>
        <v>0.52220863895680514</v>
      </c>
      <c r="Y226" s="179">
        <f t="shared" si="558"/>
        <v>0.52220863895680514</v>
      </c>
      <c r="Z226" s="179">
        <f t="shared" si="558"/>
        <v>0.52220863895680514</v>
      </c>
      <c r="AA226" s="179">
        <f t="shared" si="558"/>
        <v>0.52220863895680514</v>
      </c>
      <c r="AB226" s="179">
        <f t="shared" si="558"/>
        <v>0.52220863895680514</v>
      </c>
      <c r="AC226" s="179">
        <f t="shared" si="558"/>
        <v>0.52220863895680514</v>
      </c>
      <c r="AD226" s="179">
        <f t="shared" si="558"/>
        <v>0.52220863895680514</v>
      </c>
      <c r="AE226" s="179">
        <f t="shared" si="558"/>
        <v>0.52220863895680514</v>
      </c>
      <c r="AF226" s="137">
        <f t="shared" si="554"/>
        <v>-4.0831952553254225E-2</v>
      </c>
      <c r="AG226" s="31">
        <f t="shared" si="555"/>
        <v>0.05</v>
      </c>
      <c r="AH226" s="179" t="e">
        <f>(#REF!)/($N$2*100)</f>
        <v>#REF!</v>
      </c>
    </row>
    <row r="227" spans="2:48">
      <c r="B227" s="20" t="s">
        <v>467</v>
      </c>
      <c r="C227" s="129"/>
      <c r="D227" s="129"/>
      <c r="E227" s="129"/>
      <c r="F227" s="129"/>
      <c r="G227" s="150">
        <f t="shared" ref="G227:H227" si="559">G226-1</f>
        <v>2.237693561532192</v>
      </c>
      <c r="H227" s="150">
        <f t="shared" si="559"/>
        <v>3.6998777506112468</v>
      </c>
      <c r="I227" s="150">
        <f t="shared" ref="I227:S227" si="560">I226-1</f>
        <v>0.25330073349633242</v>
      </c>
      <c r="J227" s="150">
        <f t="shared" si="560"/>
        <v>0.98439282803585959</v>
      </c>
      <c r="K227" s="150">
        <f t="shared" si="560"/>
        <v>1.0888345558272206</v>
      </c>
      <c r="L227" s="150">
        <f t="shared" si="560"/>
        <v>0.46218418907905456</v>
      </c>
      <c r="M227" s="150">
        <f t="shared" si="560"/>
        <v>0.56662591687041575</v>
      </c>
      <c r="N227" s="150">
        <f t="shared" si="560"/>
        <v>0.56662591687041575</v>
      </c>
      <c r="O227" s="150">
        <f t="shared" si="560"/>
        <v>1.193276283618582</v>
      </c>
      <c r="P227" s="150">
        <f t="shared" si="560"/>
        <v>1.5066014669926648</v>
      </c>
      <c r="Q227" s="150">
        <f t="shared" si="560"/>
        <v>1.9243683781581091</v>
      </c>
      <c r="R227" s="150">
        <f t="shared" si="560"/>
        <v>5.162061939690302</v>
      </c>
      <c r="S227" s="150">
        <f t="shared" si="560"/>
        <v>1.6110431947840262</v>
      </c>
      <c r="T227" s="118">
        <f t="shared" si="473"/>
        <v>-2.7008870279924269E-2</v>
      </c>
      <c r="U227" s="128"/>
      <c r="V227" s="150">
        <f t="shared" ref="V227:AE227" si="561">V226-1</f>
        <v>-0.47779136104319486</v>
      </c>
      <c r="W227" s="150">
        <f t="shared" si="561"/>
        <v>-0.47779136104319486</v>
      </c>
      <c r="X227" s="150">
        <f t="shared" si="561"/>
        <v>-0.47779136104319486</v>
      </c>
      <c r="Y227" s="150">
        <f t="shared" si="561"/>
        <v>-0.47779136104319486</v>
      </c>
      <c r="Z227" s="150">
        <f t="shared" si="561"/>
        <v>-0.47779136104319486</v>
      </c>
      <c r="AA227" s="150">
        <f t="shared" si="561"/>
        <v>-0.47779136104319486</v>
      </c>
      <c r="AB227" s="150">
        <f t="shared" si="561"/>
        <v>-0.47779136104319486</v>
      </c>
      <c r="AC227" s="150">
        <f t="shared" si="561"/>
        <v>-0.47779136104319486</v>
      </c>
      <c r="AD227" s="150">
        <f t="shared" si="561"/>
        <v>-0.47779136104319486</v>
      </c>
      <c r="AE227" s="150">
        <f t="shared" si="561"/>
        <v>-0.47779136104319486</v>
      </c>
      <c r="AF227" s="137">
        <f t="shared" si="554"/>
        <v>-2.0306801153872369</v>
      </c>
      <c r="AG227" s="31">
        <f t="shared" si="555"/>
        <v>0.05</v>
      </c>
      <c r="AH227" s="179">
        <f>(AH211)/($N$2*100)</f>
        <v>8.9853231454140231E-2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7"/>
      <c r="N228" s="198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7" t="s">
        <v>347</v>
      </c>
      <c r="N229" s="218"/>
      <c r="O229" s="20"/>
      <c r="P229" s="20"/>
      <c r="Q229" s="20"/>
      <c r="R229" s="108" t="s">
        <v>426</v>
      </c>
      <c r="S229" s="108" t="s">
        <v>425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311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348</v>
      </c>
      <c r="N230" s="22">
        <v>1</v>
      </c>
      <c r="O230" s="20"/>
      <c r="P230" s="20"/>
      <c r="Q230" s="20"/>
      <c r="R230" s="128">
        <f>(S201-U188)/S201</f>
        <v>0.84268703005404855</v>
      </c>
      <c r="S230" s="128">
        <f>(S201-V188)/S201</f>
        <v>0.87058052803672326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345</v>
      </c>
      <c r="C231" s="20" t="s">
        <v>311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>
        <f>(R201-(M231*U179))/R201</f>
        <v>0.72374455496506518</v>
      </c>
      <c r="P231" s="20"/>
      <c r="Q231" s="20"/>
      <c r="R231" s="128">
        <f>(S201-U179)/S201</f>
        <v>0.3480371497175539</v>
      </c>
      <c r="S231" s="128">
        <f>(S201-V179)/S201</f>
        <v>0.90915271758359362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346</v>
      </c>
      <c r="C232" s="20" t="s">
        <v>311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>
        <f>(R201-(M232*U172))/R201</f>
        <v>0.76540212207350766</v>
      </c>
      <c r="P232" s="20"/>
      <c r="Q232" s="20"/>
      <c r="R232" s="128">
        <f>(S201-U172)/S201</f>
        <v>0.44634900809347811</v>
      </c>
      <c r="S232" s="128">
        <f>(S201-V172)/S201</f>
        <v>0.92285191096384533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349</v>
      </c>
      <c r="C233" s="20" t="s">
        <v>311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>
        <f>(R201-(M233*U185))/R201</f>
        <v>0.98643116371465833</v>
      </c>
      <c r="P233" s="20"/>
      <c r="Q233" s="20"/>
      <c r="R233" s="128">
        <f>(S201-U185)/S201</f>
        <v>0.9679775463665935</v>
      </c>
      <c r="S233" s="128">
        <f>(S201-V185)/S201</f>
        <v>0.99553785482157442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395</v>
      </c>
      <c r="C234" s="20" t="s">
        <v>311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>
        <f>(R201-(M234*U198))/R201</f>
        <v>0.97228935461423471</v>
      </c>
      <c r="P234" s="20"/>
      <c r="Q234" s="20"/>
      <c r="R234" s="128">
        <f>(S201-U198)/S201</f>
        <v>0.9346028768895942</v>
      </c>
      <c r="S234" s="128">
        <f>(S201-V198)/S201</f>
        <v>0.94619858016936553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>
        <f>S201/U171</f>
        <v>6.6465954792608626</v>
      </c>
      <c r="S235" s="25">
        <f>S201/V171</f>
        <v>47.699096968813258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403</v>
      </c>
      <c r="AG235" s="115" t="s">
        <v>404</v>
      </c>
      <c r="AH235" s="115" t="s">
        <v>405</v>
      </c>
      <c r="AI235" s="115" t="s">
        <v>406</v>
      </c>
      <c r="AJ235" s="115" t="s">
        <v>407</v>
      </c>
      <c r="AK235" s="115" t="s">
        <v>408</v>
      </c>
      <c r="AL235" s="115" t="s">
        <v>409</v>
      </c>
      <c r="AM235" s="115" t="s">
        <v>410</v>
      </c>
      <c r="AN235" s="115" t="s">
        <v>411</v>
      </c>
      <c r="AO235" s="115" t="s">
        <v>412</v>
      </c>
      <c r="AP235" s="115" t="s">
        <v>413</v>
      </c>
      <c r="AQ235" s="115" t="s">
        <v>414</v>
      </c>
      <c r="AR235" s="115" t="s">
        <v>415</v>
      </c>
      <c r="AS235" s="115" t="s">
        <v>416</v>
      </c>
      <c r="AT235" s="115" t="s">
        <v>417</v>
      </c>
      <c r="AU235" s="115" t="s">
        <v>418</v>
      </c>
      <c r="AV235" s="115" t="s">
        <v>419</v>
      </c>
    </row>
    <row r="236" spans="2:48">
      <c r="B236" s="20" t="s">
        <v>367</v>
      </c>
      <c r="C236" s="20"/>
      <c r="D236" s="20"/>
      <c r="E236" s="20"/>
      <c r="F236" s="20"/>
      <c r="G236" s="20"/>
      <c r="H236" s="20"/>
      <c r="I236" s="187" t="s">
        <v>444</v>
      </c>
      <c r="J236" s="188"/>
      <c r="K236" s="187" t="s">
        <v>445</v>
      </c>
      <c r="L236" s="188"/>
      <c r="M236" s="20"/>
      <c r="N236" s="187" t="s">
        <v>446</v>
      </c>
      <c r="O236" s="188"/>
      <c r="P236" s="187" t="s">
        <v>447</v>
      </c>
      <c r="Q236" s="188"/>
      <c r="R236" s="150">
        <f>1/R235</f>
        <v>0.15045296544979528</v>
      </c>
      <c r="S236" s="150">
        <f>1/S235</f>
        <v>2.0964757480709174E-2</v>
      </c>
      <c r="T236" s="20"/>
      <c r="U236" s="20"/>
      <c r="V236" s="129">
        <f>S201-V237</f>
        <v>241.45056629767444</v>
      </c>
      <c r="W236" s="183">
        <f>V236-W237</f>
        <v>231.19124585488376</v>
      </c>
      <c r="X236" s="183">
        <f t="shared" ref="X236:Z236" si="562">W236-X237</f>
        <v>218.88006132353493</v>
      </c>
      <c r="Y236" s="183">
        <f t="shared" si="562"/>
        <v>204.10663988591634</v>
      </c>
      <c r="Z236" s="183">
        <f t="shared" si="562"/>
        <v>186.37853416077402</v>
      </c>
      <c r="AA236" s="183">
        <f>Z236-AA237</f>
        <v>165.10480729060328</v>
      </c>
      <c r="AB236" s="183">
        <f t="shared" ref="AB236:AE236" si="563">AA236-AB237</f>
        <v>139.57633504639836</v>
      </c>
      <c r="AC236" s="183">
        <f t="shared" si="563"/>
        <v>108.94216835335246</v>
      </c>
      <c r="AD236" s="183">
        <f t="shared" si="563"/>
        <v>72.181168321697385</v>
      </c>
      <c r="AE236" s="183">
        <f t="shared" si="563"/>
        <v>28.067968283711302</v>
      </c>
      <c r="AF236" s="183">
        <f t="shared" ref="AF236" si="564">AE236-AF237</f>
        <v>-24.867871761871996</v>
      </c>
      <c r="AG236" s="183">
        <f t="shared" ref="AG236" si="565">AF236-AG237</f>
        <v>-88.390879816571953</v>
      </c>
      <c r="AH236" s="183">
        <f t="shared" ref="AH236" si="566">AG236-AH237</f>
        <v>-164.61848948221188</v>
      </c>
      <c r="AI236" s="183">
        <f t="shared" ref="AI236" si="567">AH236-AI237</f>
        <v>-256.09162108097985</v>
      </c>
      <c r="AJ236" s="183">
        <f t="shared" ref="AJ236" si="568">AI236-AJ237</f>
        <v>-365.85937899950136</v>
      </c>
      <c r="AK236" s="183">
        <f t="shared" ref="AK236" si="569">AJ236-AK237</f>
        <v>-497.5806885017272</v>
      </c>
      <c r="AL236" s="183">
        <f t="shared" ref="AL236" si="570">AK236-AL237</f>
        <v>-655.64625990439822</v>
      </c>
      <c r="AM236" s="183">
        <f t="shared" ref="AM236" si="571">AL236-AM237</f>
        <v>-845.32494558760345</v>
      </c>
      <c r="AN236" s="183">
        <f t="shared" ref="AN236" si="572">AM236-AN237</f>
        <v>-1072.9393684074496</v>
      </c>
      <c r="AO236" s="183">
        <f t="shared" ref="AO236" si="573">AN236-AO237</f>
        <v>-1346.0766757912652</v>
      </c>
      <c r="AP236" s="183">
        <f t="shared" ref="AP236" si="574">AO236-AP237</f>
        <v>-1673.8414446518436</v>
      </c>
      <c r="AQ236" s="183">
        <f t="shared" ref="AQ236" si="575">AP236-AQ237</f>
        <v>-2067.1591672845379</v>
      </c>
      <c r="AR236" s="183">
        <f t="shared" ref="AR236" si="576">AQ236-AR237</f>
        <v>-2539.140434443771</v>
      </c>
      <c r="AS236" s="183">
        <f t="shared" ref="AS236" si="577">AR236-AS237</f>
        <v>-3105.5179550348507</v>
      </c>
      <c r="AT236" s="183">
        <f t="shared" ref="AT236" si="578">AS236-AT237</f>
        <v>-3785.1709797441463</v>
      </c>
      <c r="AU236" s="183">
        <f t="shared" ref="AU236" si="579">AT236-AU237</f>
        <v>-4600.7546093953006</v>
      </c>
      <c r="AV236" s="183">
        <f t="shared" ref="AV236" si="580">AU236-AV237</f>
        <v>-5579.4549649766859</v>
      </c>
    </row>
    <row r="237" spans="2:48">
      <c r="B237" s="20" t="s">
        <v>392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v>0.2</v>
      </c>
      <c r="N237" s="189">
        <v>0.12</v>
      </c>
      <c r="O237" s="188"/>
      <c r="P237" s="189">
        <v>0.2</v>
      </c>
      <c r="Q237" s="196" t="s">
        <v>280</v>
      </c>
      <c r="R237" s="179">
        <f>S201/U170</f>
        <v>40.103840682788046</v>
      </c>
      <c r="S237" s="179" t="s">
        <v>465</v>
      </c>
      <c r="T237" s="20"/>
      <c r="U237" s="20"/>
      <c r="V237" s="184">
        <f>T170*(1+$M$237)</f>
        <v>8.5494337023255706</v>
      </c>
      <c r="W237" s="184">
        <f>V237*(1+$M$237)</f>
        <v>10.259320442790685</v>
      </c>
      <c r="X237" s="184">
        <f t="shared" ref="X237:AE237" si="581">W237*(1+$M$237)</f>
        <v>12.311184531348822</v>
      </c>
      <c r="Y237" s="184">
        <f t="shared" si="581"/>
        <v>14.773421437618586</v>
      </c>
      <c r="Z237" s="184">
        <f t="shared" si="581"/>
        <v>17.728105725142303</v>
      </c>
      <c r="AA237" s="184">
        <f t="shared" si="581"/>
        <v>21.273726870170762</v>
      </c>
      <c r="AB237" s="184">
        <f t="shared" si="581"/>
        <v>25.528472244204913</v>
      </c>
      <c r="AC237" s="184">
        <f t="shared" si="581"/>
        <v>30.634166693045895</v>
      </c>
      <c r="AD237" s="184">
        <f t="shared" si="581"/>
        <v>36.761000031655072</v>
      </c>
      <c r="AE237" s="184">
        <f t="shared" si="581"/>
        <v>44.113200037986083</v>
      </c>
      <c r="AF237" s="184">
        <f t="shared" ref="AF237" si="582">AE237*(1+$M$237)</f>
        <v>52.935840045583298</v>
      </c>
      <c r="AG237" s="184">
        <f t="shared" ref="AG237" si="583">AF237*(1+$M$237)</f>
        <v>63.523008054699957</v>
      </c>
      <c r="AH237" s="184">
        <f t="shared" ref="AH237" si="584">AG237*(1+$M$237)</f>
        <v>76.227609665639946</v>
      </c>
      <c r="AI237" s="184">
        <f t="shared" ref="AI237" si="585">AH237*(1+$M$237)</f>
        <v>91.473131598767935</v>
      </c>
      <c r="AJ237" s="184">
        <f t="shared" ref="AJ237" si="586">AI237*(1+$M$237)</f>
        <v>109.76775791852153</v>
      </c>
      <c r="AK237" s="184">
        <f t="shared" ref="AK237" si="587">AJ237*(1+$M$237)</f>
        <v>131.72130950222584</v>
      </c>
      <c r="AL237" s="184">
        <f t="shared" ref="AL237" si="588">AK237*(1+$M$237)</f>
        <v>158.065571402671</v>
      </c>
      <c r="AM237" s="184">
        <f t="shared" ref="AM237" si="589">AL237*(1+$M$237)</f>
        <v>189.6786856832052</v>
      </c>
      <c r="AN237" s="184">
        <f t="shared" ref="AN237" si="590">AM237*(1+$M$237)</f>
        <v>227.61442281984623</v>
      </c>
      <c r="AO237" s="184">
        <f t="shared" ref="AO237" si="591">AN237*(1+$M$237)</f>
        <v>273.13730738381548</v>
      </c>
      <c r="AP237" s="184">
        <f t="shared" ref="AP237" si="592">AO237*(1+$M$237)</f>
        <v>327.76476886057856</v>
      </c>
      <c r="AQ237" s="184">
        <f t="shared" ref="AQ237" si="593">AP237*(1+$M$237)</f>
        <v>393.31772263269426</v>
      </c>
      <c r="AR237" s="184">
        <f t="shared" ref="AR237" si="594">AQ237*(1+$M$237)</f>
        <v>471.98126715923308</v>
      </c>
      <c r="AS237" s="184">
        <f t="shared" ref="AS237" si="595">AR237*(1+$M$237)</f>
        <v>566.3775205910797</v>
      </c>
      <c r="AT237" s="184">
        <f t="shared" ref="AT237" si="596">AS237*(1+$M$237)</f>
        <v>679.65302470929566</v>
      </c>
      <c r="AU237" s="184">
        <f t="shared" ref="AU237" si="597">AT237*(1+$M$237)</f>
        <v>815.58362965115475</v>
      </c>
      <c r="AV237" s="184">
        <f t="shared" ref="AV237" si="598">AU237*(1+$M$237)</f>
        <v>978.70035558138568</v>
      </c>
    </row>
    <row r="238" spans="2:48">
      <c r="B238" s="20" t="s">
        <v>391</v>
      </c>
      <c r="C238" s="20"/>
      <c r="D238" s="20"/>
      <c r="E238" s="23" t="s">
        <v>387</v>
      </c>
      <c r="F238" s="23"/>
      <c r="G238" s="23"/>
      <c r="H238" s="22"/>
      <c r="I238" s="189">
        <v>0</v>
      </c>
      <c r="J238" s="190">
        <f>S203</f>
        <v>16.951058201058203</v>
      </c>
      <c r="K238" s="189">
        <v>0.05</v>
      </c>
      <c r="L238" s="188"/>
      <c r="M238" s="182">
        <v>0.2</v>
      </c>
      <c r="N238" s="189">
        <v>0.12</v>
      </c>
      <c r="O238" s="188"/>
      <c r="P238" s="189">
        <v>0.2</v>
      </c>
      <c r="Q238" s="196" t="s">
        <v>464</v>
      </c>
      <c r="R238" s="179">
        <f>S201/S72</f>
        <v>16.951058201058203</v>
      </c>
      <c r="S238" s="179" t="s">
        <v>465</v>
      </c>
      <c r="T238" s="20"/>
      <c r="U238" s="20"/>
      <c r="V238" s="184">
        <f>S72*(1+$M$238)</f>
        <v>17.698010144362076</v>
      </c>
      <c r="W238" s="184">
        <f>V238*(1+$M$238)</f>
        <v>21.237612173234492</v>
      </c>
      <c r="X238" s="184">
        <f t="shared" ref="X238:AE238" si="599">W238*(1+$M$238)</f>
        <v>25.485134607881388</v>
      </c>
      <c r="Y238" s="184">
        <f t="shared" si="599"/>
        <v>30.582161529457665</v>
      </c>
      <c r="Z238" s="184">
        <f t="shared" si="599"/>
        <v>36.698593835349193</v>
      </c>
      <c r="AA238" s="184">
        <f t="shared" si="599"/>
        <v>44.038312602419033</v>
      </c>
      <c r="AB238" s="184">
        <f t="shared" si="599"/>
        <v>52.845975122902836</v>
      </c>
      <c r="AC238" s="184">
        <f t="shared" si="599"/>
        <v>63.415170147483401</v>
      </c>
      <c r="AD238" s="184">
        <f t="shared" si="599"/>
        <v>76.098204176980076</v>
      </c>
      <c r="AE238" s="184">
        <f t="shared" si="599"/>
        <v>91.317845012376083</v>
      </c>
      <c r="AF238" s="184">
        <f t="shared" ref="AF238" si="600">AE238*(1+$M$238)</f>
        <v>109.58141401485129</v>
      </c>
      <c r="AG238" s="184">
        <f t="shared" ref="AG238" si="601">AF238*(1+$M$238)</f>
        <v>131.49769681782155</v>
      </c>
      <c r="AH238" s="184">
        <f t="shared" ref="AH238" si="602">AG238*(1+$M$238)</f>
        <v>157.79723618138584</v>
      </c>
      <c r="AI238" s="184">
        <f t="shared" ref="AI238" si="603">AH238*(1+$M$238)</f>
        <v>189.35668341766299</v>
      </c>
      <c r="AJ238" s="184">
        <f t="shared" ref="AJ238" si="604">AI238*(1+$M$238)</f>
        <v>227.2280201011956</v>
      </c>
      <c r="AK238" s="184">
        <f t="shared" ref="AK238" si="605">AJ238*(1+$M$238)</f>
        <v>272.67362412143473</v>
      </c>
      <c r="AL238" s="184">
        <f t="shared" ref="AL238" si="606">AK238*(1+$M$238)</f>
        <v>327.20834894572164</v>
      </c>
      <c r="AM238" s="184">
        <f t="shared" ref="AM238" si="607">AL238*(1+$M$238)</f>
        <v>392.65001873486597</v>
      </c>
      <c r="AN238" s="184">
        <f t="shared" ref="AN238" si="608">AM238*(1+$M$238)</f>
        <v>471.18002248183916</v>
      </c>
      <c r="AO238" s="184">
        <f t="shared" ref="AO238" si="609">AN238*(1+$M$238)</f>
        <v>565.41602697820701</v>
      </c>
      <c r="AP238" s="184">
        <f t="shared" ref="AP238" si="610">AO238*(1+$M$238)</f>
        <v>678.49923237384837</v>
      </c>
      <c r="AQ238" s="184">
        <f t="shared" ref="AQ238" si="611">AP238*(1+$M$238)</f>
        <v>814.199078848618</v>
      </c>
      <c r="AR238" s="184">
        <f t="shared" ref="AR238" si="612">AQ238*(1+$M$238)</f>
        <v>977.0388946183416</v>
      </c>
      <c r="AS238" s="184">
        <f t="shared" ref="AS238" si="613">AR238*(1+$M$238)</f>
        <v>1172.4466735420099</v>
      </c>
      <c r="AT238" s="184">
        <f t="shared" ref="AT238" si="614">AS238*(1+$M$238)</f>
        <v>1406.9360082504118</v>
      </c>
      <c r="AU238" s="184">
        <f t="shared" ref="AU238" si="615">AT238*(1+$M$238)</f>
        <v>1688.323209900494</v>
      </c>
      <c r="AV238" s="184">
        <f t="shared" ref="AV238" si="616">AU238*(1+$M$238)</f>
        <v>2025.9878518805926</v>
      </c>
    </row>
    <row r="239" spans="2:48">
      <c r="B239" s="20"/>
      <c r="C239" s="20"/>
      <c r="D239" s="20"/>
      <c r="E239" s="23" t="s">
        <v>450</v>
      </c>
      <c r="F239" s="23"/>
      <c r="G239" s="23"/>
      <c r="H239" s="22"/>
      <c r="I239" s="189">
        <v>0</v>
      </c>
      <c r="J239" s="190"/>
      <c r="K239" s="189">
        <v>0.05</v>
      </c>
      <c r="L239" s="188"/>
      <c r="M239" s="188"/>
      <c r="N239" s="189">
        <v>0.12</v>
      </c>
      <c r="O239" s="188"/>
      <c r="P239" s="189">
        <v>0.2</v>
      </c>
      <c r="Q239" s="20"/>
      <c r="R239" s="20"/>
      <c r="S239" s="20"/>
      <c r="T239" s="20"/>
      <c r="U239" s="20"/>
      <c r="V239" s="129">
        <f>S201-V238</f>
        <v>232.30198985563791</v>
      </c>
      <c r="W239" s="183">
        <f>V239-W238</f>
        <v>211.06437768240343</v>
      </c>
      <c r="X239" s="183">
        <f t="shared" ref="X239:AC239" si="617">W239-X238</f>
        <v>185.57924307452205</v>
      </c>
      <c r="Y239" s="183">
        <f t="shared" si="617"/>
        <v>154.99708154506439</v>
      </c>
      <c r="Z239" s="183">
        <f t="shared" si="617"/>
        <v>118.2984877097152</v>
      </c>
      <c r="AA239" s="183">
        <f t="shared" si="617"/>
        <v>74.260175107296163</v>
      </c>
      <c r="AB239" s="183">
        <f t="shared" si="617"/>
        <v>21.414199984393328</v>
      </c>
      <c r="AC239" s="183">
        <f t="shared" si="617"/>
        <v>-42.000970163090074</v>
      </c>
      <c r="AD239" s="183">
        <f>AC239-AD238</f>
        <v>-118.09917434007015</v>
      </c>
      <c r="AE239" s="183">
        <f t="shared" ref="AE239" si="618">AD239-AE238</f>
        <v>-209.41701935244623</v>
      </c>
      <c r="AF239" s="183">
        <f t="shared" ref="AF239" si="619">AE239-AF238</f>
        <v>-318.99843336729754</v>
      </c>
      <c r="AG239" s="183">
        <f t="shared" ref="AG239" si="620">AF239-AG238</f>
        <v>-450.49613018511911</v>
      </c>
      <c r="AH239" s="183">
        <f t="shared" ref="AH239" si="621">AG239-AH238</f>
        <v>-608.29336636650498</v>
      </c>
      <c r="AI239" s="183">
        <f t="shared" ref="AI239" si="622">AH239-AI238</f>
        <v>-797.650049784168</v>
      </c>
      <c r="AJ239" s="183">
        <f t="shared" ref="AJ239" si="623">AI239-AJ238</f>
        <v>-1024.8780698853636</v>
      </c>
      <c r="AK239" s="183">
        <f t="shared" ref="AK239" si="624">AJ239-AK238</f>
        <v>-1297.5516940067982</v>
      </c>
      <c r="AL239" s="183">
        <f t="shared" ref="AL239" si="625">AK239-AL238</f>
        <v>-1624.7600429525198</v>
      </c>
      <c r="AM239" s="183">
        <f t="shared" ref="AM239" si="626">AL239-AM238</f>
        <v>-2017.4100616873857</v>
      </c>
      <c r="AN239" s="183">
        <f t="shared" ref="AN239" si="627">AM239-AN238</f>
        <v>-2488.5900841692246</v>
      </c>
      <c r="AO239" s="183">
        <f t="shared" ref="AO239" si="628">AN239-AO238</f>
        <v>-3054.0061111474315</v>
      </c>
      <c r="AP239" s="183">
        <f t="shared" ref="AP239" si="629">AO239-AP238</f>
        <v>-3732.5053435212799</v>
      </c>
      <c r="AQ239" s="183">
        <f t="shared" ref="AQ239" si="630">AP239-AQ238</f>
        <v>-4546.7044223698977</v>
      </c>
      <c r="AR239" s="183">
        <f t="shared" ref="AR239" si="631">AQ239-AR238</f>
        <v>-5523.7433169882388</v>
      </c>
      <c r="AS239" s="183">
        <f t="shared" ref="AS239" si="632">AR239-AS238</f>
        <v>-6696.1899905302489</v>
      </c>
      <c r="AT239" s="183">
        <f t="shared" ref="AT239" si="633">AS239-AT238</f>
        <v>-8103.1259987806607</v>
      </c>
      <c r="AU239" s="183">
        <f t="shared" ref="AU239" si="634">AT239-AU238</f>
        <v>-9791.4492086811551</v>
      </c>
      <c r="AV239" s="183">
        <f t="shared" ref="AV239" si="635">AU239-AV238</f>
        <v>-11817.437060561748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636">G10/G7</f>
        <v>0.17777777777777778</v>
      </c>
      <c r="H241" s="25">
        <f t="shared" si="636"/>
        <v>0.17174515235457063</v>
      </c>
      <c r="I241" s="25">
        <f t="shared" ref="I241:S241" si="637">I10/I7</f>
        <v>0.13559322033898305</v>
      </c>
      <c r="J241" s="25">
        <f t="shared" si="637"/>
        <v>0.30208333333333331</v>
      </c>
      <c r="K241" s="25">
        <f t="shared" si="637"/>
        <v>0.84838709677419355</v>
      </c>
      <c r="L241" s="25">
        <f t="shared" si="637"/>
        <v>0.9605678233438486</v>
      </c>
      <c r="M241" s="25">
        <f t="shared" si="637"/>
        <v>0.53669724770642202</v>
      </c>
      <c r="N241" s="25">
        <f t="shared" si="637"/>
        <v>0.30904059040590404</v>
      </c>
      <c r="O241" s="25">
        <f t="shared" si="637"/>
        <v>0.11161387631975868</v>
      </c>
      <c r="P241" s="25">
        <f t="shared" si="637"/>
        <v>3.0890369473046637E-2</v>
      </c>
      <c r="Q241" s="25">
        <f t="shared" si="637"/>
        <v>2.3565573770491802E-2</v>
      </c>
      <c r="R241" s="25">
        <f t="shared" si="637"/>
        <v>2.5550660792951541E-2</v>
      </c>
      <c r="S241" s="25">
        <f t="shared" si="637"/>
        <v>3.01941049604601E-2</v>
      </c>
      <c r="T241" s="118">
        <f t="shared" ref="T241:T243" si="638">((R241/I241)^(1/($J$2-$J$1) ))-1</f>
        <v>-0.12984421180673777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>
        <f t="shared" ref="G242:H242" si="639">G10/G12</f>
        <v>7.4666666666666668</v>
      </c>
      <c r="H242" s="112">
        <f t="shared" si="639"/>
        <v>4.4285714285714288</v>
      </c>
      <c r="I242" s="112">
        <f t="shared" ref="I242:S242" si="640">I10/I12</f>
        <v>3.5</v>
      </c>
      <c r="J242" s="112">
        <f t="shared" si="640"/>
        <v>3.8157894736842106</v>
      </c>
      <c r="K242" s="112">
        <f t="shared" si="640"/>
        <v>3.058139534883721</v>
      </c>
      <c r="L242" s="112">
        <f t="shared" si="640"/>
        <v>3.8301886792452828</v>
      </c>
      <c r="M242" s="112">
        <f t="shared" si="640"/>
        <v>10.4</v>
      </c>
      <c r="N242" s="112">
        <f t="shared" si="640"/>
        <v>3.2524271844660193</v>
      </c>
      <c r="O242" s="112">
        <f t="shared" si="640"/>
        <v>0.54212454212454209</v>
      </c>
      <c r="P242" s="112">
        <f t="shared" si="640"/>
        <v>0.33774834437086093</v>
      </c>
      <c r="Q242" s="112">
        <f t="shared" si="640"/>
        <v>0.25988700564971751</v>
      </c>
      <c r="R242" s="112">
        <f t="shared" si="640"/>
        <v>0.67441860465116277</v>
      </c>
      <c r="S242" s="112">
        <f t="shared" si="640"/>
        <v>0.63636363636363635</v>
      </c>
      <c r="T242" s="118">
        <f t="shared" si="638"/>
        <v>-0.12822356618404129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641">G10/(G12+G13)</f>
        <v>2.1132075471698113</v>
      </c>
      <c r="H243" s="25">
        <f t="shared" si="641"/>
        <v>1.8787878787878789</v>
      </c>
      <c r="I243" s="25">
        <f t="shared" ref="I243:S243" si="642">I10/(I12+I13)</f>
        <v>1.75</v>
      </c>
      <c r="J243" s="25">
        <f t="shared" si="642"/>
        <v>2.6851851851851851</v>
      </c>
      <c r="K243" s="25">
        <f t="shared" si="642"/>
        <v>3.0015978087194704</v>
      </c>
      <c r="L243" s="25">
        <f t="shared" si="642"/>
        <v>3.291891891891892</v>
      </c>
      <c r="M243" s="25">
        <f t="shared" si="642"/>
        <v>1.4952076677316295</v>
      </c>
      <c r="N243" s="25">
        <f t="shared" si="642"/>
        <v>1.2271062271062272</v>
      </c>
      <c r="O243" s="25">
        <f t="shared" si="642"/>
        <v>0.39892183288409705</v>
      </c>
      <c r="P243" s="25">
        <f t="shared" si="642"/>
        <v>0.11486486486486487</v>
      </c>
      <c r="Q243" s="25">
        <f t="shared" si="642"/>
        <v>0.10526315789473684</v>
      </c>
      <c r="R243" s="25">
        <f t="shared" si="642"/>
        <v>0.13004484304932734</v>
      </c>
      <c r="S243" s="25">
        <f t="shared" si="642"/>
        <v>0.10755441741357234</v>
      </c>
      <c r="T243" s="118">
        <f t="shared" si="638"/>
        <v>-0.19476757037398407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373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4" t="s">
        <v>333</v>
      </c>
      <c r="O246" s="215"/>
      <c r="P246" s="216"/>
      <c r="Q246" s="23" t="s">
        <v>336</v>
      </c>
      <c r="R246" s="20"/>
      <c r="S246" s="136"/>
      <c r="T246" s="214" t="s">
        <v>334</v>
      </c>
      <c r="U246" s="215"/>
      <c r="V246" s="216"/>
      <c r="W246" s="23" t="s">
        <v>336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335</v>
      </c>
      <c r="D247" s="164" t="s">
        <v>0</v>
      </c>
      <c r="E247" s="164" t="s">
        <v>374</v>
      </c>
      <c r="F247" s="164"/>
      <c r="G247" s="164"/>
      <c r="H247" s="164" t="s">
        <v>375</v>
      </c>
      <c r="I247" s="164" t="s">
        <v>376</v>
      </c>
      <c r="J247" s="164" t="s">
        <v>377</v>
      </c>
      <c r="K247" s="164" t="s">
        <v>378</v>
      </c>
      <c r="L247" s="164" t="s">
        <v>379</v>
      </c>
      <c r="M247" s="20"/>
      <c r="N247" s="164" t="s">
        <v>335</v>
      </c>
      <c r="O247" s="164"/>
      <c r="P247" s="164" t="s">
        <v>0</v>
      </c>
      <c r="Q247" s="164" t="s">
        <v>368</v>
      </c>
      <c r="R247" s="20"/>
      <c r="S247" s="20"/>
      <c r="T247" s="164" t="s">
        <v>335</v>
      </c>
      <c r="U247" s="164"/>
      <c r="V247" s="164" t="s">
        <v>0</v>
      </c>
      <c r="W247" s="164" t="s">
        <v>368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337</v>
      </c>
      <c r="D248" s="21">
        <v>310</v>
      </c>
      <c r="E248" s="174" t="s">
        <v>380</v>
      </c>
      <c r="F248" s="174"/>
      <c r="G248" s="174"/>
      <c r="H248" s="22">
        <v>1</v>
      </c>
      <c r="I248" s="22">
        <v>1</v>
      </c>
      <c r="J248" s="165">
        <f>H248/I248</f>
        <v>1</v>
      </c>
      <c r="K248" s="165">
        <f>J248*D249</f>
        <v>1</v>
      </c>
      <c r="L248" s="175">
        <f>K248+D249</f>
        <v>2</v>
      </c>
      <c r="M248" s="20"/>
      <c r="N248" s="165" t="s">
        <v>337</v>
      </c>
      <c r="O248" s="165"/>
      <c r="P248" s="21">
        <v>1</v>
      </c>
      <c r="Q248" s="171">
        <f>P248</f>
        <v>1</v>
      </c>
      <c r="R248" s="20"/>
      <c r="S248" s="20"/>
      <c r="T248" s="165" t="s">
        <v>337</v>
      </c>
      <c r="U248" s="165"/>
      <c r="V248" s="21">
        <v>1</v>
      </c>
      <c r="W248" s="171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338</v>
      </c>
      <c r="D249" s="21">
        <v>1</v>
      </c>
      <c r="E249" s="174" t="s">
        <v>381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2</v>
      </c>
      <c r="M249" s="20"/>
      <c r="N249" s="165" t="s">
        <v>338</v>
      </c>
      <c r="O249" s="165"/>
      <c r="P249" s="21">
        <v>1</v>
      </c>
      <c r="Q249" s="171">
        <f>P249</f>
        <v>1</v>
      </c>
      <c r="R249" s="20"/>
      <c r="S249" s="20"/>
      <c r="T249" s="165" t="s">
        <v>338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340</v>
      </c>
      <c r="D250" s="166">
        <f>D248*D249</f>
        <v>310</v>
      </c>
      <c r="E250" s="174" t="s">
        <v>393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2</v>
      </c>
      <c r="M250" s="20"/>
      <c r="N250" s="165" t="s">
        <v>339</v>
      </c>
      <c r="O250" s="165"/>
      <c r="P250" s="166">
        <f>P248*P249</f>
        <v>1</v>
      </c>
      <c r="Q250" s="171">
        <f>P250</f>
        <v>1</v>
      </c>
      <c r="R250" s="20"/>
      <c r="S250" s="20"/>
      <c r="T250" s="165" t="s">
        <v>340</v>
      </c>
      <c r="U250" s="165"/>
      <c r="V250" s="166">
        <f>V248*V249</f>
        <v>1</v>
      </c>
      <c r="W250" s="171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451</v>
      </c>
      <c r="F251" s="174"/>
      <c r="G251" s="174"/>
      <c r="H251" s="22">
        <v>0</v>
      </c>
      <c r="I251" s="22">
        <v>1</v>
      </c>
      <c r="J251" s="165">
        <f t="shared" ref="J251:J254" si="643">H251/I251</f>
        <v>0</v>
      </c>
      <c r="K251" s="165">
        <f t="shared" ref="K251:K253" si="644">J251*L250</f>
        <v>0</v>
      </c>
      <c r="L251" s="165">
        <f t="shared" ref="L251:L253" si="645">K251+L250</f>
        <v>2</v>
      </c>
      <c r="M251" s="20"/>
      <c r="N251" s="165" t="s">
        <v>341</v>
      </c>
      <c r="O251" s="165"/>
      <c r="P251" s="21">
        <v>1</v>
      </c>
      <c r="Q251" s="21">
        <v>1</v>
      </c>
      <c r="R251" s="20"/>
      <c r="S251" s="20"/>
      <c r="T251" s="165" t="s">
        <v>341</v>
      </c>
      <c r="U251" s="165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452</v>
      </c>
      <c r="F252" s="174"/>
      <c r="G252" s="174"/>
      <c r="H252" s="22">
        <v>0</v>
      </c>
      <c r="I252" s="22">
        <v>1</v>
      </c>
      <c r="J252" s="165">
        <f t="shared" si="643"/>
        <v>0</v>
      </c>
      <c r="K252" s="165">
        <f t="shared" si="644"/>
        <v>0</v>
      </c>
      <c r="L252" s="165">
        <f t="shared" si="645"/>
        <v>2</v>
      </c>
      <c r="M252" s="20"/>
      <c r="N252" s="165" t="s">
        <v>342</v>
      </c>
      <c r="O252" s="165"/>
      <c r="P252" s="166">
        <f>P251*P249</f>
        <v>1</v>
      </c>
      <c r="Q252" s="166">
        <f>Q251*Q249</f>
        <v>1</v>
      </c>
      <c r="R252" s="20"/>
      <c r="S252" s="20"/>
      <c r="T252" s="165" t="s">
        <v>338</v>
      </c>
      <c r="U252" s="165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453</v>
      </c>
      <c r="F253" s="174"/>
      <c r="G253" s="174"/>
      <c r="H253" s="22">
        <v>0</v>
      </c>
      <c r="I253" s="22">
        <v>1</v>
      </c>
      <c r="J253" s="165">
        <f t="shared" si="643"/>
        <v>0</v>
      </c>
      <c r="K253" s="165">
        <f t="shared" si="644"/>
        <v>0</v>
      </c>
      <c r="L253" s="165">
        <f t="shared" si="645"/>
        <v>2</v>
      </c>
      <c r="M253" s="20"/>
      <c r="N253" s="165"/>
      <c r="O253" s="165"/>
      <c r="P253" s="166"/>
      <c r="Q253" s="166"/>
      <c r="R253" s="20"/>
      <c r="S253" s="20"/>
      <c r="T253" s="165" t="s">
        <v>340</v>
      </c>
      <c r="U253" s="165"/>
      <c r="V253" s="166">
        <f>V252*V251</f>
        <v>1</v>
      </c>
      <c r="W253" s="166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382</v>
      </c>
      <c r="F254" s="174"/>
      <c r="G254" s="174"/>
      <c r="H254" s="22">
        <v>10</v>
      </c>
      <c r="I254" s="22">
        <v>2</v>
      </c>
      <c r="J254" s="165">
        <f t="shared" si="643"/>
        <v>5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454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343</v>
      </c>
      <c r="O255" s="167"/>
      <c r="P255" s="168">
        <f>P252/P250</f>
        <v>1</v>
      </c>
      <c r="Q255" s="168">
        <f>Q252/Q250</f>
        <v>1</v>
      </c>
      <c r="R255" s="20"/>
      <c r="S255" s="20"/>
      <c r="T255" s="167" t="s">
        <v>343</v>
      </c>
      <c r="U255" s="167"/>
      <c r="V255" s="168">
        <f>V253/V250</f>
        <v>1</v>
      </c>
      <c r="W255" s="168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341</v>
      </c>
      <c r="D256" s="21">
        <v>800</v>
      </c>
      <c r="E256" s="174"/>
      <c r="F256" s="174"/>
      <c r="G256" s="174"/>
      <c r="H256" s="165"/>
      <c r="I256" s="165"/>
      <c r="J256" s="167" t="s">
        <v>383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338</v>
      </c>
      <c r="D257" s="21">
        <v>30</v>
      </c>
      <c r="E257" s="174" t="s">
        <v>382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340</v>
      </c>
      <c r="D258" s="166">
        <f>D257*D256</f>
        <v>24000</v>
      </c>
      <c r="E258" s="165"/>
      <c r="F258" s="165"/>
      <c r="G258" s="165"/>
      <c r="H258" s="165"/>
      <c r="I258" s="165"/>
      <c r="J258" s="167" t="s">
        <v>383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382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343</v>
      </c>
      <c r="D260" s="168">
        <f>D258/D250</f>
        <v>77.41935483870968</v>
      </c>
      <c r="E260" s="174"/>
      <c r="F260" s="174"/>
      <c r="G260" s="174"/>
      <c r="H260" s="165"/>
      <c r="I260" s="165"/>
      <c r="J260" s="167" t="s">
        <v>383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7" t="s">
        <v>27</v>
      </c>
      <c r="E263" s="208"/>
      <c r="F263" s="208"/>
      <c r="G263" s="208"/>
      <c r="H263" s="208"/>
      <c r="I263" s="209"/>
      <c r="J263" s="20"/>
      <c r="K263" s="207" t="s">
        <v>388</v>
      </c>
      <c r="L263" s="208"/>
      <c r="M263" s="20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>
        <f>D248</f>
        <v>310</v>
      </c>
      <c r="I264" s="21">
        <f>D250</f>
        <v>310</v>
      </c>
      <c r="J264" s="20"/>
      <c r="K264" s="20" t="s">
        <v>28</v>
      </c>
      <c r="L264" s="127"/>
      <c r="M264" s="21">
        <f>I264</f>
        <v>310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>
        <f>D249</f>
        <v>1</v>
      </c>
      <c r="I265" s="21">
        <f>D258</f>
        <v>24000</v>
      </c>
      <c r="J265" s="20"/>
      <c r="K265" s="20" t="s">
        <v>29</v>
      </c>
      <c r="L265" s="20"/>
      <c r="M265" s="21">
        <f>I265</f>
        <v>24000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2">
        <f>I266</f>
        <v>10</v>
      </c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>
        <f>((H265/H264)^(1/H266))-1</f>
        <v>-0.43653904031994784</v>
      </c>
      <c r="I267" s="3">
        <f>((I265/I264)^(1/I266))-1</f>
        <v>0.54484515370084985</v>
      </c>
      <c r="J267" s="20"/>
      <c r="K267" s="23" t="s">
        <v>389</v>
      </c>
      <c r="L267" s="23"/>
      <c r="M267" s="191">
        <f>(M265-M264)/M264</f>
        <v>76.41935483870968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>
        <f>H266*12</f>
        <v>120</v>
      </c>
      <c r="I268" s="24">
        <f>I266*12</f>
        <v>120</v>
      </c>
      <c r="J268" s="20"/>
      <c r="K268" s="23" t="s">
        <v>390</v>
      </c>
      <c r="L268" s="23"/>
      <c r="M268" s="23">
        <f>M265/M264</f>
        <v>77.41935483870968</v>
      </c>
    </row>
    <row r="269" spans="2:34">
      <c r="B269" s="20"/>
      <c r="C269" s="20"/>
      <c r="D269" s="20" t="s">
        <v>30</v>
      </c>
      <c r="E269" s="25"/>
      <c r="F269" s="25"/>
      <c r="G269" s="25"/>
      <c r="H269" s="25">
        <f>H268/12</f>
        <v>10</v>
      </c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>
        <f>((H265/H264)^(1/H269))-1</f>
        <v>-0.43653904031994784</v>
      </c>
      <c r="I270" s="3">
        <f>((I265/I264)^(1/I269))-1</f>
        <v>0.54484515370084985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9" t="s">
        <v>27</v>
      </c>
      <c r="K5" s="219"/>
      <c r="M5" s="219" t="s">
        <v>65</v>
      </c>
      <c r="N5" s="219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9" t="s">
        <v>36</v>
      </c>
      <c r="K14" s="219"/>
      <c r="L14" s="219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9" t="s">
        <v>27</v>
      </c>
      <c r="S5" s="219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9" t="s">
        <v>36</v>
      </c>
      <c r="S14" s="219"/>
      <c r="T14" s="219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9" t="s">
        <v>27</v>
      </c>
      <c r="C2" s="219"/>
      <c r="E2" s="219" t="s">
        <v>65</v>
      </c>
      <c r="F2" s="219"/>
      <c r="H2" s="223" t="s">
        <v>36</v>
      </c>
      <c r="I2" s="224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20" t="s">
        <v>68</v>
      </c>
      <c r="E10" s="221"/>
      <c r="F10" s="221"/>
      <c r="G10" s="221"/>
      <c r="H10" s="222"/>
      <c r="I10" s="220" t="s">
        <v>72</v>
      </c>
      <c r="J10" s="221"/>
      <c r="K10" s="221"/>
      <c r="L10" s="222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5" t="s">
        <v>427</v>
      </c>
      <c r="C3" s="226"/>
      <c r="F3" s="225" t="s">
        <v>428</v>
      </c>
      <c r="G3" s="226"/>
    </row>
    <row r="4" spans="2:7">
      <c r="B4" s="186" t="s">
        <v>429</v>
      </c>
      <c r="C4" s="186"/>
      <c r="F4" s="186" t="s">
        <v>430</v>
      </c>
      <c r="G4" s="186"/>
    </row>
    <row r="5" spans="2:7">
      <c r="B5" s="186" t="s">
        <v>431</v>
      </c>
      <c r="C5" s="186"/>
      <c r="F5" s="186" t="s">
        <v>291</v>
      </c>
      <c r="G5" s="186"/>
    </row>
    <row r="6" spans="2:7">
      <c r="B6" s="186" t="s">
        <v>432</v>
      </c>
      <c r="C6" s="186"/>
      <c r="F6" s="186" t="s">
        <v>433</v>
      </c>
      <c r="G6" s="186"/>
    </row>
    <row r="7" spans="2:7">
      <c r="B7" s="186" t="s">
        <v>434</v>
      </c>
      <c r="C7" s="186"/>
      <c r="F7" s="186" t="s">
        <v>435</v>
      </c>
      <c r="G7" s="186"/>
    </row>
    <row r="8" spans="2:7">
      <c r="B8" s="186" t="s">
        <v>436</v>
      </c>
      <c r="C8" s="186"/>
      <c r="F8" s="186" t="s">
        <v>437</v>
      </c>
      <c r="G8" s="186"/>
    </row>
    <row r="9" spans="2:7">
      <c r="B9" s="186" t="s">
        <v>438</v>
      </c>
      <c r="C9" s="186"/>
      <c r="F9" s="186" t="s">
        <v>439</v>
      </c>
      <c r="G9" s="186"/>
    </row>
    <row r="10" spans="2:7">
      <c r="B10" s="186" t="s">
        <v>437</v>
      </c>
      <c r="C10" s="186"/>
      <c r="F10" s="186"/>
      <c r="G10" s="186"/>
    </row>
    <row r="11" spans="2:7">
      <c r="B11" s="186" t="s">
        <v>440</v>
      </c>
      <c r="C11" s="186"/>
      <c r="F11" s="186"/>
      <c r="G11" s="186"/>
    </row>
    <row r="12" spans="2:7">
      <c r="B12" s="186" t="s">
        <v>441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2016-11-21T04:20:27Z</dcterms:modified>
</cp:coreProperties>
</file>
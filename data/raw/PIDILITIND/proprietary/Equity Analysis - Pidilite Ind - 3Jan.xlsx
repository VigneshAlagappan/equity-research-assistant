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R188" i="18"/>
  <c r="H82" l="1"/>
  <c r="I82"/>
  <c r="J82"/>
  <c r="K82"/>
  <c r="L82"/>
  <c r="M82"/>
  <c r="N82"/>
  <c r="O82"/>
  <c r="P82"/>
  <c r="Q82" s="1"/>
  <c r="G82"/>
  <c r="H39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Q120" s="1"/>
  <c r="G120"/>
  <c r="AD14"/>
  <c r="T14"/>
  <c r="U14" s="1"/>
  <c r="V14" s="1"/>
  <c r="W14" s="1"/>
  <c r="X14" s="1"/>
  <c r="Y14" s="1"/>
  <c r="Z14" s="1"/>
  <c r="AA14" s="1"/>
  <c r="AB14" s="1"/>
  <c r="S14"/>
  <c r="R14"/>
  <c r="Q14"/>
  <c r="R182"/>
  <c r="R181"/>
  <c r="L182"/>
  <c r="L185" s="1"/>
  <c r="L181"/>
  <c r="H88"/>
  <c r="I88"/>
  <c r="J88"/>
  <c r="K88"/>
  <c r="L88"/>
  <c r="M88"/>
  <c r="N88"/>
  <c r="O88"/>
  <c r="P88"/>
  <c r="G88"/>
  <c r="H85"/>
  <c r="I85"/>
  <c r="J85"/>
  <c r="K85"/>
  <c r="L85"/>
  <c r="M85"/>
  <c r="N85"/>
  <c r="O85"/>
  <c r="P85"/>
  <c r="G85"/>
  <c r="H86"/>
  <c r="I86"/>
  <c r="J86"/>
  <c r="K86"/>
  <c r="L86"/>
  <c r="M86"/>
  <c r="N86"/>
  <c r="O86"/>
  <c r="P86"/>
  <c r="G86"/>
  <c r="P117"/>
  <c r="H116"/>
  <c r="H117" s="1"/>
  <c r="I116"/>
  <c r="I117" s="1"/>
  <c r="J116"/>
  <c r="J117" s="1"/>
  <c r="K116"/>
  <c r="K117" s="1"/>
  <c r="L116"/>
  <c r="L117" s="1"/>
  <c r="M116"/>
  <c r="M117" s="1"/>
  <c r="N116"/>
  <c r="N117" s="1"/>
  <c r="O116"/>
  <c r="O117" s="1"/>
  <c r="P116"/>
  <c r="G116"/>
  <c r="G117" s="1"/>
  <c r="L188" l="1"/>
  <c r="Q121"/>
  <c r="Q88"/>
  <c r="AC14"/>
  <c r="AE14"/>
  <c r="Q85"/>
  <c r="Q117"/>
  <c r="Q116"/>
  <c r="Q86"/>
  <c r="P81"/>
  <c r="P80"/>
  <c r="C81"/>
  <c r="D81"/>
  <c r="E81"/>
  <c r="F81"/>
  <c r="H81"/>
  <c r="I81"/>
  <c r="J81"/>
  <c r="K81"/>
  <c r="L81"/>
  <c r="M81"/>
  <c r="N81"/>
  <c r="O81"/>
  <c r="G81"/>
  <c r="G80"/>
  <c r="H114"/>
  <c r="I114"/>
  <c r="J114"/>
  <c r="K114"/>
  <c r="L114"/>
  <c r="M114"/>
  <c r="N114"/>
  <c r="O114"/>
  <c r="P114"/>
  <c r="G114"/>
  <c r="H113"/>
  <c r="I113"/>
  <c r="J113"/>
  <c r="K113"/>
  <c r="L113"/>
  <c r="M113"/>
  <c r="N113"/>
  <c r="O113"/>
  <c r="P113"/>
  <c r="G113"/>
  <c r="H110"/>
  <c r="I110"/>
  <c r="J110"/>
  <c r="K110"/>
  <c r="L110"/>
  <c r="M110"/>
  <c r="N110"/>
  <c r="O110"/>
  <c r="P110"/>
  <c r="G110"/>
  <c r="H111"/>
  <c r="I111"/>
  <c r="J111"/>
  <c r="K111"/>
  <c r="L111"/>
  <c r="M111"/>
  <c r="N111"/>
  <c r="O111"/>
  <c r="P111"/>
  <c r="Q111" s="1"/>
  <c r="G111"/>
  <c r="H109"/>
  <c r="I109"/>
  <c r="J109"/>
  <c r="K109"/>
  <c r="L109"/>
  <c r="M109"/>
  <c r="N109"/>
  <c r="O109"/>
  <c r="P109"/>
  <c r="G109"/>
  <c r="H108"/>
  <c r="I108"/>
  <c r="J108"/>
  <c r="K108"/>
  <c r="L108"/>
  <c r="M108"/>
  <c r="N108"/>
  <c r="O108"/>
  <c r="P108"/>
  <c r="G108"/>
  <c r="R154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H103"/>
  <c r="I103"/>
  <c r="J103"/>
  <c r="K103"/>
  <c r="L103"/>
  <c r="M103"/>
  <c r="N103"/>
  <c r="O103"/>
  <c r="P103"/>
  <c r="G103"/>
  <c r="B105"/>
  <c r="B104"/>
  <c r="K169"/>
  <c r="K168"/>
  <c r="K167"/>
  <c r="S40"/>
  <c r="AD32"/>
  <c r="R32"/>
  <c r="S32" s="1"/>
  <c r="T32" s="1"/>
  <c r="U32" s="1"/>
  <c r="V32" s="1"/>
  <c r="W32" s="1"/>
  <c r="X32" s="1"/>
  <c r="Y32" s="1"/>
  <c r="Z32" s="1"/>
  <c r="AA32" s="1"/>
  <c r="AB32" s="1"/>
  <c r="Q32"/>
  <c r="G93"/>
  <c r="H93"/>
  <c r="I93"/>
  <c r="J93"/>
  <c r="K93"/>
  <c r="L93"/>
  <c r="M93"/>
  <c r="N93"/>
  <c r="O93"/>
  <c r="P93"/>
  <c r="Q186"/>
  <c r="K185"/>
  <c r="Q183"/>
  <c r="R183" s="1"/>
  <c r="R186" s="1"/>
  <c r="K183"/>
  <c r="L183" s="1"/>
  <c r="F101"/>
  <c r="H101"/>
  <c r="I101"/>
  <c r="J101"/>
  <c r="K101"/>
  <c r="L101"/>
  <c r="M101"/>
  <c r="N101"/>
  <c r="O101"/>
  <c r="P101"/>
  <c r="G101"/>
  <c r="F100"/>
  <c r="H100"/>
  <c r="I100"/>
  <c r="J100"/>
  <c r="K100"/>
  <c r="L100"/>
  <c r="M100"/>
  <c r="N100"/>
  <c r="O100"/>
  <c r="P100"/>
  <c r="G100"/>
  <c r="Q81" l="1"/>
  <c r="Q108"/>
  <c r="Q114"/>
  <c r="Q113"/>
  <c r="Q109"/>
  <c r="Q110"/>
  <c r="Q103"/>
  <c r="Q104"/>
  <c r="Q105"/>
  <c r="Q93"/>
  <c r="AC32"/>
  <c r="AE32"/>
  <c r="K188"/>
  <c r="Q188"/>
  <c r="Q101"/>
  <c r="Q100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8"/>
  <c r="AD49"/>
  <c r="AD50"/>
  <c r="AD52"/>
  <c r="AD53"/>
  <c r="AD54"/>
  <c r="AD56"/>
  <c r="AD57"/>
  <c r="AD58"/>
  <c r="AD59"/>
  <c r="AD61"/>
  <c r="AD62"/>
  <c r="AD64"/>
  <c r="AD66"/>
  <c r="AD67"/>
  <c r="AD68"/>
  <c r="AD69"/>
  <c r="AD70"/>
  <c r="AD72"/>
  <c r="AD73"/>
  <c r="AD74"/>
  <c r="AD7"/>
  <c r="AD6"/>
  <c r="G90" l="1"/>
  <c r="F90"/>
  <c r="H90"/>
  <c r="I90"/>
  <c r="J90"/>
  <c r="K90"/>
  <c r="L90"/>
  <c r="M90"/>
  <c r="N90"/>
  <c r="O90"/>
  <c r="P90"/>
  <c r="Q90" l="1"/>
  <c r="H84"/>
  <c r="I84"/>
  <c r="J84"/>
  <c r="K84"/>
  <c r="L84"/>
  <c r="M84"/>
  <c r="N84"/>
  <c r="O84"/>
  <c r="P84"/>
  <c r="H87"/>
  <c r="I87"/>
  <c r="J87"/>
  <c r="K87"/>
  <c r="L87"/>
  <c r="M87"/>
  <c r="N87"/>
  <c r="O87"/>
  <c r="P87"/>
  <c r="G87"/>
  <c r="G84"/>
  <c r="S29"/>
  <c r="Q29"/>
  <c r="L30"/>
  <c r="K30"/>
  <c r="J30"/>
  <c r="I30"/>
  <c r="H30"/>
  <c r="G30"/>
  <c r="T29" l="1"/>
  <c r="Q87"/>
  <c r="Q84"/>
  <c r="H92"/>
  <c r="I92"/>
  <c r="J92"/>
  <c r="K92"/>
  <c r="L92"/>
  <c r="M92"/>
  <c r="N92"/>
  <c r="O92"/>
  <c r="P92"/>
  <c r="G92"/>
  <c r="H91"/>
  <c r="I91"/>
  <c r="J91"/>
  <c r="K91"/>
  <c r="L91"/>
  <c r="M91"/>
  <c r="N91"/>
  <c r="O91"/>
  <c r="P91"/>
  <c r="G91"/>
  <c r="U29" l="1"/>
  <c r="Q91"/>
  <c r="Q92"/>
  <c r="AE61"/>
  <c r="V29" l="1"/>
  <c r="C162"/>
  <c r="D162"/>
  <c r="E162"/>
  <c r="F162"/>
  <c r="G162"/>
  <c r="H162"/>
  <c r="I162"/>
  <c r="J162"/>
  <c r="K162"/>
  <c r="L162"/>
  <c r="M162"/>
  <c r="N162"/>
  <c r="O162"/>
  <c r="P162"/>
  <c r="C9" i="15"/>
  <c r="D62" i="18"/>
  <c r="E62"/>
  <c r="E95" s="1"/>
  <c r="E96" s="1"/>
  <c r="F62"/>
  <c r="F95" s="1"/>
  <c r="F96" s="1"/>
  <c r="G62"/>
  <c r="G95" s="1"/>
  <c r="G96" s="1"/>
  <c r="H62"/>
  <c r="H95" s="1"/>
  <c r="H96" s="1"/>
  <c r="I62"/>
  <c r="I95" s="1"/>
  <c r="I96" s="1"/>
  <c r="J62"/>
  <c r="J95" s="1"/>
  <c r="J96" s="1"/>
  <c r="K62"/>
  <c r="K95" s="1"/>
  <c r="K96" s="1"/>
  <c r="L62"/>
  <c r="L95" s="1"/>
  <c r="L96" s="1"/>
  <c r="M62"/>
  <c r="M95" s="1"/>
  <c r="M96" s="1"/>
  <c r="N62"/>
  <c r="N95" s="1"/>
  <c r="N96" s="1"/>
  <c r="O62"/>
  <c r="O95" s="1"/>
  <c r="O96" s="1"/>
  <c r="P62"/>
  <c r="P95" s="1"/>
  <c r="C62"/>
  <c r="S41"/>
  <c r="S62" s="1"/>
  <c r="S95" s="1"/>
  <c r="S96" s="1"/>
  <c r="Q41"/>
  <c r="W29" l="1"/>
  <c r="Q162"/>
  <c r="N97"/>
  <c r="N98" s="1"/>
  <c r="J97"/>
  <c r="J98" s="1"/>
  <c r="L97"/>
  <c r="L98" s="1"/>
  <c r="H97"/>
  <c r="H98" s="1"/>
  <c r="M97"/>
  <c r="M98" s="1"/>
  <c r="I97"/>
  <c r="I98" s="1"/>
  <c r="F97"/>
  <c r="F98" s="1"/>
  <c r="O97"/>
  <c r="O98" s="1"/>
  <c r="K97"/>
  <c r="K98" s="1"/>
  <c r="G97"/>
  <c r="G98" s="1"/>
  <c r="P96"/>
  <c r="Q95"/>
  <c r="T41"/>
  <c r="U41" s="1"/>
  <c r="V41" s="1"/>
  <c r="W41" s="1"/>
  <c r="X29" l="1"/>
  <c r="P97"/>
  <c r="Q96"/>
  <c r="U62"/>
  <c r="X41"/>
  <c r="W62"/>
  <c r="V62"/>
  <c r="T62"/>
  <c r="C72"/>
  <c r="D72"/>
  <c r="E72"/>
  <c r="F72"/>
  <c r="G72"/>
  <c r="G118" s="1"/>
  <c r="Q118" s="1"/>
  <c r="H72"/>
  <c r="H118" s="1"/>
  <c r="I72"/>
  <c r="I118" s="1"/>
  <c r="J72"/>
  <c r="J118" s="1"/>
  <c r="K72"/>
  <c r="K118" s="1"/>
  <c r="L72"/>
  <c r="L118" s="1"/>
  <c r="M72"/>
  <c r="M118" s="1"/>
  <c r="N72"/>
  <c r="N118" s="1"/>
  <c r="O72"/>
  <c r="O118" s="1"/>
  <c r="C73"/>
  <c r="D73"/>
  <c r="E73"/>
  <c r="F73"/>
  <c r="G73"/>
  <c r="H73"/>
  <c r="I73"/>
  <c r="J73"/>
  <c r="K73"/>
  <c r="L73"/>
  <c r="M73"/>
  <c r="N73"/>
  <c r="O73"/>
  <c r="C74"/>
  <c r="D74"/>
  <c r="E74"/>
  <c r="F74"/>
  <c r="G74"/>
  <c r="H74"/>
  <c r="I74"/>
  <c r="J74"/>
  <c r="K74"/>
  <c r="L74"/>
  <c r="M74"/>
  <c r="N74"/>
  <c r="O74"/>
  <c r="P74"/>
  <c r="P73"/>
  <c r="P72"/>
  <c r="P118" s="1"/>
  <c r="C80"/>
  <c r="D80"/>
  <c r="E80"/>
  <c r="F80"/>
  <c r="H80"/>
  <c r="I80"/>
  <c r="J80"/>
  <c r="K80"/>
  <c r="L80"/>
  <c r="M80"/>
  <c r="N80"/>
  <c r="O80"/>
  <c r="C78"/>
  <c r="D78"/>
  <c r="E78"/>
  <c r="C79"/>
  <c r="D79"/>
  <c r="E79"/>
  <c r="F79"/>
  <c r="G79"/>
  <c r="H79"/>
  <c r="I79"/>
  <c r="J79"/>
  <c r="K79"/>
  <c r="L79"/>
  <c r="M79"/>
  <c r="N79"/>
  <c r="O79"/>
  <c r="F78"/>
  <c r="G78"/>
  <c r="H78"/>
  <c r="I78"/>
  <c r="J78"/>
  <c r="K78"/>
  <c r="L78"/>
  <c r="M78"/>
  <c r="N78"/>
  <c r="O78"/>
  <c r="P79"/>
  <c r="G39"/>
  <c r="G28"/>
  <c r="G11"/>
  <c r="G8"/>
  <c r="G26"/>
  <c r="Y29" l="1"/>
  <c r="Q74"/>
  <c r="Y41"/>
  <c r="X62"/>
  <c r="Q72"/>
  <c r="Q73"/>
  <c r="Q79"/>
  <c r="Q80"/>
  <c r="P78"/>
  <c r="Q78" s="1"/>
  <c r="C174"/>
  <c r="D174"/>
  <c r="E174"/>
  <c r="F174"/>
  <c r="C175"/>
  <c r="D175"/>
  <c r="E175"/>
  <c r="F175"/>
  <c r="C176"/>
  <c r="D176"/>
  <c r="E176"/>
  <c r="F176"/>
  <c r="H176"/>
  <c r="I176"/>
  <c r="J176"/>
  <c r="K176"/>
  <c r="L176"/>
  <c r="M176"/>
  <c r="N176"/>
  <c r="O176"/>
  <c r="P176"/>
  <c r="G176"/>
  <c r="H175"/>
  <c r="I175"/>
  <c r="J175"/>
  <c r="K175"/>
  <c r="L175"/>
  <c r="M175"/>
  <c r="N175"/>
  <c r="O175"/>
  <c r="P175"/>
  <c r="G175"/>
  <c r="H174"/>
  <c r="I174"/>
  <c r="J174"/>
  <c r="K174"/>
  <c r="L174"/>
  <c r="M174"/>
  <c r="N174"/>
  <c r="O174"/>
  <c r="P174"/>
  <c r="G174"/>
  <c r="H45"/>
  <c r="I45"/>
  <c r="J45"/>
  <c r="K45"/>
  <c r="L45"/>
  <c r="M45"/>
  <c r="N45"/>
  <c r="O45"/>
  <c r="P45"/>
  <c r="C45"/>
  <c r="D45"/>
  <c r="E45"/>
  <c r="F45"/>
  <c r="G45"/>
  <c r="G47"/>
  <c r="G161" s="1"/>
  <c r="H44"/>
  <c r="H155" s="1"/>
  <c r="I44"/>
  <c r="I155" s="1"/>
  <c r="J44"/>
  <c r="J155" s="1"/>
  <c r="K44"/>
  <c r="K155" s="1"/>
  <c r="L44"/>
  <c r="L155" s="1"/>
  <c r="M44"/>
  <c r="M155" s="1"/>
  <c r="N44"/>
  <c r="N155" s="1"/>
  <c r="O44"/>
  <c r="O155" s="1"/>
  <c r="P44"/>
  <c r="P155" s="1"/>
  <c r="C44"/>
  <c r="C155" s="1"/>
  <c r="D44"/>
  <c r="D155" s="1"/>
  <c r="E44"/>
  <c r="E155" s="1"/>
  <c r="F44"/>
  <c r="F155" s="1"/>
  <c r="G44"/>
  <c r="G155" s="1"/>
  <c r="M28"/>
  <c r="L28"/>
  <c r="K28"/>
  <c r="J28"/>
  <c r="I28"/>
  <c r="H28"/>
  <c r="M26"/>
  <c r="L26"/>
  <c r="K26"/>
  <c r="J26"/>
  <c r="I26"/>
  <c r="H26"/>
  <c r="I8"/>
  <c r="J8"/>
  <c r="K8"/>
  <c r="L8"/>
  <c r="M8"/>
  <c r="N8"/>
  <c r="O8"/>
  <c r="P8"/>
  <c r="H8"/>
  <c r="Q40"/>
  <c r="S36"/>
  <c r="S85" s="1"/>
  <c r="Q36"/>
  <c r="Q155" l="1"/>
  <c r="Z29"/>
  <c r="Z41"/>
  <c r="Y62"/>
  <c r="T36"/>
  <c r="T85" s="1"/>
  <c r="Q176"/>
  <c r="Q45"/>
  <c r="Q44"/>
  <c r="Q175"/>
  <c r="Q174"/>
  <c r="Q31"/>
  <c r="Q34"/>
  <c r="AA29" l="1"/>
  <c r="AA41"/>
  <c r="Z62"/>
  <c r="U36"/>
  <c r="U85" s="1"/>
  <c r="I69"/>
  <c r="J69"/>
  <c r="K69"/>
  <c r="L69"/>
  <c r="M69"/>
  <c r="N69"/>
  <c r="O69"/>
  <c r="P69"/>
  <c r="I70"/>
  <c r="J70"/>
  <c r="K70"/>
  <c r="L70"/>
  <c r="M70"/>
  <c r="N70"/>
  <c r="O70"/>
  <c r="P70"/>
  <c r="I64"/>
  <c r="I66" s="1"/>
  <c r="J64"/>
  <c r="J66" s="1"/>
  <c r="K64"/>
  <c r="K66" s="1"/>
  <c r="L64"/>
  <c r="L66" s="1"/>
  <c r="M64"/>
  <c r="M66" s="1"/>
  <c r="N64"/>
  <c r="N66" s="1"/>
  <c r="O64"/>
  <c r="O66" s="1"/>
  <c r="P64"/>
  <c r="P66" s="1"/>
  <c r="I67"/>
  <c r="J67"/>
  <c r="K67"/>
  <c r="L67"/>
  <c r="M67"/>
  <c r="N67"/>
  <c r="O67"/>
  <c r="P67"/>
  <c r="I68"/>
  <c r="J68"/>
  <c r="K68"/>
  <c r="L68"/>
  <c r="M68"/>
  <c r="N68"/>
  <c r="O68"/>
  <c r="P68"/>
  <c r="C67"/>
  <c r="D67"/>
  <c r="E67"/>
  <c r="F67"/>
  <c r="G67"/>
  <c r="C68"/>
  <c r="D68"/>
  <c r="E68"/>
  <c r="F68"/>
  <c r="G68"/>
  <c r="C69"/>
  <c r="D69"/>
  <c r="E69"/>
  <c r="F69"/>
  <c r="G69"/>
  <c r="C70"/>
  <c r="D70"/>
  <c r="E70"/>
  <c r="F70"/>
  <c r="G70"/>
  <c r="H70"/>
  <c r="H69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4"/>
  <c r="C66" s="1"/>
  <c r="D64"/>
  <c r="D66" s="1"/>
  <c r="E64"/>
  <c r="E66" s="1"/>
  <c r="F64"/>
  <c r="F66" s="1"/>
  <c r="G64"/>
  <c r="G66" s="1"/>
  <c r="H64"/>
  <c r="H66" s="1"/>
  <c r="H68"/>
  <c r="H67"/>
  <c r="T23" l="1"/>
  <c r="S88"/>
  <c r="AB29"/>
  <c r="AE31"/>
  <c r="AC31"/>
  <c r="AC22"/>
  <c r="AE22"/>
  <c r="AB41"/>
  <c r="AE41" s="1"/>
  <c r="AA62"/>
  <c r="V36"/>
  <c r="V85" s="1"/>
  <c r="Q69"/>
  <c r="Q70"/>
  <c r="Q68"/>
  <c r="Q66"/>
  <c r="Q67"/>
  <c r="Q22"/>
  <c r="Q21"/>
  <c r="Q64"/>
  <c r="S20"/>
  <c r="T21"/>
  <c r="Q62"/>
  <c r="Q154"/>
  <c r="S82" l="1"/>
  <c r="U23"/>
  <c r="T88"/>
  <c r="AE29"/>
  <c r="AC29"/>
  <c r="T20"/>
  <c r="S64"/>
  <c r="AB62"/>
  <c r="AC41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5" s="1"/>
  <c r="O60"/>
  <c r="O159" s="1"/>
  <c r="O59"/>
  <c r="O57"/>
  <c r="O56"/>
  <c r="O54"/>
  <c r="O160" s="1"/>
  <c r="O53"/>
  <c r="O52"/>
  <c r="O50"/>
  <c r="O49"/>
  <c r="O157" s="1"/>
  <c r="O48"/>
  <c r="O47"/>
  <c r="S111" l="1"/>
  <c r="S121"/>
  <c r="S110"/>
  <c r="S120"/>
  <c r="T64"/>
  <c r="V23"/>
  <c r="U88"/>
  <c r="S104"/>
  <c r="S105"/>
  <c r="S103"/>
  <c r="S93"/>
  <c r="P98"/>
  <c r="Q98" s="1"/>
  <c r="Q97"/>
  <c r="S84"/>
  <c r="S101"/>
  <c r="S100"/>
  <c r="T18"/>
  <c r="S142"/>
  <c r="AE62"/>
  <c r="O156"/>
  <c r="O161"/>
  <c r="U20"/>
  <c r="AC62"/>
  <c r="T27"/>
  <c r="X36"/>
  <c r="X85" s="1"/>
  <c r="T25"/>
  <c r="S78"/>
  <c r="V21"/>
  <c r="AC33"/>
  <c r="AC34"/>
  <c r="AC9"/>
  <c r="O58"/>
  <c r="O158" s="1"/>
  <c r="D54"/>
  <c r="E54"/>
  <c r="F54"/>
  <c r="G54"/>
  <c r="G160" s="1"/>
  <c r="H54"/>
  <c r="H160" s="1"/>
  <c r="I54"/>
  <c r="I160" s="1"/>
  <c r="J54"/>
  <c r="J160" s="1"/>
  <c r="K54"/>
  <c r="K160" s="1"/>
  <c r="L54"/>
  <c r="L160" s="1"/>
  <c r="M54"/>
  <c r="M160" s="1"/>
  <c r="N54"/>
  <c r="N160" s="1"/>
  <c r="P54"/>
  <c r="C54"/>
  <c r="C53"/>
  <c r="T111" l="1"/>
  <c r="T121"/>
  <c r="T110"/>
  <c r="T120"/>
  <c r="T82"/>
  <c r="W23"/>
  <c r="V88"/>
  <c r="T142"/>
  <c r="R142" s="1"/>
  <c r="P166" s="1"/>
  <c r="T103"/>
  <c r="T105"/>
  <c r="T104"/>
  <c r="T93"/>
  <c r="T84"/>
  <c r="T101"/>
  <c r="T100"/>
  <c r="U18"/>
  <c r="V20"/>
  <c r="U64"/>
  <c r="U27"/>
  <c r="U25"/>
  <c r="U82" s="1"/>
  <c r="T78"/>
  <c r="Y36"/>
  <c r="Y85" s="1"/>
  <c r="W21"/>
  <c r="P160"/>
  <c r="Q160" s="1"/>
  <c r="Q54"/>
  <c r="D53"/>
  <c r="E53"/>
  <c r="F53"/>
  <c r="G53"/>
  <c r="H53"/>
  <c r="I53"/>
  <c r="J53"/>
  <c r="K53"/>
  <c r="L53"/>
  <c r="M53"/>
  <c r="N53"/>
  <c r="P53"/>
  <c r="D52"/>
  <c r="E52"/>
  <c r="F52"/>
  <c r="G52"/>
  <c r="H52"/>
  <c r="I52"/>
  <c r="J52"/>
  <c r="K52"/>
  <c r="L52"/>
  <c r="M52"/>
  <c r="N52"/>
  <c r="P52"/>
  <c r="C52"/>
  <c r="U111" l="1"/>
  <c r="U121"/>
  <c r="U110"/>
  <c r="U120"/>
  <c r="X23"/>
  <c r="W88"/>
  <c r="U105"/>
  <c r="U104"/>
  <c r="U103"/>
  <c r="U93"/>
  <c r="U84"/>
  <c r="U101"/>
  <c r="U100"/>
  <c r="V18"/>
  <c r="W20"/>
  <c r="V64"/>
  <c r="V27"/>
  <c r="V25"/>
  <c r="U78"/>
  <c r="Z36"/>
  <c r="Z85" s="1"/>
  <c r="X21"/>
  <c r="Q52"/>
  <c r="Q53"/>
  <c r="C46" i="15"/>
  <c r="V111" i="18" l="1"/>
  <c r="V121"/>
  <c r="V110"/>
  <c r="V120"/>
  <c r="V82"/>
  <c r="Y23"/>
  <c r="X88"/>
  <c r="V93"/>
  <c r="V105"/>
  <c r="V104"/>
  <c r="V103"/>
  <c r="V84"/>
  <c r="V101"/>
  <c r="V100"/>
  <c r="W18"/>
  <c r="X20"/>
  <c r="W64"/>
  <c r="W27"/>
  <c r="W25"/>
  <c r="V78"/>
  <c r="AA36"/>
  <c r="AA85" s="1"/>
  <c r="Y21"/>
  <c r="S154"/>
  <c r="C47"/>
  <c r="D47"/>
  <c r="E47"/>
  <c r="F47"/>
  <c r="H47"/>
  <c r="I47"/>
  <c r="J47"/>
  <c r="K47"/>
  <c r="L47"/>
  <c r="L161" s="1"/>
  <c r="M47"/>
  <c r="N47"/>
  <c r="N161" s="1"/>
  <c r="P47"/>
  <c r="D60"/>
  <c r="D159" s="1"/>
  <c r="E60"/>
  <c r="E159" s="1"/>
  <c r="F60"/>
  <c r="F159" s="1"/>
  <c r="G60"/>
  <c r="H60"/>
  <c r="H159" s="1"/>
  <c r="I60"/>
  <c r="I159" s="1"/>
  <c r="J60"/>
  <c r="J159" s="1"/>
  <c r="K60"/>
  <c r="K159" s="1"/>
  <c r="L60"/>
  <c r="L159" s="1"/>
  <c r="M60"/>
  <c r="M159" s="1"/>
  <c r="N60"/>
  <c r="P60"/>
  <c r="D59"/>
  <c r="E59"/>
  <c r="F59"/>
  <c r="G59"/>
  <c r="H59"/>
  <c r="I59"/>
  <c r="J59"/>
  <c r="K59"/>
  <c r="L59"/>
  <c r="M59"/>
  <c r="N59"/>
  <c r="P59"/>
  <c r="D57"/>
  <c r="E57"/>
  <c r="F57"/>
  <c r="G57"/>
  <c r="H57"/>
  <c r="I57"/>
  <c r="J57"/>
  <c r="K57"/>
  <c r="L57"/>
  <c r="M57"/>
  <c r="N57"/>
  <c r="P57"/>
  <c r="D56"/>
  <c r="D58" s="1"/>
  <c r="D158" s="1"/>
  <c r="E56"/>
  <c r="E58" s="1"/>
  <c r="E158" s="1"/>
  <c r="F56"/>
  <c r="G56"/>
  <c r="H56"/>
  <c r="I56"/>
  <c r="J56"/>
  <c r="K56"/>
  <c r="L56"/>
  <c r="M56"/>
  <c r="N56"/>
  <c r="P56"/>
  <c r="D50"/>
  <c r="E50"/>
  <c r="F50"/>
  <c r="G50"/>
  <c r="H50"/>
  <c r="I50"/>
  <c r="J50"/>
  <c r="K50"/>
  <c r="L50"/>
  <c r="M50"/>
  <c r="N50"/>
  <c r="P50"/>
  <c r="D49"/>
  <c r="D157" s="1"/>
  <c r="E49"/>
  <c r="E157" s="1"/>
  <c r="F49"/>
  <c r="F157" s="1"/>
  <c r="G49"/>
  <c r="H49"/>
  <c r="H157" s="1"/>
  <c r="I49"/>
  <c r="I157" s="1"/>
  <c r="J49"/>
  <c r="J157" s="1"/>
  <c r="K49"/>
  <c r="K157" s="1"/>
  <c r="L49"/>
  <c r="L157" s="1"/>
  <c r="M49"/>
  <c r="M157" s="1"/>
  <c r="N49"/>
  <c r="P49"/>
  <c r="C60"/>
  <c r="C159" s="1"/>
  <c r="C59"/>
  <c r="C57"/>
  <c r="C56"/>
  <c r="C50"/>
  <c r="C49"/>
  <c r="C157" s="1"/>
  <c r="D48"/>
  <c r="E48"/>
  <c r="F48"/>
  <c r="G48"/>
  <c r="H48"/>
  <c r="I48"/>
  <c r="J48"/>
  <c r="K48"/>
  <c r="L48"/>
  <c r="M48"/>
  <c r="N48"/>
  <c r="P48"/>
  <c r="C48"/>
  <c r="S15"/>
  <c r="S108" s="1"/>
  <c r="S16"/>
  <c r="S116" s="1"/>
  <c r="S117" s="1"/>
  <c r="S38"/>
  <c r="S86" s="1"/>
  <c r="S10"/>
  <c r="S12"/>
  <c r="S13"/>
  <c r="S7"/>
  <c r="S6"/>
  <c r="W111" l="1"/>
  <c r="W121"/>
  <c r="W110"/>
  <c r="W120"/>
  <c r="W82"/>
  <c r="Z23"/>
  <c r="Y88"/>
  <c r="S80"/>
  <c r="S81"/>
  <c r="S114"/>
  <c r="S113"/>
  <c r="S87"/>
  <c r="S109"/>
  <c r="H161"/>
  <c r="H156"/>
  <c r="W93"/>
  <c r="W104"/>
  <c r="W103"/>
  <c r="W105"/>
  <c r="S92"/>
  <c r="S97"/>
  <c r="S98" s="1"/>
  <c r="W84"/>
  <c r="W101"/>
  <c r="W100"/>
  <c r="S90"/>
  <c r="S91"/>
  <c r="X18"/>
  <c r="D156"/>
  <c r="D160" s="1"/>
  <c r="D161"/>
  <c r="E156"/>
  <c r="E160" s="1"/>
  <c r="E161"/>
  <c r="C156"/>
  <c r="C160" s="1"/>
  <c r="C161"/>
  <c r="P156"/>
  <c r="P161"/>
  <c r="Q161" s="1"/>
  <c r="K156"/>
  <c r="K161"/>
  <c r="F156"/>
  <c r="F160" s="1"/>
  <c r="F161"/>
  <c r="J156"/>
  <c r="J161"/>
  <c r="M156"/>
  <c r="M161"/>
  <c r="I156"/>
  <c r="I161"/>
  <c r="Q124"/>
  <c r="Y20"/>
  <c r="X64"/>
  <c r="H58"/>
  <c r="H158" s="1"/>
  <c r="X27"/>
  <c r="T12"/>
  <c r="T15"/>
  <c r="T108" s="1"/>
  <c r="T13"/>
  <c r="T10"/>
  <c r="T16"/>
  <c r="T116" s="1"/>
  <c r="T117" s="1"/>
  <c r="T6"/>
  <c r="T7"/>
  <c r="X25"/>
  <c r="X82" s="1"/>
  <c r="W78"/>
  <c r="T38"/>
  <c r="T86" s="1"/>
  <c r="S79"/>
  <c r="AB36"/>
  <c r="F58"/>
  <c r="F158" s="1"/>
  <c r="L58"/>
  <c r="L158" s="1"/>
  <c r="K58"/>
  <c r="K158" s="1"/>
  <c r="J58"/>
  <c r="J158" s="1"/>
  <c r="Z21"/>
  <c r="C58"/>
  <c r="C158" s="1"/>
  <c r="T154"/>
  <c r="I58"/>
  <c r="I158" s="1"/>
  <c r="Q48"/>
  <c r="G157"/>
  <c r="Q49"/>
  <c r="Q50"/>
  <c r="Q57"/>
  <c r="Q59"/>
  <c r="G156"/>
  <c r="Q47"/>
  <c r="G159"/>
  <c r="Q60"/>
  <c r="G58"/>
  <c r="Q56"/>
  <c r="N157"/>
  <c r="N156"/>
  <c r="N159"/>
  <c r="P157"/>
  <c r="L156"/>
  <c r="N58"/>
  <c r="M58"/>
  <c r="M158" s="1"/>
  <c r="P159"/>
  <c r="P58"/>
  <c r="S57"/>
  <c r="C6" i="12"/>
  <c r="C26" i="15"/>
  <c r="C58"/>
  <c r="C57"/>
  <c r="C54"/>
  <c r="C53"/>
  <c r="C50"/>
  <c r="C49"/>
  <c r="C45"/>
  <c r="X111" i="18" l="1"/>
  <c r="X121"/>
  <c r="X110"/>
  <c r="X120"/>
  <c r="AE36"/>
  <c r="AB85"/>
  <c r="AC85" s="1"/>
  <c r="AA23"/>
  <c r="Z88"/>
  <c r="T114"/>
  <c r="T113"/>
  <c r="T87"/>
  <c r="T109"/>
  <c r="T81"/>
  <c r="X103"/>
  <c r="X104"/>
  <c r="X105"/>
  <c r="X93"/>
  <c r="X84"/>
  <c r="X101"/>
  <c r="X100"/>
  <c r="T90"/>
  <c r="T91"/>
  <c r="T92"/>
  <c r="Y18"/>
  <c r="Z20"/>
  <c r="Y64"/>
  <c r="S56"/>
  <c r="S73"/>
  <c r="S52"/>
  <c r="S54"/>
  <c r="S160" s="1"/>
  <c r="S60"/>
  <c r="S159" s="1"/>
  <c r="S70"/>
  <c r="S72"/>
  <c r="S118" s="1"/>
  <c r="S45"/>
  <c r="S44"/>
  <c r="S155" s="1"/>
  <c r="S53"/>
  <c r="S49"/>
  <c r="S50"/>
  <c r="S59"/>
  <c r="S48"/>
  <c r="S74"/>
  <c r="S47"/>
  <c r="Y27"/>
  <c r="U15"/>
  <c r="U108" s="1"/>
  <c r="U13"/>
  <c r="U12"/>
  <c r="S58"/>
  <c r="U16"/>
  <c r="U116" s="1"/>
  <c r="U117" s="1"/>
  <c r="U10"/>
  <c r="U7"/>
  <c r="U6"/>
  <c r="AC36"/>
  <c r="Y25"/>
  <c r="Y82" s="1"/>
  <c r="X78"/>
  <c r="U38"/>
  <c r="U86" s="1"/>
  <c r="T80"/>
  <c r="T79"/>
  <c r="T40"/>
  <c r="T95" s="1"/>
  <c r="T96" s="1"/>
  <c r="T97" s="1"/>
  <c r="T98" s="1"/>
  <c r="S67"/>
  <c r="S68"/>
  <c r="S69"/>
  <c r="S66"/>
  <c r="AA21"/>
  <c r="U154"/>
  <c r="Q157"/>
  <c r="Q156"/>
  <c r="Q159"/>
  <c r="G158"/>
  <c r="Q58"/>
  <c r="N158"/>
  <c r="P158"/>
  <c r="C16" i="15"/>
  <c r="C21"/>
  <c r="C10"/>
  <c r="Y111" i="18" l="1"/>
  <c r="Y121"/>
  <c r="Y110"/>
  <c r="Y120"/>
  <c r="AB23"/>
  <c r="AA88"/>
  <c r="U87"/>
  <c r="U109"/>
  <c r="U114"/>
  <c r="U113"/>
  <c r="U81"/>
  <c r="Y105"/>
  <c r="Y104"/>
  <c r="Y103"/>
  <c r="Y93"/>
  <c r="T56"/>
  <c r="Y84"/>
  <c r="Y101"/>
  <c r="Y100"/>
  <c r="U90"/>
  <c r="U91"/>
  <c r="U92"/>
  <c r="T52"/>
  <c r="Z18"/>
  <c r="AA20"/>
  <c r="Z64"/>
  <c r="T54"/>
  <c r="T160" s="1"/>
  <c r="T60"/>
  <c r="T159" s="1"/>
  <c r="T70"/>
  <c r="T72"/>
  <c r="T118" s="1"/>
  <c r="T44"/>
  <c r="T155" s="1"/>
  <c r="T45"/>
  <c r="T49"/>
  <c r="T48"/>
  <c r="T59"/>
  <c r="T74"/>
  <c r="T53"/>
  <c r="T50"/>
  <c r="T47"/>
  <c r="T57"/>
  <c r="T73"/>
  <c r="Z27"/>
  <c r="V13"/>
  <c r="V12"/>
  <c r="V15"/>
  <c r="V108" s="1"/>
  <c r="V10"/>
  <c r="V16"/>
  <c r="V116" s="1"/>
  <c r="V117" s="1"/>
  <c r="V6"/>
  <c r="V7"/>
  <c r="V38"/>
  <c r="V86" s="1"/>
  <c r="U80"/>
  <c r="U79"/>
  <c r="Z25"/>
  <c r="Z82" s="1"/>
  <c r="Y78"/>
  <c r="U40"/>
  <c r="U95" s="1"/>
  <c r="U96" s="1"/>
  <c r="U97" s="1"/>
  <c r="U98" s="1"/>
  <c r="T69"/>
  <c r="T68"/>
  <c r="T67"/>
  <c r="T66"/>
  <c r="AB21"/>
  <c r="AE21" s="1"/>
  <c r="S158"/>
  <c r="V154"/>
  <c r="S156"/>
  <c r="S157"/>
  <c r="Q158"/>
  <c r="D31" i="8"/>
  <c r="D29"/>
  <c r="D28"/>
  <c r="D13"/>
  <c r="D30" s="1"/>
  <c r="E14"/>
  <c r="F14" s="1"/>
  <c r="G14" s="1"/>
  <c r="H14" s="1"/>
  <c r="I14" s="1"/>
  <c r="Z111" i="18" l="1"/>
  <c r="Z121"/>
  <c r="Z110"/>
  <c r="Z120"/>
  <c r="AE23"/>
  <c r="AB88"/>
  <c r="AC88" s="1"/>
  <c r="AC23"/>
  <c r="V81"/>
  <c r="V113"/>
  <c r="V114"/>
  <c r="V87"/>
  <c r="V109"/>
  <c r="Z105"/>
  <c r="Z104"/>
  <c r="Z103"/>
  <c r="Z93"/>
  <c r="U56"/>
  <c r="T58"/>
  <c r="T158" s="1"/>
  <c r="Z84"/>
  <c r="Z101"/>
  <c r="Z100"/>
  <c r="V90"/>
  <c r="V92"/>
  <c r="V91"/>
  <c r="AA18"/>
  <c r="AB20"/>
  <c r="AA64"/>
  <c r="U74"/>
  <c r="U73"/>
  <c r="U52"/>
  <c r="U60"/>
  <c r="U159" s="1"/>
  <c r="U59"/>
  <c r="U54"/>
  <c r="U160" s="1"/>
  <c r="U57"/>
  <c r="U48"/>
  <c r="U70"/>
  <c r="U72"/>
  <c r="U118" s="1"/>
  <c r="U45"/>
  <c r="U44"/>
  <c r="U155" s="1"/>
  <c r="U53"/>
  <c r="U49"/>
  <c r="U50"/>
  <c r="U47"/>
  <c r="AA27"/>
  <c r="W12"/>
  <c r="W15"/>
  <c r="W108" s="1"/>
  <c r="W13"/>
  <c r="W16"/>
  <c r="W116" s="1"/>
  <c r="W117" s="1"/>
  <c r="W10"/>
  <c r="W7"/>
  <c r="W6"/>
  <c r="AA25"/>
  <c r="AA82" s="1"/>
  <c r="Z78"/>
  <c r="W38"/>
  <c r="W86" s="1"/>
  <c r="V79"/>
  <c r="V80"/>
  <c r="V40"/>
  <c r="V95" s="1"/>
  <c r="V96" s="1"/>
  <c r="V97" s="1"/>
  <c r="V98" s="1"/>
  <c r="U69"/>
  <c r="U67"/>
  <c r="U68"/>
  <c r="U66"/>
  <c r="AC21"/>
  <c r="W154"/>
  <c r="T156"/>
  <c r="T157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A111" i="18" l="1"/>
  <c r="AA121"/>
  <c r="AE20"/>
  <c r="AB82"/>
  <c r="AC82" s="1"/>
  <c r="AA110"/>
  <c r="AA120"/>
  <c r="W114"/>
  <c r="W113"/>
  <c r="W87"/>
  <c r="W109"/>
  <c r="W81"/>
  <c r="AA104"/>
  <c r="AA103"/>
  <c r="AA105"/>
  <c r="AA93"/>
  <c r="U58"/>
  <c r="U158" s="1"/>
  <c r="AA84"/>
  <c r="AA101"/>
  <c r="AA100"/>
  <c r="V59"/>
  <c r="W90"/>
  <c r="W92"/>
  <c r="W91"/>
  <c r="AB18"/>
  <c r="V74"/>
  <c r="V50"/>
  <c r="V57"/>
  <c r="AC20"/>
  <c r="AB64"/>
  <c r="V48"/>
  <c r="V56"/>
  <c r="V53"/>
  <c r="V73"/>
  <c r="V49"/>
  <c r="V54"/>
  <c r="V160" s="1"/>
  <c r="V70"/>
  <c r="V72"/>
  <c r="V118" s="1"/>
  <c r="V44"/>
  <c r="V155" s="1"/>
  <c r="V45"/>
  <c r="V52"/>
  <c r="V60"/>
  <c r="V159" s="1"/>
  <c r="V47"/>
  <c r="AB27"/>
  <c r="AB121" s="1"/>
  <c r="AC121" s="1"/>
  <c r="X15"/>
  <c r="X108" s="1"/>
  <c r="X13"/>
  <c r="X12"/>
  <c r="X10"/>
  <c r="X16"/>
  <c r="X116" s="1"/>
  <c r="X117" s="1"/>
  <c r="X6"/>
  <c r="X7"/>
  <c r="X38"/>
  <c r="X86" s="1"/>
  <c r="W80"/>
  <c r="W79"/>
  <c r="AB25"/>
  <c r="AA78"/>
  <c r="W40"/>
  <c r="W95" s="1"/>
  <c r="W96" s="1"/>
  <c r="W97" s="1"/>
  <c r="W98" s="1"/>
  <c r="V69"/>
  <c r="V67"/>
  <c r="V68"/>
  <c r="V66"/>
  <c r="X154"/>
  <c r="U156"/>
  <c r="U157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110" i="18" l="1"/>
  <c r="AC110" s="1"/>
  <c r="AB120"/>
  <c r="AC120" s="1"/>
  <c r="X87"/>
  <c r="X109"/>
  <c r="X114"/>
  <c r="X113"/>
  <c r="AE27"/>
  <c r="AB111"/>
  <c r="AC111" s="1"/>
  <c r="X81"/>
  <c r="AB103"/>
  <c r="AC103" s="1"/>
  <c r="AB105"/>
  <c r="AC105" s="1"/>
  <c r="AB104"/>
  <c r="AC104" s="1"/>
  <c r="N32" i="9"/>
  <c r="N33" s="1"/>
  <c r="N34" s="1"/>
  <c r="N35" s="1"/>
  <c r="N36" s="1"/>
  <c r="N37" s="1"/>
  <c r="N38" s="1"/>
  <c r="N39" s="1"/>
  <c r="N40" s="1"/>
  <c r="N41" s="1"/>
  <c r="N42" s="1"/>
  <c r="M45"/>
  <c r="AB93" i="18"/>
  <c r="AC93" s="1"/>
  <c r="V58"/>
  <c r="V158" s="1"/>
  <c r="W57"/>
  <c r="AB84"/>
  <c r="AC84" s="1"/>
  <c r="AB101"/>
  <c r="AC101" s="1"/>
  <c r="AB100"/>
  <c r="AC100" s="1"/>
  <c r="X90"/>
  <c r="X92"/>
  <c r="X91"/>
  <c r="AE25"/>
  <c r="AE18"/>
  <c r="AC18"/>
  <c r="S144"/>
  <c r="AE64"/>
  <c r="AC64"/>
  <c r="M32" i="9"/>
  <c r="M33" s="1"/>
  <c r="M34" s="1"/>
  <c r="M35" s="1"/>
  <c r="M36" s="1"/>
  <c r="M37" s="1"/>
  <c r="M38" s="1"/>
  <c r="M39" s="1"/>
  <c r="M40" s="1"/>
  <c r="M41" s="1"/>
  <c r="P32"/>
  <c r="W60" i="18"/>
  <c r="W159" s="1"/>
  <c r="W59"/>
  <c r="W54"/>
  <c r="W160" s="1"/>
  <c r="W56"/>
  <c r="W53"/>
  <c r="W73"/>
  <c r="W52"/>
  <c r="W74"/>
  <c r="W70"/>
  <c r="W72"/>
  <c r="W118" s="1"/>
  <c r="W45"/>
  <c r="W44"/>
  <c r="W155" s="1"/>
  <c r="W48"/>
  <c r="W49"/>
  <c r="W50"/>
  <c r="W47"/>
  <c r="AC27"/>
  <c r="Y12"/>
  <c r="Y15"/>
  <c r="Y108" s="1"/>
  <c r="Y13"/>
  <c r="Y10"/>
  <c r="Y16"/>
  <c r="Y116" s="1"/>
  <c r="Y117" s="1"/>
  <c r="Y7"/>
  <c r="Y6"/>
  <c r="AC25"/>
  <c r="AB78"/>
  <c r="AC78" s="1"/>
  <c r="Y38"/>
  <c r="Y86" s="1"/>
  <c r="X80"/>
  <c r="X79"/>
  <c r="O31" i="9"/>
  <c r="O32" s="1"/>
  <c r="X40" i="18"/>
  <c r="X95" s="1"/>
  <c r="X96" s="1"/>
  <c r="X97" s="1"/>
  <c r="X98" s="1"/>
  <c r="W69"/>
  <c r="W67"/>
  <c r="W68"/>
  <c r="W66"/>
  <c r="Y154"/>
  <c r="V156"/>
  <c r="V157"/>
  <c r="P31" i="11"/>
  <c r="N32"/>
  <c r="T19" i="9"/>
  <c r="D22"/>
  <c r="Y114" i="18" l="1"/>
  <c r="Y113"/>
  <c r="Y87"/>
  <c r="Y109"/>
  <c r="Y81"/>
  <c r="W58"/>
  <c r="W158" s="1"/>
  <c r="X50"/>
  <c r="Y90"/>
  <c r="Y91"/>
  <c r="Y92"/>
  <c r="T144"/>
  <c r="R144" s="1"/>
  <c r="X52"/>
  <c r="X59"/>
  <c r="X47"/>
  <c r="X54"/>
  <c r="X160" s="1"/>
  <c r="X49"/>
  <c r="X48"/>
  <c r="X70"/>
  <c r="X72"/>
  <c r="X118" s="1"/>
  <c r="X45"/>
  <c r="X44"/>
  <c r="X155" s="1"/>
  <c r="X74"/>
  <c r="X53"/>
  <c r="X60"/>
  <c r="X159" s="1"/>
  <c r="X57"/>
  <c r="X56"/>
  <c r="X73"/>
  <c r="Z13"/>
  <c r="Z12"/>
  <c r="Z15"/>
  <c r="Z108" s="1"/>
  <c r="Z10"/>
  <c r="Z16"/>
  <c r="Z116" s="1"/>
  <c r="Z117" s="1"/>
  <c r="Z6"/>
  <c r="Z7"/>
  <c r="Z38"/>
  <c r="Z86" s="1"/>
  <c r="Y80"/>
  <c r="Y79"/>
  <c r="Y40"/>
  <c r="Y95" s="1"/>
  <c r="Y96" s="1"/>
  <c r="Y97" s="1"/>
  <c r="Y98" s="1"/>
  <c r="X69"/>
  <c r="X67"/>
  <c r="X68"/>
  <c r="X66"/>
  <c r="Z154"/>
  <c r="W156"/>
  <c r="W157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7" i="18" l="1"/>
  <c r="Z109"/>
  <c r="Z113"/>
  <c r="Z114"/>
  <c r="Z81"/>
  <c r="Z90"/>
  <c r="Z91"/>
  <c r="Z92"/>
  <c r="X58"/>
  <c r="X158" s="1"/>
  <c r="Y70"/>
  <c r="Y72"/>
  <c r="Y118" s="1"/>
  <c r="Y44"/>
  <c r="Y155" s="1"/>
  <c r="Y45"/>
  <c r="Y54"/>
  <c r="Y160" s="1"/>
  <c r="Y60"/>
  <c r="Y159" s="1"/>
  <c r="Y59"/>
  <c r="Y57"/>
  <c r="Y48"/>
  <c r="Y47"/>
  <c r="Y53"/>
  <c r="Y49"/>
  <c r="Y50"/>
  <c r="Y56"/>
  <c r="Y73"/>
  <c r="Y52"/>
  <c r="Y74"/>
  <c r="AA12"/>
  <c r="AA15"/>
  <c r="AA108" s="1"/>
  <c r="AA13"/>
  <c r="AA10"/>
  <c r="AA16"/>
  <c r="AA116" s="1"/>
  <c r="AA117" s="1"/>
  <c r="AA7"/>
  <c r="AA6"/>
  <c r="AA38"/>
  <c r="AA86" s="1"/>
  <c r="Z79"/>
  <c r="Z80"/>
  <c r="Z40"/>
  <c r="Z95" s="1"/>
  <c r="Z96" s="1"/>
  <c r="Z97" s="1"/>
  <c r="Z98" s="1"/>
  <c r="Y69"/>
  <c r="Y67"/>
  <c r="Y68"/>
  <c r="Y66"/>
  <c r="AA154"/>
  <c r="X156"/>
  <c r="X157"/>
  <c r="N34" i="11"/>
  <c r="O33"/>
  <c r="D25" i="8"/>
  <c r="D23"/>
  <c r="AA81" i="18" l="1"/>
  <c r="AA113"/>
  <c r="AA114"/>
  <c r="AA87"/>
  <c r="AA109"/>
  <c r="AA90"/>
  <c r="AA91"/>
  <c r="AA92"/>
  <c r="Y58"/>
  <c r="Y158" s="1"/>
  <c r="Z70"/>
  <c r="Z72"/>
  <c r="Z118" s="1"/>
  <c r="Z45"/>
  <c r="Z44"/>
  <c r="Z155" s="1"/>
  <c r="Z48"/>
  <c r="Z59"/>
  <c r="Z49"/>
  <c r="Z54"/>
  <c r="Z160" s="1"/>
  <c r="Z57"/>
  <c r="Z56"/>
  <c r="Z74"/>
  <c r="Z60"/>
  <c r="Z159" s="1"/>
  <c r="Z47"/>
  <c r="Z53"/>
  <c r="Z73"/>
  <c r="Z52"/>
  <c r="Z50"/>
  <c r="AB15"/>
  <c r="AB13"/>
  <c r="AE13" s="1"/>
  <c r="AB12"/>
  <c r="AB109" s="1"/>
  <c r="AC109" s="1"/>
  <c r="AB10"/>
  <c r="AB16"/>
  <c r="AB6"/>
  <c r="AE6" s="1"/>
  <c r="AB7"/>
  <c r="AE7" s="1"/>
  <c r="AB38"/>
  <c r="AB86" s="1"/>
  <c r="AC86" s="1"/>
  <c r="AA80"/>
  <c r="AA79"/>
  <c r="AA40"/>
  <c r="AA95" s="1"/>
  <c r="AA96" s="1"/>
  <c r="AA97" s="1"/>
  <c r="AA98" s="1"/>
  <c r="Z69"/>
  <c r="Z67"/>
  <c r="Z68"/>
  <c r="Z66"/>
  <c r="AB154"/>
  <c r="Y156"/>
  <c r="Y157"/>
  <c r="N35" i="11"/>
  <c r="O34"/>
  <c r="D35" i="8"/>
  <c r="E5"/>
  <c r="E18" s="1"/>
  <c r="D18"/>
  <c r="D19"/>
  <c r="D21"/>
  <c r="D20"/>
  <c r="AE16" i="18" l="1"/>
  <c r="AB116"/>
  <c r="AB114"/>
  <c r="AC114" s="1"/>
  <c r="AB113"/>
  <c r="AC113" s="1"/>
  <c r="AE15"/>
  <c r="AB108"/>
  <c r="AC108" s="1"/>
  <c r="AB81"/>
  <c r="AC81" s="1"/>
  <c r="AE10"/>
  <c r="AB90"/>
  <c r="AC90" s="1"/>
  <c r="AE12"/>
  <c r="AB87"/>
  <c r="AC87" s="1"/>
  <c r="AE38"/>
  <c r="AB91"/>
  <c r="AC91" s="1"/>
  <c r="AB92"/>
  <c r="AC92" s="1"/>
  <c r="Z58"/>
  <c r="Z158" s="1"/>
  <c r="AA70"/>
  <c r="AA72"/>
  <c r="AA118" s="1"/>
  <c r="AA44"/>
  <c r="AA155" s="1"/>
  <c r="AA45"/>
  <c r="AA52"/>
  <c r="AA60"/>
  <c r="AA159" s="1"/>
  <c r="AA47"/>
  <c r="AA54"/>
  <c r="AA160" s="1"/>
  <c r="AA57"/>
  <c r="AA73"/>
  <c r="AA48"/>
  <c r="AA49"/>
  <c r="AA50"/>
  <c r="AA53"/>
  <c r="AA74"/>
  <c r="AA56"/>
  <c r="AA59"/>
  <c r="AC15"/>
  <c r="AC13"/>
  <c r="S138"/>
  <c r="AC12"/>
  <c r="AC10"/>
  <c r="AC16"/>
  <c r="AC7"/>
  <c r="AC6"/>
  <c r="AB80"/>
  <c r="AC80" s="1"/>
  <c r="AB79"/>
  <c r="AC79" s="1"/>
  <c r="AC38"/>
  <c r="AB40"/>
  <c r="AB95" s="1"/>
  <c r="AB96" s="1"/>
  <c r="AB97" s="1"/>
  <c r="AB98" s="1"/>
  <c r="AA69"/>
  <c r="AA67"/>
  <c r="AA68"/>
  <c r="AA66"/>
  <c r="AC154"/>
  <c r="AE154" s="1"/>
  <c r="Z156"/>
  <c r="Z157"/>
  <c r="N36" i="11"/>
  <c r="O35"/>
  <c r="F5" i="8"/>
  <c r="G5" s="1"/>
  <c r="H5" s="1"/>
  <c r="I5" s="1"/>
  <c r="AC116" i="18" l="1"/>
  <c r="AB117"/>
  <c r="AC117" s="1"/>
  <c r="AE40"/>
  <c r="T138"/>
  <c r="T139" s="1"/>
  <c r="AA58"/>
  <c r="AA158" s="1"/>
  <c r="AB70"/>
  <c r="AB72"/>
  <c r="AB44"/>
  <c r="AB155" s="1"/>
  <c r="AC155" s="1"/>
  <c r="AE155" s="1"/>
  <c r="AB45"/>
  <c r="AB52"/>
  <c r="AB57"/>
  <c r="AB47"/>
  <c r="AE47" s="1"/>
  <c r="AB54"/>
  <c r="AB50"/>
  <c r="AB73"/>
  <c r="AB49"/>
  <c r="AE49" s="1"/>
  <c r="AB48"/>
  <c r="AB59"/>
  <c r="AB74"/>
  <c r="AB53"/>
  <c r="AB60"/>
  <c r="AB56"/>
  <c r="S139"/>
  <c r="AB69"/>
  <c r="AB67"/>
  <c r="AC40"/>
  <c r="AB68"/>
  <c r="AB66"/>
  <c r="AA156"/>
  <c r="AA157"/>
  <c r="N37" i="11"/>
  <c r="O36"/>
  <c r="F18" i="8"/>
  <c r="G18"/>
  <c r="AE72" i="18" l="1"/>
  <c r="AB118"/>
  <c r="AC118" s="1"/>
  <c r="AC95"/>
  <c r="R138"/>
  <c r="R139"/>
  <c r="AC73"/>
  <c r="AE73"/>
  <c r="AC45"/>
  <c r="AE45"/>
  <c r="S135"/>
  <c r="AE59"/>
  <c r="AB159"/>
  <c r="AC159" s="1"/>
  <c r="AE159" s="1"/>
  <c r="AE60"/>
  <c r="AC44"/>
  <c r="AE44"/>
  <c r="AC57"/>
  <c r="AE57"/>
  <c r="S129"/>
  <c r="AE56"/>
  <c r="S128"/>
  <c r="AE50"/>
  <c r="AB160"/>
  <c r="AC160" s="1"/>
  <c r="AE160" s="1"/>
  <c r="AE54"/>
  <c r="AC53"/>
  <c r="AE53"/>
  <c r="S126"/>
  <c r="AE48"/>
  <c r="S131"/>
  <c r="AE52"/>
  <c r="AC74"/>
  <c r="AE74"/>
  <c r="S151"/>
  <c r="AE70"/>
  <c r="S149"/>
  <c r="AE69"/>
  <c r="S148"/>
  <c r="AE68"/>
  <c r="S146"/>
  <c r="AE66"/>
  <c r="S147"/>
  <c r="AE67"/>
  <c r="AC59"/>
  <c r="S132"/>
  <c r="AC48"/>
  <c r="AC50"/>
  <c r="T128" s="1"/>
  <c r="AC52"/>
  <c r="S133"/>
  <c r="AC70"/>
  <c r="AC56"/>
  <c r="S136"/>
  <c r="AB58"/>
  <c r="AC54"/>
  <c r="AC60"/>
  <c r="AC72"/>
  <c r="AC68"/>
  <c r="AC67"/>
  <c r="AC66"/>
  <c r="AC69"/>
  <c r="S125"/>
  <c r="AC47"/>
  <c r="T125" s="1"/>
  <c r="AB156"/>
  <c r="AC49"/>
  <c r="T127" s="1"/>
  <c r="AB157"/>
  <c r="S127"/>
  <c r="N38" i="11"/>
  <c r="O37"/>
  <c r="H18" i="8"/>
  <c r="P169" i="18" l="1"/>
  <c r="M169"/>
  <c r="AC96"/>
  <c r="T136"/>
  <c r="R136" s="1"/>
  <c r="T126"/>
  <c r="R126" s="1"/>
  <c r="T135"/>
  <c r="R135" s="1"/>
  <c r="T131"/>
  <c r="R131" s="1"/>
  <c r="T133"/>
  <c r="R133" s="1"/>
  <c r="T151"/>
  <c r="R151" s="1"/>
  <c r="T148"/>
  <c r="R148" s="1"/>
  <c r="AC58"/>
  <c r="AE58"/>
  <c r="T129"/>
  <c r="R129" s="1"/>
  <c r="R128"/>
  <c r="T132"/>
  <c r="R132" s="1"/>
  <c r="T146"/>
  <c r="R146" s="1"/>
  <c r="AB158"/>
  <c r="AC158" s="1"/>
  <c r="AE158" s="1"/>
  <c r="T149"/>
  <c r="R149" s="1"/>
  <c r="T147"/>
  <c r="R147" s="1"/>
  <c r="R125"/>
  <c r="P170" s="1"/>
  <c r="P171" s="1"/>
  <c r="AC157"/>
  <c r="AE157" s="1"/>
  <c r="AC156"/>
  <c r="AE156" s="1"/>
  <c r="R127"/>
  <c r="N39" i="11"/>
  <c r="O38"/>
  <c r="I18" i="8"/>
  <c r="P168" i="18" l="1"/>
  <c r="M168"/>
  <c r="P167"/>
  <c r="M167"/>
  <c r="AC98"/>
  <c r="AC97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<sst xmlns="http://schemas.openxmlformats.org/spreadsheetml/2006/main" count="536" uniqueCount="380">
  <si>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</si>
  <si>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</si>
  <si>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</si>
  <si>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</si>
  <si>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</si>
  <si>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</si>
  <si>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</si>
  <si>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</si>
  <si>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</si>
  <si>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</si>
  <si>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</si>
  <si>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</si>
  <si>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</si>
  <si>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</si>
  <si>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</si>
  <si>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</si>
  <si>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</si>
  <si>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</si>
  <si>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</si>
  <si>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</si>
  <si>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</si>
  <si>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</si>
  <si>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</si>
  <si>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</si>
  <si>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</si>
  <si>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</si>
  <si>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</si>
  <si>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</si>
  <si>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</si>
  <si>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</si>
  <si>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</si>
  <si>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</si>
  <si>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</si>
  <si>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</si>
  <si>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</si>
  <si>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</si>
  <si>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</si>
  <si>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</si>
  <si>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</si>
  <si>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</si>
  <si>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</si>
  <si>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</si>
  <si>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</si>
  <si>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</si>
  <si>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</si>
  <si>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</si>
  <si>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</si>
  <si>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</si>
  <si>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</si>
  <si>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</si>
  <si>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</si>
  <si>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</si>
  <si>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</si>
  <si>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</si>
  <si>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</si>
  <si>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</si>
  <si>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</si>
  <si>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</si>
  <si>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</si>
  <si>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</si>
  <si>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</si>
  <si>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</si>
  <si>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</si>
  <si>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</si>
  <si>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</si>
  <si>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</si>
  <si>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</si>
  <si>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</si>
  <si>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</si>
  <si>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</si>
  <si>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</si>
  <si>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</si>
  <si>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</si>
  <si>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</si>
  <si>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</si>
  <si>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</si>
  <si>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</si>
  <si>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</si>
  <si>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</si>
  <si>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</si>
  <si>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</si>
  <si>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</si>
  <si>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</si>
  <si>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</si>
  <si>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</si>
  <si>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</si>
  <si>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</si>
  <si>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</si>
  <si>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</si>
  <si>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</si>
  <si>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</si>
  <si>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</si>
  <si>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</si>
  <si>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</si>
  <si>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</si>
  <si>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</si>
  <si>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</si>
  <si>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</si>
  <si>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</si>
  <si>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</si>
  <si>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</si>
  <si>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</si>
  <si>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</si>
  <si>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</si>
  <si>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</si>
  <si>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</si>
  <si>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</si>
  <si>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</si>
  <si>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</si>
  <si>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</si>
  <si>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</si>
  <si>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</si>
  <si>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</si>
  <si>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</si>
  <si>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</si>
  <si>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</si>
  <si>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</si>
  <si>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</si>
  <si>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</si>
  <si>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</si>
  <si>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</si>
  <si>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</si>
  <si>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</si>
  <si>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</si>
  <si>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</si>
  <si>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</si>
  <si>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</si>
  <si>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</si>
  <si>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</si>
  <si>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</si>
  <si>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</si>
  <si>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</si>
  <si>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</si>
  <si>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</si>
  <si>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</si>
  <si>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</si>
  <si>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</si>
  <si>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</si>
  <si>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</si>
  <si>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</si>
  <si>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</si>
  <si>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</si>
  <si>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</si>
  <si>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</si>
  <si>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</si>
  <si>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</si>
  <si>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</si>
  <si>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</si>
  <si>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</si>
  <si>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</si>
  <si>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</si>
  <si>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</si>
  <si>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</si>
  <si>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</si>
  <si>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</si>
  <si>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</si>
  <si>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</si>
  <si>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</si>
  <si>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</si>
  <si>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</si>
  <si>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</si>
  <si>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</si>
  <si>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</si>
  <si>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</si>
  <si>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</si>
  <si>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</si>
  <si>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</si>
  <si>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</si>
  <si>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</si>
  <si>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</si>
  <si>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</si>
  <si>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</si>
  <si>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</si>
  <si>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</si>
  <si>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</si>
  <si>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</si>
  <si>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</si>
  <si>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</si>
  <si>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</si>
  <si>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</si>
  <si>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</si>
  <si>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</si>
  <si>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</si>
  <si>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</si>
  <si>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</si>
  <si>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</si>
  <si>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</si>
  <si>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</si>
  <si>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</si>
  <si>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</si>
  <si>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</si>
  <si>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</si>
  <si>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</si>
  <si>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</si>
  <si>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</si>
  <si>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</si>
  <si>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</si>
  <si>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</si>
  <si>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</si>
  <si>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</si>
  <si>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</si>
  <si>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</si>
  <si>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</si>
  <si>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</si>
  <si>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</si>
  <si>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</si>
  <si>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</si>
  <si>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</si>
  <si>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</si>
  <si>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</si>
  <si>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</si>
  <si>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</si>
  <si>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</si>
  <si>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</si>
  <si>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</si>
  <si>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</si>
  <si>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</si>
  <si>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</si>
  <si>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</si>
  <si>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</si>
  <si>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</si>
  <si>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</si>
  <si>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</si>
  <si>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</si>
  <si>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</si>
  <si>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</si>
  <si>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</si>
  <si>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</si>
  <si>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</si>
  <si>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</si>
  <si>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</si>
  <si>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</si>
  <si>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</si>
  <si>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</si>
  <si>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</si>
  <si>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</si>
  <si>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</si>
  <si>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</si>
  <si>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</si>
  <si>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</si>
  <si>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</si>
  <si>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</si>
  <si>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</si>
  <si>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</si>
  <si>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</si>
  <si>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</si>
  <si>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</si>
  <si>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</si>
  <si>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</si>
  <si>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</si>
  <si>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</si>
  <si>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</si>
  <si>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</si>
  <si>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</si>
  <si>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</si>
  <si>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</si>
  <si>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</si>
  <si>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</si>
  <si>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</si>
  <si>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</si>
  <si>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</si>
  <si>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</si>
  <si>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</si>
  <si>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</si>
  <si>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</si>
  <si>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</si>
  <si>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</si>
  <si>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</si>
  <si>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</si>
  <si>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</si>
  <si>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</si>
  <si>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</si>
  <si>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</si>
  <si>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</si>
  <si>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</si>
  <si>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</si>
  <si>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</si>
  <si>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</si>
  <si>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</si>
  <si>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</si>
  <si>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</si>
  <si>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</si>
  <si>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</si>
  <si>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</si>
  <si>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</si>
  <si>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</si>
  <si>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</si>
  <si>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</si>
  <si>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</si>
  <si>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</si>
  <si>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</si>
  <si>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</si>
  <si>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</si>
  <si>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</si>
  <si>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</si>
  <si>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</si>
  <si>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</si>
  <si>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</si>
  <si>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</si>
  <si>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</si>
  <si>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</si>
  <si>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</si>
  <si>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</si>
  <si>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</si>
  <si>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</si>
  <si>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</si>
  <si>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</si>
  <si>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</si>
  <si>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</si>
  <si>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</si>
  <si>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</si>
  <si>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</si>
  <si>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</si>
  <si>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</si>
  <si>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</si>
  <si>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</si>
  <si>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</si>
  <si>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</si>
  <si>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</si>
  <si>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</si>
  <si>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</si>
  <si>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</si>
  <si>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</si>
  <si>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</si>
  <si>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</si>
  <si>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</si>
  <si>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</si>
  <si>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</si>
  <si>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</si>
  <si>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</si>
  <si>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</si>
  <si>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</si>
  <si>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</si>
  <si>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</si>
  <si>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</si>
  <si>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</si>
  <si>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</si>
  <si>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</si>
  <si>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</si>
  <si>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</si>
  <si>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</si>
  <si>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</si>
  <si>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</si>
  <si>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</si>
  <si>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</si>
  <si>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</si>
  <si>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</si>
  <si>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</si>
  <si>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</si>
  <si>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</si>
  <si>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</si>
  <si>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</si>
  <si>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</si>
  <si>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</si>
  <si>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</si>
  <si>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</si>
  <si>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</si>
  <si>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</si>
  <si>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</si>
  <si>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</si>
  <si>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</si>
  <si>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</si>
  <si>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</si>
  <si>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</si>
  <si>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</si>
  <si>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</si>
  <si>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</si>
  <si>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</si>
  <si>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</si>
  <si>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</si>
  <si>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</si>
  <si>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</si>
  <si>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</si>
  <si>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</si>
  <si>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</si>
  <si>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</si>
  <si>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</si>
  <si>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</si>
  <si>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Cur</t>
  </si>
  <si>
    <t>Exp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</si>
</sst>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6" fontId="4" fillId="5" borderId="1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5" fillId="5" borderId="1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0851200"/>
        <c:axId val="70861184"/>
      </c:lineChart>
      <c:catAx>
        <c:axId val="70851200"/>
        <c:scaling>
          <c:orientation val="minMax"/>
        </c:scaling>
        <c:axPos val="b"/>
        <c:tickLblPos val="nextTo"/>
        <c:crossAx val="70861184"/>
        <c:crosses val="autoZero"/>
        <c:auto val="1"/>
        <c:lblAlgn val="ctr"/>
        <c:lblOffset val="100"/>
      </c:catAx>
      <c:valAx>
        <c:axId val="70861184"/>
        <c:scaling>
          <c:orientation val="minMax"/>
        </c:scaling>
        <c:axPos val="l"/>
        <c:majorGridlines/>
        <c:numFmt formatCode="General" sourceLinked="1"/>
        <c:tickLblPos val="nextTo"/>
        <c:crossAx val="708512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89"/>
  <sheetViews>
    <sheetView tabSelected="1" zoomScale="80" zoomScaleNormal="80" workbookViewId="0">
      <pane xSplit="2" ySplit="3" topLeftCell="C159" activePane="bottomRight" state="frozen"/>
      <selection pane="topRight" activeCell="C1" sqref="C1"/>
      <selection pane="bottomLeft" activeCell="A5" sqref="A5"/>
      <selection pane="bottomRight" activeCell="A160" sqref="A160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4" t="s">
        <v>292</v>
      </c>
      <c r="AE2" s="175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6" t="s">
        <v>293</v>
      </c>
      <c r="AE3" s="177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>
        <v>289</v>
      </c>
      <c r="H6" s="147">
        <v>336</v>
      </c>
      <c r="I6" s="147">
        <v>388</v>
      </c>
      <c r="J6" s="147">
        <v>455</v>
      </c>
      <c r="K6" s="147">
        <v>591</v>
      </c>
      <c r="L6" s="147">
        <v>669</v>
      </c>
      <c r="M6" s="147">
        <v>821</v>
      </c>
      <c r="N6" s="147">
        <v>1034</v>
      </c>
      <c r="O6" s="147">
        <v>1275</v>
      </c>
      <c r="P6" s="147">
        <v>1600</v>
      </c>
      <c r="Q6" s="118">
        <f>((P6/G6)^(1/($H$2-$H$1) ))-1</f>
        <v>0.20942860942138286</v>
      </c>
      <c r="R6" s="31">
        <f>$L$2</f>
        <v>0.12</v>
      </c>
      <c r="S6" s="154">
        <f>P6*(1+$R6)</f>
        <v>1792.0000000000002</v>
      </c>
      <c r="T6" s="154">
        <f>S6*(1+$R6)</f>
        <v>2007.0400000000004</v>
      </c>
      <c r="U6" s="154">
        <f t="shared" ref="U6:AB6" si="0">T6*(1+$R6)</f>
        <v>2247.8848000000007</v>
      </c>
      <c r="V6" s="154">
        <f t="shared" si="0"/>
        <v>2517.6309760000008</v>
      </c>
      <c r="W6" s="154">
        <f t="shared" si="0"/>
        <v>2819.7466931200011</v>
      </c>
      <c r="X6" s="154">
        <f t="shared" si="0"/>
        <v>3158.1162962944013</v>
      </c>
      <c r="Y6" s="154">
        <f t="shared" si="0"/>
        <v>3537.0902518497296</v>
      </c>
      <c r="Z6" s="154">
        <f t="shared" si="0"/>
        <v>3961.5410820716975</v>
      </c>
      <c r="AA6" s="154">
        <f t="shared" si="0"/>
        <v>4436.9260119203018</v>
      </c>
      <c r="AB6" s="154">
        <f t="shared" si="0"/>
        <v>4969.3571333507389</v>
      </c>
      <c r="AC6" s="138">
        <f>((AB6/G6)^(1/($AB$3-$H$1) ))-1</f>
        <v>0.16150525010479155</v>
      </c>
      <c r="AD6" s="31">
        <f>$L$1</f>
        <v>0.08</v>
      </c>
      <c r="AE6" s="146">
        <f t="shared" ref="AE6:AE41" si="1">(AB6*(1+AD6))/($C$1-AD6)</f>
        <v>38335.040742991412</v>
      </c>
    </row>
    <row r="7" spans="2:31">
      <c r="B7" s="20" t="s">
        <v>240</v>
      </c>
      <c r="C7" s="141"/>
      <c r="D7" s="141"/>
      <c r="E7" s="147"/>
      <c r="F7" s="147"/>
      <c r="G7" s="147">
        <v>315</v>
      </c>
      <c r="H7" s="147">
        <v>361</v>
      </c>
      <c r="I7" s="147">
        <v>413</v>
      </c>
      <c r="J7" s="147">
        <v>480</v>
      </c>
      <c r="K7" s="147">
        <v>620</v>
      </c>
      <c r="L7" s="147">
        <v>634</v>
      </c>
      <c r="M7" s="147">
        <v>872</v>
      </c>
      <c r="N7" s="147">
        <v>1084</v>
      </c>
      <c r="O7" s="147">
        <v>1326</v>
      </c>
      <c r="P7" s="147">
        <v>1651</v>
      </c>
      <c r="Q7" s="118">
        <f>((P7/G7)^(1/($H$2-$H$1) ))-1</f>
        <v>0.20209112574880295</v>
      </c>
      <c r="R7" s="31">
        <f>$L$2</f>
        <v>0.12</v>
      </c>
      <c r="S7" s="154">
        <f t="shared" ref="S7:S16" si="2">P7*(1+$R7)</f>
        <v>1849.1200000000001</v>
      </c>
      <c r="T7" s="154">
        <f t="shared" ref="T7:AB7" si="3">S7*(1+$R7)</f>
        <v>2071.0144000000005</v>
      </c>
      <c r="U7" s="154">
        <f t="shared" si="3"/>
        <v>2319.5361280000006</v>
      </c>
      <c r="V7" s="154">
        <f t="shared" si="3"/>
        <v>2597.8804633600012</v>
      </c>
      <c r="W7" s="154">
        <f t="shared" si="3"/>
        <v>2909.6261189632014</v>
      </c>
      <c r="X7" s="154">
        <f t="shared" si="3"/>
        <v>3258.7812532387857</v>
      </c>
      <c r="Y7" s="154">
        <f t="shared" si="3"/>
        <v>3649.8350036274401</v>
      </c>
      <c r="Z7" s="154">
        <f t="shared" si="3"/>
        <v>4087.8152040627333</v>
      </c>
      <c r="AA7" s="154">
        <f t="shared" si="3"/>
        <v>4578.353028550262</v>
      </c>
      <c r="AB7" s="154">
        <f t="shared" si="3"/>
        <v>5127.755391976294</v>
      </c>
      <c r="AC7" s="138">
        <f>((AB7/G7)^(1/($AB$3-$H$1) ))-1</f>
        <v>0.15816197617345606</v>
      </c>
      <c r="AD7" s="31">
        <f>$L$1</f>
        <v>0.08</v>
      </c>
      <c r="AE7" s="146">
        <f t="shared" si="1"/>
        <v>39556.970166674269</v>
      </c>
    </row>
    <row r="8" spans="2:31">
      <c r="B8" s="20"/>
      <c r="C8" s="141"/>
      <c r="D8" s="141"/>
      <c r="E8" s="147"/>
      <c r="F8" s="147"/>
      <c r="G8" s="148">
        <f>(G7-F7)/G7</f>
        <v>1</v>
      </c>
      <c r="H8" s="151">
        <f>(H7-G7)/H7</f>
        <v>0.12742382271468145</v>
      </c>
      <c r="I8" s="151">
        <f t="shared" ref="I8:P8" si="4">(I7-H7)/I7</f>
        <v>0.12590799031476999</v>
      </c>
      <c r="J8" s="151">
        <f t="shared" si="4"/>
        <v>0.13958333333333334</v>
      </c>
      <c r="K8" s="151">
        <f t="shared" si="4"/>
        <v>0.22580645161290322</v>
      </c>
      <c r="L8" s="151">
        <f t="shared" si="4"/>
        <v>2.2082018927444796E-2</v>
      </c>
      <c r="M8" s="151">
        <f t="shared" si="4"/>
        <v>0.27293577981651373</v>
      </c>
      <c r="N8" s="151">
        <f t="shared" si="4"/>
        <v>0.19557195571955718</v>
      </c>
      <c r="O8" s="151">
        <f t="shared" si="4"/>
        <v>0.18250377073906485</v>
      </c>
      <c r="P8" s="151">
        <f t="shared" si="4"/>
        <v>0.19685039370078741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85</v>
      </c>
      <c r="H9" s="147">
        <v>112</v>
      </c>
      <c r="I9" s="147">
        <v>133</v>
      </c>
      <c r="J9" s="147">
        <v>197</v>
      </c>
      <c r="K9" s="147">
        <v>263</v>
      </c>
      <c r="L9" s="147">
        <v>324</v>
      </c>
      <c r="M9" s="147">
        <v>411</v>
      </c>
      <c r="N9" s="147">
        <v>510</v>
      </c>
      <c r="O9" s="147">
        <v>748</v>
      </c>
      <c r="P9" s="147">
        <v>693</v>
      </c>
      <c r="Q9" s="118">
        <f t="shared" ref="Q9:Q16" si="5">((P9/G9)^(1/($H$2-$H$1) ))-1</f>
        <v>0.26257488294639741</v>
      </c>
      <c r="R9" s="31">
        <f t="shared" ref="R9:R38" si="6">$L$2</f>
        <v>0.12</v>
      </c>
      <c r="S9" s="154">
        <f t="shared" ref="S9" si="7">P9*(1+$R9)</f>
        <v>776.16000000000008</v>
      </c>
      <c r="T9" s="154">
        <f t="shared" ref="T9" si="8">S9*(1+$R9)</f>
        <v>869.29920000000016</v>
      </c>
      <c r="U9" s="154">
        <f t="shared" ref="U9" si="9">T9*(1+$R9)</f>
        <v>973.61510400000031</v>
      </c>
      <c r="V9" s="154">
        <f t="shared" ref="V9" si="10">U9*(1+$R9)</f>
        <v>1090.4489164800004</v>
      </c>
      <c r="W9" s="154">
        <f t="shared" ref="W9" si="11">V9*(1+$R9)</f>
        <v>1221.3027864576006</v>
      </c>
      <c r="X9" s="154">
        <f t="shared" ref="X9" si="12">W9*(1+$R9)</f>
        <v>1367.8591208325129</v>
      </c>
      <c r="Y9" s="154">
        <f t="shared" ref="Y9" si="13">X9*(1+$R9)</f>
        <v>1532.0022153324146</v>
      </c>
      <c r="Z9" s="154">
        <f t="shared" ref="Z9" si="14">Y9*(1+$R9)</f>
        <v>1715.8424811723046</v>
      </c>
      <c r="AA9" s="154">
        <f t="shared" ref="AA9" si="15">Z9*(1+$R9)</f>
        <v>1921.7435789129813</v>
      </c>
      <c r="AB9" s="154">
        <f t="shared" ref="AB9" si="16">AA9*(1+$R9)</f>
        <v>2152.3528083825395</v>
      </c>
      <c r="AC9" s="138">
        <f>((AB9/G9)^(1/($AB$3-$H$1) ))-1</f>
        <v>0.1854087631773329</v>
      </c>
      <c r="AD9" s="31">
        <f t="shared" ref="AD9:AD73" si="17">$L$1</f>
        <v>0.08</v>
      </c>
      <c r="AE9" s="146">
        <f t="shared" si="1"/>
        <v>16603.864521808162</v>
      </c>
    </row>
    <row r="10" spans="2:31">
      <c r="B10" s="20" t="s">
        <v>4</v>
      </c>
      <c r="C10" s="141"/>
      <c r="D10" s="141"/>
      <c r="E10" s="147"/>
      <c r="F10" s="147"/>
      <c r="G10" s="147">
        <v>56</v>
      </c>
      <c r="H10" s="147">
        <v>62</v>
      </c>
      <c r="I10" s="147">
        <v>56</v>
      </c>
      <c r="J10" s="147">
        <v>145</v>
      </c>
      <c r="K10" s="147">
        <v>526</v>
      </c>
      <c r="L10" s="147">
        <v>609</v>
      </c>
      <c r="M10" s="147">
        <v>468</v>
      </c>
      <c r="N10" s="147">
        <v>335</v>
      </c>
      <c r="O10" s="147">
        <v>148</v>
      </c>
      <c r="P10" s="147">
        <v>51</v>
      </c>
      <c r="Q10" s="118">
        <f t="shared" si="5"/>
        <v>-1.0337976182232311E-2</v>
      </c>
      <c r="R10" s="31">
        <f t="shared" si="6"/>
        <v>0.12</v>
      </c>
      <c r="S10" s="154">
        <f t="shared" si="2"/>
        <v>57.120000000000005</v>
      </c>
      <c r="T10" s="154">
        <f t="shared" ref="T10:AB10" si="18">S10*(1+$R10)</f>
        <v>63.97440000000001</v>
      </c>
      <c r="U10" s="154">
        <f t="shared" si="18"/>
        <v>71.651328000000021</v>
      </c>
      <c r="V10" s="154">
        <f t="shared" si="18"/>
        <v>80.249487360000032</v>
      </c>
      <c r="W10" s="154">
        <f t="shared" si="18"/>
        <v>89.879425843200039</v>
      </c>
      <c r="X10" s="154">
        <f t="shared" si="18"/>
        <v>100.66495694438406</v>
      </c>
      <c r="Y10" s="154">
        <f t="shared" si="18"/>
        <v>112.74475177771016</v>
      </c>
      <c r="Z10" s="154">
        <f t="shared" si="18"/>
        <v>126.2741219910354</v>
      </c>
      <c r="AA10" s="154">
        <f t="shared" si="18"/>
        <v>141.42701662995967</v>
      </c>
      <c r="AB10" s="154">
        <f t="shared" si="18"/>
        <v>158.39825862555483</v>
      </c>
      <c r="AC10" s="138">
        <f t="shared" ref="AC10:AC40" si="19">((AB10/G10)^(1/($AB$3-$H$1) ))-1</f>
        <v>5.6249316270891025E-2</v>
      </c>
      <c r="AD10" s="31">
        <f t="shared" si="17"/>
        <v>0.08</v>
      </c>
      <c r="AE10" s="146">
        <f t="shared" si="1"/>
        <v>1221.9294236828516</v>
      </c>
    </row>
    <row r="11" spans="2:31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9.6774193548387094E-2</v>
      </c>
      <c r="I11" s="148">
        <f t="shared" si="20"/>
        <v>-0.10714285714285714</v>
      </c>
      <c r="J11" s="148">
        <f t="shared" si="20"/>
        <v>0.61379310344827587</v>
      </c>
      <c r="K11" s="148">
        <f t="shared" si="20"/>
        <v>0.7243346007604563</v>
      </c>
      <c r="L11" s="148">
        <f t="shared" si="20"/>
        <v>0.13628899835796388</v>
      </c>
      <c r="M11" s="148">
        <f t="shared" si="20"/>
        <v>-0.30128205128205127</v>
      </c>
      <c r="N11" s="148">
        <f t="shared" si="20"/>
        <v>-0.39701492537313432</v>
      </c>
      <c r="O11" s="148">
        <f t="shared" si="20"/>
        <v>-1.2635135135135136</v>
      </c>
      <c r="P11" s="148">
        <f t="shared" si="20"/>
        <v>-1.9019607843137254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>
      <c r="B12" s="20" t="s">
        <v>2</v>
      </c>
      <c r="C12" s="141"/>
      <c r="D12" s="141"/>
      <c r="E12" s="147"/>
      <c r="F12" s="147"/>
      <c r="G12" s="147">
        <v>7.5</v>
      </c>
      <c r="H12" s="147">
        <v>14</v>
      </c>
      <c r="I12" s="147">
        <v>16</v>
      </c>
      <c r="J12" s="147">
        <v>38</v>
      </c>
      <c r="K12" s="147">
        <v>172</v>
      </c>
      <c r="L12" s="147">
        <v>159</v>
      </c>
      <c r="M12" s="147">
        <v>45</v>
      </c>
      <c r="N12" s="147">
        <v>103</v>
      </c>
      <c r="O12" s="147">
        <v>273</v>
      </c>
      <c r="P12" s="147">
        <v>151</v>
      </c>
      <c r="Q12" s="118">
        <f t="shared" si="5"/>
        <v>0.39598104201612827</v>
      </c>
      <c r="R12" s="31">
        <f t="shared" si="6"/>
        <v>0.12</v>
      </c>
      <c r="S12" s="154">
        <f t="shared" si="2"/>
        <v>169.12</v>
      </c>
      <c r="T12" s="154">
        <f t="shared" ref="T12:AB12" si="21">S12*(1+$R12)</f>
        <v>189.41440000000003</v>
      </c>
      <c r="U12" s="154">
        <f t="shared" si="21"/>
        <v>212.14412800000005</v>
      </c>
      <c r="V12" s="154">
        <f t="shared" si="21"/>
        <v>237.60142336000007</v>
      </c>
      <c r="W12" s="154">
        <f t="shared" si="21"/>
        <v>266.1135941632001</v>
      </c>
      <c r="X12" s="154">
        <f t="shared" si="21"/>
        <v>298.04722546278413</v>
      </c>
      <c r="Y12" s="154">
        <f t="shared" si="21"/>
        <v>333.81289251831828</v>
      </c>
      <c r="Z12" s="154">
        <f t="shared" si="21"/>
        <v>373.87043962051649</v>
      </c>
      <c r="AA12" s="154">
        <f t="shared" si="21"/>
        <v>418.73489237497853</v>
      </c>
      <c r="AB12" s="154">
        <f t="shared" si="21"/>
        <v>468.98307945997601</v>
      </c>
      <c r="AC12" s="138">
        <f t="shared" si="19"/>
        <v>0.24317241156171332</v>
      </c>
      <c r="AD12" s="31">
        <f t="shared" si="17"/>
        <v>0.08</v>
      </c>
      <c r="AE12" s="146">
        <f t="shared" si="1"/>
        <v>3617.8694701198147</v>
      </c>
    </row>
    <row r="13" spans="2:31">
      <c r="B13" s="20" t="s">
        <v>218</v>
      </c>
      <c r="C13" s="141"/>
      <c r="D13" s="141"/>
      <c r="E13" s="147"/>
      <c r="F13" s="147"/>
      <c r="G13" s="147">
        <v>19</v>
      </c>
      <c r="H13" s="147">
        <v>19</v>
      </c>
      <c r="I13" s="147">
        <v>16</v>
      </c>
      <c r="J13" s="147">
        <v>16</v>
      </c>
      <c r="K13" s="147">
        <v>3.24</v>
      </c>
      <c r="L13" s="147">
        <v>26</v>
      </c>
      <c r="M13" s="147">
        <v>268</v>
      </c>
      <c r="N13" s="147">
        <v>170</v>
      </c>
      <c r="O13" s="147">
        <v>98</v>
      </c>
      <c r="P13" s="147">
        <v>293</v>
      </c>
      <c r="Q13" s="118">
        <f t="shared" si="5"/>
        <v>0.35522894521425896</v>
      </c>
      <c r="R13" s="31">
        <f t="shared" si="6"/>
        <v>0.12</v>
      </c>
      <c r="S13" s="154">
        <f t="shared" si="2"/>
        <v>328.16</v>
      </c>
      <c r="T13" s="154">
        <f t="shared" ref="T13:AB13" si="22">S13*(1+$R13)</f>
        <v>367.53920000000005</v>
      </c>
      <c r="U13" s="154">
        <f t="shared" si="22"/>
        <v>411.64390400000008</v>
      </c>
      <c r="V13" s="154">
        <f t="shared" si="22"/>
        <v>461.04117248000011</v>
      </c>
      <c r="W13" s="154">
        <f t="shared" si="22"/>
        <v>516.36611317760014</v>
      </c>
      <c r="X13" s="154">
        <f t="shared" si="22"/>
        <v>578.3300467589122</v>
      </c>
      <c r="Y13" s="154">
        <f t="shared" si="22"/>
        <v>647.72965236998175</v>
      </c>
      <c r="Z13" s="154">
        <f t="shared" si="22"/>
        <v>725.45721065437965</v>
      </c>
      <c r="AA13" s="154">
        <f t="shared" si="22"/>
        <v>812.5120759329053</v>
      </c>
      <c r="AB13" s="154">
        <f t="shared" si="22"/>
        <v>910.01352504485408</v>
      </c>
      <c r="AC13" s="138">
        <f t="shared" si="19"/>
        <v>0.22584776413725205</v>
      </c>
      <c r="AD13" s="31">
        <f t="shared" si="17"/>
        <v>0.08</v>
      </c>
      <c r="AE13" s="146">
        <f t="shared" si="1"/>
        <v>7020.1043360603026</v>
      </c>
    </row>
    <row r="14" spans="2:31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>
      <c r="B15" s="20" t="s">
        <v>19</v>
      </c>
      <c r="C15" s="141"/>
      <c r="D15" s="141"/>
      <c r="E15" s="147"/>
      <c r="F15" s="147"/>
      <c r="G15" s="147">
        <v>209.5</v>
      </c>
      <c r="H15" s="147">
        <v>254</v>
      </c>
      <c r="I15" s="147">
        <v>284</v>
      </c>
      <c r="J15" s="147">
        <v>417</v>
      </c>
      <c r="K15" s="147">
        <v>708</v>
      </c>
      <c r="L15" s="147">
        <v>718</v>
      </c>
      <c r="M15" s="147">
        <v>638</v>
      </c>
      <c r="N15" s="147">
        <v>793</v>
      </c>
      <c r="O15" s="147">
        <v>1122</v>
      </c>
      <c r="P15" s="147">
        <v>1104</v>
      </c>
      <c r="Q15" s="118">
        <f t="shared" si="5"/>
        <v>0.2028136235625817</v>
      </c>
      <c r="R15" s="31">
        <f t="shared" si="6"/>
        <v>0.12</v>
      </c>
      <c r="S15" s="154">
        <f t="shared" si="2"/>
        <v>1236.48</v>
      </c>
      <c r="T15" s="154">
        <f t="shared" ref="T15:AB15" si="36">S15*(1+$R15)</f>
        <v>1384.8576</v>
      </c>
      <c r="U15" s="154">
        <f t="shared" si="36"/>
        <v>1551.0405120000003</v>
      </c>
      <c r="V15" s="154">
        <f t="shared" si="36"/>
        <v>1737.1653734400004</v>
      </c>
      <c r="W15" s="154">
        <f t="shared" si="36"/>
        <v>1945.6252182528006</v>
      </c>
      <c r="X15" s="154">
        <f t="shared" si="36"/>
        <v>2179.1002444431369</v>
      </c>
      <c r="Y15" s="154">
        <f t="shared" si="36"/>
        <v>2440.5922737763135</v>
      </c>
      <c r="Z15" s="154">
        <f t="shared" si="36"/>
        <v>2733.4633466294713</v>
      </c>
      <c r="AA15" s="154">
        <f t="shared" si="36"/>
        <v>3061.478948225008</v>
      </c>
      <c r="AB15" s="154">
        <f t="shared" si="36"/>
        <v>3428.8564220120093</v>
      </c>
      <c r="AC15" s="138">
        <f t="shared" si="19"/>
        <v>0.15849165319788683</v>
      </c>
      <c r="AD15" s="31">
        <f t="shared" si="17"/>
        <v>0.08</v>
      </c>
      <c r="AE15" s="146">
        <f t="shared" si="1"/>
        <v>26451.178112664071</v>
      </c>
    </row>
    <row r="16" spans="2:31">
      <c r="B16" s="20" t="s">
        <v>23</v>
      </c>
      <c r="C16" s="141"/>
      <c r="D16" s="141"/>
      <c r="E16" s="147"/>
      <c r="F16" s="147"/>
      <c r="G16" s="147">
        <v>132</v>
      </c>
      <c r="H16" s="147">
        <v>145</v>
      </c>
      <c r="I16" s="147">
        <v>147</v>
      </c>
      <c r="J16" s="147">
        <v>224</v>
      </c>
      <c r="K16" s="147">
        <v>477</v>
      </c>
      <c r="L16" s="147">
        <v>445</v>
      </c>
      <c r="M16" s="147">
        <v>234</v>
      </c>
      <c r="N16" s="147">
        <v>336</v>
      </c>
      <c r="O16" s="147">
        <v>365</v>
      </c>
      <c r="P16" s="147">
        <v>335</v>
      </c>
      <c r="Q16" s="118">
        <f t="shared" si="5"/>
        <v>0.10902467354362688</v>
      </c>
      <c r="R16" s="31">
        <f t="shared" si="6"/>
        <v>0.12</v>
      </c>
      <c r="S16" s="154">
        <f t="shared" si="2"/>
        <v>375.20000000000005</v>
      </c>
      <c r="T16" s="154">
        <f t="shared" ref="T16:AB16" si="37">S16*(1+$R16)</f>
        <v>420.2240000000001</v>
      </c>
      <c r="U16" s="154">
        <f t="shared" si="37"/>
        <v>470.65088000000014</v>
      </c>
      <c r="V16" s="154">
        <f t="shared" si="37"/>
        <v>527.12898560000019</v>
      </c>
      <c r="W16" s="154">
        <f t="shared" si="37"/>
        <v>590.38446387200031</v>
      </c>
      <c r="X16" s="154">
        <f t="shared" si="37"/>
        <v>661.2305995366404</v>
      </c>
      <c r="Y16" s="154">
        <f t="shared" si="37"/>
        <v>740.57827148103729</v>
      </c>
      <c r="Z16" s="154">
        <f t="shared" si="37"/>
        <v>829.4476640587618</v>
      </c>
      <c r="AA16" s="154">
        <f t="shared" si="37"/>
        <v>928.98138374581333</v>
      </c>
      <c r="AB16" s="154">
        <f t="shared" si="37"/>
        <v>1040.4591497953111</v>
      </c>
      <c r="AC16" s="138">
        <f t="shared" si="19"/>
        <v>0.1147876871853879</v>
      </c>
      <c r="AD16" s="31">
        <f t="shared" si="17"/>
        <v>0.08</v>
      </c>
      <c r="AE16" s="146">
        <f t="shared" si="1"/>
        <v>8026.3991555638277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/>
      <c r="G18" s="147">
        <v>204</v>
      </c>
      <c r="H18" s="147">
        <v>224</v>
      </c>
      <c r="I18" s="147">
        <v>278</v>
      </c>
      <c r="J18" s="147">
        <v>350</v>
      </c>
      <c r="K18" s="147">
        <v>497</v>
      </c>
      <c r="L18" s="147">
        <v>551</v>
      </c>
      <c r="M18" s="147">
        <v>540</v>
      </c>
      <c r="N18" s="147">
        <v>563</v>
      </c>
      <c r="O18" s="147">
        <v>618</v>
      </c>
      <c r="P18" s="147">
        <v>646</v>
      </c>
      <c r="Q18" s="118">
        <f>((P18/G18)^(1/($H$2-$H$1) ))-1</f>
        <v>0.13663881694331415</v>
      </c>
      <c r="R18" s="31">
        <f t="shared" si="6"/>
        <v>0.12</v>
      </c>
      <c r="S18" s="154">
        <f t="shared" ref="S18:S34" si="38">P18*(1+$R18)</f>
        <v>723.5200000000001</v>
      </c>
      <c r="T18" s="154">
        <f t="shared" ref="T18:T34" si="39">S18*(1+$R18)</f>
        <v>810.34240000000023</v>
      </c>
      <c r="U18" s="154">
        <f t="shared" ref="U18:U34" si="40">T18*(1+$R18)</f>
        <v>907.58348800000033</v>
      </c>
      <c r="V18" s="154">
        <f t="shared" ref="V18:V34" si="41">U18*(1+$R18)</f>
        <v>1016.4935065600005</v>
      </c>
      <c r="W18" s="154">
        <f t="shared" ref="W18:W36" si="42">V18*(1+$R18)</f>
        <v>1138.4727273472006</v>
      </c>
      <c r="X18" s="154">
        <f t="shared" ref="X18:X36" si="43">W18*(1+$R18)</f>
        <v>1275.0894546288648</v>
      </c>
      <c r="Y18" s="154">
        <f t="shared" ref="Y18:Y36" si="44">X18*(1+$R18)</f>
        <v>1428.1001891843287</v>
      </c>
      <c r="Z18" s="154">
        <f t="shared" ref="Z18:Z36" si="45">Y18*(1+$R18)</f>
        <v>1599.4722118864483</v>
      </c>
      <c r="AA18" s="154">
        <f t="shared" ref="AA18:AA36" si="46">Z18*(1+$R18)</f>
        <v>1791.4088773128224</v>
      </c>
      <c r="AB18" s="154">
        <f t="shared" ref="AB18:AB36" si="47">AA18*(1+$R18)</f>
        <v>2006.3779425903613</v>
      </c>
      <c r="AC18" s="138">
        <f t="shared" si="19"/>
        <v>0.12785096272831842</v>
      </c>
      <c r="AD18" s="31">
        <f t="shared" si="17"/>
        <v>0.08</v>
      </c>
      <c r="AE18" s="146">
        <f t="shared" si="1"/>
        <v>15477.772699982788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>
        <v>48</v>
      </c>
      <c r="H20" s="147">
        <v>92</v>
      </c>
      <c r="I20" s="147">
        <v>112</v>
      </c>
      <c r="J20" s="147">
        <v>89</v>
      </c>
      <c r="K20" s="147">
        <v>128</v>
      </c>
      <c r="L20" s="147">
        <v>260</v>
      </c>
      <c r="M20" s="147">
        <v>412</v>
      </c>
      <c r="N20" s="147">
        <v>322</v>
      </c>
      <c r="O20" s="147">
        <v>507</v>
      </c>
      <c r="P20" s="147">
        <v>513</v>
      </c>
      <c r="Q20" s="118">
        <f>((P20/G20)^(1/($H$2-$H$1) ))-1</f>
        <v>0.30112664239398113</v>
      </c>
      <c r="R20" s="31">
        <f t="shared" si="6"/>
        <v>0.12</v>
      </c>
      <c r="S20" s="154">
        <f t="shared" ref="S20:S22" si="48">P20*(1+$R20)</f>
        <v>574.56000000000006</v>
      </c>
      <c r="T20" s="154">
        <f t="shared" ref="T20:T22" si="49">S20*(1+$R20)</f>
        <v>643.50720000000013</v>
      </c>
      <c r="U20" s="154">
        <f t="shared" ref="U20:U22" si="50">T20*(1+$R20)</f>
        <v>720.72806400000024</v>
      </c>
      <c r="V20" s="154">
        <f t="shared" ref="V20:V22" si="51">U20*(1+$R20)</f>
        <v>807.21543168000039</v>
      </c>
      <c r="W20" s="154">
        <f t="shared" ref="W20:W22" si="52">V20*(1+$R20)</f>
        <v>904.08128348160051</v>
      </c>
      <c r="X20" s="154">
        <f t="shared" ref="X20:X22" si="53">W20*(1+$R20)</f>
        <v>1012.5710374993927</v>
      </c>
      <c r="Y20" s="154">
        <f t="shared" ref="Y20:Y22" si="54">X20*(1+$R20)</f>
        <v>1134.0795619993198</v>
      </c>
      <c r="Z20" s="154">
        <f t="shared" ref="Z20:Z22" si="55">Y20*(1+$R20)</f>
        <v>1270.1691094392384</v>
      </c>
      <c r="AA20" s="154">
        <f t="shared" ref="AA20:AA22" si="56">Z20*(1+$R20)</f>
        <v>1422.5894025719472</v>
      </c>
      <c r="AB20" s="154">
        <f t="shared" ref="AB20:AB22" si="57">AA20*(1+$R20)</f>
        <v>1593.300130880581</v>
      </c>
      <c r="AC20" s="138">
        <f t="shared" ref="AC20:AC22" si="58">((AB20/G20)^(1/($AB$3-$H$1) ))-1</f>
        <v>0.20241835620994375</v>
      </c>
      <c r="AD20" s="31">
        <f t="shared" si="17"/>
        <v>0.08</v>
      </c>
      <c r="AE20" s="146">
        <f t="shared" si="1"/>
        <v>12291.172438221623</v>
      </c>
    </row>
    <row r="21" spans="2:31">
      <c r="B21" s="20" t="s">
        <v>285</v>
      </c>
      <c r="C21" s="141"/>
      <c r="D21" s="141"/>
      <c r="E21" s="147"/>
      <c r="F21" s="147"/>
      <c r="G21" s="147">
        <v>-41</v>
      </c>
      <c r="H21" s="147">
        <v>-70</v>
      </c>
      <c r="I21" s="147">
        <v>-77</v>
      </c>
      <c r="J21" s="147">
        <v>-125</v>
      </c>
      <c r="K21" s="147">
        <v>-290</v>
      </c>
      <c r="L21" s="147">
        <v>-228</v>
      </c>
      <c r="M21" s="147">
        <v>-345</v>
      </c>
      <c r="N21" s="147">
        <v>-37</v>
      </c>
      <c r="O21" s="147">
        <v>-231</v>
      </c>
      <c r="P21" s="147">
        <v>-197</v>
      </c>
      <c r="Q21" s="118">
        <f>((P21/G21)^(1/($H$2-$H$1) ))-1</f>
        <v>0.19053587156611562</v>
      </c>
      <c r="R21" s="31">
        <f t="shared" si="6"/>
        <v>0.12</v>
      </c>
      <c r="S21" s="154">
        <f t="shared" si="48"/>
        <v>-220.64000000000001</v>
      </c>
      <c r="T21" s="154">
        <f t="shared" si="49"/>
        <v>-247.11680000000004</v>
      </c>
      <c r="U21" s="154">
        <f t="shared" si="50"/>
        <v>-276.77081600000008</v>
      </c>
      <c r="V21" s="154">
        <f t="shared" si="51"/>
        <v>-309.98331392000011</v>
      </c>
      <c r="W21" s="154">
        <f t="shared" si="52"/>
        <v>-347.18131159040018</v>
      </c>
      <c r="X21" s="154">
        <f t="shared" si="53"/>
        <v>-388.84306898124822</v>
      </c>
      <c r="Y21" s="154">
        <f t="shared" si="54"/>
        <v>-435.50423725899805</v>
      </c>
      <c r="Z21" s="154">
        <f t="shared" si="55"/>
        <v>-487.76474573007783</v>
      </c>
      <c r="AA21" s="154">
        <f t="shared" si="56"/>
        <v>-546.29651521768722</v>
      </c>
      <c r="AB21" s="154">
        <f t="shared" si="57"/>
        <v>-611.85209704380975</v>
      </c>
      <c r="AC21" s="138">
        <f t="shared" si="58"/>
        <v>0.15287505377267263</v>
      </c>
      <c r="AD21" s="31">
        <f t="shared" si="17"/>
        <v>0.08</v>
      </c>
      <c r="AE21" s="146">
        <f t="shared" si="1"/>
        <v>-4720.0018914808179</v>
      </c>
    </row>
    <row r="22" spans="2:31">
      <c r="B22" s="20" t="s">
        <v>286</v>
      </c>
      <c r="C22" s="141"/>
      <c r="D22" s="141"/>
      <c r="E22" s="147"/>
      <c r="F22" s="147"/>
      <c r="G22" s="147">
        <v>-7</v>
      </c>
      <c r="H22" s="147">
        <v>-18</v>
      </c>
      <c r="I22" s="147">
        <v>-35</v>
      </c>
      <c r="J22" s="147">
        <v>47</v>
      </c>
      <c r="K22" s="147">
        <v>288</v>
      </c>
      <c r="L22" s="147">
        <v>-54</v>
      </c>
      <c r="M22" s="147">
        <v>-160</v>
      </c>
      <c r="N22" s="147">
        <v>-246</v>
      </c>
      <c r="O22" s="147">
        <v>-285</v>
      </c>
      <c r="P22" s="147">
        <v>-625</v>
      </c>
      <c r="Q22" s="118">
        <f>((P22/G22)^(1/($H$2-$H$1) ))-1</f>
        <v>0.64722738220021325</v>
      </c>
      <c r="R22" s="31">
        <f t="shared" si="6"/>
        <v>0.12</v>
      </c>
      <c r="S22" s="154">
        <f t="shared" si="48"/>
        <v>-700.00000000000011</v>
      </c>
      <c r="T22" s="154">
        <f t="shared" si="49"/>
        <v>-784.00000000000023</v>
      </c>
      <c r="U22" s="154">
        <f t="shared" si="50"/>
        <v>-878.08000000000038</v>
      </c>
      <c r="V22" s="154">
        <f t="shared" si="51"/>
        <v>-983.44960000000049</v>
      </c>
      <c r="W22" s="154">
        <f t="shared" si="52"/>
        <v>-1101.4635520000006</v>
      </c>
      <c r="X22" s="154">
        <f t="shared" si="53"/>
        <v>-1233.6391782400008</v>
      </c>
      <c r="Y22" s="154">
        <f t="shared" si="54"/>
        <v>-1381.6758796288009</v>
      </c>
      <c r="Z22" s="154">
        <f t="shared" si="55"/>
        <v>-1547.476985184257</v>
      </c>
      <c r="AA22" s="154">
        <f t="shared" si="56"/>
        <v>-1733.1742234063681</v>
      </c>
      <c r="AB22" s="154">
        <f t="shared" si="57"/>
        <v>-1941.1551302151324</v>
      </c>
      <c r="AC22" s="138">
        <f t="shared" si="58"/>
        <v>0.34455000330530638</v>
      </c>
      <c r="AD22" s="31">
        <f t="shared" si="17"/>
        <v>0.08</v>
      </c>
      <c r="AE22" s="146">
        <f t="shared" si="1"/>
        <v>-14974.625290231021</v>
      </c>
    </row>
    <row r="23" spans="2:31">
      <c r="B23" s="20" t="s">
        <v>296</v>
      </c>
      <c r="C23" s="141"/>
      <c r="D23" s="141"/>
      <c r="E23" s="147"/>
      <c r="F23" s="147"/>
      <c r="G23" s="147">
        <v>7.44</v>
      </c>
      <c r="H23" s="147">
        <v>11.66</v>
      </c>
      <c r="I23" s="147">
        <v>12</v>
      </c>
      <c r="J23" s="147">
        <v>23</v>
      </c>
      <c r="K23" s="147">
        <v>148.5</v>
      </c>
      <c r="L23" s="147">
        <v>127</v>
      </c>
      <c r="M23" s="147">
        <v>33</v>
      </c>
      <c r="N23" s="147">
        <v>72</v>
      </c>
      <c r="O23" s="147">
        <v>62</v>
      </c>
      <c r="P23" s="147">
        <v>51</v>
      </c>
      <c r="Q23" s="118">
        <f>((P23/G23)^(1/($H$2-$H$1) ))-1</f>
        <v>0.23847881554976125</v>
      </c>
      <c r="R23" s="31">
        <f t="shared" si="6"/>
        <v>0.12</v>
      </c>
      <c r="S23" s="154">
        <f t="shared" ref="S23" si="59">P23*(1+$R23)</f>
        <v>57.120000000000005</v>
      </c>
      <c r="T23" s="154">
        <f t="shared" ref="T23" si="60">S23*(1+$R23)</f>
        <v>63.97440000000001</v>
      </c>
      <c r="U23" s="154">
        <f t="shared" ref="U23" si="61">T23*(1+$R23)</f>
        <v>71.651328000000021</v>
      </c>
      <c r="V23" s="154">
        <f t="shared" ref="V23" si="62">U23*(1+$R23)</f>
        <v>80.249487360000032</v>
      </c>
      <c r="W23" s="154">
        <f t="shared" ref="W23" si="63">V23*(1+$R23)</f>
        <v>89.879425843200039</v>
      </c>
      <c r="X23" s="154">
        <f t="shared" ref="X23" si="64">W23*(1+$R23)</f>
        <v>100.66495694438406</v>
      </c>
      <c r="Y23" s="154">
        <f t="shared" ref="Y23" si="65">X23*(1+$R23)</f>
        <v>112.74475177771016</v>
      </c>
      <c r="Z23" s="154">
        <f t="shared" ref="Z23" si="66">Y23*(1+$R23)</f>
        <v>126.2741219910354</v>
      </c>
      <c r="AA23" s="154">
        <f t="shared" ref="AA23" si="67">Z23*(1+$R23)</f>
        <v>141.42701662995967</v>
      </c>
      <c r="AB23" s="154">
        <f t="shared" ref="AB23" si="68">AA23*(1+$R23)</f>
        <v>158.39825862555483</v>
      </c>
      <c r="AC23" s="138">
        <f t="shared" ref="AC23" si="69">((AB23/G23)^(1/($AB$3-$H$1) ))-1</f>
        <v>0.17463808355606369</v>
      </c>
      <c r="AD23" s="31">
        <f t="shared" si="17"/>
        <v>0.08</v>
      </c>
      <c r="AE23" s="146">
        <f t="shared" si="1"/>
        <v>1221.9294236828516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>
        <v>675</v>
      </c>
      <c r="H25" s="147">
        <v>777</v>
      </c>
      <c r="I25" s="147">
        <v>949</v>
      </c>
      <c r="J25" s="147">
        <v>1290</v>
      </c>
      <c r="K25" s="147">
        <v>1767</v>
      </c>
      <c r="L25" s="147">
        <v>1978</v>
      </c>
      <c r="M25" s="147">
        <v>2247</v>
      </c>
      <c r="N25" s="147">
        <v>2748</v>
      </c>
      <c r="O25" s="147">
        <v>3194</v>
      </c>
      <c r="P25" s="147">
        <v>3802</v>
      </c>
      <c r="Q25" s="118">
        <f>((P25/G25)^(1/($H$2-$H$1) ))-1</f>
        <v>0.21174723593215905</v>
      </c>
      <c r="R25" s="31">
        <f t="shared" si="6"/>
        <v>0.12</v>
      </c>
      <c r="S25" s="154">
        <f t="shared" si="38"/>
        <v>4258.2400000000007</v>
      </c>
      <c r="T25" s="154">
        <f t="shared" si="39"/>
        <v>4769.2288000000008</v>
      </c>
      <c r="U25" s="154">
        <f t="shared" si="40"/>
        <v>5341.5362560000012</v>
      </c>
      <c r="V25" s="154">
        <f t="shared" si="41"/>
        <v>5982.5206067200015</v>
      </c>
      <c r="W25" s="154">
        <f t="shared" si="42"/>
        <v>6700.423079526402</v>
      </c>
      <c r="X25" s="154">
        <f t="shared" si="43"/>
        <v>7504.4738490695709</v>
      </c>
      <c r="Y25" s="154">
        <f t="shared" si="44"/>
        <v>8405.0107109579203</v>
      </c>
      <c r="Z25" s="154">
        <f t="shared" si="45"/>
        <v>9413.6119962728717</v>
      </c>
      <c r="AA25" s="154">
        <f t="shared" si="46"/>
        <v>10543.245435825618</v>
      </c>
      <c r="AB25" s="154">
        <f t="shared" si="47"/>
        <v>11808.434888124693</v>
      </c>
      <c r="AC25" s="138">
        <f t="shared" si="19"/>
        <v>0.16255949546635962</v>
      </c>
      <c r="AD25" s="31">
        <f t="shared" si="17"/>
        <v>0.08</v>
      </c>
      <c r="AE25" s="146">
        <f t="shared" si="1"/>
        <v>91093.640565533351</v>
      </c>
    </row>
    <row r="26" spans="2:31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0.13127413127413126</v>
      </c>
      <c r="I26" s="148">
        <f t="shared" ref="I26" si="70">(I25-H25)/I25</f>
        <v>0.18124341412012646</v>
      </c>
      <c r="J26" s="148">
        <f t="shared" ref="J26" si="71">(J25-I25)/J25</f>
        <v>0.26434108527131783</v>
      </c>
      <c r="K26" s="148">
        <f t="shared" ref="K26" si="72">(K25-J25)/K25</f>
        <v>0.2699490662139219</v>
      </c>
      <c r="L26" s="148">
        <f t="shared" ref="L26" si="73">(L25-K25)/L25</f>
        <v>0.10667340748230536</v>
      </c>
      <c r="M26" s="148">
        <f t="shared" ref="M26" si="74">(M25-L25)/M25</f>
        <v>0.11971517578994215</v>
      </c>
      <c r="N26" s="148">
        <f t="shared" ref="N26" si="75">(N25-M25)/N25</f>
        <v>0.18231441048034935</v>
      </c>
      <c r="O26" s="148">
        <f t="shared" ref="O26" si="76">(O25-N25)/O25</f>
        <v>0.13963681903569192</v>
      </c>
      <c r="P26" s="148">
        <f t="shared" ref="P26" si="77">(P25-O25)/P25</f>
        <v>0.1599158337716991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/>
      <c r="G27" s="147">
        <v>558</v>
      </c>
      <c r="H27" s="147">
        <v>640</v>
      </c>
      <c r="I27" s="147">
        <v>789</v>
      </c>
      <c r="J27" s="147">
        <v>1102</v>
      </c>
      <c r="K27" s="147">
        <v>1489</v>
      </c>
      <c r="L27" s="147">
        <v>1748</v>
      </c>
      <c r="M27" s="147">
        <v>1831</v>
      </c>
      <c r="N27" s="147">
        <v>2249</v>
      </c>
      <c r="O27" s="147">
        <v>2666</v>
      </c>
      <c r="P27" s="147">
        <v>3130</v>
      </c>
      <c r="Q27" s="118">
        <f>((P27/G27)^(1/($H$2-$H$1) ))-1</f>
        <v>0.21118989161507029</v>
      </c>
      <c r="R27" s="31">
        <f t="shared" si="6"/>
        <v>0.12</v>
      </c>
      <c r="S27" s="154">
        <f t="shared" si="38"/>
        <v>3505.6000000000004</v>
      </c>
      <c r="T27" s="154">
        <f t="shared" si="39"/>
        <v>3926.2720000000008</v>
      </c>
      <c r="U27" s="154">
        <f t="shared" si="40"/>
        <v>4397.4246400000011</v>
      </c>
      <c r="V27" s="154">
        <f t="shared" si="41"/>
        <v>4925.1155968000021</v>
      </c>
      <c r="W27" s="154">
        <f t="shared" si="42"/>
        <v>5516.129468416003</v>
      </c>
      <c r="X27" s="154">
        <f t="shared" si="43"/>
        <v>6178.0650046259243</v>
      </c>
      <c r="Y27" s="154">
        <f t="shared" si="44"/>
        <v>6919.4328051810362</v>
      </c>
      <c r="Z27" s="154">
        <f t="shared" si="45"/>
        <v>7749.7647418027609</v>
      </c>
      <c r="AA27" s="154">
        <f t="shared" si="46"/>
        <v>8679.7365108190934</v>
      </c>
      <c r="AB27" s="154">
        <f t="shared" si="47"/>
        <v>9721.304892117385</v>
      </c>
      <c r="AC27" s="138">
        <f t="shared" si="19"/>
        <v>0.16230617620577115</v>
      </c>
      <c r="AD27" s="31">
        <f t="shared" si="17"/>
        <v>0.08</v>
      </c>
      <c r="AE27" s="146">
        <f t="shared" si="1"/>
        <v>74992.923453476964</v>
      </c>
    </row>
    <row r="28" spans="2:31" s="123" customFormat="1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0.12812499999999999</v>
      </c>
      <c r="I28" s="148">
        <f t="shared" si="78"/>
        <v>0.1888466413181242</v>
      </c>
      <c r="J28" s="148">
        <f t="shared" si="78"/>
        <v>0.28402903811252267</v>
      </c>
      <c r="K28" s="148">
        <f t="shared" si="78"/>
        <v>0.25990597716588315</v>
      </c>
      <c r="L28" s="148">
        <f t="shared" si="78"/>
        <v>0.14816933638443935</v>
      </c>
      <c r="M28" s="148">
        <f t="shared" si="78"/>
        <v>4.5330420535226651E-2</v>
      </c>
      <c r="N28" s="148">
        <f t="shared" ref="N28" si="79">(N27-M27)/N27</f>
        <v>0.18586038239217431</v>
      </c>
      <c r="O28" s="148">
        <f t="shared" ref="O28" si="80">(O27-N27)/O27</f>
        <v>0.15641410352588148</v>
      </c>
      <c r="P28" s="148">
        <f t="shared" ref="P28" si="81">(P27-O27)/P27</f>
        <v>0.14824281150159743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/>
      <c r="G29" s="147">
        <v>1E-3</v>
      </c>
      <c r="H29" s="147">
        <v>4</v>
      </c>
      <c r="I29" s="147">
        <v>3.8</v>
      </c>
      <c r="J29" s="147">
        <v>9.59</v>
      </c>
      <c r="K29" s="147">
        <v>24</v>
      </c>
      <c r="L29" s="147">
        <v>44</v>
      </c>
      <c r="M29" s="147">
        <v>38</v>
      </c>
      <c r="N29" s="147">
        <v>36</v>
      </c>
      <c r="O29" s="147">
        <v>31</v>
      </c>
      <c r="P29" s="147">
        <v>22</v>
      </c>
      <c r="Q29" s="118">
        <f>((P29/G29)^(1/($H$2-$H$1) ))-1</f>
        <v>2.0373260083233196</v>
      </c>
      <c r="R29" s="31">
        <f t="shared" si="6"/>
        <v>0.12</v>
      </c>
      <c r="S29" s="154">
        <f t="shared" ref="S29" si="82">P29*(1+$R29)</f>
        <v>24.64</v>
      </c>
      <c r="T29" s="154">
        <f t="shared" ref="T29" si="83">S29*(1+$R29)</f>
        <v>27.596800000000002</v>
      </c>
      <c r="U29" s="154">
        <f t="shared" ref="U29" si="84">T29*(1+$R29)</f>
        <v>30.908416000000006</v>
      </c>
      <c r="V29" s="154">
        <f t="shared" ref="V29" si="85">U29*(1+$R29)</f>
        <v>34.617425920000009</v>
      </c>
      <c r="W29" s="154">
        <f t="shared" ref="W29" si="86">V29*(1+$R29)</f>
        <v>38.771517030400013</v>
      </c>
      <c r="X29" s="154">
        <f t="shared" ref="X29" si="87">W29*(1+$R29)</f>
        <v>43.424099074048016</v>
      </c>
      <c r="Y29" s="154">
        <f t="shared" ref="Y29" si="88">X29*(1+$R29)</f>
        <v>48.634990962933784</v>
      </c>
      <c r="Z29" s="154">
        <f t="shared" ref="Z29" si="89">Y29*(1+$R29)</f>
        <v>54.471189878485845</v>
      </c>
      <c r="AA29" s="154">
        <f t="shared" ref="AA29" si="90">Z29*(1+$R29)</f>
        <v>61.00773266390415</v>
      </c>
      <c r="AB29" s="154">
        <f t="shared" ref="AB29" si="91">AA29*(1+$R29)</f>
        <v>68.328660583572656</v>
      </c>
      <c r="AC29" s="138">
        <f t="shared" ref="AC29" si="92">((AB29/G29)^(1/($AB$3-$H$1) ))-1</f>
        <v>0.79660574714007915</v>
      </c>
      <c r="AD29" s="31">
        <f t="shared" si="17"/>
        <v>0.08</v>
      </c>
      <c r="AE29" s="146">
        <f t="shared" ref="AE29" si="93">(AB29*(1+AD29))/($C$1-AD29)</f>
        <v>527.10681021613186</v>
      </c>
    </row>
    <row r="30" spans="2:31" s="123" customFormat="1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0.99975000000000003</v>
      </c>
      <c r="I30" s="148">
        <f t="shared" si="94"/>
        <v>-5.2631578947368474E-2</v>
      </c>
      <c r="J30" s="148">
        <f t="shared" si="94"/>
        <v>0.60375391032325343</v>
      </c>
      <c r="K30" s="148">
        <f t="shared" si="94"/>
        <v>0.60041666666666671</v>
      </c>
      <c r="L30" s="148">
        <f t="shared" si="94"/>
        <v>0.45454545454545453</v>
      </c>
      <c r="M30" s="148">
        <f t="shared" ref="M30" si="95">(M29-L29)/M29</f>
        <v>-0.15789473684210525</v>
      </c>
      <c r="N30" s="148">
        <f t="shared" ref="N30" si="96">(N29-M29)/N29</f>
        <v>-5.5555555555555552E-2</v>
      </c>
      <c r="O30" s="148">
        <f t="shared" ref="O30" si="97">(O29-N29)/O29</f>
        <v>-0.16129032258064516</v>
      </c>
      <c r="P30" s="148">
        <f t="shared" ref="P30" si="98">(P29-O29)/P29</f>
        <v>-0.40909090909090912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/>
      <c r="G33" s="147">
        <v>361</v>
      </c>
      <c r="H33" s="147">
        <v>471</v>
      </c>
      <c r="I33" s="147">
        <v>560</v>
      </c>
      <c r="J33" s="147">
        <v>790</v>
      </c>
      <c r="K33" s="147">
        <v>1060</v>
      </c>
      <c r="L33" s="147">
        <v>1262</v>
      </c>
      <c r="M33" s="147">
        <v>1272</v>
      </c>
      <c r="N33" s="147">
        <v>1605</v>
      </c>
      <c r="O33" s="147">
        <v>1787</v>
      </c>
      <c r="P33" s="147">
        <v>2072</v>
      </c>
      <c r="Q33" s="118">
        <f>((P33/G33)^(1/($H$2-$H$1) ))-1</f>
        <v>0.21428402981326267</v>
      </c>
      <c r="R33" s="31">
        <f t="shared" si="6"/>
        <v>0.12</v>
      </c>
      <c r="S33" s="154">
        <f t="shared" si="38"/>
        <v>2320.6400000000003</v>
      </c>
      <c r="T33" s="154">
        <f t="shared" si="39"/>
        <v>2599.1168000000007</v>
      </c>
      <c r="U33" s="154">
        <f t="shared" si="40"/>
        <v>2911.0108160000009</v>
      </c>
      <c r="V33" s="154">
        <f t="shared" si="41"/>
        <v>3260.3321139200011</v>
      </c>
      <c r="W33" s="154">
        <f t="shared" si="42"/>
        <v>3651.5719675904015</v>
      </c>
      <c r="X33" s="154">
        <f t="shared" si="43"/>
        <v>4089.7606037012501</v>
      </c>
      <c r="Y33" s="154">
        <f t="shared" si="44"/>
        <v>4580.5318761454009</v>
      </c>
      <c r="Z33" s="154">
        <f t="shared" si="45"/>
        <v>5130.1957012828498</v>
      </c>
      <c r="AA33" s="154">
        <f t="shared" si="46"/>
        <v>5745.8191854367924</v>
      </c>
      <c r="AB33" s="154">
        <f t="shared" si="47"/>
        <v>6435.3174876892081</v>
      </c>
      <c r="AC33" s="138">
        <f t="shared" si="19"/>
        <v>0.1637117227815077</v>
      </c>
      <c r="AD33" s="31">
        <f t="shared" si="17"/>
        <v>0.08</v>
      </c>
      <c r="AE33" s="146">
        <f t="shared" si="1"/>
        <v>49643.877762173892</v>
      </c>
    </row>
    <row r="34" spans="2:31">
      <c r="B34" s="20" t="s">
        <v>309</v>
      </c>
      <c r="C34" s="141"/>
      <c r="D34" s="141"/>
      <c r="E34" s="147"/>
      <c r="F34" s="147"/>
      <c r="G34" s="147">
        <v>56</v>
      </c>
      <c r="H34" s="147">
        <v>67</v>
      </c>
      <c r="I34" s="147">
        <v>85</v>
      </c>
      <c r="J34" s="147">
        <v>109</v>
      </c>
      <c r="K34" s="147">
        <v>164</v>
      </c>
      <c r="L34" s="147">
        <v>221</v>
      </c>
      <c r="M34" s="147">
        <v>252</v>
      </c>
      <c r="N34" s="147">
        <v>290</v>
      </c>
      <c r="O34" s="147">
        <v>326</v>
      </c>
      <c r="P34" s="147">
        <v>375</v>
      </c>
      <c r="Q34" s="118">
        <f>((P34/G34)^(1/($H$2-$H$1) ))-1</f>
        <v>0.23526563651682397</v>
      </c>
      <c r="R34" s="31">
        <f t="shared" si="6"/>
        <v>0.12</v>
      </c>
      <c r="S34" s="154">
        <f t="shared" si="38"/>
        <v>420.00000000000006</v>
      </c>
      <c r="T34" s="154">
        <f t="shared" si="39"/>
        <v>470.40000000000009</v>
      </c>
      <c r="U34" s="154">
        <f t="shared" si="40"/>
        <v>526.84800000000018</v>
      </c>
      <c r="V34" s="154">
        <f t="shared" si="41"/>
        <v>590.06976000000031</v>
      </c>
      <c r="W34" s="154">
        <f t="shared" si="42"/>
        <v>660.87813120000044</v>
      </c>
      <c r="X34" s="154">
        <f t="shared" si="43"/>
        <v>740.18350694400056</v>
      </c>
      <c r="Y34" s="154">
        <f t="shared" si="44"/>
        <v>829.00552777728069</v>
      </c>
      <c r="Z34" s="154">
        <f t="shared" si="45"/>
        <v>928.4861911105545</v>
      </c>
      <c r="AA34" s="154">
        <f t="shared" si="46"/>
        <v>1039.9045340438211</v>
      </c>
      <c r="AB34" s="154">
        <f t="shared" si="47"/>
        <v>1164.6930781290796</v>
      </c>
      <c r="AC34" s="138">
        <f t="shared" si="19"/>
        <v>0.17319352173118308</v>
      </c>
      <c r="AD34" s="31">
        <f t="shared" si="17"/>
        <v>0.08</v>
      </c>
      <c r="AE34" s="146">
        <f t="shared" si="1"/>
        <v>8984.7751741386146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/>
      <c r="G36" s="147">
        <v>108</v>
      </c>
      <c r="H36" s="147">
        <v>128</v>
      </c>
      <c r="I36" s="147">
        <v>145</v>
      </c>
      <c r="J36" s="147">
        <v>172</v>
      </c>
      <c r="K36" s="147">
        <v>251</v>
      </c>
      <c r="L36" s="147">
        <v>242</v>
      </c>
      <c r="M36" s="147">
        <v>398</v>
      </c>
      <c r="N36" s="147">
        <v>464</v>
      </c>
      <c r="O36" s="147">
        <v>494</v>
      </c>
      <c r="P36" s="147">
        <v>599</v>
      </c>
      <c r="Q36" s="118">
        <f>((P36/G36)^(1/($H$2-$H$1) ))-1</f>
        <v>0.20967027079669465</v>
      </c>
      <c r="R36" s="31">
        <f t="shared" si="6"/>
        <v>0.12</v>
      </c>
      <c r="S36" s="154">
        <f t="shared" ref="S36" si="102">P36*(1+$R36)</f>
        <v>670.88000000000011</v>
      </c>
      <c r="T36" s="154">
        <f t="shared" ref="T36" si="103">S36*(1+$R36)</f>
        <v>751.38560000000018</v>
      </c>
      <c r="U36" s="154">
        <f t="shared" ref="U36" si="104">T36*(1+$R36)</f>
        <v>841.55187200000023</v>
      </c>
      <c r="V36" s="154">
        <f t="shared" ref="V36" si="105">U36*(1+$R36)</f>
        <v>942.53809664000039</v>
      </c>
      <c r="W36" s="154">
        <f t="shared" si="42"/>
        <v>1055.6426682368005</v>
      </c>
      <c r="X36" s="154">
        <f t="shared" si="43"/>
        <v>1182.3197884252168</v>
      </c>
      <c r="Y36" s="154">
        <f t="shared" si="44"/>
        <v>1324.1981630362429</v>
      </c>
      <c r="Z36" s="154">
        <f t="shared" si="45"/>
        <v>1483.1019426005923</v>
      </c>
      <c r="AA36" s="154">
        <f t="shared" si="46"/>
        <v>1661.0741757126636</v>
      </c>
      <c r="AB36" s="154">
        <f t="shared" si="47"/>
        <v>1860.4030767981835</v>
      </c>
      <c r="AC36" s="138">
        <f t="shared" si="19"/>
        <v>0.16161517960563709</v>
      </c>
      <c r="AD36" s="31">
        <f t="shared" si="17"/>
        <v>0.08</v>
      </c>
      <c r="AE36" s="146">
        <f t="shared" si="1"/>
        <v>14351.680878157415</v>
      </c>
    </row>
    <row r="37" spans="2:31" s="123" customFormat="1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0.15625</v>
      </c>
      <c r="I37" s="148">
        <f t="shared" ref="I37" si="108">(I36-H36)/I36</f>
        <v>0.11724137931034483</v>
      </c>
      <c r="J37" s="148">
        <f t="shared" ref="J37" si="109">(J36-I36)/J36</f>
        <v>0.15697674418604651</v>
      </c>
      <c r="K37" s="148">
        <f t="shared" ref="K37" si="110">(K36-J36)/K36</f>
        <v>0.3147410358565737</v>
      </c>
      <c r="L37" s="148">
        <f t="shared" ref="L37" si="111">(L36-K36)/L36</f>
        <v>-3.71900826446281E-2</v>
      </c>
      <c r="M37" s="148">
        <f t="shared" ref="M37" si="112">(M36-L36)/M36</f>
        <v>0.39195979899497485</v>
      </c>
      <c r="N37" s="148">
        <f t="shared" ref="N37" si="113">(N36-M36)/N36</f>
        <v>0.14224137931034483</v>
      </c>
      <c r="O37" s="148">
        <f t="shared" ref="O37" si="114">(O36-N36)/O36</f>
        <v>6.0728744939271252E-2</v>
      </c>
      <c r="P37" s="148">
        <f t="shared" ref="P37" si="115">(P36-O36)/P36</f>
        <v>0.17529215358931552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/>
      <c r="G38" s="147">
        <v>61</v>
      </c>
      <c r="H38" s="147">
        <v>72</v>
      </c>
      <c r="I38" s="147">
        <v>86</v>
      </c>
      <c r="J38" s="147">
        <v>111</v>
      </c>
      <c r="K38" s="147">
        <v>171</v>
      </c>
      <c r="L38" s="147">
        <v>110</v>
      </c>
      <c r="M38" s="147">
        <v>275</v>
      </c>
      <c r="N38" s="147">
        <v>308</v>
      </c>
      <c r="O38" s="147">
        <v>322</v>
      </c>
      <c r="P38" s="147">
        <v>421</v>
      </c>
      <c r="Q38" s="118">
        <f>((P38/G38)^(1/($H$2-$H$1) ))-1</f>
        <v>0.23941548510473254</v>
      </c>
      <c r="R38" s="31">
        <f t="shared" si="6"/>
        <v>0.12</v>
      </c>
      <c r="S38" s="154">
        <f>P38*(1+$R38)</f>
        <v>471.52000000000004</v>
      </c>
      <c r="T38" s="154">
        <f t="shared" ref="T38:AB38" si="116">S38*(1+$R38)</f>
        <v>528.1024000000001</v>
      </c>
      <c r="U38" s="154">
        <f t="shared" si="116"/>
        <v>591.47468800000013</v>
      </c>
      <c r="V38" s="154">
        <f t="shared" si="116"/>
        <v>662.45165056000019</v>
      </c>
      <c r="W38" s="154">
        <f t="shared" si="116"/>
        <v>741.94584862720023</v>
      </c>
      <c r="X38" s="154">
        <f t="shared" si="116"/>
        <v>830.97935046246437</v>
      </c>
      <c r="Y38" s="154">
        <f t="shared" si="116"/>
        <v>930.69687251796017</v>
      </c>
      <c r="Z38" s="154">
        <f t="shared" si="116"/>
        <v>1042.3804972201156</v>
      </c>
      <c r="AA38" s="154">
        <f t="shared" si="116"/>
        <v>1167.4661568865295</v>
      </c>
      <c r="AB38" s="154">
        <f t="shared" si="116"/>
        <v>1307.5620957129131</v>
      </c>
      <c r="AC38" s="138">
        <f t="shared" si="19"/>
        <v>0.17505881444282023</v>
      </c>
      <c r="AD38" s="31">
        <f t="shared" si="17"/>
        <v>0.08</v>
      </c>
      <c r="AE38" s="146">
        <f t="shared" si="1"/>
        <v>10086.907595499615</v>
      </c>
    </row>
    <row r="39" spans="2:31" s="123" customFormat="1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0.15277777777777779</v>
      </c>
      <c r="I39" s="148">
        <f t="shared" si="117"/>
        <v>0.16279069767441862</v>
      </c>
      <c r="J39" s="148">
        <f t="shared" si="117"/>
        <v>0.22522522522522523</v>
      </c>
      <c r="K39" s="148">
        <f t="shared" si="117"/>
        <v>0.35087719298245612</v>
      </c>
      <c r="L39" s="148">
        <f t="shared" si="117"/>
        <v>-0.55454545454545456</v>
      </c>
      <c r="M39" s="148">
        <f t="shared" si="117"/>
        <v>0.6</v>
      </c>
      <c r="N39" s="148">
        <f t="shared" si="117"/>
        <v>0.10714285714285714</v>
      </c>
      <c r="O39" s="148">
        <f t="shared" si="117"/>
        <v>4.3478260869565216E-2</v>
      </c>
      <c r="P39" s="148">
        <f t="shared" si="117"/>
        <v>0.23515439429928742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89">
        <v>0.73</v>
      </c>
      <c r="G40" s="147">
        <v>2.52</v>
      </c>
      <c r="H40" s="147">
        <v>2.52</v>
      </c>
      <c r="I40" s="147">
        <v>25.23</v>
      </c>
      <c r="J40" s="147">
        <v>25.23</v>
      </c>
      <c r="K40" s="147">
        <v>25.3</v>
      </c>
      <c r="L40" s="147">
        <v>25.3</v>
      </c>
      <c r="M40" s="147">
        <v>50.61</v>
      </c>
      <c r="N40" s="147">
        <v>50.61</v>
      </c>
      <c r="O40" s="147">
        <v>50.76</v>
      </c>
      <c r="P40" s="147">
        <v>51.26</v>
      </c>
      <c r="Q40" s="118">
        <f>((P40/G40)^(1/($H$2-$H$1) ))-1</f>
        <v>0.39757569763578293</v>
      </c>
      <c r="R40" s="31">
        <v>0.15</v>
      </c>
      <c r="S40" s="154">
        <f>P40*(1+$R40)</f>
        <v>58.948999999999991</v>
      </c>
      <c r="T40" s="154">
        <f t="shared" ref="T40:AB40" si="118">S40*(1+$R40)</f>
        <v>67.79134999999998</v>
      </c>
      <c r="U40" s="154">
        <f t="shared" si="118"/>
        <v>77.960052499999975</v>
      </c>
      <c r="V40" s="154">
        <f t="shared" si="118"/>
        <v>89.654060374999958</v>
      </c>
      <c r="W40" s="154">
        <f t="shared" si="118"/>
        <v>103.10216943124995</v>
      </c>
      <c r="X40" s="154">
        <f t="shared" si="118"/>
        <v>118.56749484593743</v>
      </c>
      <c r="Y40" s="154">
        <f t="shared" si="118"/>
        <v>136.35261907282805</v>
      </c>
      <c r="Z40" s="154">
        <f t="shared" si="118"/>
        <v>156.80551193375226</v>
      </c>
      <c r="AA40" s="154">
        <f t="shared" si="118"/>
        <v>180.32633872381507</v>
      </c>
      <c r="AB40" s="154">
        <f t="shared" si="118"/>
        <v>207.37528953238731</v>
      </c>
      <c r="AC40" s="138">
        <f t="shared" si="19"/>
        <v>0.26127049097404775</v>
      </c>
      <c r="AD40" s="31">
        <f t="shared" si="17"/>
        <v>0.08</v>
      </c>
      <c r="AE40" s="146">
        <f t="shared" si="1"/>
        <v>1599.7522335355593</v>
      </c>
    </row>
    <row r="41" spans="2:31">
      <c r="B41" s="20" t="s">
        <v>283</v>
      </c>
      <c r="C41" s="145"/>
      <c r="D41" s="145"/>
      <c r="E41" s="145"/>
      <c r="F41" s="147">
        <v>8</v>
      </c>
      <c r="G41" s="147">
        <v>8</v>
      </c>
      <c r="H41" s="147">
        <v>8</v>
      </c>
      <c r="I41" s="147">
        <v>1.25</v>
      </c>
      <c r="J41" s="147">
        <v>1.5</v>
      </c>
      <c r="K41" s="147">
        <v>1.75</v>
      </c>
      <c r="L41" s="147">
        <v>1.75</v>
      </c>
      <c r="M41" s="147">
        <v>1.5</v>
      </c>
      <c r="N41" s="147">
        <v>1.75</v>
      </c>
      <c r="O41" s="147">
        <v>1.9</v>
      </c>
      <c r="P41" s="147">
        <v>2.6</v>
      </c>
      <c r="Q41" s="118">
        <f>((P41/G41)^(1/($H$2-$H$1) ))-1</f>
        <v>-0.1173981815805033</v>
      </c>
      <c r="R41" s="31">
        <v>0.05</v>
      </c>
      <c r="S41" s="154">
        <f t="shared" ref="S41" si="119">P41*(1+$R41)</f>
        <v>2.7300000000000004</v>
      </c>
      <c r="T41" s="154">
        <f t="shared" ref="T41" si="120">S41*(1+$R41)</f>
        <v>2.8665000000000007</v>
      </c>
      <c r="U41" s="154">
        <f t="shared" ref="U41" si="121">T41*(1+$R41)</f>
        <v>3.0098250000000011</v>
      </c>
      <c r="V41" s="154">
        <f t="shared" ref="V41" si="122">U41*(1+$R41)</f>
        <v>3.1603162500000015</v>
      </c>
      <c r="W41" s="154">
        <f t="shared" ref="W41" si="123">V41*(1+$R41)</f>
        <v>3.3183320625000019</v>
      </c>
      <c r="X41" s="154">
        <f t="shared" ref="X41" si="124">W41*(1+$R41)</f>
        <v>3.4842486656250022</v>
      </c>
      <c r="Y41" s="154">
        <f t="shared" ref="Y41" si="125">X41*(1+$R41)</f>
        <v>3.6584610989062525</v>
      </c>
      <c r="Z41" s="154">
        <f t="shared" ref="Z41" si="126">Y41*(1+$R41)</f>
        <v>3.8413841538515654</v>
      </c>
      <c r="AA41" s="154">
        <f t="shared" ref="AA41" si="127">Z41*(1+$R41)</f>
        <v>4.0334533615441437</v>
      </c>
      <c r="AB41" s="154">
        <f t="shared" ref="AB41" si="128">AA41*(1+$R41)</f>
        <v>4.2351260296213509</v>
      </c>
      <c r="AC41" s="138">
        <f t="shared" ref="AC41" si="129">((AB41/G41)^(1/($AB$3-$H$1) ))-1</f>
        <v>-3.2921087947156646E-2</v>
      </c>
      <c r="AD41" s="31">
        <f t="shared" si="17"/>
        <v>0.08</v>
      </c>
      <c r="AE41" s="146">
        <f t="shared" si="1"/>
        <v>32.670972228507559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267.85714285714283</v>
      </c>
      <c r="H44" s="133">
        <f t="shared" si="130"/>
        <v>308.33333333333331</v>
      </c>
      <c r="I44" s="133">
        <f t="shared" si="130"/>
        <v>37.613951644867221</v>
      </c>
      <c r="J44" s="133">
        <f t="shared" si="130"/>
        <v>51.129607609988106</v>
      </c>
      <c r="K44" s="133">
        <f t="shared" si="130"/>
        <v>69.841897233201578</v>
      </c>
      <c r="L44" s="133">
        <f t="shared" si="130"/>
        <v>78.181818181818173</v>
      </c>
      <c r="M44" s="133">
        <f t="shared" si="130"/>
        <v>44.398340248962654</v>
      </c>
      <c r="N44" s="133">
        <f t="shared" si="130"/>
        <v>54.297569650266745</v>
      </c>
      <c r="O44" s="133">
        <f t="shared" si="130"/>
        <v>62.923561859732075</v>
      </c>
      <c r="P44" s="133">
        <f t="shared" si="130"/>
        <v>74.170893484198203</v>
      </c>
      <c r="Q44" s="118">
        <f>((P44/G44)^(1/($H$2-$H$1) ))-1</f>
        <v>-0.13296486338305802</v>
      </c>
      <c r="R44" s="128"/>
      <c r="S44" s="158">
        <f t="shared" ref="S44:AB44" si="131">S25/S40</f>
        <v>72.236000610697403</v>
      </c>
      <c r="T44" s="158">
        <f t="shared" si="131"/>
        <v>70.351583203461828</v>
      </c>
      <c r="U44" s="158">
        <f t="shared" si="131"/>
        <v>68.51632451119761</v>
      </c>
      <c r="V44" s="158">
        <f t="shared" si="131"/>
        <v>66.728942132644647</v>
      </c>
      <c r="W44" s="158">
        <f t="shared" si="131"/>
        <v>64.988187120488703</v>
      </c>
      <c r="X44" s="158">
        <f t="shared" si="131"/>
        <v>63.292843108649876</v>
      </c>
      <c r="Y44" s="158">
        <f t="shared" si="131"/>
        <v>61.641725462337277</v>
      </c>
      <c r="Z44" s="158">
        <f t="shared" si="131"/>
        <v>60.033680450276314</v>
      </c>
      <c r="AA44" s="158">
        <f t="shared" si="131"/>
        <v>58.46758443852999</v>
      </c>
      <c r="AB44" s="158">
        <f t="shared" si="131"/>
        <v>56.942343105350957</v>
      </c>
      <c r="AC44" s="138">
        <f t="shared" ref="AC44" si="132">((AB44/G44)^(1/($AB$3-$H$1) ))-1</f>
        <v>-7.8263145149345514E-2</v>
      </c>
      <c r="AD44" s="31">
        <f t="shared" si="17"/>
        <v>0.08</v>
      </c>
      <c r="AE44" s="146">
        <f t="shared" ref="AE44:AE45" si="133">(AB44*(1+AD44))/($C$1-AD44)</f>
        <v>439.26950395556452</v>
      </c>
    </row>
    <row r="45" spans="2:31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221.42857142857142</v>
      </c>
      <c r="H45" s="133">
        <f t="shared" si="134"/>
        <v>253.96825396825398</v>
      </c>
      <c r="I45" s="133">
        <f t="shared" si="134"/>
        <v>31.272294887039237</v>
      </c>
      <c r="J45" s="133">
        <f t="shared" si="134"/>
        <v>43.678160919540232</v>
      </c>
      <c r="K45" s="133">
        <f t="shared" si="134"/>
        <v>58.853754940711461</v>
      </c>
      <c r="L45" s="133">
        <f t="shared" si="134"/>
        <v>69.090909090909093</v>
      </c>
      <c r="M45" s="133">
        <f t="shared" si="134"/>
        <v>36.17862082592373</v>
      </c>
      <c r="N45" s="133">
        <f t="shared" si="134"/>
        <v>44.437858130804187</v>
      </c>
      <c r="O45" s="133">
        <f t="shared" si="134"/>
        <v>52.521670606776993</v>
      </c>
      <c r="P45" s="133">
        <f t="shared" si="134"/>
        <v>61.061256340226301</v>
      </c>
      <c r="Q45" s="118">
        <f>((P45/G45)^(1/($H$2-$H$1) ))-1</f>
        <v>-0.13336365703554598</v>
      </c>
      <c r="R45" s="128"/>
      <c r="S45" s="158">
        <f t="shared" ref="S45:AB45" si="135">S27/S40</f>
        <v>59.468354000916058</v>
      </c>
      <c r="T45" s="158">
        <f t="shared" si="135"/>
        <v>57.917005635674791</v>
      </c>
      <c r="U45" s="158">
        <f t="shared" si="135"/>
        <v>56.406127227787621</v>
      </c>
      <c r="V45" s="158">
        <f t="shared" si="135"/>
        <v>54.934663039236661</v>
      </c>
      <c r="W45" s="158">
        <f t="shared" si="135"/>
        <v>53.501584872995707</v>
      </c>
      <c r="X45" s="158">
        <f t="shared" si="135"/>
        <v>52.105891354569749</v>
      </c>
      <c r="Y45" s="158">
        <f t="shared" si="135"/>
        <v>50.746607232276631</v>
      </c>
      <c r="Z45" s="158">
        <f t="shared" si="135"/>
        <v>49.422782695782459</v>
      </c>
      <c r="AA45" s="158">
        <f t="shared" si="135"/>
        <v>48.133492712414231</v>
      </c>
      <c r="AB45" s="158">
        <f t="shared" si="135"/>
        <v>46.877836380786043</v>
      </c>
      <c r="AC45" s="138">
        <f t="shared" ref="AC45" si="136">((AB45/G45)^(1/($AB$3-$H$1) ))-1</f>
        <v>-7.8463989664777523E-2</v>
      </c>
      <c r="AD45" s="31">
        <f t="shared" si="17"/>
        <v>0.08</v>
      </c>
      <c r="AE45" s="146">
        <f t="shared" si="133"/>
        <v>361.62902350892091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24.206349206349206</v>
      </c>
      <c r="H47" s="133">
        <f t="shared" si="137"/>
        <v>28.571428571428573</v>
      </c>
      <c r="I47" s="133">
        <f t="shared" si="137"/>
        <v>3.4086405073325405</v>
      </c>
      <c r="J47" s="133">
        <f t="shared" si="137"/>
        <v>4.3995243757431632</v>
      </c>
      <c r="K47" s="133">
        <f t="shared" si="137"/>
        <v>6.7588932806324111</v>
      </c>
      <c r="L47" s="133">
        <f t="shared" si="137"/>
        <v>4.3478260869565215</v>
      </c>
      <c r="M47" s="133">
        <f t="shared" si="137"/>
        <v>5.4337087532108281</v>
      </c>
      <c r="N47" s="133">
        <f t="shared" si="137"/>
        <v>6.0857538035961269</v>
      </c>
      <c r="O47" s="133">
        <f t="shared" si="137"/>
        <v>6.3435776201733649</v>
      </c>
      <c r="P47" s="133">
        <f t="shared" si="137"/>
        <v>8.2130316035895436</v>
      </c>
      <c r="Q47" s="118">
        <f>((P47/G47)^(1/($H$2-$H$1) ))-1</f>
        <v>-0.11316754634371717</v>
      </c>
      <c r="R47" s="128"/>
      <c r="S47" s="158">
        <f t="shared" ref="S47:AB47" si="138">S38/S40</f>
        <v>7.9987786052350351</v>
      </c>
      <c r="T47" s="158">
        <f t="shared" si="138"/>
        <v>7.7901148155332542</v>
      </c>
      <c r="U47" s="158">
        <f t="shared" si="138"/>
        <v>7.5868944290410827</v>
      </c>
      <c r="V47" s="158">
        <f t="shared" si="138"/>
        <v>7.3889754439356645</v>
      </c>
      <c r="W47" s="158">
        <f t="shared" si="138"/>
        <v>7.1962195627895174</v>
      </c>
      <c r="X47" s="158">
        <f t="shared" si="138"/>
        <v>7.0084920959341401</v>
      </c>
      <c r="Y47" s="158">
        <f t="shared" si="138"/>
        <v>6.8256618673445546</v>
      </c>
      <c r="Z47" s="158">
        <f t="shared" si="138"/>
        <v>6.6476011229790455</v>
      </c>
      <c r="AA47" s="158">
        <f t="shared" si="138"/>
        <v>6.4741854415100279</v>
      </c>
      <c r="AB47" s="158">
        <f t="shared" si="138"/>
        <v>6.3052936473836798</v>
      </c>
      <c r="AC47" s="138">
        <f t="shared" ref="AC47:AC60" si="139">((AB47/G47)^(1/($AB$3-$H$1) ))-1</f>
        <v>-6.835304333858494E-2</v>
      </c>
      <c r="AD47" s="31">
        <f t="shared" si="17"/>
        <v>0.08</v>
      </c>
      <c r="AE47" s="146">
        <f t="shared" ref="AE47:AE74" si="140">(AB47*(1+AD47))/($C$1-AD47)</f>
        <v>48.640836708388385</v>
      </c>
    </row>
    <row r="48" spans="2:31">
      <c r="B48" s="20" t="s">
        <v>245</v>
      </c>
      <c r="C48" s="25">
        <f t="shared" ref="C48:P48" si="141">C7/C40</f>
        <v>0</v>
      </c>
      <c r="D48" s="25">
        <f t="shared" si="141"/>
        <v>0</v>
      </c>
      <c r="E48" s="25">
        <f t="shared" si="141"/>
        <v>0</v>
      </c>
      <c r="F48" s="133">
        <f t="shared" si="141"/>
        <v>0</v>
      </c>
      <c r="G48" s="133">
        <f t="shared" si="141"/>
        <v>125</v>
      </c>
      <c r="H48" s="133">
        <f t="shared" si="141"/>
        <v>143.25396825396825</v>
      </c>
      <c r="I48" s="133">
        <f t="shared" si="141"/>
        <v>16.369401506143479</v>
      </c>
      <c r="J48" s="133">
        <f t="shared" si="141"/>
        <v>19.024970273483948</v>
      </c>
      <c r="K48" s="133">
        <f t="shared" si="141"/>
        <v>24.505928853754941</v>
      </c>
      <c r="L48" s="133">
        <f t="shared" si="141"/>
        <v>25.059288537549406</v>
      </c>
      <c r="M48" s="133">
        <f t="shared" si="141"/>
        <v>17.229796482908515</v>
      </c>
      <c r="N48" s="133">
        <f t="shared" si="141"/>
        <v>21.418691958111044</v>
      </c>
      <c r="O48" s="133">
        <f t="shared" si="141"/>
        <v>26.122931442080379</v>
      </c>
      <c r="P48" s="133">
        <f t="shared" si="141"/>
        <v>32.208349590323841</v>
      </c>
      <c r="Q48" s="118">
        <f>((P48/G48)^(1/($H$2-$H$1) ))-1</f>
        <v>-0.13987404919652835</v>
      </c>
      <c r="R48" s="128"/>
      <c r="S48" s="158">
        <f t="shared" ref="S48:AB48" si="142">S7/S40</f>
        <v>31.368131774924095</v>
      </c>
      <c r="T48" s="158">
        <f t="shared" si="142"/>
        <v>30.549832685143475</v>
      </c>
      <c r="U48" s="158">
        <f t="shared" si="142"/>
        <v>29.752880528139734</v>
      </c>
      <c r="V48" s="158">
        <f t="shared" si="142"/>
        <v>28.976718427405665</v>
      </c>
      <c r="W48" s="158">
        <f t="shared" si="142"/>
        <v>28.220804033647255</v>
      </c>
      <c r="X48" s="158">
        <f t="shared" si="142"/>
        <v>27.484609145812982</v>
      </c>
      <c r="Y48" s="158">
        <f t="shared" si="142"/>
        <v>26.767619342009166</v>
      </c>
      <c r="Z48" s="158">
        <f t="shared" si="142"/>
        <v>26.069333620043711</v>
      </c>
      <c r="AA48" s="158">
        <f t="shared" si="142"/>
        <v>25.389264047346927</v>
      </c>
      <c r="AB48" s="158">
        <f t="shared" si="142"/>
        <v>24.726935420024837</v>
      </c>
      <c r="AC48" s="138">
        <f t="shared" si="139"/>
        <v>-8.1749724217335396E-2</v>
      </c>
      <c r="AD48" s="31">
        <f t="shared" si="17"/>
        <v>0.08</v>
      </c>
      <c r="AE48" s="146">
        <f t="shared" si="140"/>
        <v>190.75064466876302</v>
      </c>
    </row>
    <row r="49" spans="2:31">
      <c r="B49" s="20" t="s">
        <v>246</v>
      </c>
      <c r="C49" s="127">
        <f t="shared" ref="C49:P49" si="143">C6/C40</f>
        <v>0</v>
      </c>
      <c r="D49" s="127">
        <f t="shared" si="143"/>
        <v>0</v>
      </c>
      <c r="E49" s="127">
        <f t="shared" si="143"/>
        <v>0</v>
      </c>
      <c r="F49" s="144">
        <f t="shared" si="143"/>
        <v>0</v>
      </c>
      <c r="G49" s="144">
        <f t="shared" si="143"/>
        <v>114.68253968253968</v>
      </c>
      <c r="H49" s="144">
        <f t="shared" si="143"/>
        <v>133.33333333333334</v>
      </c>
      <c r="I49" s="144">
        <f t="shared" si="143"/>
        <v>15.378517637732857</v>
      </c>
      <c r="J49" s="144">
        <f t="shared" si="143"/>
        <v>18.034086405073324</v>
      </c>
      <c r="K49" s="144">
        <f t="shared" si="143"/>
        <v>23.359683794466402</v>
      </c>
      <c r="L49" s="144">
        <f t="shared" si="143"/>
        <v>26.442687747035574</v>
      </c>
      <c r="M49" s="144">
        <f t="shared" si="143"/>
        <v>16.222090495949416</v>
      </c>
      <c r="N49" s="144">
        <f t="shared" si="143"/>
        <v>20.430744912072711</v>
      </c>
      <c r="O49" s="144">
        <f t="shared" si="143"/>
        <v>25.118203309692671</v>
      </c>
      <c r="P49" s="144">
        <f t="shared" si="143"/>
        <v>31.213421771361688</v>
      </c>
      <c r="Q49" s="118">
        <f>((P49/G49)^(1/($H$2-$H$1) ))-1</f>
        <v>-0.1346238980347757</v>
      </c>
      <c r="R49" s="128"/>
      <c r="S49" s="157">
        <f t="shared" ref="S49:AB49" si="144">S6/S40</f>
        <v>30.399158594717477</v>
      </c>
      <c r="T49" s="157">
        <f t="shared" si="144"/>
        <v>29.606137066159636</v>
      </c>
      <c r="U49" s="157">
        <f t="shared" si="144"/>
        <v>28.833803055738084</v>
      </c>
      <c r="V49" s="157">
        <f t="shared" si="144"/>
        <v>28.081616889066659</v>
      </c>
      <c r="W49" s="157">
        <f t="shared" si="144"/>
        <v>27.349052970221447</v>
      </c>
      <c r="X49" s="157">
        <f t="shared" si="144"/>
        <v>26.635599414476541</v>
      </c>
      <c r="Y49" s="157">
        <f t="shared" si="144"/>
        <v>25.940757690620632</v>
      </c>
      <c r="Z49" s="157">
        <f t="shared" si="144"/>
        <v>25.264042272604442</v>
      </c>
      <c r="AA49" s="157">
        <f t="shared" si="144"/>
        <v>24.604980300275638</v>
      </c>
      <c r="AB49" s="157">
        <f t="shared" si="144"/>
        <v>23.963111248964108</v>
      </c>
      <c r="AC49" s="138">
        <f t="shared" si="139"/>
        <v>-7.9099004997896905E-2</v>
      </c>
      <c r="AD49" s="31">
        <f t="shared" si="17"/>
        <v>0.08</v>
      </c>
      <c r="AE49" s="146">
        <f t="shared" si="140"/>
        <v>184.85828677772312</v>
      </c>
    </row>
    <row r="50" spans="2:31">
      <c r="B50" s="20" t="s">
        <v>247</v>
      </c>
      <c r="C50" s="127">
        <f t="shared" ref="C50:P50" si="145">C10/C40</f>
        <v>0</v>
      </c>
      <c r="D50" s="127">
        <f t="shared" si="145"/>
        <v>0</v>
      </c>
      <c r="E50" s="127">
        <f t="shared" si="145"/>
        <v>0</v>
      </c>
      <c r="F50" s="144">
        <f t="shared" si="145"/>
        <v>0</v>
      </c>
      <c r="G50" s="144">
        <f t="shared" si="145"/>
        <v>22.222222222222221</v>
      </c>
      <c r="H50" s="144">
        <f t="shared" si="145"/>
        <v>24.603174603174605</v>
      </c>
      <c r="I50" s="144">
        <f t="shared" si="145"/>
        <v>2.219579865239794</v>
      </c>
      <c r="J50" s="144">
        <f t="shared" si="145"/>
        <v>5.7471264367816088</v>
      </c>
      <c r="K50" s="144">
        <f t="shared" si="145"/>
        <v>20.790513833992094</v>
      </c>
      <c r="L50" s="144">
        <f t="shared" si="145"/>
        <v>24.071146245059289</v>
      </c>
      <c r="M50" s="144">
        <f t="shared" si="145"/>
        <v>9.2471843509187917</v>
      </c>
      <c r="N50" s="144">
        <f t="shared" si="145"/>
        <v>6.6192452084568272</v>
      </c>
      <c r="O50" s="144">
        <f t="shared" si="145"/>
        <v>2.9156816390858946</v>
      </c>
      <c r="P50" s="144">
        <f t="shared" si="145"/>
        <v>0.99492781896215376</v>
      </c>
      <c r="Q50" s="118">
        <f>((P50/G50)^(1/($H$2-$H$1) ))-1</f>
        <v>-0.29187232899660798</v>
      </c>
      <c r="R50" s="128"/>
      <c r="S50" s="157">
        <f t="shared" ref="S50:AB50" si="146">S10/S40</f>
        <v>0.96897318020661949</v>
      </c>
      <c r="T50" s="157">
        <f t="shared" si="146"/>
        <v>0.94369561898383836</v>
      </c>
      <c r="U50" s="157">
        <f t="shared" si="146"/>
        <v>0.91907747240165139</v>
      </c>
      <c r="V50" s="157">
        <f t="shared" si="146"/>
        <v>0.89510153833899986</v>
      </c>
      <c r="W50" s="157">
        <f t="shared" si="146"/>
        <v>0.87175106342580866</v>
      </c>
      <c r="X50" s="157">
        <f t="shared" si="146"/>
        <v>0.84900973133643987</v>
      </c>
      <c r="Y50" s="157">
        <f t="shared" si="146"/>
        <v>0.82686165138853285</v>
      </c>
      <c r="Z50" s="157">
        <f t="shared" si="146"/>
        <v>0.80529134743926689</v>
      </c>
      <c r="AA50" s="157">
        <f t="shared" si="146"/>
        <v>0.78428374707128623</v>
      </c>
      <c r="AB50" s="157">
        <f t="shared" si="146"/>
        <v>0.76382417106073097</v>
      </c>
      <c r="AC50" s="138">
        <f t="shared" si="139"/>
        <v>-0.16255131327525474</v>
      </c>
      <c r="AD50" s="31">
        <f t="shared" si="17"/>
        <v>0.08</v>
      </c>
      <c r="AE50" s="146">
        <f t="shared" si="140"/>
        <v>5.8923578910399241</v>
      </c>
    </row>
    <row r="51" spans="2:31">
      <c r="B51" s="20"/>
      <c r="C51" s="127"/>
      <c r="D51" s="127"/>
      <c r="E51" s="127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28"/>
      <c r="R51" s="128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39"/>
      <c r="AD51" s="137"/>
      <c r="AE51" s="146"/>
    </row>
    <row r="52" spans="2:31">
      <c r="B52" s="20" t="s">
        <v>271</v>
      </c>
      <c r="C52" s="127">
        <f t="shared" ref="C52:P52" si="147">(C7-C10)/C40</f>
        <v>0</v>
      </c>
      <c r="D52" s="127">
        <f t="shared" si="147"/>
        <v>0</v>
      </c>
      <c r="E52" s="127">
        <f t="shared" si="147"/>
        <v>0</v>
      </c>
      <c r="F52" s="144">
        <f t="shared" si="147"/>
        <v>0</v>
      </c>
      <c r="G52" s="144">
        <f t="shared" si="147"/>
        <v>102.77777777777777</v>
      </c>
      <c r="H52" s="144">
        <f t="shared" si="147"/>
        <v>118.65079365079364</v>
      </c>
      <c r="I52" s="144">
        <f t="shared" si="147"/>
        <v>14.149821640903685</v>
      </c>
      <c r="J52" s="144">
        <f t="shared" si="147"/>
        <v>13.277843836702338</v>
      </c>
      <c r="K52" s="144">
        <f t="shared" si="147"/>
        <v>3.7154150197628457</v>
      </c>
      <c r="L52" s="144">
        <f t="shared" si="147"/>
        <v>0.98814229249011853</v>
      </c>
      <c r="M52" s="144">
        <f t="shared" si="147"/>
        <v>7.9826121319897254</v>
      </c>
      <c r="N52" s="144">
        <f t="shared" si="147"/>
        <v>14.799446749654219</v>
      </c>
      <c r="O52" s="144">
        <f t="shared" si="147"/>
        <v>23.207249802994486</v>
      </c>
      <c r="P52" s="144">
        <f t="shared" si="147"/>
        <v>31.213421771361688</v>
      </c>
      <c r="Q52" s="118">
        <f>((P52/G52)^(1/($H$2-$H$1) ))-1</f>
        <v>-0.12402124570835338</v>
      </c>
      <c r="R52" s="128"/>
      <c r="S52" s="157">
        <f t="shared" ref="S52:AB52" si="148">(S7-S10)/S40</f>
        <v>30.399158594717473</v>
      </c>
      <c r="T52" s="157">
        <f t="shared" si="148"/>
        <v>29.606137066159636</v>
      </c>
      <c r="U52" s="157">
        <f t="shared" si="148"/>
        <v>28.833803055738084</v>
      </c>
      <c r="V52" s="157">
        <f t="shared" si="148"/>
        <v>28.081616889066666</v>
      </c>
      <c r="W52" s="157">
        <f t="shared" si="148"/>
        <v>27.34905297022145</v>
      </c>
      <c r="X52" s="157">
        <f t="shared" si="148"/>
        <v>26.635599414476545</v>
      </c>
      <c r="Y52" s="157">
        <f t="shared" si="148"/>
        <v>25.940757690620636</v>
      </c>
      <c r="Z52" s="157">
        <f t="shared" si="148"/>
        <v>25.264042272604446</v>
      </c>
      <c r="AA52" s="157">
        <f t="shared" si="148"/>
        <v>24.604980300275642</v>
      </c>
      <c r="AB52" s="157">
        <f t="shared" si="148"/>
        <v>23.963111248964108</v>
      </c>
      <c r="AC52" s="138">
        <f t="shared" si="139"/>
        <v>-7.3771576425607388E-2</v>
      </c>
      <c r="AD52" s="31">
        <f t="shared" si="17"/>
        <v>0.08</v>
      </c>
      <c r="AE52" s="146">
        <f t="shared" si="140"/>
        <v>184.85828677772312</v>
      </c>
    </row>
    <row r="53" spans="2:31">
      <c r="B53" s="20" t="s">
        <v>272</v>
      </c>
      <c r="C53" s="127">
        <f t="shared" ref="C53:P53" si="149">(C7-C10-C9)/C40</f>
        <v>0</v>
      </c>
      <c r="D53" s="127">
        <f t="shared" si="149"/>
        <v>0</v>
      </c>
      <c r="E53" s="127">
        <f t="shared" si="149"/>
        <v>0</v>
      </c>
      <c r="F53" s="144">
        <f t="shared" si="149"/>
        <v>0</v>
      </c>
      <c r="G53" s="144">
        <f t="shared" si="149"/>
        <v>69.047619047619051</v>
      </c>
      <c r="H53" s="144">
        <f t="shared" si="149"/>
        <v>74.206349206349202</v>
      </c>
      <c r="I53" s="144">
        <f t="shared" si="149"/>
        <v>8.878319460959176</v>
      </c>
      <c r="J53" s="144">
        <f t="shared" si="149"/>
        <v>5.4696789536266346</v>
      </c>
      <c r="K53" s="144">
        <f t="shared" si="149"/>
        <v>-6.6798418972332012</v>
      </c>
      <c r="L53" s="144">
        <f t="shared" si="149"/>
        <v>-11.818181818181818</v>
      </c>
      <c r="M53" s="144">
        <f t="shared" si="149"/>
        <v>-0.13831258644536654</v>
      </c>
      <c r="N53" s="144">
        <f t="shared" si="149"/>
        <v>4.7223868800632287</v>
      </c>
      <c r="O53" s="144">
        <f t="shared" si="149"/>
        <v>8.47123719464145</v>
      </c>
      <c r="P53" s="144">
        <f t="shared" si="149"/>
        <v>17.694108466640657</v>
      </c>
      <c r="Q53" s="118">
        <f>((P53/G53)^(1/($H$2-$H$1) ))-1</f>
        <v>-0.14039729135677714</v>
      </c>
      <c r="R53" s="128"/>
      <c r="S53" s="157">
        <f t="shared" ref="S53:AB53" si="150">(S7-S10-S9)/S40</f>
        <v>17.232523028380466</v>
      </c>
      <c r="T53" s="157">
        <f t="shared" si="150"/>
        <v>16.782978949379245</v>
      </c>
      <c r="U53" s="157">
        <f t="shared" si="150"/>
        <v>16.345162107221526</v>
      </c>
      <c r="V53" s="157">
        <f t="shared" si="150"/>
        <v>15.918766573989668</v>
      </c>
      <c r="W53" s="157">
        <f t="shared" si="150"/>
        <v>15.503494402494285</v>
      </c>
      <c r="X53" s="157">
        <f t="shared" si="150"/>
        <v>15.09905541808139</v>
      </c>
      <c r="Y53" s="157">
        <f t="shared" si="150"/>
        <v>14.70516701587057</v>
      </c>
      <c r="Z53" s="157">
        <f t="shared" si="150"/>
        <v>14.321553963282645</v>
      </c>
      <c r="AA53" s="157">
        <f t="shared" si="150"/>
        <v>13.947948207718754</v>
      </c>
      <c r="AB53" s="157">
        <f t="shared" si="150"/>
        <v>13.584088689256525</v>
      </c>
      <c r="AC53" s="138">
        <f t="shared" si="139"/>
        <v>-8.2014367086301165E-2</v>
      </c>
      <c r="AD53" s="31">
        <f t="shared" si="17"/>
        <v>0.08</v>
      </c>
      <c r="AE53" s="146">
        <f t="shared" si="140"/>
        <v>104.79154131712176</v>
      </c>
    </row>
    <row r="54" spans="2:31">
      <c r="B54" s="20" t="s">
        <v>277</v>
      </c>
      <c r="C54" s="127">
        <f t="shared" ref="C54:P54" si="151">(C7+C15-C10-C9)/C40</f>
        <v>0</v>
      </c>
      <c r="D54" s="127">
        <f t="shared" si="151"/>
        <v>0</v>
      </c>
      <c r="E54" s="127">
        <f t="shared" si="151"/>
        <v>0</v>
      </c>
      <c r="F54" s="144">
        <f t="shared" si="151"/>
        <v>0</v>
      </c>
      <c r="G54" s="144">
        <f t="shared" si="151"/>
        <v>152.18253968253967</v>
      </c>
      <c r="H54" s="144">
        <f t="shared" si="151"/>
        <v>175</v>
      </c>
      <c r="I54" s="144">
        <f t="shared" si="151"/>
        <v>20.134760206103845</v>
      </c>
      <c r="J54" s="144">
        <f t="shared" si="151"/>
        <v>21.997621878715815</v>
      </c>
      <c r="K54" s="144">
        <f t="shared" si="151"/>
        <v>21.304347826086957</v>
      </c>
      <c r="L54" s="144">
        <f t="shared" si="151"/>
        <v>16.561264822134387</v>
      </c>
      <c r="M54" s="144">
        <f t="shared" si="151"/>
        <v>12.467891721003754</v>
      </c>
      <c r="N54" s="144">
        <f t="shared" si="151"/>
        <v>20.391227030231178</v>
      </c>
      <c r="O54" s="144">
        <f t="shared" si="151"/>
        <v>30.575256107171001</v>
      </c>
      <c r="P54" s="144">
        <f t="shared" si="151"/>
        <v>39.231369488880219</v>
      </c>
      <c r="Q54" s="118">
        <f>((P54/G54)^(1/($H$2-$H$1) ))-1</f>
        <v>-0.13982779574353221</v>
      </c>
      <c r="R54" s="128"/>
      <c r="S54" s="157">
        <f t="shared" ref="S54:AB54" si="152">(S7+S15-S10-S9)/S40</f>
        <v>38.207942458735531</v>
      </c>
      <c r="T54" s="157">
        <f t="shared" si="152"/>
        <v>37.211213525029379</v>
      </c>
      <c r="U54" s="157">
        <f t="shared" si="152"/>
        <v>36.240486215680804</v>
      </c>
      <c r="V54" s="157">
        <f t="shared" si="152"/>
        <v>35.295082227445661</v>
      </c>
      <c r="W54" s="157">
        <f t="shared" si="152"/>
        <v>34.374340951947083</v>
      </c>
      <c r="X54" s="157">
        <f t="shared" si="152"/>
        <v>33.477619014070207</v>
      </c>
      <c r="Y54" s="157">
        <f t="shared" si="152"/>
        <v>32.604289822398812</v>
      </c>
      <c r="Z54" s="157">
        <f t="shared" si="152"/>
        <v>31.753743131379707</v>
      </c>
      <c r="AA54" s="157">
        <f t="shared" si="152"/>
        <v>30.925384614908943</v>
      </c>
      <c r="AB54" s="157">
        <f t="shared" si="152"/>
        <v>30.118635451041758</v>
      </c>
      <c r="AC54" s="138">
        <f t="shared" si="139"/>
        <v>-8.1726334447980054E-2</v>
      </c>
      <c r="AD54" s="31">
        <f t="shared" si="17"/>
        <v>0.08</v>
      </c>
      <c r="AE54" s="146">
        <f t="shared" si="140"/>
        <v>232.34375919375069</v>
      </c>
    </row>
    <row r="55" spans="2:31">
      <c r="B55" s="20"/>
      <c r="C55" s="127"/>
      <c r="D55" s="127"/>
      <c r="E55" s="127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28"/>
      <c r="R55" s="128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39"/>
      <c r="AD55" s="137"/>
      <c r="AE55" s="154"/>
    </row>
    <row r="56" spans="2:31">
      <c r="B56" s="20" t="s">
        <v>248</v>
      </c>
      <c r="C56" s="127">
        <f t="shared" ref="C56:P56" si="153">C12/C40</f>
        <v>0</v>
      </c>
      <c r="D56" s="127">
        <f t="shared" si="153"/>
        <v>0</v>
      </c>
      <c r="E56" s="127">
        <f t="shared" si="153"/>
        <v>0</v>
      </c>
      <c r="F56" s="144">
        <f t="shared" si="153"/>
        <v>0</v>
      </c>
      <c r="G56" s="144">
        <f t="shared" si="153"/>
        <v>2.9761904761904763</v>
      </c>
      <c r="H56" s="144">
        <f t="shared" si="153"/>
        <v>5.5555555555555554</v>
      </c>
      <c r="I56" s="144">
        <f t="shared" si="153"/>
        <v>0.63416567578279825</v>
      </c>
      <c r="J56" s="144">
        <f t="shared" si="153"/>
        <v>1.5061434799841458</v>
      </c>
      <c r="K56" s="144">
        <f t="shared" si="153"/>
        <v>6.7984189723320156</v>
      </c>
      <c r="L56" s="144">
        <f t="shared" si="153"/>
        <v>6.2845849802371543</v>
      </c>
      <c r="M56" s="144">
        <f t="shared" si="153"/>
        <v>0.88915234143449917</v>
      </c>
      <c r="N56" s="144">
        <f t="shared" si="153"/>
        <v>2.0351709148389645</v>
      </c>
      <c r="O56" s="144">
        <f t="shared" si="153"/>
        <v>5.378250591016549</v>
      </c>
      <c r="P56" s="144">
        <f t="shared" si="153"/>
        <v>2.9457666796722592</v>
      </c>
      <c r="Q56" s="118">
        <f>((P56/G56)^(1/($H$2-$H$1) ))-1</f>
        <v>-1.1410155616989881E-3</v>
      </c>
      <c r="R56" s="128"/>
      <c r="S56" s="157">
        <f t="shared" ref="S56:AB56" si="154">S12/S40</f>
        <v>2.8689205923764614</v>
      </c>
      <c r="T56" s="157">
        <f t="shared" si="154"/>
        <v>2.7940791856188154</v>
      </c>
      <c r="U56" s="157">
        <f t="shared" si="154"/>
        <v>2.7211901633852813</v>
      </c>
      <c r="V56" s="157">
        <f t="shared" si="154"/>
        <v>2.6502025939056661</v>
      </c>
      <c r="W56" s="157">
        <f t="shared" si="154"/>
        <v>2.581066874064649</v>
      </c>
      <c r="X56" s="157">
        <f t="shared" si="154"/>
        <v>2.5137346947412236</v>
      </c>
      <c r="Y56" s="157">
        <f t="shared" si="154"/>
        <v>2.4481590070523223</v>
      </c>
      <c r="Z56" s="157">
        <f t="shared" si="154"/>
        <v>2.3842939894770447</v>
      </c>
      <c r="AA56" s="157">
        <f t="shared" si="154"/>
        <v>2.3220950158385136</v>
      </c>
      <c r="AB56" s="157">
        <f t="shared" si="154"/>
        <v>2.2615186241209875</v>
      </c>
      <c r="AC56" s="138">
        <f t="shared" si="139"/>
        <v>-1.4349086529692578E-2</v>
      </c>
      <c r="AD56" s="31">
        <f t="shared" si="17"/>
        <v>0.08</v>
      </c>
      <c r="AE56" s="146">
        <f t="shared" si="140"/>
        <v>17.446000814647618</v>
      </c>
    </row>
    <row r="57" spans="2:31">
      <c r="B57" s="20" t="s">
        <v>255</v>
      </c>
      <c r="C57" s="127">
        <f t="shared" ref="C57:P57" si="155">C13/C40</f>
        <v>0</v>
      </c>
      <c r="D57" s="127">
        <f t="shared" si="155"/>
        <v>0</v>
      </c>
      <c r="E57" s="127">
        <f t="shared" si="155"/>
        <v>0</v>
      </c>
      <c r="F57" s="144">
        <f t="shared" si="155"/>
        <v>0</v>
      </c>
      <c r="G57" s="144">
        <f t="shared" si="155"/>
        <v>7.5396825396825395</v>
      </c>
      <c r="H57" s="144">
        <f t="shared" si="155"/>
        <v>7.5396825396825395</v>
      </c>
      <c r="I57" s="144">
        <f t="shared" si="155"/>
        <v>0.63416567578279825</v>
      </c>
      <c r="J57" s="144">
        <f t="shared" si="155"/>
        <v>0.63416567578279825</v>
      </c>
      <c r="K57" s="144">
        <f t="shared" si="155"/>
        <v>0.12806324110671938</v>
      </c>
      <c r="L57" s="144">
        <f t="shared" si="155"/>
        <v>1.0276679841897234</v>
      </c>
      <c r="M57" s="144">
        <f t="shared" si="155"/>
        <v>5.2953961667654612</v>
      </c>
      <c r="N57" s="144">
        <f t="shared" si="155"/>
        <v>3.35901995653033</v>
      </c>
      <c r="O57" s="144">
        <f t="shared" si="155"/>
        <v>1.9306540583136329</v>
      </c>
      <c r="P57" s="144">
        <f t="shared" si="155"/>
        <v>5.7159578618806091</v>
      </c>
      <c r="Q57" s="118">
        <f>((P57/G57)^(1/($H$2-$H$1) ))-1</f>
        <v>-3.0300149389517972E-2</v>
      </c>
      <c r="R57" s="128"/>
      <c r="S57" s="157">
        <f t="shared" ref="S57:AB57" si="156">S13/S40</f>
        <v>5.5668459176576377</v>
      </c>
      <c r="T57" s="157">
        <f t="shared" si="156"/>
        <v>5.4216238502404828</v>
      </c>
      <c r="U57" s="157">
        <f t="shared" si="156"/>
        <v>5.280190184582036</v>
      </c>
      <c r="V57" s="157">
        <f t="shared" si="156"/>
        <v>5.1424460928103315</v>
      </c>
      <c r="W57" s="157">
        <f t="shared" si="156"/>
        <v>5.0082953251718019</v>
      </c>
      <c r="X57" s="157">
        <f t="shared" si="156"/>
        <v>4.877644142776016</v>
      </c>
      <c r="Y57" s="157">
        <f t="shared" si="156"/>
        <v>4.7504012520949033</v>
      </c>
      <c r="Z57" s="157">
        <f t="shared" si="156"/>
        <v>4.6264777411706888</v>
      </c>
      <c r="AA57" s="157">
        <f t="shared" si="156"/>
        <v>4.5057870174879762</v>
      </c>
      <c r="AB57" s="157">
        <f t="shared" si="156"/>
        <v>4.388244747466552</v>
      </c>
      <c r="AC57" s="138">
        <f t="shared" si="139"/>
        <v>-2.8084956470708744E-2</v>
      </c>
      <c r="AD57" s="31">
        <f t="shared" si="17"/>
        <v>0.08</v>
      </c>
      <c r="AE57" s="146">
        <f t="shared" si="140"/>
        <v>33.852173766170544</v>
      </c>
    </row>
    <row r="58" spans="2:31">
      <c r="B58" s="20" t="s">
        <v>256</v>
      </c>
      <c r="C58" s="127">
        <f>(C56+C57)</f>
        <v>0</v>
      </c>
      <c r="D58" s="127">
        <f t="shared" ref="D58:P58" si="157">(D56+D57)</f>
        <v>0</v>
      </c>
      <c r="E58" s="127">
        <f t="shared" si="157"/>
        <v>0</v>
      </c>
      <c r="F58" s="144">
        <f t="shared" si="157"/>
        <v>0</v>
      </c>
      <c r="G58" s="144">
        <f t="shared" si="157"/>
        <v>10.515873015873016</v>
      </c>
      <c r="H58" s="144">
        <f t="shared" si="157"/>
        <v>13.095238095238095</v>
      </c>
      <c r="I58" s="144">
        <f t="shared" si="157"/>
        <v>1.2683313515655965</v>
      </c>
      <c r="J58" s="144">
        <f t="shared" si="157"/>
        <v>2.140309155766944</v>
      </c>
      <c r="K58" s="144">
        <f t="shared" si="157"/>
        <v>6.9264822134387352</v>
      </c>
      <c r="L58" s="144">
        <f t="shared" si="157"/>
        <v>7.3122529644268779</v>
      </c>
      <c r="M58" s="144">
        <f t="shared" si="157"/>
        <v>6.1845485081999607</v>
      </c>
      <c r="N58" s="144">
        <f t="shared" si="157"/>
        <v>5.394190871369295</v>
      </c>
      <c r="O58" s="144">
        <f t="shared" ref="O58" si="158">(O56+O57)</f>
        <v>7.3089046493301817</v>
      </c>
      <c r="P58" s="144">
        <f t="shared" si="157"/>
        <v>8.6617245415528679</v>
      </c>
      <c r="Q58" s="118">
        <f>((P58/G58)^(1/($H$2-$H$1) ))-1</f>
        <v>-2.1321849018219097E-2</v>
      </c>
      <c r="R58" s="128"/>
      <c r="S58" s="157">
        <f t="shared" ref="S58:AB58" si="159">(S56+S57)</f>
        <v>8.4357665100340995</v>
      </c>
      <c r="T58" s="157">
        <f t="shared" si="159"/>
        <v>8.2157030358592991</v>
      </c>
      <c r="U58" s="157">
        <f t="shared" si="159"/>
        <v>8.0013803479673165</v>
      </c>
      <c r="V58" s="157">
        <f t="shared" si="159"/>
        <v>7.7926486867159976</v>
      </c>
      <c r="W58" s="157">
        <f t="shared" si="159"/>
        <v>7.5893621992364508</v>
      </c>
      <c r="X58" s="157">
        <f t="shared" si="159"/>
        <v>7.3913788375172391</v>
      </c>
      <c r="Y58" s="157">
        <f t="shared" si="159"/>
        <v>7.1985602591472251</v>
      </c>
      <c r="Z58" s="157">
        <f t="shared" si="159"/>
        <v>7.0107717306477335</v>
      </c>
      <c r="AA58" s="157">
        <f t="shared" si="159"/>
        <v>6.8278820333264898</v>
      </c>
      <c r="AB58" s="157">
        <f t="shared" si="159"/>
        <v>6.6497633715875395</v>
      </c>
      <c r="AC58" s="138">
        <f t="shared" si="139"/>
        <v>-2.3832699357386189E-2</v>
      </c>
      <c r="AD58" s="31">
        <f t="shared" si="17"/>
        <v>0.08</v>
      </c>
      <c r="AE58" s="146">
        <f t="shared" si="140"/>
        <v>51.298174580818163</v>
      </c>
    </row>
    <row r="59" spans="2:31">
      <c r="B59" s="20" t="s">
        <v>249</v>
      </c>
      <c r="C59" s="127">
        <f t="shared" ref="C59:P59" si="160">C15/C40</f>
        <v>0</v>
      </c>
      <c r="D59" s="127">
        <f t="shared" si="160"/>
        <v>0</v>
      </c>
      <c r="E59" s="127">
        <f t="shared" si="160"/>
        <v>0</v>
      </c>
      <c r="F59" s="144">
        <f t="shared" si="160"/>
        <v>0</v>
      </c>
      <c r="G59" s="144">
        <f t="shared" si="160"/>
        <v>83.134920634920633</v>
      </c>
      <c r="H59" s="144">
        <f t="shared" si="160"/>
        <v>100.7936507936508</v>
      </c>
      <c r="I59" s="144">
        <f t="shared" si="160"/>
        <v>11.256440745144669</v>
      </c>
      <c r="J59" s="144">
        <f t="shared" si="160"/>
        <v>16.527942925089178</v>
      </c>
      <c r="K59" s="144">
        <f t="shared" si="160"/>
        <v>27.984189723320156</v>
      </c>
      <c r="L59" s="144">
        <f t="shared" si="160"/>
        <v>28.379446640316203</v>
      </c>
      <c r="M59" s="144">
        <f t="shared" si="160"/>
        <v>12.60620430744912</v>
      </c>
      <c r="N59" s="144">
        <f t="shared" si="160"/>
        <v>15.66884015016795</v>
      </c>
      <c r="O59" s="144">
        <f t="shared" si="160"/>
        <v>22.104018912529551</v>
      </c>
      <c r="P59" s="144">
        <f t="shared" si="160"/>
        <v>21.537261022239562</v>
      </c>
      <c r="Q59" s="118">
        <f>((P59/G59)^(1/($H$2-$H$1) ))-1</f>
        <v>-0.1393570841298053</v>
      </c>
      <c r="R59" s="128"/>
      <c r="S59" s="157">
        <f t="shared" ref="S59:AB59" si="161">S15/S40</f>
        <v>20.975419430355057</v>
      </c>
      <c r="T59" s="157">
        <f t="shared" si="161"/>
        <v>20.428234575650144</v>
      </c>
      <c r="U59" s="157">
        <f t="shared" si="161"/>
        <v>19.895324108459274</v>
      </c>
      <c r="V59" s="157">
        <f t="shared" si="161"/>
        <v>19.376315653455993</v>
      </c>
      <c r="W59" s="157">
        <f t="shared" si="161"/>
        <v>18.870846549452796</v>
      </c>
      <c r="X59" s="157">
        <f t="shared" si="161"/>
        <v>18.378563595988812</v>
      </c>
      <c r="Y59" s="157">
        <f t="shared" si="161"/>
        <v>17.899122806528236</v>
      </c>
      <c r="Z59" s="157">
        <f t="shared" si="161"/>
        <v>17.432189168097064</v>
      </c>
      <c r="AA59" s="157">
        <f t="shared" si="161"/>
        <v>16.97743640719019</v>
      </c>
      <c r="AB59" s="157">
        <f t="shared" si="161"/>
        <v>16.534546761785229</v>
      </c>
      <c r="AC59" s="138">
        <f t="shared" si="139"/>
        <v>-8.1488339346453276E-2</v>
      </c>
      <c r="AD59" s="31">
        <f t="shared" si="17"/>
        <v>0.08</v>
      </c>
      <c r="AE59" s="146">
        <f t="shared" si="140"/>
        <v>127.5522178766289</v>
      </c>
    </row>
    <row r="60" spans="2:31">
      <c r="B60" s="20" t="s">
        <v>250</v>
      </c>
      <c r="C60" s="127">
        <f t="shared" ref="C60:P60" si="162">C16/C40</f>
        <v>0</v>
      </c>
      <c r="D60" s="127">
        <f t="shared" si="162"/>
        <v>0</v>
      </c>
      <c r="E60" s="127">
        <f t="shared" si="162"/>
        <v>0</v>
      </c>
      <c r="F60" s="144">
        <f t="shared" si="162"/>
        <v>0</v>
      </c>
      <c r="G60" s="144">
        <f t="shared" si="162"/>
        <v>52.38095238095238</v>
      </c>
      <c r="H60" s="144">
        <f t="shared" si="162"/>
        <v>57.539682539682538</v>
      </c>
      <c r="I60" s="144">
        <f t="shared" si="162"/>
        <v>5.8263971462544593</v>
      </c>
      <c r="J60" s="144">
        <f t="shared" si="162"/>
        <v>8.878319460959176</v>
      </c>
      <c r="K60" s="144">
        <f t="shared" si="162"/>
        <v>18.853754940711461</v>
      </c>
      <c r="L60" s="144">
        <f t="shared" si="162"/>
        <v>17.588932806324109</v>
      </c>
      <c r="M60" s="144">
        <f t="shared" si="162"/>
        <v>4.6235921754593958</v>
      </c>
      <c r="N60" s="144">
        <f t="shared" si="162"/>
        <v>6.6390041493775938</v>
      </c>
      <c r="O60" s="144">
        <f t="shared" si="162"/>
        <v>7.1907013396375099</v>
      </c>
      <c r="P60" s="144">
        <f t="shared" si="162"/>
        <v>6.5353101833788534</v>
      </c>
      <c r="Q60" s="118">
        <f>((P60/G60)^(1/($H$2-$H$1) ))-1</f>
        <v>-0.20646539903368755</v>
      </c>
      <c r="R60" s="128"/>
      <c r="S60" s="157">
        <f t="shared" ref="S60:AB60" si="163">S16/S40</f>
        <v>6.3648238307689713</v>
      </c>
      <c r="T60" s="157">
        <f t="shared" si="163"/>
        <v>6.198784948227174</v>
      </c>
      <c r="U60" s="157">
        <f t="shared" si="163"/>
        <v>6.0370775147951612</v>
      </c>
      <c r="V60" s="157">
        <f t="shared" si="163"/>
        <v>5.879588536148332</v>
      </c>
      <c r="W60" s="157">
        <f t="shared" si="163"/>
        <v>5.7262079656401159</v>
      </c>
      <c r="X60" s="157">
        <f t="shared" si="163"/>
        <v>5.5768286274060266</v>
      </c>
      <c r="Y60" s="157">
        <f t="shared" si="163"/>
        <v>5.4313461414736954</v>
      </c>
      <c r="Z60" s="157">
        <f t="shared" si="163"/>
        <v>5.2896588508265561</v>
      </c>
      <c r="AA60" s="157">
        <f t="shared" si="163"/>
        <v>5.1516677503702129</v>
      </c>
      <c r="AB60" s="157">
        <f t="shared" si="163"/>
        <v>5.0172764177518605</v>
      </c>
      <c r="AC60" s="138">
        <f t="shared" si="139"/>
        <v>-0.11613908740189016</v>
      </c>
      <c r="AD60" s="137"/>
      <c r="AE60" s="146">
        <f t="shared" si="140"/>
        <v>22.805801898872094</v>
      </c>
    </row>
    <row r="61" spans="2:31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31">
        <f t="shared" si="17"/>
        <v>0.08</v>
      </c>
      <c r="AE61" s="146">
        <f t="shared" si="140"/>
        <v>0</v>
      </c>
    </row>
    <row r="62" spans="2:31">
      <c r="B62" s="20" t="s">
        <v>283</v>
      </c>
      <c r="C62" s="159">
        <f>C41</f>
        <v>0</v>
      </c>
      <c r="D62" s="159">
        <f t="shared" ref="D62:P62" si="164">D41</f>
        <v>0</v>
      </c>
      <c r="E62" s="159">
        <f t="shared" si="164"/>
        <v>0</v>
      </c>
      <c r="F62" s="159">
        <f t="shared" si="164"/>
        <v>8</v>
      </c>
      <c r="G62" s="159">
        <f t="shared" si="164"/>
        <v>8</v>
      </c>
      <c r="H62" s="159">
        <f t="shared" si="164"/>
        <v>8</v>
      </c>
      <c r="I62" s="159">
        <f t="shared" si="164"/>
        <v>1.25</v>
      </c>
      <c r="J62" s="159">
        <f t="shared" si="164"/>
        <v>1.5</v>
      </c>
      <c r="K62" s="159">
        <f t="shared" si="164"/>
        <v>1.75</v>
      </c>
      <c r="L62" s="159">
        <f t="shared" si="164"/>
        <v>1.75</v>
      </c>
      <c r="M62" s="159">
        <f t="shared" si="164"/>
        <v>1.5</v>
      </c>
      <c r="N62" s="159">
        <f t="shared" si="164"/>
        <v>1.75</v>
      </c>
      <c r="O62" s="159">
        <f t="shared" si="164"/>
        <v>1.9</v>
      </c>
      <c r="P62" s="159">
        <f t="shared" si="164"/>
        <v>2.6</v>
      </c>
      <c r="Q62" s="118">
        <f>((P62/G62)^(1/($H$2-$H$1) ))-1</f>
        <v>-0.1173981815805033</v>
      </c>
      <c r="R62" s="128"/>
      <c r="S62" s="159">
        <f t="shared" ref="S62:AB62" si="165">S41</f>
        <v>2.7300000000000004</v>
      </c>
      <c r="T62" s="159">
        <f t="shared" si="165"/>
        <v>2.8665000000000007</v>
      </c>
      <c r="U62" s="159">
        <f t="shared" si="165"/>
        <v>3.0098250000000011</v>
      </c>
      <c r="V62" s="159">
        <f t="shared" si="165"/>
        <v>3.1603162500000015</v>
      </c>
      <c r="W62" s="159">
        <f t="shared" si="165"/>
        <v>3.3183320625000019</v>
      </c>
      <c r="X62" s="159">
        <f t="shared" si="165"/>
        <v>3.4842486656250022</v>
      </c>
      <c r="Y62" s="159">
        <f t="shared" si="165"/>
        <v>3.6584610989062525</v>
      </c>
      <c r="Z62" s="159">
        <f t="shared" si="165"/>
        <v>3.8413841538515654</v>
      </c>
      <c r="AA62" s="159">
        <f t="shared" si="165"/>
        <v>4.0334533615441437</v>
      </c>
      <c r="AB62" s="159">
        <f t="shared" si="165"/>
        <v>4.2351260296213509</v>
      </c>
      <c r="AC62" s="138">
        <f t="shared" ref="AC62" si="166">((AB62/G62)^(1/($AB$3-$H$1) ))-1</f>
        <v>-3.2921087947156646E-2</v>
      </c>
      <c r="AD62" s="31">
        <f t="shared" si="17"/>
        <v>0.08</v>
      </c>
      <c r="AE62" s="146">
        <f t="shared" si="140"/>
        <v>32.670972228507559</v>
      </c>
    </row>
    <row r="63" spans="2:31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39"/>
      <c r="AD63" s="137"/>
      <c r="AE63" s="154"/>
    </row>
    <row r="64" spans="2:31">
      <c r="B64" s="20" t="s">
        <v>318</v>
      </c>
      <c r="C64" s="127">
        <f t="shared" ref="C64:P64" si="167">C20+C21</f>
        <v>0</v>
      </c>
      <c r="D64" s="127">
        <f t="shared" si="167"/>
        <v>0</v>
      </c>
      <c r="E64" s="127">
        <f t="shared" si="167"/>
        <v>0</v>
      </c>
      <c r="F64" s="144">
        <f t="shared" si="167"/>
        <v>0</v>
      </c>
      <c r="G64" s="144">
        <f t="shared" si="167"/>
        <v>7</v>
      </c>
      <c r="H64" s="144">
        <f t="shared" si="167"/>
        <v>22</v>
      </c>
      <c r="I64" s="144">
        <f t="shared" si="167"/>
        <v>35</v>
      </c>
      <c r="J64" s="144">
        <f t="shared" si="167"/>
        <v>-36</v>
      </c>
      <c r="K64" s="144">
        <f t="shared" si="167"/>
        <v>-162</v>
      </c>
      <c r="L64" s="144">
        <f t="shared" si="167"/>
        <v>32</v>
      </c>
      <c r="M64" s="144">
        <f t="shared" si="167"/>
        <v>67</v>
      </c>
      <c r="N64" s="144">
        <f t="shared" si="167"/>
        <v>285</v>
      </c>
      <c r="O64" s="144">
        <f t="shared" si="167"/>
        <v>276</v>
      </c>
      <c r="P64" s="144">
        <f t="shared" si="167"/>
        <v>316</v>
      </c>
      <c r="Q64" s="118">
        <f>((P64/G64)^(1/($H$2-$H$1) ))-1</f>
        <v>0.5270147319567966</v>
      </c>
      <c r="R64" s="128"/>
      <c r="S64" s="144">
        <f t="shared" ref="S64:AB64" si="168">S20+S21</f>
        <v>353.92000000000007</v>
      </c>
      <c r="T64" s="144">
        <f t="shared" si="168"/>
        <v>396.39040000000011</v>
      </c>
      <c r="U64" s="144">
        <f t="shared" si="168"/>
        <v>443.95724800000016</v>
      </c>
      <c r="V64" s="144">
        <f t="shared" si="168"/>
        <v>497.23211776000028</v>
      </c>
      <c r="W64" s="144">
        <f t="shared" si="168"/>
        <v>556.89997189120027</v>
      </c>
      <c r="X64" s="144">
        <f t="shared" si="168"/>
        <v>623.72796851814451</v>
      </c>
      <c r="Y64" s="144">
        <f t="shared" si="168"/>
        <v>698.57532474032178</v>
      </c>
      <c r="Z64" s="144">
        <f t="shared" si="168"/>
        <v>782.40436370916052</v>
      </c>
      <c r="AA64" s="144">
        <f t="shared" si="168"/>
        <v>876.29288735425996</v>
      </c>
      <c r="AB64" s="144">
        <f t="shared" si="168"/>
        <v>981.44803383677129</v>
      </c>
      <c r="AC64" s="138">
        <f t="shared" ref="AC64:AC69" si="169">((AB64/G64)^(1/($AB$3-$H$1) ))-1</f>
        <v>0.29714299982869852</v>
      </c>
      <c r="AD64" s="31">
        <f t="shared" si="17"/>
        <v>0.08</v>
      </c>
      <c r="AE64" s="146">
        <f t="shared" si="140"/>
        <v>7571.1705467408065</v>
      </c>
    </row>
    <row r="65" spans="2:31">
      <c r="B65" s="20"/>
      <c r="C65" s="127"/>
      <c r="D65" s="127"/>
      <c r="E65" s="12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28"/>
      <c r="R65" s="128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39"/>
      <c r="AD65" s="137"/>
      <c r="AE65" s="146"/>
    </row>
    <row r="66" spans="2:31">
      <c r="B66" s="20" t="s">
        <v>319</v>
      </c>
      <c r="C66" s="127">
        <f t="shared" ref="C66:P66" si="170">C64/C40</f>
        <v>0</v>
      </c>
      <c r="D66" s="127">
        <f t="shared" si="170"/>
        <v>0</v>
      </c>
      <c r="E66" s="127">
        <f t="shared" si="170"/>
        <v>0</v>
      </c>
      <c r="F66" s="144">
        <f t="shared" si="170"/>
        <v>0</v>
      </c>
      <c r="G66" s="144">
        <f t="shared" si="170"/>
        <v>2.7777777777777777</v>
      </c>
      <c r="H66" s="144">
        <f t="shared" si="170"/>
        <v>8.7301587301587293</v>
      </c>
      <c r="I66" s="144">
        <f t="shared" si="170"/>
        <v>1.3872374157748713</v>
      </c>
      <c r="J66" s="144">
        <f t="shared" si="170"/>
        <v>-1.426872770511296</v>
      </c>
      <c r="K66" s="144">
        <f t="shared" si="170"/>
        <v>-6.4031620553359678</v>
      </c>
      <c r="L66" s="144">
        <f t="shared" si="170"/>
        <v>1.2648221343873518</v>
      </c>
      <c r="M66" s="144">
        <f t="shared" si="170"/>
        <v>1.3238490416913653</v>
      </c>
      <c r="N66" s="144">
        <f t="shared" si="170"/>
        <v>5.6312981624184948</v>
      </c>
      <c r="O66" s="144">
        <f t="shared" si="170"/>
        <v>5.4373522458628845</v>
      </c>
      <c r="P66" s="144">
        <f t="shared" si="170"/>
        <v>6.1646507998439333</v>
      </c>
      <c r="Q66" s="118">
        <f>((P66/G66)^(1/($H$2-$H$1) ))-1</f>
        <v>9.2616832519326175E-2</v>
      </c>
      <c r="R66" s="128"/>
      <c r="S66" s="146">
        <f t="shared" ref="S66:AB66" si="171">S64/S40</f>
        <v>6.0038338224567021</v>
      </c>
      <c r="T66" s="146">
        <f t="shared" si="171"/>
        <v>5.8472120705665285</v>
      </c>
      <c r="U66" s="146">
        <f t="shared" si="171"/>
        <v>5.6946761035082716</v>
      </c>
      <c r="V66" s="146">
        <f t="shared" si="171"/>
        <v>5.5461193355906664</v>
      </c>
      <c r="W66" s="146">
        <f t="shared" si="171"/>
        <v>5.4014379616187362</v>
      </c>
      <c r="X66" s="146">
        <f t="shared" si="171"/>
        <v>5.2605308843591185</v>
      </c>
      <c r="Y66" s="146">
        <f t="shared" si="171"/>
        <v>5.1232996438975764</v>
      </c>
      <c r="Z66" s="146">
        <f t="shared" si="171"/>
        <v>4.9896483488393795</v>
      </c>
      <c r="AA66" s="146">
        <f t="shared" si="171"/>
        <v>4.8594836093044407</v>
      </c>
      <c r="AB66" s="146">
        <f t="shared" si="171"/>
        <v>4.7327144716704126</v>
      </c>
      <c r="AC66" s="138">
        <f t="shared" si="169"/>
        <v>2.844156674667575E-2</v>
      </c>
      <c r="AD66" s="31">
        <f t="shared" si="17"/>
        <v>0.08</v>
      </c>
      <c r="AE66" s="146">
        <f t="shared" si="140"/>
        <v>36.509511638600323</v>
      </c>
    </row>
    <row r="67" spans="2:31">
      <c r="B67" s="20" t="s">
        <v>288</v>
      </c>
      <c r="C67" s="127">
        <f t="shared" ref="C67:P67" si="172">C20/C40</f>
        <v>0</v>
      </c>
      <c r="D67" s="127">
        <f t="shared" si="172"/>
        <v>0</v>
      </c>
      <c r="E67" s="127">
        <f t="shared" si="172"/>
        <v>0</v>
      </c>
      <c r="F67" s="144">
        <f t="shared" si="172"/>
        <v>0</v>
      </c>
      <c r="G67" s="144">
        <f t="shared" si="172"/>
        <v>19.047619047619047</v>
      </c>
      <c r="H67" s="144">
        <f t="shared" si="172"/>
        <v>36.507936507936506</v>
      </c>
      <c r="I67" s="144">
        <f t="shared" si="172"/>
        <v>4.439159730479588</v>
      </c>
      <c r="J67" s="144">
        <f t="shared" si="172"/>
        <v>3.5275465715418153</v>
      </c>
      <c r="K67" s="144">
        <f t="shared" si="172"/>
        <v>5.0592885375494072</v>
      </c>
      <c r="L67" s="144">
        <f t="shared" si="172"/>
        <v>10.276679841897232</v>
      </c>
      <c r="M67" s="144">
        <f t="shared" si="172"/>
        <v>8.140683659355858</v>
      </c>
      <c r="N67" s="144">
        <f t="shared" si="172"/>
        <v>6.3623789764868608</v>
      </c>
      <c r="O67" s="144">
        <f t="shared" si="172"/>
        <v>9.9881796690307336</v>
      </c>
      <c r="P67" s="144">
        <f t="shared" si="172"/>
        <v>10.00780335544284</v>
      </c>
      <c r="Q67" s="118">
        <f>((P67/G67)^(1/($H$2-$H$1) ))-1</f>
        <v>-6.9011686025279739E-2</v>
      </c>
      <c r="R67" s="128"/>
      <c r="S67" s="146">
        <f t="shared" ref="S67:AB67" si="173">S20/S40</f>
        <v>9.7467302244312908</v>
      </c>
      <c r="T67" s="146">
        <f t="shared" si="173"/>
        <v>9.4924676968374335</v>
      </c>
      <c r="U67" s="146">
        <f t="shared" si="173"/>
        <v>9.2448381047460231</v>
      </c>
      <c r="V67" s="146">
        <f t="shared" si="173"/>
        <v>9.0036684150569997</v>
      </c>
      <c r="W67" s="146">
        <f t="shared" si="173"/>
        <v>8.7687901085772531</v>
      </c>
      <c r="X67" s="146">
        <f t="shared" si="173"/>
        <v>8.5400390622665423</v>
      </c>
      <c r="Y67" s="146">
        <f t="shared" si="173"/>
        <v>8.3172554345552427</v>
      </c>
      <c r="Z67" s="146">
        <f t="shared" si="173"/>
        <v>8.1002835536538011</v>
      </c>
      <c r="AA67" s="146">
        <f t="shared" si="173"/>
        <v>7.8889718087758789</v>
      </c>
      <c r="AB67" s="146">
        <f t="shared" si="173"/>
        <v>7.6831725441991185</v>
      </c>
      <c r="AC67" s="138">
        <f t="shared" si="169"/>
        <v>-4.6660993962249875E-2</v>
      </c>
      <c r="AD67" s="31">
        <f t="shared" si="17"/>
        <v>0.08</v>
      </c>
      <c r="AE67" s="146">
        <f t="shared" si="140"/>
        <v>59.270188198107483</v>
      </c>
    </row>
    <row r="68" spans="2:31">
      <c r="B68" s="20" t="s">
        <v>289</v>
      </c>
      <c r="C68" s="127">
        <f t="shared" ref="C68:P68" si="174">C21/C40</f>
        <v>0</v>
      </c>
      <c r="D68" s="127">
        <f t="shared" si="174"/>
        <v>0</v>
      </c>
      <c r="E68" s="127">
        <f t="shared" si="174"/>
        <v>0</v>
      </c>
      <c r="F68" s="144">
        <f t="shared" si="174"/>
        <v>0</v>
      </c>
      <c r="G68" s="144">
        <f t="shared" si="174"/>
        <v>-16.269841269841269</v>
      </c>
      <c r="H68" s="144">
        <f t="shared" si="174"/>
        <v>-27.777777777777779</v>
      </c>
      <c r="I68" s="144">
        <f t="shared" si="174"/>
        <v>-3.0519223147047168</v>
      </c>
      <c r="J68" s="144">
        <f t="shared" si="174"/>
        <v>-4.9544193420531109</v>
      </c>
      <c r="K68" s="144">
        <f t="shared" si="174"/>
        <v>-11.462450592885375</v>
      </c>
      <c r="L68" s="144">
        <f t="shared" si="174"/>
        <v>-9.0118577075098809</v>
      </c>
      <c r="M68" s="144">
        <f t="shared" si="174"/>
        <v>-6.8168346176644929</v>
      </c>
      <c r="N68" s="144">
        <f t="shared" si="174"/>
        <v>-0.73108081406836589</v>
      </c>
      <c r="O68" s="144">
        <f t="shared" si="174"/>
        <v>-4.5508274231678492</v>
      </c>
      <c r="P68" s="144">
        <f t="shared" si="174"/>
        <v>-3.8431525555989077</v>
      </c>
      <c r="Q68" s="118">
        <f>((P68/G68)^(1/($H$2-$H$1) ))-1</f>
        <v>-0.14814211954308276</v>
      </c>
      <c r="R68" s="128"/>
      <c r="S68" s="146">
        <f t="shared" ref="S68:AB68" si="175">S21/S40</f>
        <v>-3.7428964019745892</v>
      </c>
      <c r="T68" s="146">
        <f t="shared" si="175"/>
        <v>-3.645255626270905</v>
      </c>
      <c r="U68" s="146">
        <f t="shared" si="175"/>
        <v>-3.5501620012377515</v>
      </c>
      <c r="V68" s="146">
        <f t="shared" si="175"/>
        <v>-3.4575490794663328</v>
      </c>
      <c r="W68" s="146">
        <f t="shared" si="175"/>
        <v>-3.3673521469585159</v>
      </c>
      <c r="X68" s="146">
        <f t="shared" si="175"/>
        <v>-3.2795081779074247</v>
      </c>
      <c r="Y68" s="146">
        <f t="shared" si="175"/>
        <v>-3.1939557906576659</v>
      </c>
      <c r="Z68" s="146">
        <f t="shared" si="175"/>
        <v>-3.1106352048144226</v>
      </c>
      <c r="AA68" s="146">
        <f t="shared" si="175"/>
        <v>-3.0294881994714382</v>
      </c>
      <c r="AB68" s="146">
        <f t="shared" si="175"/>
        <v>-2.9504580725287055</v>
      </c>
      <c r="AC68" s="138">
        <f t="shared" si="169"/>
        <v>-8.5941467732004173E-2</v>
      </c>
      <c r="AD68" s="31">
        <f t="shared" si="17"/>
        <v>0.08</v>
      </c>
      <c r="AE68" s="146">
        <f t="shared" si="140"/>
        <v>-22.760676559507154</v>
      </c>
    </row>
    <row r="69" spans="2:31">
      <c r="B69" s="20" t="s">
        <v>290</v>
      </c>
      <c r="C69" s="127">
        <f t="shared" ref="C69:P69" si="176">C22/C40</f>
        <v>0</v>
      </c>
      <c r="D69" s="127">
        <f t="shared" si="176"/>
        <v>0</v>
      </c>
      <c r="E69" s="127">
        <f t="shared" si="176"/>
        <v>0</v>
      </c>
      <c r="F69" s="144">
        <f t="shared" si="176"/>
        <v>0</v>
      </c>
      <c r="G69" s="144">
        <f t="shared" si="176"/>
        <v>-2.7777777777777777</v>
      </c>
      <c r="H69" s="144">
        <f t="shared" si="176"/>
        <v>-7.1428571428571432</v>
      </c>
      <c r="I69" s="144">
        <f t="shared" si="176"/>
        <v>-1.3872374157748713</v>
      </c>
      <c r="J69" s="144">
        <f t="shared" si="176"/>
        <v>1.8628616726119698</v>
      </c>
      <c r="K69" s="144">
        <f t="shared" si="176"/>
        <v>11.383399209486166</v>
      </c>
      <c r="L69" s="144">
        <f t="shared" si="176"/>
        <v>-2.1343873517786562</v>
      </c>
      <c r="M69" s="144">
        <f t="shared" si="176"/>
        <v>-3.1614305473226634</v>
      </c>
      <c r="N69" s="144">
        <f t="shared" si="176"/>
        <v>-4.8606994665085956</v>
      </c>
      <c r="O69" s="144">
        <f t="shared" si="176"/>
        <v>-5.6146572104018917</v>
      </c>
      <c r="P69" s="144">
        <f t="shared" si="176"/>
        <v>-12.192742879438159</v>
      </c>
      <c r="Q69" s="118">
        <f>((P69/G69)^(1/($H$2-$H$1) ))-1</f>
        <v>0.17863195888906414</v>
      </c>
      <c r="R69" s="128"/>
      <c r="S69" s="146">
        <f t="shared" ref="S69:AB69" si="177">S22/S40</f>
        <v>-11.874671326061515</v>
      </c>
      <c r="T69" s="146">
        <f t="shared" si="177"/>
        <v>-11.564897291468609</v>
      </c>
      <c r="U69" s="146">
        <f t="shared" si="177"/>
        <v>-11.26320431864769</v>
      </c>
      <c r="V69" s="146">
        <f t="shared" si="177"/>
        <v>-10.969381597291665</v>
      </c>
      <c r="W69" s="146">
        <f t="shared" si="177"/>
        <v>-10.683223816492754</v>
      </c>
      <c r="X69" s="146">
        <f t="shared" si="177"/>
        <v>-10.404531021279901</v>
      </c>
      <c r="Y69" s="146">
        <f t="shared" si="177"/>
        <v>-10.133108472898686</v>
      </c>
      <c r="Z69" s="146">
        <f t="shared" si="177"/>
        <v>-9.8687665127361122</v>
      </c>
      <c r="AA69" s="146">
        <f t="shared" si="177"/>
        <v>-9.6113204297951729</v>
      </c>
      <c r="AB69" s="146">
        <f t="shared" si="177"/>
        <v>-9.3605903316266037</v>
      </c>
      <c r="AC69" s="138">
        <f t="shared" si="169"/>
        <v>6.6028273020915629E-2</v>
      </c>
      <c r="AD69" s="31">
        <f t="shared" si="17"/>
        <v>0.08</v>
      </c>
      <c r="AE69" s="146">
        <f t="shared" si="140"/>
        <v>-72.210268272548092</v>
      </c>
    </row>
    <row r="70" spans="2:31">
      <c r="B70" s="20" t="s">
        <v>297</v>
      </c>
      <c r="C70" s="127">
        <f t="shared" ref="C70:P70" si="178">C23/C40</f>
        <v>0</v>
      </c>
      <c r="D70" s="127">
        <f t="shared" si="178"/>
        <v>0</v>
      </c>
      <c r="E70" s="127">
        <f t="shared" si="178"/>
        <v>0</v>
      </c>
      <c r="F70" s="144">
        <f t="shared" si="178"/>
        <v>0</v>
      </c>
      <c r="G70" s="144">
        <f t="shared" si="178"/>
        <v>2.9523809523809526</v>
      </c>
      <c r="H70" s="144">
        <f t="shared" si="178"/>
        <v>4.6269841269841274</v>
      </c>
      <c r="I70" s="144">
        <f t="shared" si="178"/>
        <v>0.47562425683709869</v>
      </c>
      <c r="J70" s="144">
        <f t="shared" si="178"/>
        <v>0.91161315893777251</v>
      </c>
      <c r="K70" s="144">
        <f t="shared" si="178"/>
        <v>5.8695652173913038</v>
      </c>
      <c r="L70" s="144">
        <f t="shared" si="178"/>
        <v>5.0197628458498018</v>
      </c>
      <c r="M70" s="144">
        <f t="shared" si="178"/>
        <v>0.65204505038529936</v>
      </c>
      <c r="N70" s="144">
        <f t="shared" si="178"/>
        <v>1.4226437462951986</v>
      </c>
      <c r="O70" s="144">
        <f t="shared" si="178"/>
        <v>1.2214342001576044</v>
      </c>
      <c r="P70" s="144">
        <f t="shared" si="178"/>
        <v>0.99492781896215376</v>
      </c>
      <c r="Q70" s="118">
        <f>((P70/G70)^(1/($H$2-$H$1) ))-1</f>
        <v>-0.11383775659176021</v>
      </c>
      <c r="R70" s="128"/>
      <c r="S70" s="146">
        <f t="shared" ref="S70:AB70" si="179">S23/S40</f>
        <v>0.96897318020661949</v>
      </c>
      <c r="T70" s="146">
        <f t="shared" si="179"/>
        <v>0.94369561898383836</v>
      </c>
      <c r="U70" s="146">
        <f t="shared" si="179"/>
        <v>0.91907747240165139</v>
      </c>
      <c r="V70" s="146">
        <f t="shared" si="179"/>
        <v>0.89510153833899986</v>
      </c>
      <c r="W70" s="146">
        <f t="shared" si="179"/>
        <v>0.87175106342580866</v>
      </c>
      <c r="X70" s="146">
        <f t="shared" si="179"/>
        <v>0.84900973133643987</v>
      </c>
      <c r="Y70" s="146">
        <f t="shared" si="179"/>
        <v>0.82686165138853285</v>
      </c>
      <c r="Z70" s="146">
        <f t="shared" si="179"/>
        <v>0.80529134743926689</v>
      </c>
      <c r="AA70" s="146">
        <f t="shared" si="179"/>
        <v>0.78428374707128623</v>
      </c>
      <c r="AB70" s="146">
        <f t="shared" si="179"/>
        <v>0.76382417106073097</v>
      </c>
      <c r="AC70" s="138">
        <f t="shared" ref="AC70" si="180">((AB70/G70)^(1/($AB$3-$H$1) ))-1</f>
        <v>-6.8686620386305908E-2</v>
      </c>
      <c r="AD70" s="31">
        <f t="shared" si="17"/>
        <v>0.08</v>
      </c>
      <c r="AE70" s="146">
        <f t="shared" si="140"/>
        <v>5.8923578910399241</v>
      </c>
    </row>
    <row r="71" spans="2:31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39"/>
      <c r="AD71" s="137"/>
      <c r="AE71" s="154"/>
    </row>
    <row r="72" spans="2:31">
      <c r="B72" s="20" t="s">
        <v>312</v>
      </c>
      <c r="C72" s="144">
        <f t="shared" ref="C72:P72" si="181">C36/C40</f>
        <v>0</v>
      </c>
      <c r="D72" s="144">
        <f t="shared" si="181"/>
        <v>0</v>
      </c>
      <c r="E72" s="144">
        <f t="shared" si="181"/>
        <v>0</v>
      </c>
      <c r="F72" s="144">
        <f t="shared" si="181"/>
        <v>0</v>
      </c>
      <c r="G72" s="144">
        <f t="shared" si="181"/>
        <v>42.857142857142854</v>
      </c>
      <c r="H72" s="144">
        <f t="shared" si="181"/>
        <v>50.793650793650791</v>
      </c>
      <c r="I72" s="144">
        <f t="shared" si="181"/>
        <v>5.7471264367816088</v>
      </c>
      <c r="J72" s="144">
        <f t="shared" si="181"/>
        <v>6.8172810146650811</v>
      </c>
      <c r="K72" s="144">
        <f t="shared" si="181"/>
        <v>9.920948616600791</v>
      </c>
      <c r="L72" s="144">
        <f t="shared" si="181"/>
        <v>9.5652173913043477</v>
      </c>
      <c r="M72" s="144">
        <f t="shared" si="181"/>
        <v>7.864058486465126</v>
      </c>
      <c r="N72" s="144">
        <f t="shared" si="181"/>
        <v>9.1681485872357236</v>
      </c>
      <c r="O72" s="144">
        <f t="shared" si="181"/>
        <v>9.7320724980299449</v>
      </c>
      <c r="P72" s="144">
        <f t="shared" si="181"/>
        <v>11.685524775653532</v>
      </c>
      <c r="Q72" s="118">
        <f>((P72/G72)^(1/($H$2-$H$1) ))-1</f>
        <v>-0.13445098333990746</v>
      </c>
      <c r="R72" s="128"/>
      <c r="S72" s="144">
        <f t="shared" ref="S72:AB72" si="182">S36/S40</f>
        <v>11.380684998897356</v>
      </c>
      <c r="T72" s="144">
        <f t="shared" si="182"/>
        <v>11.083797564143515</v>
      </c>
      <c r="U72" s="144">
        <f t="shared" si="182"/>
        <v>10.794655018991945</v>
      </c>
      <c r="V72" s="144">
        <f t="shared" si="182"/>
        <v>10.513055322844332</v>
      </c>
      <c r="W72" s="144">
        <f t="shared" si="182"/>
        <v>10.238801705726654</v>
      </c>
      <c r="X72" s="144">
        <f t="shared" si="182"/>
        <v>9.9717025307946567</v>
      </c>
      <c r="Y72" s="144">
        <f t="shared" si="182"/>
        <v>9.7115711604261019</v>
      </c>
      <c r="Z72" s="144">
        <f t="shared" si="182"/>
        <v>9.4582258258062915</v>
      </c>
      <c r="AA72" s="144">
        <f t="shared" si="182"/>
        <v>9.2114894999156967</v>
      </c>
      <c r="AB72" s="144">
        <f t="shared" si="182"/>
        <v>8.9711897738309396</v>
      </c>
      <c r="AC72" s="138">
        <f t="shared" ref="AC72:AC74" si="183">((AB72/G72)^(1/($AB$3-$H$1) ))-1</f>
        <v>-7.9011847245747613E-2</v>
      </c>
      <c r="AD72" s="31">
        <f t="shared" si="17"/>
        <v>0.08</v>
      </c>
      <c r="AE72" s="146">
        <f t="shared" si="140"/>
        <v>69.206321112410109</v>
      </c>
    </row>
    <row r="73" spans="2:31">
      <c r="B73" s="20" t="s">
        <v>313</v>
      </c>
      <c r="C73" s="144">
        <f t="shared" ref="C73:P73" si="184">C38/C40</f>
        <v>0</v>
      </c>
      <c r="D73" s="144">
        <f t="shared" si="184"/>
        <v>0</v>
      </c>
      <c r="E73" s="144">
        <f t="shared" si="184"/>
        <v>0</v>
      </c>
      <c r="F73" s="144">
        <f t="shared" si="184"/>
        <v>0</v>
      </c>
      <c r="G73" s="144">
        <f t="shared" si="184"/>
        <v>24.206349206349206</v>
      </c>
      <c r="H73" s="144">
        <f t="shared" si="184"/>
        <v>28.571428571428573</v>
      </c>
      <c r="I73" s="144">
        <f t="shared" si="184"/>
        <v>3.4086405073325405</v>
      </c>
      <c r="J73" s="144">
        <f t="shared" si="184"/>
        <v>4.3995243757431632</v>
      </c>
      <c r="K73" s="144">
        <f t="shared" si="184"/>
        <v>6.7588932806324111</v>
      </c>
      <c r="L73" s="144">
        <f t="shared" si="184"/>
        <v>4.3478260869565215</v>
      </c>
      <c r="M73" s="144">
        <f t="shared" si="184"/>
        <v>5.4337087532108281</v>
      </c>
      <c r="N73" s="144">
        <f t="shared" si="184"/>
        <v>6.0857538035961269</v>
      </c>
      <c r="O73" s="144">
        <f t="shared" si="184"/>
        <v>6.3435776201733649</v>
      </c>
      <c r="P73" s="144">
        <f t="shared" si="184"/>
        <v>8.2130316035895436</v>
      </c>
      <c r="Q73" s="118">
        <f>((P73/G73)^(1/($H$2-$H$1) ))-1</f>
        <v>-0.11316754634371717</v>
      </c>
      <c r="R73" s="128"/>
      <c r="S73" s="144">
        <f t="shared" ref="S73:AB73" si="185">S38/S40</f>
        <v>7.9987786052350351</v>
      </c>
      <c r="T73" s="144">
        <f t="shared" si="185"/>
        <v>7.7901148155332542</v>
      </c>
      <c r="U73" s="144">
        <f t="shared" si="185"/>
        <v>7.5868944290410827</v>
      </c>
      <c r="V73" s="144">
        <f t="shared" si="185"/>
        <v>7.3889754439356645</v>
      </c>
      <c r="W73" s="144">
        <f t="shared" si="185"/>
        <v>7.1962195627895174</v>
      </c>
      <c r="X73" s="144">
        <f t="shared" si="185"/>
        <v>7.0084920959341401</v>
      </c>
      <c r="Y73" s="144">
        <f t="shared" si="185"/>
        <v>6.8256618673445546</v>
      </c>
      <c r="Z73" s="144">
        <f t="shared" si="185"/>
        <v>6.6476011229790455</v>
      </c>
      <c r="AA73" s="144">
        <f t="shared" si="185"/>
        <v>6.4741854415100279</v>
      </c>
      <c r="AB73" s="144">
        <f t="shared" si="185"/>
        <v>6.3052936473836798</v>
      </c>
      <c r="AC73" s="138">
        <f t="shared" si="183"/>
        <v>-6.835304333858494E-2</v>
      </c>
      <c r="AD73" s="31">
        <f t="shared" si="17"/>
        <v>0.08</v>
      </c>
      <c r="AE73" s="146">
        <f t="shared" si="140"/>
        <v>48.640836708388385</v>
      </c>
    </row>
    <row r="74" spans="2:31">
      <c r="B74" s="20" t="s">
        <v>314</v>
      </c>
      <c r="C74" s="144">
        <f t="shared" ref="C74:P74" si="186">C6/C40</f>
        <v>0</v>
      </c>
      <c r="D74" s="144">
        <f t="shared" si="186"/>
        <v>0</v>
      </c>
      <c r="E74" s="144">
        <f t="shared" si="186"/>
        <v>0</v>
      </c>
      <c r="F74" s="144">
        <f t="shared" si="186"/>
        <v>0</v>
      </c>
      <c r="G74" s="144">
        <f t="shared" si="186"/>
        <v>114.68253968253968</v>
      </c>
      <c r="H74" s="144">
        <f t="shared" si="186"/>
        <v>133.33333333333334</v>
      </c>
      <c r="I74" s="144">
        <f t="shared" si="186"/>
        <v>15.378517637732857</v>
      </c>
      <c r="J74" s="144">
        <f t="shared" si="186"/>
        <v>18.034086405073324</v>
      </c>
      <c r="K74" s="144">
        <f t="shared" si="186"/>
        <v>23.359683794466402</v>
      </c>
      <c r="L74" s="144">
        <f t="shared" si="186"/>
        <v>26.442687747035574</v>
      </c>
      <c r="M74" s="144">
        <f t="shared" si="186"/>
        <v>16.222090495949416</v>
      </c>
      <c r="N74" s="144">
        <f t="shared" si="186"/>
        <v>20.430744912072711</v>
      </c>
      <c r="O74" s="144">
        <f t="shared" si="186"/>
        <v>25.118203309692671</v>
      </c>
      <c r="P74" s="144">
        <f t="shared" si="186"/>
        <v>31.213421771361688</v>
      </c>
      <c r="Q74" s="118">
        <f>((P74/G74)^(1/($H$2-$H$1) ))-1</f>
        <v>-0.1346238980347757</v>
      </c>
      <c r="R74" s="128"/>
      <c r="S74" s="144">
        <f t="shared" ref="S74:AB74" si="187">S6/S40</f>
        <v>30.399158594717477</v>
      </c>
      <c r="T74" s="144">
        <f t="shared" si="187"/>
        <v>29.606137066159636</v>
      </c>
      <c r="U74" s="144">
        <f t="shared" si="187"/>
        <v>28.833803055738084</v>
      </c>
      <c r="V74" s="144">
        <f t="shared" si="187"/>
        <v>28.081616889066659</v>
      </c>
      <c r="W74" s="144">
        <f t="shared" si="187"/>
        <v>27.349052970221447</v>
      </c>
      <c r="X74" s="144">
        <f t="shared" si="187"/>
        <v>26.635599414476541</v>
      </c>
      <c r="Y74" s="144">
        <f t="shared" si="187"/>
        <v>25.940757690620632</v>
      </c>
      <c r="Z74" s="144">
        <f t="shared" si="187"/>
        <v>25.264042272604442</v>
      </c>
      <c r="AA74" s="144">
        <f t="shared" si="187"/>
        <v>24.604980300275638</v>
      </c>
      <c r="AB74" s="144">
        <f t="shared" si="187"/>
        <v>23.963111248964108</v>
      </c>
      <c r="AC74" s="138">
        <f t="shared" si="183"/>
        <v>-7.9099004997896905E-2</v>
      </c>
      <c r="AD74" s="31">
        <f t="shared" ref="AD74" si="188">$L$1</f>
        <v>0.08</v>
      </c>
      <c r="AE74" s="146">
        <f t="shared" si="140"/>
        <v>184.85828677772312</v>
      </c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4"/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108" t="s">
        <v>311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2:31">
      <c r="B78" s="20" t="s">
        <v>310</v>
      </c>
      <c r="C78" s="152" t="e">
        <f t="shared" ref="C78:P78" si="189">C36/C25</f>
        <v>#DIV/0!</v>
      </c>
      <c r="D78" s="152" t="e">
        <f t="shared" si="189"/>
        <v>#DIV/0!</v>
      </c>
      <c r="E78" s="152" t="e">
        <f t="shared" si="189"/>
        <v>#DIV/0!</v>
      </c>
      <c r="F78" s="152" t="e">
        <f t="shared" si="189"/>
        <v>#DIV/0!</v>
      </c>
      <c r="G78" s="152">
        <f t="shared" si="189"/>
        <v>0.16</v>
      </c>
      <c r="H78" s="152">
        <f t="shared" si="189"/>
        <v>0.16473616473616473</v>
      </c>
      <c r="I78" s="152">
        <f t="shared" si="189"/>
        <v>0.15279241306638566</v>
      </c>
      <c r="J78" s="152">
        <f t="shared" si="189"/>
        <v>0.13333333333333333</v>
      </c>
      <c r="K78" s="152">
        <f t="shared" si="189"/>
        <v>0.14204867006225241</v>
      </c>
      <c r="L78" s="152">
        <f t="shared" si="189"/>
        <v>0.12234580384226491</v>
      </c>
      <c r="M78" s="152">
        <f t="shared" si="189"/>
        <v>0.17712505562972852</v>
      </c>
      <c r="N78" s="152">
        <f t="shared" si="189"/>
        <v>0.16885007278020378</v>
      </c>
      <c r="O78" s="152">
        <f t="shared" si="189"/>
        <v>0.15466499686912963</v>
      </c>
      <c r="P78" s="152">
        <f t="shared" si="189"/>
        <v>0.15754865860073644</v>
      </c>
      <c r="Q78" s="118">
        <f t="shared" ref="Q78:Q121" si="190">((P78/G78)^(1/($H$2-$H$1) ))-1</f>
        <v>-1.7140250655216516E-3</v>
      </c>
      <c r="R78" s="152"/>
      <c r="S78" s="152">
        <f t="shared" ref="S78:AB78" si="191">S36/S25</f>
        <v>0.15754865860073644</v>
      </c>
      <c r="T78" s="152">
        <f t="shared" si="191"/>
        <v>0.15754865860073647</v>
      </c>
      <c r="U78" s="152">
        <f t="shared" si="191"/>
        <v>0.15754865860073647</v>
      </c>
      <c r="V78" s="152">
        <f t="shared" si="191"/>
        <v>0.15754865860073647</v>
      </c>
      <c r="W78" s="152">
        <f t="shared" si="191"/>
        <v>0.1575486586007365</v>
      </c>
      <c r="X78" s="152">
        <f t="shared" si="191"/>
        <v>0.1575486586007365</v>
      </c>
      <c r="Y78" s="152">
        <f t="shared" si="191"/>
        <v>0.1575486586007365</v>
      </c>
      <c r="Z78" s="152">
        <f t="shared" si="191"/>
        <v>0.1575486586007365</v>
      </c>
      <c r="AA78" s="152">
        <f t="shared" si="191"/>
        <v>0.1575486586007365</v>
      </c>
      <c r="AB78" s="152">
        <f t="shared" si="191"/>
        <v>0.1575486586007365</v>
      </c>
      <c r="AC78" s="138">
        <f t="shared" ref="AC78:AC108" si="192">((AB78/G78)^(1/($AB$3-$H$1) ))-1</f>
        <v>-8.1227314765819347E-4</v>
      </c>
      <c r="AD78" s="146"/>
      <c r="AE78" s="146"/>
    </row>
    <row r="79" spans="2:31">
      <c r="B79" s="20" t="s">
        <v>267</v>
      </c>
      <c r="C79" s="152" t="e">
        <f t="shared" ref="C79:P79" si="193">C38/C25</f>
        <v>#DIV/0!</v>
      </c>
      <c r="D79" s="152" t="e">
        <f t="shared" si="193"/>
        <v>#DIV/0!</v>
      </c>
      <c r="E79" s="152" t="e">
        <f t="shared" si="193"/>
        <v>#DIV/0!</v>
      </c>
      <c r="F79" s="152" t="e">
        <f t="shared" si="193"/>
        <v>#DIV/0!</v>
      </c>
      <c r="G79" s="152">
        <f t="shared" si="193"/>
        <v>9.0370370370370365E-2</v>
      </c>
      <c r="H79" s="152">
        <f t="shared" si="193"/>
        <v>9.2664092664092659E-2</v>
      </c>
      <c r="I79" s="152">
        <f t="shared" si="193"/>
        <v>9.0621707060063228E-2</v>
      </c>
      <c r="J79" s="152">
        <f t="shared" si="193"/>
        <v>8.6046511627906982E-2</v>
      </c>
      <c r="K79" s="152">
        <f t="shared" si="193"/>
        <v>9.6774193548387094E-2</v>
      </c>
      <c r="L79" s="152">
        <f t="shared" si="193"/>
        <v>5.5611729019211326E-2</v>
      </c>
      <c r="M79" s="152">
        <f t="shared" si="193"/>
        <v>0.12238540275923454</v>
      </c>
      <c r="N79" s="152">
        <f t="shared" si="193"/>
        <v>0.11208151382823872</v>
      </c>
      <c r="O79" s="152">
        <f t="shared" si="193"/>
        <v>0.1008140262993112</v>
      </c>
      <c r="P79" s="152">
        <f t="shared" si="193"/>
        <v>0.11073119410836402</v>
      </c>
      <c r="Q79" s="118">
        <f t="shared" si="190"/>
        <v>2.2833350349084292E-2</v>
      </c>
      <c r="R79" s="152"/>
      <c r="S79" s="152">
        <f t="shared" ref="S79:AB79" si="194">S38/S25</f>
        <v>0.110731194108364</v>
      </c>
      <c r="T79" s="152">
        <f t="shared" si="194"/>
        <v>0.11073119410836402</v>
      </c>
      <c r="U79" s="152">
        <f t="shared" si="194"/>
        <v>0.11073119410836402</v>
      </c>
      <c r="V79" s="152">
        <f t="shared" si="194"/>
        <v>0.11073119410836402</v>
      </c>
      <c r="W79" s="152">
        <f t="shared" si="194"/>
        <v>0.11073119410836402</v>
      </c>
      <c r="X79" s="152">
        <f t="shared" si="194"/>
        <v>0.11073119410836403</v>
      </c>
      <c r="Y79" s="152">
        <f t="shared" si="194"/>
        <v>0.11073119410836402</v>
      </c>
      <c r="Z79" s="152">
        <f t="shared" si="194"/>
        <v>0.11073119410836403</v>
      </c>
      <c r="AA79" s="152">
        <f t="shared" si="194"/>
        <v>0.11073119410836402</v>
      </c>
      <c r="AB79" s="152">
        <f t="shared" si="194"/>
        <v>0.11073119410836402</v>
      </c>
      <c r="AC79" s="138">
        <f t="shared" si="192"/>
        <v>1.075155209277856E-2</v>
      </c>
      <c r="AD79" s="146"/>
      <c r="AE79" s="146"/>
    </row>
    <row r="80" spans="2:31">
      <c r="B80" s="20" t="s">
        <v>360</v>
      </c>
      <c r="C80" s="152" t="e">
        <f t="shared" ref="C80:O80" si="195">C38/C7</f>
        <v>#DIV/0!</v>
      </c>
      <c r="D80" s="152" t="e">
        <f t="shared" si="195"/>
        <v>#DIV/0!</v>
      </c>
      <c r="E80" s="152" t="e">
        <f t="shared" si="195"/>
        <v>#DIV/0!</v>
      </c>
      <c r="F80" s="152" t="e">
        <f t="shared" si="195"/>
        <v>#DIV/0!</v>
      </c>
      <c r="G80" s="152">
        <f>G38/G7</f>
        <v>0.19365079365079366</v>
      </c>
      <c r="H80" s="152">
        <f t="shared" si="195"/>
        <v>0.1994459833795014</v>
      </c>
      <c r="I80" s="152">
        <f t="shared" si="195"/>
        <v>0.20823244552058112</v>
      </c>
      <c r="J80" s="152">
        <f t="shared" si="195"/>
        <v>0.23125000000000001</v>
      </c>
      <c r="K80" s="152">
        <f t="shared" si="195"/>
        <v>0.27580645161290324</v>
      </c>
      <c r="L80" s="152">
        <f t="shared" si="195"/>
        <v>0.17350157728706625</v>
      </c>
      <c r="M80" s="152">
        <f t="shared" si="195"/>
        <v>0.31536697247706424</v>
      </c>
      <c r="N80" s="152">
        <f t="shared" si="195"/>
        <v>0.28413284132841327</v>
      </c>
      <c r="O80" s="152">
        <f t="shared" si="195"/>
        <v>0.24283559577677225</v>
      </c>
      <c r="P80" s="152">
        <f t="shared" ref="P80" si="196">P38/P7</f>
        <v>0.25499697153240458</v>
      </c>
      <c r="Q80" s="118">
        <f t="shared" si="190"/>
        <v>3.1049525744297979E-2</v>
      </c>
      <c r="R80" s="20"/>
      <c r="S80" s="152">
        <f t="shared" ref="S80" si="197">S38/S7</f>
        <v>0.25499697153240458</v>
      </c>
      <c r="T80" s="152">
        <f t="shared" ref="T80:AB80" si="198">T38/T7</f>
        <v>0.25499697153240458</v>
      </c>
      <c r="U80" s="152">
        <f t="shared" si="198"/>
        <v>0.25499697153240458</v>
      </c>
      <c r="V80" s="152">
        <f t="shared" si="198"/>
        <v>0.25499697153240458</v>
      </c>
      <c r="W80" s="152">
        <f t="shared" si="198"/>
        <v>0.25499697153240458</v>
      </c>
      <c r="X80" s="152">
        <f t="shared" si="198"/>
        <v>0.25499697153240458</v>
      </c>
      <c r="Y80" s="152">
        <f t="shared" si="198"/>
        <v>0.25499697153240458</v>
      </c>
      <c r="Z80" s="152">
        <f t="shared" si="198"/>
        <v>0.25499697153240464</v>
      </c>
      <c r="AA80" s="152">
        <f t="shared" si="198"/>
        <v>0.25499697153240458</v>
      </c>
      <c r="AB80" s="152">
        <f t="shared" si="198"/>
        <v>0.25499697153240458</v>
      </c>
      <c r="AC80" s="138">
        <f t="shared" si="192"/>
        <v>1.4589356771313566E-2</v>
      </c>
      <c r="AD80" s="146"/>
      <c r="AE80" s="146"/>
    </row>
    <row r="81" spans="2:31">
      <c r="B81" s="20" t="s">
        <v>361</v>
      </c>
      <c r="C81" s="152" t="e">
        <f t="shared" ref="C81:F81" si="199">(C38)/(C7+C10)</f>
        <v>#DIV/0!</v>
      </c>
      <c r="D81" s="152" t="e">
        <f t="shared" si="199"/>
        <v>#DIV/0!</v>
      </c>
      <c r="E81" s="152" t="e">
        <f t="shared" si="199"/>
        <v>#DIV/0!</v>
      </c>
      <c r="F81" s="152" t="e">
        <f t="shared" si="199"/>
        <v>#DIV/0!</v>
      </c>
      <c r="G81" s="152">
        <f>(G38)/(G7+G10)</f>
        <v>0.16442048517520216</v>
      </c>
      <c r="H81" s="152">
        <f t="shared" ref="H81:O81" si="200">(H38)/(H7+H10)</f>
        <v>0.1702127659574468</v>
      </c>
      <c r="I81" s="152">
        <f t="shared" si="200"/>
        <v>0.18336886993603413</v>
      </c>
      <c r="J81" s="152">
        <f t="shared" si="200"/>
        <v>0.17760000000000001</v>
      </c>
      <c r="K81" s="152">
        <f t="shared" si="200"/>
        <v>0.14921465968586387</v>
      </c>
      <c r="L81" s="152">
        <f t="shared" si="200"/>
        <v>8.8495575221238937E-2</v>
      </c>
      <c r="M81" s="152">
        <f t="shared" si="200"/>
        <v>0.20522388059701493</v>
      </c>
      <c r="N81" s="152">
        <f t="shared" si="200"/>
        <v>0.21705426356589147</v>
      </c>
      <c r="O81" s="152">
        <f t="shared" si="200"/>
        <v>0.21845318860244234</v>
      </c>
      <c r="P81" s="152">
        <f t="shared" ref="P81" si="201">(P38)/(P7+P10)</f>
        <v>0.24735605170387778</v>
      </c>
      <c r="Q81" s="118">
        <f t="shared" si="190"/>
        <v>4.6423300970962478E-2</v>
      </c>
      <c r="R81" s="20"/>
      <c r="S81" s="152">
        <f t="shared" ref="S81:AB81" si="202">(S38)/(S7+S10)</f>
        <v>0.24735605170387778</v>
      </c>
      <c r="T81" s="152">
        <f t="shared" si="202"/>
        <v>0.24735605170387778</v>
      </c>
      <c r="U81" s="152">
        <f t="shared" si="202"/>
        <v>0.24735605170387778</v>
      </c>
      <c r="V81" s="152">
        <f t="shared" si="202"/>
        <v>0.24735605170387776</v>
      </c>
      <c r="W81" s="152">
        <f t="shared" si="202"/>
        <v>0.24735605170387776</v>
      </c>
      <c r="X81" s="152">
        <f t="shared" si="202"/>
        <v>0.24735605170387778</v>
      </c>
      <c r="Y81" s="152">
        <f t="shared" si="202"/>
        <v>0.24735605170387778</v>
      </c>
      <c r="Z81" s="152">
        <f t="shared" si="202"/>
        <v>0.24735605170387781</v>
      </c>
      <c r="AA81" s="152">
        <f t="shared" si="202"/>
        <v>0.24735605170387778</v>
      </c>
      <c r="AB81" s="152">
        <f t="shared" si="202"/>
        <v>0.24735605170387776</v>
      </c>
      <c r="AC81" s="138">
        <f t="shared" si="192"/>
        <v>2.1727505464175456E-2</v>
      </c>
      <c r="AD81" s="146"/>
      <c r="AE81" s="146"/>
    </row>
    <row r="82" spans="2:31">
      <c r="B82" s="20" t="s">
        <v>377</v>
      </c>
      <c r="C82" s="152"/>
      <c r="D82" s="152"/>
      <c r="E82" s="152"/>
      <c r="F82" s="152"/>
      <c r="G82" s="152">
        <f>G20/G25</f>
        <v>7.1111111111111111E-2</v>
      </c>
      <c r="H82" s="152">
        <f t="shared" ref="H82:P82" si="203">H20/H25</f>
        <v>0.11840411840411841</v>
      </c>
      <c r="I82" s="152">
        <f t="shared" si="203"/>
        <v>0.11801896733403583</v>
      </c>
      <c r="J82" s="152">
        <f t="shared" si="203"/>
        <v>6.899224806201551E-2</v>
      </c>
      <c r="K82" s="152">
        <f t="shared" si="203"/>
        <v>7.2439162422184497E-2</v>
      </c>
      <c r="L82" s="152">
        <f t="shared" si="203"/>
        <v>0.13144590495449948</v>
      </c>
      <c r="M82" s="152">
        <f t="shared" si="203"/>
        <v>0.1833555852247441</v>
      </c>
      <c r="N82" s="152">
        <f t="shared" si="203"/>
        <v>0.11717612809315867</v>
      </c>
      <c r="O82" s="152">
        <f t="shared" si="203"/>
        <v>0.15873512836568565</v>
      </c>
      <c r="P82" s="152">
        <f t="shared" si="203"/>
        <v>0.13492898474487111</v>
      </c>
      <c r="Q82" s="118">
        <f t="shared" si="190"/>
        <v>7.376076776693874E-2</v>
      </c>
      <c r="R82" s="20"/>
      <c r="S82" s="152">
        <f t="shared" ref="S82:AB82" si="204">S20/S25</f>
        <v>0.13492898474487111</v>
      </c>
      <c r="T82" s="152">
        <f t="shared" si="204"/>
        <v>0.13492898474487111</v>
      </c>
      <c r="U82" s="152">
        <f t="shared" si="204"/>
        <v>0.13492898474487114</v>
      </c>
      <c r="V82" s="152">
        <f t="shared" si="204"/>
        <v>0.13492898474487114</v>
      </c>
      <c r="W82" s="152">
        <f t="shared" si="204"/>
        <v>0.13492898474487117</v>
      </c>
      <c r="X82" s="152">
        <f t="shared" si="204"/>
        <v>0.13492898474487117</v>
      </c>
      <c r="Y82" s="152">
        <f t="shared" si="204"/>
        <v>0.13492898474487114</v>
      </c>
      <c r="Z82" s="152">
        <f t="shared" si="204"/>
        <v>0.13492898474487114</v>
      </c>
      <c r="AA82" s="152">
        <f t="shared" si="204"/>
        <v>0.13492898474487114</v>
      </c>
      <c r="AB82" s="152">
        <f t="shared" si="204"/>
        <v>0.13492898474487114</v>
      </c>
      <c r="AC82" s="138">
        <f t="shared" si="192"/>
        <v>3.4285437346666559E-2</v>
      </c>
      <c r="AD82" s="146"/>
      <c r="AE82" s="146"/>
    </row>
    <row r="83" spans="2:31">
      <c r="B83" s="20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20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3"/>
      <c r="AD83" s="146"/>
      <c r="AE83" s="146"/>
    </row>
    <row r="84" spans="2:31">
      <c r="B84" s="20" t="s">
        <v>324</v>
      </c>
      <c r="C84" s="152"/>
      <c r="D84" s="152"/>
      <c r="E84" s="152"/>
      <c r="F84" s="152"/>
      <c r="G84" s="152">
        <f>G29/G25</f>
        <v>1.4814814814814815E-6</v>
      </c>
      <c r="H84" s="152">
        <f t="shared" ref="H84:P84" si="205">H29/H25</f>
        <v>5.1480051480051478E-3</v>
      </c>
      <c r="I84" s="152">
        <f t="shared" si="205"/>
        <v>4.0042149631190722E-3</v>
      </c>
      <c r="J84" s="152">
        <f t="shared" si="205"/>
        <v>7.4341085271317827E-3</v>
      </c>
      <c r="K84" s="152">
        <f t="shared" si="205"/>
        <v>1.3582342954159592E-2</v>
      </c>
      <c r="L84" s="152">
        <f t="shared" si="205"/>
        <v>2.2244691607684528E-2</v>
      </c>
      <c r="M84" s="152">
        <f t="shared" si="205"/>
        <v>1.6911437472185136E-2</v>
      </c>
      <c r="N84" s="152">
        <f t="shared" si="205"/>
        <v>1.3100436681222707E-2</v>
      </c>
      <c r="O84" s="152">
        <f t="shared" si="205"/>
        <v>9.7056981840951788E-3</v>
      </c>
      <c r="P84" s="152">
        <f t="shared" si="205"/>
        <v>5.7864281956864806E-3</v>
      </c>
      <c r="Q84" s="118">
        <f t="shared" si="190"/>
        <v>1.5065673089708351</v>
      </c>
      <c r="R84" s="20"/>
      <c r="S84" s="152">
        <f t="shared" ref="S84:AB84" si="206">S29/S25</f>
        <v>5.7864281956864798E-3</v>
      </c>
      <c r="T84" s="152">
        <f t="shared" si="206"/>
        <v>5.7864281956864806E-3</v>
      </c>
      <c r="U84" s="152">
        <f t="shared" si="206"/>
        <v>5.7864281956864806E-3</v>
      </c>
      <c r="V84" s="152">
        <f t="shared" si="206"/>
        <v>5.7864281956864806E-3</v>
      </c>
      <c r="W84" s="152">
        <f t="shared" si="206"/>
        <v>5.7864281956864806E-3</v>
      </c>
      <c r="X84" s="152">
        <f t="shared" si="206"/>
        <v>5.7864281956864806E-3</v>
      </c>
      <c r="Y84" s="152">
        <f t="shared" si="206"/>
        <v>5.7864281956864806E-3</v>
      </c>
      <c r="Z84" s="152">
        <f t="shared" si="206"/>
        <v>5.7864281956864806E-3</v>
      </c>
      <c r="AA84" s="152">
        <f t="shared" si="206"/>
        <v>5.7864281956864806E-3</v>
      </c>
      <c r="AB84" s="152">
        <f t="shared" si="206"/>
        <v>5.7864281956864806E-3</v>
      </c>
      <c r="AC84" s="138">
        <f t="shared" si="192"/>
        <v>0.54538821810523541</v>
      </c>
      <c r="AD84" s="146"/>
      <c r="AE84" s="146"/>
    </row>
    <row r="85" spans="2:31">
      <c r="B85" s="20" t="s">
        <v>370</v>
      </c>
      <c r="C85" s="152"/>
      <c r="D85" s="152"/>
      <c r="E85" s="152"/>
      <c r="F85" s="152"/>
      <c r="G85" s="152">
        <f>G29/G36</f>
        <v>9.2592592592592591E-6</v>
      </c>
      <c r="H85" s="152">
        <f t="shared" ref="H85:P85" si="207">H29/H36</f>
        <v>3.125E-2</v>
      </c>
      <c r="I85" s="152">
        <f t="shared" si="207"/>
        <v>2.6206896551724135E-2</v>
      </c>
      <c r="J85" s="152">
        <f t="shared" si="207"/>
        <v>5.5755813953488373E-2</v>
      </c>
      <c r="K85" s="152">
        <f t="shared" si="207"/>
        <v>9.5617529880478086E-2</v>
      </c>
      <c r="L85" s="152">
        <f t="shared" si="207"/>
        <v>0.18181818181818182</v>
      </c>
      <c r="M85" s="152">
        <f t="shared" si="207"/>
        <v>9.5477386934673364E-2</v>
      </c>
      <c r="N85" s="152">
        <f t="shared" si="207"/>
        <v>7.7586206896551727E-2</v>
      </c>
      <c r="O85" s="152">
        <f t="shared" si="207"/>
        <v>6.2753036437246959E-2</v>
      </c>
      <c r="P85" s="152">
        <f t="shared" si="207"/>
        <v>3.6727879799666109E-2</v>
      </c>
      <c r="Q85" s="118">
        <f t="shared" ref="Q85" si="208">((P85/G85)^(1/($H$2-$H$1) ))-1</f>
        <v>1.5108710048093696</v>
      </c>
      <c r="R85" s="20"/>
      <c r="S85" s="152">
        <f t="shared" ref="S85:AB85" si="209">S29/S36</f>
        <v>3.6727879799666102E-2</v>
      </c>
      <c r="T85" s="152">
        <f t="shared" si="209"/>
        <v>3.6727879799666102E-2</v>
      </c>
      <c r="U85" s="152">
        <f t="shared" si="209"/>
        <v>3.6727879799666109E-2</v>
      </c>
      <c r="V85" s="152">
        <f t="shared" si="209"/>
        <v>3.6727879799666102E-2</v>
      </c>
      <c r="W85" s="152">
        <f t="shared" si="209"/>
        <v>3.6727879799666102E-2</v>
      </c>
      <c r="X85" s="152">
        <f t="shared" si="209"/>
        <v>3.6727879799666102E-2</v>
      </c>
      <c r="Y85" s="152">
        <f t="shared" si="209"/>
        <v>3.6727879799666102E-2</v>
      </c>
      <c r="Z85" s="152">
        <f t="shared" si="209"/>
        <v>3.6727879799666095E-2</v>
      </c>
      <c r="AA85" s="152">
        <f t="shared" si="209"/>
        <v>3.6727879799666095E-2</v>
      </c>
      <c r="AB85" s="152">
        <f t="shared" si="209"/>
        <v>3.6727879799666095E-2</v>
      </c>
      <c r="AC85" s="138">
        <f t="shared" ref="AC85" si="210">((AB85/G85)^(1/($AB$3-$H$1) ))-1</f>
        <v>0.54664451591448548</v>
      </c>
      <c r="AD85" s="146"/>
      <c r="AE85" s="146"/>
    </row>
    <row r="86" spans="2:31" ht="12" customHeight="1">
      <c r="B86" s="20" t="s">
        <v>369</v>
      </c>
      <c r="C86" s="152"/>
      <c r="D86" s="152"/>
      <c r="E86" s="152"/>
      <c r="F86" s="152"/>
      <c r="G86" s="171">
        <f t="shared" ref="G86:P86" si="211">G29/G38</f>
        <v>1.6393442622950821E-5</v>
      </c>
      <c r="H86" s="171">
        <f t="shared" si="211"/>
        <v>5.5555555555555552E-2</v>
      </c>
      <c r="I86" s="171">
        <f t="shared" si="211"/>
        <v>4.4186046511627906E-2</v>
      </c>
      <c r="J86" s="171">
        <f t="shared" si="211"/>
        <v>8.6396396396396388E-2</v>
      </c>
      <c r="K86" s="171">
        <f t="shared" si="211"/>
        <v>0.14035087719298245</v>
      </c>
      <c r="L86" s="171">
        <f t="shared" si="211"/>
        <v>0.4</v>
      </c>
      <c r="M86" s="171">
        <f t="shared" si="211"/>
        <v>0.13818181818181818</v>
      </c>
      <c r="N86" s="171">
        <f t="shared" si="211"/>
        <v>0.11688311688311688</v>
      </c>
      <c r="O86" s="171">
        <f t="shared" si="211"/>
        <v>9.627329192546584E-2</v>
      </c>
      <c r="P86" s="171">
        <f t="shared" si="211"/>
        <v>5.2256532066508314E-2</v>
      </c>
      <c r="Q86" s="118">
        <f t="shared" ref="Q86" si="212">((P86/G86)^(1/($H$2-$H$1) ))-1</f>
        <v>1.4506116349406915</v>
      </c>
      <c r="R86" s="20"/>
      <c r="S86" s="171">
        <f t="shared" ref="S86:AB86" si="213">S29/S38</f>
        <v>5.2256532066508307E-2</v>
      </c>
      <c r="T86" s="171">
        <f t="shared" si="213"/>
        <v>5.2256532066508307E-2</v>
      </c>
      <c r="U86" s="171">
        <f t="shared" si="213"/>
        <v>5.2256532066508314E-2</v>
      </c>
      <c r="V86" s="171">
        <f t="shared" si="213"/>
        <v>5.2256532066508314E-2</v>
      </c>
      <c r="W86" s="171">
        <f t="shared" si="213"/>
        <v>5.2256532066508314E-2</v>
      </c>
      <c r="X86" s="171">
        <f t="shared" si="213"/>
        <v>5.2256532066508307E-2</v>
      </c>
      <c r="Y86" s="171">
        <f t="shared" si="213"/>
        <v>5.2256532066508314E-2</v>
      </c>
      <c r="Z86" s="171">
        <f t="shared" si="213"/>
        <v>5.2256532066508307E-2</v>
      </c>
      <c r="AA86" s="171">
        <f t="shared" si="213"/>
        <v>5.2256532066508314E-2</v>
      </c>
      <c r="AB86" s="171">
        <f t="shared" si="213"/>
        <v>5.2256532066508314E-2</v>
      </c>
      <c r="AC86" s="138">
        <f t="shared" ref="AC86" si="214">((AB86/G86)^(1/($AB$3-$H$1) ))-1</f>
        <v>0.52894963644179693</v>
      </c>
      <c r="AD86" s="146"/>
      <c r="AE86" s="146"/>
    </row>
    <row r="87" spans="2:31" ht="12" customHeight="1">
      <c r="B87" s="20" t="s">
        <v>326</v>
      </c>
      <c r="C87" s="152"/>
      <c r="D87" s="152"/>
      <c r="E87" s="152"/>
      <c r="F87" s="152"/>
      <c r="G87" s="171">
        <f t="shared" ref="G87:P87" si="215">G29/G12</f>
        <v>1.3333333333333334E-4</v>
      </c>
      <c r="H87" s="171">
        <f t="shared" si="215"/>
        <v>0.2857142857142857</v>
      </c>
      <c r="I87" s="171">
        <f t="shared" si="215"/>
        <v>0.23749999999999999</v>
      </c>
      <c r="J87" s="171">
        <f t="shared" si="215"/>
        <v>0.25236842105263158</v>
      </c>
      <c r="K87" s="171">
        <f t="shared" si="215"/>
        <v>0.13953488372093023</v>
      </c>
      <c r="L87" s="171">
        <f t="shared" si="215"/>
        <v>0.27672955974842767</v>
      </c>
      <c r="M87" s="171">
        <f t="shared" si="215"/>
        <v>0.84444444444444444</v>
      </c>
      <c r="N87" s="171">
        <f t="shared" si="215"/>
        <v>0.34951456310679613</v>
      </c>
      <c r="O87" s="171">
        <f t="shared" si="215"/>
        <v>0.11355311355311355</v>
      </c>
      <c r="P87" s="171">
        <f t="shared" si="215"/>
        <v>0.14569536423841059</v>
      </c>
      <c r="Q87" s="118">
        <f t="shared" si="190"/>
        <v>1.1757645103379764</v>
      </c>
      <c r="R87" s="20"/>
      <c r="S87" s="152">
        <f t="shared" ref="S87:AB87" si="216">S29/S12</f>
        <v>0.14569536423841059</v>
      </c>
      <c r="T87" s="152">
        <f t="shared" si="216"/>
        <v>0.14569536423841059</v>
      </c>
      <c r="U87" s="152">
        <f t="shared" si="216"/>
        <v>0.14569536423841059</v>
      </c>
      <c r="V87" s="152">
        <f t="shared" si="216"/>
        <v>0.14569536423841059</v>
      </c>
      <c r="W87" s="152">
        <f t="shared" si="216"/>
        <v>0.14569536423841059</v>
      </c>
      <c r="X87" s="152">
        <f t="shared" si="216"/>
        <v>0.14569536423841059</v>
      </c>
      <c r="Y87" s="152">
        <f t="shared" si="216"/>
        <v>0.14569536423841059</v>
      </c>
      <c r="Z87" s="152">
        <f t="shared" si="216"/>
        <v>0.14569536423841059</v>
      </c>
      <c r="AA87" s="152">
        <f t="shared" si="216"/>
        <v>0.14569536423841059</v>
      </c>
      <c r="AB87" s="152">
        <f t="shared" si="216"/>
        <v>0.14569536423841059</v>
      </c>
      <c r="AC87" s="138">
        <f t="shared" si="192"/>
        <v>0.44517826363531077</v>
      </c>
      <c r="AD87" s="146"/>
      <c r="AE87" s="146"/>
    </row>
    <row r="88" spans="2:31" ht="12" customHeight="1">
      <c r="B88" s="20" t="s">
        <v>371</v>
      </c>
      <c r="C88" s="152"/>
      <c r="D88" s="152"/>
      <c r="E88" s="152"/>
      <c r="F88" s="152"/>
      <c r="G88" s="171">
        <f>G29/G23</f>
        <v>1.3440860215053763E-4</v>
      </c>
      <c r="H88" s="171">
        <f t="shared" ref="H88:P88" si="217">H29/H23</f>
        <v>0.34305317324185247</v>
      </c>
      <c r="I88" s="171">
        <f t="shared" si="217"/>
        <v>0.31666666666666665</v>
      </c>
      <c r="J88" s="171">
        <f t="shared" si="217"/>
        <v>0.41695652173913045</v>
      </c>
      <c r="K88" s="171">
        <f t="shared" si="217"/>
        <v>0.16161616161616163</v>
      </c>
      <c r="L88" s="171">
        <f t="shared" si="217"/>
        <v>0.34645669291338582</v>
      </c>
      <c r="M88" s="171">
        <f t="shared" si="217"/>
        <v>1.1515151515151516</v>
      </c>
      <c r="N88" s="171">
        <f t="shared" si="217"/>
        <v>0.5</v>
      </c>
      <c r="O88" s="171">
        <f t="shared" si="217"/>
        <v>0.5</v>
      </c>
      <c r="P88" s="171">
        <f t="shared" si="217"/>
        <v>0.43137254901960786</v>
      </c>
      <c r="Q88" s="118">
        <f t="shared" ref="Q88" si="218">((P88/G88)^(1/($H$2-$H$1) ))-1</f>
        <v>1.4524650484029871</v>
      </c>
      <c r="R88" s="20"/>
      <c r="S88" s="171">
        <f t="shared" ref="S88:AB88" si="219">S29/S23</f>
        <v>0.43137254901960781</v>
      </c>
      <c r="T88" s="171">
        <f t="shared" si="219"/>
        <v>0.43137254901960781</v>
      </c>
      <c r="U88" s="171">
        <f t="shared" si="219"/>
        <v>0.43137254901960781</v>
      </c>
      <c r="V88" s="171">
        <f t="shared" si="219"/>
        <v>0.43137254901960781</v>
      </c>
      <c r="W88" s="171">
        <f t="shared" si="219"/>
        <v>0.43137254901960781</v>
      </c>
      <c r="X88" s="171">
        <f t="shared" si="219"/>
        <v>0.43137254901960775</v>
      </c>
      <c r="Y88" s="171">
        <f t="shared" si="219"/>
        <v>0.43137254901960775</v>
      </c>
      <c r="Z88" s="171">
        <f t="shared" si="219"/>
        <v>0.43137254901960775</v>
      </c>
      <c r="AA88" s="171">
        <f t="shared" si="219"/>
        <v>0.4313725490196077</v>
      </c>
      <c r="AB88" s="171">
        <f t="shared" si="219"/>
        <v>0.43137254901960775</v>
      </c>
      <c r="AC88" s="138">
        <f t="shared" ref="AC88" si="220">((AB88/G88)^(1/($AB$3-$H$1) ))-1</f>
        <v>0.52949727434435756</v>
      </c>
      <c r="AD88" s="146"/>
      <c r="AE88" s="146"/>
    </row>
    <row r="89" spans="2:31" ht="12" customHeight="1">
      <c r="B89" s="20"/>
      <c r="C89" s="152"/>
      <c r="D89" s="152"/>
      <c r="E89" s="152"/>
      <c r="F89" s="152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38"/>
      <c r="AD89" s="146"/>
      <c r="AE89" s="146"/>
    </row>
    <row r="90" spans="2:31">
      <c r="B90" s="20" t="s">
        <v>327</v>
      </c>
      <c r="C90" s="152"/>
      <c r="D90" s="152"/>
      <c r="E90" s="152"/>
      <c r="F90" s="163">
        <f>F12+F13-F10</f>
        <v>0</v>
      </c>
      <c r="G90" s="163">
        <f>G12+G13-G10</f>
        <v>-29.5</v>
      </c>
      <c r="H90" s="163">
        <f t="shared" ref="H90:P90" si="221">H12+H13-H10</f>
        <v>-29</v>
      </c>
      <c r="I90" s="163">
        <f t="shared" si="221"/>
        <v>-24</v>
      </c>
      <c r="J90" s="163">
        <f t="shared" si="221"/>
        <v>-91</v>
      </c>
      <c r="K90" s="163">
        <f t="shared" si="221"/>
        <v>-350.76</v>
      </c>
      <c r="L90" s="163">
        <f t="shared" si="221"/>
        <v>-424</v>
      </c>
      <c r="M90" s="163">
        <f t="shared" si="221"/>
        <v>-155</v>
      </c>
      <c r="N90" s="163">
        <f t="shared" si="221"/>
        <v>-62</v>
      </c>
      <c r="O90" s="163">
        <f t="shared" si="221"/>
        <v>223</v>
      </c>
      <c r="P90" s="163">
        <f t="shared" si="221"/>
        <v>393</v>
      </c>
      <c r="Q90" s="118">
        <f t="shared" si="190"/>
        <v>-2.3333749186421855</v>
      </c>
      <c r="R90" s="20"/>
      <c r="S90" s="163">
        <f t="shared" ref="S90:AB90" si="222">S12+S13-S10</f>
        <v>440.16</v>
      </c>
      <c r="T90" s="163">
        <f t="shared" si="222"/>
        <v>492.97920000000005</v>
      </c>
      <c r="U90" s="163">
        <f t="shared" si="222"/>
        <v>552.13670400000012</v>
      </c>
      <c r="V90" s="163">
        <f t="shared" si="222"/>
        <v>618.39310848000025</v>
      </c>
      <c r="W90" s="163">
        <f t="shared" si="222"/>
        <v>692.60028149760024</v>
      </c>
      <c r="X90" s="163">
        <f t="shared" si="222"/>
        <v>775.71231527731231</v>
      </c>
      <c r="Y90" s="163">
        <f t="shared" si="222"/>
        <v>868.79779311058985</v>
      </c>
      <c r="Z90" s="163">
        <f t="shared" si="222"/>
        <v>973.05352828386071</v>
      </c>
      <c r="AA90" s="163">
        <f t="shared" si="222"/>
        <v>1089.8199516779241</v>
      </c>
      <c r="AB90" s="163">
        <f t="shared" si="222"/>
        <v>1220.5983458792753</v>
      </c>
      <c r="AC90" s="138">
        <f t="shared" si="192"/>
        <v>-2.2164440691772471</v>
      </c>
      <c r="AD90" s="146"/>
      <c r="AE90" s="146"/>
    </row>
    <row r="91" spans="2:31" ht="12" customHeight="1">
      <c r="B91" s="20" t="s">
        <v>322</v>
      </c>
      <c r="C91" s="20"/>
      <c r="D91" s="20"/>
      <c r="E91" s="20"/>
      <c r="F91" s="20"/>
      <c r="G91" s="152">
        <f t="shared" ref="G91:P91" si="223">G38/G18</f>
        <v>0.29901960784313725</v>
      </c>
      <c r="H91" s="152">
        <f t="shared" si="223"/>
        <v>0.32142857142857145</v>
      </c>
      <c r="I91" s="152">
        <f t="shared" si="223"/>
        <v>0.30935251798561153</v>
      </c>
      <c r="J91" s="152">
        <f t="shared" si="223"/>
        <v>0.31714285714285712</v>
      </c>
      <c r="K91" s="152">
        <f t="shared" si="223"/>
        <v>0.34406438631790742</v>
      </c>
      <c r="L91" s="152">
        <f t="shared" si="223"/>
        <v>0.19963702359346641</v>
      </c>
      <c r="M91" s="152">
        <f t="shared" si="223"/>
        <v>0.5092592592592593</v>
      </c>
      <c r="N91" s="152">
        <f t="shared" si="223"/>
        <v>0.54706927175843689</v>
      </c>
      <c r="O91" s="152">
        <f t="shared" si="223"/>
        <v>0.52103559870550165</v>
      </c>
      <c r="P91" s="152">
        <f t="shared" si="223"/>
        <v>0.65170278637770895</v>
      </c>
      <c r="Q91" s="118">
        <f t="shared" si="190"/>
        <v>9.0421571592820271E-2</v>
      </c>
      <c r="R91" s="20"/>
      <c r="S91" s="152">
        <f t="shared" ref="S91:AB91" si="224">S38/S18</f>
        <v>0.65170278637770895</v>
      </c>
      <c r="T91" s="152">
        <f t="shared" si="224"/>
        <v>0.65170278637770895</v>
      </c>
      <c r="U91" s="152">
        <f t="shared" si="224"/>
        <v>0.65170278637770884</v>
      </c>
      <c r="V91" s="152">
        <f t="shared" si="224"/>
        <v>0.65170278637770884</v>
      </c>
      <c r="W91" s="152">
        <f t="shared" si="224"/>
        <v>0.65170278637770884</v>
      </c>
      <c r="X91" s="152">
        <f t="shared" si="224"/>
        <v>0.65170278637770884</v>
      </c>
      <c r="Y91" s="152">
        <f t="shared" si="224"/>
        <v>0.65170278637770884</v>
      </c>
      <c r="Z91" s="152">
        <f t="shared" si="224"/>
        <v>0.65170278637770884</v>
      </c>
      <c r="AA91" s="152">
        <f t="shared" si="224"/>
        <v>0.65170278637770884</v>
      </c>
      <c r="AB91" s="152">
        <f t="shared" si="224"/>
        <v>0.65170278637770884</v>
      </c>
      <c r="AC91" s="138">
        <f t="shared" si="192"/>
        <v>4.1856462666223226E-2</v>
      </c>
      <c r="AD91" s="20"/>
      <c r="AE91" s="20"/>
    </row>
    <row r="92" spans="2:31">
      <c r="B92" s="20" t="s">
        <v>323</v>
      </c>
      <c r="C92" s="20"/>
      <c r="D92" s="20"/>
      <c r="E92" s="20"/>
      <c r="F92" s="20"/>
      <c r="G92" s="152">
        <f t="shared" ref="G92:P92" si="225">G38/G25</f>
        <v>9.0370370370370365E-2</v>
      </c>
      <c r="H92" s="152">
        <f t="shared" si="225"/>
        <v>9.2664092664092659E-2</v>
      </c>
      <c r="I92" s="152">
        <f t="shared" si="225"/>
        <v>9.0621707060063228E-2</v>
      </c>
      <c r="J92" s="152">
        <f t="shared" si="225"/>
        <v>8.6046511627906982E-2</v>
      </c>
      <c r="K92" s="152">
        <f t="shared" si="225"/>
        <v>9.6774193548387094E-2</v>
      </c>
      <c r="L92" s="152">
        <f t="shared" si="225"/>
        <v>5.5611729019211326E-2</v>
      </c>
      <c r="M92" s="152">
        <f t="shared" si="225"/>
        <v>0.12238540275923454</v>
      </c>
      <c r="N92" s="152">
        <f t="shared" si="225"/>
        <v>0.11208151382823872</v>
      </c>
      <c r="O92" s="152">
        <f t="shared" si="225"/>
        <v>0.1008140262993112</v>
      </c>
      <c r="P92" s="152">
        <f t="shared" si="225"/>
        <v>0.11073119410836402</v>
      </c>
      <c r="Q92" s="118">
        <f t="shared" si="190"/>
        <v>2.2833350349084292E-2</v>
      </c>
      <c r="R92" s="20"/>
      <c r="S92" s="152">
        <f t="shared" ref="S92:AB92" si="226">S38/S25</f>
        <v>0.110731194108364</v>
      </c>
      <c r="T92" s="152">
        <f t="shared" si="226"/>
        <v>0.11073119410836402</v>
      </c>
      <c r="U92" s="152">
        <f t="shared" si="226"/>
        <v>0.11073119410836402</v>
      </c>
      <c r="V92" s="152">
        <f t="shared" si="226"/>
        <v>0.11073119410836402</v>
      </c>
      <c r="W92" s="152">
        <f t="shared" si="226"/>
        <v>0.11073119410836402</v>
      </c>
      <c r="X92" s="152">
        <f t="shared" si="226"/>
        <v>0.11073119410836403</v>
      </c>
      <c r="Y92" s="152">
        <f t="shared" si="226"/>
        <v>0.11073119410836402</v>
      </c>
      <c r="Z92" s="152">
        <f t="shared" si="226"/>
        <v>0.11073119410836403</v>
      </c>
      <c r="AA92" s="152">
        <f t="shared" si="226"/>
        <v>0.11073119410836402</v>
      </c>
      <c r="AB92" s="152">
        <f t="shared" si="226"/>
        <v>0.11073119410836402</v>
      </c>
      <c r="AC92" s="138">
        <f t="shared" si="192"/>
        <v>1.075155209277856E-2</v>
      </c>
      <c r="AD92" s="20"/>
      <c r="AE92" s="20"/>
    </row>
    <row r="93" spans="2:31">
      <c r="B93" s="20" t="s">
        <v>349</v>
      </c>
      <c r="C93" s="20"/>
      <c r="D93" s="20"/>
      <c r="E93" s="152"/>
      <c r="F93" s="152"/>
      <c r="G93" s="152">
        <f t="shared" ref="G93:O93" si="227">G25/G18</f>
        <v>3.3088235294117645</v>
      </c>
      <c r="H93" s="152">
        <f t="shared" si="227"/>
        <v>3.46875</v>
      </c>
      <c r="I93" s="152">
        <f t="shared" si="227"/>
        <v>3.4136690647482015</v>
      </c>
      <c r="J93" s="152">
        <f t="shared" si="227"/>
        <v>3.6857142857142855</v>
      </c>
      <c r="K93" s="152">
        <f t="shared" si="227"/>
        <v>3.5553319919517103</v>
      </c>
      <c r="L93" s="152">
        <f t="shared" si="227"/>
        <v>3.5898366606170597</v>
      </c>
      <c r="M93" s="152">
        <f t="shared" si="227"/>
        <v>4.1611111111111114</v>
      </c>
      <c r="N93" s="152">
        <f t="shared" si="227"/>
        <v>4.8809946714031973</v>
      </c>
      <c r="O93" s="152">
        <f t="shared" si="227"/>
        <v>5.1682847896440132</v>
      </c>
      <c r="P93" s="152">
        <f>P25/P18</f>
        <v>5.8854489164086683</v>
      </c>
      <c r="Q93" s="118">
        <f t="shared" si="190"/>
        <v>6.6079406993005074E-2</v>
      </c>
      <c r="R93" s="20"/>
      <c r="S93" s="152">
        <f>S25/S18</f>
        <v>5.8854489164086692</v>
      </c>
      <c r="T93" s="152">
        <f t="shared" ref="T93:AB93" si="228">T25/T18</f>
        <v>5.8854489164086683</v>
      </c>
      <c r="U93" s="152">
        <f t="shared" si="228"/>
        <v>5.8854489164086683</v>
      </c>
      <c r="V93" s="152">
        <f t="shared" si="228"/>
        <v>5.8854489164086674</v>
      </c>
      <c r="W93" s="152">
        <f t="shared" si="228"/>
        <v>5.8854489164086674</v>
      </c>
      <c r="X93" s="152">
        <f t="shared" si="228"/>
        <v>5.8854489164086674</v>
      </c>
      <c r="Y93" s="152">
        <f t="shared" si="228"/>
        <v>5.8854489164086674</v>
      </c>
      <c r="Z93" s="152">
        <f t="shared" si="228"/>
        <v>5.8854489164086674</v>
      </c>
      <c r="AA93" s="152">
        <f t="shared" si="228"/>
        <v>5.8854489164086674</v>
      </c>
      <c r="AB93" s="152">
        <f t="shared" si="228"/>
        <v>5.8854489164086674</v>
      </c>
      <c r="AC93" s="138">
        <f t="shared" si="192"/>
        <v>3.0774041859289225E-2</v>
      </c>
      <c r="AD93" s="20"/>
      <c r="AE93" s="20"/>
    </row>
    <row r="94" spans="2:31">
      <c r="B94" s="20"/>
      <c r="C94" s="20"/>
      <c r="D94" s="20"/>
      <c r="E94" s="20"/>
      <c r="F94" s="20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28"/>
      <c r="R94" s="20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28"/>
      <c r="AD94" s="20"/>
      <c r="AE94" s="20"/>
    </row>
    <row r="95" spans="2:31">
      <c r="B95" s="20" t="s">
        <v>335</v>
      </c>
      <c r="C95" s="20"/>
      <c r="D95" s="20"/>
      <c r="E95" s="165">
        <f t="shared" ref="E95:F95" si="229">E62*E40</f>
        <v>0</v>
      </c>
      <c r="F95" s="165">
        <f t="shared" si="229"/>
        <v>5.84</v>
      </c>
      <c r="G95" s="165">
        <f>G62*G40</f>
        <v>20.16</v>
      </c>
      <c r="H95" s="165">
        <f t="shared" ref="H95:P95" si="230">H62*H40</f>
        <v>20.16</v>
      </c>
      <c r="I95" s="165">
        <f t="shared" si="230"/>
        <v>31.537500000000001</v>
      </c>
      <c r="J95" s="165">
        <f t="shared" si="230"/>
        <v>37.844999999999999</v>
      </c>
      <c r="K95" s="165">
        <f t="shared" si="230"/>
        <v>44.274999999999999</v>
      </c>
      <c r="L95" s="165">
        <f t="shared" si="230"/>
        <v>44.274999999999999</v>
      </c>
      <c r="M95" s="165">
        <f t="shared" si="230"/>
        <v>75.914999999999992</v>
      </c>
      <c r="N95" s="165">
        <f t="shared" si="230"/>
        <v>88.567499999999995</v>
      </c>
      <c r="O95" s="165">
        <f t="shared" si="230"/>
        <v>96.443999999999988</v>
      </c>
      <c r="P95" s="165">
        <f t="shared" si="230"/>
        <v>133.27600000000001</v>
      </c>
      <c r="Q95" s="118">
        <f t="shared" si="190"/>
        <v>0.23350285211223865</v>
      </c>
      <c r="R95" s="20"/>
      <c r="S95" s="165">
        <f t="shared" ref="S95:AB95" si="231">S62*S40</f>
        <v>160.93077</v>
      </c>
      <c r="T95" s="165">
        <f t="shared" si="231"/>
        <v>194.32390477499999</v>
      </c>
      <c r="U95" s="165">
        <f t="shared" si="231"/>
        <v>234.64611501581251</v>
      </c>
      <c r="V95" s="165">
        <f t="shared" si="231"/>
        <v>283.33518388159359</v>
      </c>
      <c r="W95" s="165">
        <f t="shared" si="231"/>
        <v>342.12723453702426</v>
      </c>
      <c r="X95" s="165">
        <f t="shared" si="231"/>
        <v>413.11863570345685</v>
      </c>
      <c r="Y95" s="165">
        <f t="shared" si="231"/>
        <v>498.84075261192413</v>
      </c>
      <c r="Z95" s="165">
        <f t="shared" si="231"/>
        <v>602.35020877889849</v>
      </c>
      <c r="AA95" s="165">
        <f t="shared" si="231"/>
        <v>727.33787710051979</v>
      </c>
      <c r="AB95" s="165">
        <f t="shared" si="231"/>
        <v>878.26048659887761</v>
      </c>
      <c r="AC95" s="138">
        <f t="shared" si="192"/>
        <v>0.21974809421553765</v>
      </c>
      <c r="AD95" s="20"/>
      <c r="AE95" s="20"/>
    </row>
    <row r="96" spans="2:31">
      <c r="B96" s="20" t="s">
        <v>336</v>
      </c>
      <c r="C96" s="20"/>
      <c r="D96" s="20"/>
      <c r="E96" s="165">
        <f>(E95*0.17)+E95</f>
        <v>0</v>
      </c>
      <c r="F96" s="165">
        <f>(F95*0.17)+F95</f>
        <v>6.8327999999999998</v>
      </c>
      <c r="G96" s="165">
        <f t="shared" ref="G96:P96" si="232">(G95*0.17)+G95</f>
        <v>23.587199999999999</v>
      </c>
      <c r="H96" s="165">
        <f t="shared" si="232"/>
        <v>23.587199999999999</v>
      </c>
      <c r="I96" s="165">
        <f t="shared" si="232"/>
        <v>36.898875000000004</v>
      </c>
      <c r="J96" s="165">
        <f t="shared" si="232"/>
        <v>44.278649999999999</v>
      </c>
      <c r="K96" s="165">
        <f t="shared" si="232"/>
        <v>51.801749999999998</v>
      </c>
      <c r="L96" s="165">
        <f t="shared" si="232"/>
        <v>51.801749999999998</v>
      </c>
      <c r="M96" s="165">
        <f t="shared" si="232"/>
        <v>88.820549999999997</v>
      </c>
      <c r="N96" s="165">
        <f t="shared" si="232"/>
        <v>103.623975</v>
      </c>
      <c r="O96" s="165">
        <f t="shared" si="232"/>
        <v>112.83947999999998</v>
      </c>
      <c r="P96" s="165">
        <f t="shared" si="232"/>
        <v>155.93292000000002</v>
      </c>
      <c r="Q96" s="118">
        <f t="shared" si="190"/>
        <v>0.23350285211223887</v>
      </c>
      <c r="R96" s="20"/>
      <c r="S96" s="165">
        <f t="shared" ref="S96:AB96" si="233">(S95*0.17)+S95</f>
        <v>188.28900089999999</v>
      </c>
      <c r="T96" s="165">
        <f t="shared" si="233"/>
        <v>227.35896858675</v>
      </c>
      <c r="U96" s="165">
        <f t="shared" si="233"/>
        <v>274.53595456850064</v>
      </c>
      <c r="V96" s="165">
        <f t="shared" si="233"/>
        <v>331.5021651414645</v>
      </c>
      <c r="W96" s="165">
        <f t="shared" si="233"/>
        <v>400.28886440831837</v>
      </c>
      <c r="X96" s="165">
        <f t="shared" si="233"/>
        <v>483.34880377304449</v>
      </c>
      <c r="Y96" s="165">
        <f t="shared" si="233"/>
        <v>583.64368055595128</v>
      </c>
      <c r="Z96" s="165">
        <f t="shared" si="233"/>
        <v>704.74974427131122</v>
      </c>
      <c r="AA96" s="165">
        <f t="shared" si="233"/>
        <v>850.98531620760821</v>
      </c>
      <c r="AB96" s="165">
        <f t="shared" si="233"/>
        <v>1027.5647693206868</v>
      </c>
      <c r="AC96" s="138">
        <f t="shared" si="192"/>
        <v>0.21974809421553765</v>
      </c>
      <c r="AD96" s="20"/>
      <c r="AE96" s="20"/>
    </row>
    <row r="97" spans="2:31">
      <c r="B97" s="20" t="s">
        <v>337</v>
      </c>
      <c r="C97" s="20"/>
      <c r="D97" s="20"/>
      <c r="E97" s="20"/>
      <c r="F97" s="152" t="e">
        <f t="shared" ref="F97:P97" si="234">F96/F38</f>
        <v>#DIV/0!</v>
      </c>
      <c r="G97" s="152">
        <f t="shared" si="234"/>
        <v>0.38667540983606558</v>
      </c>
      <c r="H97" s="152">
        <f t="shared" si="234"/>
        <v>0.3276</v>
      </c>
      <c r="I97" s="152">
        <f t="shared" si="234"/>
        <v>0.42905668604651165</v>
      </c>
      <c r="J97" s="152">
        <f t="shared" si="234"/>
        <v>0.39890675675675674</v>
      </c>
      <c r="K97" s="152">
        <f t="shared" si="234"/>
        <v>0.30293421052631581</v>
      </c>
      <c r="L97" s="152">
        <f t="shared" si="234"/>
        <v>0.47092499999999998</v>
      </c>
      <c r="M97" s="152">
        <f t="shared" si="234"/>
        <v>0.32298381818181815</v>
      </c>
      <c r="N97" s="152">
        <f t="shared" si="234"/>
        <v>0.33644147727272727</v>
      </c>
      <c r="O97" s="152">
        <f t="shared" si="234"/>
        <v>0.35043316770186328</v>
      </c>
      <c r="P97" s="152">
        <f t="shared" si="234"/>
        <v>0.3703869833729217</v>
      </c>
      <c r="Q97" s="118">
        <f t="shared" si="190"/>
        <v>-4.7705011463482494E-3</v>
      </c>
      <c r="R97" s="20"/>
      <c r="S97" s="152">
        <f t="shared" ref="S97:AB97" si="235">S96/S38</f>
        <v>0.39932346644893107</v>
      </c>
      <c r="T97" s="152">
        <f t="shared" si="235"/>
        <v>0.43052061226525379</v>
      </c>
      <c r="U97" s="152">
        <f t="shared" si="235"/>
        <v>0.46415503509847672</v>
      </c>
      <c r="V97" s="152">
        <f t="shared" si="235"/>
        <v>0.5004171472155452</v>
      </c>
      <c r="W97" s="152">
        <f t="shared" si="235"/>
        <v>0.53951223684175964</v>
      </c>
      <c r="X97" s="152">
        <f t="shared" si="235"/>
        <v>0.58166163034502205</v>
      </c>
      <c r="Y97" s="152">
        <f t="shared" si="235"/>
        <v>0.62710394521572688</v>
      </c>
      <c r="Z97" s="152">
        <f t="shared" si="235"/>
        <v>0.67609644093570553</v>
      </c>
      <c r="AA97" s="152">
        <f t="shared" si="235"/>
        <v>0.72891647538380744</v>
      </c>
      <c r="AB97" s="152">
        <f t="shared" si="235"/>
        <v>0.78586307502316721</v>
      </c>
      <c r="AC97" s="138">
        <f t="shared" si="192"/>
        <v>3.8031525931668142E-2</v>
      </c>
      <c r="AD97" s="20"/>
      <c r="AE97" s="20"/>
    </row>
    <row r="98" spans="2:31">
      <c r="B98" s="20" t="s">
        <v>330</v>
      </c>
      <c r="C98" s="20"/>
      <c r="D98" s="20"/>
      <c r="E98" s="20"/>
      <c r="F98" s="152" t="e">
        <f>1-F97</f>
        <v>#DIV/0!</v>
      </c>
      <c r="G98" s="152">
        <f>1-G97</f>
        <v>0.61332459016393437</v>
      </c>
      <c r="H98" s="152">
        <f t="shared" ref="H98:P98" si="236">1-H97</f>
        <v>0.6724</v>
      </c>
      <c r="I98" s="152">
        <f t="shared" si="236"/>
        <v>0.5709433139534883</v>
      </c>
      <c r="J98" s="152">
        <f t="shared" si="236"/>
        <v>0.6010932432432432</v>
      </c>
      <c r="K98" s="152">
        <f t="shared" si="236"/>
        <v>0.69706578947368425</v>
      </c>
      <c r="L98" s="152">
        <f t="shared" si="236"/>
        <v>0.52907499999999996</v>
      </c>
      <c r="M98" s="152">
        <f t="shared" si="236"/>
        <v>0.67701618181818191</v>
      </c>
      <c r="N98" s="152">
        <f t="shared" si="236"/>
        <v>0.66355852272727267</v>
      </c>
      <c r="O98" s="152">
        <f t="shared" si="236"/>
        <v>0.64956683229813672</v>
      </c>
      <c r="P98" s="152">
        <f t="shared" si="236"/>
        <v>0.62961301662707836</v>
      </c>
      <c r="Q98" s="118">
        <f t="shared" si="190"/>
        <v>2.9165855017161402E-3</v>
      </c>
      <c r="R98" s="20"/>
      <c r="S98" s="152">
        <f t="shared" ref="S98:AB98" si="237">1-S97</f>
        <v>0.60067653355106887</v>
      </c>
      <c r="T98" s="152">
        <f t="shared" si="237"/>
        <v>0.56947938773474616</v>
      </c>
      <c r="U98" s="152">
        <f t="shared" si="237"/>
        <v>0.53584496490152334</v>
      </c>
      <c r="V98" s="152">
        <f t="shared" si="237"/>
        <v>0.4995828527844548</v>
      </c>
      <c r="W98" s="152">
        <f t="shared" si="237"/>
        <v>0.46048776315824036</v>
      </c>
      <c r="X98" s="152">
        <f t="shared" si="237"/>
        <v>0.41833836965497795</v>
      </c>
      <c r="Y98" s="152">
        <f t="shared" si="237"/>
        <v>0.37289605478427312</v>
      </c>
      <c r="Z98" s="152">
        <f t="shared" si="237"/>
        <v>0.32390355906429447</v>
      </c>
      <c r="AA98" s="152">
        <f t="shared" si="237"/>
        <v>0.27108352461619256</v>
      </c>
      <c r="AB98" s="152">
        <f t="shared" si="237"/>
        <v>0.21413692497683279</v>
      </c>
      <c r="AC98" s="138">
        <f t="shared" si="192"/>
        <v>-5.3877369104407324E-2</v>
      </c>
      <c r="AD98" s="20"/>
      <c r="AE98" s="20"/>
    </row>
    <row r="99" spans="2:31">
      <c r="B99" s="20"/>
      <c r="C99" s="20"/>
      <c r="D99" s="20"/>
      <c r="E99" s="20"/>
      <c r="F99" s="20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28"/>
      <c r="R99" s="20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28"/>
      <c r="AD99" s="20"/>
      <c r="AE99" s="20"/>
    </row>
    <row r="100" spans="2:31">
      <c r="B100" s="20" t="s">
        <v>334</v>
      </c>
      <c r="C100" s="152"/>
      <c r="D100" s="152"/>
      <c r="E100" s="152"/>
      <c r="F100" s="152" t="e">
        <f>F31/F25</f>
        <v>#DIV/0!</v>
      </c>
      <c r="G100" s="152">
        <f>G31/G25</f>
        <v>0</v>
      </c>
      <c r="H100" s="152">
        <f t="shared" ref="H100:P100" si="238">H31/H25</f>
        <v>0</v>
      </c>
      <c r="I100" s="152">
        <f t="shared" si="238"/>
        <v>0</v>
      </c>
      <c r="J100" s="152">
        <f t="shared" si="238"/>
        <v>0</v>
      </c>
      <c r="K100" s="152">
        <f t="shared" si="238"/>
        <v>0</v>
      </c>
      <c r="L100" s="152">
        <f t="shared" si="238"/>
        <v>0</v>
      </c>
      <c r="M100" s="152">
        <f t="shared" si="238"/>
        <v>0</v>
      </c>
      <c r="N100" s="152">
        <f t="shared" si="238"/>
        <v>0</v>
      </c>
      <c r="O100" s="152">
        <f t="shared" si="238"/>
        <v>0</v>
      </c>
      <c r="P100" s="152">
        <f t="shared" si="238"/>
        <v>0</v>
      </c>
      <c r="Q100" s="118" t="e">
        <f t="shared" si="190"/>
        <v>#DIV/0!</v>
      </c>
      <c r="R100" s="20"/>
      <c r="S100" s="152">
        <f t="shared" ref="S100:AB100" si="239">S31/S25</f>
        <v>0</v>
      </c>
      <c r="T100" s="152">
        <f t="shared" si="239"/>
        <v>0</v>
      </c>
      <c r="U100" s="152">
        <f t="shared" si="239"/>
        <v>0</v>
      </c>
      <c r="V100" s="152">
        <f t="shared" si="239"/>
        <v>0</v>
      </c>
      <c r="W100" s="152">
        <f t="shared" si="239"/>
        <v>0</v>
      </c>
      <c r="X100" s="152">
        <f t="shared" si="239"/>
        <v>0</v>
      </c>
      <c r="Y100" s="152">
        <f t="shared" si="239"/>
        <v>0</v>
      </c>
      <c r="Z100" s="152">
        <f t="shared" si="239"/>
        <v>0</v>
      </c>
      <c r="AA100" s="152">
        <f t="shared" si="239"/>
        <v>0</v>
      </c>
      <c r="AB100" s="152">
        <f t="shared" si="239"/>
        <v>0</v>
      </c>
      <c r="AC100" s="138" t="e">
        <f t="shared" si="192"/>
        <v>#DIV/0!</v>
      </c>
      <c r="AD100" s="20"/>
      <c r="AE100" s="20"/>
    </row>
    <row r="101" spans="2:31">
      <c r="B101" s="20" t="s">
        <v>331</v>
      </c>
      <c r="C101" s="152"/>
      <c r="D101" s="152"/>
      <c r="E101" s="152"/>
      <c r="F101" s="152" t="e">
        <f>F32/F25</f>
        <v>#DIV/0!</v>
      </c>
      <c r="G101" s="152">
        <f>G32/G25</f>
        <v>0</v>
      </c>
      <c r="H101" s="152">
        <f t="shared" ref="H101:P101" si="240">H32/H25</f>
        <v>0</v>
      </c>
      <c r="I101" s="152">
        <f t="shared" si="240"/>
        <v>0</v>
      </c>
      <c r="J101" s="152">
        <f t="shared" si="240"/>
        <v>0</v>
      </c>
      <c r="K101" s="152">
        <f t="shared" si="240"/>
        <v>0</v>
      </c>
      <c r="L101" s="152">
        <f t="shared" si="240"/>
        <v>0</v>
      </c>
      <c r="M101" s="152">
        <f t="shared" si="240"/>
        <v>0</v>
      </c>
      <c r="N101" s="152">
        <f t="shared" si="240"/>
        <v>0</v>
      </c>
      <c r="O101" s="152">
        <f t="shared" si="240"/>
        <v>0</v>
      </c>
      <c r="P101" s="152">
        <f t="shared" si="240"/>
        <v>0</v>
      </c>
      <c r="Q101" s="118" t="e">
        <f t="shared" si="190"/>
        <v>#DIV/0!</v>
      </c>
      <c r="R101" s="20"/>
      <c r="S101" s="152">
        <f t="shared" ref="S101:AB101" si="241">S32/S25</f>
        <v>0</v>
      </c>
      <c r="T101" s="152">
        <f t="shared" si="241"/>
        <v>0</v>
      </c>
      <c r="U101" s="152">
        <f t="shared" si="241"/>
        <v>0</v>
      </c>
      <c r="V101" s="152">
        <f t="shared" si="241"/>
        <v>0</v>
      </c>
      <c r="W101" s="152">
        <f t="shared" si="241"/>
        <v>0</v>
      </c>
      <c r="X101" s="152">
        <f t="shared" si="241"/>
        <v>0</v>
      </c>
      <c r="Y101" s="152">
        <f t="shared" si="241"/>
        <v>0</v>
      </c>
      <c r="Z101" s="152">
        <f t="shared" si="241"/>
        <v>0</v>
      </c>
      <c r="AA101" s="152">
        <f t="shared" si="241"/>
        <v>0</v>
      </c>
      <c r="AB101" s="152">
        <f t="shared" si="241"/>
        <v>0</v>
      </c>
      <c r="AC101" s="138" t="e">
        <f t="shared" si="192"/>
        <v>#DIV/0!</v>
      </c>
      <c r="AD101" s="20"/>
      <c r="AE101" s="20"/>
    </row>
    <row r="102" spans="2:31">
      <c r="B102" s="20"/>
      <c r="C102" s="20"/>
      <c r="D102" s="20"/>
      <c r="E102" s="20"/>
      <c r="F102" s="20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28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28"/>
      <c r="AD102" s="20"/>
      <c r="AE102" s="20"/>
    </row>
    <row r="103" spans="2:31">
      <c r="B103" s="20" t="s">
        <v>355</v>
      </c>
      <c r="C103" s="20"/>
      <c r="D103" s="20"/>
      <c r="E103" s="20"/>
      <c r="F103" s="20"/>
      <c r="G103" s="152">
        <f>G27/G25</f>
        <v>0.82666666666666666</v>
      </c>
      <c r="H103" s="152">
        <f t="shared" ref="H103:P103" si="242">H27/H25</f>
        <v>0.82368082368082363</v>
      </c>
      <c r="I103" s="152">
        <f t="shared" si="242"/>
        <v>0.83140147523709163</v>
      </c>
      <c r="J103" s="152">
        <f t="shared" si="242"/>
        <v>0.8542635658914729</v>
      </c>
      <c r="K103" s="152">
        <f t="shared" si="242"/>
        <v>0.84267119411431801</v>
      </c>
      <c r="L103" s="152">
        <f t="shared" si="242"/>
        <v>0.88372093023255816</v>
      </c>
      <c r="M103" s="152">
        <f t="shared" si="242"/>
        <v>0.81486426346239427</v>
      </c>
      <c r="N103" s="152">
        <f t="shared" si="242"/>
        <v>0.81841339155749637</v>
      </c>
      <c r="O103" s="152">
        <f t="shared" si="242"/>
        <v>0.83469004383218537</v>
      </c>
      <c r="P103" s="152">
        <f t="shared" si="242"/>
        <v>0.82325092056812199</v>
      </c>
      <c r="Q103" s="118">
        <f t="shared" si="190"/>
        <v>-4.5995097043471933E-4</v>
      </c>
      <c r="R103" s="20"/>
      <c r="S103" s="152">
        <f t="shared" ref="S103:AB103" si="243">S27/S25</f>
        <v>0.82325092056812199</v>
      </c>
      <c r="T103" s="152">
        <f t="shared" si="243"/>
        <v>0.8232509205681221</v>
      </c>
      <c r="U103" s="152">
        <f t="shared" si="243"/>
        <v>0.8232509205681221</v>
      </c>
      <c r="V103" s="152">
        <f t="shared" si="243"/>
        <v>0.82325092056812221</v>
      </c>
      <c r="W103" s="152">
        <f t="shared" si="243"/>
        <v>0.82325092056812221</v>
      </c>
      <c r="X103" s="152">
        <f t="shared" si="243"/>
        <v>0.82325092056812232</v>
      </c>
      <c r="Y103" s="152">
        <f t="shared" si="243"/>
        <v>0.82325092056812232</v>
      </c>
      <c r="Z103" s="152">
        <f t="shared" si="243"/>
        <v>0.82325092056812232</v>
      </c>
      <c r="AA103" s="152">
        <f t="shared" si="243"/>
        <v>0.82325092056812221</v>
      </c>
      <c r="AB103" s="152">
        <f t="shared" si="243"/>
        <v>0.82325092056812221</v>
      </c>
      <c r="AC103" s="138">
        <f t="shared" si="192"/>
        <v>-2.1789788959292178E-4</v>
      </c>
      <c r="AD103" s="20"/>
      <c r="AE103" s="20"/>
    </row>
    <row r="104" spans="2:31">
      <c r="B104" s="20" t="str">
        <f>B33</f>
        <v>Top Expenses ( Raw material )</v>
      </c>
      <c r="C104" s="20"/>
      <c r="D104" s="20"/>
      <c r="E104" s="20"/>
      <c r="F104" s="20"/>
      <c r="G104" s="152">
        <f>G33/G25</f>
        <v>0.53481481481481485</v>
      </c>
      <c r="H104" s="152">
        <f t="shared" ref="H104:P104" si="244">H33/H25</f>
        <v>0.60617760617760619</v>
      </c>
      <c r="I104" s="152">
        <f t="shared" si="244"/>
        <v>0.59009483667017915</v>
      </c>
      <c r="J104" s="152">
        <f t="shared" si="244"/>
        <v>0.61240310077519378</v>
      </c>
      <c r="K104" s="152">
        <f t="shared" si="244"/>
        <v>0.59988681380871534</v>
      </c>
      <c r="L104" s="152">
        <f t="shared" si="244"/>
        <v>0.63801820020222444</v>
      </c>
      <c r="M104" s="152">
        <f t="shared" si="244"/>
        <v>0.56608811748998666</v>
      </c>
      <c r="N104" s="152">
        <f t="shared" si="244"/>
        <v>0.58406113537117899</v>
      </c>
      <c r="O104" s="152">
        <f t="shared" si="244"/>
        <v>0.55948653725735753</v>
      </c>
      <c r="P104" s="152">
        <f t="shared" si="244"/>
        <v>0.54497632824829034</v>
      </c>
      <c r="Q104" s="118">
        <f t="shared" si="190"/>
        <v>2.0935008604761052E-3</v>
      </c>
      <c r="R104" s="20"/>
      <c r="S104" s="152">
        <f t="shared" ref="S104:AB104" si="245">S33/S25</f>
        <v>0.54497632824829034</v>
      </c>
      <c r="T104" s="152">
        <f t="shared" si="245"/>
        <v>0.54497632824829045</v>
      </c>
      <c r="U104" s="152">
        <f t="shared" si="245"/>
        <v>0.54497632824829045</v>
      </c>
      <c r="V104" s="152">
        <f t="shared" si="245"/>
        <v>0.54497632824829045</v>
      </c>
      <c r="W104" s="152">
        <f t="shared" si="245"/>
        <v>0.54497632824829045</v>
      </c>
      <c r="X104" s="152">
        <f t="shared" si="245"/>
        <v>0.54497632824829045</v>
      </c>
      <c r="Y104" s="152">
        <f t="shared" si="245"/>
        <v>0.54497632824829045</v>
      </c>
      <c r="Z104" s="152">
        <f t="shared" si="245"/>
        <v>0.54497632824829045</v>
      </c>
      <c r="AA104" s="152">
        <f t="shared" si="245"/>
        <v>0.54497632824829045</v>
      </c>
      <c r="AB104" s="152">
        <f t="shared" si="245"/>
        <v>0.54497632824829045</v>
      </c>
      <c r="AC104" s="138">
        <f t="shared" si="192"/>
        <v>9.9111255780170993E-4</v>
      </c>
      <c r="AD104" s="20"/>
      <c r="AE104" s="20"/>
    </row>
    <row r="105" spans="2:31">
      <c r="B105" s="20" t="str">
        <f>B34</f>
        <v>2nd highest Expenses Comp. ( Empl )</v>
      </c>
      <c r="C105" s="20"/>
      <c r="D105" s="20"/>
      <c r="E105" s="20"/>
      <c r="F105" s="20"/>
      <c r="G105" s="152">
        <f>G34/G25</f>
        <v>8.2962962962962961E-2</v>
      </c>
      <c r="H105" s="152">
        <f t="shared" ref="H105:P105" si="246">H34/H25</f>
        <v>8.6229086229086233E-2</v>
      </c>
      <c r="I105" s="152">
        <f t="shared" si="246"/>
        <v>8.956796628029505E-2</v>
      </c>
      <c r="J105" s="152">
        <f t="shared" si="246"/>
        <v>8.4496124031007758E-2</v>
      </c>
      <c r="K105" s="152">
        <f t="shared" si="246"/>
        <v>9.2812676853423884E-2</v>
      </c>
      <c r="L105" s="152">
        <f t="shared" si="246"/>
        <v>0.11172901921132457</v>
      </c>
      <c r="M105" s="152">
        <f t="shared" si="246"/>
        <v>0.11214953271028037</v>
      </c>
      <c r="N105" s="152">
        <f t="shared" si="246"/>
        <v>0.10553129548762737</v>
      </c>
      <c r="O105" s="152">
        <f t="shared" si="246"/>
        <v>0.10206637445209768</v>
      </c>
      <c r="P105" s="152">
        <f t="shared" si="246"/>
        <v>9.863229879011047E-2</v>
      </c>
      <c r="Q105" s="118">
        <f t="shared" si="190"/>
        <v>1.9408668645794602E-2</v>
      </c>
      <c r="R105" s="20"/>
      <c r="S105" s="152">
        <f t="shared" ref="S105:AB105" si="247">S34/S25</f>
        <v>9.863229879011047E-2</v>
      </c>
      <c r="T105" s="152">
        <f t="shared" si="247"/>
        <v>9.863229879011047E-2</v>
      </c>
      <c r="U105" s="152">
        <f t="shared" si="247"/>
        <v>9.8632298790110484E-2</v>
      </c>
      <c r="V105" s="152">
        <f t="shared" si="247"/>
        <v>9.8632298790110498E-2</v>
      </c>
      <c r="W105" s="152">
        <f t="shared" si="247"/>
        <v>9.8632298790110498E-2</v>
      </c>
      <c r="X105" s="152">
        <f t="shared" si="247"/>
        <v>9.8632298790110498E-2</v>
      </c>
      <c r="Y105" s="152">
        <f t="shared" si="247"/>
        <v>9.8632298790110498E-2</v>
      </c>
      <c r="Z105" s="152">
        <f t="shared" si="247"/>
        <v>9.8632298790110512E-2</v>
      </c>
      <c r="AA105" s="152">
        <f t="shared" si="247"/>
        <v>9.8632298790110484E-2</v>
      </c>
      <c r="AB105" s="152">
        <f t="shared" si="247"/>
        <v>9.8632298790110484E-2</v>
      </c>
      <c r="AC105" s="138">
        <f t="shared" si="192"/>
        <v>9.1470813375944537E-3</v>
      </c>
      <c r="AD105" s="20"/>
      <c r="AE105" s="20"/>
    </row>
    <row r="106" spans="2:31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28"/>
      <c r="R106" s="128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39"/>
      <c r="AD106" s="20"/>
      <c r="AE106" s="20"/>
    </row>
    <row r="107" spans="2:31">
      <c r="B107" s="108" t="s">
        <v>363</v>
      </c>
      <c r="C107" s="20"/>
      <c r="D107" s="20"/>
      <c r="E107" s="20"/>
      <c r="F107" s="20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118"/>
      <c r="R107" s="128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138"/>
      <c r="AD107" s="20"/>
      <c r="AE107" s="20"/>
    </row>
    <row r="108" spans="2:31">
      <c r="B108" s="20" t="s">
        <v>366</v>
      </c>
      <c r="C108" s="20"/>
      <c r="D108" s="20"/>
      <c r="E108" s="20"/>
      <c r="F108" s="20"/>
      <c r="G108" s="25">
        <f>G15/G9</f>
        <v>2.4647058823529413</v>
      </c>
      <c r="H108" s="25">
        <f t="shared" ref="H108:AB108" si="248">H15/H9</f>
        <v>2.2678571428571428</v>
      </c>
      <c r="I108" s="25">
        <f t="shared" si="248"/>
        <v>2.1353383458646618</v>
      </c>
      <c r="J108" s="25">
        <f t="shared" si="248"/>
        <v>2.1167512690355328</v>
      </c>
      <c r="K108" s="25">
        <f t="shared" si="248"/>
        <v>2.6920152091254752</v>
      </c>
      <c r="L108" s="25">
        <f t="shared" si="248"/>
        <v>2.2160493827160495</v>
      </c>
      <c r="M108" s="25">
        <f t="shared" si="248"/>
        <v>1.5523114355231145</v>
      </c>
      <c r="N108" s="25">
        <f t="shared" si="248"/>
        <v>1.5549019607843138</v>
      </c>
      <c r="O108" s="25">
        <f t="shared" si="248"/>
        <v>1.5</v>
      </c>
      <c r="P108" s="25">
        <f t="shared" si="248"/>
        <v>1.5930735930735931</v>
      </c>
      <c r="Q108" s="118">
        <f t="shared" si="190"/>
        <v>-4.7332843533489655E-2</v>
      </c>
      <c r="R108" s="20"/>
      <c r="S108" s="20">
        <f t="shared" si="248"/>
        <v>1.5930735930735929</v>
      </c>
      <c r="T108" s="20">
        <f t="shared" si="248"/>
        <v>1.5930735930735929</v>
      </c>
      <c r="U108" s="20">
        <f t="shared" si="248"/>
        <v>1.5930735930735929</v>
      </c>
      <c r="V108" s="20">
        <f t="shared" si="248"/>
        <v>1.5930735930735929</v>
      </c>
      <c r="W108" s="20">
        <f t="shared" si="248"/>
        <v>1.5930735930735926</v>
      </c>
      <c r="X108" s="20">
        <f t="shared" si="248"/>
        <v>1.5930735930735926</v>
      </c>
      <c r="Y108" s="20">
        <f t="shared" si="248"/>
        <v>1.5930735930735926</v>
      </c>
      <c r="Z108" s="20">
        <f t="shared" si="248"/>
        <v>1.5930735930735924</v>
      </c>
      <c r="AA108" s="20">
        <f t="shared" si="248"/>
        <v>1.5930735930735924</v>
      </c>
      <c r="AB108" s="20">
        <f t="shared" si="248"/>
        <v>1.5930735930735922</v>
      </c>
      <c r="AC108" s="138">
        <f t="shared" si="192"/>
        <v>-2.2707028002136864E-2</v>
      </c>
      <c r="AD108" s="20"/>
      <c r="AE108" s="20"/>
    </row>
    <row r="109" spans="2:31">
      <c r="B109" s="20" t="s">
        <v>356</v>
      </c>
      <c r="C109" s="20"/>
      <c r="D109" s="20"/>
      <c r="E109" s="20"/>
      <c r="F109" s="20"/>
      <c r="G109" s="25">
        <f>G12/G9</f>
        <v>8.8235294117647065E-2</v>
      </c>
      <c r="H109" s="25">
        <f t="shared" ref="H109:P109" si="249">H12/H9</f>
        <v>0.125</v>
      </c>
      <c r="I109" s="25">
        <f t="shared" si="249"/>
        <v>0.12030075187969924</v>
      </c>
      <c r="J109" s="25">
        <f t="shared" si="249"/>
        <v>0.19289340101522842</v>
      </c>
      <c r="K109" s="25">
        <f t="shared" si="249"/>
        <v>0.6539923954372624</v>
      </c>
      <c r="L109" s="25">
        <f t="shared" si="249"/>
        <v>0.49074074074074076</v>
      </c>
      <c r="M109" s="25">
        <f t="shared" si="249"/>
        <v>0.10948905109489052</v>
      </c>
      <c r="N109" s="25">
        <f t="shared" si="249"/>
        <v>0.20196078431372549</v>
      </c>
      <c r="O109" s="25">
        <f t="shared" si="249"/>
        <v>0.36497326203208558</v>
      </c>
      <c r="P109" s="25">
        <f t="shared" si="249"/>
        <v>0.21789321789321789</v>
      </c>
      <c r="Q109" s="118">
        <f t="shared" si="190"/>
        <v>0.10566197765506669</v>
      </c>
      <c r="R109" s="128"/>
      <c r="S109" s="20">
        <f t="shared" ref="S109:AB109" si="250">S12/S9</f>
        <v>0.21789321789321789</v>
      </c>
      <c r="T109" s="20">
        <f t="shared" si="250"/>
        <v>0.21789321789321789</v>
      </c>
      <c r="U109" s="20">
        <f t="shared" si="250"/>
        <v>0.21789321789321789</v>
      </c>
      <c r="V109" s="20">
        <f t="shared" si="250"/>
        <v>0.21789321789321786</v>
      </c>
      <c r="W109" s="20">
        <f t="shared" si="250"/>
        <v>0.21789321789321786</v>
      </c>
      <c r="X109" s="20">
        <f t="shared" si="250"/>
        <v>0.21789321789321783</v>
      </c>
      <c r="Y109" s="20">
        <f t="shared" si="250"/>
        <v>0.21789321789321786</v>
      </c>
      <c r="Z109" s="20">
        <f t="shared" si="250"/>
        <v>0.21789321789321783</v>
      </c>
      <c r="AA109" s="20">
        <f t="shared" si="250"/>
        <v>0.21789321789321786</v>
      </c>
      <c r="AB109" s="20">
        <f t="shared" si="250"/>
        <v>0.21789321789321783</v>
      </c>
      <c r="AC109" s="118">
        <f t="shared" ref="AC109" si="251">((AB109/S109)^(1/($H$2-$H$1) ))-1</f>
        <v>0</v>
      </c>
      <c r="AD109" s="20"/>
      <c r="AE109" s="20"/>
    </row>
    <row r="110" spans="2:31">
      <c r="B110" s="20" t="s">
        <v>358</v>
      </c>
      <c r="C110" s="20"/>
      <c r="D110" s="20"/>
      <c r="E110" s="20"/>
      <c r="F110" s="20"/>
      <c r="G110" s="25">
        <f>G25/360</f>
        <v>1.875</v>
      </c>
      <c r="H110" s="25">
        <f t="shared" ref="H110:P110" si="252">H25/360</f>
        <v>2.1583333333333332</v>
      </c>
      <c r="I110" s="25">
        <f t="shared" si="252"/>
        <v>2.6361111111111111</v>
      </c>
      <c r="J110" s="25">
        <f t="shared" si="252"/>
        <v>3.5833333333333335</v>
      </c>
      <c r="K110" s="25">
        <f t="shared" si="252"/>
        <v>4.9083333333333332</v>
      </c>
      <c r="L110" s="25">
        <f t="shared" si="252"/>
        <v>5.4944444444444445</v>
      </c>
      <c r="M110" s="25">
        <f t="shared" si="252"/>
        <v>6.2416666666666663</v>
      </c>
      <c r="N110" s="25">
        <f t="shared" si="252"/>
        <v>7.6333333333333337</v>
      </c>
      <c r="O110" s="25">
        <f t="shared" si="252"/>
        <v>8.8722222222222218</v>
      </c>
      <c r="P110" s="25">
        <f t="shared" si="252"/>
        <v>10.561111111111112</v>
      </c>
      <c r="Q110" s="118">
        <f t="shared" si="190"/>
        <v>0.21174723593215905</v>
      </c>
      <c r="R110" s="128"/>
      <c r="S110" s="25">
        <f t="shared" ref="S110:AB110" si="253">S25/360</f>
        <v>11.828444444444447</v>
      </c>
      <c r="T110" s="25">
        <f t="shared" si="253"/>
        <v>13.24785777777778</v>
      </c>
      <c r="U110" s="25">
        <f t="shared" si="253"/>
        <v>14.837600711111115</v>
      </c>
      <c r="V110" s="25">
        <f t="shared" si="253"/>
        <v>16.61811279644445</v>
      </c>
      <c r="W110" s="25">
        <f t="shared" si="253"/>
        <v>18.612286332017785</v>
      </c>
      <c r="X110" s="25">
        <f t="shared" si="253"/>
        <v>20.845760691859919</v>
      </c>
      <c r="Y110" s="25">
        <f t="shared" si="253"/>
        <v>23.347251974883111</v>
      </c>
      <c r="Z110" s="25">
        <f t="shared" si="253"/>
        <v>26.148922211869088</v>
      </c>
      <c r="AA110" s="25">
        <f t="shared" si="253"/>
        <v>29.286792877293383</v>
      </c>
      <c r="AB110" s="25">
        <f t="shared" si="253"/>
        <v>32.801208022568595</v>
      </c>
      <c r="AC110" s="118">
        <f t="shared" ref="AC110:AC121" si="254">((AB110/S110)^(1/($H$2-$H$1) ))-1</f>
        <v>0.12000000000000011</v>
      </c>
      <c r="AD110" s="20"/>
      <c r="AE110" s="20"/>
    </row>
    <row r="111" spans="2:31">
      <c r="B111" s="20" t="s">
        <v>357</v>
      </c>
      <c r="C111" s="20"/>
      <c r="D111" s="20"/>
      <c r="E111" s="20"/>
      <c r="F111" s="20"/>
      <c r="G111" s="25">
        <f>G27/360</f>
        <v>1.55</v>
      </c>
      <c r="H111" s="25">
        <f t="shared" ref="H111:P111" si="255">H27/360</f>
        <v>1.7777777777777777</v>
      </c>
      <c r="I111" s="25">
        <f t="shared" si="255"/>
        <v>2.1916666666666669</v>
      </c>
      <c r="J111" s="25">
        <f t="shared" si="255"/>
        <v>3.0611111111111109</v>
      </c>
      <c r="K111" s="25">
        <f t="shared" si="255"/>
        <v>4.1361111111111111</v>
      </c>
      <c r="L111" s="25">
        <f t="shared" si="255"/>
        <v>4.8555555555555552</v>
      </c>
      <c r="M111" s="25">
        <f t="shared" si="255"/>
        <v>5.0861111111111112</v>
      </c>
      <c r="N111" s="25">
        <f t="shared" si="255"/>
        <v>6.2472222222222218</v>
      </c>
      <c r="O111" s="25">
        <f t="shared" si="255"/>
        <v>7.4055555555555559</v>
      </c>
      <c r="P111" s="25">
        <f t="shared" si="255"/>
        <v>8.6944444444444446</v>
      </c>
      <c r="Q111" s="118">
        <f t="shared" si="190"/>
        <v>0.21118989161507029</v>
      </c>
      <c r="R111" s="128"/>
      <c r="S111" s="25">
        <f t="shared" ref="S111:AB111" si="256">S27/360</f>
        <v>9.7377777777777794</v>
      </c>
      <c r="T111" s="25">
        <f t="shared" si="256"/>
        <v>10.906311111111114</v>
      </c>
      <c r="U111" s="25">
        <f t="shared" si="256"/>
        <v>12.215068444444448</v>
      </c>
      <c r="V111" s="25">
        <f t="shared" si="256"/>
        <v>13.680876657777784</v>
      </c>
      <c r="W111" s="25">
        <f t="shared" si="256"/>
        <v>15.322581856711119</v>
      </c>
      <c r="X111" s="25">
        <f t="shared" si="256"/>
        <v>17.161291679516456</v>
      </c>
      <c r="Y111" s="25">
        <f t="shared" si="256"/>
        <v>19.220646681058433</v>
      </c>
      <c r="Z111" s="25">
        <f t="shared" si="256"/>
        <v>21.527124282785447</v>
      </c>
      <c r="AA111" s="25">
        <f t="shared" si="256"/>
        <v>24.110379196719705</v>
      </c>
      <c r="AB111" s="25">
        <f t="shared" si="256"/>
        <v>27.003624700326068</v>
      </c>
      <c r="AC111" s="118">
        <f t="shared" si="254"/>
        <v>0.12000000000000011</v>
      </c>
      <c r="AD111" s="20"/>
      <c r="AE111" s="20"/>
    </row>
    <row r="112" spans="2:31">
      <c r="B112" s="20"/>
      <c r="C112" s="20"/>
      <c r="D112" s="20"/>
      <c r="E112" s="20"/>
      <c r="F112" s="20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128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128"/>
      <c r="AD112" s="20"/>
      <c r="AE112" s="20"/>
    </row>
    <row r="113" spans="2:31">
      <c r="B113" s="20" t="s">
        <v>367</v>
      </c>
      <c r="C113" s="20"/>
      <c r="D113" s="20"/>
      <c r="E113" s="20"/>
      <c r="F113" s="20"/>
      <c r="G113" s="25">
        <f>G10/G7</f>
        <v>0.17777777777777778</v>
      </c>
      <c r="H113" s="25">
        <f t="shared" ref="H113:P113" si="257">H10/H7</f>
        <v>0.17174515235457063</v>
      </c>
      <c r="I113" s="25">
        <f t="shared" si="257"/>
        <v>0.13559322033898305</v>
      </c>
      <c r="J113" s="25">
        <f t="shared" si="257"/>
        <v>0.30208333333333331</v>
      </c>
      <c r="K113" s="25">
        <f t="shared" si="257"/>
        <v>0.84838709677419355</v>
      </c>
      <c r="L113" s="25">
        <f t="shared" si="257"/>
        <v>0.9605678233438486</v>
      </c>
      <c r="M113" s="25">
        <f t="shared" si="257"/>
        <v>0.53669724770642202</v>
      </c>
      <c r="N113" s="25">
        <f t="shared" si="257"/>
        <v>0.30904059040590404</v>
      </c>
      <c r="O113" s="25">
        <f t="shared" si="257"/>
        <v>0.11161387631975868</v>
      </c>
      <c r="P113" s="25">
        <f t="shared" si="257"/>
        <v>3.0890369473046637E-2</v>
      </c>
      <c r="Q113" s="118">
        <f t="shared" si="190"/>
        <v>-0.1767163049296363</v>
      </c>
      <c r="R113" s="128"/>
      <c r="S113" s="25">
        <f t="shared" ref="S113:AB113" si="258">S10/S7</f>
        <v>3.0890369473046637E-2</v>
      </c>
      <c r="T113" s="25">
        <f t="shared" si="258"/>
        <v>3.0890369473046637E-2</v>
      </c>
      <c r="U113" s="25">
        <f t="shared" si="258"/>
        <v>3.0890369473046637E-2</v>
      </c>
      <c r="V113" s="25">
        <f t="shared" si="258"/>
        <v>3.0890369473046637E-2</v>
      </c>
      <c r="W113" s="25">
        <f t="shared" si="258"/>
        <v>3.0890369473046637E-2</v>
      </c>
      <c r="X113" s="25">
        <f t="shared" si="258"/>
        <v>3.0890369473046641E-2</v>
      </c>
      <c r="Y113" s="25">
        <f t="shared" si="258"/>
        <v>3.0890369473046644E-2</v>
      </c>
      <c r="Z113" s="25">
        <f t="shared" si="258"/>
        <v>3.0890369473046644E-2</v>
      </c>
      <c r="AA113" s="25">
        <f t="shared" si="258"/>
        <v>3.0890369473046644E-2</v>
      </c>
      <c r="AB113" s="25">
        <f t="shared" si="258"/>
        <v>3.0890369473046641E-2</v>
      </c>
      <c r="AC113" s="118">
        <f t="shared" si="254"/>
        <v>0</v>
      </c>
      <c r="AD113" s="20"/>
      <c r="AE113" s="20"/>
    </row>
    <row r="114" spans="2:31">
      <c r="B114" s="20" t="s">
        <v>359</v>
      </c>
      <c r="C114" s="20"/>
      <c r="D114" s="20"/>
      <c r="E114" s="20"/>
      <c r="F114" s="20"/>
      <c r="G114" s="25">
        <f>G10/(G10+G7)</f>
        <v>0.15094339622641509</v>
      </c>
      <c r="H114" s="25">
        <f t="shared" ref="H114:P114" si="259">H10/(H10+H7)</f>
        <v>0.14657210401891252</v>
      </c>
      <c r="I114" s="25">
        <f t="shared" si="259"/>
        <v>0.11940298507462686</v>
      </c>
      <c r="J114" s="25">
        <f t="shared" si="259"/>
        <v>0.23200000000000001</v>
      </c>
      <c r="K114" s="25">
        <f t="shared" si="259"/>
        <v>0.45898778359511344</v>
      </c>
      <c r="L114" s="25">
        <f t="shared" si="259"/>
        <v>0.48994368463395011</v>
      </c>
      <c r="M114" s="25">
        <f t="shared" si="259"/>
        <v>0.34925373134328358</v>
      </c>
      <c r="N114" s="25">
        <f t="shared" si="259"/>
        <v>0.23608174770965468</v>
      </c>
      <c r="O114" s="25">
        <f t="shared" si="259"/>
        <v>0.10040705563093623</v>
      </c>
      <c r="P114" s="25">
        <f t="shared" si="259"/>
        <v>2.9964747356051705E-2</v>
      </c>
      <c r="Q114" s="118">
        <f t="shared" si="190"/>
        <v>-0.16444048484557905</v>
      </c>
      <c r="R114" s="128"/>
      <c r="S114" s="25">
        <f t="shared" ref="S114:AB114" si="260">S10/(S10+S7)</f>
        <v>2.9964747356051702E-2</v>
      </c>
      <c r="T114" s="25">
        <f t="shared" si="260"/>
        <v>2.9964747356051702E-2</v>
      </c>
      <c r="U114" s="25">
        <f t="shared" si="260"/>
        <v>2.9964747356051705E-2</v>
      </c>
      <c r="V114" s="25">
        <f t="shared" si="260"/>
        <v>2.9964747356051705E-2</v>
      </c>
      <c r="W114" s="25">
        <f t="shared" si="260"/>
        <v>2.9964747356051705E-2</v>
      </c>
      <c r="X114" s="25">
        <f t="shared" si="260"/>
        <v>2.9964747356051709E-2</v>
      </c>
      <c r="Y114" s="25">
        <f t="shared" si="260"/>
        <v>2.9964747356051712E-2</v>
      </c>
      <c r="Z114" s="25">
        <f t="shared" si="260"/>
        <v>2.9964747356051712E-2</v>
      </c>
      <c r="AA114" s="25">
        <f t="shared" si="260"/>
        <v>2.9964747356051712E-2</v>
      </c>
      <c r="AB114" s="25">
        <f t="shared" si="260"/>
        <v>2.9964747356051705E-2</v>
      </c>
      <c r="AC114" s="118">
        <f t="shared" si="254"/>
        <v>0</v>
      </c>
      <c r="AD114" s="20"/>
      <c r="AE114" s="20"/>
    </row>
    <row r="115" spans="2:31">
      <c r="B115" s="20"/>
      <c r="C115" s="20"/>
      <c r="D115" s="20"/>
      <c r="E115" s="20"/>
      <c r="F115" s="20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128"/>
      <c r="R115" s="128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137"/>
      <c r="AD115" s="20"/>
      <c r="AE115" s="20"/>
    </row>
    <row r="116" spans="2:31">
      <c r="B116" s="20" t="s">
        <v>364</v>
      </c>
      <c r="C116" s="20"/>
      <c r="D116" s="20"/>
      <c r="E116" s="20"/>
      <c r="F116" s="20"/>
      <c r="G116" s="25">
        <f>G16</f>
        <v>132</v>
      </c>
      <c r="H116" s="25">
        <f t="shared" ref="H116:P116" si="261">H16</f>
        <v>145</v>
      </c>
      <c r="I116" s="25">
        <f t="shared" si="261"/>
        <v>147</v>
      </c>
      <c r="J116" s="25">
        <f t="shared" si="261"/>
        <v>224</v>
      </c>
      <c r="K116" s="25">
        <f t="shared" si="261"/>
        <v>477</v>
      </c>
      <c r="L116" s="25">
        <f t="shared" si="261"/>
        <v>445</v>
      </c>
      <c r="M116" s="25">
        <f t="shared" si="261"/>
        <v>234</v>
      </c>
      <c r="N116" s="25">
        <f t="shared" si="261"/>
        <v>336</v>
      </c>
      <c r="O116" s="25">
        <f t="shared" si="261"/>
        <v>365</v>
      </c>
      <c r="P116" s="25">
        <f t="shared" si="261"/>
        <v>335</v>
      </c>
      <c r="Q116" s="118">
        <f t="shared" si="190"/>
        <v>0.10902467354362688</v>
      </c>
      <c r="R116" s="128"/>
      <c r="S116" s="25">
        <f t="shared" ref="S116:AB116" si="262">S16</f>
        <v>375.20000000000005</v>
      </c>
      <c r="T116" s="25">
        <f t="shared" si="262"/>
        <v>420.2240000000001</v>
      </c>
      <c r="U116" s="25">
        <f t="shared" si="262"/>
        <v>470.65088000000014</v>
      </c>
      <c r="V116" s="25">
        <f t="shared" si="262"/>
        <v>527.12898560000019</v>
      </c>
      <c r="W116" s="25">
        <f t="shared" si="262"/>
        <v>590.38446387200031</v>
      </c>
      <c r="X116" s="25">
        <f t="shared" si="262"/>
        <v>661.2305995366404</v>
      </c>
      <c r="Y116" s="25">
        <f t="shared" si="262"/>
        <v>740.57827148103729</v>
      </c>
      <c r="Z116" s="25">
        <f t="shared" si="262"/>
        <v>829.4476640587618</v>
      </c>
      <c r="AA116" s="25">
        <f t="shared" si="262"/>
        <v>928.98138374581333</v>
      </c>
      <c r="AB116" s="25">
        <f t="shared" si="262"/>
        <v>1040.4591497953111</v>
      </c>
      <c r="AC116" s="118">
        <f t="shared" si="254"/>
        <v>0.12000000000000011</v>
      </c>
      <c r="AD116" s="20"/>
      <c r="AE116" s="20"/>
    </row>
    <row r="117" spans="2:31">
      <c r="B117" s="20" t="s">
        <v>365</v>
      </c>
      <c r="C117" s="20"/>
      <c r="D117" s="20"/>
      <c r="E117" s="20"/>
      <c r="F117" s="20"/>
      <c r="G117" s="119">
        <f t="shared" ref="G117:P117" si="263">G116*365/G25</f>
        <v>71.37777777777778</v>
      </c>
      <c r="H117" s="119">
        <f t="shared" si="263"/>
        <v>68.11454311454311</v>
      </c>
      <c r="I117" s="119">
        <f t="shared" si="263"/>
        <v>56.53846153846154</v>
      </c>
      <c r="J117" s="119">
        <f t="shared" si="263"/>
        <v>63.379844961240309</v>
      </c>
      <c r="K117" s="119">
        <f t="shared" si="263"/>
        <v>98.531409168081495</v>
      </c>
      <c r="L117" s="119">
        <f t="shared" si="263"/>
        <v>82.115773508594543</v>
      </c>
      <c r="M117" s="119">
        <f t="shared" si="263"/>
        <v>38.010680907877166</v>
      </c>
      <c r="N117" s="119">
        <f t="shared" si="263"/>
        <v>44.62882096069869</v>
      </c>
      <c r="O117" s="119">
        <f t="shared" si="263"/>
        <v>41.71102066374452</v>
      </c>
      <c r="P117" s="119">
        <f t="shared" si="263"/>
        <v>32.160704892162023</v>
      </c>
      <c r="Q117" s="118">
        <f t="shared" si="190"/>
        <v>-8.4772268788804728E-2</v>
      </c>
      <c r="R117" s="128"/>
      <c r="S117" s="119">
        <f t="shared" ref="S117:AB117" si="264">S116*365/S25</f>
        <v>32.160704892162023</v>
      </c>
      <c r="T117" s="119">
        <f t="shared" si="264"/>
        <v>32.160704892162023</v>
      </c>
      <c r="U117" s="119">
        <f t="shared" si="264"/>
        <v>32.160704892162023</v>
      </c>
      <c r="V117" s="119">
        <f t="shared" si="264"/>
        <v>32.160704892162023</v>
      </c>
      <c r="W117" s="119">
        <f t="shared" si="264"/>
        <v>32.16070489216203</v>
      </c>
      <c r="X117" s="119">
        <f t="shared" si="264"/>
        <v>32.160704892162023</v>
      </c>
      <c r="Y117" s="119">
        <f t="shared" si="264"/>
        <v>32.160704892162023</v>
      </c>
      <c r="Z117" s="119">
        <f t="shared" si="264"/>
        <v>32.160704892162023</v>
      </c>
      <c r="AA117" s="119">
        <f t="shared" si="264"/>
        <v>32.160704892162023</v>
      </c>
      <c r="AB117" s="119">
        <f t="shared" si="264"/>
        <v>32.160704892162023</v>
      </c>
      <c r="AC117" s="118">
        <f t="shared" si="254"/>
        <v>0</v>
      </c>
      <c r="AD117" s="20"/>
      <c r="AE117" s="20"/>
    </row>
    <row r="118" spans="2:31">
      <c r="B118" s="20" t="s">
        <v>368</v>
      </c>
      <c r="C118" s="20"/>
      <c r="D118" s="20"/>
      <c r="E118" s="20"/>
      <c r="F118" s="20"/>
      <c r="G118" s="133">
        <f>G72/G29</f>
        <v>42857.142857142855</v>
      </c>
      <c r="H118" s="133">
        <f t="shared" ref="H118:P118" si="265">H72/H29</f>
        <v>12.698412698412698</v>
      </c>
      <c r="I118" s="133">
        <f t="shared" si="265"/>
        <v>1.5124016938898972</v>
      </c>
      <c r="J118" s="133">
        <f t="shared" si="265"/>
        <v>0.71087393270751631</v>
      </c>
      <c r="K118" s="133">
        <f t="shared" si="265"/>
        <v>0.41337285902503296</v>
      </c>
      <c r="L118" s="133">
        <f t="shared" si="265"/>
        <v>0.21739130434782608</v>
      </c>
      <c r="M118" s="133">
        <f t="shared" si="265"/>
        <v>0.20694890753855594</v>
      </c>
      <c r="N118" s="133">
        <f t="shared" si="265"/>
        <v>0.25467079408988119</v>
      </c>
      <c r="O118" s="133">
        <f t="shared" si="265"/>
        <v>0.31393782251709501</v>
      </c>
      <c r="P118" s="133">
        <f t="shared" si="265"/>
        <v>0.53116021707516048</v>
      </c>
      <c r="Q118" s="118">
        <f t="shared" si="190"/>
        <v>-0.71502926775453468</v>
      </c>
      <c r="R118" s="128"/>
      <c r="S118" s="133">
        <f t="shared" ref="S118:AB118" si="266">S72/S29</f>
        <v>0.46187844963057451</v>
      </c>
      <c r="T118" s="133">
        <f t="shared" si="266"/>
        <v>0.40163343446136923</v>
      </c>
      <c r="U118" s="133">
        <f t="shared" si="266"/>
        <v>0.34924646474901666</v>
      </c>
      <c r="V118" s="133">
        <f t="shared" si="266"/>
        <v>0.30369257804262328</v>
      </c>
      <c r="W118" s="133">
        <f t="shared" si="266"/>
        <v>0.26408050264575939</v>
      </c>
      <c r="X118" s="133">
        <f t="shared" si="266"/>
        <v>0.22963521969196468</v>
      </c>
      <c r="Y118" s="133">
        <f t="shared" si="266"/>
        <v>0.1996827997321432</v>
      </c>
      <c r="Z118" s="133">
        <f t="shared" si="266"/>
        <v>0.1736372171583854</v>
      </c>
      <c r="AA118" s="133">
        <f t="shared" si="266"/>
        <v>0.15098888448555259</v>
      </c>
      <c r="AB118" s="133">
        <f t="shared" si="266"/>
        <v>0.13129468216135007</v>
      </c>
      <c r="AC118" s="118">
        <f t="shared" si="254"/>
        <v>-0.13043478260869557</v>
      </c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0" t="s">
        <v>375</v>
      </c>
      <c r="C120" s="20"/>
      <c r="D120" s="20"/>
      <c r="E120" s="20"/>
      <c r="F120" s="20"/>
      <c r="G120" s="20" t="e">
        <f>G25/G14</f>
        <v>#DIV/0!</v>
      </c>
      <c r="H120" s="20" t="e">
        <f t="shared" ref="H120:P120" si="267">H25/H14</f>
        <v>#DIV/0!</v>
      </c>
      <c r="I120" s="20" t="e">
        <f t="shared" si="267"/>
        <v>#DIV/0!</v>
      </c>
      <c r="J120" s="20" t="e">
        <f t="shared" si="267"/>
        <v>#DIV/0!</v>
      </c>
      <c r="K120" s="20" t="e">
        <f t="shared" si="267"/>
        <v>#DIV/0!</v>
      </c>
      <c r="L120" s="20" t="e">
        <f t="shared" si="267"/>
        <v>#DIV/0!</v>
      </c>
      <c r="M120" s="20" t="e">
        <f t="shared" si="267"/>
        <v>#DIV/0!</v>
      </c>
      <c r="N120" s="20" t="e">
        <f t="shared" si="267"/>
        <v>#DIV/0!</v>
      </c>
      <c r="O120" s="20" t="e">
        <f t="shared" si="267"/>
        <v>#DIV/0!</v>
      </c>
      <c r="P120" s="20" t="e">
        <f t="shared" si="267"/>
        <v>#DIV/0!</v>
      </c>
      <c r="Q120" s="118" t="e">
        <f t="shared" si="190"/>
        <v>#DIV/0!</v>
      </c>
      <c r="R120" s="128"/>
      <c r="S120" s="20" t="e">
        <f t="shared" ref="S120" si="268">S25/S14</f>
        <v>#DIV/0!</v>
      </c>
      <c r="T120" s="20" t="e">
        <f t="shared" ref="T120:AB120" si="269">T25/T14</f>
        <v>#DIV/0!</v>
      </c>
      <c r="U120" s="20" t="e">
        <f t="shared" si="269"/>
        <v>#DIV/0!</v>
      </c>
      <c r="V120" s="20" t="e">
        <f t="shared" si="269"/>
        <v>#DIV/0!</v>
      </c>
      <c r="W120" s="20" t="e">
        <f t="shared" si="269"/>
        <v>#DIV/0!</v>
      </c>
      <c r="X120" s="20" t="e">
        <f t="shared" si="269"/>
        <v>#DIV/0!</v>
      </c>
      <c r="Y120" s="20" t="e">
        <f t="shared" si="269"/>
        <v>#DIV/0!</v>
      </c>
      <c r="Z120" s="20" t="e">
        <f t="shared" si="269"/>
        <v>#DIV/0!</v>
      </c>
      <c r="AA120" s="20" t="e">
        <f t="shared" si="269"/>
        <v>#DIV/0!</v>
      </c>
      <c r="AB120" s="20" t="e">
        <f t="shared" si="269"/>
        <v>#DIV/0!</v>
      </c>
      <c r="AC120" s="118" t="e">
        <f t="shared" si="254"/>
        <v>#DIV/0!</v>
      </c>
      <c r="AD120" s="20"/>
      <c r="AE120" s="20"/>
    </row>
    <row r="121" spans="2:31">
      <c r="B121" s="20" t="s">
        <v>376</v>
      </c>
      <c r="C121" s="20"/>
      <c r="D121" s="20"/>
      <c r="E121" s="20"/>
      <c r="F121" s="20"/>
      <c r="G121" s="20" t="e">
        <f>G27/G14</f>
        <v>#DIV/0!</v>
      </c>
      <c r="H121" s="20" t="e">
        <f t="shared" ref="H121:P121" si="270">H27/H14</f>
        <v>#DIV/0!</v>
      </c>
      <c r="I121" s="20" t="e">
        <f t="shared" si="270"/>
        <v>#DIV/0!</v>
      </c>
      <c r="J121" s="20" t="e">
        <f t="shared" si="270"/>
        <v>#DIV/0!</v>
      </c>
      <c r="K121" s="20" t="e">
        <f t="shared" si="270"/>
        <v>#DIV/0!</v>
      </c>
      <c r="L121" s="20" t="e">
        <f t="shared" si="270"/>
        <v>#DIV/0!</v>
      </c>
      <c r="M121" s="20" t="e">
        <f t="shared" si="270"/>
        <v>#DIV/0!</v>
      </c>
      <c r="N121" s="20" t="e">
        <f t="shared" si="270"/>
        <v>#DIV/0!</v>
      </c>
      <c r="O121" s="20" t="e">
        <f t="shared" si="270"/>
        <v>#DIV/0!</v>
      </c>
      <c r="P121" s="20" t="e">
        <f t="shared" si="270"/>
        <v>#DIV/0!</v>
      </c>
      <c r="Q121" s="118" t="e">
        <f t="shared" si="190"/>
        <v>#DIV/0!</v>
      </c>
      <c r="R121" s="128"/>
      <c r="S121" s="20" t="e">
        <f t="shared" ref="S121:AB121" si="271">S27/S14</f>
        <v>#DIV/0!</v>
      </c>
      <c r="T121" s="20" t="e">
        <f t="shared" si="271"/>
        <v>#DIV/0!</v>
      </c>
      <c r="U121" s="20" t="e">
        <f t="shared" si="271"/>
        <v>#DIV/0!</v>
      </c>
      <c r="V121" s="20" t="e">
        <f t="shared" si="271"/>
        <v>#DIV/0!</v>
      </c>
      <c r="W121" s="20" t="e">
        <f t="shared" si="271"/>
        <v>#DIV/0!</v>
      </c>
      <c r="X121" s="20" t="e">
        <f t="shared" si="271"/>
        <v>#DIV/0!</v>
      </c>
      <c r="Y121" s="20" t="e">
        <f t="shared" si="271"/>
        <v>#DIV/0!</v>
      </c>
      <c r="Z121" s="20" t="e">
        <f t="shared" si="271"/>
        <v>#DIV/0!</v>
      </c>
      <c r="AA121" s="20" t="e">
        <f t="shared" si="271"/>
        <v>#DIV/0!</v>
      </c>
      <c r="AB121" s="20" t="e">
        <f t="shared" si="271"/>
        <v>#DIV/0!</v>
      </c>
      <c r="AC121" s="118" t="e">
        <f t="shared" si="254"/>
        <v>#DIV/0!</v>
      </c>
      <c r="AD121" s="20"/>
      <c r="AE121" s="20"/>
    </row>
    <row r="122" spans="2:3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28"/>
      <c r="R122" s="128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37"/>
      <c r="AD122" s="20"/>
      <c r="AE122" s="20"/>
    </row>
    <row r="123" spans="2:31">
      <c r="B123" s="108" t="s">
        <v>244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3"/>
      <c r="R123" s="23"/>
      <c r="S123" s="122" t="s">
        <v>66</v>
      </c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3" t="s">
        <v>281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5"/>
      <c r="Q124" s="160">
        <f>AVERAGE(G47:P47)</f>
        <v>9.7768733809012272</v>
      </c>
      <c r="R124" s="23"/>
      <c r="S124" s="134"/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25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>S125+T125</f>
        <v>9.1769557177738807</v>
      </c>
      <c r="S125" s="133">
        <f>PV($C$1, ($AB$3-$S$3), 0, -AB47)</f>
        <v>1.0530932790888059</v>
      </c>
      <c r="T125" s="133">
        <f>PV($C$1, ($AB$3-$S$3), 0, -AE47)</f>
        <v>8.1238624386850748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273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ref="R126:R144" si="272">S126+T126</f>
        <v>35.988489049987358</v>
      </c>
      <c r="S126" s="133">
        <f>PV($C$1, ($AB$3-$S$3), 0, -AB48)</f>
        <v>4.1298266122936313</v>
      </c>
      <c r="T126" s="133">
        <f>PV($C$1, ($AB$3-$S$3), 0, -AE48)</f>
        <v>31.858662437693727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si="272"/>
        <v>34.876791326456562</v>
      </c>
      <c r="S127" s="133">
        <f>PV($C$1, ($AB$3-$S$3), 0, -AB49)</f>
        <v>4.002254742380261</v>
      </c>
      <c r="T127" s="133">
        <f>PV($C$1, ($AB$3-$S$3), 0, -AE49)</f>
        <v>30.874536584076299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275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2"/>
        <v>1.1116977235308028</v>
      </c>
      <c r="S128" s="133">
        <f>PV($C$1, ($AB$3-$S$3), 0, -AB50)</f>
        <v>0.12757186991337083</v>
      </c>
      <c r="T128" s="133">
        <f>PV($C$1, ($AB$3-$S$3), 0, -AE50)</f>
        <v>0.98412585361743199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276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2"/>
        <v>3.2914971814343374</v>
      </c>
      <c r="S129" s="133">
        <f>PV($C$1, ($AB$3-$S$3), 0, -AB56)</f>
        <v>0.37771279131213709</v>
      </c>
      <c r="T129" s="133">
        <f>PV($C$1, ($AB$3-$S$3), 0, -AE56)</f>
        <v>2.9137843901222005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/>
      <c r="S130" s="133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271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>
        <f t="shared" si="272"/>
        <v>34.876791326456562</v>
      </c>
      <c r="S131" s="133">
        <f>PV($C$1, ($AB$3-$S$3), 0, -AB52)</f>
        <v>4.002254742380261</v>
      </c>
      <c r="T131" s="133">
        <f>PV($C$1, ($AB$3-$S$3), 0, -$AE$52)</f>
        <v>30.874536584076299</v>
      </c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272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2"/>
        <v>19.770781083185057</v>
      </c>
      <c r="S132" s="133">
        <f>PV($C$1, ($AB$3-$S$3), 0, -AB53)</f>
        <v>2.26877815708681</v>
      </c>
      <c r="T132" s="133">
        <f>PV($C$1, ($AB$3-$S$3), 0, -$AE$53)</f>
        <v>17.502002926098246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277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2"/>
        <v>43.835767098440073</v>
      </c>
      <c r="S133" s="133">
        <f>PV($C$1, ($AB$3-$S$3), 0, -AB54)</f>
        <v>5.0303339293291893</v>
      </c>
      <c r="T133" s="133">
        <f>PV($C$1, ($AB$3-$S$3), 0, -$AE$54)</f>
        <v>38.805433169110884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/>
      <c r="S134" s="133"/>
      <c r="T134" s="20"/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 t="s">
        <v>249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 t="shared" si="272"/>
        <v>24.064986015255016</v>
      </c>
      <c r="S135" s="133">
        <f>PV($C$1, ($AB$3-$S$3), 0, -AB59)</f>
        <v>2.7615557722423794</v>
      </c>
      <c r="T135" s="133">
        <f>PV($C$1, ($AB$3-$S$3), 0, -AE59)</f>
        <v>21.303430243012638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250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2"/>
        <v>4.6469361170761729</v>
      </c>
      <c r="S136" s="133">
        <f>PV($C$1, ($AB$3-$S$3), 0, -AB60)</f>
        <v>0.8379720866858672</v>
      </c>
      <c r="T136" s="133">
        <f>PV($C$1, ($AB$3-$S$3), 0, -AE60)</f>
        <v>3.8089640303903054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/>
      <c r="S137" s="133"/>
      <c r="T137" s="133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 t="s">
        <v>294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ref="R138" si="273">S138+T138</f>
        <v>682.57518099498247</v>
      </c>
      <c r="S138" s="133">
        <f>PV($C$1, ($AB$3-$S$3), 0, -AB12)</f>
        <v>78.328299458440625</v>
      </c>
      <c r="T138" s="133">
        <f>PV($C$1, ($AB$3-$S$3), 0, -AE12)</f>
        <v>604.24688153654188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295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>S139+T139</f>
        <v>13.315941884412457</v>
      </c>
      <c r="S139" s="140">
        <f>S138/P40</f>
        <v>1.5280589047686428</v>
      </c>
      <c r="T139" s="140">
        <f>T138/P40</f>
        <v>11.787882979643815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/>
      <c r="S140" s="140"/>
      <c r="T140" s="14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108" t="s">
        <v>298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33"/>
      <c r="T141" s="133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283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ref="R142" si="274">S142+T142</f>
        <v>25.727138095801145</v>
      </c>
      <c r="S142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20.270519705091523</v>
      </c>
      <c r="T142" s="133">
        <f>PV($C$1, ($AB$3-$S$3), 0, -AE62)</f>
        <v>5.4566183907096226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133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291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72"/>
        <v>5962.0065433161708</v>
      </c>
      <c r="S144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4697.4898905642021</v>
      </c>
      <c r="T144" s="133">
        <f>PV($C$1, ($AB$3-$S$3), 0, -AE64)</f>
        <v>1264.5166527519689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/>
      <c r="S145" s="133"/>
      <c r="T145" s="133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287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ref="R146:R149" si="275">S146+T146</f>
        <v>28.749840719981446</v>
      </c>
      <c r="S146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22.652119744626376</v>
      </c>
      <c r="T146" s="133">
        <f>PV($C$1, ($AB$3-$S$3), 0, -AE66)</f>
        <v>6.0977209753550703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275"/>
        <v>46.673000915666073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36.773852623396607</v>
      </c>
      <c r="T147" s="133">
        <f>PV($C$1, ($AB$3-$S$3), 0, -AE67)</f>
        <v>9.899148292269464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289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5"/>
        <v>-17.923160195684627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-14.121732878770235</v>
      </c>
      <c r="T148" s="133">
        <f>PV($C$1, ($AB$3-$S$3), 0, -AE68)</f>
        <v>-3.8014273169143933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290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5"/>
        <v>-56.862817879710114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-44.802452026555308</v>
      </c>
      <c r="T149" s="133">
        <f>PV($C$1, ($AB$3-$S$3), 0, -AE69)</f>
        <v>-12.060365853154805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 t="s">
        <v>299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>S151+T151</f>
        <v>4.6400059389843467</v>
      </c>
      <c r="S151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3.6558800853669142</v>
      </c>
      <c r="T151" s="133">
        <f>PV($C$1, ($AB$3-$S$3), 0, -AE70)</f>
        <v>0.98412585361743199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190" t="s">
        <v>378</v>
      </c>
      <c r="Q152" s="190" t="s">
        <v>379</v>
      </c>
      <c r="R152" s="20"/>
      <c r="S152" s="121"/>
      <c r="T152" s="20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108" t="s">
        <v>251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>
        <v>280</v>
      </c>
      <c r="Q153" s="20">
        <v>150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20" t="s">
        <v>204</v>
      </c>
      <c r="C154" s="22">
        <v>0</v>
      </c>
      <c r="D154" s="22">
        <v>0</v>
      </c>
      <c r="E154" s="22">
        <v>0</v>
      </c>
      <c r="F154" s="22">
        <v>0</v>
      </c>
      <c r="G154" s="22">
        <v>310</v>
      </c>
      <c r="H154" s="22">
        <v>450</v>
      </c>
      <c r="I154" s="22">
        <v>120</v>
      </c>
      <c r="J154" s="22">
        <v>190</v>
      </c>
      <c r="K154" s="22">
        <v>200</v>
      </c>
      <c r="L154" s="22">
        <v>140</v>
      </c>
      <c r="M154" s="22">
        <v>150</v>
      </c>
      <c r="N154" s="22">
        <v>150</v>
      </c>
      <c r="O154" s="22">
        <v>210</v>
      </c>
      <c r="P154" s="22">
        <v>140</v>
      </c>
      <c r="Q154" s="118">
        <f t="shared" ref="Q154:Q159" si="276">((P154/G154)^(1/($H$2-$H$1) ))-1</f>
        <v>-8.4537193065813754E-2</v>
      </c>
      <c r="R154" s="31">
        <f>L2-3%</f>
        <v>0.09</v>
      </c>
      <c r="S154" s="119">
        <f t="shared" ref="S154" si="277">P154*(1+$R154)</f>
        <v>152.60000000000002</v>
      </c>
      <c r="T154" s="119">
        <f t="shared" ref="T154:AB154" si="278">S154*(1+$R154)</f>
        <v>166.33400000000003</v>
      </c>
      <c r="U154" s="119">
        <f t="shared" si="278"/>
        <v>181.30406000000005</v>
      </c>
      <c r="V154" s="119">
        <f t="shared" si="278"/>
        <v>197.62142540000008</v>
      </c>
      <c r="W154" s="119">
        <f t="shared" si="278"/>
        <v>215.40735368600011</v>
      </c>
      <c r="X154" s="119">
        <f t="shared" si="278"/>
        <v>234.79401551774012</v>
      </c>
      <c r="Y154" s="119">
        <f t="shared" si="278"/>
        <v>255.92547691433674</v>
      </c>
      <c r="Z154" s="119">
        <f t="shared" si="278"/>
        <v>278.95876983662708</v>
      </c>
      <c r="AA154" s="119">
        <f t="shared" si="278"/>
        <v>304.06505912192353</v>
      </c>
      <c r="AB154" s="119">
        <f t="shared" si="278"/>
        <v>331.43091444289666</v>
      </c>
      <c r="AC154" s="138">
        <f t="shared" ref="AC154:AC159" si="279">((AB154/G154)^(1/($AB$3-$H$1) ))-1</f>
        <v>3.5244641340279603E-3</v>
      </c>
      <c r="AD154" s="31">
        <v>0.08</v>
      </c>
      <c r="AE154" s="127">
        <f t="shared" ref="AE154:AE160" si="280">(AB154*(1+AC154))/($C$1-AD154)</f>
        <v>2375.7073629554193</v>
      </c>
    </row>
    <row r="155" spans="2:31">
      <c r="B155" s="20" t="s">
        <v>362</v>
      </c>
      <c r="C155" s="25" t="e">
        <f t="shared" ref="C155:P155" si="281">C154/C44</f>
        <v>#DIV/0!</v>
      </c>
      <c r="D155" s="25" t="e">
        <f t="shared" si="281"/>
        <v>#DIV/0!</v>
      </c>
      <c r="E155" s="25" t="e">
        <f t="shared" si="281"/>
        <v>#DIV/0!</v>
      </c>
      <c r="F155" s="25" t="e">
        <f t="shared" si="281"/>
        <v>#DIV/0!</v>
      </c>
      <c r="G155" s="25">
        <f t="shared" si="281"/>
        <v>1.1573333333333335</v>
      </c>
      <c r="H155" s="25">
        <f t="shared" si="281"/>
        <v>1.4594594594594597</v>
      </c>
      <c r="I155" s="25">
        <f t="shared" si="281"/>
        <v>3.1903055848261328</v>
      </c>
      <c r="J155" s="25">
        <f t="shared" si="281"/>
        <v>3.7160465116279071</v>
      </c>
      <c r="K155" s="25">
        <f t="shared" si="281"/>
        <v>2.8636106395019807</v>
      </c>
      <c r="L155" s="25">
        <f t="shared" si="281"/>
        <v>1.7906976744186049</v>
      </c>
      <c r="M155" s="25">
        <f t="shared" si="281"/>
        <v>3.3785046728971966</v>
      </c>
      <c r="N155" s="25">
        <f t="shared" si="281"/>
        <v>2.7625545851528384</v>
      </c>
      <c r="O155" s="25">
        <f t="shared" si="281"/>
        <v>3.3373825923606759</v>
      </c>
      <c r="P155" s="25">
        <f t="shared" si="281"/>
        <v>1.8875328774329301</v>
      </c>
      <c r="Q155" s="118">
        <f t="shared" ref="Q155" si="282">((P155/G155)^(1/($H$2-$H$1) ))-1</f>
        <v>5.5854334238636172E-2</v>
      </c>
      <c r="R155" s="128"/>
      <c r="S155" s="25">
        <f t="shared" ref="S155:AB155" si="283">S154/S44</f>
        <v>2.112520055234087</v>
      </c>
      <c r="T155" s="25">
        <f t="shared" si="283"/>
        <v>2.3643249011035068</v>
      </c>
      <c r="U155" s="25">
        <f t="shared" si="283"/>
        <v>2.6461439852975412</v>
      </c>
      <c r="V155" s="25">
        <f t="shared" si="283"/>
        <v>2.9615548978307746</v>
      </c>
      <c r="W155" s="25">
        <f t="shared" si="283"/>
        <v>3.3145616646704248</v>
      </c>
      <c r="X155" s="25">
        <f t="shared" si="283"/>
        <v>3.7096455773789083</v>
      </c>
      <c r="Y155" s="25">
        <f t="shared" si="283"/>
        <v>4.1518220814682687</v>
      </c>
      <c r="Z155" s="25">
        <f t="shared" si="283"/>
        <v>4.6467044456432811</v>
      </c>
      <c r="AA155" s="25">
        <f t="shared" si="283"/>
        <v>5.2005750201909393</v>
      </c>
      <c r="AB155" s="25">
        <f t="shared" si="283"/>
        <v>5.8204649891154832</v>
      </c>
      <c r="AC155" s="138">
        <f t="shared" ref="AC155" si="284">((AB155/G155)^(1/($AB$3-$H$1) ))-1</f>
        <v>8.8732059321448231E-2</v>
      </c>
      <c r="AD155" s="31">
        <v>0.08</v>
      </c>
      <c r="AE155" s="127">
        <f t="shared" ref="AE155" si="285">(AB155*(1+AC155))/($C$1-AD155)</f>
        <v>45.263763098629219</v>
      </c>
    </row>
    <row r="156" spans="2:31">
      <c r="B156" s="20" t="s">
        <v>42</v>
      </c>
      <c r="C156" s="25" t="e">
        <f t="shared" ref="C156:P156" si="286">C154/C47</f>
        <v>#DIV/0!</v>
      </c>
      <c r="D156" s="25" t="e">
        <f t="shared" si="286"/>
        <v>#DIV/0!</v>
      </c>
      <c r="E156" s="25" t="e">
        <f t="shared" si="286"/>
        <v>#DIV/0!</v>
      </c>
      <c r="F156" s="25" t="e">
        <f t="shared" si="286"/>
        <v>#DIV/0!</v>
      </c>
      <c r="G156" s="25">
        <f t="shared" si="286"/>
        <v>12.806557377049181</v>
      </c>
      <c r="H156" s="25">
        <f t="shared" si="286"/>
        <v>15.75</v>
      </c>
      <c r="I156" s="25">
        <f t="shared" si="286"/>
        <v>35.204651162790697</v>
      </c>
      <c r="J156" s="25">
        <f t="shared" si="286"/>
        <v>43.18648648648648</v>
      </c>
      <c r="K156" s="25">
        <f t="shared" si="286"/>
        <v>29.5906432748538</v>
      </c>
      <c r="L156" s="25">
        <f t="shared" si="286"/>
        <v>32.200000000000003</v>
      </c>
      <c r="M156" s="25">
        <f t="shared" si="286"/>
        <v>27.605454545454545</v>
      </c>
      <c r="N156" s="25">
        <f t="shared" si="286"/>
        <v>24.647727272727273</v>
      </c>
      <c r="O156" s="25">
        <f t="shared" si="286"/>
        <v>33.104347826086958</v>
      </c>
      <c r="P156" s="25">
        <f t="shared" si="286"/>
        <v>17.046080760095013</v>
      </c>
      <c r="Q156" s="118">
        <f t="shared" si="276"/>
        <v>3.2283835757097812E-2</v>
      </c>
      <c r="R156" s="128"/>
      <c r="S156" s="119">
        <f t="shared" ref="S156:AB156" si="287">S154/S47</f>
        <v>19.077912707838479</v>
      </c>
      <c r="T156" s="119">
        <f t="shared" si="287"/>
        <v>21.351931767210292</v>
      </c>
      <c r="U156" s="119">
        <f t="shared" si="287"/>
        <v>23.89700577696259</v>
      </c>
      <c r="V156" s="119">
        <f t="shared" si="287"/>
        <v>26.745443519127328</v>
      </c>
      <c r="W156" s="119">
        <f t="shared" si="287"/>
        <v>29.933404867166164</v>
      </c>
      <c r="X156" s="119">
        <f t="shared" si="287"/>
        <v>33.501359822314981</v>
      </c>
      <c r="Y156" s="119">
        <f t="shared" si="287"/>
        <v>37.494602265421271</v>
      </c>
      <c r="Z156" s="119">
        <f t="shared" si="287"/>
        <v>41.963824946165687</v>
      </c>
      <c r="AA156" s="119">
        <f t="shared" si="287"/>
        <v>46.965763008945245</v>
      </c>
      <c r="AB156" s="119">
        <f t="shared" si="287"/>
        <v>52.563914224743634</v>
      </c>
      <c r="AC156" s="138">
        <f t="shared" si="279"/>
        <v>7.7151014081759062E-2</v>
      </c>
      <c r="AD156" s="31">
        <v>0.08</v>
      </c>
      <c r="AE156" s="127">
        <f t="shared" si="280"/>
        <v>404.42338222349429</v>
      </c>
    </row>
    <row r="157" spans="2:31">
      <c r="B157" s="20" t="s">
        <v>259</v>
      </c>
      <c r="C157" s="25" t="e">
        <f t="shared" ref="C157:P157" si="288">C154/C49</f>
        <v>#DIV/0!</v>
      </c>
      <c r="D157" s="25" t="e">
        <f t="shared" si="288"/>
        <v>#DIV/0!</v>
      </c>
      <c r="E157" s="25" t="e">
        <f t="shared" si="288"/>
        <v>#DIV/0!</v>
      </c>
      <c r="F157" s="25" t="e">
        <f t="shared" si="288"/>
        <v>#DIV/0!</v>
      </c>
      <c r="G157" s="25">
        <f t="shared" si="288"/>
        <v>2.7031141868512112</v>
      </c>
      <c r="H157" s="25">
        <f t="shared" si="288"/>
        <v>3.3749999999999996</v>
      </c>
      <c r="I157" s="25">
        <f t="shared" si="288"/>
        <v>7.8030927835051553</v>
      </c>
      <c r="J157" s="25">
        <f t="shared" si="288"/>
        <v>10.535604395604397</v>
      </c>
      <c r="K157" s="25">
        <f t="shared" si="288"/>
        <v>8.5617597292724206</v>
      </c>
      <c r="L157" s="25">
        <f t="shared" si="288"/>
        <v>5.2944693572496258</v>
      </c>
      <c r="M157" s="25">
        <f t="shared" si="288"/>
        <v>9.2466504263093796</v>
      </c>
      <c r="N157" s="25">
        <f t="shared" si="288"/>
        <v>7.341876208897486</v>
      </c>
      <c r="O157" s="25">
        <f t="shared" si="288"/>
        <v>8.3604705882352945</v>
      </c>
      <c r="P157" s="25">
        <f t="shared" si="288"/>
        <v>4.4852499999999997</v>
      </c>
      <c r="Q157" s="118">
        <f t="shared" si="276"/>
        <v>5.7878539579747645E-2</v>
      </c>
      <c r="R157" s="128"/>
      <c r="S157" s="119">
        <f t="shared" ref="S157:AB157" si="289">S154/S49</f>
        <v>5.0198757812499988</v>
      </c>
      <c r="T157" s="119">
        <f t="shared" si="289"/>
        <v>5.6182270462472079</v>
      </c>
      <c r="U157" s="119">
        <f t="shared" si="289"/>
        <v>6.2878996450632814</v>
      </c>
      <c r="V157" s="119">
        <f t="shared" si="289"/>
        <v>7.0373948259703774</v>
      </c>
      <c r="W157" s="119">
        <f t="shared" si="289"/>
        <v>7.8762271556730958</v>
      </c>
      <c r="X157" s="119">
        <f t="shared" si="289"/>
        <v>8.8150453032466292</v>
      </c>
      <c r="Y157" s="119">
        <f t="shared" si="289"/>
        <v>9.8657672210889746</v>
      </c>
      <c r="Z157" s="119">
        <f t="shared" si="289"/>
        <v>11.041731438959848</v>
      </c>
      <c r="AA157" s="119">
        <f t="shared" si="289"/>
        <v>12.35786639172872</v>
      </c>
      <c r="AB157" s="119">
        <f t="shared" si="289"/>
        <v>13.830879930385667</v>
      </c>
      <c r="AC157" s="138">
        <f t="shared" si="279"/>
        <v>8.9720251775530002E-2</v>
      </c>
      <c r="AD157" s="31">
        <v>0.08</v>
      </c>
      <c r="AE157" s="127">
        <f t="shared" si="280"/>
        <v>107.65564257154993</v>
      </c>
    </row>
    <row r="158" spans="2:31">
      <c r="B158" s="20" t="s">
        <v>260</v>
      </c>
      <c r="C158" s="25" t="e">
        <f t="shared" ref="C158:P158" si="290">C154/C58</f>
        <v>#DIV/0!</v>
      </c>
      <c r="D158" s="25" t="e">
        <f t="shared" si="290"/>
        <v>#DIV/0!</v>
      </c>
      <c r="E158" s="25" t="e">
        <f t="shared" si="290"/>
        <v>#DIV/0!</v>
      </c>
      <c r="F158" s="25" t="e">
        <f t="shared" si="290"/>
        <v>#DIV/0!</v>
      </c>
      <c r="G158" s="25">
        <f t="shared" si="290"/>
        <v>29.479245283018869</v>
      </c>
      <c r="H158" s="25">
        <f t="shared" si="290"/>
        <v>34.363636363636367</v>
      </c>
      <c r="I158" s="25">
        <f t="shared" si="290"/>
        <v>94.612499999999997</v>
      </c>
      <c r="J158" s="25">
        <f t="shared" si="290"/>
        <v>88.772222222222226</v>
      </c>
      <c r="K158" s="25">
        <f t="shared" si="290"/>
        <v>28.874686144715817</v>
      </c>
      <c r="L158" s="25">
        <f t="shared" si="290"/>
        <v>19.145945945945943</v>
      </c>
      <c r="M158" s="25">
        <f t="shared" si="290"/>
        <v>24.253993610223642</v>
      </c>
      <c r="N158" s="25">
        <f t="shared" si="290"/>
        <v>27.807692307692307</v>
      </c>
      <c r="O158" s="25">
        <f t="shared" si="290"/>
        <v>28.73207547169811</v>
      </c>
      <c r="P158" s="25">
        <f t="shared" si="290"/>
        <v>16.163063063063063</v>
      </c>
      <c r="Q158" s="118">
        <f t="shared" si="276"/>
        <v>-6.4592577226924797E-2</v>
      </c>
      <c r="R158" s="128"/>
      <c r="S158" s="119">
        <f t="shared" ref="S158:AB158" si="291">S154/S58</f>
        <v>18.089642454954951</v>
      </c>
      <c r="T158" s="119">
        <f t="shared" si="291"/>
        <v>20.245863229719667</v>
      </c>
      <c r="U158" s="119">
        <f t="shared" si="291"/>
        <v>22.659097820047865</v>
      </c>
      <c r="V158" s="119">
        <f t="shared" si="291"/>
        <v>25.359981354848209</v>
      </c>
      <c r="W158" s="119">
        <f t="shared" si="291"/>
        <v>28.382800560984133</v>
      </c>
      <c r="X158" s="119">
        <f t="shared" si="291"/>
        <v>31.76592902070858</v>
      </c>
      <c r="Y158" s="119">
        <f t="shared" si="291"/>
        <v>35.552314310230535</v>
      </c>
      <c r="Z158" s="119">
        <f t="shared" si="291"/>
        <v>39.790023203458908</v>
      </c>
      <c r="AA158" s="119">
        <f t="shared" si="291"/>
        <v>44.532851862085472</v>
      </c>
      <c r="AB158" s="119">
        <f t="shared" si="291"/>
        <v>49.841008758146543</v>
      </c>
      <c r="AC158" s="138">
        <f t="shared" si="279"/>
        <v>2.8025076719333519E-2</v>
      </c>
      <c r="AD158" s="31">
        <v>0.08</v>
      </c>
      <c r="AE158" s="127">
        <f t="shared" si="280"/>
        <v>365.98433465973261</v>
      </c>
    </row>
    <row r="159" spans="2:31">
      <c r="B159" s="20" t="s">
        <v>261</v>
      </c>
      <c r="C159" s="25" t="e">
        <f t="shared" ref="C159:P159" si="292">C154/C60</f>
        <v>#DIV/0!</v>
      </c>
      <c r="D159" s="25" t="e">
        <f t="shared" si="292"/>
        <v>#DIV/0!</v>
      </c>
      <c r="E159" s="25" t="e">
        <f t="shared" si="292"/>
        <v>#DIV/0!</v>
      </c>
      <c r="F159" s="25" t="e">
        <f t="shared" si="292"/>
        <v>#DIV/0!</v>
      </c>
      <c r="G159" s="25">
        <f t="shared" si="292"/>
        <v>5.918181818181818</v>
      </c>
      <c r="H159" s="25">
        <f t="shared" si="292"/>
        <v>7.8206896551724139</v>
      </c>
      <c r="I159" s="25">
        <f t="shared" si="292"/>
        <v>20.595918367346936</v>
      </c>
      <c r="J159" s="25">
        <f t="shared" si="292"/>
        <v>21.400446428571428</v>
      </c>
      <c r="K159" s="25">
        <f t="shared" si="292"/>
        <v>10.607966457023062</v>
      </c>
      <c r="L159" s="25">
        <f t="shared" si="292"/>
        <v>7.9595505617977533</v>
      </c>
      <c r="M159" s="25">
        <f t="shared" si="292"/>
        <v>32.442307692307686</v>
      </c>
      <c r="N159" s="25">
        <f t="shared" si="292"/>
        <v>22.59375</v>
      </c>
      <c r="O159" s="25">
        <f t="shared" si="292"/>
        <v>29.204383561643834</v>
      </c>
      <c r="P159" s="25">
        <f t="shared" si="292"/>
        <v>21.422089552238806</v>
      </c>
      <c r="Q159" s="118">
        <f t="shared" si="276"/>
        <v>0.15365203460491572</v>
      </c>
      <c r="R159" s="128"/>
      <c r="S159" s="119">
        <f t="shared" ref="S159:AB159" si="293">S154/S60</f>
        <v>23.975526119402982</v>
      </c>
      <c r="T159" s="119">
        <f t="shared" si="293"/>
        <v>26.833323205956813</v>
      </c>
      <c r="U159" s="119">
        <f t="shared" si="293"/>
        <v>30.031759498809702</v>
      </c>
      <c r="V159" s="119">
        <f t="shared" si="293"/>
        <v>33.61143797478389</v>
      </c>
      <c r="W159" s="119">
        <f t="shared" si="293"/>
        <v>37.617801340528217</v>
      </c>
      <c r="X159" s="119">
        <f t="shared" si="293"/>
        <v>42.101708911028673</v>
      </c>
      <c r="Y159" s="119">
        <f t="shared" si="293"/>
        <v>47.12008224997718</v>
      </c>
      <c r="Z159" s="119">
        <f t="shared" si="293"/>
        <v>52.736627768166429</v>
      </c>
      <c r="AA159" s="119">
        <f t="shared" si="293"/>
        <v>59.022645453032681</v>
      </c>
      <c r="AB159" s="119">
        <f t="shared" si="293"/>
        <v>66.057933995871835</v>
      </c>
      <c r="AC159" s="138">
        <f t="shared" si="279"/>
        <v>0.13538731018681083</v>
      </c>
      <c r="AD159" s="31">
        <v>0.08</v>
      </c>
      <c r="AE159" s="127">
        <f t="shared" si="280"/>
        <v>535.72385711479149</v>
      </c>
    </row>
    <row r="160" spans="2:31">
      <c r="B160" s="20" t="s">
        <v>282</v>
      </c>
      <c r="C160" s="25" t="e">
        <f>C156/C106</f>
        <v>#DIV/0!</v>
      </c>
      <c r="D160" s="25" t="e">
        <f>D156/D106</f>
        <v>#DIV/0!</v>
      </c>
      <c r="E160" s="25" t="e">
        <f>E156/E106</f>
        <v>#DIV/0!</v>
      </c>
      <c r="F160" s="25" t="e">
        <f>F156/F106</f>
        <v>#DIV/0!</v>
      </c>
      <c r="G160" s="25">
        <f t="shared" ref="G160:P160" si="294">G154/G54</f>
        <v>2.0370273794002611</v>
      </c>
      <c r="H160" s="25">
        <f t="shared" si="294"/>
        <v>2.5714285714285716</v>
      </c>
      <c r="I160" s="25">
        <f t="shared" si="294"/>
        <v>5.9598425196850391</v>
      </c>
      <c r="J160" s="25">
        <f t="shared" si="294"/>
        <v>8.6372972972972963</v>
      </c>
      <c r="K160" s="25">
        <f t="shared" si="294"/>
        <v>9.387755102040817</v>
      </c>
      <c r="L160" s="25">
        <f t="shared" si="294"/>
        <v>8.4534606205250604</v>
      </c>
      <c r="M160" s="25">
        <f t="shared" si="294"/>
        <v>12.030903328050712</v>
      </c>
      <c r="N160" s="25">
        <f t="shared" si="294"/>
        <v>7.3561046511627914</v>
      </c>
      <c r="O160" s="25">
        <f t="shared" si="294"/>
        <v>6.868298969072165</v>
      </c>
      <c r="P160" s="25">
        <f t="shared" si="294"/>
        <v>3.5685728493286923</v>
      </c>
      <c r="Q160" s="118">
        <f t="shared" ref="Q160:Q162" si="295">((P160/G160)^(1/($H$2-$H$1) ))-1</f>
        <v>6.4278527490331694E-2</v>
      </c>
      <c r="R160" s="128"/>
      <c r="S160" s="135">
        <f t="shared" ref="S160:AB160" si="296">S154/S54</f>
        <v>3.9939339880656384</v>
      </c>
      <c r="T160" s="135">
        <f t="shared" si="296"/>
        <v>4.4699966553931061</v>
      </c>
      <c r="U160" s="135">
        <f t="shared" si="296"/>
        <v>5.0028042924421934</v>
      </c>
      <c r="V160" s="135">
        <f t="shared" si="296"/>
        <v>5.599120696943114</v>
      </c>
      <c r="W160" s="135">
        <f t="shared" si="296"/>
        <v>6.2665158871591018</v>
      </c>
      <c r="X160" s="135">
        <f t="shared" si="296"/>
        <v>7.0134622004945832</v>
      </c>
      <c r="Y160" s="135">
        <f t="shared" si="296"/>
        <v>7.8494418467142495</v>
      </c>
      <c r="Z160" s="135">
        <f t="shared" si="296"/>
        <v>8.7850672811217088</v>
      </c>
      <c r="AA160" s="135">
        <f t="shared" si="296"/>
        <v>9.8322159257911252</v>
      </c>
      <c r="AB160" s="135">
        <f t="shared" si="296"/>
        <v>11.004180949088548</v>
      </c>
      <c r="AC160" s="138">
        <f t="shared" ref="AC160" si="297">((AB160/G160)^(1/($AB$3-$H$1) ))-1</f>
        <v>9.2838117633221584E-2</v>
      </c>
      <c r="AD160" s="31">
        <v>0.08</v>
      </c>
      <c r="AE160" s="127">
        <f t="shared" si="280"/>
        <v>85.898488532123466</v>
      </c>
    </row>
    <row r="161" spans="2:31">
      <c r="B161" s="20" t="s">
        <v>372</v>
      </c>
      <c r="C161" s="161" t="e">
        <f t="shared" ref="C161:P161" si="298">C47/C154</f>
        <v>#DIV/0!</v>
      </c>
      <c r="D161" s="161" t="e">
        <f t="shared" si="298"/>
        <v>#DIV/0!</v>
      </c>
      <c r="E161" s="161" t="e">
        <f t="shared" si="298"/>
        <v>#DIV/0!</v>
      </c>
      <c r="F161" s="161" t="e">
        <f t="shared" si="298"/>
        <v>#DIV/0!</v>
      </c>
      <c r="G161" s="161">
        <f t="shared" si="298"/>
        <v>7.8084997439836143E-2</v>
      </c>
      <c r="H161" s="161">
        <f t="shared" si="298"/>
        <v>6.3492063492063489E-2</v>
      </c>
      <c r="I161" s="161">
        <f t="shared" si="298"/>
        <v>2.8405337561104506E-2</v>
      </c>
      <c r="J161" s="161">
        <f t="shared" si="298"/>
        <v>2.3155391451279806E-2</v>
      </c>
      <c r="K161" s="161">
        <f t="shared" si="298"/>
        <v>3.3794466403162055E-2</v>
      </c>
      <c r="L161" s="161">
        <f t="shared" si="298"/>
        <v>3.1055900621118012E-2</v>
      </c>
      <c r="M161" s="161">
        <f t="shared" si="298"/>
        <v>3.6224725021405522E-2</v>
      </c>
      <c r="N161" s="161">
        <f t="shared" si="298"/>
        <v>4.0571692023974176E-2</v>
      </c>
      <c r="O161" s="161">
        <f t="shared" si="298"/>
        <v>3.0207512477016023E-2</v>
      </c>
      <c r="P161" s="161">
        <f t="shared" si="298"/>
        <v>5.8664511454211025E-2</v>
      </c>
      <c r="Q161" s="118">
        <f t="shared" si="295"/>
        <v>-3.1274185101833107E-2</v>
      </c>
      <c r="R161" s="128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8"/>
      <c r="AD161" s="31"/>
      <c r="AE161" s="127"/>
    </row>
    <row r="162" spans="2:31">
      <c r="B162" s="20" t="s">
        <v>321</v>
      </c>
      <c r="C162" s="152" t="e">
        <f t="shared" ref="C162:P162" si="299">C41/C154</f>
        <v>#DIV/0!</v>
      </c>
      <c r="D162" s="152" t="e">
        <f t="shared" si="299"/>
        <v>#DIV/0!</v>
      </c>
      <c r="E162" s="152" t="e">
        <f t="shared" si="299"/>
        <v>#DIV/0!</v>
      </c>
      <c r="F162" s="152" t="e">
        <f t="shared" si="299"/>
        <v>#DIV/0!</v>
      </c>
      <c r="G162" s="152">
        <f t="shared" si="299"/>
        <v>2.5806451612903226E-2</v>
      </c>
      <c r="H162" s="152">
        <f t="shared" si="299"/>
        <v>1.7777777777777778E-2</v>
      </c>
      <c r="I162" s="152">
        <f t="shared" si="299"/>
        <v>1.0416666666666666E-2</v>
      </c>
      <c r="J162" s="152">
        <f t="shared" si="299"/>
        <v>7.8947368421052634E-3</v>
      </c>
      <c r="K162" s="152">
        <f t="shared" si="299"/>
        <v>8.7500000000000008E-3</v>
      </c>
      <c r="L162" s="152">
        <f t="shared" si="299"/>
        <v>1.2500000000000001E-2</v>
      </c>
      <c r="M162" s="152">
        <f t="shared" si="299"/>
        <v>0.01</v>
      </c>
      <c r="N162" s="152">
        <f t="shared" si="299"/>
        <v>1.1666666666666667E-2</v>
      </c>
      <c r="O162" s="152">
        <f t="shared" si="299"/>
        <v>9.0476190476190474E-3</v>
      </c>
      <c r="P162" s="152">
        <f t="shared" si="299"/>
        <v>1.8571428571428572E-2</v>
      </c>
      <c r="Q162" s="118">
        <f t="shared" si="295"/>
        <v>-3.5895492712301968E-2</v>
      </c>
      <c r="R162" s="128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8"/>
      <c r="AD162" s="31"/>
      <c r="AE162" s="127"/>
    </row>
    <row r="163" spans="2:31">
      <c r="B163" s="20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28"/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8"/>
      <c r="AD163" s="31"/>
      <c r="AE163" s="127"/>
    </row>
    <row r="164" spans="2:31">
      <c r="B164" s="20"/>
      <c r="C164" s="129"/>
      <c r="D164" s="129"/>
      <c r="E164" s="129"/>
      <c r="F164" s="129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>
      <c r="B165" s="108" t="s">
        <v>302</v>
      </c>
      <c r="C165" s="20"/>
      <c r="D165" s="20"/>
      <c r="E165" s="20"/>
      <c r="F165" s="20"/>
      <c r="G165" s="20"/>
      <c r="H165" s="20"/>
      <c r="I165" s="20"/>
      <c r="J165" s="20"/>
      <c r="K165" s="181" t="s">
        <v>352</v>
      </c>
      <c r="L165" s="182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300</v>
      </c>
      <c r="C166" s="20" t="s">
        <v>315</v>
      </c>
      <c r="D166" s="20"/>
      <c r="E166" s="20"/>
      <c r="F166" s="20"/>
      <c r="G166" s="20"/>
      <c r="H166" s="20"/>
      <c r="I166" s="20"/>
      <c r="J166" s="20"/>
      <c r="K166" s="20" t="s">
        <v>353</v>
      </c>
      <c r="L166" s="22">
        <v>1</v>
      </c>
      <c r="M166" s="20"/>
      <c r="N166" s="20"/>
      <c r="O166" s="20"/>
      <c r="P166" s="128">
        <f>(P154-R142)/P154</f>
        <v>0.81623472788713469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350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172">
        <f>L166</f>
        <v>1</v>
      </c>
      <c r="L167" s="20"/>
      <c r="M167" s="128">
        <f>(P154-(K167*R133))/P154</f>
        <v>0.68688737786828524</v>
      </c>
      <c r="N167" s="20"/>
      <c r="O167" s="20"/>
      <c r="P167" s="128">
        <f>(P154-R133)/P154</f>
        <v>0.68688737786828524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 t="s">
        <v>351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L166</f>
        <v>1</v>
      </c>
      <c r="L168" s="20"/>
      <c r="M168" s="128">
        <f>(P154-(K167*R126))/P154</f>
        <v>0.74293936392866178</v>
      </c>
      <c r="N168" s="20"/>
      <c r="O168" s="20"/>
      <c r="P168" s="128">
        <f>(P154-R126)/P154</f>
        <v>0.74293936392866178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354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L166</f>
        <v>1</v>
      </c>
      <c r="L169" s="20"/>
      <c r="M169" s="128">
        <f>(P154-(K167*R139))/P154</f>
        <v>0.90488612939705393</v>
      </c>
      <c r="N169" s="20"/>
      <c r="O169" s="20"/>
      <c r="P169" s="128">
        <f>(P154-R139)/P154</f>
        <v>0.90488612939705393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 t="s">
        <v>301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5">
        <f>P154/R125</f>
        <v>15.255603743281524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20" t="s">
        <v>372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152">
        <f>1/P170</f>
        <v>6.5549683698384861E-2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2:31">
      <c r="B173" s="108" t="s">
        <v>303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>
      <c r="B174" s="20" t="s">
        <v>306</v>
      </c>
      <c r="C174" s="25" t="e">
        <f t="shared" ref="C174:P174" si="300">C10/C7</f>
        <v>#DIV/0!</v>
      </c>
      <c r="D174" s="25" t="e">
        <f t="shared" si="300"/>
        <v>#DIV/0!</v>
      </c>
      <c r="E174" s="25" t="e">
        <f t="shared" si="300"/>
        <v>#DIV/0!</v>
      </c>
      <c r="F174" s="25" t="e">
        <f t="shared" si="300"/>
        <v>#DIV/0!</v>
      </c>
      <c r="G174" s="25">
        <f t="shared" si="300"/>
        <v>0.17777777777777778</v>
      </c>
      <c r="H174" s="25">
        <f t="shared" si="300"/>
        <v>0.17174515235457063</v>
      </c>
      <c r="I174" s="25">
        <f t="shared" si="300"/>
        <v>0.13559322033898305</v>
      </c>
      <c r="J174" s="25">
        <f t="shared" si="300"/>
        <v>0.30208333333333331</v>
      </c>
      <c r="K174" s="25">
        <f t="shared" si="300"/>
        <v>0.84838709677419355</v>
      </c>
      <c r="L174" s="25">
        <f t="shared" si="300"/>
        <v>0.9605678233438486</v>
      </c>
      <c r="M174" s="25">
        <f t="shared" si="300"/>
        <v>0.53669724770642202</v>
      </c>
      <c r="N174" s="25">
        <f t="shared" si="300"/>
        <v>0.30904059040590404</v>
      </c>
      <c r="O174" s="25">
        <f t="shared" si="300"/>
        <v>0.11161387631975868</v>
      </c>
      <c r="P174" s="25">
        <f t="shared" si="300"/>
        <v>3.0890369473046637E-2</v>
      </c>
      <c r="Q174" s="118">
        <f t="shared" ref="Q174:Q176" si="301">((P174/G174)^(1/($H$2-$H$1) ))-1</f>
        <v>-0.1767163049296363</v>
      </c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>
      <c r="B175" s="20" t="s">
        <v>307</v>
      </c>
      <c r="C175" s="112" t="e">
        <f>C10/C12</f>
        <v>#DIV/0!</v>
      </c>
      <c r="D175" s="112" t="e">
        <f>D10/D12</f>
        <v>#DIV/0!</v>
      </c>
      <c r="E175" s="112" t="e">
        <f>E10/E12</f>
        <v>#DIV/0!</v>
      </c>
      <c r="F175" s="112" t="e">
        <f>F10/F12</f>
        <v>#DIV/0!</v>
      </c>
      <c r="G175" s="112">
        <f>G10/G12</f>
        <v>7.4666666666666668</v>
      </c>
      <c r="H175" s="112">
        <f t="shared" ref="H175:P175" si="302">H10/H12</f>
        <v>4.4285714285714288</v>
      </c>
      <c r="I175" s="112">
        <f t="shared" si="302"/>
        <v>3.5</v>
      </c>
      <c r="J175" s="112">
        <f t="shared" si="302"/>
        <v>3.8157894736842106</v>
      </c>
      <c r="K175" s="112">
        <f t="shared" si="302"/>
        <v>3.058139534883721</v>
      </c>
      <c r="L175" s="112">
        <f t="shared" si="302"/>
        <v>3.8301886792452828</v>
      </c>
      <c r="M175" s="112">
        <f t="shared" si="302"/>
        <v>10.4</v>
      </c>
      <c r="N175" s="112">
        <f t="shared" si="302"/>
        <v>3.2524271844660193</v>
      </c>
      <c r="O175" s="112">
        <f t="shared" si="302"/>
        <v>0.54212454212454209</v>
      </c>
      <c r="P175" s="112">
        <f t="shared" si="302"/>
        <v>0.33774834437086093</v>
      </c>
      <c r="Q175" s="118">
        <f t="shared" si="301"/>
        <v>-0.29106342132808571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>
      <c r="B176" s="20" t="s">
        <v>308</v>
      </c>
      <c r="C176" s="25" t="e">
        <f>C10/(C12+C13)</f>
        <v>#DIV/0!</v>
      </c>
      <c r="D176" s="25" t="e">
        <f>D10/(D12+D13)</f>
        <v>#DIV/0!</v>
      </c>
      <c r="E176" s="25" t="e">
        <f>E10/(E12+E13)</f>
        <v>#DIV/0!</v>
      </c>
      <c r="F176" s="25" t="e">
        <f>F10/(F12+F13)</f>
        <v>#DIV/0!</v>
      </c>
      <c r="G176" s="25">
        <f>G10/(G12+G13)</f>
        <v>2.1132075471698113</v>
      </c>
      <c r="H176" s="25">
        <f t="shared" ref="H176:P176" si="303">H10/(H12+H13)</f>
        <v>1.8787878787878789</v>
      </c>
      <c r="I176" s="25">
        <f t="shared" si="303"/>
        <v>1.75</v>
      </c>
      <c r="J176" s="25">
        <f t="shared" si="303"/>
        <v>2.6851851851851851</v>
      </c>
      <c r="K176" s="25">
        <f t="shared" si="303"/>
        <v>3.0015978087194704</v>
      </c>
      <c r="L176" s="25">
        <f t="shared" si="303"/>
        <v>3.291891891891892</v>
      </c>
      <c r="M176" s="25">
        <f t="shared" si="303"/>
        <v>1.4952076677316295</v>
      </c>
      <c r="N176" s="25">
        <f t="shared" si="303"/>
        <v>1.2271062271062272</v>
      </c>
      <c r="O176" s="25">
        <f t="shared" si="303"/>
        <v>0.39892183288409705</v>
      </c>
      <c r="P176" s="25">
        <f t="shared" si="303"/>
        <v>0.11486486486486487</v>
      </c>
      <c r="Q176" s="118">
        <f t="shared" si="301"/>
        <v>-0.27644479414093459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/>
      <c r="C179" s="20"/>
      <c r="D179" s="20"/>
      <c r="E179" s="20"/>
      <c r="F179" s="20"/>
      <c r="G179" s="20"/>
      <c r="H179" s="20"/>
      <c r="I179" s="178" t="s">
        <v>338</v>
      </c>
      <c r="J179" s="179"/>
      <c r="K179" s="180"/>
      <c r="L179" s="23" t="s">
        <v>341</v>
      </c>
      <c r="M179" s="20"/>
      <c r="N179" s="20"/>
      <c r="O179" s="178" t="s">
        <v>339</v>
      </c>
      <c r="P179" s="179"/>
      <c r="Q179" s="180"/>
      <c r="R179" s="23" t="s">
        <v>341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/>
      <c r="C180" s="20"/>
      <c r="D180" s="20"/>
      <c r="E180" s="20"/>
      <c r="F180" s="20"/>
      <c r="G180" s="20"/>
      <c r="H180" s="20"/>
      <c r="I180" s="166" t="s">
        <v>340</v>
      </c>
      <c r="J180" s="166"/>
      <c r="K180" s="166" t="s">
        <v>0</v>
      </c>
      <c r="L180" s="166" t="s">
        <v>373</v>
      </c>
      <c r="M180" s="20"/>
      <c r="N180" s="20"/>
      <c r="O180" s="166" t="s">
        <v>340</v>
      </c>
      <c r="P180" s="166"/>
      <c r="Q180" s="166" t="s">
        <v>0</v>
      </c>
      <c r="R180" s="166" t="s">
        <v>373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167" t="s">
        <v>342</v>
      </c>
      <c r="J181" s="167"/>
      <c r="K181" s="21">
        <v>15</v>
      </c>
      <c r="L181" s="173">
        <f>K181</f>
        <v>15</v>
      </c>
      <c r="M181" s="20"/>
      <c r="N181" s="20"/>
      <c r="O181" s="167" t="s">
        <v>342</v>
      </c>
      <c r="P181" s="167"/>
      <c r="Q181" s="21">
        <v>320</v>
      </c>
      <c r="R181" s="173">
        <f>Q181</f>
        <v>320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167" t="s">
        <v>343</v>
      </c>
      <c r="J182" s="167"/>
      <c r="K182" s="21">
        <v>1</v>
      </c>
      <c r="L182" s="173">
        <f>K182</f>
        <v>1</v>
      </c>
      <c r="M182" s="20"/>
      <c r="N182" s="20"/>
      <c r="O182" s="167" t="s">
        <v>343</v>
      </c>
      <c r="P182" s="167"/>
      <c r="Q182" s="21">
        <v>1</v>
      </c>
      <c r="R182" s="173">
        <f>Q182</f>
        <v>1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20"/>
      <c r="D183" s="20"/>
      <c r="E183" s="20"/>
      <c r="F183" s="20"/>
      <c r="G183" s="20"/>
      <c r="H183" s="20"/>
      <c r="I183" s="167" t="s">
        <v>344</v>
      </c>
      <c r="J183" s="167"/>
      <c r="K183" s="168">
        <f>K181*K182</f>
        <v>15</v>
      </c>
      <c r="L183" s="173">
        <f>K183</f>
        <v>15</v>
      </c>
      <c r="M183" s="20"/>
      <c r="N183" s="20"/>
      <c r="O183" s="167" t="s">
        <v>345</v>
      </c>
      <c r="P183" s="167"/>
      <c r="Q183" s="168">
        <f>Q181*Q182</f>
        <v>320</v>
      </c>
      <c r="R183" s="173">
        <f>Q183</f>
        <v>320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20"/>
      <c r="D184" s="20"/>
      <c r="E184" s="20"/>
      <c r="F184" s="20"/>
      <c r="G184" s="20"/>
      <c r="H184" s="20"/>
      <c r="I184" s="167" t="s">
        <v>346</v>
      </c>
      <c r="J184" s="167"/>
      <c r="K184" s="21">
        <v>300</v>
      </c>
      <c r="L184" s="21">
        <v>315</v>
      </c>
      <c r="M184" s="20"/>
      <c r="N184" s="20"/>
      <c r="O184" s="167" t="s">
        <v>346</v>
      </c>
      <c r="P184" s="167"/>
      <c r="Q184" s="21">
        <v>320</v>
      </c>
      <c r="R184" s="21">
        <v>450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20"/>
      <c r="D185" s="20"/>
      <c r="E185" s="20"/>
      <c r="F185" s="20"/>
      <c r="G185" s="20"/>
      <c r="H185" s="20"/>
      <c r="I185" s="167" t="s">
        <v>347</v>
      </c>
      <c r="J185" s="167"/>
      <c r="K185" s="168">
        <f>K184*K182</f>
        <v>300</v>
      </c>
      <c r="L185" s="168">
        <f>L184*L182</f>
        <v>315</v>
      </c>
      <c r="M185" s="20"/>
      <c r="N185" s="20"/>
      <c r="O185" s="167" t="s">
        <v>343</v>
      </c>
      <c r="P185" s="167"/>
      <c r="Q185" s="21">
        <v>20</v>
      </c>
      <c r="R185" s="21">
        <v>20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20"/>
      <c r="D186" s="20"/>
      <c r="E186" s="20"/>
      <c r="F186" s="20"/>
      <c r="G186" s="20"/>
      <c r="H186" s="20"/>
      <c r="I186" s="167"/>
      <c r="J186" s="167"/>
      <c r="K186" s="168"/>
      <c r="L186" s="168"/>
      <c r="M186" s="20"/>
      <c r="N186" s="20"/>
      <c r="O186" s="167" t="s">
        <v>345</v>
      </c>
      <c r="P186" s="167"/>
      <c r="Q186" s="168">
        <f>Q185*Q184</f>
        <v>6400</v>
      </c>
      <c r="R186" s="168">
        <f>R185*R183</f>
        <v>6400</v>
      </c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20"/>
      <c r="D187" s="20"/>
      <c r="E187" s="20"/>
      <c r="F187" s="20"/>
      <c r="G187" s="20"/>
      <c r="H187" s="20"/>
      <c r="I187" s="167"/>
      <c r="J187" s="167"/>
      <c r="K187" s="168"/>
      <c r="L187" s="168"/>
      <c r="M187" s="20"/>
      <c r="N187" s="20"/>
      <c r="O187" s="167"/>
      <c r="P187" s="167"/>
      <c r="Q187" s="168"/>
      <c r="R187" s="168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20"/>
      <c r="D188" s="20"/>
      <c r="E188" s="20"/>
      <c r="F188" s="20"/>
      <c r="G188" s="20"/>
      <c r="H188" s="20"/>
      <c r="I188" s="169" t="s">
        <v>348</v>
      </c>
      <c r="J188" s="169"/>
      <c r="K188" s="170">
        <f>K185/K183</f>
        <v>20</v>
      </c>
      <c r="L188" s="170">
        <f>L185/L183</f>
        <v>21</v>
      </c>
      <c r="M188" s="20"/>
      <c r="N188" s="20"/>
      <c r="O188" s="169" t="s">
        <v>348</v>
      </c>
      <c r="P188" s="169"/>
      <c r="Q188" s="170">
        <f>Q186/Q183</f>
        <v>20</v>
      </c>
      <c r="R188" s="170">
        <f>R186/R183</f>
        <v>20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</sheetData>
  <mergeCells count="5">
    <mergeCell ref="AD2:AE2"/>
    <mergeCell ref="AD3:AE3"/>
    <mergeCell ref="I179:K179"/>
    <mergeCell ref="O179:Q179"/>
    <mergeCell ref="K165:L165"/>
  </mergeCells>
  <pageMargins left="0.7" right="0.7" top="0.75" bottom="0.75" header="0.3" footer="0.3"/>
  <pageSetup orientation="portrait" r:id="rId1"/>
  <ignoredErrors>
    <ignoredError sqref="C156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3" t="s">
        <v>27</v>
      </c>
      <c r="K5" s="183"/>
      <c r="M5" s="183" t="s">
        <v>65</v>
      </c>
      <c r="N5" s="183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3" t="s">
        <v>36</v>
      </c>
      <c r="K14" s="183"/>
      <c r="L14" s="183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3" t="s">
        <v>27</v>
      </c>
      <c r="S5" s="183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3" t="s">
        <v>36</v>
      </c>
      <c r="S14" s="183"/>
      <c r="T14" s="183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3" t="s">
        <v>27</v>
      </c>
      <c r="C2" s="183"/>
      <c r="E2" s="183" t="s">
        <v>65</v>
      </c>
      <c r="F2" s="183"/>
      <c r="H2" s="187" t="s">
        <v>36</v>
      </c>
      <c r="I2" s="188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4" t="s">
        <v>68</v>
      </c>
      <c r="E10" s="185"/>
      <c r="F10" s="185"/>
      <c r="G10" s="185"/>
      <c r="H10" s="186"/>
      <c r="I10" s="184" t="s">
        <v>72</v>
      </c>
      <c r="J10" s="185"/>
      <c r="K10" s="185"/>
      <c r="L10" s="186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2014-01-03T15:58:32Z</dcterms:modified>
</cp:coreProperties>
</file>
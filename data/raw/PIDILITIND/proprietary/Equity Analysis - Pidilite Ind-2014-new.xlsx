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G47" i="18" l="1"/>
  <c r="G45" i="18"/>
  <c r="G43" i="18"/>
  <c r="G42" i="18"/>
  <c r="G41" i="18"/>
  <c r="G40" i="18"/>
  <c r="G38" i="18"/>
  <c r="G36" i="18"/>
  <c r="Q129" i="18" l="1"/>
  <c r="P129" i="18"/>
  <c r="R129" i="18" s="1"/>
  <c r="O129" i="18"/>
  <c r="N129" i="18"/>
  <c r="M129" i="18"/>
  <c r="L129" i="18"/>
  <c r="K129" i="18"/>
  <c r="J129" i="18"/>
  <c r="I129" i="18"/>
  <c r="H129" i="18"/>
  <c r="G129" i="18"/>
  <c r="AE47" i="18"/>
  <c r="S47" i="18"/>
  <c r="T47" i="18" s="1"/>
  <c r="U47" i="18" s="1"/>
  <c r="V47" i="18" s="1"/>
  <c r="W47" i="18" s="1"/>
  <c r="X47" i="18" s="1"/>
  <c r="Y47" i="18" s="1"/>
  <c r="Z47" i="18" s="1"/>
  <c r="AA47" i="18" s="1"/>
  <c r="AB47" i="18" s="1"/>
  <c r="AC47" i="18" s="1"/>
  <c r="R47" i="18"/>
  <c r="Q48" i="18"/>
  <c r="P48" i="18"/>
  <c r="O48" i="18"/>
  <c r="N48" i="18"/>
  <c r="M48" i="18"/>
  <c r="L48" i="18"/>
  <c r="K48" i="18"/>
  <c r="J48" i="18"/>
  <c r="I48" i="18"/>
  <c r="H48" i="18"/>
  <c r="G48" i="18"/>
  <c r="Q130" i="18"/>
  <c r="P130" i="18"/>
  <c r="R130" i="18" s="1"/>
  <c r="O130" i="18"/>
  <c r="N130" i="18"/>
  <c r="M130" i="18"/>
  <c r="L130" i="18"/>
  <c r="K130" i="18"/>
  <c r="J130" i="18"/>
  <c r="I130" i="18"/>
  <c r="H130" i="18"/>
  <c r="G130" i="18"/>
  <c r="T57" i="18"/>
  <c r="AD47" i="18" l="1"/>
  <c r="Q126" i="18"/>
  <c r="P126" i="18"/>
  <c r="O126" i="18"/>
  <c r="N126" i="18"/>
  <c r="M126" i="18"/>
  <c r="L126" i="18"/>
  <c r="K126" i="18"/>
  <c r="J126" i="18"/>
  <c r="I126" i="18"/>
  <c r="H126" i="18"/>
  <c r="H46" i="18"/>
  <c r="S49" i="18"/>
  <c r="G49" i="18"/>
  <c r="R49" i="18" s="1"/>
  <c r="Q46" i="18"/>
  <c r="P46" i="18"/>
  <c r="O46" i="18"/>
  <c r="N46" i="18"/>
  <c r="M46" i="18"/>
  <c r="L46" i="18"/>
  <c r="K46" i="18"/>
  <c r="J46" i="18"/>
  <c r="I46" i="18"/>
  <c r="G46" i="18"/>
  <c r="Q44" i="18"/>
  <c r="P44" i="18"/>
  <c r="O44" i="18"/>
  <c r="N44" i="18"/>
  <c r="M44" i="18"/>
  <c r="L44" i="18"/>
  <c r="K44" i="18"/>
  <c r="J44" i="18"/>
  <c r="I44" i="18"/>
  <c r="G44" i="18"/>
  <c r="Q39" i="18"/>
  <c r="P39" i="18"/>
  <c r="O39" i="18"/>
  <c r="N39" i="18"/>
  <c r="M39" i="18"/>
  <c r="L39" i="18"/>
  <c r="K39" i="18"/>
  <c r="J39" i="18"/>
  <c r="I39" i="18"/>
  <c r="H39" i="18"/>
  <c r="Q37" i="18"/>
  <c r="P37" i="18"/>
  <c r="O37" i="18"/>
  <c r="N37" i="18"/>
  <c r="M37" i="18"/>
  <c r="L37" i="18"/>
  <c r="K37" i="18"/>
  <c r="J37" i="18"/>
  <c r="I37" i="18"/>
  <c r="H44" i="18"/>
  <c r="G39" i="18"/>
  <c r="G126" i="18"/>
  <c r="G37" i="18" l="1"/>
  <c r="H37" i="18"/>
  <c r="Q132" i="18"/>
  <c r="Q131" i="18"/>
  <c r="Q128" i="18"/>
  <c r="Q127" i="18"/>
  <c r="P132" i="18"/>
  <c r="P131" i="18"/>
  <c r="P128" i="18"/>
  <c r="P127" i="18"/>
  <c r="O132" i="18"/>
  <c r="O131" i="18"/>
  <c r="O128" i="18"/>
  <c r="O127" i="18"/>
  <c r="N132" i="18"/>
  <c r="N131" i="18"/>
  <c r="N128" i="18"/>
  <c r="N127" i="18"/>
  <c r="M132" i="18"/>
  <c r="M131" i="18"/>
  <c r="M128" i="18"/>
  <c r="M127" i="18"/>
  <c r="L132" i="18"/>
  <c r="L131" i="18"/>
  <c r="L128" i="18"/>
  <c r="L127" i="18"/>
  <c r="K132" i="18"/>
  <c r="K131" i="18"/>
  <c r="K128" i="18"/>
  <c r="K127" i="18"/>
  <c r="J132" i="18"/>
  <c r="J131" i="18"/>
  <c r="J128" i="18"/>
  <c r="J127" i="18"/>
  <c r="I132" i="18"/>
  <c r="I131" i="18"/>
  <c r="I128" i="18"/>
  <c r="I127" i="18"/>
  <c r="H132" i="18"/>
  <c r="H131" i="18"/>
  <c r="H128" i="18"/>
  <c r="H127" i="18"/>
  <c r="G132" i="18"/>
  <c r="G128" i="18"/>
  <c r="G131" i="18"/>
  <c r="G127" i="18"/>
  <c r="Q125" i="18"/>
  <c r="P125" i="18"/>
  <c r="O125" i="18"/>
  <c r="N125" i="18"/>
  <c r="M125" i="18"/>
  <c r="L125" i="18"/>
  <c r="K125" i="18"/>
  <c r="J125" i="18"/>
  <c r="I125" i="18"/>
  <c r="H125" i="18"/>
  <c r="G125" i="18"/>
  <c r="Q124" i="18"/>
  <c r="P124" i="18"/>
  <c r="O124" i="18"/>
  <c r="N124" i="18"/>
  <c r="M124" i="18"/>
  <c r="L124" i="18"/>
  <c r="K124" i="18"/>
  <c r="J124" i="18"/>
  <c r="I124" i="18"/>
  <c r="H124" i="18"/>
  <c r="G124" i="18"/>
  <c r="AE49" i="18"/>
  <c r="AE45" i="18"/>
  <c r="AE43" i="18"/>
  <c r="AE42" i="18"/>
  <c r="AE41" i="18"/>
  <c r="AE40" i="18"/>
  <c r="AE38" i="18"/>
  <c r="AE36" i="18"/>
  <c r="S40" i="18"/>
  <c r="T40" i="18" s="1"/>
  <c r="U40" i="18" s="1"/>
  <c r="V40" i="18" s="1"/>
  <c r="W40" i="18" s="1"/>
  <c r="X40" i="18" s="1"/>
  <c r="Y40" i="18" s="1"/>
  <c r="Z40" i="18" s="1"/>
  <c r="AA40" i="18" s="1"/>
  <c r="AB40" i="18" s="1"/>
  <c r="AC40" i="18" s="1"/>
  <c r="R40" i="18"/>
  <c r="T49" i="18"/>
  <c r="U49" i="18" s="1"/>
  <c r="V49" i="18" s="1"/>
  <c r="W49" i="18" s="1"/>
  <c r="X49" i="18" s="1"/>
  <c r="Y49" i="18" s="1"/>
  <c r="Z49" i="18" s="1"/>
  <c r="AA49" i="18" s="1"/>
  <c r="AB49" i="18" s="1"/>
  <c r="AC49" i="18" s="1"/>
  <c r="S45" i="18"/>
  <c r="T45" i="18" s="1"/>
  <c r="U45" i="18" s="1"/>
  <c r="V45" i="18" s="1"/>
  <c r="W45" i="18" s="1"/>
  <c r="X45" i="18" s="1"/>
  <c r="Y45" i="18" s="1"/>
  <c r="Z45" i="18" s="1"/>
  <c r="AA45" i="18" s="1"/>
  <c r="AB45" i="18" s="1"/>
  <c r="AC45" i="18" s="1"/>
  <c r="R45" i="18"/>
  <c r="R131" i="18" l="1"/>
  <c r="R127" i="18"/>
  <c r="R132" i="18"/>
  <c r="R128" i="18"/>
  <c r="R126" i="18"/>
  <c r="R125" i="18"/>
  <c r="R124" i="18"/>
  <c r="AD49" i="18"/>
  <c r="AD45" i="18"/>
  <c r="AD40" i="18"/>
  <c r="S43" i="18"/>
  <c r="T43" i="18" s="1"/>
  <c r="U43" i="18" s="1"/>
  <c r="V43" i="18" s="1"/>
  <c r="W43" i="18" s="1"/>
  <c r="X43" i="18" s="1"/>
  <c r="Y43" i="18" s="1"/>
  <c r="Z43" i="18" s="1"/>
  <c r="AA43" i="18" s="1"/>
  <c r="AB43" i="18" s="1"/>
  <c r="AC43" i="18" s="1"/>
  <c r="AD43" i="18" s="1"/>
  <c r="R43" i="18"/>
  <c r="S42" i="18"/>
  <c r="T42" i="18" s="1"/>
  <c r="U42" i="18" s="1"/>
  <c r="V42" i="18" s="1"/>
  <c r="W42" i="18" s="1"/>
  <c r="X42" i="18" s="1"/>
  <c r="Y42" i="18" s="1"/>
  <c r="Z42" i="18" s="1"/>
  <c r="AA42" i="18" s="1"/>
  <c r="AB42" i="18" s="1"/>
  <c r="AC42" i="18" s="1"/>
  <c r="AD42" i="18" s="1"/>
  <c r="R42" i="18"/>
  <c r="S41" i="18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R41" i="18"/>
  <c r="S38" i="18"/>
  <c r="T38" i="18" s="1"/>
  <c r="R38" i="18"/>
  <c r="S36" i="18"/>
  <c r="T36" i="18" s="1"/>
  <c r="R36" i="18"/>
  <c r="U38" i="18" l="1"/>
  <c r="T127" i="18"/>
  <c r="U36" i="18"/>
  <c r="T126" i="18"/>
  <c r="T128" i="18"/>
  <c r="AD41" i="18"/>
  <c r="B215" i="18"/>
  <c r="AE227" i="18"/>
  <c r="AE224" i="18"/>
  <c r="AE226" i="18"/>
  <c r="AE225" i="18"/>
  <c r="AE222" i="18"/>
  <c r="AE221" i="18"/>
  <c r="AE220" i="18"/>
  <c r="AE219" i="18"/>
  <c r="AE214" i="18"/>
  <c r="AE217" i="18"/>
  <c r="AE216" i="18"/>
  <c r="AE215" i="18"/>
  <c r="AE212" i="18"/>
  <c r="AE211" i="18"/>
  <c r="AE208" i="18"/>
  <c r="AE207" i="18"/>
  <c r="AE210" i="18"/>
  <c r="AE209" i="18"/>
  <c r="AE206" i="18"/>
  <c r="AE205" i="18"/>
  <c r="AE204" i="18"/>
  <c r="AE203" i="18"/>
  <c r="AE202" i="18"/>
  <c r="AE201" i="18"/>
  <c r="AF224" i="18"/>
  <c r="V38" i="18" l="1"/>
  <c r="U127" i="18"/>
  <c r="V36" i="18"/>
  <c r="U126" i="18"/>
  <c r="U128" i="18"/>
  <c r="AF225" i="18"/>
  <c r="Q212" i="18"/>
  <c r="P212" i="18"/>
  <c r="O212" i="18"/>
  <c r="N212" i="18"/>
  <c r="M212" i="18"/>
  <c r="L212" i="18"/>
  <c r="K212" i="18"/>
  <c r="J212" i="18"/>
  <c r="I212" i="18"/>
  <c r="H212" i="18"/>
  <c r="G212" i="18"/>
  <c r="W38" i="18" l="1"/>
  <c r="V127" i="18"/>
  <c r="W36" i="18"/>
  <c r="V128" i="18"/>
  <c r="V126" i="18"/>
  <c r="R212" i="18"/>
  <c r="Q60" i="18"/>
  <c r="P60" i="18"/>
  <c r="O60" i="18"/>
  <c r="N60" i="18"/>
  <c r="M60" i="18"/>
  <c r="L60" i="18"/>
  <c r="K60" i="18"/>
  <c r="J60" i="18"/>
  <c r="I60" i="18"/>
  <c r="H60" i="18"/>
  <c r="G60" i="18"/>
  <c r="Q58" i="18"/>
  <c r="P58" i="18"/>
  <c r="O58" i="18"/>
  <c r="N58" i="18"/>
  <c r="M58" i="18"/>
  <c r="L58" i="18"/>
  <c r="K58" i="18"/>
  <c r="J58" i="18"/>
  <c r="I58" i="18"/>
  <c r="H58" i="18"/>
  <c r="G58" i="18"/>
  <c r="Q56" i="18"/>
  <c r="P56" i="18"/>
  <c r="O56" i="18"/>
  <c r="N56" i="18"/>
  <c r="M56" i="18"/>
  <c r="L56" i="18"/>
  <c r="K56" i="18"/>
  <c r="J56" i="18"/>
  <c r="I56" i="18"/>
  <c r="H56" i="18"/>
  <c r="G56" i="18"/>
  <c r="Q54" i="18"/>
  <c r="P54" i="18"/>
  <c r="O54" i="18"/>
  <c r="N54" i="18"/>
  <c r="M54" i="18"/>
  <c r="L54" i="18"/>
  <c r="K54" i="18"/>
  <c r="J54" i="18"/>
  <c r="I54" i="18"/>
  <c r="H54" i="18"/>
  <c r="G54" i="18"/>
  <c r="Q52" i="18"/>
  <c r="P52" i="18"/>
  <c r="O52" i="18"/>
  <c r="N52" i="18"/>
  <c r="M52" i="18"/>
  <c r="L52" i="18"/>
  <c r="K52" i="18"/>
  <c r="J52" i="18"/>
  <c r="I52" i="18"/>
  <c r="H52" i="18"/>
  <c r="G52" i="18"/>
  <c r="Q30" i="18"/>
  <c r="P30" i="18"/>
  <c r="O30" i="18"/>
  <c r="N30" i="18"/>
  <c r="M30" i="18"/>
  <c r="L30" i="18"/>
  <c r="K30" i="18"/>
  <c r="J30" i="18"/>
  <c r="I30" i="18"/>
  <c r="H30" i="18"/>
  <c r="G30" i="18"/>
  <c r="Q28" i="18"/>
  <c r="P28" i="18"/>
  <c r="O28" i="18"/>
  <c r="N28" i="18"/>
  <c r="M28" i="18"/>
  <c r="L28" i="18"/>
  <c r="K28" i="18"/>
  <c r="J28" i="18"/>
  <c r="I28" i="18"/>
  <c r="H28" i="18"/>
  <c r="G28" i="18"/>
  <c r="Q26" i="18"/>
  <c r="P26" i="18"/>
  <c r="O26" i="18"/>
  <c r="N26" i="18"/>
  <c r="M26" i="18"/>
  <c r="L26" i="18"/>
  <c r="K26" i="18"/>
  <c r="J26" i="18"/>
  <c r="I26" i="18"/>
  <c r="H26" i="18"/>
  <c r="G26" i="18"/>
  <c r="Q11" i="18"/>
  <c r="P11" i="18"/>
  <c r="O11" i="18"/>
  <c r="N11" i="18"/>
  <c r="M11" i="18"/>
  <c r="L11" i="18"/>
  <c r="K11" i="18"/>
  <c r="J11" i="18"/>
  <c r="I11" i="18"/>
  <c r="H11" i="18"/>
  <c r="G11" i="18"/>
  <c r="Q8" i="18"/>
  <c r="P8" i="18"/>
  <c r="O8" i="18"/>
  <c r="N8" i="18"/>
  <c r="M8" i="18"/>
  <c r="L8" i="18"/>
  <c r="K8" i="18"/>
  <c r="J8" i="18"/>
  <c r="I8" i="18"/>
  <c r="H8" i="18"/>
  <c r="G8" i="18"/>
  <c r="X38" i="18" l="1"/>
  <c r="W127" i="18"/>
  <c r="X36" i="18"/>
  <c r="W128" i="18"/>
  <c r="W126" i="18"/>
  <c r="Q102" i="18"/>
  <c r="P102" i="18"/>
  <c r="O102" i="18"/>
  <c r="N102" i="18"/>
  <c r="M102" i="18"/>
  <c r="L102" i="18"/>
  <c r="K102" i="18"/>
  <c r="J102" i="18"/>
  <c r="I102" i="18"/>
  <c r="H102" i="18"/>
  <c r="G102" i="18"/>
  <c r="Y38" i="18" l="1"/>
  <c r="X127" i="18"/>
  <c r="Y36" i="18"/>
  <c r="X126" i="18"/>
  <c r="X128" i="18"/>
  <c r="S170" i="18"/>
  <c r="T220" i="18" s="1"/>
  <c r="Q170" i="18"/>
  <c r="T225" i="18" s="1"/>
  <c r="R102" i="18"/>
  <c r="C1" i="18"/>
  <c r="AF47" i="18" s="1"/>
  <c r="Z38" i="18" l="1"/>
  <c r="Y127" i="18"/>
  <c r="Z36" i="18"/>
  <c r="Y126" i="18"/>
  <c r="Y128" i="18"/>
  <c r="AF45" i="18"/>
  <c r="AF40" i="18"/>
  <c r="AF49" i="18"/>
  <c r="AF41" i="18"/>
  <c r="AF42" i="18"/>
  <c r="AF43" i="18"/>
  <c r="K225" i="18"/>
  <c r="K226" i="18" s="1"/>
  <c r="K227" i="18" s="1"/>
  <c r="T221" i="18"/>
  <c r="T222" i="18" s="1"/>
  <c r="T219" i="18"/>
  <c r="Q225" i="18"/>
  <c r="P225" i="18"/>
  <c r="P224" i="18" s="1"/>
  <c r="T226" i="18"/>
  <c r="T227" i="18" s="1"/>
  <c r="T224" i="18"/>
  <c r="O225" i="18"/>
  <c r="J225" i="18"/>
  <c r="I225" i="18"/>
  <c r="N225" i="18"/>
  <c r="H225" i="18"/>
  <c r="M225" i="18"/>
  <c r="G225" i="18"/>
  <c r="L225" i="18"/>
  <c r="P237" i="18"/>
  <c r="M220" i="18"/>
  <c r="P220" i="18"/>
  <c r="P219" i="18" s="1"/>
  <c r="L220" i="18"/>
  <c r="H220" i="18"/>
  <c r="O220" i="18"/>
  <c r="K220" i="18"/>
  <c r="G220" i="18"/>
  <c r="N220" i="18"/>
  <c r="J220" i="18"/>
  <c r="Q220" i="18"/>
  <c r="I220" i="18"/>
  <c r="AE71" i="18"/>
  <c r="AE70" i="18"/>
  <c r="AE68" i="18"/>
  <c r="G71" i="18"/>
  <c r="G205" i="18" s="1"/>
  <c r="H71" i="18"/>
  <c r="H205" i="18" s="1"/>
  <c r="I71" i="18"/>
  <c r="I205" i="18" s="1"/>
  <c r="J71" i="18"/>
  <c r="J205" i="18" s="1"/>
  <c r="K71" i="18"/>
  <c r="K205" i="18" s="1"/>
  <c r="L71" i="18"/>
  <c r="L205" i="18" s="1"/>
  <c r="M71" i="18"/>
  <c r="M205" i="18" s="1"/>
  <c r="N71" i="18"/>
  <c r="N205" i="18" s="1"/>
  <c r="O71" i="18"/>
  <c r="O205" i="18" s="1"/>
  <c r="P71" i="18"/>
  <c r="Q71" i="18"/>
  <c r="Q205" i="18" s="1"/>
  <c r="G70" i="18"/>
  <c r="G204" i="18" s="1"/>
  <c r="H70" i="18"/>
  <c r="H204" i="18" s="1"/>
  <c r="I70" i="18"/>
  <c r="I204" i="18" s="1"/>
  <c r="J70" i="18"/>
  <c r="J204" i="18" s="1"/>
  <c r="K70" i="18"/>
  <c r="K204" i="18" s="1"/>
  <c r="L70" i="18"/>
  <c r="L204" i="18" s="1"/>
  <c r="M70" i="18"/>
  <c r="M204" i="18" s="1"/>
  <c r="N70" i="18"/>
  <c r="N204" i="18" s="1"/>
  <c r="O70" i="18"/>
  <c r="O204" i="18" s="1"/>
  <c r="P70" i="18"/>
  <c r="P204" i="18" s="1"/>
  <c r="Q70" i="18"/>
  <c r="Q204" i="18" s="1"/>
  <c r="AA38" i="18" l="1"/>
  <c r="Z127" i="18"/>
  <c r="AA36" i="18"/>
  <c r="Z128" i="18"/>
  <c r="Z126" i="18"/>
  <c r="K224" i="18"/>
  <c r="P226" i="18"/>
  <c r="P227" i="18" s="1"/>
  <c r="J221" i="18"/>
  <c r="J222" i="18" s="1"/>
  <c r="J219" i="18"/>
  <c r="O221" i="18"/>
  <c r="O222" i="18" s="1"/>
  <c r="O219" i="18"/>
  <c r="M221" i="18"/>
  <c r="M222" i="18" s="1"/>
  <c r="M219" i="18"/>
  <c r="L226" i="18"/>
  <c r="L227" i="18" s="1"/>
  <c r="L224" i="18"/>
  <c r="N226" i="18"/>
  <c r="N227" i="18" s="1"/>
  <c r="N224" i="18"/>
  <c r="N221" i="18"/>
  <c r="N222" i="18" s="1"/>
  <c r="N219" i="18"/>
  <c r="H221" i="18"/>
  <c r="H222" i="18" s="1"/>
  <c r="H219" i="18"/>
  <c r="G226" i="18"/>
  <c r="G227" i="18" s="1"/>
  <c r="G224" i="18"/>
  <c r="R224" i="18" s="1"/>
  <c r="I226" i="18"/>
  <c r="I227" i="18" s="1"/>
  <c r="I224" i="18"/>
  <c r="I221" i="18"/>
  <c r="I222" i="18" s="1"/>
  <c r="I219" i="18"/>
  <c r="G221" i="18"/>
  <c r="G222" i="18" s="1"/>
  <c r="G219" i="18"/>
  <c r="R219" i="18" s="1"/>
  <c r="L221" i="18"/>
  <c r="L222" i="18" s="1"/>
  <c r="L219" i="18"/>
  <c r="R225" i="18"/>
  <c r="M226" i="18"/>
  <c r="M227" i="18" s="1"/>
  <c r="M224" i="18"/>
  <c r="J226" i="18"/>
  <c r="J227" i="18" s="1"/>
  <c r="J224" i="18"/>
  <c r="Q221" i="18"/>
  <c r="Q222" i="18" s="1"/>
  <c r="Q219" i="18"/>
  <c r="K221" i="18"/>
  <c r="K222" i="18" s="1"/>
  <c r="K219" i="18"/>
  <c r="H226" i="18"/>
  <c r="H227" i="18" s="1"/>
  <c r="H224" i="18"/>
  <c r="O226" i="18"/>
  <c r="O227" i="18" s="1"/>
  <c r="O224" i="18"/>
  <c r="Q226" i="18"/>
  <c r="Q227" i="18" s="1"/>
  <c r="Q224" i="18"/>
  <c r="P221" i="18"/>
  <c r="R220" i="18"/>
  <c r="R204" i="18"/>
  <c r="R71" i="18"/>
  <c r="P205" i="18"/>
  <c r="R205" i="18" s="1"/>
  <c r="R70" i="18"/>
  <c r="AB38" i="18" l="1"/>
  <c r="AA127" i="18"/>
  <c r="AB36" i="18"/>
  <c r="AA128" i="18"/>
  <c r="AA126" i="18"/>
  <c r="R227" i="18"/>
  <c r="R226" i="18"/>
  <c r="P222" i="18"/>
  <c r="R222" i="18" s="1"/>
  <c r="R221" i="18"/>
  <c r="G147" i="18"/>
  <c r="H147" i="18"/>
  <c r="I147" i="18"/>
  <c r="J147" i="18"/>
  <c r="K147" i="18"/>
  <c r="L147" i="18"/>
  <c r="M147" i="18"/>
  <c r="N147" i="18"/>
  <c r="O147" i="18"/>
  <c r="P147" i="18"/>
  <c r="Q147" i="18"/>
  <c r="Q146" i="18"/>
  <c r="AC38" i="18" l="1"/>
  <c r="AB127" i="18"/>
  <c r="AC36" i="18"/>
  <c r="AB126" i="18"/>
  <c r="AB128" i="18"/>
  <c r="R147" i="18"/>
  <c r="H254" i="18"/>
  <c r="H251" i="18"/>
  <c r="H252" i="18"/>
  <c r="H253" i="18"/>
  <c r="AD38" i="18" l="1"/>
  <c r="AC127" i="18"/>
  <c r="AD127" i="18" s="1"/>
  <c r="AF38" i="18"/>
  <c r="AC126" i="18"/>
  <c r="AD126" i="18" s="1"/>
  <c r="AC128" i="18"/>
  <c r="AD128" i="18" s="1"/>
  <c r="AD36" i="18"/>
  <c r="AF36" i="18"/>
  <c r="Q243" i="18"/>
  <c r="Q242" i="18"/>
  <c r="Q241" i="18"/>
  <c r="Q211" i="18"/>
  <c r="Q66" i="18"/>
  <c r="Q202" i="18" s="1"/>
  <c r="Q67" i="18"/>
  <c r="Q68" i="18"/>
  <c r="Q110" i="18" s="1"/>
  <c r="Q72" i="18"/>
  <c r="Q214" i="18" s="1"/>
  <c r="Q73" i="18"/>
  <c r="Q74" i="18"/>
  <c r="Q75" i="18"/>
  <c r="Q206" i="18" s="1"/>
  <c r="Q76" i="18"/>
  <c r="Q78" i="18"/>
  <c r="Q79" i="18"/>
  <c r="Q80" i="18"/>
  <c r="Q209" i="18" s="1"/>
  <c r="Q82" i="18"/>
  <c r="Q83" i="18"/>
  <c r="Q85" i="18"/>
  <c r="Q86" i="18"/>
  <c r="Q208" i="18" s="1"/>
  <c r="Q88" i="18"/>
  <c r="Q139" i="18" s="1"/>
  <c r="Q140" i="18" s="1"/>
  <c r="Q90" i="18"/>
  <c r="Q92" i="18" s="1"/>
  <c r="Q93" i="18"/>
  <c r="Q94" i="18"/>
  <c r="Q95" i="18"/>
  <c r="Q96" i="18"/>
  <c r="Q98" i="18"/>
  <c r="Q164" i="18" s="1"/>
  <c r="Q99" i="18"/>
  <c r="Q100" i="18"/>
  <c r="Q105" i="18"/>
  <c r="Q106" i="18"/>
  <c r="Q107" i="18"/>
  <c r="Q108" i="18"/>
  <c r="Q109" i="18"/>
  <c r="Q112" i="18"/>
  <c r="Q118" i="18" s="1"/>
  <c r="Q113" i="18"/>
  <c r="Q119" i="18" s="1"/>
  <c r="Q114" i="18"/>
  <c r="Q120" i="18" s="1"/>
  <c r="Q115" i="18"/>
  <c r="Q121" i="18" s="1"/>
  <c r="Q116" i="18"/>
  <c r="Q122" i="18" s="1"/>
  <c r="Q134" i="18"/>
  <c r="Q135" i="18"/>
  <c r="Q136" i="18"/>
  <c r="Q137" i="18"/>
  <c r="Q145" i="18"/>
  <c r="Q149" i="18"/>
  <c r="Q150" i="18"/>
  <c r="Q151" i="18"/>
  <c r="Q154" i="18"/>
  <c r="Q155" i="18"/>
  <c r="Q156" i="18"/>
  <c r="Q157" i="18"/>
  <c r="Q159" i="18"/>
  <c r="Q160" i="18"/>
  <c r="Q162" i="18"/>
  <c r="Q163" i="18" s="1"/>
  <c r="Q166" i="18"/>
  <c r="Q167" i="18"/>
  <c r="T17" i="18"/>
  <c r="T19" i="18"/>
  <c r="T24" i="18"/>
  <c r="R59" i="18"/>
  <c r="R57" i="18"/>
  <c r="R55" i="18"/>
  <c r="R53" i="18"/>
  <c r="R51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P238" i="18" l="1"/>
  <c r="Q203" i="18"/>
  <c r="Q84" i="18"/>
  <c r="Q207" i="18" s="1"/>
  <c r="Q141" i="18"/>
  <c r="Q142" i="18" s="1"/>
  <c r="Q143" i="18"/>
  <c r="H68" i="18"/>
  <c r="H110" i="18" s="1"/>
  <c r="I68" i="18"/>
  <c r="I110" i="18" s="1"/>
  <c r="J68" i="18"/>
  <c r="J110" i="18" s="1"/>
  <c r="K68" i="18"/>
  <c r="K110" i="18" s="1"/>
  <c r="L68" i="18"/>
  <c r="L110" i="18" s="1"/>
  <c r="M68" i="18"/>
  <c r="M110" i="18" s="1"/>
  <c r="N68" i="18"/>
  <c r="N110" i="18" s="1"/>
  <c r="O68" i="18"/>
  <c r="O110" i="18" s="1"/>
  <c r="P68" i="18"/>
  <c r="P110" i="18" s="1"/>
  <c r="G68" i="18"/>
  <c r="G110" i="18" s="1"/>
  <c r="Q216" i="18" l="1"/>
  <c r="Q217" i="18" s="1"/>
  <c r="Q215" i="18"/>
  <c r="H238" i="18"/>
  <c r="R110" i="18"/>
  <c r="R68" i="18"/>
  <c r="S59" i="18"/>
  <c r="T59" i="18" s="1"/>
  <c r="K234" i="18" l="1"/>
  <c r="K233" i="18"/>
  <c r="K232" i="18"/>
  <c r="K231" i="18"/>
  <c r="AE53" i="18" l="1"/>
  <c r="S53" i="18"/>
  <c r="T53" i="18" l="1"/>
  <c r="U53" i="18" l="1"/>
  <c r="K238" i="18"/>
  <c r="T238" i="18" s="1"/>
  <c r="T239" i="18" s="1"/>
  <c r="K237" i="18"/>
  <c r="V53" i="18" l="1"/>
  <c r="U252" i="18"/>
  <c r="U253" i="18" s="1"/>
  <c r="D250" i="18"/>
  <c r="G264" i="18" s="1"/>
  <c r="K264" i="18" s="1"/>
  <c r="H250" i="18"/>
  <c r="L134" i="18"/>
  <c r="J134" i="18"/>
  <c r="H134" i="18"/>
  <c r="G134" i="18"/>
  <c r="I134" i="18"/>
  <c r="K134" i="18"/>
  <c r="M134" i="18"/>
  <c r="N134" i="18"/>
  <c r="O134" i="18"/>
  <c r="P134" i="18"/>
  <c r="H167" i="18"/>
  <c r="I167" i="18"/>
  <c r="J167" i="18"/>
  <c r="K167" i="18"/>
  <c r="L167" i="18"/>
  <c r="M167" i="18"/>
  <c r="N167" i="18"/>
  <c r="O167" i="18"/>
  <c r="P167" i="18"/>
  <c r="H166" i="18"/>
  <c r="I166" i="18"/>
  <c r="J166" i="18"/>
  <c r="K166" i="18"/>
  <c r="L166" i="18"/>
  <c r="M166" i="18"/>
  <c r="N166" i="18"/>
  <c r="O166" i="18"/>
  <c r="P166" i="18"/>
  <c r="G268" i="18"/>
  <c r="G269" i="18" s="1"/>
  <c r="AE73" i="18"/>
  <c r="H73" i="18"/>
  <c r="I73" i="18"/>
  <c r="J73" i="18"/>
  <c r="K73" i="18"/>
  <c r="L73" i="18"/>
  <c r="M73" i="18"/>
  <c r="N73" i="18"/>
  <c r="O73" i="18"/>
  <c r="P73" i="18"/>
  <c r="G73" i="18"/>
  <c r="H259" i="18"/>
  <c r="D258" i="18"/>
  <c r="G265" i="18" s="1"/>
  <c r="K265" i="18" s="1"/>
  <c r="H257" i="18"/>
  <c r="I257" i="18" s="1"/>
  <c r="J257" i="18" s="1"/>
  <c r="J258" i="18" s="1"/>
  <c r="H255" i="18"/>
  <c r="H249" i="18"/>
  <c r="H248" i="18"/>
  <c r="I248" i="18" s="1"/>
  <c r="J248" i="18" s="1"/>
  <c r="W53" i="18" l="1"/>
  <c r="G270" i="18"/>
  <c r="G267" i="18"/>
  <c r="D260" i="18"/>
  <c r="K268" i="18"/>
  <c r="R73" i="18"/>
  <c r="K267" i="18"/>
  <c r="I249" i="18"/>
  <c r="J249" i="18" s="1"/>
  <c r="I259" i="18"/>
  <c r="J259" i="18" s="1"/>
  <c r="J260" i="18" s="1"/>
  <c r="H109" i="18"/>
  <c r="I109" i="18"/>
  <c r="J109" i="18"/>
  <c r="K109" i="18"/>
  <c r="L109" i="18"/>
  <c r="M109" i="18"/>
  <c r="N109" i="18"/>
  <c r="O109" i="18"/>
  <c r="P109" i="18"/>
  <c r="G109" i="18"/>
  <c r="G167" i="18"/>
  <c r="G166" i="18"/>
  <c r="AE14" i="18"/>
  <c r="S14" i="18"/>
  <c r="U249" i="18"/>
  <c r="U248" i="18"/>
  <c r="O249" i="18"/>
  <c r="O252" i="18" s="1"/>
  <c r="O248" i="18"/>
  <c r="H116" i="18"/>
  <c r="H122" i="18" s="1"/>
  <c r="I116" i="18"/>
  <c r="I122" i="18" s="1"/>
  <c r="J116" i="18"/>
  <c r="J122" i="18" s="1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G116" i="18"/>
  <c r="G122" i="18" s="1"/>
  <c r="H113" i="18"/>
  <c r="H119" i="18" s="1"/>
  <c r="I113" i="18"/>
  <c r="I119" i="18" s="1"/>
  <c r="J113" i="18"/>
  <c r="J119" i="18" s="1"/>
  <c r="K113" i="18"/>
  <c r="K119" i="18" s="1"/>
  <c r="L113" i="18"/>
  <c r="L119" i="18" s="1"/>
  <c r="M113" i="18"/>
  <c r="M119" i="18" s="1"/>
  <c r="N113" i="18"/>
  <c r="N119" i="18" s="1"/>
  <c r="O113" i="18"/>
  <c r="O119" i="18" s="1"/>
  <c r="P113" i="18"/>
  <c r="P119" i="18" s="1"/>
  <c r="G113" i="18"/>
  <c r="G119" i="18" s="1"/>
  <c r="H114" i="18"/>
  <c r="H120" i="18" s="1"/>
  <c r="I114" i="18"/>
  <c r="I120" i="18" s="1"/>
  <c r="J114" i="18"/>
  <c r="J120" i="18" s="1"/>
  <c r="K114" i="18"/>
  <c r="K120" i="18" s="1"/>
  <c r="L114" i="18"/>
  <c r="L120" i="18" s="1"/>
  <c r="M114" i="18"/>
  <c r="M120" i="18" s="1"/>
  <c r="N114" i="18"/>
  <c r="N120" i="18" s="1"/>
  <c r="O114" i="18"/>
  <c r="O120" i="18" s="1"/>
  <c r="P114" i="18"/>
  <c r="P120" i="18" s="1"/>
  <c r="G114" i="18"/>
  <c r="G120" i="18" s="1"/>
  <c r="H162" i="18"/>
  <c r="H163" i="18" s="1"/>
  <c r="I162" i="18"/>
  <c r="I163" i="18" s="1"/>
  <c r="J162" i="18"/>
  <c r="J163" i="18" s="1"/>
  <c r="K162" i="18"/>
  <c r="K163" i="18" s="1"/>
  <c r="L162" i="18"/>
  <c r="L163" i="18" s="1"/>
  <c r="M162" i="18"/>
  <c r="M163" i="18" s="1"/>
  <c r="N162" i="18"/>
  <c r="N163" i="18" s="1"/>
  <c r="O162" i="18"/>
  <c r="O163" i="18" s="1"/>
  <c r="P162" i="18"/>
  <c r="P163" i="18" s="1"/>
  <c r="G162" i="18"/>
  <c r="G163" i="18" s="1"/>
  <c r="X53" i="18" l="1"/>
  <c r="R122" i="18"/>
  <c r="R119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20" i="18"/>
  <c r="I250" i="18"/>
  <c r="J250" i="18" s="1"/>
  <c r="R166" i="18"/>
  <c r="R167" i="18"/>
  <c r="R109" i="18"/>
  <c r="R116" i="18"/>
  <c r="R113" i="18"/>
  <c r="R163" i="18"/>
  <c r="R162" i="18"/>
  <c r="R114" i="18"/>
  <c r="P108" i="18"/>
  <c r="P107" i="18"/>
  <c r="H108" i="18"/>
  <c r="I108" i="18"/>
  <c r="J108" i="18"/>
  <c r="K108" i="18"/>
  <c r="L108" i="18"/>
  <c r="M108" i="18"/>
  <c r="N108" i="18"/>
  <c r="O108" i="18"/>
  <c r="G108" i="18"/>
  <c r="G107" i="18"/>
  <c r="H160" i="18"/>
  <c r="I160" i="18"/>
  <c r="J160" i="18"/>
  <c r="K160" i="18"/>
  <c r="L160" i="18"/>
  <c r="M160" i="18"/>
  <c r="N160" i="18"/>
  <c r="O160" i="18"/>
  <c r="P160" i="18"/>
  <c r="G160" i="18"/>
  <c r="H159" i="18"/>
  <c r="I159" i="18"/>
  <c r="J159" i="18"/>
  <c r="K159" i="18"/>
  <c r="L159" i="18"/>
  <c r="M159" i="18"/>
  <c r="N159" i="18"/>
  <c r="O159" i="18"/>
  <c r="P159" i="18"/>
  <c r="G159" i="18"/>
  <c r="H156" i="18"/>
  <c r="I156" i="18"/>
  <c r="J156" i="18"/>
  <c r="K156" i="18"/>
  <c r="L156" i="18"/>
  <c r="M156" i="18"/>
  <c r="N156" i="18"/>
  <c r="O156" i="18"/>
  <c r="P156" i="18"/>
  <c r="G156" i="18"/>
  <c r="H157" i="18"/>
  <c r="I157" i="18"/>
  <c r="J157" i="18"/>
  <c r="K157" i="18"/>
  <c r="L157" i="18"/>
  <c r="M157" i="18"/>
  <c r="N157" i="18"/>
  <c r="O157" i="18"/>
  <c r="P157" i="18"/>
  <c r="G157" i="18"/>
  <c r="H155" i="18"/>
  <c r="I155" i="18"/>
  <c r="J155" i="18"/>
  <c r="K155" i="18"/>
  <c r="L155" i="18"/>
  <c r="M155" i="18"/>
  <c r="N155" i="18"/>
  <c r="O155" i="18"/>
  <c r="P155" i="18"/>
  <c r="G155" i="18"/>
  <c r="H154" i="18"/>
  <c r="I154" i="18"/>
  <c r="J154" i="18"/>
  <c r="K154" i="18"/>
  <c r="L154" i="18"/>
  <c r="M154" i="18"/>
  <c r="N154" i="18"/>
  <c r="O154" i="18"/>
  <c r="P154" i="18"/>
  <c r="G154" i="18"/>
  <c r="H151" i="18"/>
  <c r="I151" i="18"/>
  <c r="J151" i="18"/>
  <c r="K151" i="18"/>
  <c r="L151" i="18"/>
  <c r="M151" i="18"/>
  <c r="N151" i="18"/>
  <c r="O151" i="18"/>
  <c r="P151" i="18"/>
  <c r="G151" i="18"/>
  <c r="H150" i="18"/>
  <c r="I150" i="18"/>
  <c r="J150" i="18"/>
  <c r="K150" i="18"/>
  <c r="L150" i="18"/>
  <c r="M150" i="18"/>
  <c r="N150" i="18"/>
  <c r="O150" i="18"/>
  <c r="P150" i="18"/>
  <c r="G150" i="18"/>
  <c r="H149" i="18"/>
  <c r="I149" i="18"/>
  <c r="J149" i="18"/>
  <c r="K149" i="18"/>
  <c r="L149" i="18"/>
  <c r="M149" i="18"/>
  <c r="N149" i="18"/>
  <c r="O149" i="18"/>
  <c r="P149" i="18"/>
  <c r="G149" i="18"/>
  <c r="B151" i="18"/>
  <c r="B150" i="18"/>
  <c r="AE32" i="18"/>
  <c r="S32" i="18"/>
  <c r="G137" i="18"/>
  <c r="H137" i="18"/>
  <c r="I137" i="18"/>
  <c r="J137" i="18"/>
  <c r="K137" i="18"/>
  <c r="L137" i="18"/>
  <c r="M137" i="18"/>
  <c r="N137" i="18"/>
  <c r="O137" i="18"/>
  <c r="P137" i="18"/>
  <c r="T253" i="18"/>
  <c r="N252" i="18"/>
  <c r="T250" i="18"/>
  <c r="U250" i="18" s="1"/>
  <c r="U255" i="18" s="1"/>
  <c r="N250" i="18"/>
  <c r="O250" i="18" s="1"/>
  <c r="O255" i="18" s="1"/>
  <c r="H146" i="18"/>
  <c r="I146" i="18"/>
  <c r="J146" i="18"/>
  <c r="K146" i="18"/>
  <c r="L146" i="18"/>
  <c r="M146" i="18"/>
  <c r="N146" i="18"/>
  <c r="O146" i="18"/>
  <c r="P146" i="18"/>
  <c r="G146" i="18"/>
  <c r="H145" i="18"/>
  <c r="I145" i="18"/>
  <c r="J145" i="18"/>
  <c r="K145" i="18"/>
  <c r="L145" i="18"/>
  <c r="M145" i="18"/>
  <c r="N145" i="18"/>
  <c r="O145" i="18"/>
  <c r="P145" i="18"/>
  <c r="G145" i="18"/>
  <c r="I251" i="18" l="1"/>
  <c r="J251" i="18" s="1"/>
  <c r="I252" i="18" s="1"/>
  <c r="J252" i="18" s="1"/>
  <c r="I253" i="18" s="1"/>
  <c r="J253" i="18" s="1"/>
  <c r="I254" i="18" s="1"/>
  <c r="J254" i="18" s="1"/>
  <c r="I255" i="18" s="1"/>
  <c r="J255" i="18" s="1"/>
  <c r="J256" i="18" s="1"/>
  <c r="Y53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57" i="18"/>
  <c r="R108" i="18"/>
  <c r="R154" i="18"/>
  <c r="R160" i="18"/>
  <c r="R159" i="18"/>
  <c r="R155" i="18"/>
  <c r="R156" i="18"/>
  <c r="R149" i="18"/>
  <c r="R150" i="18"/>
  <c r="R151" i="18"/>
  <c r="R137" i="18"/>
  <c r="N255" i="18"/>
  <c r="T255" i="18"/>
  <c r="R146" i="18"/>
  <c r="R145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T129" i="18" s="1"/>
  <c r="S27" i="18"/>
  <c r="T27" i="18" s="1"/>
  <c r="S29" i="18"/>
  <c r="T29" i="18" s="1"/>
  <c r="S31" i="18"/>
  <c r="S33" i="18"/>
  <c r="T33" i="18" s="1"/>
  <c r="S34" i="18"/>
  <c r="T34" i="18" s="1"/>
  <c r="S51" i="18"/>
  <c r="T51" i="18" s="1"/>
  <c r="S55" i="18"/>
  <c r="T55" i="18" s="1"/>
  <c r="T130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51" i="18"/>
  <c r="AE55" i="18"/>
  <c r="AE57" i="18"/>
  <c r="AE59" i="18"/>
  <c r="AE66" i="18"/>
  <c r="AE67" i="18"/>
  <c r="AE72" i="18"/>
  <c r="AE74" i="18"/>
  <c r="AE75" i="18"/>
  <c r="AE76" i="18"/>
  <c r="AE78" i="18"/>
  <c r="AE79" i="18"/>
  <c r="AE80" i="18"/>
  <c r="AE82" i="18"/>
  <c r="AE83" i="18"/>
  <c r="AE84" i="18"/>
  <c r="AE85" i="18"/>
  <c r="AE87" i="18"/>
  <c r="AE88" i="18"/>
  <c r="AE90" i="18"/>
  <c r="AE92" i="18"/>
  <c r="AE93" i="18"/>
  <c r="AE94" i="18"/>
  <c r="AE95" i="18"/>
  <c r="AE96" i="18"/>
  <c r="AE98" i="18"/>
  <c r="AE99" i="18"/>
  <c r="AE100" i="18"/>
  <c r="AE7" i="18"/>
  <c r="AE6" i="18"/>
  <c r="T132" i="18" l="1"/>
  <c r="T131" i="18"/>
  <c r="T124" i="18"/>
  <c r="T125" i="18"/>
  <c r="T68" i="18"/>
  <c r="T110" i="18" s="1"/>
  <c r="Z53" i="18"/>
  <c r="AF32" i="18"/>
  <c r="T31" i="18"/>
  <c r="R134" i="18"/>
  <c r="H112" i="18"/>
  <c r="H118" i="18" s="1"/>
  <c r="I112" i="18"/>
  <c r="I118" i="18" s="1"/>
  <c r="J112" i="18"/>
  <c r="J118" i="18" s="1"/>
  <c r="K112" i="18"/>
  <c r="K118" i="18" s="1"/>
  <c r="L112" i="18"/>
  <c r="L118" i="18" s="1"/>
  <c r="M112" i="18"/>
  <c r="M118" i="18" s="1"/>
  <c r="N112" i="18"/>
  <c r="N118" i="18" s="1"/>
  <c r="O112" i="18"/>
  <c r="O118" i="18" s="1"/>
  <c r="P112" i="18"/>
  <c r="P118" i="18" s="1"/>
  <c r="H115" i="18"/>
  <c r="H121" i="18" s="1"/>
  <c r="I115" i="18"/>
  <c r="I121" i="18" s="1"/>
  <c r="J115" i="18"/>
  <c r="J121" i="18" s="1"/>
  <c r="K115" i="18"/>
  <c r="K121" i="18" s="1"/>
  <c r="L115" i="18"/>
  <c r="L121" i="18" s="1"/>
  <c r="M115" i="18"/>
  <c r="M121" i="18" s="1"/>
  <c r="N115" i="18"/>
  <c r="N121" i="18" s="1"/>
  <c r="O115" i="18"/>
  <c r="O121" i="18" s="1"/>
  <c r="P115" i="18"/>
  <c r="P121" i="18" s="1"/>
  <c r="G115" i="18"/>
  <c r="G121" i="18" s="1"/>
  <c r="G112" i="18"/>
  <c r="G118" i="18" s="1"/>
  <c r="AA53" i="18" l="1"/>
  <c r="U31" i="18"/>
  <c r="T147" i="18"/>
  <c r="R118" i="18"/>
  <c r="R121" i="18"/>
  <c r="U29" i="18"/>
  <c r="R115" i="18"/>
  <c r="R112" i="18"/>
  <c r="H136" i="18"/>
  <c r="I136" i="18"/>
  <c r="J136" i="18"/>
  <c r="K136" i="18"/>
  <c r="L136" i="18"/>
  <c r="M136" i="18"/>
  <c r="N136" i="18"/>
  <c r="O136" i="18"/>
  <c r="P136" i="18"/>
  <c r="G136" i="18"/>
  <c r="H135" i="18"/>
  <c r="I135" i="18"/>
  <c r="J135" i="18"/>
  <c r="K135" i="18"/>
  <c r="L135" i="18"/>
  <c r="M135" i="18"/>
  <c r="N135" i="18"/>
  <c r="O135" i="18"/>
  <c r="P135" i="18"/>
  <c r="G135" i="18"/>
  <c r="AB53" i="18" l="1"/>
  <c r="V31" i="18"/>
  <c r="V29" i="18"/>
  <c r="R135" i="18"/>
  <c r="R136" i="18"/>
  <c r="AF87" i="18"/>
  <c r="AC53" i="18" l="1"/>
  <c r="W31" i="18"/>
  <c r="W29" i="18"/>
  <c r="G211" i="18"/>
  <c r="H211" i="18"/>
  <c r="I211" i="18"/>
  <c r="J211" i="18"/>
  <c r="K211" i="18"/>
  <c r="L211" i="18"/>
  <c r="M211" i="18"/>
  <c r="N211" i="18"/>
  <c r="O211" i="18"/>
  <c r="P211" i="18"/>
  <c r="C9" i="15"/>
  <c r="G88" i="18"/>
  <c r="G139" i="18" s="1"/>
  <c r="G140" i="18" s="1"/>
  <c r="G143" i="18" s="1"/>
  <c r="H88" i="18"/>
  <c r="H139" i="18" s="1"/>
  <c r="H140" i="18" s="1"/>
  <c r="H143" i="18" s="1"/>
  <c r="I88" i="18"/>
  <c r="I139" i="18" s="1"/>
  <c r="I140" i="18" s="1"/>
  <c r="I143" i="18" s="1"/>
  <c r="J88" i="18"/>
  <c r="J139" i="18" s="1"/>
  <c r="J140" i="18" s="1"/>
  <c r="J143" i="18" s="1"/>
  <c r="K88" i="18"/>
  <c r="K139" i="18" s="1"/>
  <c r="K140" i="18" s="1"/>
  <c r="K143" i="18" s="1"/>
  <c r="L88" i="18"/>
  <c r="L139" i="18" s="1"/>
  <c r="L140" i="18" s="1"/>
  <c r="L143" i="18" s="1"/>
  <c r="M88" i="18"/>
  <c r="M139" i="18" s="1"/>
  <c r="M140" i="18" s="1"/>
  <c r="M143" i="18" s="1"/>
  <c r="N88" i="18"/>
  <c r="N139" i="18" s="1"/>
  <c r="N140" i="18" s="1"/>
  <c r="N143" i="18" s="1"/>
  <c r="O88" i="18"/>
  <c r="O139" i="18" s="1"/>
  <c r="O140" i="18" s="1"/>
  <c r="O143" i="18" s="1"/>
  <c r="P88" i="18"/>
  <c r="P139" i="18" s="1"/>
  <c r="AD53" i="18" l="1"/>
  <c r="AF53" i="18"/>
  <c r="X31" i="18"/>
  <c r="T88" i="18"/>
  <c r="X29" i="18"/>
  <c r="R211" i="18"/>
  <c r="N141" i="18"/>
  <c r="N142" i="18" s="1"/>
  <c r="J141" i="18"/>
  <c r="J142" i="18" s="1"/>
  <c r="L141" i="18"/>
  <c r="L142" i="18" s="1"/>
  <c r="H141" i="18"/>
  <c r="H142" i="18" s="1"/>
  <c r="M141" i="18"/>
  <c r="M142" i="18" s="1"/>
  <c r="I141" i="18"/>
  <c r="I142" i="18" s="1"/>
  <c r="O141" i="18"/>
  <c r="O142" i="18" s="1"/>
  <c r="K141" i="18"/>
  <c r="K142" i="18" s="1"/>
  <c r="G141" i="18"/>
  <c r="G142" i="18" s="1"/>
  <c r="P140" i="18"/>
  <c r="P143" i="18" s="1"/>
  <c r="R143" i="18" s="1"/>
  <c r="R139" i="18"/>
  <c r="U59" i="18"/>
  <c r="Y31" i="18" l="1"/>
  <c r="V59" i="18"/>
  <c r="Y29" i="18"/>
  <c r="P141" i="18"/>
  <c r="R140" i="18"/>
  <c r="U88" i="18"/>
  <c r="G98" i="18"/>
  <c r="G164" i="18" s="1"/>
  <c r="H98" i="18"/>
  <c r="H164" i="18" s="1"/>
  <c r="I98" i="18"/>
  <c r="I164" i="18" s="1"/>
  <c r="J98" i="18"/>
  <c r="J164" i="18" s="1"/>
  <c r="K98" i="18"/>
  <c r="K164" i="18" s="1"/>
  <c r="L98" i="18"/>
  <c r="L164" i="18" s="1"/>
  <c r="M98" i="18"/>
  <c r="M164" i="18" s="1"/>
  <c r="N98" i="18"/>
  <c r="N164" i="18" s="1"/>
  <c r="O98" i="18"/>
  <c r="O164" i="18" s="1"/>
  <c r="G99" i="18"/>
  <c r="H99" i="18"/>
  <c r="I99" i="18"/>
  <c r="J99" i="18"/>
  <c r="K99" i="18"/>
  <c r="L99" i="18"/>
  <c r="M99" i="18"/>
  <c r="N99" i="18"/>
  <c r="O99" i="18"/>
  <c r="G100" i="18"/>
  <c r="H100" i="18"/>
  <c r="I100" i="18"/>
  <c r="J100" i="18"/>
  <c r="K100" i="18"/>
  <c r="L100" i="18"/>
  <c r="M100" i="18"/>
  <c r="N100" i="18"/>
  <c r="O100" i="18"/>
  <c r="P100" i="18"/>
  <c r="P99" i="18"/>
  <c r="P98" i="18"/>
  <c r="P164" i="18" s="1"/>
  <c r="H107" i="18"/>
  <c r="I107" i="18"/>
  <c r="J107" i="18"/>
  <c r="K107" i="18"/>
  <c r="L107" i="18"/>
  <c r="M107" i="18"/>
  <c r="N107" i="18"/>
  <c r="O107" i="18"/>
  <c r="G106" i="18"/>
  <c r="H106" i="18"/>
  <c r="I106" i="18"/>
  <c r="J106" i="18"/>
  <c r="K106" i="18"/>
  <c r="L106" i="18"/>
  <c r="M106" i="18"/>
  <c r="N106" i="18"/>
  <c r="O106" i="18"/>
  <c r="G105" i="18"/>
  <c r="H105" i="18"/>
  <c r="I105" i="18"/>
  <c r="J105" i="18"/>
  <c r="K105" i="18"/>
  <c r="L105" i="18"/>
  <c r="M105" i="18"/>
  <c r="N105" i="18"/>
  <c r="O105" i="18"/>
  <c r="P106" i="18"/>
  <c r="Z31" i="18" l="1"/>
  <c r="W59" i="18"/>
  <c r="V88" i="18"/>
  <c r="R164" i="18"/>
  <c r="Z29" i="18"/>
  <c r="R100" i="18"/>
  <c r="R98" i="18"/>
  <c r="R99" i="18"/>
  <c r="R106" i="18"/>
  <c r="R107" i="18"/>
  <c r="P105" i="18"/>
  <c r="R105" i="18" s="1"/>
  <c r="H243" i="18"/>
  <c r="I243" i="18"/>
  <c r="J243" i="18"/>
  <c r="K243" i="18"/>
  <c r="L243" i="18"/>
  <c r="M243" i="18"/>
  <c r="N243" i="18"/>
  <c r="O243" i="18"/>
  <c r="P243" i="18"/>
  <c r="G243" i="18"/>
  <c r="H242" i="18"/>
  <c r="I242" i="18"/>
  <c r="J242" i="18"/>
  <c r="K242" i="18"/>
  <c r="L242" i="18"/>
  <c r="M242" i="18"/>
  <c r="N242" i="18"/>
  <c r="O242" i="18"/>
  <c r="P242" i="18"/>
  <c r="G242" i="18"/>
  <c r="H241" i="18"/>
  <c r="I241" i="18"/>
  <c r="J241" i="18"/>
  <c r="K241" i="18"/>
  <c r="L241" i="18"/>
  <c r="M241" i="18"/>
  <c r="N241" i="18"/>
  <c r="O241" i="18"/>
  <c r="P241" i="18"/>
  <c r="G241" i="18"/>
  <c r="H67" i="18"/>
  <c r="I67" i="18"/>
  <c r="J67" i="18"/>
  <c r="K67" i="18"/>
  <c r="L67" i="18"/>
  <c r="M67" i="18"/>
  <c r="N67" i="18"/>
  <c r="O67" i="18"/>
  <c r="P67" i="18"/>
  <c r="G67" i="18"/>
  <c r="G72" i="18"/>
  <c r="G214" i="18" s="1"/>
  <c r="H66" i="18"/>
  <c r="H202" i="18" s="1"/>
  <c r="I66" i="18"/>
  <c r="I202" i="18" s="1"/>
  <c r="J66" i="18"/>
  <c r="J202" i="18" s="1"/>
  <c r="K66" i="18"/>
  <c r="K202" i="18" s="1"/>
  <c r="L66" i="18"/>
  <c r="L202" i="18" s="1"/>
  <c r="M66" i="18"/>
  <c r="M202" i="18" s="1"/>
  <c r="N66" i="18"/>
  <c r="N202" i="18" s="1"/>
  <c r="O66" i="18"/>
  <c r="O202" i="18" s="1"/>
  <c r="P66" i="18"/>
  <c r="P202" i="18" s="1"/>
  <c r="G66" i="18"/>
  <c r="G202" i="18" s="1"/>
  <c r="T113" i="18"/>
  <c r="T119" i="18" s="1"/>
  <c r="AA31" i="18" l="1"/>
  <c r="X59" i="18"/>
  <c r="W88" i="18"/>
  <c r="R202" i="18"/>
  <c r="AA29" i="18"/>
  <c r="U51" i="18"/>
  <c r="R243" i="18"/>
  <c r="R67" i="18"/>
  <c r="R66" i="18"/>
  <c r="R242" i="18"/>
  <c r="R241" i="18"/>
  <c r="U113" i="18" l="1"/>
  <c r="U119" i="18" s="1"/>
  <c r="AB31" i="18"/>
  <c r="Y59" i="18"/>
  <c r="X88" i="18"/>
  <c r="AB29" i="18"/>
  <c r="V51" i="18"/>
  <c r="I95" i="18"/>
  <c r="J95" i="18"/>
  <c r="K95" i="18"/>
  <c r="L95" i="18"/>
  <c r="M95" i="18"/>
  <c r="N95" i="18"/>
  <c r="O95" i="18"/>
  <c r="P95" i="18"/>
  <c r="I96" i="18"/>
  <c r="J96" i="18"/>
  <c r="K96" i="18"/>
  <c r="L96" i="18"/>
  <c r="M96" i="18"/>
  <c r="N96" i="18"/>
  <c r="O96" i="18"/>
  <c r="P96" i="18"/>
  <c r="I90" i="18"/>
  <c r="I92" i="18" s="1"/>
  <c r="J90" i="18"/>
  <c r="J92" i="18" s="1"/>
  <c r="K90" i="18"/>
  <c r="K92" i="18" s="1"/>
  <c r="L90" i="18"/>
  <c r="L92" i="18" s="1"/>
  <c r="M90" i="18"/>
  <c r="M92" i="18" s="1"/>
  <c r="N90" i="18"/>
  <c r="N92" i="18" s="1"/>
  <c r="O90" i="18"/>
  <c r="O92" i="18" s="1"/>
  <c r="P90" i="18"/>
  <c r="P92" i="18" s="1"/>
  <c r="I93" i="18"/>
  <c r="J93" i="18"/>
  <c r="K93" i="18"/>
  <c r="L93" i="18"/>
  <c r="M93" i="18"/>
  <c r="N93" i="18"/>
  <c r="O93" i="18"/>
  <c r="P93" i="18"/>
  <c r="I94" i="18"/>
  <c r="J94" i="18"/>
  <c r="K94" i="18"/>
  <c r="L94" i="18"/>
  <c r="M94" i="18"/>
  <c r="N94" i="18"/>
  <c r="O94" i="18"/>
  <c r="P94" i="18"/>
  <c r="G93" i="18"/>
  <c r="G94" i="18"/>
  <c r="G95" i="18"/>
  <c r="G96" i="18"/>
  <c r="H96" i="18"/>
  <c r="H95" i="18"/>
  <c r="U22" i="18"/>
  <c r="V22" i="18" s="1"/>
  <c r="W22" i="18" s="1"/>
  <c r="X22" i="18" s="1"/>
  <c r="Y22" i="18" s="1"/>
  <c r="Z22" i="18" s="1"/>
  <c r="AA22" i="18" s="1"/>
  <c r="AB22" i="18" s="1"/>
  <c r="AC22" i="18" s="1"/>
  <c r="G90" i="18"/>
  <c r="G92" i="18" s="1"/>
  <c r="H90" i="18"/>
  <c r="H92" i="18" s="1"/>
  <c r="H94" i="18"/>
  <c r="H93" i="18"/>
  <c r="R93" i="18" l="1"/>
  <c r="V113" i="18"/>
  <c r="V119" i="18" s="1"/>
  <c r="AC31" i="18"/>
  <c r="AD31" i="18" s="1"/>
  <c r="Z59" i="18"/>
  <c r="Y88" i="18"/>
  <c r="U23" i="18"/>
  <c r="T116" i="18"/>
  <c r="T122" i="18" s="1"/>
  <c r="AC29" i="18"/>
  <c r="AD22" i="18"/>
  <c r="AF22" i="18"/>
  <c r="W51" i="18"/>
  <c r="R95" i="18"/>
  <c r="R96" i="18"/>
  <c r="R94" i="18"/>
  <c r="R92" i="18"/>
  <c r="R90" i="18"/>
  <c r="U21" i="18"/>
  <c r="R88" i="18"/>
  <c r="R201" i="18"/>
  <c r="AF31" i="18" l="1"/>
  <c r="W113" i="18"/>
  <c r="W119" i="18" s="1"/>
  <c r="Z88" i="18"/>
  <c r="AA59" i="18"/>
  <c r="V23" i="18"/>
  <c r="U116" i="18"/>
  <c r="U122" i="18" s="1"/>
  <c r="AF29" i="18"/>
  <c r="AD29" i="18"/>
  <c r="U20" i="18"/>
  <c r="T90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109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51" i="18"/>
  <c r="O86" i="18"/>
  <c r="O208" i="18" s="1"/>
  <c r="O85" i="18"/>
  <c r="O83" i="18"/>
  <c r="O82" i="18"/>
  <c r="O80" i="18"/>
  <c r="O209" i="18" s="1"/>
  <c r="O79" i="18"/>
  <c r="O78" i="18"/>
  <c r="O76" i="18"/>
  <c r="O75" i="18"/>
  <c r="O206" i="18" s="1"/>
  <c r="O74" i="18"/>
  <c r="O72" i="18"/>
  <c r="O214" i="18" s="1"/>
  <c r="X113" i="18" l="1"/>
  <c r="X119" i="18" s="1"/>
  <c r="AA88" i="18"/>
  <c r="AB59" i="18"/>
  <c r="U90" i="18"/>
  <c r="T156" i="18"/>
  <c r="T166" i="18"/>
  <c r="T157" i="18"/>
  <c r="T167" i="18"/>
  <c r="W23" i="18"/>
  <c r="V116" i="18"/>
  <c r="V122" i="18" s="1"/>
  <c r="T150" i="18"/>
  <c r="T151" i="18"/>
  <c r="T149" i="18"/>
  <c r="T137" i="18"/>
  <c r="P142" i="18"/>
  <c r="R142" i="18" s="1"/>
  <c r="R141" i="18"/>
  <c r="T112" i="18"/>
  <c r="T118" i="18" s="1"/>
  <c r="T146" i="18"/>
  <c r="T145" i="18"/>
  <c r="U18" i="18"/>
  <c r="O203" i="18"/>
  <c r="V20" i="18"/>
  <c r="U27" i="18"/>
  <c r="Y51" i="18"/>
  <c r="U25" i="18"/>
  <c r="U129" i="18" s="1"/>
  <c r="T105" i="18"/>
  <c r="W21" i="18"/>
  <c r="AD33" i="18"/>
  <c r="AD34" i="18"/>
  <c r="AD9" i="18"/>
  <c r="O84" i="18"/>
  <c r="O207" i="18" s="1"/>
  <c r="G80" i="18"/>
  <c r="G209" i="18" s="1"/>
  <c r="H80" i="18"/>
  <c r="H209" i="18" s="1"/>
  <c r="I80" i="18"/>
  <c r="I209" i="18" s="1"/>
  <c r="J80" i="18"/>
  <c r="J209" i="18" s="1"/>
  <c r="K80" i="18"/>
  <c r="K209" i="18" s="1"/>
  <c r="L80" i="18"/>
  <c r="L209" i="18" s="1"/>
  <c r="M80" i="18"/>
  <c r="M209" i="18" s="1"/>
  <c r="N80" i="18"/>
  <c r="N209" i="18" s="1"/>
  <c r="P80" i="18"/>
  <c r="U124" i="18" l="1"/>
  <c r="U125" i="18"/>
  <c r="O216" i="18"/>
  <c r="O217" i="18" s="1"/>
  <c r="O215" i="18"/>
  <c r="Y113" i="18"/>
  <c r="Y119" i="18" s="1"/>
  <c r="U109" i="18"/>
  <c r="U147" i="18"/>
  <c r="AC59" i="18"/>
  <c r="AB88" i="18"/>
  <c r="U157" i="18"/>
  <c r="U167" i="18"/>
  <c r="U156" i="18"/>
  <c r="U166" i="18"/>
  <c r="X23" i="18"/>
  <c r="W116" i="18"/>
  <c r="W122" i="18" s="1"/>
  <c r="U149" i="18"/>
  <c r="U151" i="18"/>
  <c r="U150" i="18"/>
  <c r="U137" i="18"/>
  <c r="U112" i="18"/>
  <c r="U118" i="18" s="1"/>
  <c r="U146" i="18"/>
  <c r="U145" i="18"/>
  <c r="V18" i="18"/>
  <c r="W20" i="18"/>
  <c r="V90" i="18"/>
  <c r="V27" i="18"/>
  <c r="V25" i="18"/>
  <c r="U105" i="18"/>
  <c r="Z51" i="18"/>
  <c r="X21" i="18"/>
  <c r="P209" i="18"/>
  <c r="R209" i="18" s="1"/>
  <c r="R80" i="18"/>
  <c r="G79" i="18"/>
  <c r="H79" i="18"/>
  <c r="I79" i="18"/>
  <c r="J79" i="18"/>
  <c r="K79" i="18"/>
  <c r="L79" i="18"/>
  <c r="M79" i="18"/>
  <c r="N79" i="18"/>
  <c r="P79" i="18"/>
  <c r="G78" i="18"/>
  <c r="H78" i="18"/>
  <c r="I78" i="18"/>
  <c r="J78" i="18"/>
  <c r="K78" i="18"/>
  <c r="L78" i="18"/>
  <c r="M78" i="18"/>
  <c r="N78" i="18"/>
  <c r="P78" i="18"/>
  <c r="V125" i="18" l="1"/>
  <c r="V129" i="18"/>
  <c r="V147" i="18"/>
  <c r="V124" i="18"/>
  <c r="Z113" i="18"/>
  <c r="Z119" i="18" s="1"/>
  <c r="AF59" i="18"/>
  <c r="AC88" i="18"/>
  <c r="AD59" i="18"/>
  <c r="V156" i="18"/>
  <c r="V166" i="18"/>
  <c r="V157" i="18"/>
  <c r="V167" i="18"/>
  <c r="V109" i="18"/>
  <c r="Y23" i="18"/>
  <c r="X116" i="18"/>
  <c r="X122" i="18" s="1"/>
  <c r="V151" i="18"/>
  <c r="V150" i="18"/>
  <c r="V149" i="18"/>
  <c r="V137" i="18"/>
  <c r="V112" i="18"/>
  <c r="V118" i="18" s="1"/>
  <c r="V146" i="18"/>
  <c r="V145" i="18"/>
  <c r="W18" i="18"/>
  <c r="X20" i="18"/>
  <c r="W90" i="18"/>
  <c r="W27" i="18"/>
  <c r="W25" i="18"/>
  <c r="W129" i="18" s="1"/>
  <c r="V105" i="18"/>
  <c r="AA51" i="18"/>
  <c r="Y21" i="18"/>
  <c r="R78" i="18"/>
  <c r="R79" i="18"/>
  <c r="C46" i="15"/>
  <c r="W124" i="18" l="1"/>
  <c r="W125" i="18"/>
  <c r="AA113" i="18"/>
  <c r="AA119" i="18" s="1"/>
  <c r="W109" i="18"/>
  <c r="W147" i="18"/>
  <c r="T188" i="18"/>
  <c r="Q230" i="18" s="1"/>
  <c r="AF88" i="18"/>
  <c r="U188" i="18" s="1"/>
  <c r="AD88" i="18"/>
  <c r="W157" i="18"/>
  <c r="W167" i="18"/>
  <c r="W156" i="18"/>
  <c r="W166" i="18"/>
  <c r="Z23" i="18"/>
  <c r="Y116" i="18"/>
  <c r="Y122" i="18" s="1"/>
  <c r="W137" i="18"/>
  <c r="W151" i="18"/>
  <c r="W150" i="18"/>
  <c r="W149" i="18"/>
  <c r="W112" i="18"/>
  <c r="W118" i="18" s="1"/>
  <c r="W146" i="18"/>
  <c r="W145" i="18"/>
  <c r="X18" i="18"/>
  <c r="Y20" i="18"/>
  <c r="X90" i="18"/>
  <c r="X27" i="18"/>
  <c r="X25" i="18"/>
  <c r="W105" i="18"/>
  <c r="AB51" i="18"/>
  <c r="Z21" i="18"/>
  <c r="H72" i="18"/>
  <c r="H214" i="18" s="1"/>
  <c r="I72" i="18"/>
  <c r="I214" i="18" s="1"/>
  <c r="J72" i="18"/>
  <c r="J214" i="18" s="1"/>
  <c r="K72" i="18"/>
  <c r="K214" i="18" s="1"/>
  <c r="L72" i="18"/>
  <c r="L214" i="18" s="1"/>
  <c r="M72" i="18"/>
  <c r="M214" i="18" s="1"/>
  <c r="N72" i="18"/>
  <c r="N214" i="18" s="1"/>
  <c r="P72" i="18"/>
  <c r="P214" i="18" s="1"/>
  <c r="R214" i="18" s="1"/>
  <c r="G86" i="18"/>
  <c r="H86" i="18"/>
  <c r="H208" i="18" s="1"/>
  <c r="I86" i="18"/>
  <c r="I208" i="18" s="1"/>
  <c r="J86" i="18"/>
  <c r="J208" i="18" s="1"/>
  <c r="K86" i="18"/>
  <c r="K208" i="18" s="1"/>
  <c r="L86" i="18"/>
  <c r="L208" i="18" s="1"/>
  <c r="M86" i="18"/>
  <c r="M208" i="18" s="1"/>
  <c r="N86" i="18"/>
  <c r="P86" i="18"/>
  <c r="G85" i="18"/>
  <c r="H85" i="18"/>
  <c r="I85" i="18"/>
  <c r="J85" i="18"/>
  <c r="K85" i="18"/>
  <c r="L85" i="18"/>
  <c r="M85" i="18"/>
  <c r="N85" i="18"/>
  <c r="P85" i="18"/>
  <c r="G83" i="18"/>
  <c r="H83" i="18"/>
  <c r="I83" i="18"/>
  <c r="J83" i="18"/>
  <c r="K83" i="18"/>
  <c r="L83" i="18"/>
  <c r="M83" i="18"/>
  <c r="N83" i="18"/>
  <c r="P83" i="18"/>
  <c r="G82" i="18"/>
  <c r="H82" i="18"/>
  <c r="I82" i="18"/>
  <c r="J82" i="18"/>
  <c r="K82" i="18"/>
  <c r="L82" i="18"/>
  <c r="M82" i="18"/>
  <c r="N82" i="18"/>
  <c r="P82" i="18"/>
  <c r="G76" i="18"/>
  <c r="H76" i="18"/>
  <c r="I76" i="18"/>
  <c r="J76" i="18"/>
  <c r="K76" i="18"/>
  <c r="L76" i="18"/>
  <c r="M76" i="18"/>
  <c r="N76" i="18"/>
  <c r="P76" i="18"/>
  <c r="G75" i="18"/>
  <c r="H75" i="18"/>
  <c r="H206" i="18" s="1"/>
  <c r="I75" i="18"/>
  <c r="I206" i="18" s="1"/>
  <c r="J75" i="18"/>
  <c r="J206" i="18" s="1"/>
  <c r="K75" i="18"/>
  <c r="K206" i="18" s="1"/>
  <c r="L75" i="18"/>
  <c r="L206" i="18" s="1"/>
  <c r="M75" i="18"/>
  <c r="M206" i="18" s="1"/>
  <c r="N75" i="18"/>
  <c r="P75" i="18"/>
  <c r="G74" i="18"/>
  <c r="H74" i="18"/>
  <c r="I74" i="18"/>
  <c r="J74" i="18"/>
  <c r="K74" i="18"/>
  <c r="L74" i="18"/>
  <c r="M74" i="18"/>
  <c r="N74" i="18"/>
  <c r="P74" i="18"/>
  <c r="T154" i="18"/>
  <c r="T162" i="18"/>
  <c r="T163" i="18" s="1"/>
  <c r="T114" i="18"/>
  <c r="T120" i="18" s="1"/>
  <c r="X125" i="18" l="1"/>
  <c r="X129" i="18"/>
  <c r="X147" i="18"/>
  <c r="X124" i="18"/>
  <c r="R170" i="18"/>
  <c r="T237" i="18" s="1"/>
  <c r="T236" i="18" s="1"/>
  <c r="T211" i="18"/>
  <c r="AB113" i="18"/>
  <c r="AB119" i="18" s="1"/>
  <c r="T134" i="18"/>
  <c r="S188" i="18"/>
  <c r="P230" i="18" s="1"/>
  <c r="X156" i="18"/>
  <c r="X166" i="18"/>
  <c r="X109" i="18"/>
  <c r="X157" i="18"/>
  <c r="X167" i="18"/>
  <c r="AA23" i="18"/>
  <c r="Z116" i="18"/>
  <c r="Z122" i="18" s="1"/>
  <c r="T107" i="18"/>
  <c r="T108" i="18"/>
  <c r="T160" i="18"/>
  <c r="T159" i="18"/>
  <c r="T115" i="18"/>
  <c r="T121" i="18" s="1"/>
  <c r="T155" i="18"/>
  <c r="H203" i="18"/>
  <c r="X137" i="18"/>
  <c r="X150" i="18"/>
  <c r="X149" i="18"/>
  <c r="X151" i="18"/>
  <c r="T136" i="18"/>
  <c r="X112" i="18"/>
  <c r="X118" i="18" s="1"/>
  <c r="X146" i="18"/>
  <c r="X145" i="18"/>
  <c r="T135" i="18"/>
  <c r="Y18" i="18"/>
  <c r="P203" i="18"/>
  <c r="K203" i="18"/>
  <c r="J203" i="18"/>
  <c r="M203" i="18"/>
  <c r="I203" i="18"/>
  <c r="Z20" i="18"/>
  <c r="Y90" i="18"/>
  <c r="H84" i="18"/>
  <c r="H207" i="18" s="1"/>
  <c r="Y27" i="18"/>
  <c r="U12" i="18"/>
  <c r="U15" i="18"/>
  <c r="U154" i="18" s="1"/>
  <c r="U13" i="18"/>
  <c r="U10" i="18"/>
  <c r="U16" i="18"/>
  <c r="U162" i="18" s="1"/>
  <c r="U163" i="18" s="1"/>
  <c r="U6" i="18"/>
  <c r="U7" i="18"/>
  <c r="Y25" i="18"/>
  <c r="Y129" i="18" s="1"/>
  <c r="X105" i="18"/>
  <c r="U55" i="18"/>
  <c r="U130" i="18" s="1"/>
  <c r="T106" i="18"/>
  <c r="AC51" i="18"/>
  <c r="L84" i="18"/>
  <c r="L207" i="18" s="1"/>
  <c r="K84" i="18"/>
  <c r="K207" i="18" s="1"/>
  <c r="J84" i="18"/>
  <c r="J207" i="18" s="1"/>
  <c r="AA21" i="18"/>
  <c r="U201" i="18"/>
  <c r="I84" i="18"/>
  <c r="I207" i="18" s="1"/>
  <c r="R74" i="18"/>
  <c r="G206" i="18"/>
  <c r="R75" i="18"/>
  <c r="R76" i="18"/>
  <c r="R83" i="18"/>
  <c r="R85" i="18"/>
  <c r="G203" i="18"/>
  <c r="R72" i="18"/>
  <c r="G208" i="18"/>
  <c r="R86" i="18"/>
  <c r="G84" i="18"/>
  <c r="R82" i="18"/>
  <c r="N206" i="18"/>
  <c r="N203" i="18"/>
  <c r="N208" i="18"/>
  <c r="P206" i="18"/>
  <c r="L203" i="18"/>
  <c r="N84" i="18"/>
  <c r="M84" i="18"/>
  <c r="M207" i="18" s="1"/>
  <c r="P208" i="18"/>
  <c r="P84" i="18"/>
  <c r="C6" i="12"/>
  <c r="C26" i="15"/>
  <c r="C58" i="15"/>
  <c r="C57" i="15"/>
  <c r="C54" i="15"/>
  <c r="C53" i="15"/>
  <c r="C50" i="15"/>
  <c r="C49" i="15"/>
  <c r="C45" i="15"/>
  <c r="U132" i="18" l="1"/>
  <c r="U131" i="18"/>
  <c r="Y124" i="18"/>
  <c r="Y125" i="18"/>
  <c r="U211" i="18"/>
  <c r="U220" i="18"/>
  <c r="U225" i="18"/>
  <c r="G216" i="18"/>
  <c r="G217" i="18" s="1"/>
  <c r="G215" i="18"/>
  <c r="M216" i="18"/>
  <c r="M217" i="18" s="1"/>
  <c r="M215" i="18"/>
  <c r="K216" i="18"/>
  <c r="K217" i="18" s="1"/>
  <c r="K215" i="18"/>
  <c r="N216" i="18"/>
  <c r="N217" i="18" s="1"/>
  <c r="N215" i="18"/>
  <c r="H216" i="18"/>
  <c r="H217" i="18" s="1"/>
  <c r="H215" i="18"/>
  <c r="I216" i="18"/>
  <c r="I217" i="18" s="1"/>
  <c r="I215" i="18"/>
  <c r="J216" i="18"/>
  <c r="J217" i="18" s="1"/>
  <c r="J215" i="18"/>
  <c r="P216" i="18"/>
  <c r="P217" i="18" s="1"/>
  <c r="P215" i="18"/>
  <c r="L216" i="18"/>
  <c r="L217" i="18" s="1"/>
  <c r="L215" i="18"/>
  <c r="Y109" i="18"/>
  <c r="Y147" i="18"/>
  <c r="U114" i="18"/>
  <c r="U120" i="18" s="1"/>
  <c r="U68" i="18"/>
  <c r="U110" i="18" s="1"/>
  <c r="U238" i="18"/>
  <c r="V238" i="18" s="1"/>
  <c r="W238" i="18" s="1"/>
  <c r="X238" i="18" s="1"/>
  <c r="Y238" i="18" s="1"/>
  <c r="Z238" i="18" s="1"/>
  <c r="AA238" i="18" s="1"/>
  <c r="AB238" i="18" s="1"/>
  <c r="AC238" i="18" s="1"/>
  <c r="AD238" i="18" s="1"/>
  <c r="AE238" i="18" s="1"/>
  <c r="AF238" i="18" s="1"/>
  <c r="AG238" i="18" s="1"/>
  <c r="AH238" i="18" s="1"/>
  <c r="AI238" i="18" s="1"/>
  <c r="AJ238" i="18" s="1"/>
  <c r="AK238" i="18" s="1"/>
  <c r="AL238" i="18" s="1"/>
  <c r="AM238" i="18" s="1"/>
  <c r="AN238" i="18" s="1"/>
  <c r="AO238" i="18" s="1"/>
  <c r="AP238" i="18" s="1"/>
  <c r="AQ238" i="18" s="1"/>
  <c r="AR238" i="18" s="1"/>
  <c r="AS238" i="18" s="1"/>
  <c r="AT238" i="18" s="1"/>
  <c r="U134" i="18"/>
  <c r="Y156" i="18"/>
  <c r="Y166" i="18"/>
  <c r="Y157" i="18"/>
  <c r="Y167" i="18"/>
  <c r="AF51" i="18"/>
  <c r="AC113" i="18"/>
  <c r="AB23" i="18"/>
  <c r="AA116" i="18"/>
  <c r="AA122" i="18" s="1"/>
  <c r="U160" i="18"/>
  <c r="U159" i="18"/>
  <c r="U115" i="18"/>
  <c r="U121" i="18" s="1"/>
  <c r="U155" i="18"/>
  <c r="U108" i="18"/>
  <c r="Y149" i="18"/>
  <c r="Y150" i="18"/>
  <c r="Y151" i="18"/>
  <c r="Y137" i="18"/>
  <c r="Y112" i="18"/>
  <c r="Y118" i="18" s="1"/>
  <c r="Y146" i="18"/>
  <c r="Y145" i="18"/>
  <c r="U135" i="18"/>
  <c r="U136" i="18"/>
  <c r="Z18" i="18"/>
  <c r="AA20" i="18"/>
  <c r="Z90" i="18"/>
  <c r="Z27" i="18"/>
  <c r="V15" i="18"/>
  <c r="V154" i="18" s="1"/>
  <c r="V13" i="18"/>
  <c r="V12" i="18"/>
  <c r="V16" i="18"/>
  <c r="V162" i="18" s="1"/>
  <c r="V163" i="18" s="1"/>
  <c r="V10" i="18"/>
  <c r="V7" i="18"/>
  <c r="V6" i="18"/>
  <c r="AD51" i="18"/>
  <c r="Z25" i="18"/>
  <c r="Z129" i="18" s="1"/>
  <c r="Y105" i="18"/>
  <c r="V55" i="18"/>
  <c r="V130" i="18" s="1"/>
  <c r="U107" i="18"/>
  <c r="U106" i="18"/>
  <c r="AB21" i="18"/>
  <c r="V201" i="18"/>
  <c r="R206" i="18"/>
  <c r="R203" i="18"/>
  <c r="R208" i="18"/>
  <c r="G207" i="18"/>
  <c r="R84" i="18"/>
  <c r="N207" i="18"/>
  <c r="P207" i="18"/>
  <c r="C16" i="15"/>
  <c r="C21" i="15"/>
  <c r="C10" i="15"/>
  <c r="R217" i="18" l="1"/>
  <c r="V131" i="18"/>
  <c r="V132" i="18"/>
  <c r="Z124" i="18"/>
  <c r="Z125" i="18"/>
  <c r="R215" i="18"/>
  <c r="U226" i="18"/>
  <c r="U227" i="18" s="1"/>
  <c r="U224" i="18"/>
  <c r="U221" i="18"/>
  <c r="U222" i="18" s="1"/>
  <c r="U219" i="18"/>
  <c r="V211" i="18"/>
  <c r="V225" i="18"/>
  <c r="V220" i="18"/>
  <c r="R216" i="18"/>
  <c r="Z109" i="18"/>
  <c r="Z147" i="18"/>
  <c r="V114" i="18"/>
  <c r="V120" i="18" s="1"/>
  <c r="V68" i="18"/>
  <c r="V110" i="18" s="1"/>
  <c r="U239" i="18"/>
  <c r="V239" i="18" s="1"/>
  <c r="W239" i="18" s="1"/>
  <c r="X239" i="18" s="1"/>
  <c r="Y239" i="18" s="1"/>
  <c r="Z239" i="18" s="1"/>
  <c r="AA239" i="18" s="1"/>
  <c r="AB239" i="18" s="1"/>
  <c r="AC239" i="18" s="1"/>
  <c r="AD239" i="18" s="1"/>
  <c r="AE239" i="18" s="1"/>
  <c r="AF239" i="18" s="1"/>
  <c r="AG239" i="18" s="1"/>
  <c r="AH239" i="18" s="1"/>
  <c r="AI239" i="18" s="1"/>
  <c r="AJ239" i="18" s="1"/>
  <c r="AK239" i="18" s="1"/>
  <c r="AL239" i="18" s="1"/>
  <c r="AM239" i="18" s="1"/>
  <c r="AN239" i="18" s="1"/>
  <c r="AO239" i="18" s="1"/>
  <c r="AP239" i="18" s="1"/>
  <c r="AQ239" i="18" s="1"/>
  <c r="AR239" i="18" s="1"/>
  <c r="AS239" i="18" s="1"/>
  <c r="AT239" i="18" s="1"/>
  <c r="AD113" i="18"/>
  <c r="AC119" i="18"/>
  <c r="AD119" i="18" s="1"/>
  <c r="U237" i="18"/>
  <c r="V237" i="18" s="1"/>
  <c r="W237" i="18" s="1"/>
  <c r="X237" i="18" s="1"/>
  <c r="Y237" i="18" s="1"/>
  <c r="Z237" i="18" s="1"/>
  <c r="AA237" i="18" s="1"/>
  <c r="AB237" i="18" s="1"/>
  <c r="AC237" i="18" s="1"/>
  <c r="AD237" i="18" s="1"/>
  <c r="V134" i="18"/>
  <c r="Z156" i="18"/>
  <c r="Z166" i="18"/>
  <c r="Z157" i="18"/>
  <c r="Z167" i="18"/>
  <c r="AC23" i="18"/>
  <c r="AB116" i="18"/>
  <c r="AB122" i="18" s="1"/>
  <c r="V115" i="18"/>
  <c r="V121" i="18" s="1"/>
  <c r="V155" i="18"/>
  <c r="V160" i="18"/>
  <c r="V159" i="18"/>
  <c r="V108" i="18"/>
  <c r="Z151" i="18"/>
  <c r="Z150" i="18"/>
  <c r="Z149" i="18"/>
  <c r="Z137" i="18"/>
  <c r="Z112" i="18"/>
  <c r="Z118" i="18" s="1"/>
  <c r="Z146" i="18"/>
  <c r="Z145" i="18"/>
  <c r="V135" i="18"/>
  <c r="V136" i="18"/>
  <c r="AA18" i="18"/>
  <c r="AB20" i="18"/>
  <c r="AA90" i="18"/>
  <c r="AA27" i="18"/>
  <c r="W13" i="18"/>
  <c r="W12" i="18"/>
  <c r="W15" i="18"/>
  <c r="W154" i="18" s="1"/>
  <c r="W10" i="18"/>
  <c r="W16" i="18"/>
  <c r="W162" i="18" s="1"/>
  <c r="W163" i="18" s="1"/>
  <c r="W6" i="18"/>
  <c r="W7" i="18"/>
  <c r="W55" i="18"/>
  <c r="W130" i="18" s="1"/>
  <c r="V107" i="18"/>
  <c r="V106" i="18"/>
  <c r="AA25" i="18"/>
  <c r="AA129" i="18" s="1"/>
  <c r="Z105" i="18"/>
  <c r="AC21" i="18"/>
  <c r="AF21" i="18" s="1"/>
  <c r="W201" i="18"/>
  <c r="R207" i="18"/>
  <c r="D31" i="8"/>
  <c r="D29" i="8"/>
  <c r="D28" i="8"/>
  <c r="D13" i="8"/>
  <c r="D30" i="8" s="1"/>
  <c r="E14" i="8"/>
  <c r="F14" i="8" s="1"/>
  <c r="G14" i="8" s="1"/>
  <c r="H14" i="8" s="1"/>
  <c r="I14" i="8" s="1"/>
  <c r="W132" i="18" l="1"/>
  <c r="W131" i="18"/>
  <c r="AA124" i="18"/>
  <c r="AA125" i="18"/>
  <c r="V221" i="18"/>
  <c r="V222" i="18" s="1"/>
  <c r="V219" i="18"/>
  <c r="V226" i="18"/>
  <c r="V227" i="18" s="1"/>
  <c r="V224" i="18"/>
  <c r="W211" i="18"/>
  <c r="W220" i="18"/>
  <c r="W225" i="18"/>
  <c r="AA109" i="18"/>
  <c r="AA147" i="18"/>
  <c r="W114" i="18"/>
  <c r="W120" i="18" s="1"/>
  <c r="W68" i="18"/>
  <c r="W110" i="18" s="1"/>
  <c r="U236" i="18"/>
  <c r="V236" i="18" s="1"/>
  <c r="W236" i="18" s="1"/>
  <c r="X236" i="18" s="1"/>
  <c r="Y236" i="18" s="1"/>
  <c r="Z236" i="18" s="1"/>
  <c r="AA236" i="18" s="1"/>
  <c r="AB236" i="18" s="1"/>
  <c r="AC236" i="18" s="1"/>
  <c r="AD236" i="18" s="1"/>
  <c r="AE237" i="18"/>
  <c r="AF237" i="18" s="1"/>
  <c r="AG237" i="18" s="1"/>
  <c r="AH237" i="18" s="1"/>
  <c r="AI237" i="18" s="1"/>
  <c r="AJ237" i="18" s="1"/>
  <c r="AK237" i="18" s="1"/>
  <c r="AL237" i="18" s="1"/>
  <c r="AM237" i="18" s="1"/>
  <c r="AN237" i="18" s="1"/>
  <c r="AO237" i="18" s="1"/>
  <c r="AP237" i="18" s="1"/>
  <c r="AQ237" i="18" s="1"/>
  <c r="AR237" i="18" s="1"/>
  <c r="AS237" i="18" s="1"/>
  <c r="AT237" i="18" s="1"/>
  <c r="W134" i="18"/>
  <c r="AA156" i="18"/>
  <c r="AA166" i="18"/>
  <c r="AA157" i="18"/>
  <c r="AA167" i="18"/>
  <c r="AF23" i="18"/>
  <c r="AC116" i="18"/>
  <c r="AD23" i="18"/>
  <c r="W108" i="18"/>
  <c r="W159" i="18"/>
  <c r="W160" i="18"/>
  <c r="W115" i="18"/>
  <c r="W121" i="18" s="1"/>
  <c r="W155" i="18"/>
  <c r="AA151" i="18"/>
  <c r="AA150" i="18"/>
  <c r="AA149" i="18"/>
  <c r="AA137" i="18"/>
  <c r="AA112" i="18"/>
  <c r="AA118" i="18" s="1"/>
  <c r="AA146" i="18"/>
  <c r="AA145" i="18"/>
  <c r="W136" i="18"/>
  <c r="W135" i="18"/>
  <c r="AB18" i="18"/>
  <c r="AC20" i="18"/>
  <c r="AB90" i="18"/>
  <c r="AB27" i="18"/>
  <c r="X12" i="18"/>
  <c r="X15" i="18"/>
  <c r="X154" i="18" s="1"/>
  <c r="X13" i="18"/>
  <c r="X16" i="18"/>
  <c r="X162" i="18" s="1"/>
  <c r="X163" i="18" s="1"/>
  <c r="X10" i="18"/>
  <c r="X7" i="18"/>
  <c r="X6" i="18"/>
  <c r="AB25" i="18"/>
  <c r="AA105" i="18"/>
  <c r="X55" i="18"/>
  <c r="X130" i="18" s="1"/>
  <c r="W106" i="18"/>
  <c r="W107" i="18"/>
  <c r="AD21" i="18"/>
  <c r="X20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B125" i="18" l="1"/>
  <c r="AB129" i="18"/>
  <c r="X132" i="18"/>
  <c r="X131" i="18"/>
  <c r="AB147" i="18"/>
  <c r="AB124" i="18"/>
  <c r="W226" i="18"/>
  <c r="W227" i="18" s="1"/>
  <c r="W224" i="18"/>
  <c r="W221" i="18"/>
  <c r="W222" i="18" s="1"/>
  <c r="W219" i="18"/>
  <c r="X211" i="18"/>
  <c r="X225" i="18"/>
  <c r="X220" i="18"/>
  <c r="X114" i="18"/>
  <c r="X120" i="18" s="1"/>
  <c r="X68" i="18"/>
  <c r="X110" i="18" s="1"/>
  <c r="AE236" i="18"/>
  <c r="AF236" i="18" s="1"/>
  <c r="AG236" i="18" s="1"/>
  <c r="AH236" i="18" s="1"/>
  <c r="AI236" i="18" s="1"/>
  <c r="AJ236" i="18" s="1"/>
  <c r="AK236" i="18" s="1"/>
  <c r="AL236" i="18" s="1"/>
  <c r="AM236" i="18" s="1"/>
  <c r="AN236" i="18" s="1"/>
  <c r="AO236" i="18" s="1"/>
  <c r="AP236" i="18" s="1"/>
  <c r="AQ236" i="18" s="1"/>
  <c r="AR236" i="18" s="1"/>
  <c r="AS236" i="18" s="1"/>
  <c r="AT236" i="18" s="1"/>
  <c r="AD116" i="18"/>
  <c r="AC122" i="18"/>
  <c r="AD122" i="18" s="1"/>
  <c r="X134" i="18"/>
  <c r="AB156" i="18"/>
  <c r="AB166" i="18"/>
  <c r="AB157" i="18"/>
  <c r="AB167" i="18"/>
  <c r="AF20" i="18"/>
  <c r="AB109" i="18"/>
  <c r="X160" i="18"/>
  <c r="X159" i="18"/>
  <c r="X115" i="18"/>
  <c r="X121" i="18" s="1"/>
  <c r="X155" i="18"/>
  <c r="X108" i="18"/>
  <c r="AB150" i="18"/>
  <c r="AB149" i="18"/>
  <c r="AB151" i="18"/>
  <c r="AB137" i="18"/>
  <c r="AB112" i="18"/>
  <c r="AB118" i="18" s="1"/>
  <c r="AB146" i="18"/>
  <c r="AB145" i="18"/>
  <c r="X136" i="18"/>
  <c r="X135" i="18"/>
  <c r="AC18" i="18"/>
  <c r="AD20" i="18"/>
  <c r="AC90" i="18"/>
  <c r="AC27" i="18"/>
  <c r="AC167" i="18" s="1"/>
  <c r="AD167" i="18" s="1"/>
  <c r="Y15" i="18"/>
  <c r="Y154" i="18" s="1"/>
  <c r="Y13" i="18"/>
  <c r="Y12" i="18"/>
  <c r="Y10" i="18"/>
  <c r="Y16" i="18"/>
  <c r="Y162" i="18" s="1"/>
  <c r="Y163" i="18" s="1"/>
  <c r="Y6" i="18"/>
  <c r="Y7" i="18"/>
  <c r="Y55" i="18"/>
  <c r="Y130" i="18" s="1"/>
  <c r="X107" i="18"/>
  <c r="X106" i="18"/>
  <c r="AC25" i="18"/>
  <c r="AC129" i="18" s="1"/>
  <c r="AD129" i="18" s="1"/>
  <c r="AB105" i="18"/>
  <c r="Y20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132" i="18" l="1"/>
  <c r="Y131" i="18"/>
  <c r="AC124" i="18"/>
  <c r="AD124" i="18" s="1"/>
  <c r="AC125" i="18"/>
  <c r="AD125" i="18" s="1"/>
  <c r="X221" i="18"/>
  <c r="X222" i="18" s="1"/>
  <c r="X219" i="18"/>
  <c r="X226" i="18"/>
  <c r="X227" i="18" s="1"/>
  <c r="X224" i="18"/>
  <c r="Y211" i="18"/>
  <c r="Y225" i="18"/>
  <c r="Y220" i="18"/>
  <c r="AC109" i="18"/>
  <c r="AD109" i="18" s="1"/>
  <c r="AC147" i="18"/>
  <c r="AD147" i="18" s="1"/>
  <c r="Y114" i="18"/>
  <c r="Y120" i="18" s="1"/>
  <c r="Y68" i="18"/>
  <c r="Y110" i="18" s="1"/>
  <c r="Y134" i="18"/>
  <c r="AC156" i="18"/>
  <c r="AD156" i="18" s="1"/>
  <c r="AC166" i="18"/>
  <c r="AD166" i="18" s="1"/>
  <c r="Y115" i="18"/>
  <c r="Y121" i="18" s="1"/>
  <c r="Y155" i="18"/>
  <c r="Y160" i="18"/>
  <c r="Y159" i="18"/>
  <c r="AF27" i="18"/>
  <c r="AC157" i="18"/>
  <c r="AD157" i="18" s="1"/>
  <c r="Y108" i="18"/>
  <c r="AC149" i="18"/>
  <c r="AD149" i="18" s="1"/>
  <c r="AC151" i="18"/>
  <c r="AD151" i="18" s="1"/>
  <c r="AC150" i="18"/>
  <c r="AD15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37" i="18"/>
  <c r="AD137" i="18" s="1"/>
  <c r="AC112" i="18"/>
  <c r="AC146" i="18"/>
  <c r="AD146" i="18" s="1"/>
  <c r="AC145" i="18"/>
  <c r="AD145" i="18" s="1"/>
  <c r="Y136" i="18"/>
  <c r="Y135" i="18"/>
  <c r="AF25" i="18"/>
  <c r="AF18" i="18"/>
  <c r="AD18" i="18"/>
  <c r="T190" i="18"/>
  <c r="AF90" i="18"/>
  <c r="AD9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D27" i="18"/>
  <c r="Z12" i="18"/>
  <c r="Z15" i="18"/>
  <c r="Z154" i="18" s="1"/>
  <c r="Z13" i="18"/>
  <c r="Z10" i="18"/>
  <c r="Z16" i="18"/>
  <c r="Z162" i="18" s="1"/>
  <c r="Z163" i="18" s="1"/>
  <c r="Z7" i="18"/>
  <c r="Z6" i="18"/>
  <c r="AD25" i="18"/>
  <c r="AC105" i="18"/>
  <c r="AD105" i="18" s="1"/>
  <c r="Z55" i="18"/>
  <c r="Z130" i="18" s="1"/>
  <c r="Y107" i="18"/>
  <c r="Y106" i="18"/>
  <c r="O31" i="9"/>
  <c r="O32" i="9" s="1"/>
  <c r="Z201" i="18"/>
  <c r="P31" i="11"/>
  <c r="N32" i="11"/>
  <c r="T19" i="9"/>
  <c r="D22" i="9"/>
  <c r="Z131" i="18" l="1"/>
  <c r="Z132" i="18"/>
  <c r="Y221" i="18"/>
  <c r="Y222" i="18" s="1"/>
  <c r="Y219" i="18"/>
  <c r="Y226" i="18"/>
  <c r="Y227" i="18" s="1"/>
  <c r="Y224" i="18"/>
  <c r="Z211" i="18"/>
  <c r="Z220" i="18"/>
  <c r="Z225" i="18"/>
  <c r="Z114" i="18"/>
  <c r="Z120" i="18" s="1"/>
  <c r="Z68" i="18"/>
  <c r="Z110" i="18" s="1"/>
  <c r="AD112" i="18"/>
  <c r="AC118" i="18"/>
  <c r="AD118" i="18" s="1"/>
  <c r="Z134" i="18"/>
  <c r="Z160" i="18"/>
  <c r="Z159" i="18"/>
  <c r="Z115" i="18"/>
  <c r="Z121" i="18" s="1"/>
  <c r="Z155" i="18"/>
  <c r="Z108" i="18"/>
  <c r="Z135" i="18"/>
  <c r="Z136" i="18"/>
  <c r="U190" i="18"/>
  <c r="S190" i="18" s="1"/>
  <c r="AA13" i="18"/>
  <c r="AA12" i="18"/>
  <c r="AA15" i="18"/>
  <c r="AA154" i="18" s="1"/>
  <c r="AA10" i="18"/>
  <c r="AA16" i="18"/>
  <c r="AA162" i="18" s="1"/>
  <c r="AA163" i="18" s="1"/>
  <c r="AA6" i="18"/>
  <c r="AA7" i="18"/>
  <c r="AA55" i="18"/>
  <c r="AA130" i="18" s="1"/>
  <c r="Z107" i="18"/>
  <c r="Z106" i="18"/>
  <c r="AA20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132" i="18" l="1"/>
  <c r="AA131" i="18"/>
  <c r="Z226" i="18"/>
  <c r="Z227" i="18" s="1"/>
  <c r="Z224" i="18"/>
  <c r="Z221" i="18"/>
  <c r="Z222" i="18" s="1"/>
  <c r="Z219" i="18"/>
  <c r="AA211" i="18"/>
  <c r="AA225" i="18"/>
  <c r="AA220" i="18"/>
  <c r="AA114" i="18"/>
  <c r="AA120" i="18" s="1"/>
  <c r="AA68" i="18"/>
  <c r="AA110" i="18" s="1"/>
  <c r="AA134" i="18"/>
  <c r="AA115" i="18"/>
  <c r="AA121" i="18" s="1"/>
  <c r="AA155" i="18"/>
  <c r="AA159" i="18"/>
  <c r="AA160" i="18"/>
  <c r="AA108" i="18"/>
  <c r="AA135" i="18"/>
  <c r="AA136" i="18"/>
  <c r="AB12" i="18"/>
  <c r="AB15" i="18"/>
  <c r="AB154" i="18" s="1"/>
  <c r="AB13" i="18"/>
  <c r="AB10" i="18"/>
  <c r="AB16" i="18"/>
  <c r="AB162" i="18" s="1"/>
  <c r="AB163" i="18" s="1"/>
  <c r="AB7" i="18"/>
  <c r="AB6" i="18"/>
  <c r="AB55" i="18"/>
  <c r="AB130" i="18" s="1"/>
  <c r="AA106" i="18"/>
  <c r="AA107" i="18"/>
  <c r="AB201" i="18"/>
  <c r="N34" i="11"/>
  <c r="O33" i="11"/>
  <c r="D25" i="8"/>
  <c r="D23" i="8"/>
  <c r="AB132" i="18" l="1"/>
  <c r="AB131" i="18"/>
  <c r="AA221" i="18"/>
  <c r="AA222" i="18" s="1"/>
  <c r="AA219" i="18"/>
  <c r="AA226" i="18"/>
  <c r="AA227" i="18" s="1"/>
  <c r="AA224" i="18"/>
  <c r="AB211" i="18"/>
  <c r="AB225" i="18"/>
  <c r="AB220" i="18"/>
  <c r="AB114" i="18"/>
  <c r="AB120" i="18" s="1"/>
  <c r="AB68" i="18"/>
  <c r="AB110" i="18" s="1"/>
  <c r="AB134" i="18"/>
  <c r="AB108" i="18"/>
  <c r="AB159" i="18"/>
  <c r="AB160" i="18"/>
  <c r="AB115" i="18"/>
  <c r="AB121" i="18" s="1"/>
  <c r="AB155" i="18"/>
  <c r="AB135" i="18"/>
  <c r="AB136" i="18"/>
  <c r="AC15" i="18"/>
  <c r="AC13" i="18"/>
  <c r="AF13" i="18" s="1"/>
  <c r="AC12" i="18"/>
  <c r="AC155" i="18" s="1"/>
  <c r="AD155" i="18" s="1"/>
  <c r="AC10" i="18"/>
  <c r="AC16" i="18"/>
  <c r="AC6" i="18"/>
  <c r="AF6" i="18" s="1"/>
  <c r="AC7" i="18"/>
  <c r="AF7" i="18" s="1"/>
  <c r="AC55" i="18"/>
  <c r="AC130" i="18" s="1"/>
  <c r="AD130" i="18" s="1"/>
  <c r="AB107" i="18"/>
  <c r="AB106" i="18"/>
  <c r="AC201" i="18"/>
  <c r="N35" i="11"/>
  <c r="O34" i="11"/>
  <c r="D35" i="8"/>
  <c r="E5" i="8"/>
  <c r="E18" i="8" s="1"/>
  <c r="D18" i="8"/>
  <c r="D19" i="8"/>
  <c r="D21" i="8"/>
  <c r="D20" i="8"/>
  <c r="AC132" i="18" l="1"/>
  <c r="AD132" i="18" s="1"/>
  <c r="AC131" i="18"/>
  <c r="AD131" i="18" s="1"/>
  <c r="AB221" i="18"/>
  <c r="AB222" i="18" s="1"/>
  <c r="AB219" i="18"/>
  <c r="AB226" i="18"/>
  <c r="AB227" i="18" s="1"/>
  <c r="AB224" i="18"/>
  <c r="AC211" i="18"/>
  <c r="AD211" i="18" s="1"/>
  <c r="AF211" i="18" s="1"/>
  <c r="AF227" i="18" s="1"/>
  <c r="AC225" i="18"/>
  <c r="AC224" i="18" s="1"/>
  <c r="AD224" i="18" s="1"/>
  <c r="AC220" i="18"/>
  <c r="AC219" i="18" s="1"/>
  <c r="AD219" i="18" s="1"/>
  <c r="AC114" i="18"/>
  <c r="AC120" i="18" s="1"/>
  <c r="AD120" i="18" s="1"/>
  <c r="AC68" i="18"/>
  <c r="AC134" i="18"/>
  <c r="AD134" i="18" s="1"/>
  <c r="AF16" i="18"/>
  <c r="AC162" i="18"/>
  <c r="AC160" i="18"/>
  <c r="AD160" i="18" s="1"/>
  <c r="AC159" i="18"/>
  <c r="AD159" i="18" s="1"/>
  <c r="AF15" i="18"/>
  <c r="AC154" i="18"/>
  <c r="AD154" i="18" s="1"/>
  <c r="AC108" i="18"/>
  <c r="AD108" i="18" s="1"/>
  <c r="AF10" i="18"/>
  <c r="AF12" i="18"/>
  <c r="AC115" i="18"/>
  <c r="AF55" i="18"/>
  <c r="AC135" i="18"/>
  <c r="AD135" i="18" s="1"/>
  <c r="AC136" i="18"/>
  <c r="AD136" i="18" s="1"/>
  <c r="AD15" i="18"/>
  <c r="AD13" i="18"/>
  <c r="T184" i="18"/>
  <c r="AD12" i="18"/>
  <c r="AD10" i="18"/>
  <c r="AD16" i="18"/>
  <c r="AD7" i="18"/>
  <c r="AD6" i="18"/>
  <c r="AC107" i="18"/>
  <c r="AD107" i="18" s="1"/>
  <c r="AC106" i="18"/>
  <c r="AD106" i="18" s="1"/>
  <c r="AD55" i="18"/>
  <c r="AD201" i="18"/>
  <c r="AF201" i="18" s="1"/>
  <c r="N36" i="11"/>
  <c r="O35" i="11"/>
  <c r="F5" i="8"/>
  <c r="G5" i="8" s="1"/>
  <c r="H5" i="8" s="1"/>
  <c r="I5" i="8" s="1"/>
  <c r="AC221" i="18" l="1"/>
  <c r="AD220" i="18"/>
  <c r="AD225" i="18"/>
  <c r="AC226" i="18"/>
  <c r="AD68" i="18"/>
  <c r="AF68" i="18"/>
  <c r="AD114" i="18"/>
  <c r="AC110" i="18"/>
  <c r="AD110" i="18" s="1"/>
  <c r="AD115" i="18"/>
  <c r="AC121" i="18"/>
  <c r="AD121" i="18" s="1"/>
  <c r="AD162" i="18"/>
  <c r="AC163" i="18"/>
  <c r="AD163" i="18" s="1"/>
  <c r="U184" i="18"/>
  <c r="U185" i="18" s="1"/>
  <c r="T185" i="18"/>
  <c r="Q233" i="18" s="1"/>
  <c r="N37" i="11"/>
  <c r="O36" i="11"/>
  <c r="F18" i="8"/>
  <c r="G18" i="8"/>
  <c r="AD221" i="18" l="1"/>
  <c r="AC222" i="18"/>
  <c r="AD222" i="18" s="1"/>
  <c r="AC227" i="18"/>
  <c r="AD227" i="18" s="1"/>
  <c r="AD226" i="18"/>
  <c r="S184" i="18"/>
  <c r="S185" i="18"/>
  <c r="N38" i="11"/>
  <c r="O37" i="11"/>
  <c r="H18" i="8"/>
  <c r="M233" i="18" l="1"/>
  <c r="P233" i="18"/>
  <c r="N39" i="11"/>
  <c r="O38" i="11"/>
  <c r="I18" i="8"/>
  <c r="N40" i="11" l="1"/>
  <c r="O39" i="11"/>
  <c r="N41" i="11" l="1"/>
  <c r="O40" i="11"/>
  <c r="N42" i="11" l="1"/>
  <c r="O41" i="11"/>
  <c r="T212" i="18"/>
  <c r="T93" i="18"/>
  <c r="T74" i="18"/>
  <c r="T79" i="18"/>
  <c r="T100" i="18"/>
  <c r="T102" i="18"/>
  <c r="T95" i="18"/>
  <c r="T92" i="18"/>
  <c r="T78" i="18"/>
  <c r="T73" i="18"/>
  <c r="T67" i="18"/>
  <c r="T85" i="18"/>
  <c r="T99" i="18"/>
  <c r="T83" i="18"/>
  <c r="T76" i="18"/>
  <c r="T94" i="18"/>
  <c r="T96" i="18"/>
  <c r="T80" i="18"/>
  <c r="T209" i="18" s="1"/>
  <c r="T66" i="18"/>
  <c r="T202" i="18" s="1"/>
  <c r="T71" i="18"/>
  <c r="T205" i="18" s="1"/>
  <c r="T86" i="18"/>
  <c r="T208" i="18" s="1"/>
  <c r="T98" i="18"/>
  <c r="T164" i="18" s="1"/>
  <c r="T70" i="18"/>
  <c r="T204" i="18" s="1"/>
  <c r="T82" i="18"/>
  <c r="T139" i="18"/>
  <c r="T140" i="18" s="1"/>
  <c r="T72" i="18"/>
  <c r="T214" i="18" s="1"/>
  <c r="T75" i="18"/>
  <c r="T206" i="18" s="1"/>
  <c r="U57" i="18"/>
  <c r="T84" i="18" l="1"/>
  <c r="T207" i="18" s="1"/>
  <c r="U76" i="18"/>
  <c r="U99" i="18"/>
  <c r="U83" i="18"/>
  <c r="U95" i="18"/>
  <c r="U79" i="18"/>
  <c r="U78" i="18"/>
  <c r="U212" i="18"/>
  <c r="U94" i="18"/>
  <c r="U74" i="18"/>
  <c r="U98" i="18"/>
  <c r="U164" i="18" s="1"/>
  <c r="U86" i="18"/>
  <c r="U208" i="18" s="1"/>
  <c r="U70" i="18"/>
  <c r="U204" i="18" s="1"/>
  <c r="U139" i="18"/>
  <c r="U140" i="18" s="1"/>
  <c r="U92" i="18"/>
  <c r="U73" i="18"/>
  <c r="U102" i="18"/>
  <c r="U85" i="18"/>
  <c r="U100" i="18"/>
  <c r="U93" i="18"/>
  <c r="U96" i="18"/>
  <c r="U67" i="18"/>
  <c r="U75" i="18"/>
  <c r="U206" i="18" s="1"/>
  <c r="U66" i="18"/>
  <c r="U202" i="18" s="1"/>
  <c r="U80" i="18"/>
  <c r="U209" i="18" s="1"/>
  <c r="U71" i="18"/>
  <c r="U205" i="18" s="1"/>
  <c r="U72" i="18"/>
  <c r="U214" i="18" s="1"/>
  <c r="V57" i="18"/>
  <c r="U82" i="18"/>
  <c r="T141" i="18"/>
  <c r="T142" i="18" s="1"/>
  <c r="T143" i="18"/>
  <c r="T203" i="18"/>
  <c r="U84" i="18" l="1"/>
  <c r="U207" i="18" s="1"/>
  <c r="T216" i="18"/>
  <c r="T217" i="18" s="1"/>
  <c r="T215" i="18"/>
  <c r="V93" i="18"/>
  <c r="V70" i="18"/>
  <c r="V204" i="18" s="1"/>
  <c r="V94" i="18"/>
  <c r="V95" i="18"/>
  <c r="V99" i="18"/>
  <c r="V79" i="18"/>
  <c r="V76" i="18"/>
  <c r="V102" i="18"/>
  <c r="V85" i="18"/>
  <c r="V83" i="18"/>
  <c r="V66" i="18"/>
  <c r="V202" i="18" s="1"/>
  <c r="V75" i="18"/>
  <c r="V206" i="18" s="1"/>
  <c r="V71" i="18"/>
  <c r="V205" i="18" s="1"/>
  <c r="V74" i="18"/>
  <c r="V73" i="18"/>
  <c r="V92" i="18"/>
  <c r="V96" i="18"/>
  <c r="V67" i="18"/>
  <c r="V80" i="18"/>
  <c r="V209" i="18" s="1"/>
  <c r="V100" i="18"/>
  <c r="V78" i="18"/>
  <c r="V212" i="18"/>
  <c r="V98" i="18"/>
  <c r="V164" i="18" s="1"/>
  <c r="V86" i="18"/>
  <c r="V208" i="18" s="1"/>
  <c r="V82" i="18"/>
  <c r="V139" i="18"/>
  <c r="V140" i="18" s="1"/>
  <c r="V72" i="18"/>
  <c r="V214" i="18" s="1"/>
  <c r="W57" i="18"/>
  <c r="U203" i="18"/>
  <c r="U143" i="18"/>
  <c r="U141" i="18"/>
  <c r="U142" i="18" s="1"/>
  <c r="U216" i="18" l="1"/>
  <c r="U217" i="18" s="1"/>
  <c r="U215" i="18"/>
  <c r="W93" i="18"/>
  <c r="W212" i="18"/>
  <c r="W67" i="18"/>
  <c r="W94" i="18"/>
  <c r="W79" i="18"/>
  <c r="W74" i="18"/>
  <c r="W78" i="18"/>
  <c r="W92" i="18"/>
  <c r="W98" i="18"/>
  <c r="W164" i="18" s="1"/>
  <c r="W70" i="18"/>
  <c r="W204" i="18" s="1"/>
  <c r="W71" i="18"/>
  <c r="W205" i="18" s="1"/>
  <c r="W86" i="18"/>
  <c r="W208" i="18" s="1"/>
  <c r="W102" i="18"/>
  <c r="W73" i="18"/>
  <c r="W96" i="18"/>
  <c r="W100" i="18"/>
  <c r="W99" i="18"/>
  <c r="W76" i="18"/>
  <c r="W95" i="18"/>
  <c r="W85" i="18"/>
  <c r="W83" i="18"/>
  <c r="W80" i="18"/>
  <c r="W209" i="18" s="1"/>
  <c r="W66" i="18"/>
  <c r="W202" i="18" s="1"/>
  <c r="W139" i="18"/>
  <c r="W140" i="18" s="1"/>
  <c r="W72" i="18"/>
  <c r="W214" i="18" s="1"/>
  <c r="W75" i="18"/>
  <c r="W206" i="18" s="1"/>
  <c r="X57" i="18"/>
  <c r="W82" i="18"/>
  <c r="V203" i="18"/>
  <c r="V141" i="18"/>
  <c r="V142" i="18" s="1"/>
  <c r="V143" i="18"/>
  <c r="V84" i="18"/>
  <c r="V207" i="18" s="1"/>
  <c r="V216" i="18" l="1"/>
  <c r="V217" i="18" s="1"/>
  <c r="V215" i="18"/>
  <c r="W203" i="18"/>
  <c r="W84" i="18"/>
  <c r="W207" i="18" s="1"/>
  <c r="W143" i="18"/>
  <c r="W141" i="18"/>
  <c r="W142" i="18" s="1"/>
  <c r="X73" i="18"/>
  <c r="X94" i="18"/>
  <c r="X83" i="18"/>
  <c r="X93" i="18"/>
  <c r="X92" i="18"/>
  <c r="X78" i="18"/>
  <c r="X67" i="18"/>
  <c r="X76" i="18"/>
  <c r="X75" i="18"/>
  <c r="X206" i="18" s="1"/>
  <c r="X66" i="18"/>
  <c r="X202" i="18" s="1"/>
  <c r="X98" i="18"/>
  <c r="X164" i="18" s="1"/>
  <c r="X212" i="18"/>
  <c r="X96" i="18"/>
  <c r="X74" i="18"/>
  <c r="X102" i="18"/>
  <c r="X95" i="18"/>
  <c r="X79" i="18"/>
  <c r="X85" i="18"/>
  <c r="X99" i="18"/>
  <c r="X100" i="18"/>
  <c r="X70" i="18"/>
  <c r="X204" i="18" s="1"/>
  <c r="X71" i="18"/>
  <c r="X205" i="18" s="1"/>
  <c r="X86" i="18"/>
  <c r="X208" i="18" s="1"/>
  <c r="X80" i="18"/>
  <c r="X209" i="18" s="1"/>
  <c r="X82" i="18"/>
  <c r="X72" i="18"/>
  <c r="X214" i="18" s="1"/>
  <c r="X139" i="18"/>
  <c r="X140" i="18" s="1"/>
  <c r="Y57" i="18"/>
  <c r="X84" i="18" l="1"/>
  <c r="X207" i="18" s="1"/>
  <c r="W216" i="18"/>
  <c r="W217" i="18" s="1"/>
  <c r="W215" i="18"/>
  <c r="Y73" i="18"/>
  <c r="Y76" i="18"/>
  <c r="Y78" i="18"/>
  <c r="Y67" i="18"/>
  <c r="Y80" i="18"/>
  <c r="Y209" i="18" s="1"/>
  <c r="Y92" i="18"/>
  <c r="Y85" i="18"/>
  <c r="Y93" i="18"/>
  <c r="Y83" i="18"/>
  <c r="Y71" i="18"/>
  <c r="Y205" i="18" s="1"/>
  <c r="Y66" i="18"/>
  <c r="Y202" i="18" s="1"/>
  <c r="Y75" i="18"/>
  <c r="Y206" i="18" s="1"/>
  <c r="Y95" i="18"/>
  <c r="Y94" i="18"/>
  <c r="Y74" i="18"/>
  <c r="Y100" i="18"/>
  <c r="Y86" i="18"/>
  <c r="Y208" i="18" s="1"/>
  <c r="Y102" i="18"/>
  <c r="Y212" i="18"/>
  <c r="Y99" i="18"/>
  <c r="Y96" i="18"/>
  <c r="Y79" i="18"/>
  <c r="Y98" i="18"/>
  <c r="Y164" i="18" s="1"/>
  <c r="Y70" i="18"/>
  <c r="Y204" i="18" s="1"/>
  <c r="Z57" i="18"/>
  <c r="Y139" i="18"/>
  <c r="Y140" i="18" s="1"/>
  <c r="Y82" i="18"/>
  <c r="Y72" i="18"/>
  <c r="Y214" i="18" s="1"/>
  <c r="X141" i="18"/>
  <c r="X142" i="18" s="1"/>
  <c r="X143" i="18"/>
  <c r="X203" i="18"/>
  <c r="X216" i="18" l="1"/>
  <c r="X217" i="18" s="1"/>
  <c r="X215" i="18"/>
  <c r="Y84" i="18"/>
  <c r="Y207" i="18" s="1"/>
  <c r="Z92" i="18"/>
  <c r="Z79" i="18"/>
  <c r="Z212" i="18"/>
  <c r="Z78" i="18"/>
  <c r="Z80" i="18"/>
  <c r="Z209" i="18" s="1"/>
  <c r="Z95" i="18"/>
  <c r="Z67" i="18"/>
  <c r="Z83" i="18"/>
  <c r="Z100" i="18"/>
  <c r="Z98" i="18"/>
  <c r="Z164" i="18" s="1"/>
  <c r="Z66" i="18"/>
  <c r="Z202" i="18" s="1"/>
  <c r="Z99" i="18"/>
  <c r="Z74" i="18"/>
  <c r="Z76" i="18"/>
  <c r="Z96" i="18"/>
  <c r="Z86" i="18"/>
  <c r="Z208" i="18" s="1"/>
  <c r="Z73" i="18"/>
  <c r="Z102" i="18"/>
  <c r="Z94" i="18"/>
  <c r="Z93" i="18"/>
  <c r="Z85" i="18"/>
  <c r="Z70" i="18"/>
  <c r="Z204" i="18" s="1"/>
  <c r="Z71" i="18"/>
  <c r="Z205" i="18" s="1"/>
  <c r="Z75" i="18"/>
  <c r="Z206" i="18" s="1"/>
  <c r="Z139" i="18"/>
  <c r="Z140" i="18" s="1"/>
  <c r="Z72" i="18"/>
  <c r="Z214" i="18" s="1"/>
  <c r="Z82" i="18"/>
  <c r="AA57" i="18"/>
  <c r="Y203" i="18"/>
  <c r="Y141" i="18"/>
  <c r="Y142" i="18" s="1"/>
  <c r="Y143" i="18"/>
  <c r="Y216" i="18" l="1"/>
  <c r="Y217" i="18" s="1"/>
  <c r="Y215" i="18"/>
  <c r="Z84" i="18"/>
  <c r="Z207" i="18" s="1"/>
  <c r="Z143" i="18"/>
  <c r="Z141" i="18"/>
  <c r="Z142" i="18" s="1"/>
  <c r="AA92" i="18"/>
  <c r="AA94" i="18"/>
  <c r="AA76" i="18"/>
  <c r="AA96" i="18"/>
  <c r="AA66" i="18"/>
  <c r="AA202" i="18" s="1"/>
  <c r="AA74" i="18"/>
  <c r="AA83" i="18"/>
  <c r="AA100" i="18"/>
  <c r="AA95" i="18"/>
  <c r="AA70" i="18"/>
  <c r="AA204" i="18" s="1"/>
  <c r="AA80" i="18"/>
  <c r="AA209" i="18" s="1"/>
  <c r="AA85" i="18"/>
  <c r="AA79" i="18"/>
  <c r="AA212" i="18"/>
  <c r="AA99" i="18"/>
  <c r="AA102" i="18"/>
  <c r="AA93" i="18"/>
  <c r="AA67" i="18"/>
  <c r="AA73" i="18"/>
  <c r="AA78" i="18"/>
  <c r="AA71" i="18"/>
  <c r="AA205" i="18" s="1"/>
  <c r="AA86" i="18"/>
  <c r="AA208" i="18" s="1"/>
  <c r="AA98" i="18"/>
  <c r="AA164" i="18" s="1"/>
  <c r="AA75" i="18"/>
  <c r="AA206" i="18" s="1"/>
  <c r="AA139" i="18"/>
  <c r="AA140" i="18" s="1"/>
  <c r="AA82" i="18"/>
  <c r="AA72" i="18"/>
  <c r="AA214" i="18" s="1"/>
  <c r="AB57" i="18"/>
  <c r="Z203" i="18"/>
  <c r="Z216" i="18" l="1"/>
  <c r="Z217" i="18" s="1"/>
  <c r="Z215" i="18"/>
  <c r="AA203" i="18"/>
  <c r="AA84" i="18"/>
  <c r="AA207" i="18" s="1"/>
  <c r="AA141" i="18"/>
  <c r="AA142" i="18" s="1"/>
  <c r="AA143" i="18"/>
  <c r="AB79" i="18"/>
  <c r="AB92" i="18"/>
  <c r="AB83" i="18"/>
  <c r="AB73" i="18"/>
  <c r="AB98" i="18"/>
  <c r="AB164" i="18" s="1"/>
  <c r="AB100" i="18"/>
  <c r="AB93" i="18"/>
  <c r="AB99" i="18"/>
  <c r="AB76" i="18"/>
  <c r="AB66" i="18"/>
  <c r="AB202" i="18" s="1"/>
  <c r="AB86" i="18"/>
  <c r="AB208" i="18" s="1"/>
  <c r="AB96" i="18"/>
  <c r="AB71" i="18"/>
  <c r="AB205" i="18" s="1"/>
  <c r="AB102" i="18"/>
  <c r="AB94" i="18"/>
  <c r="AB95" i="18"/>
  <c r="AB85" i="18"/>
  <c r="AB78" i="18"/>
  <c r="AB67" i="18"/>
  <c r="AB212" i="18"/>
  <c r="AB74" i="18"/>
  <c r="AB70" i="18"/>
  <c r="AB204" i="18" s="1"/>
  <c r="AB80" i="18"/>
  <c r="AB209" i="18" s="1"/>
  <c r="AB75" i="18"/>
  <c r="AB206" i="18" s="1"/>
  <c r="AB139" i="18"/>
  <c r="AB140" i="18" s="1"/>
  <c r="AB72" i="18"/>
  <c r="AB214" i="18" s="1"/>
  <c r="AC57" i="18"/>
  <c r="AB82" i="18"/>
  <c r="AA216" i="18" l="1"/>
  <c r="AA217" i="18" s="1"/>
  <c r="AA215" i="18"/>
  <c r="AB84" i="18"/>
  <c r="AB207" i="18" s="1"/>
  <c r="AB203" i="18"/>
  <c r="AC212" i="18"/>
  <c r="AC99" i="18"/>
  <c r="AC100" i="18"/>
  <c r="AC67" i="18"/>
  <c r="AD57" i="18"/>
  <c r="AC73" i="18"/>
  <c r="AF57" i="18"/>
  <c r="AC102" i="18"/>
  <c r="AC98" i="18"/>
  <c r="AC70" i="18"/>
  <c r="AC66" i="18"/>
  <c r="AC71" i="18"/>
  <c r="AC75" i="18"/>
  <c r="AC85" i="18"/>
  <c r="AC72" i="18"/>
  <c r="AC214" i="18" s="1"/>
  <c r="AC86" i="18"/>
  <c r="AC93" i="18"/>
  <c r="AC95" i="18"/>
  <c r="AC80" i="18"/>
  <c r="AC82" i="18"/>
  <c r="AC78" i="18"/>
  <c r="AC83" i="18"/>
  <c r="AC94" i="18"/>
  <c r="AC92" i="18"/>
  <c r="AC76" i="18"/>
  <c r="AC96" i="18"/>
  <c r="AC139" i="18"/>
  <c r="AC74" i="18"/>
  <c r="AC79" i="18"/>
  <c r="AB143" i="18"/>
  <c r="AB141" i="18"/>
  <c r="AB142" i="18" s="1"/>
  <c r="AB216" i="18" l="1"/>
  <c r="AB217" i="18" s="1"/>
  <c r="AB215" i="18"/>
  <c r="AC140" i="18"/>
  <c r="AD139" i="18"/>
  <c r="AD94" i="18"/>
  <c r="T194" i="18"/>
  <c r="AF94" i="18"/>
  <c r="U194" i="18" s="1"/>
  <c r="AF80" i="18"/>
  <c r="U179" i="18" s="1"/>
  <c r="AC209" i="18"/>
  <c r="AD80" i="18"/>
  <c r="T179" i="18"/>
  <c r="AD72" i="18"/>
  <c r="AF72" i="18"/>
  <c r="U171" i="18" s="1"/>
  <c r="T171" i="18"/>
  <c r="AC203" i="18"/>
  <c r="AC215" i="18" s="1"/>
  <c r="AD215" i="18" s="1"/>
  <c r="AF66" i="18"/>
  <c r="AD66" i="18"/>
  <c r="AC202" i="18"/>
  <c r="AD100" i="18"/>
  <c r="AF100" i="18"/>
  <c r="T198" i="18"/>
  <c r="AF96" i="18"/>
  <c r="U198" i="18" s="1"/>
  <c r="AD96" i="18"/>
  <c r="AF83" i="18"/>
  <c r="AD83" i="18"/>
  <c r="AF95" i="18"/>
  <c r="U195" i="18" s="1"/>
  <c r="AD95" i="18"/>
  <c r="T195" i="18"/>
  <c r="AD85" i="18"/>
  <c r="T181" i="18"/>
  <c r="AF85" i="18"/>
  <c r="U181" i="18" s="1"/>
  <c r="AD70" i="18"/>
  <c r="AF70" i="18"/>
  <c r="AC204" i="18"/>
  <c r="AD73" i="18"/>
  <c r="AF73" i="18"/>
  <c r="AF99" i="18"/>
  <c r="AD99" i="18"/>
  <c r="AD79" i="18"/>
  <c r="AF79" i="18"/>
  <c r="U178" i="18" s="1"/>
  <c r="T178" i="18"/>
  <c r="AD76" i="18"/>
  <c r="T174" i="18"/>
  <c r="AF76" i="18"/>
  <c r="U174" i="18" s="1"/>
  <c r="T177" i="18"/>
  <c r="AD78" i="18"/>
  <c r="AF78" i="18"/>
  <c r="U177" i="18" s="1"/>
  <c r="AD93" i="18"/>
  <c r="T193" i="18"/>
  <c r="AF93" i="18"/>
  <c r="U193" i="18" s="1"/>
  <c r="AD75" i="18"/>
  <c r="AF75" i="18"/>
  <c r="U173" i="18" s="1"/>
  <c r="AC206" i="18"/>
  <c r="T173" i="18"/>
  <c r="AF98" i="18"/>
  <c r="AD98" i="18"/>
  <c r="AC164" i="18"/>
  <c r="AD164" i="18" s="1"/>
  <c r="AD212" i="18"/>
  <c r="AF212" i="18" s="1"/>
  <c r="T172" i="18"/>
  <c r="AF74" i="18"/>
  <c r="U172" i="18" s="1"/>
  <c r="AD74" i="18"/>
  <c r="AD92" i="18"/>
  <c r="T192" i="18"/>
  <c r="AF92" i="18"/>
  <c r="U192" i="18" s="1"/>
  <c r="AD82" i="18"/>
  <c r="AF82" i="18"/>
  <c r="U175" i="18" s="1"/>
  <c r="T175" i="18"/>
  <c r="AC84" i="18"/>
  <c r="AD86" i="18"/>
  <c r="AC208" i="18"/>
  <c r="T182" i="18"/>
  <c r="AF86" i="18"/>
  <c r="U182" i="18" s="1"/>
  <c r="AD71" i="18"/>
  <c r="AF71" i="18"/>
  <c r="AC205" i="18"/>
  <c r="AD67" i="18"/>
  <c r="AF67" i="18"/>
  <c r="S175" i="18" l="1"/>
  <c r="U196" i="18"/>
  <c r="AD214" i="18"/>
  <c r="AF214" i="18" s="1"/>
  <c r="S192" i="18"/>
  <c r="S177" i="18"/>
  <c r="S173" i="18"/>
  <c r="S181" i="18"/>
  <c r="AF84" i="18"/>
  <c r="AC207" i="18"/>
  <c r="AD84" i="18"/>
  <c r="AD206" i="18"/>
  <c r="AF206" i="18" s="1"/>
  <c r="T196" i="18"/>
  <c r="S193" i="18"/>
  <c r="S178" i="18"/>
  <c r="Q234" i="18"/>
  <c r="S198" i="18"/>
  <c r="AF226" i="18"/>
  <c r="S194" i="18"/>
  <c r="AD205" i="18"/>
  <c r="AF205" i="18" s="1"/>
  <c r="S182" i="18"/>
  <c r="Q232" i="18"/>
  <c r="S172" i="18"/>
  <c r="S195" i="18"/>
  <c r="AD209" i="18"/>
  <c r="AF209" i="18" s="1"/>
  <c r="AD208" i="18"/>
  <c r="AF208" i="18" s="1"/>
  <c r="AF222" i="18" s="1"/>
  <c r="S174" i="18"/>
  <c r="AC216" i="18"/>
  <c r="AD203" i="18"/>
  <c r="AF203" i="18" s="1"/>
  <c r="AF216" i="18" s="1"/>
  <c r="AD204" i="18"/>
  <c r="AF204" i="18" s="1"/>
  <c r="AF217" i="18" s="1"/>
  <c r="AD202" i="18"/>
  <c r="AF202" i="18" s="1"/>
  <c r="AF215" i="18" s="1"/>
  <c r="S171" i="18"/>
  <c r="P235" i="18" s="1"/>
  <c r="P236" i="18" s="1"/>
  <c r="Q235" i="18"/>
  <c r="Q236" i="18" s="1"/>
  <c r="S179" i="18"/>
  <c r="Q231" i="18"/>
  <c r="AC143" i="18"/>
  <c r="AD140" i="18"/>
  <c r="AC141" i="18"/>
  <c r="AF220" i="18" l="1"/>
  <c r="AF219" i="18"/>
  <c r="AD216" i="18"/>
  <c r="AC217" i="18"/>
  <c r="AD217" i="18" s="1"/>
  <c r="S196" i="18"/>
  <c r="AD141" i="18"/>
  <c r="AC142" i="18"/>
  <c r="AD142" i="18" s="1"/>
  <c r="P231" i="18"/>
  <c r="M231" i="18"/>
  <c r="M232" i="18"/>
  <c r="P232" i="18"/>
  <c r="M234" i="18"/>
  <c r="P234" i="18"/>
  <c r="AD207" i="18"/>
  <c r="AF207" i="18" s="1"/>
  <c r="AF221" i="18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Q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<sst xmlns="http://schemas.openxmlformats.org/spreadsheetml/2006/main" count="699" uniqueCount="497">
  <si>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</si>
  <si>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</si>
  <si>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</si>
  <si>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</si>
  <si>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</si>
  <si>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</si>
  <si>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</si>
  <si>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</si>
  <si>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</si>
  <si>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</si>
  <si>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</si>
  <si>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</si>
  <si>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</si>
  <si>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</si>
  <si>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</si>
  <si>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</si>
  <si>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</si>
  <si>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</si>
  <si>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</si>
  <si>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</si>
  <si>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</si>
  <si>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</si>
  <si>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</si>
  <si>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</si>
  <si>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</si>
  <si>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</si>
  <si>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</si>
  <si>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</si>
  <si>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</si>
  <si>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</si>
  <si>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</si>
  <si>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</si>
  <si>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</si>
  <si>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</si>
  <si>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</si>
  <si>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</si>
  <si>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</si>
  <si>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</si>
  <si>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</si>
  <si>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</si>
  <si>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</si>
  <si>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</si>
  <si>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</si>
  <si>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</si>
  <si>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</si>
  <si>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</si>
  <si>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</si>
  <si>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</si>
  <si>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</si>
  <si>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</si>
  <si>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</si>
  <si>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</si>
  <si>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</si>
  <si>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</si>
  <si>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</si>
  <si>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</si>
  <si>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</si>
  <si>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</si>
  <si>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</si>
  <si>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</si>
  <si>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</si>
  <si>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</si>
  <si>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</si>
  <si>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</si>
  <si>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</si>
  <si>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</si>
  <si>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</si>
  <si>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</si>
  <si>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</si>
  <si>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</si>
  <si>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</si>
  <si>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</si>
  <si>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</si>
  <si>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</si>
  <si>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</si>
  <si>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</si>
  <si>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</si>
  <si>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</si>
  <si>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</si>
  <si>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</si>
  <si>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</si>
  <si>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</si>
  <si>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</si>
  <si>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</si>
  <si>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</si>
  <si>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</si>
  <si>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</si>
  <si>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</si>
  <si>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</si>
  <si>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</si>
  <si>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</si>
  <si>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</si>
  <si>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</si>
  <si>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</si>
  <si>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</si>
  <si>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</si>
  <si>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</si>
  <si>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</si>
  <si>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</si>
  <si>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</si>
  <si>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</si>
  <si>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</si>
  <si>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</si>
  <si>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</si>
  <si>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</si>
  <si>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</si>
  <si>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</si>
  <si>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</si>
  <si>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</si>
  <si>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</si>
  <si>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</si>
  <si>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</si>
  <si>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</si>
  <si>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</si>
  <si>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</si>
  <si>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</si>
  <si>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</si>
  <si>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</si>
  <si>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</si>
  <si>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</si>
  <si>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</si>
  <si>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</si>
  <si>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</si>
  <si>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</si>
  <si>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</si>
  <si>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</si>
  <si>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</si>
  <si>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</si>
  <si>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</si>
  <si>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</si>
  <si>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</si>
  <si>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</si>
  <si>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</si>
  <si>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</si>
  <si>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</si>
  <si>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</si>
  <si>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</si>
  <si>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</si>
  <si>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</si>
  <si>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</si>
  <si>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</si>
  <si>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</si>
  <si>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</si>
  <si>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</si>
  <si>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</si>
  <si>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</si>
  <si>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</si>
  <si>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</si>
  <si>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</si>
  <si>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</si>
  <si>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</si>
  <si>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</si>
  <si>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</si>
  <si>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</si>
  <si>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</si>
  <si>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</si>
  <si>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</si>
  <si>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</si>
  <si>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</si>
  <si>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</si>
  <si>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</si>
  <si>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</si>
  <si>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</si>
  <si>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</si>
  <si>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</si>
  <si>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</si>
  <si>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</si>
  <si>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</si>
  <si>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</si>
  <si>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</si>
  <si>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</si>
  <si>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</si>
  <si>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</si>
  <si>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</si>
  <si>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</si>
  <si>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</si>
  <si>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</si>
  <si>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</si>
  <si>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</si>
  <si>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</si>
  <si>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</si>
  <si>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</si>
  <si>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</si>
  <si>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</si>
  <si>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</si>
  <si>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</si>
  <si>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</si>
  <si>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</si>
  <si>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</si>
  <si>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</si>
  <si>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</si>
  <si>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</si>
  <si>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</si>
  <si>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</si>
  <si>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</si>
  <si>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</si>
  <si>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</si>
  <si>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</si>
  <si>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</si>
  <si>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</si>
  <si>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</si>
  <si>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</si>
  <si>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</si>
  <si>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</si>
  <si>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</si>
  <si>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</si>
  <si>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</si>
  <si>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</si>
  <si>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</si>
  <si>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</si>
  <si>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</si>
  <si>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</si>
  <si>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</si>
  <si>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</si>
  <si>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</si>
  <si>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</si>
  <si>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</si>
  <si>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</si>
  <si>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</si>
  <si>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</si>
  <si>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</si>
  <si>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</si>
  <si>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</si>
  <si>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</si>
  <si>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</si>
  <si>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</si>
  <si>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</si>
  <si>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</si>
  <si>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</si>
  <si>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</si>
  <si>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</si>
  <si>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</si>
  <si>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</si>
  <si>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</si>
  <si>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</si>
  <si>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</si>
  <si>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</si>
  <si>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</si>
  <si>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</si>
  <si>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</si>
  <si>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</si>
  <si>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</si>
  <si>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</si>
  <si>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</si>
  <si>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</si>
  <si>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</si>
  <si>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</si>
  <si>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</si>
  <si>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</si>
  <si>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</si>
  <si>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</si>
  <si>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</si>
  <si>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</si>
  <si>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</si>
  <si>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</si>
  <si>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</si>
  <si>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</si>
  <si>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</si>
  <si>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</si>
  <si>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</si>
  <si>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</si>
  <si>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</si>
  <si>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</si>
  <si>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</si>
  <si>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</si>
  <si>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</si>
  <si>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</si>
  <si>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</si>
  <si>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</si>
  <si>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</si>
  <si>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</si>
  <si>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</si>
  <si>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</si>
  <si>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</si>
  <si>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</si>
  <si>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</si>
  <si>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</si>
  <si>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</si>
  <si>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</si>
  <si>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</si>
  <si>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</si>
  <si>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</si>
  <si>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</si>
  <si>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</si>
  <si>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</si>
  <si>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</si>
  <si>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</si>
  <si>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</si>
  <si>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</si>
  <si>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</si>
  <si>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</si>
  <si>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</si>
  <si>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</si>
  <si>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</si>
  <si>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</si>
  <si>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</si>
  <si>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</si>
  <si>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</si>
  <si>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</si>
  <si>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</si>
  <si>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</si>
  <si>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</si>
  <si>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</si>
  <si>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</si>
  <si>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</si>
  <si>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</si>
  <si>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</si>
  <si>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</si>
  <si>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</si>
  <si>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</si>
  <si>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</si>
  <si>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</si>
  <si>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</si>
  <si>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</si>
  <si>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</si>
  <si>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</si>
  <si>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</si>
  <si>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</si>
  <si>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</si>
  <si>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</si>
  <si>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</si>
  <si>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</si>
  <si>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</si>
  <si>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</si>
  <si>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</si>
  <si>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</si>
  <si>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</si>
  <si>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</si>
  <si>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</si>
  <si>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</si>
  <si>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</si>
  <si>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</si>
  <si>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</si>
  <si>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</si>
  <si>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</si>
  <si>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</si>
  <si>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</si>
  <si>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</si>
  <si>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</si>
  <si>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</si>
  <si>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</si>
  <si>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</si>
  <si>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</si>
  <si>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</si>
  <si>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</si>
  <si>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</si>
  <si>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</si>
  <si>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</si>
  <si>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</si>
  <si>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</si>
  <si>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</si>
  <si>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</si>
  <si>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</si>
  <si>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</si>
  <si>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</si>
  <si>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</si>
  <si>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</si>
  <si>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</si>
  <si>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</si>
  <si>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</si>
  <si>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</si>
  <si>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</si>
  <si>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</si>
  <si>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</si>
  <si>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</si>
  <si>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</si>
  <si>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</si>
  <si>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</si>
  <si>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</si>
  <si>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</si>
  <si>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</si>
  <si>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</si>
  <si>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</si>
  <si>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</si>
  <si>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</si>
  <si>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</si>
  <si>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</si>
  <si>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</si>
  <si>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</si>
  <si>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</si>
  <si>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</si>
  <si>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</si>
  <si>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</si>
  <si>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</si>
  <si>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</si>
  <si>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</si>
  <si>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</si>
  <si>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</si>
  <si>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</si>
  <si>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</si>
  <si>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</si>
  <si>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</si>
  <si>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</si>
  <si>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</si>
  <si>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</si>
  <si>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</si>
  <si>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</si>
  <si>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</si>
  <si>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</si>
  <si>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</si>
  <si>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</si>
  <si>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</si>
  <si>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</si>
  <si>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</si>
  <si>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</si>
  <si>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</si>
  <si>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</si>
  <si>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</si>
  <si>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</si>
  <si>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</si>
  <si>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</si>
  <si>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</si>
  <si>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</si>
  <si>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</si>
  <si>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</si>
  <si>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</si>
  <si>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</si>
  <si>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</si>
  <si>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</si>
  <si>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</si>
  <si>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</si>
  <si>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</si>
  <si>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</si>
  <si>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</si>
  <si>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</si>
  <si>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</si>
  <si>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</si>
  <si>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</si>
  <si>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</si>
  <si>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</si>
  <si>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</si>
  <si>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</si>
  <si>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</si>
  <si>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</si>
  <si>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</si>
  <si>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</si>
  <si>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</si>
  <si>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</si>
  <si>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</si>
  <si>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</si>
  <si>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</si>
  <si>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</si>
  <si>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</si>
  <si>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</si>
  <si>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</si>
  <si>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</si>
  <si>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</si>
  <si>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</si>
  <si>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</si>
  <si>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</si>
  <si>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</si>
  <si>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</si>
  <si>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</si>
  <si>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</si>
  <si>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</si>
  <si>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</si>
  <si>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</si>
  <si>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</si>
  <si>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</si>
  <si>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</si>
  <si>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</si>
  <si>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</si>
  <si>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</si>
  <si>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</si>
  <si>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</si>
  <si>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</si>
  <si>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</si>
  <si>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</si>
  <si>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</si>
  <si>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</si>
  <si>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</si>
  <si>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</si>
  <si>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</si>
  <si>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</si>
  <si>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</si>
  <si>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</si>
  <si>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</si>
  <si>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</si>
  <si>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</si>
  <si>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</si>
  <si>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</si>
  <si>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</si>
  <si>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</si>
  <si>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</si>
  <si>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</si>
  <si>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</si>
  <si>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</si>
  <si>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</si>
  <si>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</si>
  <si>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</si>
  <si>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</si>
  <si>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</si>
  <si>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</si>
  <si>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</si>
  <si>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</si>
  <si>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10x1</t>
  </si>
  <si>
    <t>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</si>
</sst>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15712"/>
        <c:axId val="180342784"/>
      </c:lineChart>
      <c:catAx>
        <c:axId val="180115712"/>
        <c:scaling>
          <c:orientation val="minMax"/>
        </c:scaling>
        <c:delete val="0"/>
        <c:axPos val="b"/>
        <c:majorTickMark val="out"/>
        <c:minorTickMark val="none"/>
        <c:tickLblPos val="nextTo"/>
        <c:crossAx val="180342784"/>
        <c:crosses val="autoZero"/>
        <c:auto val="1"/>
        <c:lblAlgn val="ctr"/>
        <c:lblOffset val="100"/>
        <c:noMultiLvlLbl val="0"/>
      </c:catAx>
      <c:valAx>
        <c:axId val="180342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1157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317</v>
      </c>
      <c r="C9" s="150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272"/>
  <sheetViews>
    <sheetView tabSelected="1" zoomScale="80" zoomScaleNormal="80" workbookViewId="0">
      <pane xSplit="2" ySplit="3" topLeftCell="E200" activePane="bottomRight" state="frozen"/>
      <selection pane="topRight" activeCell="C1" sqref="C1"/>
      <selection pane="bottomLeft" activeCell="A5" sqref="A5"/>
      <selection pane="bottomRight" activeCell="I220" sqref="I220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8" width="11.28515625" style="104" bestFit="1" customWidth="1"/>
    <col min="9" max="16" width="12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0.18</v>
      </c>
      <c r="F1" s="104" t="s">
        <v>252</v>
      </c>
      <c r="H1" s="126">
        <v>2004</v>
      </c>
      <c r="J1" s="104" t="s">
        <v>325</v>
      </c>
      <c r="L1" s="162">
        <v>0.05</v>
      </c>
      <c r="N1" s="104" t="s">
        <v>396</v>
      </c>
      <c r="P1" s="162">
        <v>0.05</v>
      </c>
    </row>
    <row r="2" spans="2:32" x14ac:dyDescent="0.2">
      <c r="B2" s="151" t="s">
        <v>314</v>
      </c>
      <c r="C2" s="120"/>
      <c r="F2" s="104" t="s">
        <v>253</v>
      </c>
      <c r="H2" s="126">
        <v>2014</v>
      </c>
      <c r="J2" s="104" t="s">
        <v>326</v>
      </c>
      <c r="L2" s="162">
        <v>0.17</v>
      </c>
      <c r="N2" s="104" t="s">
        <v>464</v>
      </c>
      <c r="P2" s="162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9" t="s">
        <v>290</v>
      </c>
      <c r="AF2" s="210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11" t="s">
        <v>291</v>
      </c>
      <c r="AF3" s="212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36"/>
      <c r="AE5" s="20"/>
      <c r="AF5" s="152"/>
    </row>
    <row r="6" spans="2:32" x14ac:dyDescent="0.2">
      <c r="B6" s="20" t="s">
        <v>16</v>
      </c>
      <c r="C6" s="140"/>
      <c r="D6" s="140"/>
      <c r="E6" s="146"/>
      <c r="F6" s="146"/>
      <c r="G6" s="146">
        <v>289</v>
      </c>
      <c r="H6" s="146">
        <v>336</v>
      </c>
      <c r="I6" s="146">
        <v>388</v>
      </c>
      <c r="J6" s="146">
        <v>455</v>
      </c>
      <c r="K6" s="146">
        <v>591</v>
      </c>
      <c r="L6" s="146">
        <v>669</v>
      </c>
      <c r="M6" s="146">
        <v>821</v>
      </c>
      <c r="N6" s="146">
        <v>1034</v>
      </c>
      <c r="O6" s="146">
        <v>1275</v>
      </c>
      <c r="P6" s="146">
        <v>1600</v>
      </c>
      <c r="Q6" s="146">
        <v>1901</v>
      </c>
      <c r="R6" s="118">
        <f>((Q6/G6)^(1/($H$2-$H$1) ))-1</f>
        <v>0.20728117119429501</v>
      </c>
      <c r="S6" s="31">
        <f>$L$2</f>
        <v>0.17</v>
      </c>
      <c r="T6" s="152">
        <f>Q6*(1+$S6)</f>
        <v>2224.17</v>
      </c>
      <c r="U6" s="152">
        <f>T6*(1+$S6)</f>
        <v>2602.2788999999998</v>
      </c>
      <c r="V6" s="152">
        <f t="shared" ref="V6:AC6" si="0">U6*(1+$S6)</f>
        <v>3044.6663129999997</v>
      </c>
      <c r="W6" s="152">
        <f t="shared" si="0"/>
        <v>3562.2595862099993</v>
      </c>
      <c r="X6" s="152">
        <f t="shared" si="0"/>
        <v>4167.8437158656989</v>
      </c>
      <c r="Y6" s="152">
        <f t="shared" si="0"/>
        <v>4876.3771475628673</v>
      </c>
      <c r="Z6" s="152">
        <f t="shared" si="0"/>
        <v>5705.3612626485547</v>
      </c>
      <c r="AA6" s="152">
        <f t="shared" si="0"/>
        <v>6675.272677298809</v>
      </c>
      <c r="AB6" s="152">
        <f t="shared" si="0"/>
        <v>7810.0690324396064</v>
      </c>
      <c r="AC6" s="152">
        <f t="shared" si="0"/>
        <v>9137.7807679543384</v>
      </c>
      <c r="AD6" s="137">
        <f>((AC6/G6)^(1/($AC$3-$H$1) ))-1</f>
        <v>0.18849441323774219</v>
      </c>
      <c r="AE6" s="31">
        <f>$L$1</f>
        <v>0.05</v>
      </c>
      <c r="AF6" s="145">
        <f t="shared" ref="AF6:AF59" si="1">(AC6*(1+AE6))/($C$1-AE6)</f>
        <v>73805.152356554274</v>
      </c>
    </row>
    <row r="7" spans="2:32" x14ac:dyDescent="0.2">
      <c r="B7" s="20" t="s">
        <v>240</v>
      </c>
      <c r="C7" s="140"/>
      <c r="D7" s="140"/>
      <c r="E7" s="146"/>
      <c r="F7" s="146"/>
      <c r="G7" s="146">
        <v>315</v>
      </c>
      <c r="H7" s="146">
        <v>361</v>
      </c>
      <c r="I7" s="146">
        <v>413</v>
      </c>
      <c r="J7" s="146">
        <v>480</v>
      </c>
      <c r="K7" s="146">
        <v>620</v>
      </c>
      <c r="L7" s="146">
        <v>634</v>
      </c>
      <c r="M7" s="146">
        <v>872</v>
      </c>
      <c r="N7" s="146">
        <v>1084</v>
      </c>
      <c r="O7" s="146">
        <v>1326</v>
      </c>
      <c r="P7" s="146">
        <v>1651</v>
      </c>
      <c r="Q7" s="146">
        <v>1952</v>
      </c>
      <c r="R7" s="118">
        <f>((Q7/G7)^(1/($H$2-$H$1) ))-1</f>
        <v>0.20009859127482099</v>
      </c>
      <c r="S7" s="31">
        <f>$L$2</f>
        <v>0.17</v>
      </c>
      <c r="T7" s="152">
        <f t="shared" ref="T7:T59" si="2">Q7*(1+$S7)</f>
        <v>2283.8399999999997</v>
      </c>
      <c r="U7" s="152">
        <f t="shared" ref="U7:AC7" si="3">T7*(1+$S7)</f>
        <v>2672.0927999999994</v>
      </c>
      <c r="V7" s="152">
        <f t="shared" si="3"/>
        <v>3126.348575999999</v>
      </c>
      <c r="W7" s="152">
        <f t="shared" si="3"/>
        <v>3657.8278339199987</v>
      </c>
      <c r="X7" s="152">
        <f t="shared" si="3"/>
        <v>4279.6585656863981</v>
      </c>
      <c r="Y7" s="152">
        <f t="shared" si="3"/>
        <v>5007.2005218530858</v>
      </c>
      <c r="Z7" s="152">
        <f t="shared" si="3"/>
        <v>5858.4246105681104</v>
      </c>
      <c r="AA7" s="152">
        <f t="shared" si="3"/>
        <v>6854.3567943646885</v>
      </c>
      <c r="AB7" s="152">
        <f t="shared" si="3"/>
        <v>8019.597449406685</v>
      </c>
      <c r="AC7" s="152">
        <f t="shared" si="3"/>
        <v>9382.9290158058211</v>
      </c>
      <c r="AD7" s="137">
        <f>((AC7/G7)^(1/($AC$3-$H$1) ))-1</f>
        <v>0.18495373402995807</v>
      </c>
      <c r="AE7" s="31">
        <f>$L$1</f>
        <v>0.05</v>
      </c>
      <c r="AF7" s="145">
        <f t="shared" si="1"/>
        <v>75785.195896893172</v>
      </c>
    </row>
    <row r="8" spans="2:32" x14ac:dyDescent="0.2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0.14603174603174604</v>
      </c>
      <c r="I8" s="149">
        <f t="shared" si="4"/>
        <v>0.1440443213296399</v>
      </c>
      <c r="J8" s="149">
        <f t="shared" si="4"/>
        <v>0.16222760290556901</v>
      </c>
      <c r="K8" s="149">
        <f t="shared" si="4"/>
        <v>0.29166666666666669</v>
      </c>
      <c r="L8" s="149">
        <f t="shared" si="4"/>
        <v>2.2580645161290321E-2</v>
      </c>
      <c r="M8" s="149">
        <f t="shared" si="4"/>
        <v>0.37539432176656151</v>
      </c>
      <c r="N8" s="149">
        <f t="shared" si="4"/>
        <v>0.24311926605504589</v>
      </c>
      <c r="O8" s="149">
        <f t="shared" si="4"/>
        <v>0.22324723247232472</v>
      </c>
      <c r="P8" s="149">
        <f t="shared" si="4"/>
        <v>0.24509803921568626</v>
      </c>
      <c r="Q8" s="149">
        <f t="shared" si="4"/>
        <v>0.1823137492428831</v>
      </c>
      <c r="R8" s="128"/>
      <c r="S8" s="20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85</v>
      </c>
      <c r="H9" s="146">
        <v>112</v>
      </c>
      <c r="I9" s="146">
        <v>133</v>
      </c>
      <c r="J9" s="146">
        <v>197</v>
      </c>
      <c r="K9" s="146">
        <v>263</v>
      </c>
      <c r="L9" s="146">
        <v>324</v>
      </c>
      <c r="M9" s="146">
        <v>411</v>
      </c>
      <c r="N9" s="146">
        <v>510</v>
      </c>
      <c r="O9" s="146">
        <v>748</v>
      </c>
      <c r="P9" s="146">
        <v>693</v>
      </c>
      <c r="Q9" s="146">
        <v>704</v>
      </c>
      <c r="R9" s="118">
        <f>((Q9/G9)^(1/($H$2-$H$1) ))-1</f>
        <v>0.23542212088390113</v>
      </c>
      <c r="S9" s="31">
        <f t="shared" ref="S9:S55" si="5">$L$2</f>
        <v>0.17</v>
      </c>
      <c r="T9" s="152">
        <f t="shared" si="2"/>
        <v>823.68</v>
      </c>
      <c r="U9" s="152">
        <f t="shared" ref="U9" si="6">T9*(1+$S9)</f>
        <v>963.70559999999989</v>
      </c>
      <c r="V9" s="152">
        <f t="shared" ref="V9" si="7">U9*(1+$S9)</f>
        <v>1127.5355519999998</v>
      </c>
      <c r="W9" s="152">
        <f t="shared" ref="W9" si="8">V9*(1+$S9)</f>
        <v>1319.2165958399996</v>
      </c>
      <c r="X9" s="152">
        <f t="shared" ref="X9" si="9">W9*(1+$S9)</f>
        <v>1543.4834171327996</v>
      </c>
      <c r="Y9" s="152">
        <f t="shared" ref="Y9" si="10">X9*(1+$S9)</f>
        <v>1805.8755980453755</v>
      </c>
      <c r="Z9" s="152">
        <f t="shared" ref="Z9" si="11">Y9*(1+$S9)</f>
        <v>2112.8744497130892</v>
      </c>
      <c r="AA9" s="152">
        <f t="shared" ref="AA9" si="12">Z9*(1+$S9)</f>
        <v>2472.0631061643144</v>
      </c>
      <c r="AB9" s="152">
        <f t="shared" ref="AB9" si="13">AA9*(1+$S9)</f>
        <v>2892.3138342122475</v>
      </c>
      <c r="AC9" s="152">
        <f t="shared" ref="AC9" si="14">AB9*(1+$S9)</f>
        <v>3384.0071860283292</v>
      </c>
      <c r="AD9" s="137">
        <f>((AC9/G9)^(1/($AC$3-$H$1) ))-1</f>
        <v>0.2022661441769722</v>
      </c>
      <c r="AE9" s="31">
        <f t="shared" ref="AE9:AE99" si="15">$L$1</f>
        <v>0.05</v>
      </c>
      <c r="AF9" s="145">
        <f t="shared" si="1"/>
        <v>27332.365733305734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56</v>
      </c>
      <c r="H10" s="146">
        <v>62</v>
      </c>
      <c r="I10" s="146">
        <v>56</v>
      </c>
      <c r="J10" s="146">
        <v>145</v>
      </c>
      <c r="K10" s="146">
        <v>526</v>
      </c>
      <c r="L10" s="146">
        <v>609</v>
      </c>
      <c r="M10" s="146">
        <v>468</v>
      </c>
      <c r="N10" s="146">
        <v>335</v>
      </c>
      <c r="O10" s="146">
        <v>148</v>
      </c>
      <c r="P10" s="146">
        <v>51</v>
      </c>
      <c r="Q10" s="146">
        <v>46</v>
      </c>
      <c r="R10" s="118">
        <f>((Q10/G10)^(1/($H$2-$H$1) ))-1</f>
        <v>-1.9478817126515668E-2</v>
      </c>
      <c r="S10" s="31">
        <f t="shared" si="5"/>
        <v>0.17</v>
      </c>
      <c r="T10" s="152">
        <f t="shared" si="2"/>
        <v>53.819999999999993</v>
      </c>
      <c r="U10" s="152">
        <f t="shared" ref="U10:AC10" si="16">T10*(1+$S10)</f>
        <v>62.969399999999986</v>
      </c>
      <c r="V10" s="152">
        <f t="shared" si="16"/>
        <v>73.674197999999976</v>
      </c>
      <c r="W10" s="152">
        <f t="shared" si="16"/>
        <v>86.198811659999961</v>
      </c>
      <c r="X10" s="152">
        <f t="shared" si="16"/>
        <v>100.85260964219995</v>
      </c>
      <c r="Y10" s="152">
        <f t="shared" si="16"/>
        <v>117.99755328137394</v>
      </c>
      <c r="Z10" s="152">
        <f t="shared" si="16"/>
        <v>138.05713733920751</v>
      </c>
      <c r="AA10" s="152">
        <f t="shared" si="16"/>
        <v>161.52685068687279</v>
      </c>
      <c r="AB10" s="152">
        <f t="shared" si="16"/>
        <v>188.98641530364117</v>
      </c>
      <c r="AC10" s="152">
        <f t="shared" si="16"/>
        <v>221.11410590526015</v>
      </c>
      <c r="AD10" s="137">
        <f t="shared" ref="AD10:AD57" si="17">((AC10/G10)^(1/($AC$3-$H$1) ))-1</f>
        <v>7.1078794469378259E-2</v>
      </c>
      <c r="AE10" s="31">
        <f t="shared" si="15"/>
        <v>0.05</v>
      </c>
      <c r="AF10" s="145">
        <f t="shared" si="1"/>
        <v>1785.9216246194089</v>
      </c>
    </row>
    <row r="11" spans="2:32" x14ac:dyDescent="0.2">
      <c r="B11" s="20"/>
      <c r="C11" s="140"/>
      <c r="D11" s="140"/>
      <c r="E11" s="146"/>
      <c r="F11" s="146"/>
      <c r="G11" s="149" t="e">
        <f t="shared" ref="G11:Q11" si="18">(G10-F10)/F10</f>
        <v>#DIV/0!</v>
      </c>
      <c r="H11" s="149">
        <f t="shared" si="18"/>
        <v>0.10714285714285714</v>
      </c>
      <c r="I11" s="149">
        <f t="shared" si="18"/>
        <v>-9.6774193548387094E-2</v>
      </c>
      <c r="J11" s="149">
        <f t="shared" si="18"/>
        <v>1.5892857142857142</v>
      </c>
      <c r="K11" s="149">
        <f t="shared" si="18"/>
        <v>2.6275862068965519</v>
      </c>
      <c r="L11" s="149">
        <f t="shared" si="18"/>
        <v>0.15779467680608364</v>
      </c>
      <c r="M11" s="149">
        <f t="shared" si="18"/>
        <v>-0.23152709359605911</v>
      </c>
      <c r="N11" s="149">
        <f t="shared" si="18"/>
        <v>-0.28418803418803418</v>
      </c>
      <c r="O11" s="149">
        <f t="shared" si="18"/>
        <v>-0.55820895522388059</v>
      </c>
      <c r="P11" s="149">
        <f t="shared" si="18"/>
        <v>-0.65540540540540537</v>
      </c>
      <c r="Q11" s="149">
        <f t="shared" si="18"/>
        <v>-9.8039215686274508E-2</v>
      </c>
      <c r="R11" s="128"/>
      <c r="S11" s="20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19"/>
      <c r="AE11" s="31">
        <f t="shared" si="15"/>
        <v>0.05</v>
      </c>
      <c r="AF11" s="152"/>
    </row>
    <row r="12" spans="2:32" x14ac:dyDescent="0.2">
      <c r="B12" s="20" t="s">
        <v>2</v>
      </c>
      <c r="C12" s="140"/>
      <c r="D12" s="140"/>
      <c r="E12" s="146"/>
      <c r="F12" s="146"/>
      <c r="G12" s="146">
        <v>7.5</v>
      </c>
      <c r="H12" s="146">
        <v>14</v>
      </c>
      <c r="I12" s="146">
        <v>16</v>
      </c>
      <c r="J12" s="146">
        <v>38</v>
      </c>
      <c r="K12" s="146">
        <v>172</v>
      </c>
      <c r="L12" s="146">
        <v>159</v>
      </c>
      <c r="M12" s="146">
        <v>45</v>
      </c>
      <c r="N12" s="146">
        <v>103</v>
      </c>
      <c r="O12" s="146">
        <v>273</v>
      </c>
      <c r="P12" s="146">
        <v>151</v>
      </c>
      <c r="Q12" s="146">
        <v>177</v>
      </c>
      <c r="R12" s="118">
        <f>((Q12/G12)^(1/($H$2-$H$1) ))-1</f>
        <v>0.37180126908030253</v>
      </c>
      <c r="S12" s="31">
        <f t="shared" si="5"/>
        <v>0.17</v>
      </c>
      <c r="T12" s="152">
        <f t="shared" si="2"/>
        <v>207.08999999999997</v>
      </c>
      <c r="U12" s="152">
        <f t="shared" ref="U12:AC12" si="19">T12*(1+$S12)</f>
        <v>242.29529999999997</v>
      </c>
      <c r="V12" s="152">
        <f t="shared" si="19"/>
        <v>283.48550099999994</v>
      </c>
      <c r="W12" s="152">
        <f t="shared" si="19"/>
        <v>331.67803616999993</v>
      </c>
      <c r="X12" s="152">
        <f t="shared" si="19"/>
        <v>388.0633023188999</v>
      </c>
      <c r="Y12" s="152">
        <f t="shared" si="19"/>
        <v>454.03406371311286</v>
      </c>
      <c r="Z12" s="152">
        <f t="shared" si="19"/>
        <v>531.21985454434196</v>
      </c>
      <c r="AA12" s="152">
        <f t="shared" si="19"/>
        <v>621.52722981688009</v>
      </c>
      <c r="AB12" s="152">
        <f t="shared" si="19"/>
        <v>727.18685888574964</v>
      </c>
      <c r="AC12" s="152">
        <f t="shared" si="19"/>
        <v>850.80862489632705</v>
      </c>
      <c r="AD12" s="137">
        <f t="shared" si="17"/>
        <v>0.26688889995293352</v>
      </c>
      <c r="AE12" s="31">
        <f t="shared" si="15"/>
        <v>0.05</v>
      </c>
      <c r="AF12" s="145">
        <f t="shared" si="1"/>
        <v>6871.915816470334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19</v>
      </c>
      <c r="H13" s="146">
        <v>19</v>
      </c>
      <c r="I13" s="146">
        <v>16</v>
      </c>
      <c r="J13" s="146">
        <v>16</v>
      </c>
      <c r="K13" s="146">
        <v>3.24</v>
      </c>
      <c r="L13" s="146">
        <v>26</v>
      </c>
      <c r="M13" s="146">
        <v>268</v>
      </c>
      <c r="N13" s="146">
        <v>170</v>
      </c>
      <c r="O13" s="146">
        <v>98</v>
      </c>
      <c r="P13" s="146">
        <v>293</v>
      </c>
      <c r="Q13" s="146">
        <v>260</v>
      </c>
      <c r="R13" s="118">
        <f>((Q13/G13)^(1/($H$2-$H$1) ))-1</f>
        <v>0.29903835678417079</v>
      </c>
      <c r="S13" s="31">
        <f t="shared" si="5"/>
        <v>0.17</v>
      </c>
      <c r="T13" s="152">
        <f t="shared" si="2"/>
        <v>304.2</v>
      </c>
      <c r="U13" s="152">
        <f t="shared" ref="U13:AC13" si="20">T13*(1+$S13)</f>
        <v>355.91399999999999</v>
      </c>
      <c r="V13" s="152">
        <f t="shared" si="20"/>
        <v>416.41937999999993</v>
      </c>
      <c r="W13" s="152">
        <f t="shared" si="20"/>
        <v>487.21067459999989</v>
      </c>
      <c r="X13" s="152">
        <f t="shared" si="20"/>
        <v>570.03648928199982</v>
      </c>
      <c r="Y13" s="152">
        <f t="shared" si="20"/>
        <v>666.94269245993974</v>
      </c>
      <c r="Z13" s="152">
        <f t="shared" si="20"/>
        <v>780.32295017812942</v>
      </c>
      <c r="AA13" s="152">
        <f t="shared" si="20"/>
        <v>912.97785170841132</v>
      </c>
      <c r="AB13" s="152">
        <f t="shared" si="20"/>
        <v>1068.1840864988412</v>
      </c>
      <c r="AC13" s="152">
        <f t="shared" si="20"/>
        <v>1249.7753812036442</v>
      </c>
      <c r="AD13" s="137">
        <f t="shared" si="17"/>
        <v>0.23283205564970588</v>
      </c>
      <c r="AE13" s="31">
        <f t="shared" si="15"/>
        <v>0.05</v>
      </c>
      <c r="AF13" s="145">
        <f t="shared" si="1"/>
        <v>10094.339617414049</v>
      </c>
    </row>
    <row r="14" spans="2:32" x14ac:dyDescent="0.2">
      <c r="B14" s="20" t="s">
        <v>371</v>
      </c>
      <c r="C14" s="140"/>
      <c r="D14" s="140"/>
      <c r="E14" s="146"/>
      <c r="F14" s="146"/>
      <c r="G14" s="146">
        <v>105</v>
      </c>
      <c r="H14" s="146">
        <v>130</v>
      </c>
      <c r="I14" s="146">
        <v>156</v>
      </c>
      <c r="J14" s="146">
        <v>221</v>
      </c>
      <c r="K14" s="146">
        <v>298</v>
      </c>
      <c r="L14" s="146">
        <v>280</v>
      </c>
      <c r="M14" s="146">
        <v>298</v>
      </c>
      <c r="N14" s="146">
        <v>409</v>
      </c>
      <c r="O14" s="146">
        <v>454</v>
      </c>
      <c r="P14" s="146">
        <v>524</v>
      </c>
      <c r="Q14" s="146">
        <v>600</v>
      </c>
      <c r="R14" s="118">
        <f>((Q14/G14)^(1/($H$2-$H$1) ))-1</f>
        <v>0.19040898208896495</v>
      </c>
      <c r="S14" s="31">
        <f t="shared" si="5"/>
        <v>0.17</v>
      </c>
      <c r="T14" s="152">
        <f t="shared" si="2"/>
        <v>702</v>
      </c>
      <c r="U14" s="152">
        <f t="shared" ref="U14" si="21">T14*(1+$S14)</f>
        <v>821.33999999999992</v>
      </c>
      <c r="V14" s="152">
        <f t="shared" ref="V14" si="22">U14*(1+$S14)</f>
        <v>960.9677999999999</v>
      </c>
      <c r="W14" s="152">
        <f t="shared" ref="W14" si="23">V14*(1+$S14)</f>
        <v>1124.3323259999997</v>
      </c>
      <c r="X14" s="152">
        <f t="shared" ref="X14" si="24">W14*(1+$S14)</f>
        <v>1315.4688214199996</v>
      </c>
      <c r="Y14" s="152">
        <f t="shared" ref="Y14" si="25">X14*(1+$S14)</f>
        <v>1539.0985210613994</v>
      </c>
      <c r="Z14" s="152">
        <f t="shared" ref="Z14" si="26">Y14*(1+$S14)</f>
        <v>1800.7452696418372</v>
      </c>
      <c r="AA14" s="152">
        <f t="shared" ref="AA14" si="27">Z14*(1+$S14)</f>
        <v>2106.8719654809493</v>
      </c>
      <c r="AB14" s="152">
        <f t="shared" ref="AB14" si="28">AA14*(1+$S14)</f>
        <v>2465.0401996127107</v>
      </c>
      <c r="AC14" s="152">
        <f t="shared" ref="AC14" si="29">AB14*(1+$S14)</f>
        <v>2884.0970335468714</v>
      </c>
      <c r="AD14" s="137">
        <f t="shared" ref="AD14" si="30">((AC14/G14)^(1/($AC$3-$H$1) ))-1</f>
        <v>0.18016037428990517</v>
      </c>
      <c r="AE14" s="31">
        <f t="shared" si="15"/>
        <v>0.05</v>
      </c>
      <c r="AF14" s="145">
        <f t="shared" ref="AF14" si="31">(AC14*(1+AE14))/($C$1-AE14)</f>
        <v>23294.629886340117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209.5</v>
      </c>
      <c r="H15" s="146">
        <v>254</v>
      </c>
      <c r="I15" s="146">
        <v>284</v>
      </c>
      <c r="J15" s="146">
        <v>417</v>
      </c>
      <c r="K15" s="146">
        <v>708</v>
      </c>
      <c r="L15" s="146">
        <v>718</v>
      </c>
      <c r="M15" s="146">
        <v>638</v>
      </c>
      <c r="N15" s="146">
        <v>793</v>
      </c>
      <c r="O15" s="146">
        <v>1122</v>
      </c>
      <c r="P15" s="146">
        <v>1104</v>
      </c>
      <c r="Q15" s="146">
        <v>1301</v>
      </c>
      <c r="R15" s="118">
        <f>((Q15/G15)^(1/($H$2-$H$1) ))-1</f>
        <v>0.20035395273608758</v>
      </c>
      <c r="S15" s="31">
        <f t="shared" si="5"/>
        <v>0.17</v>
      </c>
      <c r="T15" s="152">
        <f t="shared" si="2"/>
        <v>1522.1699999999998</v>
      </c>
      <c r="U15" s="152">
        <f t="shared" ref="U15:AC15" si="32">T15*(1+$S15)</f>
        <v>1780.9388999999996</v>
      </c>
      <c r="V15" s="152">
        <f t="shared" si="32"/>
        <v>2083.6985129999994</v>
      </c>
      <c r="W15" s="152">
        <f t="shared" si="32"/>
        <v>2437.9272602099991</v>
      </c>
      <c r="X15" s="152">
        <f t="shared" si="32"/>
        <v>2852.3748944456988</v>
      </c>
      <c r="Y15" s="152">
        <f t="shared" si="32"/>
        <v>3337.2786265014674</v>
      </c>
      <c r="Z15" s="152">
        <f t="shared" si="32"/>
        <v>3904.6159930067165</v>
      </c>
      <c r="AA15" s="152">
        <f t="shared" si="32"/>
        <v>4568.4007118178579</v>
      </c>
      <c r="AB15" s="152">
        <f t="shared" si="32"/>
        <v>5345.0288328268934</v>
      </c>
      <c r="AC15" s="152">
        <f t="shared" si="32"/>
        <v>6253.6837344074647</v>
      </c>
      <c r="AD15" s="137">
        <f t="shared" si="17"/>
        <v>0.18507979676527375</v>
      </c>
      <c r="AE15" s="31">
        <f t="shared" si="15"/>
        <v>0.05</v>
      </c>
      <c r="AF15" s="145">
        <f t="shared" si="1"/>
        <v>50510.522470214142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132</v>
      </c>
      <c r="H16" s="146">
        <v>145</v>
      </c>
      <c r="I16" s="146">
        <v>147</v>
      </c>
      <c r="J16" s="146">
        <v>224</v>
      </c>
      <c r="K16" s="146">
        <v>477</v>
      </c>
      <c r="L16" s="146">
        <v>445</v>
      </c>
      <c r="M16" s="146">
        <v>234</v>
      </c>
      <c r="N16" s="146">
        <v>336</v>
      </c>
      <c r="O16" s="146">
        <v>365</v>
      </c>
      <c r="P16" s="146">
        <v>335</v>
      </c>
      <c r="Q16" s="146">
        <v>555</v>
      </c>
      <c r="R16" s="118">
        <f>((Q16/G16)^(1/($H$2-$H$1) ))-1</f>
        <v>0.15444143289658618</v>
      </c>
      <c r="S16" s="31">
        <f t="shared" si="5"/>
        <v>0.17</v>
      </c>
      <c r="T16" s="152">
        <f t="shared" si="2"/>
        <v>649.34999999999991</v>
      </c>
      <c r="U16" s="152">
        <f t="shared" ref="U16:AC16" si="33">T16*(1+$S16)</f>
        <v>759.73949999999979</v>
      </c>
      <c r="V16" s="152">
        <f t="shared" si="33"/>
        <v>888.89521499999967</v>
      </c>
      <c r="W16" s="152">
        <f t="shared" si="33"/>
        <v>1040.0074015499995</v>
      </c>
      <c r="X16" s="152">
        <f t="shared" si="33"/>
        <v>1216.8086598134994</v>
      </c>
      <c r="Y16" s="152">
        <f t="shared" si="33"/>
        <v>1423.6661319817943</v>
      </c>
      <c r="Z16" s="152">
        <f t="shared" si="33"/>
        <v>1665.6893744186991</v>
      </c>
      <c r="AA16" s="152">
        <f t="shared" si="33"/>
        <v>1948.8565680698778</v>
      </c>
      <c r="AB16" s="152">
        <f t="shared" si="33"/>
        <v>2280.162184641757</v>
      </c>
      <c r="AC16" s="152">
        <f t="shared" si="33"/>
        <v>2667.7897560308556</v>
      </c>
      <c r="AD16" s="137">
        <f t="shared" si="17"/>
        <v>0.16219468097604262</v>
      </c>
      <c r="AE16" s="31">
        <f t="shared" si="15"/>
        <v>0.05</v>
      </c>
      <c r="AF16" s="145">
        <f t="shared" si="1"/>
        <v>21547.532644864605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2">
        <f t="shared" si="2"/>
        <v>0</v>
      </c>
      <c r="U17" s="152"/>
      <c r="V17" s="152"/>
      <c r="W17" s="152"/>
      <c r="X17" s="152"/>
      <c r="Y17" s="152"/>
      <c r="Z17" s="152"/>
      <c r="AA17" s="152"/>
      <c r="AB17" s="152"/>
      <c r="AC17" s="152"/>
      <c r="AD17" s="138"/>
      <c r="AE17" s="136"/>
      <c r="AF17" s="152"/>
    </row>
    <row r="18" spans="2:32" x14ac:dyDescent="0.2">
      <c r="B18" s="20" t="s">
        <v>277</v>
      </c>
      <c r="C18" s="140"/>
      <c r="D18" s="140"/>
      <c r="E18" s="146"/>
      <c r="F18" s="146"/>
      <c r="G18" s="146">
        <v>204</v>
      </c>
      <c r="H18" s="146">
        <v>224</v>
      </c>
      <c r="I18" s="146">
        <v>278</v>
      </c>
      <c r="J18" s="146">
        <v>350</v>
      </c>
      <c r="K18" s="146">
        <v>497</v>
      </c>
      <c r="L18" s="146">
        <v>551</v>
      </c>
      <c r="M18" s="146">
        <v>540</v>
      </c>
      <c r="N18" s="146">
        <v>563</v>
      </c>
      <c r="O18" s="146">
        <v>618</v>
      </c>
      <c r="P18" s="146">
        <v>646</v>
      </c>
      <c r="Q18" s="146">
        <v>729</v>
      </c>
      <c r="R18" s="118">
        <f>((Q18/G18)^(1/($H$2-$H$1) ))-1</f>
        <v>0.13582058696506438</v>
      </c>
      <c r="S18" s="31">
        <f t="shared" si="5"/>
        <v>0.17</v>
      </c>
      <c r="T18" s="152">
        <f t="shared" si="2"/>
        <v>852.93</v>
      </c>
      <c r="U18" s="152">
        <f t="shared" ref="U18:U34" si="34">T18*(1+$S18)</f>
        <v>997.92809999999986</v>
      </c>
      <c r="V18" s="152">
        <f t="shared" ref="V18:V34" si="35">U18*(1+$S18)</f>
        <v>1167.5758769999998</v>
      </c>
      <c r="W18" s="152">
        <f t="shared" ref="W18:W34" si="36">V18*(1+$S18)</f>
        <v>1366.0637760899997</v>
      </c>
      <c r="X18" s="152">
        <f t="shared" ref="X18:X51" si="37">W18*(1+$S18)</f>
        <v>1598.2946180252995</v>
      </c>
      <c r="Y18" s="152">
        <f t="shared" ref="Y18:Y51" si="38">X18*(1+$S18)</f>
        <v>1870.0047030896003</v>
      </c>
      <c r="Z18" s="152">
        <f t="shared" ref="Z18:Z51" si="39">Y18*(1+$S18)</f>
        <v>2187.9055026148321</v>
      </c>
      <c r="AA18" s="152">
        <f t="shared" ref="AA18:AA51" si="40">Z18*(1+$S18)</f>
        <v>2559.8494380593534</v>
      </c>
      <c r="AB18" s="152">
        <f t="shared" ref="AB18:AB51" si="41">AA18*(1+$S18)</f>
        <v>2995.0238425294433</v>
      </c>
      <c r="AC18" s="152">
        <f t="shared" ref="AC18:AC51" si="42">AB18*(1+$S18)</f>
        <v>3504.1778957594483</v>
      </c>
      <c r="AD18" s="137">
        <f t="shared" si="17"/>
        <v>0.15278362529536538</v>
      </c>
      <c r="AE18" s="31">
        <f t="shared" si="15"/>
        <v>0.05</v>
      </c>
      <c r="AF18" s="145">
        <f t="shared" si="1"/>
        <v>28302.975311903236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2">
        <f t="shared" si="2"/>
        <v>0</v>
      </c>
      <c r="U19" s="152"/>
      <c r="V19" s="152"/>
      <c r="W19" s="152"/>
      <c r="X19" s="152"/>
      <c r="Y19" s="152"/>
      <c r="Z19" s="152"/>
      <c r="AA19" s="152"/>
      <c r="AB19" s="152"/>
      <c r="AC19" s="152"/>
      <c r="AD19" s="138"/>
      <c r="AE19" s="136"/>
      <c r="AF19" s="152"/>
    </row>
    <row r="20" spans="2:32" x14ac:dyDescent="0.2">
      <c r="B20" s="20" t="s">
        <v>283</v>
      </c>
      <c r="C20" s="140"/>
      <c r="D20" s="140"/>
      <c r="E20" s="146"/>
      <c r="F20" s="146"/>
      <c r="G20" s="146">
        <v>48</v>
      </c>
      <c r="H20" s="146">
        <v>92</v>
      </c>
      <c r="I20" s="146">
        <v>112</v>
      </c>
      <c r="J20" s="146">
        <v>89</v>
      </c>
      <c r="K20" s="146">
        <v>128</v>
      </c>
      <c r="L20" s="146">
        <v>260</v>
      </c>
      <c r="M20" s="146">
        <v>412</v>
      </c>
      <c r="N20" s="146">
        <v>322</v>
      </c>
      <c r="O20" s="146">
        <v>507</v>
      </c>
      <c r="P20" s="146">
        <v>513</v>
      </c>
      <c r="Q20" s="146">
        <v>398</v>
      </c>
      <c r="R20" s="118">
        <f>((Q20/G20)^(1/($H$2-$H$1) ))-1</f>
        <v>0.23556097712522672</v>
      </c>
      <c r="S20" s="31">
        <f t="shared" si="5"/>
        <v>0.17</v>
      </c>
      <c r="T20" s="152">
        <f t="shared" si="2"/>
        <v>465.65999999999997</v>
      </c>
      <c r="U20" s="152">
        <f t="shared" ref="U20:U22" si="43">T20*(1+$S20)</f>
        <v>544.82219999999995</v>
      </c>
      <c r="V20" s="152">
        <f t="shared" ref="V20:V22" si="44">U20*(1+$S20)</f>
        <v>637.44197399999996</v>
      </c>
      <c r="W20" s="152">
        <f t="shared" ref="W20:W22" si="45">V20*(1+$S20)</f>
        <v>745.80710957999986</v>
      </c>
      <c r="X20" s="152">
        <f t="shared" ref="X20:X22" si="46">W20*(1+$S20)</f>
        <v>872.59431820859982</v>
      </c>
      <c r="Y20" s="152">
        <f t="shared" ref="Y20:Y22" si="47">X20*(1+$S20)</f>
        <v>1020.9353523040617</v>
      </c>
      <c r="Z20" s="152">
        <f t="shared" ref="Z20:Z22" si="48">Y20*(1+$S20)</f>
        <v>1194.494362195752</v>
      </c>
      <c r="AA20" s="152">
        <f t="shared" ref="AA20:AA22" si="49">Z20*(1+$S20)</f>
        <v>1397.5584037690298</v>
      </c>
      <c r="AB20" s="152">
        <f t="shared" ref="AB20:AB22" si="50">AA20*(1+$S20)</f>
        <v>1635.1433324097648</v>
      </c>
      <c r="AC20" s="152">
        <f t="shared" ref="AC20:AC22" si="51">AB20*(1+$S20)</f>
        <v>1913.1176989194246</v>
      </c>
      <c r="AD20" s="137">
        <f t="shared" ref="AD20:AD22" si="52">((AC20/G20)^(1/($AC$3-$H$1) ))-1</f>
        <v>0.20233370710319654</v>
      </c>
      <c r="AE20" s="31">
        <f t="shared" si="15"/>
        <v>0.05</v>
      </c>
      <c r="AF20" s="145">
        <f t="shared" si="1"/>
        <v>15452.104491272275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-41</v>
      </c>
      <c r="H21" s="146">
        <v>-70</v>
      </c>
      <c r="I21" s="146">
        <v>-77</v>
      </c>
      <c r="J21" s="146">
        <v>-125</v>
      </c>
      <c r="K21" s="146">
        <v>-290</v>
      </c>
      <c r="L21" s="146">
        <v>-228</v>
      </c>
      <c r="M21" s="146">
        <v>-345</v>
      </c>
      <c r="N21" s="146">
        <v>-37</v>
      </c>
      <c r="O21" s="146">
        <v>-231</v>
      </c>
      <c r="P21" s="146">
        <v>-197</v>
      </c>
      <c r="Q21" s="146">
        <v>-140</v>
      </c>
      <c r="R21" s="118">
        <f>((Q21/G21)^(1/($H$2-$H$1) ))-1</f>
        <v>0.13066622155602348</v>
      </c>
      <c r="S21" s="31">
        <f t="shared" si="5"/>
        <v>0.17</v>
      </c>
      <c r="T21" s="152">
        <f t="shared" si="2"/>
        <v>-163.79999999999998</v>
      </c>
      <c r="U21" s="152">
        <f t="shared" si="43"/>
        <v>-191.64599999999996</v>
      </c>
      <c r="V21" s="152">
        <f t="shared" si="44"/>
        <v>-224.22581999999994</v>
      </c>
      <c r="W21" s="152">
        <f t="shared" si="45"/>
        <v>-262.3442093999999</v>
      </c>
      <c r="X21" s="152">
        <f t="shared" si="46"/>
        <v>-306.94272499799985</v>
      </c>
      <c r="Y21" s="152">
        <f t="shared" si="47"/>
        <v>-359.1229882476598</v>
      </c>
      <c r="Z21" s="152">
        <f t="shared" si="48"/>
        <v>-420.17389624976192</v>
      </c>
      <c r="AA21" s="152">
        <f t="shared" si="49"/>
        <v>-491.6034586122214</v>
      </c>
      <c r="AB21" s="152">
        <f t="shared" si="50"/>
        <v>-575.17604657629897</v>
      </c>
      <c r="AC21" s="152">
        <f t="shared" si="51"/>
        <v>-672.95597449426975</v>
      </c>
      <c r="AD21" s="137">
        <f t="shared" si="52"/>
        <v>0.15016497913149274</v>
      </c>
      <c r="AE21" s="31">
        <f t="shared" si="15"/>
        <v>0.05</v>
      </c>
      <c r="AF21" s="145">
        <f t="shared" si="1"/>
        <v>-5435.4136401460255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-7</v>
      </c>
      <c r="H22" s="146">
        <v>-18</v>
      </c>
      <c r="I22" s="146">
        <v>-35</v>
      </c>
      <c r="J22" s="146">
        <v>47</v>
      </c>
      <c r="K22" s="146">
        <v>288</v>
      </c>
      <c r="L22" s="146">
        <v>-54</v>
      </c>
      <c r="M22" s="146">
        <v>-160</v>
      </c>
      <c r="N22" s="146">
        <v>-246</v>
      </c>
      <c r="O22" s="146">
        <v>-285</v>
      </c>
      <c r="P22" s="146">
        <v>-625</v>
      </c>
      <c r="Q22" s="146">
        <v>-220</v>
      </c>
      <c r="R22" s="118">
        <f>((Q22/G22)^(1/($H$2-$H$1) ))-1</f>
        <v>0.41166765524842264</v>
      </c>
      <c r="S22" s="31">
        <f t="shared" si="5"/>
        <v>0.17</v>
      </c>
      <c r="T22" s="152">
        <f t="shared" si="2"/>
        <v>-257.39999999999998</v>
      </c>
      <c r="U22" s="152">
        <f t="shared" si="43"/>
        <v>-301.15799999999996</v>
      </c>
      <c r="V22" s="152">
        <f t="shared" si="44"/>
        <v>-352.35485999999992</v>
      </c>
      <c r="W22" s="152">
        <f t="shared" si="45"/>
        <v>-412.25518619999986</v>
      </c>
      <c r="X22" s="152">
        <f t="shared" si="46"/>
        <v>-482.33856785399979</v>
      </c>
      <c r="Y22" s="152">
        <f t="shared" si="47"/>
        <v>-564.33612438917976</v>
      </c>
      <c r="Z22" s="152">
        <f t="shared" si="48"/>
        <v>-660.27326553534033</v>
      </c>
      <c r="AA22" s="152">
        <f t="shared" si="49"/>
        <v>-772.51972067634813</v>
      </c>
      <c r="AB22" s="152">
        <f t="shared" si="50"/>
        <v>-903.84807319132722</v>
      </c>
      <c r="AC22" s="152">
        <f t="shared" si="51"/>
        <v>-1057.5022456338527</v>
      </c>
      <c r="AD22" s="137">
        <f t="shared" si="52"/>
        <v>0.2851658090070146</v>
      </c>
      <c r="AE22" s="31">
        <f t="shared" si="15"/>
        <v>0.05</v>
      </c>
      <c r="AF22" s="145">
        <f t="shared" si="1"/>
        <v>-8541.3642916580411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v>7.44</v>
      </c>
      <c r="H23" s="146">
        <v>11.66</v>
      </c>
      <c r="I23" s="146">
        <v>12</v>
      </c>
      <c r="J23" s="146">
        <v>23</v>
      </c>
      <c r="K23" s="146">
        <v>148.5</v>
      </c>
      <c r="L23" s="146">
        <v>127</v>
      </c>
      <c r="M23" s="146">
        <v>33</v>
      </c>
      <c r="N23" s="146">
        <v>72</v>
      </c>
      <c r="O23" s="146">
        <v>62</v>
      </c>
      <c r="P23" s="146">
        <v>51</v>
      </c>
      <c r="Q23" s="146">
        <v>88</v>
      </c>
      <c r="R23" s="118">
        <f>((Q23/G23)^(1/($H$2-$H$1) ))-1</f>
        <v>0.28023876611516974</v>
      </c>
      <c r="S23" s="31">
        <f t="shared" si="5"/>
        <v>0.17</v>
      </c>
      <c r="T23" s="152">
        <f t="shared" si="2"/>
        <v>102.96</v>
      </c>
      <c r="U23" s="152">
        <f t="shared" ref="U23" si="53">T23*(1+$S23)</f>
        <v>120.46319999999999</v>
      </c>
      <c r="V23" s="152">
        <f t="shared" ref="V23" si="54">U23*(1+$S23)</f>
        <v>140.94194399999998</v>
      </c>
      <c r="W23" s="152">
        <f t="shared" ref="W23" si="55">V23*(1+$S23)</f>
        <v>164.90207447999995</v>
      </c>
      <c r="X23" s="152">
        <f t="shared" ref="X23" si="56">W23*(1+$S23)</f>
        <v>192.93542714159994</v>
      </c>
      <c r="Y23" s="152">
        <f t="shared" ref="Y23" si="57">X23*(1+$S23)</f>
        <v>225.73444975567193</v>
      </c>
      <c r="Z23" s="152">
        <f t="shared" ref="Z23" si="58">Y23*(1+$S23)</f>
        <v>264.10930621413615</v>
      </c>
      <c r="AA23" s="152">
        <f t="shared" ref="AA23" si="59">Z23*(1+$S23)</f>
        <v>309.0078882705393</v>
      </c>
      <c r="AB23" s="152">
        <f t="shared" ref="AB23" si="60">AA23*(1+$S23)</f>
        <v>361.53922927653093</v>
      </c>
      <c r="AC23" s="152">
        <f t="shared" ref="AC23" si="61">AB23*(1+$S23)</f>
        <v>423.00089825354115</v>
      </c>
      <c r="AD23" s="137">
        <f t="shared" ref="AD23" si="62">((AC23/G23)^(1/($AC$3-$H$1) ))-1</f>
        <v>0.22387881604133852</v>
      </c>
      <c r="AE23" s="31">
        <f t="shared" si="15"/>
        <v>0.05</v>
      </c>
      <c r="AF23" s="145">
        <f t="shared" si="1"/>
        <v>3416.5457166632168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2">
        <f t="shared" si="2"/>
        <v>0</v>
      </c>
      <c r="U24" s="152"/>
      <c r="V24" s="152"/>
      <c r="W24" s="152"/>
      <c r="X24" s="152"/>
      <c r="Y24" s="152"/>
      <c r="Z24" s="152"/>
      <c r="AA24" s="152"/>
      <c r="AB24" s="152"/>
      <c r="AC24" s="152"/>
      <c r="AD24" s="119"/>
      <c r="AE24" s="136"/>
      <c r="AF24" s="152"/>
    </row>
    <row r="25" spans="2:32" x14ac:dyDescent="0.2">
      <c r="B25" s="20" t="s">
        <v>89</v>
      </c>
      <c r="C25" s="140"/>
      <c r="D25" s="140"/>
      <c r="E25" s="146"/>
      <c r="F25" s="146"/>
      <c r="G25" s="146">
        <v>675</v>
      </c>
      <c r="H25" s="146">
        <v>777</v>
      </c>
      <c r="I25" s="146">
        <v>949</v>
      </c>
      <c r="J25" s="146">
        <v>1290</v>
      </c>
      <c r="K25" s="146">
        <v>1767</v>
      </c>
      <c r="L25" s="146">
        <v>1978</v>
      </c>
      <c r="M25" s="146">
        <v>2247</v>
      </c>
      <c r="N25" s="146">
        <v>2748</v>
      </c>
      <c r="O25" s="146">
        <v>3194</v>
      </c>
      <c r="P25" s="146">
        <v>3802</v>
      </c>
      <c r="Q25" s="146">
        <v>4380</v>
      </c>
      <c r="R25" s="118">
        <f>((Q25/G25)^(1/($H$2-$H$1) ))-1</f>
        <v>0.20563829398408817</v>
      </c>
      <c r="S25" s="31">
        <f t="shared" si="5"/>
        <v>0.17</v>
      </c>
      <c r="T25" s="152">
        <f t="shared" si="2"/>
        <v>5124.5999999999995</v>
      </c>
      <c r="U25" s="152">
        <f t="shared" si="34"/>
        <v>5995.7819999999992</v>
      </c>
      <c r="V25" s="152">
        <f t="shared" si="35"/>
        <v>7015.0649399999984</v>
      </c>
      <c r="W25" s="152">
        <f t="shared" si="36"/>
        <v>8207.6259797999974</v>
      </c>
      <c r="X25" s="152">
        <f t="shared" si="37"/>
        <v>9602.922396365997</v>
      </c>
      <c r="Y25" s="152">
        <f t="shared" si="38"/>
        <v>11235.419203748215</v>
      </c>
      <c r="Z25" s="152">
        <f t="shared" si="39"/>
        <v>13145.440468385412</v>
      </c>
      <c r="AA25" s="152">
        <f t="shared" si="40"/>
        <v>15380.165348010931</v>
      </c>
      <c r="AB25" s="152">
        <f t="shared" si="41"/>
        <v>17994.793457172789</v>
      </c>
      <c r="AC25" s="152">
        <f t="shared" si="42"/>
        <v>21053.908344892163</v>
      </c>
      <c r="AD25" s="137">
        <f t="shared" si="17"/>
        <v>0.18768548191909096</v>
      </c>
      <c r="AE25" s="31">
        <f t="shared" si="15"/>
        <v>0.05</v>
      </c>
      <c r="AF25" s="145">
        <f t="shared" si="1"/>
        <v>170050.79817028285</v>
      </c>
    </row>
    <row r="26" spans="2:32" s="123" customFormat="1" x14ac:dyDescent="0.2">
      <c r="B26" s="23"/>
      <c r="C26" s="147"/>
      <c r="D26" s="147"/>
      <c r="E26" s="148"/>
      <c r="F26" s="148"/>
      <c r="G26" s="149" t="e">
        <f t="shared" ref="G26:Q26" si="63">(G25-F25)/F25</f>
        <v>#DIV/0!</v>
      </c>
      <c r="H26" s="149">
        <f t="shared" si="63"/>
        <v>0.15111111111111111</v>
      </c>
      <c r="I26" s="149">
        <f t="shared" si="63"/>
        <v>0.22136422136422138</v>
      </c>
      <c r="J26" s="149">
        <f t="shared" si="63"/>
        <v>0.35932560590094836</v>
      </c>
      <c r="K26" s="149">
        <f t="shared" si="63"/>
        <v>0.36976744186046512</v>
      </c>
      <c r="L26" s="149">
        <f t="shared" si="63"/>
        <v>0.11941143180531975</v>
      </c>
      <c r="M26" s="149">
        <f t="shared" si="63"/>
        <v>0.13599595551061677</v>
      </c>
      <c r="N26" s="149">
        <f t="shared" si="63"/>
        <v>0.22296395193591456</v>
      </c>
      <c r="O26" s="149">
        <f t="shared" si="63"/>
        <v>0.16229985443959244</v>
      </c>
      <c r="P26" s="149">
        <f t="shared" si="63"/>
        <v>0.19035691922354414</v>
      </c>
      <c r="Q26" s="149">
        <f t="shared" si="63"/>
        <v>0.15202524986849028</v>
      </c>
      <c r="R26" s="128"/>
      <c r="S26" s="20"/>
      <c r="T26" s="152"/>
      <c r="U26" s="153"/>
      <c r="V26" s="153"/>
      <c r="W26" s="153"/>
      <c r="X26" s="153"/>
      <c r="Y26" s="153"/>
      <c r="Z26" s="153"/>
      <c r="AA26" s="153"/>
      <c r="AB26" s="153"/>
      <c r="AC26" s="153"/>
      <c r="AD26" s="119"/>
      <c r="AE26" s="136"/>
      <c r="AF26" s="152"/>
    </row>
    <row r="27" spans="2:32" x14ac:dyDescent="0.2">
      <c r="B27" s="20" t="s">
        <v>261</v>
      </c>
      <c r="C27" s="140"/>
      <c r="D27" s="140"/>
      <c r="E27" s="146"/>
      <c r="F27" s="146"/>
      <c r="G27" s="146">
        <v>558</v>
      </c>
      <c r="H27" s="146">
        <v>640</v>
      </c>
      <c r="I27" s="146">
        <v>789</v>
      </c>
      <c r="J27" s="146">
        <v>1102</v>
      </c>
      <c r="K27" s="146">
        <v>1489</v>
      </c>
      <c r="L27" s="146">
        <v>1748</v>
      </c>
      <c r="M27" s="146">
        <v>1831</v>
      </c>
      <c r="N27" s="146">
        <v>2249</v>
      </c>
      <c r="O27" s="146">
        <v>2666</v>
      </c>
      <c r="P27" s="146">
        <v>3130</v>
      </c>
      <c r="Q27" s="146">
        <v>3670</v>
      </c>
      <c r="R27" s="118">
        <f>((Q27/G27)^(1/($H$2-$H$1) ))-1</f>
        <v>0.20726660233110805</v>
      </c>
      <c r="S27" s="31">
        <f t="shared" si="5"/>
        <v>0.17</v>
      </c>
      <c r="T27" s="152">
        <f t="shared" si="2"/>
        <v>4293.8999999999996</v>
      </c>
      <c r="U27" s="152">
        <f t="shared" si="34"/>
        <v>5023.8629999999994</v>
      </c>
      <c r="V27" s="152">
        <f t="shared" si="35"/>
        <v>5877.9197099999992</v>
      </c>
      <c r="W27" s="152">
        <f t="shared" si="36"/>
        <v>6877.1660606999985</v>
      </c>
      <c r="X27" s="152">
        <f t="shared" si="37"/>
        <v>8046.2842910189975</v>
      </c>
      <c r="Y27" s="152">
        <f t="shared" si="38"/>
        <v>9414.1526204922266</v>
      </c>
      <c r="Z27" s="152">
        <f t="shared" si="39"/>
        <v>11014.558565975904</v>
      </c>
      <c r="AA27" s="152">
        <f t="shared" si="40"/>
        <v>12887.033522191807</v>
      </c>
      <c r="AB27" s="152">
        <f t="shared" si="41"/>
        <v>15077.829220964413</v>
      </c>
      <c r="AC27" s="152">
        <f t="shared" si="42"/>
        <v>17641.060188528361</v>
      </c>
      <c r="AD27" s="137">
        <f t="shared" si="17"/>
        <v>0.18848724213909684</v>
      </c>
      <c r="AE27" s="31">
        <f t="shared" si="15"/>
        <v>0.05</v>
      </c>
      <c r="AF27" s="145">
        <f t="shared" si="1"/>
        <v>142485.48613811369</v>
      </c>
    </row>
    <row r="28" spans="2:32" s="123" customFormat="1" x14ac:dyDescent="0.2">
      <c r="B28" s="23"/>
      <c r="C28" s="147"/>
      <c r="D28" s="147"/>
      <c r="E28" s="148"/>
      <c r="F28" s="148"/>
      <c r="G28" s="149" t="e">
        <f t="shared" ref="G28:Q28" si="64">(G27-F27)/F27</f>
        <v>#DIV/0!</v>
      </c>
      <c r="H28" s="149">
        <f t="shared" si="64"/>
        <v>0.14695340501792115</v>
      </c>
      <c r="I28" s="149">
        <f t="shared" si="64"/>
        <v>0.23281250000000001</v>
      </c>
      <c r="J28" s="149">
        <f t="shared" si="64"/>
        <v>0.39670468948035487</v>
      </c>
      <c r="K28" s="149">
        <f t="shared" si="64"/>
        <v>0.35117967332123412</v>
      </c>
      <c r="L28" s="149">
        <f t="shared" si="64"/>
        <v>0.17394224311618536</v>
      </c>
      <c r="M28" s="149">
        <f t="shared" si="64"/>
        <v>4.7482837528604119E-2</v>
      </c>
      <c r="N28" s="149">
        <f t="shared" si="64"/>
        <v>0.22829055161114145</v>
      </c>
      <c r="O28" s="149">
        <f t="shared" si="64"/>
        <v>0.18541574032903513</v>
      </c>
      <c r="P28" s="149">
        <f t="shared" si="64"/>
        <v>0.17404351087771944</v>
      </c>
      <c r="Q28" s="149">
        <f t="shared" si="64"/>
        <v>0.17252396166134185</v>
      </c>
      <c r="R28" s="128"/>
      <c r="S28" s="20"/>
      <c r="T28" s="152"/>
      <c r="U28" s="153"/>
      <c r="V28" s="153"/>
      <c r="W28" s="153"/>
      <c r="X28" s="153"/>
      <c r="Y28" s="153"/>
      <c r="Z28" s="153"/>
      <c r="AA28" s="153"/>
      <c r="AB28" s="153"/>
      <c r="AC28" s="153"/>
      <c r="AD28" s="119"/>
      <c r="AE28" s="136"/>
      <c r="AF28" s="152"/>
    </row>
    <row r="29" spans="2:32" s="123" customFormat="1" x14ac:dyDescent="0.2">
      <c r="B29" s="20" t="s">
        <v>322</v>
      </c>
      <c r="C29" s="147"/>
      <c r="D29" s="147"/>
      <c r="E29" s="148"/>
      <c r="F29" s="146"/>
      <c r="G29" s="146">
        <v>1E-3</v>
      </c>
      <c r="H29" s="146">
        <v>4</v>
      </c>
      <c r="I29" s="146">
        <v>3.8</v>
      </c>
      <c r="J29" s="146">
        <v>9.59</v>
      </c>
      <c r="K29" s="146">
        <v>24</v>
      </c>
      <c r="L29" s="146">
        <v>44</v>
      </c>
      <c r="M29" s="146">
        <v>38</v>
      </c>
      <c r="N29" s="146">
        <v>36</v>
      </c>
      <c r="O29" s="146">
        <v>31</v>
      </c>
      <c r="P29" s="146">
        <v>22</v>
      </c>
      <c r="Q29" s="146">
        <v>16</v>
      </c>
      <c r="R29" s="118">
        <f>((Q29/G29)^(1/($H$2-$H$1) ))-1</f>
        <v>1.6327644086684749</v>
      </c>
      <c r="S29" s="31">
        <f t="shared" si="5"/>
        <v>0.17</v>
      </c>
      <c r="T29" s="152">
        <f t="shared" si="2"/>
        <v>18.72</v>
      </c>
      <c r="U29" s="152">
        <f t="shared" ref="U29" si="65">T29*(1+$S29)</f>
        <v>21.902399999999997</v>
      </c>
      <c r="V29" s="152">
        <f t="shared" ref="V29" si="66">U29*(1+$S29)</f>
        <v>25.625807999999996</v>
      </c>
      <c r="W29" s="152">
        <f t="shared" ref="W29" si="67">V29*(1+$S29)</f>
        <v>29.982195359999992</v>
      </c>
      <c r="X29" s="152">
        <f t="shared" ref="X29" si="68">W29*(1+$S29)</f>
        <v>35.079168571199986</v>
      </c>
      <c r="Y29" s="152">
        <f t="shared" ref="Y29" si="69">X29*(1+$S29)</f>
        <v>41.042627228303978</v>
      </c>
      <c r="Z29" s="152">
        <f t="shared" ref="Z29" si="70">Y29*(1+$S29)</f>
        <v>48.019873857115648</v>
      </c>
      <c r="AA29" s="152">
        <f t="shared" ref="AA29" si="71">Z29*(1+$S29)</f>
        <v>56.183252412825304</v>
      </c>
      <c r="AB29" s="152">
        <f t="shared" ref="AB29" si="72">AA29*(1+$S29)</f>
        <v>65.734405323005603</v>
      </c>
      <c r="AC29" s="152">
        <f t="shared" ref="AC29" si="73">AB29*(1+$S29)</f>
        <v>76.909254227916549</v>
      </c>
      <c r="AD29" s="137">
        <f t="shared" ref="AD29" si="74">((AC29/G29)^(1/($AC$3-$H$1) ))-1</f>
        <v>0.75508813400983255</v>
      </c>
      <c r="AE29" s="31">
        <f t="shared" si="15"/>
        <v>0.05</v>
      </c>
      <c r="AF29" s="145">
        <f t="shared" ref="AF29" si="75">(AC29*(1+AE29))/($C$1-AE29)</f>
        <v>621.19013030240285</v>
      </c>
    </row>
    <row r="30" spans="2:32" s="123" customFormat="1" x14ac:dyDescent="0.2">
      <c r="B30" s="23"/>
      <c r="C30" s="147"/>
      <c r="D30" s="147"/>
      <c r="E30" s="148"/>
      <c r="F30" s="148"/>
      <c r="G30" s="149" t="e">
        <f t="shared" ref="G30:Q30" si="76">(G29-F29)/F29</f>
        <v>#DIV/0!</v>
      </c>
      <c r="H30" s="149">
        <f t="shared" si="76"/>
        <v>3999</v>
      </c>
      <c r="I30" s="149">
        <f t="shared" si="76"/>
        <v>-5.0000000000000044E-2</v>
      </c>
      <c r="J30" s="149">
        <f t="shared" si="76"/>
        <v>1.523684210526316</v>
      </c>
      <c r="K30" s="149">
        <f t="shared" si="76"/>
        <v>1.502606882168926</v>
      </c>
      <c r="L30" s="149">
        <f t="shared" si="76"/>
        <v>0.83333333333333337</v>
      </c>
      <c r="M30" s="149">
        <f t="shared" si="76"/>
        <v>-0.13636363636363635</v>
      </c>
      <c r="N30" s="149">
        <f t="shared" si="76"/>
        <v>-5.2631578947368418E-2</v>
      </c>
      <c r="O30" s="149">
        <f t="shared" si="76"/>
        <v>-0.1388888888888889</v>
      </c>
      <c r="P30" s="149">
        <f t="shared" si="76"/>
        <v>-0.29032258064516131</v>
      </c>
      <c r="Q30" s="149">
        <f t="shared" si="76"/>
        <v>-0.27272727272727271</v>
      </c>
      <c r="R30" s="128"/>
      <c r="S30" s="20"/>
      <c r="T30" s="152"/>
      <c r="U30" s="153"/>
      <c r="V30" s="153"/>
      <c r="W30" s="153"/>
      <c r="X30" s="153"/>
      <c r="Y30" s="153"/>
      <c r="Z30" s="153"/>
      <c r="AA30" s="153"/>
      <c r="AB30" s="153"/>
      <c r="AC30" s="153"/>
      <c r="AD30" s="160"/>
      <c r="AE30" s="136"/>
      <c r="AF30" s="152"/>
    </row>
    <row r="31" spans="2:32" x14ac:dyDescent="0.2">
      <c r="B31" s="20" t="s">
        <v>330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0.17</v>
      </c>
      <c r="T31" s="152">
        <f t="shared" si="2"/>
        <v>0</v>
      </c>
      <c r="U31" s="152">
        <f>T31*(1+$S31)</f>
        <v>0</v>
      </c>
      <c r="V31" s="152">
        <f t="shared" ref="V31:AC32" si="77">U31*(1+$S31)</f>
        <v>0</v>
      </c>
      <c r="W31" s="152">
        <f t="shared" si="77"/>
        <v>0</v>
      </c>
      <c r="X31" s="152">
        <f t="shared" si="77"/>
        <v>0</v>
      </c>
      <c r="Y31" s="152">
        <f t="shared" si="77"/>
        <v>0</v>
      </c>
      <c r="Z31" s="152">
        <f t="shared" si="77"/>
        <v>0</v>
      </c>
      <c r="AA31" s="152">
        <f t="shared" si="77"/>
        <v>0</v>
      </c>
      <c r="AB31" s="152">
        <f t="shared" si="77"/>
        <v>0</v>
      </c>
      <c r="AC31" s="152">
        <f t="shared" si="77"/>
        <v>0</v>
      </c>
      <c r="AD31" s="137" t="e">
        <f t="shared" ref="AD31" si="78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329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0.17</v>
      </c>
      <c r="T32" s="152">
        <f t="shared" si="2"/>
        <v>0</v>
      </c>
      <c r="U32" s="152">
        <f>T32*(1+$S32)</f>
        <v>0</v>
      </c>
      <c r="V32" s="152">
        <f t="shared" si="77"/>
        <v>0</v>
      </c>
      <c r="W32" s="152">
        <f t="shared" si="77"/>
        <v>0</v>
      </c>
      <c r="X32" s="152">
        <f t="shared" si="77"/>
        <v>0</v>
      </c>
      <c r="Y32" s="152">
        <f t="shared" si="77"/>
        <v>0</v>
      </c>
      <c r="Z32" s="152">
        <f t="shared" si="77"/>
        <v>0</v>
      </c>
      <c r="AA32" s="152">
        <f t="shared" si="77"/>
        <v>0</v>
      </c>
      <c r="AB32" s="152">
        <f t="shared" si="77"/>
        <v>0</v>
      </c>
      <c r="AC32" s="152">
        <f t="shared" si="77"/>
        <v>0</v>
      </c>
      <c r="AD32" s="137" t="e">
        <f t="shared" ref="AD32" si="79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1:32" x14ac:dyDescent="0.2">
      <c r="B33" s="20" t="s">
        <v>489</v>
      </c>
      <c r="C33" s="140"/>
      <c r="D33" s="140"/>
      <c r="E33" s="146"/>
      <c r="F33" s="146"/>
      <c r="G33" s="146">
        <v>361</v>
      </c>
      <c r="H33" s="146">
        <v>471</v>
      </c>
      <c r="I33" s="146">
        <v>560</v>
      </c>
      <c r="J33" s="146">
        <v>790</v>
      </c>
      <c r="K33" s="146">
        <v>1060</v>
      </c>
      <c r="L33" s="146">
        <v>1262</v>
      </c>
      <c r="M33" s="146">
        <v>1272</v>
      </c>
      <c r="N33" s="146">
        <v>1605</v>
      </c>
      <c r="O33" s="146">
        <v>1787</v>
      </c>
      <c r="P33" s="146">
        <v>2072</v>
      </c>
      <c r="Q33" s="146">
        <v>2432</v>
      </c>
      <c r="R33" s="118">
        <f>((Q33/G33)^(1/($H$2-$H$1) ))-1</f>
        <v>0.21016792197957024</v>
      </c>
      <c r="S33" s="31">
        <f t="shared" si="5"/>
        <v>0.17</v>
      </c>
      <c r="T33" s="152">
        <f t="shared" si="2"/>
        <v>2845.4399999999996</v>
      </c>
      <c r="U33" s="152">
        <f t="shared" si="34"/>
        <v>3329.1647999999991</v>
      </c>
      <c r="V33" s="152">
        <f t="shared" si="35"/>
        <v>3895.1228159999987</v>
      </c>
      <c r="W33" s="152">
        <f t="shared" si="36"/>
        <v>4557.2936947199978</v>
      </c>
      <c r="X33" s="152">
        <f t="shared" si="37"/>
        <v>5332.0336228223969</v>
      </c>
      <c r="Y33" s="152">
        <f t="shared" si="38"/>
        <v>6238.4793387022037</v>
      </c>
      <c r="Z33" s="152">
        <f t="shared" si="39"/>
        <v>7299.0208262815777</v>
      </c>
      <c r="AA33" s="152">
        <f t="shared" si="40"/>
        <v>8539.854366749445</v>
      </c>
      <c r="AB33" s="152">
        <f t="shared" si="41"/>
        <v>9991.6296090968499</v>
      </c>
      <c r="AC33" s="152">
        <f t="shared" si="42"/>
        <v>11690.206642643314</v>
      </c>
      <c r="AD33" s="137">
        <f t="shared" si="17"/>
        <v>0.18991447958082142</v>
      </c>
      <c r="AE33" s="31">
        <f t="shared" si="15"/>
        <v>0.05</v>
      </c>
      <c r="AF33" s="145">
        <f t="shared" si="1"/>
        <v>94420.899805965222</v>
      </c>
    </row>
    <row r="34" spans="1:32" x14ac:dyDescent="0.2">
      <c r="B34" s="20" t="s">
        <v>307</v>
      </c>
      <c r="C34" s="140"/>
      <c r="D34" s="140"/>
      <c r="E34" s="146"/>
      <c r="F34" s="146"/>
      <c r="G34" s="146">
        <v>56</v>
      </c>
      <c r="H34" s="146">
        <v>67</v>
      </c>
      <c r="I34" s="146">
        <v>85</v>
      </c>
      <c r="J34" s="146">
        <v>109</v>
      </c>
      <c r="K34" s="146">
        <v>164</v>
      </c>
      <c r="L34" s="146">
        <v>221</v>
      </c>
      <c r="M34" s="146">
        <v>252</v>
      </c>
      <c r="N34" s="146">
        <v>290</v>
      </c>
      <c r="O34" s="146">
        <v>326</v>
      </c>
      <c r="P34" s="146">
        <v>375</v>
      </c>
      <c r="Q34" s="146">
        <v>442</v>
      </c>
      <c r="R34" s="118">
        <f>((Q34/G34)^(1/($H$2-$H$1) ))-1</f>
        <v>0.22948553681281725</v>
      </c>
      <c r="S34" s="31">
        <f t="shared" si="5"/>
        <v>0.17</v>
      </c>
      <c r="T34" s="152">
        <f t="shared" si="2"/>
        <v>517.14</v>
      </c>
      <c r="U34" s="152">
        <f t="shared" si="34"/>
        <v>605.05379999999991</v>
      </c>
      <c r="V34" s="152">
        <f t="shared" si="35"/>
        <v>707.91294599999981</v>
      </c>
      <c r="W34" s="152">
        <f t="shared" si="36"/>
        <v>828.25814681999975</v>
      </c>
      <c r="X34" s="152">
        <f t="shared" si="37"/>
        <v>969.0620317793996</v>
      </c>
      <c r="Y34" s="152">
        <f t="shared" si="38"/>
        <v>1133.8025771818975</v>
      </c>
      <c r="Z34" s="152">
        <f t="shared" si="39"/>
        <v>1326.54901530282</v>
      </c>
      <c r="AA34" s="152">
        <f t="shared" si="40"/>
        <v>1552.0623479042993</v>
      </c>
      <c r="AB34" s="152">
        <f t="shared" si="41"/>
        <v>1815.91294704803</v>
      </c>
      <c r="AC34" s="152">
        <f t="shared" si="42"/>
        <v>2124.6181480461951</v>
      </c>
      <c r="AD34" s="137">
        <f t="shared" si="17"/>
        <v>0.19937403593332648</v>
      </c>
      <c r="AE34" s="31">
        <f t="shared" si="15"/>
        <v>0.05</v>
      </c>
      <c r="AF34" s="145">
        <f t="shared" si="1"/>
        <v>17160.377349603881</v>
      </c>
    </row>
    <row r="35" spans="1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38"/>
      <c r="AE35" s="136"/>
      <c r="AF35" s="152"/>
    </row>
    <row r="36" spans="1:32" x14ac:dyDescent="0.2">
      <c r="A36" s="205" t="s">
        <v>482</v>
      </c>
      <c r="B36" s="200" t="s">
        <v>476</v>
      </c>
      <c r="C36" s="140"/>
      <c r="D36" s="140"/>
      <c r="E36" s="146"/>
      <c r="F36" s="146"/>
      <c r="G36" s="203">
        <f>H36</f>
        <v>0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118" t="e">
        <f t="shared" ref="R36:R45" si="80">((Q36/G36)^(1/($H$2-$H$1) ))-1</f>
        <v>#DIV/0!</v>
      </c>
      <c r="S36" s="31">
        <f t="shared" si="5"/>
        <v>0.17</v>
      </c>
      <c r="T36" s="152">
        <f t="shared" ref="T36:T49" si="81">Q36*(1+$S36)</f>
        <v>0</v>
      </c>
      <c r="U36" s="152">
        <f t="shared" ref="U36:U49" si="82">T36*(1+$S36)</f>
        <v>0</v>
      </c>
      <c r="V36" s="152">
        <f t="shared" ref="V36:V49" si="83">U36*(1+$S36)</f>
        <v>0</v>
      </c>
      <c r="W36" s="152">
        <f t="shared" ref="W36:W49" si="84">V36*(1+$S36)</f>
        <v>0</v>
      </c>
      <c r="X36" s="152">
        <f t="shared" ref="X36:X49" si="85">W36*(1+$S36)</f>
        <v>0</v>
      </c>
      <c r="Y36" s="152">
        <f t="shared" ref="Y36:Y49" si="86">X36*(1+$S36)</f>
        <v>0</v>
      </c>
      <c r="Z36" s="152">
        <f t="shared" ref="Z36:Z49" si="87">Y36*(1+$S36)</f>
        <v>0</v>
      </c>
      <c r="AA36" s="152">
        <f t="shared" ref="AA36:AA49" si="88">Z36*(1+$S36)</f>
        <v>0</v>
      </c>
      <c r="AB36" s="152">
        <f t="shared" ref="AB36:AB49" si="89">AA36*(1+$S36)</f>
        <v>0</v>
      </c>
      <c r="AC36" s="152">
        <f t="shared" ref="AC36:AC49" si="90">AB36*(1+$S36)</f>
        <v>0</v>
      </c>
      <c r="AD36" s="137" t="e">
        <f t="shared" ref="AD36:AD49" si="91">((AC36/G36)^(1/($AC$3-$H$1) ))-1</f>
        <v>#DIV/0!</v>
      </c>
      <c r="AE36" s="31">
        <f t="shared" si="15"/>
        <v>0.05</v>
      </c>
      <c r="AF36" s="145">
        <f t="shared" ref="AF36:AF49" si="92">(AC36*(1+AE36))/($C$1-AE36)</f>
        <v>0</v>
      </c>
    </row>
    <row r="37" spans="1:32" x14ac:dyDescent="0.2">
      <c r="A37" s="205"/>
      <c r="B37" s="200"/>
      <c r="C37" s="140"/>
      <c r="D37" s="140"/>
      <c r="E37" s="146"/>
      <c r="F37" s="146"/>
      <c r="G37" s="149" t="e">
        <f t="shared" ref="G37" si="93">(G36-F36)/F36</f>
        <v>#DIV/0!</v>
      </c>
      <c r="H37" s="149" t="e">
        <f t="shared" ref="H37" si="94">(H36-G36)/G36</f>
        <v>#DIV/0!</v>
      </c>
      <c r="I37" s="149" t="e">
        <f t="shared" ref="I37" si="95">(I36-H36)/H36</f>
        <v>#DIV/0!</v>
      </c>
      <c r="J37" s="149" t="e">
        <f t="shared" ref="J37" si="96">(J36-I36)/I36</f>
        <v>#DIV/0!</v>
      </c>
      <c r="K37" s="149" t="e">
        <f t="shared" ref="K37" si="97">(K36-J36)/J36</f>
        <v>#DIV/0!</v>
      </c>
      <c r="L37" s="149" t="e">
        <f t="shared" ref="L37" si="98">(L36-K36)/K36</f>
        <v>#DIV/0!</v>
      </c>
      <c r="M37" s="149" t="e">
        <f t="shared" ref="M37" si="99">(M36-L36)/L36</f>
        <v>#DIV/0!</v>
      </c>
      <c r="N37" s="149" t="e">
        <f t="shared" ref="N37" si="100">(N36-M36)/M36</f>
        <v>#DIV/0!</v>
      </c>
      <c r="O37" s="149" t="e">
        <f t="shared" ref="O37" si="101">(O36-N36)/N36</f>
        <v>#DIV/0!</v>
      </c>
      <c r="P37" s="149" t="e">
        <f t="shared" ref="P37" si="102">(P36-O36)/O36</f>
        <v>#DIV/0!</v>
      </c>
      <c r="Q37" s="149" t="e">
        <f t="shared" ref="Q37" si="103">(Q36-P36)/P36</f>
        <v>#DIV/0!</v>
      </c>
      <c r="R37" s="128"/>
      <c r="S37" s="20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45"/>
    </row>
    <row r="38" spans="1:32" x14ac:dyDescent="0.2">
      <c r="A38" s="205"/>
      <c r="B38" s="200" t="s">
        <v>477</v>
      </c>
      <c r="C38" s="140"/>
      <c r="D38" s="140"/>
      <c r="E38" s="146"/>
      <c r="F38" s="146"/>
      <c r="G38" s="203">
        <f>H38</f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118" t="e">
        <f t="shared" si="80"/>
        <v>#DIV/0!</v>
      </c>
      <c r="S38" s="31">
        <f t="shared" si="5"/>
        <v>0.17</v>
      </c>
      <c r="T38" s="152">
        <f t="shared" si="81"/>
        <v>0</v>
      </c>
      <c r="U38" s="152">
        <f t="shared" si="82"/>
        <v>0</v>
      </c>
      <c r="V38" s="152">
        <f t="shared" si="83"/>
        <v>0</v>
      </c>
      <c r="W38" s="152">
        <f t="shared" si="84"/>
        <v>0</v>
      </c>
      <c r="X38" s="152">
        <f t="shared" si="85"/>
        <v>0</v>
      </c>
      <c r="Y38" s="152">
        <f t="shared" si="86"/>
        <v>0</v>
      </c>
      <c r="Z38" s="152">
        <f t="shared" si="87"/>
        <v>0</v>
      </c>
      <c r="AA38" s="152">
        <f t="shared" si="88"/>
        <v>0</v>
      </c>
      <c r="AB38" s="152">
        <f t="shared" si="89"/>
        <v>0</v>
      </c>
      <c r="AC38" s="152">
        <f t="shared" si="90"/>
        <v>0</v>
      </c>
      <c r="AD38" s="137" t="e">
        <f t="shared" si="91"/>
        <v>#DIV/0!</v>
      </c>
      <c r="AE38" s="31">
        <f t="shared" si="15"/>
        <v>0.05</v>
      </c>
      <c r="AF38" s="145">
        <f t="shared" si="92"/>
        <v>0</v>
      </c>
    </row>
    <row r="39" spans="1:32" x14ac:dyDescent="0.2">
      <c r="A39" s="205"/>
      <c r="B39" s="200"/>
      <c r="C39" s="140"/>
      <c r="D39" s="140"/>
      <c r="E39" s="146"/>
      <c r="F39" s="146"/>
      <c r="G39" s="149" t="e">
        <f t="shared" ref="G39" si="104">(G38-F38)/F38</f>
        <v>#DIV/0!</v>
      </c>
      <c r="H39" s="149" t="e">
        <f t="shared" ref="H39" si="105">(H38-G38)/G38</f>
        <v>#DIV/0!</v>
      </c>
      <c r="I39" s="149" t="e">
        <f t="shared" ref="I39" si="106">(I38-H38)/H38</f>
        <v>#DIV/0!</v>
      </c>
      <c r="J39" s="149" t="e">
        <f t="shared" ref="J39" si="107">(J38-I38)/I38</f>
        <v>#DIV/0!</v>
      </c>
      <c r="K39" s="149" t="e">
        <f t="shared" ref="K39" si="108">(K38-J38)/J38</f>
        <v>#DIV/0!</v>
      </c>
      <c r="L39" s="149" t="e">
        <f t="shared" ref="L39" si="109">(L38-K38)/K38</f>
        <v>#DIV/0!</v>
      </c>
      <c r="M39" s="149" t="e">
        <f t="shared" ref="M39" si="110">(M38-L38)/L38</f>
        <v>#DIV/0!</v>
      </c>
      <c r="N39" s="149" t="e">
        <f t="shared" ref="N39" si="111">(N38-M38)/M38</f>
        <v>#DIV/0!</v>
      </c>
      <c r="O39" s="149" t="e">
        <f t="shared" ref="O39" si="112">(O38-N38)/N38</f>
        <v>#DIV/0!</v>
      </c>
      <c r="P39" s="149" t="e">
        <f t="shared" ref="P39" si="113">(P38-O38)/O38</f>
        <v>#DIV/0!</v>
      </c>
      <c r="Q39" s="149" t="e">
        <f t="shared" ref="Q39" si="114">(Q38-P38)/P38</f>
        <v>#DIV/0!</v>
      </c>
      <c r="R39" s="128"/>
      <c r="S39" s="20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45"/>
    </row>
    <row r="40" spans="1:32" x14ac:dyDescent="0.2">
      <c r="A40" s="205"/>
      <c r="B40" s="200" t="s">
        <v>481</v>
      </c>
      <c r="C40" s="140"/>
      <c r="D40" s="140"/>
      <c r="E40" s="146"/>
      <c r="F40" s="146"/>
      <c r="G40" s="203">
        <f>H40</f>
        <v>0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118" t="e">
        <f t="shared" si="80"/>
        <v>#DIV/0!</v>
      </c>
      <c r="S40" s="31">
        <f t="shared" si="5"/>
        <v>0.17</v>
      </c>
      <c r="T40" s="152">
        <f t="shared" si="81"/>
        <v>0</v>
      </c>
      <c r="U40" s="152">
        <f t="shared" si="82"/>
        <v>0</v>
      </c>
      <c r="V40" s="152">
        <f t="shared" si="83"/>
        <v>0</v>
      </c>
      <c r="W40" s="152">
        <f t="shared" si="84"/>
        <v>0</v>
      </c>
      <c r="X40" s="152">
        <f t="shared" si="85"/>
        <v>0</v>
      </c>
      <c r="Y40" s="152">
        <f t="shared" si="86"/>
        <v>0</v>
      </c>
      <c r="Z40" s="152">
        <f t="shared" si="87"/>
        <v>0</v>
      </c>
      <c r="AA40" s="152">
        <f t="shared" si="88"/>
        <v>0</v>
      </c>
      <c r="AB40" s="152">
        <f t="shared" si="89"/>
        <v>0</v>
      </c>
      <c r="AC40" s="152">
        <f t="shared" si="90"/>
        <v>0</v>
      </c>
      <c r="AD40" s="137" t="e">
        <f t="shared" si="91"/>
        <v>#DIV/0!</v>
      </c>
      <c r="AE40" s="31">
        <f t="shared" si="15"/>
        <v>0.05</v>
      </c>
      <c r="AF40" s="145">
        <f t="shared" si="92"/>
        <v>0</v>
      </c>
    </row>
    <row r="41" spans="1:32" x14ac:dyDescent="0.2">
      <c r="A41" s="205"/>
      <c r="B41" s="200" t="s">
        <v>478</v>
      </c>
      <c r="C41" s="140"/>
      <c r="D41" s="140"/>
      <c r="E41" s="146"/>
      <c r="F41" s="146"/>
      <c r="G41" s="203">
        <f>H41</f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118" t="e">
        <f t="shared" si="80"/>
        <v>#DIV/0!</v>
      </c>
      <c r="S41" s="31">
        <f t="shared" si="5"/>
        <v>0.17</v>
      </c>
      <c r="T41" s="152">
        <f t="shared" si="81"/>
        <v>0</v>
      </c>
      <c r="U41" s="152">
        <f t="shared" si="82"/>
        <v>0</v>
      </c>
      <c r="V41" s="152">
        <f t="shared" si="83"/>
        <v>0</v>
      </c>
      <c r="W41" s="152">
        <f t="shared" si="84"/>
        <v>0</v>
      </c>
      <c r="X41" s="152">
        <f t="shared" si="85"/>
        <v>0</v>
      </c>
      <c r="Y41" s="152">
        <f t="shared" si="86"/>
        <v>0</v>
      </c>
      <c r="Z41" s="152">
        <f t="shared" si="87"/>
        <v>0</v>
      </c>
      <c r="AA41" s="152">
        <f t="shared" si="88"/>
        <v>0</v>
      </c>
      <c r="AB41" s="152">
        <f t="shared" si="89"/>
        <v>0</v>
      </c>
      <c r="AC41" s="152">
        <f t="shared" si="90"/>
        <v>0</v>
      </c>
      <c r="AD41" s="137" t="e">
        <f t="shared" si="91"/>
        <v>#DIV/0!</v>
      </c>
      <c r="AE41" s="31">
        <f t="shared" si="15"/>
        <v>0.05</v>
      </c>
      <c r="AF41" s="145">
        <f t="shared" si="92"/>
        <v>0</v>
      </c>
    </row>
    <row r="42" spans="1:32" x14ac:dyDescent="0.2">
      <c r="A42" s="205"/>
      <c r="B42" s="200" t="s">
        <v>480</v>
      </c>
      <c r="C42" s="140"/>
      <c r="D42" s="140"/>
      <c r="E42" s="146"/>
      <c r="F42" s="146"/>
      <c r="G42" s="203">
        <f>H42</f>
        <v>0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118" t="e">
        <f t="shared" si="80"/>
        <v>#DIV/0!</v>
      </c>
      <c r="S42" s="31">
        <f t="shared" si="5"/>
        <v>0.17</v>
      </c>
      <c r="T42" s="152">
        <f t="shared" si="81"/>
        <v>0</v>
      </c>
      <c r="U42" s="152">
        <f t="shared" si="82"/>
        <v>0</v>
      </c>
      <c r="V42" s="152">
        <f t="shared" si="83"/>
        <v>0</v>
      </c>
      <c r="W42" s="152">
        <f t="shared" si="84"/>
        <v>0</v>
      </c>
      <c r="X42" s="152">
        <f t="shared" si="85"/>
        <v>0</v>
      </c>
      <c r="Y42" s="152">
        <f t="shared" si="86"/>
        <v>0</v>
      </c>
      <c r="Z42" s="152">
        <f t="shared" si="87"/>
        <v>0</v>
      </c>
      <c r="AA42" s="152">
        <f t="shared" si="88"/>
        <v>0</v>
      </c>
      <c r="AB42" s="152">
        <f t="shared" si="89"/>
        <v>0</v>
      </c>
      <c r="AC42" s="152">
        <f t="shared" si="90"/>
        <v>0</v>
      </c>
      <c r="AD42" s="137" t="e">
        <f t="shared" si="91"/>
        <v>#DIV/0!</v>
      </c>
      <c r="AE42" s="31">
        <f t="shared" si="15"/>
        <v>0.05</v>
      </c>
      <c r="AF42" s="145">
        <f t="shared" si="92"/>
        <v>0</v>
      </c>
    </row>
    <row r="43" spans="1:32" x14ac:dyDescent="0.2">
      <c r="A43" s="205"/>
      <c r="B43" s="200" t="s">
        <v>479</v>
      </c>
      <c r="C43" s="140"/>
      <c r="D43" s="140"/>
      <c r="E43" s="146"/>
      <c r="F43" s="146"/>
      <c r="G43" s="203">
        <f>H43</f>
        <v>0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118" t="e">
        <f t="shared" si="80"/>
        <v>#DIV/0!</v>
      </c>
      <c r="S43" s="31">
        <f t="shared" si="5"/>
        <v>0.17</v>
      </c>
      <c r="T43" s="152">
        <f t="shared" si="81"/>
        <v>0</v>
      </c>
      <c r="U43" s="152">
        <f t="shared" si="82"/>
        <v>0</v>
      </c>
      <c r="V43" s="152">
        <f t="shared" si="83"/>
        <v>0</v>
      </c>
      <c r="W43" s="152">
        <f t="shared" si="84"/>
        <v>0</v>
      </c>
      <c r="X43" s="152">
        <f t="shared" si="85"/>
        <v>0</v>
      </c>
      <c r="Y43" s="152">
        <f t="shared" si="86"/>
        <v>0</v>
      </c>
      <c r="Z43" s="152">
        <f t="shared" si="87"/>
        <v>0</v>
      </c>
      <c r="AA43" s="152">
        <f t="shared" si="88"/>
        <v>0</v>
      </c>
      <c r="AB43" s="152">
        <f t="shared" si="89"/>
        <v>0</v>
      </c>
      <c r="AC43" s="152">
        <f t="shared" si="90"/>
        <v>0</v>
      </c>
      <c r="AD43" s="137" t="e">
        <f t="shared" si="91"/>
        <v>#DIV/0!</v>
      </c>
      <c r="AE43" s="31">
        <f t="shared" si="15"/>
        <v>0.05</v>
      </c>
      <c r="AF43" s="145">
        <f t="shared" si="92"/>
        <v>0</v>
      </c>
    </row>
    <row r="44" spans="1:32" x14ac:dyDescent="0.2">
      <c r="A44" s="205"/>
      <c r="B44" s="200"/>
      <c r="C44" s="140"/>
      <c r="D44" s="140"/>
      <c r="E44" s="146"/>
      <c r="F44" s="146"/>
      <c r="G44" s="149" t="e">
        <f t="shared" ref="G44" si="115">(G43-F43)/F43</f>
        <v>#DIV/0!</v>
      </c>
      <c r="H44" s="149" t="e">
        <f t="shared" ref="H44" si="116">(H43-G43)/G43</f>
        <v>#DIV/0!</v>
      </c>
      <c r="I44" s="149" t="e">
        <f t="shared" ref="I44" si="117">(I43-H43)/H43</f>
        <v>#DIV/0!</v>
      </c>
      <c r="J44" s="149" t="e">
        <f t="shared" ref="J44" si="118">(J43-I43)/I43</f>
        <v>#DIV/0!</v>
      </c>
      <c r="K44" s="149" t="e">
        <f t="shared" ref="K44" si="119">(K43-J43)/J43</f>
        <v>#DIV/0!</v>
      </c>
      <c r="L44" s="149" t="e">
        <f t="shared" ref="L44" si="120">(L43-K43)/K43</f>
        <v>#DIV/0!</v>
      </c>
      <c r="M44" s="149" t="e">
        <f t="shared" ref="M44" si="121">(M43-L43)/L43</f>
        <v>#DIV/0!</v>
      </c>
      <c r="N44" s="149" t="e">
        <f t="shared" ref="N44" si="122">(N43-M43)/M43</f>
        <v>#DIV/0!</v>
      </c>
      <c r="O44" s="149" t="e">
        <f t="shared" ref="O44" si="123">(O43-N43)/N43</f>
        <v>#DIV/0!</v>
      </c>
      <c r="P44" s="149" t="e">
        <f t="shared" ref="P44" si="124">(P43-O43)/O43</f>
        <v>#DIV/0!</v>
      </c>
      <c r="Q44" s="149" t="e">
        <f t="shared" ref="Q44" si="125">(Q43-P43)/P43</f>
        <v>#DIV/0!</v>
      </c>
      <c r="R44" s="128"/>
      <c r="S44" s="20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45"/>
    </row>
    <row r="45" spans="1:32" x14ac:dyDescent="0.2">
      <c r="A45" s="205"/>
      <c r="B45" s="200" t="s">
        <v>218</v>
      </c>
      <c r="C45" s="140"/>
      <c r="D45" s="140"/>
      <c r="E45" s="146"/>
      <c r="F45" s="146"/>
      <c r="G45" s="203">
        <f>H45</f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118" t="e">
        <f t="shared" si="80"/>
        <v>#DIV/0!</v>
      </c>
      <c r="S45" s="31">
        <f t="shared" si="5"/>
        <v>0.17</v>
      </c>
      <c r="T45" s="152">
        <f t="shared" si="81"/>
        <v>0</v>
      </c>
      <c r="U45" s="152">
        <f t="shared" si="82"/>
        <v>0</v>
      </c>
      <c r="V45" s="152">
        <f t="shared" si="83"/>
        <v>0</v>
      </c>
      <c r="W45" s="152">
        <f t="shared" si="84"/>
        <v>0</v>
      </c>
      <c r="X45" s="152">
        <f t="shared" si="85"/>
        <v>0</v>
      </c>
      <c r="Y45" s="152">
        <f t="shared" si="86"/>
        <v>0</v>
      </c>
      <c r="Z45" s="152">
        <f t="shared" si="87"/>
        <v>0</v>
      </c>
      <c r="AA45" s="152">
        <f t="shared" si="88"/>
        <v>0</v>
      </c>
      <c r="AB45" s="152">
        <f t="shared" si="89"/>
        <v>0</v>
      </c>
      <c r="AC45" s="152">
        <f t="shared" si="90"/>
        <v>0</v>
      </c>
      <c r="AD45" s="137" t="e">
        <f t="shared" si="91"/>
        <v>#DIV/0!</v>
      </c>
      <c r="AE45" s="31">
        <f t="shared" si="15"/>
        <v>0.05</v>
      </c>
      <c r="AF45" s="145">
        <f t="shared" si="92"/>
        <v>0</v>
      </c>
    </row>
    <row r="46" spans="1:32" x14ac:dyDescent="0.2">
      <c r="A46" s="201"/>
      <c r="B46" s="200"/>
      <c r="C46" s="140"/>
      <c r="D46" s="140"/>
      <c r="E46" s="146"/>
      <c r="F46" s="146"/>
      <c r="G46" s="149" t="e">
        <f t="shared" ref="G46" si="126">(G45-F45)/F45</f>
        <v>#DIV/0!</v>
      </c>
      <c r="H46" s="149" t="e">
        <f t="shared" ref="H46" si="127">(H45-G45)/G45</f>
        <v>#DIV/0!</v>
      </c>
      <c r="I46" s="149" t="e">
        <f t="shared" ref="I46" si="128">(I45-H45)/H45</f>
        <v>#DIV/0!</v>
      </c>
      <c r="J46" s="149" t="e">
        <f t="shared" ref="J46" si="129">(J45-I45)/I45</f>
        <v>#DIV/0!</v>
      </c>
      <c r="K46" s="149" t="e">
        <f t="shared" ref="K46" si="130">(K45-J45)/J45</f>
        <v>#DIV/0!</v>
      </c>
      <c r="L46" s="149" t="e">
        <f t="shared" ref="L46" si="131">(L45-K45)/K45</f>
        <v>#DIV/0!</v>
      </c>
      <c r="M46" s="149" t="e">
        <f t="shared" ref="M46" si="132">(M45-L45)/L45</f>
        <v>#DIV/0!</v>
      </c>
      <c r="N46" s="149" t="e">
        <f t="shared" ref="N46" si="133">(N45-M45)/M45</f>
        <v>#DIV/0!</v>
      </c>
      <c r="O46" s="149" t="e">
        <f t="shared" ref="O46" si="134">(O45-N45)/N45</f>
        <v>#DIV/0!</v>
      </c>
      <c r="P46" s="149" t="e">
        <f t="shared" ref="P46" si="135">(P45-O45)/O45</f>
        <v>#DIV/0!</v>
      </c>
      <c r="Q46" s="149" t="e">
        <f t="shared" ref="Q46" si="136">(Q45-P45)/P45</f>
        <v>#DIV/0!</v>
      </c>
      <c r="R46" s="128"/>
      <c r="S46" s="20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45"/>
    </row>
    <row r="47" spans="1:32" x14ac:dyDescent="0.2">
      <c r="A47" s="201"/>
      <c r="B47" s="200" t="s">
        <v>493</v>
      </c>
      <c r="C47" s="140"/>
      <c r="D47" s="140"/>
      <c r="E47" s="146"/>
      <c r="F47" s="146"/>
      <c r="G47" s="203">
        <f>H47</f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118" t="e">
        <f t="shared" ref="R47" si="137">((Q47/G47)^(1/($H$2-$H$1) ))-1</f>
        <v>#DIV/0!</v>
      </c>
      <c r="S47" s="31">
        <f t="shared" si="5"/>
        <v>0.17</v>
      </c>
      <c r="T47" s="152">
        <f t="shared" ref="T47" si="138">Q47*(1+$S47)</f>
        <v>0</v>
      </c>
      <c r="U47" s="152">
        <f t="shared" ref="U47" si="139">T47*(1+$S47)</f>
        <v>0</v>
      </c>
      <c r="V47" s="152">
        <f t="shared" ref="V47" si="140">U47*(1+$S47)</f>
        <v>0</v>
      </c>
      <c r="W47" s="152">
        <f t="shared" ref="W47" si="141">V47*(1+$S47)</f>
        <v>0</v>
      </c>
      <c r="X47" s="152">
        <f t="shared" ref="X47" si="142">W47*(1+$S47)</f>
        <v>0</v>
      </c>
      <c r="Y47" s="152">
        <f t="shared" ref="Y47" si="143">X47*(1+$S47)</f>
        <v>0</v>
      </c>
      <c r="Z47" s="152">
        <f t="shared" ref="Z47" si="144">Y47*(1+$S47)</f>
        <v>0</v>
      </c>
      <c r="AA47" s="152">
        <f t="shared" ref="AA47" si="145">Z47*(1+$S47)</f>
        <v>0</v>
      </c>
      <c r="AB47" s="152">
        <f t="shared" ref="AB47" si="146">AA47*(1+$S47)</f>
        <v>0</v>
      </c>
      <c r="AC47" s="152">
        <f t="shared" ref="AC47" si="147">AB47*(1+$S47)</f>
        <v>0</v>
      </c>
      <c r="AD47" s="137" t="e">
        <f t="shared" ref="AD47" si="148">((AC47/G47)^(1/($AC$3-$H$1) ))-1</f>
        <v>#DIV/0!</v>
      </c>
      <c r="AE47" s="31">
        <f t="shared" si="15"/>
        <v>0.05</v>
      </c>
      <c r="AF47" s="145">
        <f t="shared" si="92"/>
        <v>0</v>
      </c>
    </row>
    <row r="48" spans="1:32" x14ac:dyDescent="0.2">
      <c r="A48" s="201"/>
      <c r="B48" s="200"/>
      <c r="C48" s="140"/>
      <c r="D48" s="140"/>
      <c r="E48" s="146"/>
      <c r="F48" s="146"/>
      <c r="G48" s="149" t="e">
        <f t="shared" ref="G48" si="149">(G47-F47)/F47</f>
        <v>#DIV/0!</v>
      </c>
      <c r="H48" s="149" t="e">
        <f t="shared" ref="H48" si="150">(H47-G47)/G47</f>
        <v>#DIV/0!</v>
      </c>
      <c r="I48" s="149" t="e">
        <f t="shared" ref="I48" si="151">(I47-H47)/H47</f>
        <v>#DIV/0!</v>
      </c>
      <c r="J48" s="149" t="e">
        <f t="shared" ref="J48" si="152">(J47-I47)/I47</f>
        <v>#DIV/0!</v>
      </c>
      <c r="K48" s="149" t="e">
        <f t="shared" ref="K48" si="153">(K47-J47)/J47</f>
        <v>#DIV/0!</v>
      </c>
      <c r="L48" s="149" t="e">
        <f t="shared" ref="L48" si="154">(L47-K47)/K47</f>
        <v>#DIV/0!</v>
      </c>
      <c r="M48" s="149" t="e">
        <f t="shared" ref="M48" si="155">(M47-L47)/L47</f>
        <v>#DIV/0!</v>
      </c>
      <c r="N48" s="149" t="e">
        <f t="shared" ref="N48" si="156">(N47-M47)/M47</f>
        <v>#DIV/0!</v>
      </c>
      <c r="O48" s="149" t="e">
        <f t="shared" ref="O48" si="157">(O47-N47)/N47</f>
        <v>#DIV/0!</v>
      </c>
      <c r="P48" s="149" t="e">
        <f t="shared" ref="P48" si="158">(P47-O47)/O47</f>
        <v>#DIV/0!</v>
      </c>
      <c r="Q48" s="149" t="e">
        <f t="shared" ref="Q48" si="159">(Q47-P47)/P47</f>
        <v>#DIV/0!</v>
      </c>
      <c r="R48" s="128"/>
      <c r="S48" s="20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45"/>
    </row>
    <row r="49" spans="1:32" x14ac:dyDescent="0.2">
      <c r="A49" s="201"/>
      <c r="B49" s="200" t="s">
        <v>483</v>
      </c>
      <c r="C49" s="140"/>
      <c r="D49" s="140"/>
      <c r="E49" s="146"/>
      <c r="F49" s="146"/>
      <c r="G49" s="203">
        <f>H49</f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118" t="e">
        <f t="shared" ref="R49" si="160">((Q49/G49)^(1/($H$2-$H$1) ))-1</f>
        <v>#DIV/0!</v>
      </c>
      <c r="S49" s="31">
        <f t="shared" si="5"/>
        <v>0.17</v>
      </c>
      <c r="T49" s="152">
        <f t="shared" si="81"/>
        <v>0</v>
      </c>
      <c r="U49" s="152">
        <f t="shared" si="82"/>
        <v>0</v>
      </c>
      <c r="V49" s="152">
        <f t="shared" si="83"/>
        <v>0</v>
      </c>
      <c r="W49" s="152">
        <f t="shared" si="84"/>
        <v>0</v>
      </c>
      <c r="X49" s="152">
        <f t="shared" si="85"/>
        <v>0</v>
      </c>
      <c r="Y49" s="152">
        <f t="shared" si="86"/>
        <v>0</v>
      </c>
      <c r="Z49" s="152">
        <f t="shared" si="87"/>
        <v>0</v>
      </c>
      <c r="AA49" s="152">
        <f t="shared" si="88"/>
        <v>0</v>
      </c>
      <c r="AB49" s="152">
        <f t="shared" si="89"/>
        <v>0</v>
      </c>
      <c r="AC49" s="152">
        <f t="shared" si="90"/>
        <v>0</v>
      </c>
      <c r="AD49" s="137" t="e">
        <f t="shared" si="91"/>
        <v>#DIV/0!</v>
      </c>
      <c r="AE49" s="31">
        <f t="shared" si="15"/>
        <v>0.05</v>
      </c>
      <c r="AF49" s="145">
        <f t="shared" si="92"/>
        <v>0</v>
      </c>
    </row>
    <row r="50" spans="1:32" x14ac:dyDescent="0.2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28"/>
      <c r="S50" s="20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38"/>
      <c r="AE50" s="136"/>
      <c r="AF50" s="152"/>
    </row>
    <row r="51" spans="1:32" x14ac:dyDescent="0.2">
      <c r="B51" s="20" t="s">
        <v>278</v>
      </c>
      <c r="C51" s="140"/>
      <c r="D51" s="140"/>
      <c r="E51" s="146"/>
      <c r="F51" s="146"/>
      <c r="G51" s="146">
        <v>108</v>
      </c>
      <c r="H51" s="146">
        <v>128</v>
      </c>
      <c r="I51" s="146">
        <v>145</v>
      </c>
      <c r="J51" s="146">
        <v>172</v>
      </c>
      <c r="K51" s="146">
        <v>251</v>
      </c>
      <c r="L51" s="146">
        <v>242</v>
      </c>
      <c r="M51" s="146">
        <v>398</v>
      </c>
      <c r="N51" s="146">
        <v>464</v>
      </c>
      <c r="O51" s="146">
        <v>494</v>
      </c>
      <c r="P51" s="146">
        <v>599</v>
      </c>
      <c r="Q51" s="146">
        <v>671</v>
      </c>
      <c r="R51" s="118">
        <f>((Q51/G51)^(1/($H$2-$H$1) ))-1</f>
        <v>0.20041075131151209</v>
      </c>
      <c r="S51" s="31">
        <f t="shared" si="5"/>
        <v>0.17</v>
      </c>
      <c r="T51" s="152">
        <f t="shared" si="2"/>
        <v>785.06999999999994</v>
      </c>
      <c r="U51" s="152">
        <f t="shared" ref="U51" si="161">T51*(1+$S51)</f>
        <v>918.53189999999984</v>
      </c>
      <c r="V51" s="152">
        <f t="shared" ref="V51" si="162">U51*(1+$S51)</f>
        <v>1074.6823229999998</v>
      </c>
      <c r="W51" s="152">
        <f t="shared" ref="W51" si="163">V51*(1+$S51)</f>
        <v>1257.3783179099996</v>
      </c>
      <c r="X51" s="152">
        <f t="shared" si="37"/>
        <v>1471.1326319546995</v>
      </c>
      <c r="Y51" s="152">
        <f t="shared" si="38"/>
        <v>1721.2251793869982</v>
      </c>
      <c r="Z51" s="152">
        <f t="shared" si="39"/>
        <v>2013.8334598827878</v>
      </c>
      <c r="AA51" s="152">
        <f t="shared" si="40"/>
        <v>2356.1851480628616</v>
      </c>
      <c r="AB51" s="152">
        <f t="shared" si="41"/>
        <v>2756.736623233548</v>
      </c>
      <c r="AC51" s="152">
        <f t="shared" si="42"/>
        <v>3225.3818491832508</v>
      </c>
      <c r="AD51" s="137">
        <f t="shared" si="17"/>
        <v>0.185107834348617</v>
      </c>
      <c r="AE51" s="31">
        <f t="shared" si="15"/>
        <v>0.05</v>
      </c>
      <c r="AF51" s="145">
        <f t="shared" si="1"/>
        <v>26051.161089557023</v>
      </c>
    </row>
    <row r="52" spans="1:32" s="123" customFormat="1" x14ac:dyDescent="0.2">
      <c r="B52" s="23"/>
      <c r="C52" s="147"/>
      <c r="D52" s="147"/>
      <c r="E52" s="148"/>
      <c r="F52" s="148"/>
      <c r="G52" s="149" t="e">
        <f t="shared" ref="G52:Q52" si="164">(G51-F51)/F51</f>
        <v>#DIV/0!</v>
      </c>
      <c r="H52" s="149">
        <f t="shared" si="164"/>
        <v>0.18518518518518517</v>
      </c>
      <c r="I52" s="149">
        <f t="shared" si="164"/>
        <v>0.1328125</v>
      </c>
      <c r="J52" s="149">
        <f t="shared" si="164"/>
        <v>0.18620689655172415</v>
      </c>
      <c r="K52" s="149">
        <f t="shared" si="164"/>
        <v>0.45930232558139533</v>
      </c>
      <c r="L52" s="149">
        <f t="shared" si="164"/>
        <v>-3.5856573705179286E-2</v>
      </c>
      <c r="M52" s="149">
        <f t="shared" si="164"/>
        <v>0.64462809917355368</v>
      </c>
      <c r="N52" s="149">
        <f t="shared" si="164"/>
        <v>0.16582914572864321</v>
      </c>
      <c r="O52" s="149">
        <f t="shared" si="164"/>
        <v>6.4655172413793108E-2</v>
      </c>
      <c r="P52" s="149">
        <f t="shared" si="164"/>
        <v>0.2125506072874494</v>
      </c>
      <c r="Q52" s="149">
        <f t="shared" si="164"/>
        <v>0.12020033388981637</v>
      </c>
      <c r="R52" s="128"/>
      <c r="S52" s="20"/>
      <c r="T52" s="152"/>
      <c r="U52" s="153"/>
      <c r="V52" s="153"/>
      <c r="W52" s="153"/>
      <c r="X52" s="153"/>
      <c r="Y52" s="153"/>
      <c r="Z52" s="153"/>
      <c r="AA52" s="153"/>
      <c r="AB52" s="153"/>
      <c r="AC52" s="153"/>
      <c r="AD52" s="138"/>
      <c r="AE52" s="136"/>
      <c r="AF52" s="154"/>
    </row>
    <row r="53" spans="1:32" s="123" customFormat="1" x14ac:dyDescent="0.2">
      <c r="B53" s="20" t="s">
        <v>398</v>
      </c>
      <c r="C53" s="147"/>
      <c r="D53" s="147"/>
      <c r="E53" s="148"/>
      <c r="F53" s="148"/>
      <c r="G53" s="146">
        <v>92</v>
      </c>
      <c r="H53" s="146">
        <v>105</v>
      </c>
      <c r="I53" s="146">
        <v>131</v>
      </c>
      <c r="J53" s="146">
        <v>146</v>
      </c>
      <c r="K53" s="146">
        <v>208</v>
      </c>
      <c r="L53" s="146">
        <v>127</v>
      </c>
      <c r="M53" s="146">
        <v>311</v>
      </c>
      <c r="N53" s="146">
        <v>403</v>
      </c>
      <c r="O53" s="146">
        <v>432</v>
      </c>
      <c r="P53" s="146">
        <v>581</v>
      </c>
      <c r="Q53" s="146">
        <v>612</v>
      </c>
      <c r="R53" s="118">
        <f>((Q53/G53)^(1/($H$2-$H$1) ))-1</f>
        <v>0.20863831999685378</v>
      </c>
      <c r="S53" s="31">
        <f t="shared" si="5"/>
        <v>0.17</v>
      </c>
      <c r="T53" s="152">
        <f t="shared" si="2"/>
        <v>716.04</v>
      </c>
      <c r="U53" s="152">
        <f t="shared" ref="U53" si="165">T53*(1+$S53)</f>
        <v>837.76679999999988</v>
      </c>
      <c r="V53" s="152">
        <f t="shared" ref="V53" si="166">U53*(1+$S53)</f>
        <v>980.18715599999985</v>
      </c>
      <c r="W53" s="152">
        <f t="shared" ref="W53" si="167">V53*(1+$S53)</f>
        <v>1146.8189725199998</v>
      </c>
      <c r="X53" s="152">
        <f t="shared" ref="X53" si="168">W53*(1+$S53)</f>
        <v>1341.7781978483997</v>
      </c>
      <c r="Y53" s="152">
        <f t="shared" ref="Y53" si="169">X53*(1+$S53)</f>
        <v>1569.8804914826276</v>
      </c>
      <c r="Z53" s="152">
        <f t="shared" ref="Z53" si="170">Y53*(1+$S53)</f>
        <v>1836.7601750346741</v>
      </c>
      <c r="AA53" s="152">
        <f t="shared" ref="AA53" si="171">Z53*(1+$S53)</f>
        <v>2149.0094047905686</v>
      </c>
      <c r="AB53" s="152">
        <f t="shared" ref="AB53" si="172">AA53*(1+$S53)</f>
        <v>2514.341003604965</v>
      </c>
      <c r="AC53" s="152">
        <f t="shared" ref="AC53" si="173">AB53*(1+$S53)</f>
        <v>2941.7789742178088</v>
      </c>
      <c r="AD53" s="137">
        <f t="shared" ref="AD53" si="174">((AC53/G53)^(1/($AC$3-$H$1) ))-1</f>
        <v>0.18916224056951902</v>
      </c>
      <c r="AE53" s="31">
        <f t="shared" si="15"/>
        <v>0.05</v>
      </c>
      <c r="AF53" s="145">
        <f t="shared" ref="AF53" si="175">(AC53*(1+AE53))/($C$1-AE53)</f>
        <v>23760.522484066918</v>
      </c>
    </row>
    <row r="54" spans="1:32" s="123" customFormat="1" x14ac:dyDescent="0.2">
      <c r="B54" s="23"/>
      <c r="C54" s="147"/>
      <c r="D54" s="147"/>
      <c r="E54" s="148"/>
      <c r="F54" s="148"/>
      <c r="G54" s="149" t="e">
        <f t="shared" ref="G54:Q54" si="176">(G53-F53)/F53</f>
        <v>#DIV/0!</v>
      </c>
      <c r="H54" s="149">
        <f t="shared" si="176"/>
        <v>0.14130434782608695</v>
      </c>
      <c r="I54" s="149">
        <f t="shared" si="176"/>
        <v>0.24761904761904763</v>
      </c>
      <c r="J54" s="149">
        <f t="shared" si="176"/>
        <v>0.11450381679389313</v>
      </c>
      <c r="K54" s="149">
        <f t="shared" si="176"/>
        <v>0.42465753424657532</v>
      </c>
      <c r="L54" s="149">
        <f t="shared" si="176"/>
        <v>-0.38942307692307693</v>
      </c>
      <c r="M54" s="149">
        <f t="shared" si="176"/>
        <v>1.4488188976377954</v>
      </c>
      <c r="N54" s="149">
        <f t="shared" si="176"/>
        <v>0.29581993569131831</v>
      </c>
      <c r="O54" s="149">
        <f t="shared" si="176"/>
        <v>7.1960297766749379E-2</v>
      </c>
      <c r="P54" s="149">
        <f t="shared" si="176"/>
        <v>0.34490740740740738</v>
      </c>
      <c r="Q54" s="149">
        <f t="shared" si="176"/>
        <v>5.3356282271944923E-2</v>
      </c>
      <c r="R54" s="128"/>
      <c r="S54" s="20"/>
      <c r="T54" s="152"/>
      <c r="U54" s="153"/>
      <c r="V54" s="153"/>
      <c r="W54" s="153"/>
      <c r="X54" s="153"/>
      <c r="Y54" s="153"/>
      <c r="Z54" s="153"/>
      <c r="AA54" s="153"/>
      <c r="AB54" s="153"/>
      <c r="AC54" s="153"/>
      <c r="AD54" s="138"/>
      <c r="AE54" s="136"/>
      <c r="AF54" s="154"/>
    </row>
    <row r="55" spans="1:32" x14ac:dyDescent="0.2">
      <c r="B55" s="20" t="s">
        <v>399</v>
      </c>
      <c r="C55" s="140"/>
      <c r="D55" s="140"/>
      <c r="E55" s="146"/>
      <c r="F55" s="146"/>
      <c r="G55" s="146">
        <v>61</v>
      </c>
      <c r="H55" s="146">
        <v>72</v>
      </c>
      <c r="I55" s="146">
        <v>86</v>
      </c>
      <c r="J55" s="146">
        <v>111</v>
      </c>
      <c r="K55" s="146">
        <v>171</v>
      </c>
      <c r="L55" s="146">
        <v>110</v>
      </c>
      <c r="M55" s="146">
        <v>275</v>
      </c>
      <c r="N55" s="146">
        <v>308</v>
      </c>
      <c r="O55" s="146">
        <v>322</v>
      </c>
      <c r="P55" s="146">
        <v>421</v>
      </c>
      <c r="Q55" s="146">
        <v>447</v>
      </c>
      <c r="R55" s="118">
        <f>((Q55/G55)^(1/($H$2-$H$1) ))-1</f>
        <v>0.22038755098721952</v>
      </c>
      <c r="S55" s="31">
        <f t="shared" si="5"/>
        <v>0.17</v>
      </c>
      <c r="T55" s="152">
        <f t="shared" si="2"/>
        <v>522.99</v>
      </c>
      <c r="U55" s="152">
        <f t="shared" ref="U55:AC55" si="177">T55*(1+$S55)</f>
        <v>611.89829999999995</v>
      </c>
      <c r="V55" s="152">
        <f t="shared" si="177"/>
        <v>715.92101099999991</v>
      </c>
      <c r="W55" s="152">
        <f t="shared" si="177"/>
        <v>837.62758286999986</v>
      </c>
      <c r="X55" s="152">
        <f t="shared" si="177"/>
        <v>980.02427195789983</v>
      </c>
      <c r="Y55" s="152">
        <f t="shared" si="177"/>
        <v>1146.6283981907427</v>
      </c>
      <c r="Z55" s="152">
        <f t="shared" si="177"/>
        <v>1341.555225883169</v>
      </c>
      <c r="AA55" s="152">
        <f t="shared" si="177"/>
        <v>1569.6196142833076</v>
      </c>
      <c r="AB55" s="152">
        <f t="shared" si="177"/>
        <v>1836.4549487114698</v>
      </c>
      <c r="AC55" s="152">
        <f t="shared" si="177"/>
        <v>2148.6522899924194</v>
      </c>
      <c r="AD55" s="137">
        <f t="shared" si="17"/>
        <v>0.19492821318062736</v>
      </c>
      <c r="AE55" s="31">
        <f t="shared" si="15"/>
        <v>0.05</v>
      </c>
      <c r="AF55" s="145">
        <f t="shared" si="1"/>
        <v>17354.499265323389</v>
      </c>
    </row>
    <row r="56" spans="1:32" s="123" customFormat="1" x14ac:dyDescent="0.2">
      <c r="B56" s="23"/>
      <c r="C56" s="147"/>
      <c r="D56" s="147"/>
      <c r="E56" s="148"/>
      <c r="F56" s="148"/>
      <c r="G56" s="149" t="e">
        <f t="shared" ref="G56:Q56" si="178">(G55-F55)/F55</f>
        <v>#DIV/0!</v>
      </c>
      <c r="H56" s="149">
        <f t="shared" si="178"/>
        <v>0.18032786885245902</v>
      </c>
      <c r="I56" s="149">
        <f t="shared" si="178"/>
        <v>0.19444444444444445</v>
      </c>
      <c r="J56" s="149">
        <f t="shared" si="178"/>
        <v>0.29069767441860467</v>
      </c>
      <c r="K56" s="149">
        <f t="shared" si="178"/>
        <v>0.54054054054054057</v>
      </c>
      <c r="L56" s="149">
        <f t="shared" si="178"/>
        <v>-0.35672514619883039</v>
      </c>
      <c r="M56" s="149">
        <f t="shared" si="178"/>
        <v>1.5</v>
      </c>
      <c r="N56" s="149">
        <f t="shared" si="178"/>
        <v>0.12</v>
      </c>
      <c r="O56" s="149">
        <f t="shared" si="178"/>
        <v>4.5454545454545456E-2</v>
      </c>
      <c r="P56" s="149">
        <f t="shared" si="178"/>
        <v>0.30745341614906835</v>
      </c>
      <c r="Q56" s="149">
        <f t="shared" si="178"/>
        <v>6.1757719714964368E-2</v>
      </c>
      <c r="R56" s="128"/>
      <c r="S56" s="20"/>
      <c r="T56" s="152"/>
      <c r="U56" s="153"/>
      <c r="V56" s="153"/>
      <c r="W56" s="153"/>
      <c r="X56" s="153"/>
      <c r="Y56" s="153"/>
      <c r="Z56" s="153"/>
      <c r="AA56" s="153"/>
      <c r="AB56" s="153"/>
      <c r="AC56" s="153"/>
      <c r="AD56" s="138"/>
      <c r="AE56" s="136"/>
      <c r="AF56" s="154"/>
    </row>
    <row r="57" spans="1:32" x14ac:dyDescent="0.2">
      <c r="B57" s="20" t="s">
        <v>239</v>
      </c>
      <c r="C57" s="141"/>
      <c r="D57" s="141"/>
      <c r="E57" s="144"/>
      <c r="F57" s="144"/>
      <c r="G57" s="226">
        <v>2.52</v>
      </c>
      <c r="H57" s="226">
        <v>2.52</v>
      </c>
      <c r="I57" s="226">
        <v>25.23</v>
      </c>
      <c r="J57" s="226">
        <v>25.23</v>
      </c>
      <c r="K57" s="226">
        <v>25.3</v>
      </c>
      <c r="L57" s="226">
        <v>25.3</v>
      </c>
      <c r="M57" s="226">
        <v>50.61</v>
      </c>
      <c r="N57" s="226">
        <v>50.61</v>
      </c>
      <c r="O57" s="226">
        <v>50.76</v>
      </c>
      <c r="P57" s="226">
        <v>51.26</v>
      </c>
      <c r="Q57" s="226">
        <v>51.26</v>
      </c>
      <c r="R57" s="118">
        <f>((Q57/G57)^(1/($H$2-$H$1) ))-1</f>
        <v>0.35156770536796045</v>
      </c>
      <c r="S57" s="31">
        <v>0.02</v>
      </c>
      <c r="T57" s="152">
        <f t="shared" si="2"/>
        <v>52.285199999999996</v>
      </c>
      <c r="U57" s="152">
        <f>T57*(1+$S57)</f>
        <v>53.330903999999997</v>
      </c>
      <c r="V57" s="152">
        <f t="shared" ref="V57:AC57" si="179">U57*(1+$S57)</f>
        <v>54.397522079999995</v>
      </c>
      <c r="W57" s="152">
        <f t="shared" si="179"/>
        <v>55.485472521599995</v>
      </c>
      <c r="X57" s="152">
        <f t="shared" si="179"/>
        <v>56.595181972031995</v>
      </c>
      <c r="Y57" s="152">
        <f t="shared" si="179"/>
        <v>57.727085611472639</v>
      </c>
      <c r="Z57" s="152">
        <f t="shared" si="179"/>
        <v>58.881627323702091</v>
      </c>
      <c r="AA57" s="152">
        <f t="shared" si="179"/>
        <v>60.059259870176135</v>
      </c>
      <c r="AB57" s="152">
        <f t="shared" si="179"/>
        <v>61.26044506757966</v>
      </c>
      <c r="AC57" s="152">
        <f t="shared" si="179"/>
        <v>62.485653968931253</v>
      </c>
      <c r="AD57" s="137">
        <f t="shared" si="17"/>
        <v>0.17413758115278788</v>
      </c>
      <c r="AE57" s="31">
        <f t="shared" si="15"/>
        <v>0.05</v>
      </c>
      <c r="AF57" s="145">
        <f t="shared" si="1"/>
        <v>504.69182051829091</v>
      </c>
    </row>
    <row r="58" spans="1:32" x14ac:dyDescent="0.2">
      <c r="B58" s="20"/>
      <c r="C58" s="141"/>
      <c r="D58" s="141"/>
      <c r="E58" s="142"/>
      <c r="F58" s="146"/>
      <c r="G58" s="149" t="e">
        <f t="shared" ref="G58:Q58" si="180">(G57-F57)/F57</f>
        <v>#DIV/0!</v>
      </c>
      <c r="H58" s="149">
        <f t="shared" si="180"/>
        <v>0</v>
      </c>
      <c r="I58" s="149">
        <f t="shared" si="180"/>
        <v>9.0119047619047628</v>
      </c>
      <c r="J58" s="149">
        <f t="shared" si="180"/>
        <v>0</v>
      </c>
      <c r="K58" s="149">
        <f t="shared" si="180"/>
        <v>2.7744748315497534E-3</v>
      </c>
      <c r="L58" s="149">
        <f t="shared" si="180"/>
        <v>0</v>
      </c>
      <c r="M58" s="149">
        <f t="shared" si="180"/>
        <v>1.000395256916996</v>
      </c>
      <c r="N58" s="149">
        <f t="shared" si="180"/>
        <v>0</v>
      </c>
      <c r="O58" s="149">
        <f t="shared" si="180"/>
        <v>2.9638411381149692E-3</v>
      </c>
      <c r="P58" s="149">
        <f t="shared" si="180"/>
        <v>9.8502758077226166E-3</v>
      </c>
      <c r="Q58" s="149">
        <f t="shared" si="180"/>
        <v>0</v>
      </c>
      <c r="R58" s="128"/>
      <c r="S58" s="20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38"/>
      <c r="AE58" s="136"/>
      <c r="AF58" s="145"/>
    </row>
    <row r="59" spans="1:32" x14ac:dyDescent="0.2">
      <c r="B59" s="20" t="s">
        <v>282</v>
      </c>
      <c r="C59" s="144"/>
      <c r="D59" s="144"/>
      <c r="E59" s="144"/>
      <c r="F59" s="146"/>
      <c r="G59" s="226">
        <v>8</v>
      </c>
      <c r="H59" s="226">
        <v>8</v>
      </c>
      <c r="I59" s="226">
        <v>1.25</v>
      </c>
      <c r="J59" s="226">
        <v>1.5</v>
      </c>
      <c r="K59" s="226">
        <v>1.75</v>
      </c>
      <c r="L59" s="226">
        <v>1.75</v>
      </c>
      <c r="M59" s="226">
        <v>1.5</v>
      </c>
      <c r="N59" s="226">
        <v>1.75</v>
      </c>
      <c r="O59" s="226">
        <v>1.9</v>
      </c>
      <c r="P59" s="226">
        <v>2.6</v>
      </c>
      <c r="Q59" s="226">
        <v>2.7</v>
      </c>
      <c r="R59" s="118">
        <f>((Q59/G59)^(1/($H$2-$H$1) ))-1</f>
        <v>-0.10292784236727892</v>
      </c>
      <c r="S59" s="31">
        <f>P1</f>
        <v>0.05</v>
      </c>
      <c r="T59" s="152">
        <f t="shared" si="2"/>
        <v>2.8350000000000004</v>
      </c>
      <c r="U59" s="152">
        <f t="shared" ref="U59" si="181">T59*(1+$S59)</f>
        <v>2.9767500000000005</v>
      </c>
      <c r="V59" s="152">
        <f t="shared" ref="V59" si="182">U59*(1+$S59)</f>
        <v>3.1255875000000004</v>
      </c>
      <c r="W59" s="152">
        <f t="shared" ref="W59" si="183">V59*(1+$S59)</f>
        <v>3.2818668750000004</v>
      </c>
      <c r="X59" s="152">
        <f t="shared" ref="X59" si="184">W59*(1+$S59)</f>
        <v>3.4459602187500007</v>
      </c>
      <c r="Y59" s="152">
        <f t="shared" ref="Y59" si="185">X59*(1+$S59)</f>
        <v>3.618258229687501</v>
      </c>
      <c r="Z59" s="152">
        <f t="shared" ref="Z59" si="186">Y59*(1+$S59)</f>
        <v>3.7991711411718763</v>
      </c>
      <c r="AA59" s="152">
        <f t="shared" ref="AA59" si="187">Z59*(1+$S59)</f>
        <v>3.98912969823047</v>
      </c>
      <c r="AB59" s="152">
        <f t="shared" ref="AB59" si="188">AA59*(1+$S59)</f>
        <v>4.1885861831419939</v>
      </c>
      <c r="AC59" s="152">
        <f t="shared" ref="AC59" si="189">AB59*(1+$S59)</f>
        <v>4.3980154922990939</v>
      </c>
      <c r="AD59" s="137">
        <f t="shared" ref="AD59" si="190">((AC59/G59)^(1/($AC$3-$H$1) ))-1</f>
        <v>-2.9471398919971414E-2</v>
      </c>
      <c r="AE59" s="31">
        <f t="shared" si="15"/>
        <v>0.05</v>
      </c>
      <c r="AF59" s="145">
        <f t="shared" si="1"/>
        <v>35.522432822415759</v>
      </c>
    </row>
    <row r="60" spans="1:32" x14ac:dyDescent="0.2">
      <c r="B60" s="20"/>
      <c r="C60" s="144"/>
      <c r="D60" s="144"/>
      <c r="E60" s="144"/>
      <c r="F60" s="146"/>
      <c r="G60" s="149" t="e">
        <f t="shared" ref="G60:Q60" si="191">(G59-F59)/F59</f>
        <v>#DIV/0!</v>
      </c>
      <c r="H60" s="149">
        <f t="shared" si="191"/>
        <v>0</v>
      </c>
      <c r="I60" s="149">
        <f t="shared" si="191"/>
        <v>-0.84375</v>
      </c>
      <c r="J60" s="149">
        <f t="shared" si="191"/>
        <v>0.2</v>
      </c>
      <c r="K60" s="149">
        <f t="shared" si="191"/>
        <v>0.16666666666666666</v>
      </c>
      <c r="L60" s="149">
        <f t="shared" si="191"/>
        <v>0</v>
      </c>
      <c r="M60" s="149">
        <f t="shared" si="191"/>
        <v>-0.14285714285714285</v>
      </c>
      <c r="N60" s="149">
        <f t="shared" si="191"/>
        <v>0.16666666666666666</v>
      </c>
      <c r="O60" s="149">
        <f t="shared" si="191"/>
        <v>8.571428571428566E-2</v>
      </c>
      <c r="P60" s="149">
        <f t="shared" si="191"/>
        <v>0.36842105263157904</v>
      </c>
      <c r="Q60" s="149">
        <f t="shared" si="191"/>
        <v>3.8461538461538491E-2</v>
      </c>
      <c r="R60" s="128"/>
      <c r="S60" s="20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38"/>
      <c r="AE60" s="136"/>
      <c r="AF60" s="145"/>
    </row>
    <row r="61" spans="1:32" x14ac:dyDescent="0.2">
      <c r="B61" s="20" t="s">
        <v>424</v>
      </c>
      <c r="C61" s="20"/>
      <c r="D61" s="20"/>
      <c r="E61" s="127"/>
      <c r="F61" s="127"/>
      <c r="G61" s="146">
        <v>0</v>
      </c>
      <c r="H61" s="146">
        <v>0</v>
      </c>
      <c r="I61" s="146" t="s">
        <v>495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28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38"/>
      <c r="AE61" s="136"/>
      <c r="AF61" s="152"/>
    </row>
    <row r="62" spans="1:32" x14ac:dyDescent="0.2">
      <c r="B62" s="20" t="s">
        <v>422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 t="s">
        <v>496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28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38"/>
      <c r="AE62" s="136"/>
      <c r="AF62" s="152"/>
    </row>
    <row r="63" spans="1:32" x14ac:dyDescent="0.2">
      <c r="B63" s="20" t="s">
        <v>423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28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38"/>
      <c r="AE63" s="136"/>
      <c r="AF63" s="152"/>
    </row>
    <row r="64" spans="1:32" x14ac:dyDescent="0.2">
      <c r="B64" s="20"/>
      <c r="C64" s="20"/>
      <c r="D64" s="20"/>
      <c r="E64" s="127"/>
      <c r="F64" s="127"/>
      <c r="G64" s="127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28"/>
      <c r="S64" s="128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38"/>
      <c r="AE64" s="136"/>
      <c r="AF64" s="152"/>
    </row>
    <row r="65" spans="2:32" x14ac:dyDescent="0.2">
      <c r="B65" s="108" t="s">
        <v>243</v>
      </c>
      <c r="C65" s="20"/>
      <c r="D65" s="20"/>
      <c r="E65" s="127"/>
      <c r="F65" s="127"/>
      <c r="G65" s="127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28"/>
      <c r="S65" s="128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38"/>
      <c r="AE65" s="136"/>
      <c r="AF65" s="152"/>
    </row>
    <row r="66" spans="2:32" x14ac:dyDescent="0.2">
      <c r="B66" s="20" t="s">
        <v>302</v>
      </c>
      <c r="C66" s="133"/>
      <c r="D66" s="133"/>
      <c r="E66" s="133"/>
      <c r="F66" s="133"/>
      <c r="G66" s="133">
        <f t="shared" ref="G66:P66" si="192">G25/G57</f>
        <v>267.85714285714283</v>
      </c>
      <c r="H66" s="133">
        <f t="shared" si="192"/>
        <v>308.33333333333331</v>
      </c>
      <c r="I66" s="133">
        <f t="shared" si="192"/>
        <v>37.613951644867221</v>
      </c>
      <c r="J66" s="133">
        <f t="shared" si="192"/>
        <v>51.129607609988106</v>
      </c>
      <c r="K66" s="133">
        <f t="shared" si="192"/>
        <v>69.841897233201578</v>
      </c>
      <c r="L66" s="133">
        <f t="shared" si="192"/>
        <v>78.181818181818173</v>
      </c>
      <c r="M66" s="133">
        <f t="shared" si="192"/>
        <v>44.398340248962654</v>
      </c>
      <c r="N66" s="133">
        <f t="shared" si="192"/>
        <v>54.297569650266745</v>
      </c>
      <c r="O66" s="133">
        <f t="shared" si="192"/>
        <v>62.923561859732075</v>
      </c>
      <c r="P66" s="133">
        <f t="shared" si="192"/>
        <v>74.170893484198203</v>
      </c>
      <c r="Q66" s="133">
        <f t="shared" ref="Q66" si="193">Q25/Q57</f>
        <v>85.446742099102622</v>
      </c>
      <c r="R66" s="118">
        <f>((P66/G66)^(1/($H$2-$H$1) ))-1</f>
        <v>-0.12050570258840543</v>
      </c>
      <c r="S66" s="128"/>
      <c r="T66" s="156">
        <f t="shared" ref="T66:AC66" si="194">T25/T57</f>
        <v>98.012439466617707</v>
      </c>
      <c r="U66" s="156">
        <f t="shared" si="194"/>
        <v>112.42603350582618</v>
      </c>
      <c r="V66" s="156">
        <f t="shared" si="194"/>
        <v>128.95927372727121</v>
      </c>
      <c r="W66" s="156">
        <f t="shared" si="194"/>
        <v>147.92387280481108</v>
      </c>
      <c r="X66" s="156">
        <f t="shared" si="194"/>
        <v>169.67738351140093</v>
      </c>
      <c r="Y66" s="156">
        <f t="shared" si="194"/>
        <v>194.62993991013633</v>
      </c>
      <c r="Z66" s="156">
        <f t="shared" si="194"/>
        <v>223.25198989692109</v>
      </c>
      <c r="AA66" s="156">
        <f t="shared" si="194"/>
        <v>256.0831648817624</v>
      </c>
      <c r="AB66" s="156">
        <f t="shared" si="194"/>
        <v>293.74245383496276</v>
      </c>
      <c r="AC66" s="156">
        <f t="shared" si="194"/>
        <v>336.93987351657489</v>
      </c>
      <c r="AD66" s="137">
        <f t="shared" ref="AD66" si="195">((AC66/G66)^(1/($AC$3-$H$1) ))-1</f>
        <v>1.1538597336269163E-2</v>
      </c>
      <c r="AE66" s="31">
        <f t="shared" si="15"/>
        <v>0.05</v>
      </c>
      <c r="AF66" s="145">
        <f t="shared" ref="AF66:AF67" si="196">(AC66*(1+AE66))/($C$1-AE66)</f>
        <v>2721.4374399415665</v>
      </c>
    </row>
    <row r="67" spans="2:32" x14ac:dyDescent="0.2">
      <c r="B67" s="20" t="s">
        <v>303</v>
      </c>
      <c r="C67" s="133"/>
      <c r="D67" s="133"/>
      <c r="E67" s="133"/>
      <c r="F67" s="133"/>
      <c r="G67" s="133">
        <f t="shared" ref="G67:P67" si="197">G27/G57</f>
        <v>221.42857142857142</v>
      </c>
      <c r="H67" s="133">
        <f t="shared" si="197"/>
        <v>253.96825396825398</v>
      </c>
      <c r="I67" s="133">
        <f t="shared" si="197"/>
        <v>31.272294887039237</v>
      </c>
      <c r="J67" s="133">
        <f t="shared" si="197"/>
        <v>43.678160919540232</v>
      </c>
      <c r="K67" s="133">
        <f t="shared" si="197"/>
        <v>58.853754940711461</v>
      </c>
      <c r="L67" s="133">
        <f t="shared" si="197"/>
        <v>69.090909090909093</v>
      </c>
      <c r="M67" s="133">
        <f t="shared" si="197"/>
        <v>36.17862082592373</v>
      </c>
      <c r="N67" s="133">
        <f t="shared" si="197"/>
        <v>44.437858130804187</v>
      </c>
      <c r="O67" s="133">
        <f t="shared" si="197"/>
        <v>52.521670606776993</v>
      </c>
      <c r="P67" s="133">
        <f t="shared" si="197"/>
        <v>61.061256340226301</v>
      </c>
      <c r="Q67" s="133">
        <f t="shared" ref="Q67" si="198">Q27/Q57</f>
        <v>71.59578618806087</v>
      </c>
      <c r="R67" s="118">
        <f>((P67/G67)^(1/($H$2-$H$1) ))-1</f>
        <v>-0.12086978279260507</v>
      </c>
      <c r="S67" s="128"/>
      <c r="T67" s="156">
        <f t="shared" ref="T67:AC67" si="199">T27/T57</f>
        <v>82.124578274540411</v>
      </c>
      <c r="U67" s="156">
        <f t="shared" si="199"/>
        <v>94.201722138443401</v>
      </c>
      <c r="V67" s="156">
        <f t="shared" si="199"/>
        <v>108.05491657056743</v>
      </c>
      <c r="W67" s="156">
        <f t="shared" si="199"/>
        <v>123.94534547800382</v>
      </c>
      <c r="X67" s="156">
        <f t="shared" si="199"/>
        <v>142.17260216594553</v>
      </c>
      <c r="Y67" s="156">
        <f t="shared" si="199"/>
        <v>163.08033777858455</v>
      </c>
      <c r="Z67" s="156">
        <f t="shared" si="199"/>
        <v>187.06274039308227</v>
      </c>
      <c r="AA67" s="156">
        <f t="shared" si="199"/>
        <v>214.5719669214767</v>
      </c>
      <c r="AB67" s="156">
        <f t="shared" si="199"/>
        <v>246.1266679393409</v>
      </c>
      <c r="AC67" s="156">
        <f t="shared" si="199"/>
        <v>282.32176616571451</v>
      </c>
      <c r="AD67" s="137">
        <f t="shared" ref="AD67" si="200">((AC67/G67)^(1/($AC$3-$H$1) ))-1</f>
        <v>1.2221447653707029E-2</v>
      </c>
      <c r="AE67" s="31">
        <f t="shared" si="15"/>
        <v>0.05</v>
      </c>
      <c r="AF67" s="145">
        <f t="shared" si="196"/>
        <v>2280.2911882615404</v>
      </c>
    </row>
    <row r="68" spans="2:32" x14ac:dyDescent="0.2">
      <c r="B68" s="20" t="s">
        <v>425</v>
      </c>
      <c r="C68" s="133"/>
      <c r="D68" s="133"/>
      <c r="E68" s="133"/>
      <c r="F68" s="133"/>
      <c r="G68" s="133">
        <f>G53-G55</f>
        <v>31</v>
      </c>
      <c r="H68" s="133">
        <f t="shared" ref="H68:P68" si="201">H53-H55</f>
        <v>33</v>
      </c>
      <c r="I68" s="133">
        <f t="shared" si="201"/>
        <v>45</v>
      </c>
      <c r="J68" s="133">
        <f t="shared" si="201"/>
        <v>35</v>
      </c>
      <c r="K68" s="133">
        <f t="shared" si="201"/>
        <v>37</v>
      </c>
      <c r="L68" s="133">
        <f t="shared" si="201"/>
        <v>17</v>
      </c>
      <c r="M68" s="133">
        <f t="shared" si="201"/>
        <v>36</v>
      </c>
      <c r="N68" s="133">
        <f t="shared" si="201"/>
        <v>95</v>
      </c>
      <c r="O68" s="133">
        <f t="shared" si="201"/>
        <v>110</v>
      </c>
      <c r="P68" s="133">
        <f t="shared" si="201"/>
        <v>160</v>
      </c>
      <c r="Q68" s="133">
        <f t="shared" ref="Q68" si="202">Q53-Q55</f>
        <v>165</v>
      </c>
      <c r="R68" s="118">
        <f>((P68/G68)^(1/($H$2-$H$1) ))-1</f>
        <v>0.17835413156499835</v>
      </c>
      <c r="S68" s="128"/>
      <c r="T68" s="133">
        <f t="shared" ref="T68:AC68" si="203">T53-T55</f>
        <v>193.04999999999995</v>
      </c>
      <c r="U68" s="133">
        <f t="shared" si="203"/>
        <v>225.86849999999993</v>
      </c>
      <c r="V68" s="133">
        <f t="shared" si="203"/>
        <v>264.26614499999994</v>
      </c>
      <c r="W68" s="133">
        <f t="shared" si="203"/>
        <v>309.19138964999991</v>
      </c>
      <c r="X68" s="133">
        <f t="shared" si="203"/>
        <v>361.75392589049989</v>
      </c>
      <c r="Y68" s="133">
        <f t="shared" si="203"/>
        <v>423.25209329188488</v>
      </c>
      <c r="Z68" s="133">
        <f t="shared" si="203"/>
        <v>495.20494915150516</v>
      </c>
      <c r="AA68" s="133">
        <f t="shared" si="203"/>
        <v>579.38979050726107</v>
      </c>
      <c r="AB68" s="133">
        <f t="shared" si="203"/>
        <v>677.88605489349516</v>
      </c>
      <c r="AC68" s="133">
        <f t="shared" si="203"/>
        <v>793.12668422538945</v>
      </c>
      <c r="AD68" s="137">
        <f t="shared" ref="AD68" si="204">((AC68/G68)^(1/($AC$3-$H$1) ))-1</f>
        <v>0.17597758377106798</v>
      </c>
      <c r="AE68" s="31">
        <f t="shared" si="15"/>
        <v>0.05</v>
      </c>
      <c r="AF68" s="145">
        <f t="shared" ref="AF68" si="205">(AC68*(1+AE68))/($C$1-AE68)</f>
        <v>6406.0232187435304</v>
      </c>
    </row>
    <row r="69" spans="2:32" x14ac:dyDescent="0.2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28"/>
      <c r="S69" s="128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19"/>
      <c r="AE69" s="136"/>
      <c r="AF69" s="145"/>
    </row>
    <row r="70" spans="2:32" x14ac:dyDescent="0.2">
      <c r="B70" s="20" t="s">
        <v>460</v>
      </c>
      <c r="C70" s="133"/>
      <c r="D70" s="133"/>
      <c r="E70" s="133"/>
      <c r="F70" s="133"/>
      <c r="G70" s="25">
        <f t="shared" ref="G70:P70" si="206">G51/G57</f>
        <v>42.857142857142854</v>
      </c>
      <c r="H70" s="25">
        <f t="shared" si="206"/>
        <v>50.793650793650791</v>
      </c>
      <c r="I70" s="25">
        <f t="shared" si="206"/>
        <v>5.7471264367816088</v>
      </c>
      <c r="J70" s="25">
        <f t="shared" si="206"/>
        <v>6.8172810146650811</v>
      </c>
      <c r="K70" s="25">
        <f t="shared" si="206"/>
        <v>9.920948616600791</v>
      </c>
      <c r="L70" s="25">
        <f t="shared" si="206"/>
        <v>9.5652173913043477</v>
      </c>
      <c r="M70" s="25">
        <f t="shared" si="206"/>
        <v>7.864058486465126</v>
      </c>
      <c r="N70" s="25">
        <f t="shared" si="206"/>
        <v>9.1681485872357236</v>
      </c>
      <c r="O70" s="25">
        <f t="shared" si="206"/>
        <v>9.7320724980299449</v>
      </c>
      <c r="P70" s="25">
        <f t="shared" si="206"/>
        <v>11.685524775653532</v>
      </c>
      <c r="Q70" s="25">
        <f>Q51/Q57</f>
        <v>13.090128755364807</v>
      </c>
      <c r="R70" s="118">
        <f t="shared" ref="R70:R76" si="207">((P70/G70)^(1/($H$2-$H$1) ))-1</f>
        <v>-0.12186254667848628</v>
      </c>
      <c r="S70" s="128"/>
      <c r="T70" s="112">
        <f>T51/T57</f>
        <v>15.015147689977278</v>
      </c>
      <c r="U70" s="112">
        <f t="shared" ref="U70:AC70" si="208">U51/U57</f>
        <v>17.223257644385701</v>
      </c>
      <c r="V70" s="112">
        <f t="shared" si="208"/>
        <v>19.756089650913008</v>
      </c>
      <c r="W70" s="112">
        <f t="shared" si="208"/>
        <v>22.661396952517862</v>
      </c>
      <c r="X70" s="112">
        <f t="shared" si="208"/>
        <v>25.993955327888134</v>
      </c>
      <c r="Y70" s="112">
        <f t="shared" si="208"/>
        <v>29.816595817283442</v>
      </c>
      <c r="Z70" s="112">
        <f t="shared" si="208"/>
        <v>34.201389319825125</v>
      </c>
      <c r="AA70" s="112">
        <f t="shared" si="208"/>
        <v>39.231005396269993</v>
      </c>
      <c r="AB70" s="112">
        <f t="shared" si="208"/>
        <v>45.000270895721457</v>
      </c>
      <c r="AC70" s="112">
        <f t="shared" si="208"/>
        <v>51.617957792151074</v>
      </c>
      <c r="AD70" s="137">
        <f t="shared" ref="AD70:AD71" si="209">((AC70/G70)^(1/($AC$3-$H$1) ))-1</f>
        <v>9.3432433915099367E-3</v>
      </c>
      <c r="AE70" s="31">
        <f t="shared" si="15"/>
        <v>0.05</v>
      </c>
      <c r="AF70" s="145">
        <f t="shared" ref="AF70:AF71" si="210">(AC70*(1+AE70))/($C$1-AE70)</f>
        <v>416.91427447506635</v>
      </c>
    </row>
    <row r="71" spans="2:32" x14ac:dyDescent="0.2">
      <c r="B71" s="20" t="s">
        <v>461</v>
      </c>
      <c r="C71" s="133"/>
      <c r="D71" s="133"/>
      <c r="E71" s="133"/>
      <c r="F71" s="133"/>
      <c r="G71" s="25">
        <f t="shared" ref="G71:P71" si="211">G53/G57</f>
        <v>36.507936507936506</v>
      </c>
      <c r="H71" s="25">
        <f t="shared" si="211"/>
        <v>41.666666666666664</v>
      </c>
      <c r="I71" s="25">
        <f t="shared" si="211"/>
        <v>5.1922314704716603</v>
      </c>
      <c r="J71" s="25">
        <f t="shared" si="211"/>
        <v>5.7867617915180336</v>
      </c>
      <c r="K71" s="25">
        <f t="shared" si="211"/>
        <v>8.2213438735177871</v>
      </c>
      <c r="L71" s="25">
        <f t="shared" si="211"/>
        <v>5.0197628458498018</v>
      </c>
      <c r="M71" s="25">
        <f t="shared" si="211"/>
        <v>6.1450306263584276</v>
      </c>
      <c r="N71" s="25">
        <f t="shared" si="211"/>
        <v>7.9628531910689588</v>
      </c>
      <c r="O71" s="25">
        <f t="shared" si="211"/>
        <v>8.5106382978723403</v>
      </c>
      <c r="P71" s="25">
        <f t="shared" si="211"/>
        <v>11.334373780725713</v>
      </c>
      <c r="Q71" s="25">
        <f>Q53/Q57</f>
        <v>11.939133827545845</v>
      </c>
      <c r="R71" s="118">
        <f t="shared" si="207"/>
        <v>-0.11038719720737056</v>
      </c>
      <c r="S71" s="128"/>
      <c r="T71" s="112">
        <f>T53/T57</f>
        <v>13.69488880218494</v>
      </c>
      <c r="U71" s="112">
        <f t="shared" ref="U71:AC71" si="212">U53/U57</f>
        <v>15.708843037800371</v>
      </c>
      <c r="V71" s="112">
        <f t="shared" si="212"/>
        <v>18.018967013947485</v>
      </c>
      <c r="W71" s="112">
        <f t="shared" si="212"/>
        <v>20.668815104233879</v>
      </c>
      <c r="X71" s="112">
        <f t="shared" si="212"/>
        <v>23.70834673720945</v>
      </c>
      <c r="Y71" s="112">
        <f t="shared" si="212"/>
        <v>27.194868316210833</v>
      </c>
      <c r="Z71" s="112">
        <f t="shared" si="212"/>
        <v>31.194113656830073</v>
      </c>
      <c r="AA71" s="112">
        <f t="shared" si="212"/>
        <v>35.781483312246259</v>
      </c>
      <c r="AB71" s="112">
        <f t="shared" si="212"/>
        <v>41.043466152282463</v>
      </c>
      <c r="AC71" s="112">
        <f t="shared" si="212"/>
        <v>47.07926999820635</v>
      </c>
      <c r="AD71" s="137">
        <f t="shared" si="209"/>
        <v>1.2796336356067917E-2</v>
      </c>
      <c r="AE71" s="31">
        <f t="shared" si="15"/>
        <v>0.05</v>
      </c>
      <c r="AF71" s="145">
        <f t="shared" si="210"/>
        <v>380.25564229320514</v>
      </c>
    </row>
    <row r="72" spans="2:32" x14ac:dyDescent="0.2">
      <c r="B72" s="20" t="s">
        <v>257</v>
      </c>
      <c r="C72" s="25"/>
      <c r="D72" s="25"/>
      <c r="E72" s="25"/>
      <c r="F72" s="133"/>
      <c r="G72" s="133">
        <f t="shared" ref="G72:P72" si="213">G55/G57</f>
        <v>24.206349206349206</v>
      </c>
      <c r="H72" s="133">
        <f t="shared" si="213"/>
        <v>28.571428571428573</v>
      </c>
      <c r="I72" s="133">
        <f t="shared" si="213"/>
        <v>3.4086405073325405</v>
      </c>
      <c r="J72" s="133">
        <f t="shared" si="213"/>
        <v>4.3995243757431632</v>
      </c>
      <c r="K72" s="133">
        <f t="shared" si="213"/>
        <v>6.7588932806324111</v>
      </c>
      <c r="L72" s="133">
        <f t="shared" si="213"/>
        <v>4.3478260869565215</v>
      </c>
      <c r="M72" s="133">
        <f t="shared" si="213"/>
        <v>5.4337087532108281</v>
      </c>
      <c r="N72" s="133">
        <f t="shared" si="213"/>
        <v>6.0857538035961269</v>
      </c>
      <c r="O72" s="133">
        <f t="shared" si="213"/>
        <v>6.3435776201733649</v>
      </c>
      <c r="P72" s="133">
        <f t="shared" si="213"/>
        <v>8.2130316035895436</v>
      </c>
      <c r="Q72" s="133">
        <f t="shared" ref="Q72" si="214">Q55/Q57</f>
        <v>8.7202497073741707</v>
      </c>
      <c r="R72" s="118">
        <f t="shared" si="207"/>
        <v>-0.10245254466310072</v>
      </c>
      <c r="S72" s="128"/>
      <c r="T72" s="156">
        <f t="shared" ref="T72:AC72" si="215">T55/T57</f>
        <v>10.002639370223315</v>
      </c>
      <c r="U72" s="156">
        <f t="shared" si="215"/>
        <v>11.47361574819733</v>
      </c>
      <c r="V72" s="156">
        <f t="shared" si="215"/>
        <v>13.16091218175576</v>
      </c>
      <c r="W72" s="156">
        <f t="shared" si="215"/>
        <v>15.096340443778667</v>
      </c>
      <c r="X72" s="156">
        <f t="shared" si="215"/>
        <v>17.316390509040236</v>
      </c>
      <c r="Y72" s="156">
        <f t="shared" si="215"/>
        <v>19.86291852507556</v>
      </c>
      <c r="Z72" s="156">
        <f t="shared" si="215"/>
        <v>22.78393595523373</v>
      </c>
      <c r="AA72" s="156">
        <f t="shared" si="215"/>
        <v>26.134514772179866</v>
      </c>
      <c r="AB72" s="156">
        <f t="shared" si="215"/>
        <v>29.977825768088668</v>
      </c>
      <c r="AC72" s="156">
        <f t="shared" si="215"/>
        <v>34.386329557513463</v>
      </c>
      <c r="AD72" s="137">
        <f t="shared" ref="AD72:AD86" si="216">((AC72/G72)^(1/($AC$3-$H$1) ))-1</f>
        <v>1.7707151497039053E-2</v>
      </c>
      <c r="AE72" s="31">
        <f t="shared" si="15"/>
        <v>0.05</v>
      </c>
      <c r="AF72" s="145">
        <f t="shared" ref="AF72:AF100" si="217">(AC72*(1+AE72))/($C$1-AE72)</f>
        <v>277.73573873376256</v>
      </c>
    </row>
    <row r="73" spans="2:32" x14ac:dyDescent="0.2">
      <c r="B73" s="20" t="s">
        <v>386</v>
      </c>
      <c r="C73" s="133"/>
      <c r="D73" s="133"/>
      <c r="E73" s="133"/>
      <c r="F73" s="133"/>
      <c r="G73" s="133">
        <f>G20/G57</f>
        <v>19.047619047619047</v>
      </c>
      <c r="H73" s="133">
        <f t="shared" ref="H73:P73" si="218">H20/H57</f>
        <v>36.507936507936506</v>
      </c>
      <c r="I73" s="133">
        <f t="shared" si="218"/>
        <v>4.439159730479588</v>
      </c>
      <c r="J73" s="133">
        <f t="shared" si="218"/>
        <v>3.5275465715418153</v>
      </c>
      <c r="K73" s="133">
        <f t="shared" si="218"/>
        <v>5.0592885375494072</v>
      </c>
      <c r="L73" s="133">
        <f t="shared" si="218"/>
        <v>10.276679841897232</v>
      </c>
      <c r="M73" s="133">
        <f t="shared" si="218"/>
        <v>8.140683659355858</v>
      </c>
      <c r="N73" s="133">
        <f t="shared" si="218"/>
        <v>6.3623789764868608</v>
      </c>
      <c r="O73" s="133">
        <f t="shared" si="218"/>
        <v>9.9881796690307336</v>
      </c>
      <c r="P73" s="133">
        <f t="shared" si="218"/>
        <v>10.00780335544284</v>
      </c>
      <c r="Q73" s="133">
        <f t="shared" ref="Q73" si="219">Q20/Q57</f>
        <v>7.7643386656262194</v>
      </c>
      <c r="R73" s="118">
        <f t="shared" si="207"/>
        <v>-6.2330463463754149E-2</v>
      </c>
      <c r="S73" s="128"/>
      <c r="T73" s="133">
        <f t="shared" ref="T73:AC73" si="220">T20/T57</f>
        <v>8.9061531752771348</v>
      </c>
      <c r="U73" s="133">
        <f t="shared" si="220"/>
        <v>10.215881583406125</v>
      </c>
      <c r="V73" s="133">
        <f t="shared" si="220"/>
        <v>11.718217110377614</v>
      </c>
      <c r="W73" s="133">
        <f t="shared" si="220"/>
        <v>13.441484332491967</v>
      </c>
      <c r="X73" s="133">
        <f t="shared" si="220"/>
        <v>15.418173204917256</v>
      </c>
      <c r="Y73" s="133">
        <f t="shared" si="220"/>
        <v>17.685551617405086</v>
      </c>
      <c r="Z73" s="133">
        <f t="shared" si="220"/>
        <v>20.28636803172936</v>
      </c>
      <c r="AA73" s="133">
        <f t="shared" si="220"/>
        <v>23.269657448160146</v>
      </c>
      <c r="AB73" s="133">
        <f t="shared" si="220"/>
        <v>26.691665896418986</v>
      </c>
      <c r="AC73" s="133">
        <f t="shared" si="220"/>
        <v>30.616910881186481</v>
      </c>
      <c r="AD73" s="137">
        <f t="shared" ref="AD73" si="221">((AC73/G73)^(1/($AC$3-$H$1) ))-1</f>
        <v>2.4014328817177688E-2</v>
      </c>
      <c r="AE73" s="31">
        <f t="shared" si="15"/>
        <v>0.05</v>
      </c>
      <c r="AF73" s="145">
        <f t="shared" si="217"/>
        <v>247.29043404035238</v>
      </c>
    </row>
    <row r="74" spans="2:32" x14ac:dyDescent="0.2">
      <c r="B74" s="20" t="s">
        <v>245</v>
      </c>
      <c r="C74" s="25"/>
      <c r="D74" s="25"/>
      <c r="E74" s="25"/>
      <c r="F74" s="133"/>
      <c r="G74" s="133">
        <f t="shared" ref="G74:P74" si="222">G7/G57</f>
        <v>125</v>
      </c>
      <c r="H74" s="133">
        <f t="shared" si="222"/>
        <v>143.25396825396825</v>
      </c>
      <c r="I74" s="133">
        <f t="shared" si="222"/>
        <v>16.369401506143479</v>
      </c>
      <c r="J74" s="133">
        <f t="shared" si="222"/>
        <v>19.024970273483948</v>
      </c>
      <c r="K74" s="133">
        <f t="shared" si="222"/>
        <v>24.505928853754941</v>
      </c>
      <c r="L74" s="133">
        <f t="shared" si="222"/>
        <v>25.059288537549406</v>
      </c>
      <c r="M74" s="133">
        <f t="shared" si="222"/>
        <v>17.229796482908515</v>
      </c>
      <c r="N74" s="133">
        <f t="shared" si="222"/>
        <v>21.418691958111044</v>
      </c>
      <c r="O74" s="133">
        <f t="shared" si="222"/>
        <v>26.122931442080379</v>
      </c>
      <c r="P74" s="133">
        <f t="shared" si="222"/>
        <v>32.208349590323841</v>
      </c>
      <c r="Q74" s="133">
        <f t="shared" ref="Q74" si="223">Q7/Q57</f>
        <v>38.080374561061255</v>
      </c>
      <c r="R74" s="118">
        <f t="shared" si="207"/>
        <v>-0.12681584592617356</v>
      </c>
      <c r="S74" s="128"/>
      <c r="T74" s="156">
        <f t="shared" ref="T74:AC74" si="224">T7/T57</f>
        <v>43.680429643570264</v>
      </c>
      <c r="U74" s="156">
        <f t="shared" si="224"/>
        <v>50.104022238212941</v>
      </c>
      <c r="V74" s="156">
        <f t="shared" si="224"/>
        <v>57.472260802656017</v>
      </c>
      <c r="W74" s="156">
        <f t="shared" si="224"/>
        <v>65.924063861870138</v>
      </c>
      <c r="X74" s="156">
        <f t="shared" si="224"/>
        <v>75.618779135674558</v>
      </c>
      <c r="Y74" s="156">
        <f t="shared" si="224"/>
        <v>86.739187832097286</v>
      </c>
      <c r="Z74" s="156">
        <f t="shared" si="224"/>
        <v>99.494950748582184</v>
      </c>
      <c r="AA74" s="156">
        <f t="shared" si="224"/>
        <v>114.12656115278543</v>
      </c>
      <c r="AB74" s="156">
        <f t="shared" si="224"/>
        <v>130.9098789693715</v>
      </c>
      <c r="AC74" s="156">
        <f t="shared" si="224"/>
        <v>150.16133175898497</v>
      </c>
      <c r="AD74" s="137">
        <f t="shared" si="216"/>
        <v>9.2119978533951041E-3</v>
      </c>
      <c r="AE74" s="31">
        <f t="shared" si="15"/>
        <v>0.05</v>
      </c>
      <c r="AF74" s="145">
        <f t="shared" si="217"/>
        <v>1212.8415257456479</v>
      </c>
    </row>
    <row r="75" spans="2:32" x14ac:dyDescent="0.2">
      <c r="B75" s="20" t="s">
        <v>246</v>
      </c>
      <c r="C75" s="127"/>
      <c r="D75" s="127"/>
      <c r="E75" s="127"/>
      <c r="F75" s="143"/>
      <c r="G75" s="143">
        <f t="shared" ref="G75:P75" si="225">G6/G57</f>
        <v>114.68253968253968</v>
      </c>
      <c r="H75" s="143">
        <f t="shared" si="225"/>
        <v>133.33333333333334</v>
      </c>
      <c r="I75" s="143">
        <f t="shared" si="225"/>
        <v>15.378517637732857</v>
      </c>
      <c r="J75" s="143">
        <f t="shared" si="225"/>
        <v>18.034086405073324</v>
      </c>
      <c r="K75" s="143">
        <f t="shared" si="225"/>
        <v>23.359683794466402</v>
      </c>
      <c r="L75" s="143">
        <f t="shared" si="225"/>
        <v>26.442687747035574</v>
      </c>
      <c r="M75" s="143">
        <f t="shared" si="225"/>
        <v>16.222090495949416</v>
      </c>
      <c r="N75" s="143">
        <f t="shared" si="225"/>
        <v>20.430744912072711</v>
      </c>
      <c r="O75" s="143">
        <f t="shared" si="225"/>
        <v>25.118203309692671</v>
      </c>
      <c r="P75" s="143">
        <f t="shared" si="225"/>
        <v>31.213421771361688</v>
      </c>
      <c r="Q75" s="143">
        <f t="shared" ref="Q75" si="226">Q6/Q57</f>
        <v>37.085446742099101</v>
      </c>
      <c r="R75" s="118">
        <f t="shared" si="207"/>
        <v>-0.12202043484579894</v>
      </c>
      <c r="S75" s="128"/>
      <c r="T75" s="155">
        <f t="shared" ref="T75:AC75" si="227">T6/T57</f>
        <v>42.539188910054861</v>
      </c>
      <c r="U75" s="155">
        <f t="shared" si="227"/>
        <v>48.794951985062916</v>
      </c>
      <c r="V75" s="155">
        <f t="shared" si="227"/>
        <v>55.97068021816041</v>
      </c>
      <c r="W75" s="155">
        <f t="shared" si="227"/>
        <v>64.201662603183991</v>
      </c>
      <c r="X75" s="155">
        <f t="shared" si="227"/>
        <v>73.64308357424045</v>
      </c>
      <c r="Y75" s="155">
        <f t="shared" si="227"/>
        <v>84.472948805746398</v>
      </c>
      <c r="Z75" s="155">
        <f t="shared" si="227"/>
        <v>96.895441277179685</v>
      </c>
      <c r="AA75" s="155">
        <f t="shared" si="227"/>
        <v>111.14477087676492</v>
      </c>
      <c r="AB75" s="155">
        <f t="shared" si="227"/>
        <v>127.48959012334799</v>
      </c>
      <c r="AC75" s="155">
        <f t="shared" si="227"/>
        <v>146.23805925913445</v>
      </c>
      <c r="AD75" s="137">
        <f t="shared" si="216"/>
        <v>1.2227555199160189E-2</v>
      </c>
      <c r="AE75" s="31">
        <f t="shared" si="15"/>
        <v>0.05</v>
      </c>
      <c r="AF75" s="145">
        <f t="shared" si="217"/>
        <v>1181.1535555545474</v>
      </c>
    </row>
    <row r="76" spans="2:32" x14ac:dyDescent="0.2">
      <c r="B76" s="20" t="s">
        <v>247</v>
      </c>
      <c r="C76" s="127"/>
      <c r="D76" s="127"/>
      <c r="E76" s="127"/>
      <c r="F76" s="143"/>
      <c r="G76" s="143">
        <f t="shared" ref="G76:P76" si="228">G10/G57</f>
        <v>22.222222222222221</v>
      </c>
      <c r="H76" s="143">
        <f t="shared" si="228"/>
        <v>24.603174603174605</v>
      </c>
      <c r="I76" s="143">
        <f t="shared" si="228"/>
        <v>2.219579865239794</v>
      </c>
      <c r="J76" s="143">
        <f t="shared" si="228"/>
        <v>5.7471264367816088</v>
      </c>
      <c r="K76" s="143">
        <f t="shared" si="228"/>
        <v>20.790513833992094</v>
      </c>
      <c r="L76" s="143">
        <f t="shared" si="228"/>
        <v>24.071146245059289</v>
      </c>
      <c r="M76" s="143">
        <f t="shared" si="228"/>
        <v>9.2471843509187917</v>
      </c>
      <c r="N76" s="143">
        <f t="shared" si="228"/>
        <v>6.6192452084568272</v>
      </c>
      <c r="O76" s="143">
        <f t="shared" si="228"/>
        <v>2.9156816390858946</v>
      </c>
      <c r="P76" s="143">
        <f t="shared" si="228"/>
        <v>0.99492781896215376</v>
      </c>
      <c r="Q76" s="143">
        <f t="shared" ref="Q76" si="229">Q10/Q57</f>
        <v>0.89738587592664854</v>
      </c>
      <c r="R76" s="118">
        <f t="shared" si="207"/>
        <v>-0.26700601837943816</v>
      </c>
      <c r="S76" s="128"/>
      <c r="T76" s="155">
        <f t="shared" ref="T76:AC76" si="230">T10/T57</f>
        <v>1.0293543870923321</v>
      </c>
      <c r="U76" s="155">
        <f t="shared" si="230"/>
        <v>1.180730032252969</v>
      </c>
      <c r="V76" s="155">
        <f t="shared" si="230"/>
        <v>1.3543668017019348</v>
      </c>
      <c r="W76" s="155">
        <f t="shared" si="230"/>
        <v>1.5535383901875133</v>
      </c>
      <c r="X76" s="155">
        <f t="shared" si="230"/>
        <v>1.7819999181562651</v>
      </c>
      <c r="Y76" s="155">
        <f t="shared" si="230"/>
        <v>2.0440587296498336</v>
      </c>
      <c r="Z76" s="155">
        <f t="shared" si="230"/>
        <v>2.3446556016571618</v>
      </c>
      <c r="AA76" s="155">
        <f t="shared" si="230"/>
        <v>2.6894578960185092</v>
      </c>
      <c r="AB76" s="155">
        <f t="shared" si="230"/>
        <v>3.0849664101388781</v>
      </c>
      <c r="AC76" s="155">
        <f t="shared" si="230"/>
        <v>3.538637941041654</v>
      </c>
      <c r="AD76" s="137">
        <f t="shared" si="216"/>
        <v>-8.7774029498506323E-2</v>
      </c>
      <c r="AE76" s="31">
        <f t="shared" si="15"/>
        <v>0.05</v>
      </c>
      <c r="AF76" s="145">
        <f t="shared" si="217"/>
        <v>28.581306446874898</v>
      </c>
    </row>
    <row r="77" spans="2:32" x14ac:dyDescent="0.2">
      <c r="B77" s="20"/>
      <c r="C77" s="127"/>
      <c r="D77" s="127"/>
      <c r="E77" s="127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28"/>
      <c r="S77" s="128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38"/>
      <c r="AE77" s="136"/>
      <c r="AF77" s="145"/>
    </row>
    <row r="78" spans="2:32" x14ac:dyDescent="0.2">
      <c r="B78" s="20" t="s">
        <v>270</v>
      </c>
      <c r="C78" s="127"/>
      <c r="D78" s="127"/>
      <c r="E78" s="127"/>
      <c r="F78" s="143"/>
      <c r="G78" s="143">
        <f t="shared" ref="G78:P78" si="231">(G7-G10)/G57</f>
        <v>102.77777777777777</v>
      </c>
      <c r="H78" s="143">
        <f t="shared" si="231"/>
        <v>118.65079365079364</v>
      </c>
      <c r="I78" s="143">
        <f t="shared" si="231"/>
        <v>14.149821640903685</v>
      </c>
      <c r="J78" s="143">
        <f t="shared" si="231"/>
        <v>13.277843836702338</v>
      </c>
      <c r="K78" s="143">
        <f t="shared" si="231"/>
        <v>3.7154150197628457</v>
      </c>
      <c r="L78" s="143">
        <f t="shared" si="231"/>
        <v>0.98814229249011853</v>
      </c>
      <c r="M78" s="143">
        <f t="shared" si="231"/>
        <v>7.9826121319897254</v>
      </c>
      <c r="N78" s="143">
        <f t="shared" si="231"/>
        <v>14.799446749654219</v>
      </c>
      <c r="O78" s="143">
        <f t="shared" si="231"/>
        <v>23.207249802994486</v>
      </c>
      <c r="P78" s="143">
        <f t="shared" si="231"/>
        <v>31.213421771361688</v>
      </c>
      <c r="Q78" s="143">
        <f t="shared" ref="Q78" si="232">(Q7-Q10)/Q57</f>
        <v>37.18298868513461</v>
      </c>
      <c r="R78" s="118">
        <f>((P78/G78)^(1/($H$2-$H$1) ))-1</f>
        <v>-0.11234497540664512</v>
      </c>
      <c r="S78" s="128"/>
      <c r="T78" s="155">
        <f t="shared" ref="T78:AC78" si="233">(T7-T10)/T57</f>
        <v>42.651075256477924</v>
      </c>
      <c r="U78" s="155">
        <f t="shared" si="233"/>
        <v>48.923292205959974</v>
      </c>
      <c r="V78" s="155">
        <f t="shared" si="233"/>
        <v>56.117894000954081</v>
      </c>
      <c r="W78" s="155">
        <f t="shared" si="233"/>
        <v>64.370525471682626</v>
      </c>
      <c r="X78" s="155">
        <f t="shared" si="233"/>
        <v>73.836779217518298</v>
      </c>
      <c r="Y78" s="155">
        <f t="shared" si="233"/>
        <v>84.695129102447453</v>
      </c>
      <c r="Z78" s="155">
        <f t="shared" si="233"/>
        <v>97.150295146925018</v>
      </c>
      <c r="AA78" s="155">
        <f t="shared" si="233"/>
        <v>111.43710325676693</v>
      </c>
      <c r="AB78" s="155">
        <f t="shared" si="233"/>
        <v>127.82491255923263</v>
      </c>
      <c r="AC78" s="155">
        <f t="shared" si="233"/>
        <v>146.62269381794329</v>
      </c>
      <c r="AD78" s="137">
        <f t="shared" si="216"/>
        <v>1.7923401215574231E-2</v>
      </c>
      <c r="AE78" s="31">
        <f t="shared" si="15"/>
        <v>0.05</v>
      </c>
      <c r="AF78" s="145">
        <f t="shared" si="217"/>
        <v>1184.2602192987727</v>
      </c>
    </row>
    <row r="79" spans="2:32" x14ac:dyDescent="0.2">
      <c r="B79" s="20" t="s">
        <v>271</v>
      </c>
      <c r="C79" s="127"/>
      <c r="D79" s="127"/>
      <c r="E79" s="127"/>
      <c r="F79" s="143"/>
      <c r="G79" s="143">
        <f t="shared" ref="G79:P79" si="234">(G7-G10-G9)/G57</f>
        <v>69.047619047619051</v>
      </c>
      <c r="H79" s="143">
        <f t="shared" si="234"/>
        <v>74.206349206349202</v>
      </c>
      <c r="I79" s="143">
        <f t="shared" si="234"/>
        <v>8.878319460959176</v>
      </c>
      <c r="J79" s="143">
        <f t="shared" si="234"/>
        <v>5.4696789536266346</v>
      </c>
      <c r="K79" s="143">
        <f t="shared" si="234"/>
        <v>-6.6798418972332012</v>
      </c>
      <c r="L79" s="143">
        <f t="shared" si="234"/>
        <v>-11.818181818181818</v>
      </c>
      <c r="M79" s="143">
        <f t="shared" si="234"/>
        <v>-0.13831258644536654</v>
      </c>
      <c r="N79" s="143">
        <f t="shared" si="234"/>
        <v>4.7223868800632287</v>
      </c>
      <c r="O79" s="143">
        <f t="shared" si="234"/>
        <v>8.47123719464145</v>
      </c>
      <c r="P79" s="143">
        <f t="shared" si="234"/>
        <v>17.694108466640657</v>
      </c>
      <c r="Q79" s="143">
        <f t="shared" ref="Q79" si="235">(Q7-Q10-Q9)/Q57</f>
        <v>23.449083105735468</v>
      </c>
      <c r="R79" s="118">
        <f>((P79/G79)^(1/($H$2-$H$1) ))-1</f>
        <v>-0.1272939277657229</v>
      </c>
      <c r="S79" s="128"/>
      <c r="T79" s="155">
        <f t="shared" ref="T79:AC79" si="236">(T7-T10-T9)/T57</f>
        <v>26.897477680108324</v>
      </c>
      <c r="U79" s="155">
        <f t="shared" si="236"/>
        <v>30.85298910365367</v>
      </c>
      <c r="V79" s="155">
        <f t="shared" si="236"/>
        <v>35.390193383602728</v>
      </c>
      <c r="W79" s="155">
        <f t="shared" si="236"/>
        <v>40.594633587073716</v>
      </c>
      <c r="X79" s="155">
        <f t="shared" si="236"/>
        <v>46.564432643996319</v>
      </c>
      <c r="Y79" s="155">
        <f t="shared" si="236"/>
        <v>53.412143326936949</v>
      </c>
      <c r="Z79" s="155">
        <f t="shared" si="236"/>
        <v>61.266870286780623</v>
      </c>
      <c r="AA79" s="155">
        <f t="shared" si="236"/>
        <v>70.276704152483646</v>
      </c>
      <c r="AB79" s="155">
        <f t="shared" si="236"/>
        <v>80.611513586672402</v>
      </c>
      <c r="AC79" s="155">
        <f t="shared" si="236"/>
        <v>92.466147937653631</v>
      </c>
      <c r="AD79" s="137">
        <f t="shared" si="216"/>
        <v>1.470944515287842E-2</v>
      </c>
      <c r="AE79" s="31">
        <f t="shared" si="15"/>
        <v>0.05</v>
      </c>
      <c r="AF79" s="145">
        <f t="shared" si="217"/>
        <v>746.84196411181779</v>
      </c>
    </row>
    <row r="80" spans="2:32" x14ac:dyDescent="0.2">
      <c r="B80" s="20" t="s">
        <v>276</v>
      </c>
      <c r="C80" s="127"/>
      <c r="D80" s="127"/>
      <c r="E80" s="127"/>
      <c r="F80" s="143"/>
      <c r="G80" s="143">
        <f t="shared" ref="G80:P80" si="237">(G7+G15-G10-G9)/G57</f>
        <v>152.18253968253967</v>
      </c>
      <c r="H80" s="143">
        <f t="shared" si="237"/>
        <v>175</v>
      </c>
      <c r="I80" s="143">
        <f t="shared" si="237"/>
        <v>20.134760206103845</v>
      </c>
      <c r="J80" s="143">
        <f t="shared" si="237"/>
        <v>21.997621878715815</v>
      </c>
      <c r="K80" s="143">
        <f t="shared" si="237"/>
        <v>21.304347826086957</v>
      </c>
      <c r="L80" s="143">
        <f t="shared" si="237"/>
        <v>16.561264822134387</v>
      </c>
      <c r="M80" s="143">
        <f t="shared" si="237"/>
        <v>12.467891721003754</v>
      </c>
      <c r="N80" s="143">
        <f t="shared" si="237"/>
        <v>20.391227030231178</v>
      </c>
      <c r="O80" s="143">
        <f t="shared" si="237"/>
        <v>30.575256107171001</v>
      </c>
      <c r="P80" s="143">
        <f t="shared" si="237"/>
        <v>39.231369488880219</v>
      </c>
      <c r="Q80" s="143">
        <f t="shared" ref="Q80" si="238">(Q7+Q15-Q10-Q9)/Q57</f>
        <v>48.829496683573936</v>
      </c>
      <c r="R80" s="118">
        <f>((P80/G80)^(1/($H$2-$H$1) ))-1</f>
        <v>-0.12677358594525001</v>
      </c>
      <c r="S80" s="128"/>
      <c r="T80" s="155">
        <f t="shared" ref="T80:AC80" si="239">(T7+T15-T10-T9)/T57</f>
        <v>56.010305019393627</v>
      </c>
      <c r="U80" s="155">
        <f t="shared" si="239"/>
        <v>64.24711458106917</v>
      </c>
      <c r="V80" s="155">
        <f t="shared" si="239"/>
        <v>73.695219666520487</v>
      </c>
      <c r="W80" s="155">
        <f t="shared" si="239"/>
        <v>84.532751970420577</v>
      </c>
      <c r="X80" s="155">
        <f t="shared" si="239"/>
        <v>96.964039024894177</v>
      </c>
      <c r="Y80" s="155">
        <f t="shared" si="239"/>
        <v>111.22345652855508</v>
      </c>
      <c r="Z80" s="155">
        <f t="shared" si="239"/>
        <v>127.57984719451906</v>
      </c>
      <c r="AA80" s="155">
        <f t="shared" si="239"/>
        <v>146.34158942900712</v>
      </c>
      <c r="AB80" s="155">
        <f t="shared" si="239"/>
        <v>167.86241140386107</v>
      </c>
      <c r="AC80" s="155">
        <f t="shared" si="239"/>
        <v>192.54806013972299</v>
      </c>
      <c r="AD80" s="137">
        <f t="shared" si="216"/>
        <v>1.1832712469650009E-2</v>
      </c>
      <c r="AE80" s="31">
        <f t="shared" si="15"/>
        <v>0.05</v>
      </c>
      <c r="AF80" s="145">
        <f t="shared" si="217"/>
        <v>1555.1958703593011</v>
      </c>
    </row>
    <row r="81" spans="2:32" x14ac:dyDescent="0.2">
      <c r="B81" s="20"/>
      <c r="C81" s="127"/>
      <c r="D81" s="127"/>
      <c r="E81" s="127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28"/>
      <c r="S81" s="128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38"/>
      <c r="AE81" s="136"/>
      <c r="AF81" s="152"/>
    </row>
    <row r="82" spans="2:32" x14ac:dyDescent="0.2">
      <c r="B82" s="20" t="s">
        <v>248</v>
      </c>
      <c r="C82" s="127"/>
      <c r="D82" s="127"/>
      <c r="E82" s="127"/>
      <c r="F82" s="143"/>
      <c r="G82" s="143">
        <f t="shared" ref="G82:P82" si="240">G12/G57</f>
        <v>2.9761904761904763</v>
      </c>
      <c r="H82" s="143">
        <f t="shared" si="240"/>
        <v>5.5555555555555554</v>
      </c>
      <c r="I82" s="143">
        <f t="shared" si="240"/>
        <v>0.63416567578279825</v>
      </c>
      <c r="J82" s="143">
        <f t="shared" si="240"/>
        <v>1.5061434799841458</v>
      </c>
      <c r="K82" s="143">
        <f t="shared" si="240"/>
        <v>6.7984189723320156</v>
      </c>
      <c r="L82" s="143">
        <f t="shared" si="240"/>
        <v>6.2845849802371543</v>
      </c>
      <c r="M82" s="143">
        <f t="shared" si="240"/>
        <v>0.88915234143449917</v>
      </c>
      <c r="N82" s="143">
        <f t="shared" si="240"/>
        <v>2.0351709148389645</v>
      </c>
      <c r="O82" s="143">
        <f t="shared" si="240"/>
        <v>5.378250591016549</v>
      </c>
      <c r="P82" s="143">
        <f t="shared" si="240"/>
        <v>2.9457666796722592</v>
      </c>
      <c r="Q82" s="143">
        <f t="shared" ref="Q82" si="241">Q12/Q57</f>
        <v>3.4529847834568868</v>
      </c>
      <c r="R82" s="118">
        <f>((P82/G82)^(1/($H$2-$H$1) ))-1</f>
        <v>-1.0269726162976944E-3</v>
      </c>
      <c r="S82" s="128"/>
      <c r="T82" s="155">
        <f t="shared" ref="T82:AC82" si="242">T12/T57</f>
        <v>3.9607766633770165</v>
      </c>
      <c r="U82" s="155">
        <f t="shared" si="242"/>
        <v>4.5432438197559897</v>
      </c>
      <c r="V82" s="155">
        <f t="shared" si="242"/>
        <v>5.211367910896576</v>
      </c>
      <c r="W82" s="155">
        <f t="shared" si="242"/>
        <v>5.9777455448519552</v>
      </c>
      <c r="X82" s="155">
        <f t="shared" si="242"/>
        <v>6.8568257720360659</v>
      </c>
      <c r="Y82" s="155">
        <f t="shared" si="242"/>
        <v>7.8651825032178388</v>
      </c>
      <c r="Z82" s="155">
        <f t="shared" si="242"/>
        <v>9.0218269889851666</v>
      </c>
      <c r="AA82" s="155">
        <f t="shared" si="242"/>
        <v>10.348566252071221</v>
      </c>
      <c r="AB82" s="155">
        <f t="shared" si="242"/>
        <v>11.870414230316987</v>
      </c>
      <c r="AC82" s="155">
        <f t="shared" si="242"/>
        <v>13.61606338183419</v>
      </c>
      <c r="AD82" s="137">
        <f t="shared" si="216"/>
        <v>7.8995273031871482E-2</v>
      </c>
      <c r="AE82" s="31">
        <f t="shared" si="15"/>
        <v>0.05</v>
      </c>
      <c r="AF82" s="145">
        <f t="shared" si="217"/>
        <v>109.97589654558384</v>
      </c>
    </row>
    <row r="83" spans="2:32" x14ac:dyDescent="0.2">
      <c r="B83" s="20" t="s">
        <v>255</v>
      </c>
      <c r="C83" s="127"/>
      <c r="D83" s="127"/>
      <c r="E83" s="127"/>
      <c r="F83" s="143"/>
      <c r="G83" s="143">
        <f t="shared" ref="G83:P83" si="243">G13/G57</f>
        <v>7.5396825396825395</v>
      </c>
      <c r="H83" s="143">
        <f t="shared" si="243"/>
        <v>7.5396825396825395</v>
      </c>
      <c r="I83" s="143">
        <f t="shared" si="243"/>
        <v>0.63416567578279825</v>
      </c>
      <c r="J83" s="143">
        <f t="shared" si="243"/>
        <v>0.63416567578279825</v>
      </c>
      <c r="K83" s="143">
        <f t="shared" si="243"/>
        <v>0.12806324110671938</v>
      </c>
      <c r="L83" s="143">
        <f t="shared" si="243"/>
        <v>1.0276679841897234</v>
      </c>
      <c r="M83" s="143">
        <f t="shared" si="243"/>
        <v>5.2953961667654612</v>
      </c>
      <c r="N83" s="143">
        <f t="shared" si="243"/>
        <v>3.35901995653033</v>
      </c>
      <c r="O83" s="143">
        <f t="shared" si="243"/>
        <v>1.9306540583136329</v>
      </c>
      <c r="P83" s="143">
        <f t="shared" si="243"/>
        <v>5.7159578618806091</v>
      </c>
      <c r="Q83" s="143">
        <f t="shared" ref="Q83" si="244">Q13/Q57</f>
        <v>5.0721810378462742</v>
      </c>
      <c r="R83" s="118">
        <f>((P83/G83)^(1/($H$2-$H$1) ))-1</f>
        <v>-2.7311915355583305E-2</v>
      </c>
      <c r="S83" s="128"/>
      <c r="T83" s="155">
        <f t="shared" ref="T83:AC83" si="245">T13/T57</f>
        <v>5.8180900140001377</v>
      </c>
      <c r="U83" s="155">
        <f t="shared" si="245"/>
        <v>6.6736914866472166</v>
      </c>
      <c r="V83" s="155">
        <f t="shared" si="245"/>
        <v>7.6551167052718068</v>
      </c>
      <c r="W83" s="155">
        <f t="shared" si="245"/>
        <v>8.7808691619294255</v>
      </c>
      <c r="X83" s="155">
        <f t="shared" si="245"/>
        <v>10.072173450448457</v>
      </c>
      <c r="Y83" s="155">
        <f t="shared" si="245"/>
        <v>11.553375428455581</v>
      </c>
      <c r="Z83" s="155">
        <f t="shared" si="245"/>
        <v>13.252401226757872</v>
      </c>
      <c r="AA83" s="155">
        <f t="shared" si="245"/>
        <v>15.201283760104616</v>
      </c>
      <c r="AB83" s="155">
        <f t="shared" si="245"/>
        <v>17.436766666002352</v>
      </c>
      <c r="AC83" s="155">
        <f t="shared" si="245"/>
        <v>20.000997058061522</v>
      </c>
      <c r="AD83" s="137">
        <f t="shared" si="216"/>
        <v>4.9989435172742569E-2</v>
      </c>
      <c r="AE83" s="31">
        <f t="shared" si="15"/>
        <v>0.05</v>
      </c>
      <c r="AF83" s="145">
        <f t="shared" si="217"/>
        <v>161.54651469972768</v>
      </c>
    </row>
    <row r="84" spans="2:32" x14ac:dyDescent="0.2">
      <c r="B84" s="20" t="s">
        <v>256</v>
      </c>
      <c r="C84" s="127"/>
      <c r="D84" s="127"/>
      <c r="E84" s="127"/>
      <c r="F84" s="143"/>
      <c r="G84" s="143">
        <f t="shared" ref="G84:P84" si="246">(G82+G83)</f>
        <v>10.515873015873016</v>
      </c>
      <c r="H84" s="143">
        <f t="shared" si="246"/>
        <v>13.095238095238095</v>
      </c>
      <c r="I84" s="143">
        <f t="shared" si="246"/>
        <v>1.2683313515655965</v>
      </c>
      <c r="J84" s="143">
        <f t="shared" si="246"/>
        <v>2.140309155766944</v>
      </c>
      <c r="K84" s="143">
        <f t="shared" si="246"/>
        <v>6.9264822134387352</v>
      </c>
      <c r="L84" s="143">
        <f t="shared" si="246"/>
        <v>7.3122529644268779</v>
      </c>
      <c r="M84" s="143">
        <f t="shared" si="246"/>
        <v>6.1845485081999607</v>
      </c>
      <c r="N84" s="143">
        <f t="shared" si="246"/>
        <v>5.394190871369295</v>
      </c>
      <c r="O84" s="143">
        <f t="shared" ref="O84" si="247">(O82+O83)</f>
        <v>7.3089046493301817</v>
      </c>
      <c r="P84" s="143">
        <f t="shared" si="246"/>
        <v>8.6617245415528679</v>
      </c>
      <c r="Q84" s="143">
        <f t="shared" ref="Q84" si="248">(Q82+Q83)</f>
        <v>8.5251658213031618</v>
      </c>
      <c r="R84" s="118">
        <f>((P84/G84)^(1/($H$2-$H$1) ))-1</f>
        <v>-1.921028382736667E-2</v>
      </c>
      <c r="S84" s="128"/>
      <c r="T84" s="155">
        <f t="shared" ref="T84:AC84" si="249">(T82+T83)</f>
        <v>9.7788666773771542</v>
      </c>
      <c r="U84" s="155">
        <f t="shared" si="249"/>
        <v>11.216935306403206</v>
      </c>
      <c r="V84" s="155">
        <f t="shared" si="249"/>
        <v>12.866484616168382</v>
      </c>
      <c r="W84" s="155">
        <f t="shared" si="249"/>
        <v>14.75861470678138</v>
      </c>
      <c r="X84" s="155">
        <f t="shared" si="249"/>
        <v>16.928999222484521</v>
      </c>
      <c r="Y84" s="155">
        <f t="shared" si="249"/>
        <v>19.418557931673419</v>
      </c>
      <c r="Z84" s="155">
        <f t="shared" si="249"/>
        <v>22.274228215743037</v>
      </c>
      <c r="AA84" s="155">
        <f t="shared" si="249"/>
        <v>25.549850012175838</v>
      </c>
      <c r="AB84" s="155">
        <f t="shared" si="249"/>
        <v>29.307180896319338</v>
      </c>
      <c r="AC84" s="155">
        <f t="shared" si="249"/>
        <v>33.61706043989571</v>
      </c>
      <c r="AD84" s="137">
        <f t="shared" si="216"/>
        <v>5.9828807678802276E-2</v>
      </c>
      <c r="AE84" s="31">
        <f t="shared" si="15"/>
        <v>0.05</v>
      </c>
      <c r="AF84" s="145">
        <f t="shared" si="217"/>
        <v>271.5224112453115</v>
      </c>
    </row>
    <row r="85" spans="2:32" x14ac:dyDescent="0.2">
      <c r="B85" s="20" t="s">
        <v>249</v>
      </c>
      <c r="C85" s="127"/>
      <c r="D85" s="127"/>
      <c r="E85" s="127"/>
      <c r="F85" s="143"/>
      <c r="G85" s="143">
        <f t="shared" ref="G85:P85" si="250">G15/G57</f>
        <v>83.134920634920633</v>
      </c>
      <c r="H85" s="143">
        <f t="shared" si="250"/>
        <v>100.7936507936508</v>
      </c>
      <c r="I85" s="143">
        <f t="shared" si="250"/>
        <v>11.256440745144669</v>
      </c>
      <c r="J85" s="143">
        <f t="shared" si="250"/>
        <v>16.527942925089178</v>
      </c>
      <c r="K85" s="143">
        <f t="shared" si="250"/>
        <v>27.984189723320156</v>
      </c>
      <c r="L85" s="143">
        <f t="shared" si="250"/>
        <v>28.379446640316203</v>
      </c>
      <c r="M85" s="143">
        <f t="shared" si="250"/>
        <v>12.60620430744912</v>
      </c>
      <c r="N85" s="143">
        <f t="shared" si="250"/>
        <v>15.66884015016795</v>
      </c>
      <c r="O85" s="143">
        <f t="shared" si="250"/>
        <v>22.104018912529551</v>
      </c>
      <c r="P85" s="143">
        <f t="shared" si="250"/>
        <v>21.537261022239562</v>
      </c>
      <c r="Q85" s="143">
        <f t="shared" ref="Q85" si="251">Q15/Q57</f>
        <v>25.380413577838471</v>
      </c>
      <c r="R85" s="118">
        <f>((P85/G85)^(1/($H$2-$H$1) ))-1</f>
        <v>-0.12634352797393134</v>
      </c>
      <c r="S85" s="128"/>
      <c r="T85" s="155">
        <f t="shared" ref="T85:AC85" si="252">T15/T57</f>
        <v>29.112827339285303</v>
      </c>
      <c r="U85" s="155">
        <f t="shared" si="252"/>
        <v>33.394125477415493</v>
      </c>
      <c r="V85" s="155">
        <f t="shared" si="252"/>
        <v>38.305026282917765</v>
      </c>
      <c r="W85" s="155">
        <f t="shared" si="252"/>
        <v>43.938118383346847</v>
      </c>
      <c r="X85" s="155">
        <f t="shared" si="252"/>
        <v>50.39960638089785</v>
      </c>
      <c r="Y85" s="155">
        <f t="shared" si="252"/>
        <v>57.81131320161812</v>
      </c>
      <c r="Z85" s="155">
        <f t="shared" si="252"/>
        <v>66.312976907738417</v>
      </c>
      <c r="AA85" s="155">
        <f t="shared" si="252"/>
        <v>76.064885276523469</v>
      </c>
      <c r="AB85" s="155">
        <f t="shared" si="252"/>
        <v>87.250897817188687</v>
      </c>
      <c r="AC85" s="155">
        <f t="shared" si="252"/>
        <v>100.08191220206936</v>
      </c>
      <c r="AD85" s="137">
        <f t="shared" si="216"/>
        <v>9.3193640916786613E-3</v>
      </c>
      <c r="AE85" s="31">
        <f t="shared" si="15"/>
        <v>0.05</v>
      </c>
      <c r="AF85" s="145">
        <f t="shared" si="217"/>
        <v>808.35390624748334</v>
      </c>
    </row>
    <row r="86" spans="2:32" x14ac:dyDescent="0.2">
      <c r="B86" s="20" t="s">
        <v>250</v>
      </c>
      <c r="C86" s="127"/>
      <c r="D86" s="127"/>
      <c r="E86" s="127"/>
      <c r="F86" s="143"/>
      <c r="G86" s="143">
        <f t="shared" ref="G86:P86" si="253">G16/G57</f>
        <v>52.38095238095238</v>
      </c>
      <c r="H86" s="143">
        <f t="shared" si="253"/>
        <v>57.539682539682538</v>
      </c>
      <c r="I86" s="143">
        <f t="shared" si="253"/>
        <v>5.8263971462544593</v>
      </c>
      <c r="J86" s="143">
        <f t="shared" si="253"/>
        <v>8.878319460959176</v>
      </c>
      <c r="K86" s="143">
        <f t="shared" si="253"/>
        <v>18.853754940711461</v>
      </c>
      <c r="L86" s="143">
        <f t="shared" si="253"/>
        <v>17.588932806324109</v>
      </c>
      <c r="M86" s="143">
        <f t="shared" si="253"/>
        <v>4.6235921754593958</v>
      </c>
      <c r="N86" s="143">
        <f t="shared" si="253"/>
        <v>6.6390041493775938</v>
      </c>
      <c r="O86" s="143">
        <f t="shared" si="253"/>
        <v>7.1907013396375099</v>
      </c>
      <c r="P86" s="143">
        <f t="shared" si="253"/>
        <v>6.5353101833788534</v>
      </c>
      <c r="Q86" s="143">
        <f t="shared" ref="Q86" si="254">Q16/Q57</f>
        <v>10.827155676941086</v>
      </c>
      <c r="R86" s="118">
        <f>((P86/G86)^(1/($H$2-$H$1) ))-1</f>
        <v>-0.18790042823939723</v>
      </c>
      <c r="S86" s="128"/>
      <c r="T86" s="155">
        <f t="shared" ref="T86:AC86" si="255">T16/T57</f>
        <v>12.419384452961832</v>
      </c>
      <c r="U86" s="155">
        <f t="shared" si="255"/>
        <v>14.245764519573864</v>
      </c>
      <c r="V86" s="155">
        <f t="shared" si="255"/>
        <v>16.340729890099432</v>
      </c>
      <c r="W86" s="155">
        <f t="shared" si="255"/>
        <v>18.743778403349346</v>
      </c>
      <c r="X86" s="155">
        <f t="shared" si="255"/>
        <v>21.500216403841897</v>
      </c>
      <c r="Y86" s="155">
        <f t="shared" si="255"/>
        <v>24.662012933818641</v>
      </c>
      <c r="Z86" s="155">
        <f t="shared" si="255"/>
        <v>28.288779541733145</v>
      </c>
      <c r="AA86" s="155">
        <f t="shared" si="255"/>
        <v>32.448894180223313</v>
      </c>
      <c r="AB86" s="155">
        <f t="shared" si="255"/>
        <v>37.220790383197325</v>
      </c>
      <c r="AC86" s="155">
        <f t="shared" si="255"/>
        <v>42.694436027785166</v>
      </c>
      <c r="AD86" s="137">
        <f t="shared" si="216"/>
        <v>-1.0171636074385315E-2</v>
      </c>
      <c r="AE86" s="136"/>
      <c r="AF86" s="145">
        <f t="shared" si="217"/>
        <v>237.19131126547316</v>
      </c>
    </row>
    <row r="87" spans="2:32" x14ac:dyDescent="0.2">
      <c r="B87" s="20"/>
      <c r="C87" s="127"/>
      <c r="D87" s="127"/>
      <c r="E87" s="127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28"/>
      <c r="S87" s="128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38"/>
      <c r="AE87" s="31">
        <f t="shared" si="15"/>
        <v>0.05</v>
      </c>
      <c r="AF87" s="145">
        <f t="shared" si="217"/>
        <v>0</v>
      </c>
    </row>
    <row r="88" spans="2:32" x14ac:dyDescent="0.2">
      <c r="B88" s="20" t="s">
        <v>282</v>
      </c>
      <c r="C88" s="157"/>
      <c r="D88" s="157"/>
      <c r="E88" s="157"/>
      <c r="F88" s="157"/>
      <c r="G88" s="157">
        <f t="shared" ref="G88:P88" si="256">G59</f>
        <v>8</v>
      </c>
      <c r="H88" s="157">
        <f t="shared" si="256"/>
        <v>8</v>
      </c>
      <c r="I88" s="157">
        <f t="shared" si="256"/>
        <v>1.25</v>
      </c>
      <c r="J88" s="157">
        <f t="shared" si="256"/>
        <v>1.5</v>
      </c>
      <c r="K88" s="157">
        <f t="shared" si="256"/>
        <v>1.75</v>
      </c>
      <c r="L88" s="157">
        <f t="shared" si="256"/>
        <v>1.75</v>
      </c>
      <c r="M88" s="157">
        <f t="shared" si="256"/>
        <v>1.5</v>
      </c>
      <c r="N88" s="157">
        <f t="shared" si="256"/>
        <v>1.75</v>
      </c>
      <c r="O88" s="157">
        <f t="shared" si="256"/>
        <v>1.9</v>
      </c>
      <c r="P88" s="157">
        <f t="shared" si="256"/>
        <v>2.6</v>
      </c>
      <c r="Q88" s="157">
        <f t="shared" ref="Q88" si="257">Q59</f>
        <v>2.7</v>
      </c>
      <c r="R88" s="118">
        <f>((P88/G88)^(1/($H$2-$H$1) ))-1</f>
        <v>-0.10630704149752024</v>
      </c>
      <c r="S88" s="128"/>
      <c r="T88" s="157">
        <f t="shared" ref="T88:AC88" si="258">T59</f>
        <v>2.8350000000000004</v>
      </c>
      <c r="U88" s="157">
        <f t="shared" si="258"/>
        <v>2.9767500000000005</v>
      </c>
      <c r="V88" s="157">
        <f t="shared" si="258"/>
        <v>3.1255875000000004</v>
      </c>
      <c r="W88" s="157">
        <f t="shared" si="258"/>
        <v>3.2818668750000004</v>
      </c>
      <c r="X88" s="157">
        <f t="shared" si="258"/>
        <v>3.4459602187500007</v>
      </c>
      <c r="Y88" s="157">
        <f t="shared" si="258"/>
        <v>3.618258229687501</v>
      </c>
      <c r="Z88" s="157">
        <f t="shared" si="258"/>
        <v>3.7991711411718763</v>
      </c>
      <c r="AA88" s="157">
        <f t="shared" si="258"/>
        <v>3.98912969823047</v>
      </c>
      <c r="AB88" s="157">
        <f t="shared" si="258"/>
        <v>4.1885861831419939</v>
      </c>
      <c r="AC88" s="157">
        <f t="shared" si="258"/>
        <v>4.3980154922990939</v>
      </c>
      <c r="AD88" s="137">
        <f t="shared" ref="AD88" si="259">((AC88/G88)^(1/($AC$3-$H$1) ))-1</f>
        <v>-2.9471398919971414E-2</v>
      </c>
      <c r="AE88" s="31">
        <f t="shared" si="15"/>
        <v>0.05</v>
      </c>
      <c r="AF88" s="145">
        <f t="shared" si="217"/>
        <v>35.522432822415759</v>
      </c>
    </row>
    <row r="89" spans="2:32" x14ac:dyDescent="0.2">
      <c r="B89" s="20"/>
      <c r="C89" s="127"/>
      <c r="D89" s="127"/>
      <c r="E89" s="127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28"/>
      <c r="S89" s="128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38"/>
      <c r="AE89" s="136"/>
      <c r="AF89" s="152"/>
    </row>
    <row r="90" spans="2:32" x14ac:dyDescent="0.2">
      <c r="B90" s="20" t="s">
        <v>315</v>
      </c>
      <c r="C90" s="127"/>
      <c r="D90" s="127"/>
      <c r="E90" s="127"/>
      <c r="F90" s="143"/>
      <c r="G90" s="143">
        <f t="shared" ref="G90:P90" si="260">G20+G21</f>
        <v>7</v>
      </c>
      <c r="H90" s="143">
        <f t="shared" si="260"/>
        <v>22</v>
      </c>
      <c r="I90" s="143">
        <f t="shared" si="260"/>
        <v>35</v>
      </c>
      <c r="J90" s="143">
        <f t="shared" si="260"/>
        <v>-36</v>
      </c>
      <c r="K90" s="143">
        <f t="shared" si="260"/>
        <v>-162</v>
      </c>
      <c r="L90" s="143">
        <f t="shared" si="260"/>
        <v>32</v>
      </c>
      <c r="M90" s="143">
        <f t="shared" si="260"/>
        <v>67</v>
      </c>
      <c r="N90" s="143">
        <f t="shared" si="260"/>
        <v>285</v>
      </c>
      <c r="O90" s="143">
        <f t="shared" si="260"/>
        <v>276</v>
      </c>
      <c r="P90" s="143">
        <f t="shared" si="260"/>
        <v>316</v>
      </c>
      <c r="Q90" s="143">
        <f t="shared" ref="Q90" si="261">Q20+Q21</f>
        <v>258</v>
      </c>
      <c r="R90" s="118">
        <f>((P90/G90)^(1/($H$2-$H$1) ))-1</f>
        <v>0.46372302410215926</v>
      </c>
      <c r="S90" s="128"/>
      <c r="T90" s="143">
        <f t="shared" ref="T90:AC90" si="262">T20+T21</f>
        <v>301.86</v>
      </c>
      <c r="U90" s="143">
        <f t="shared" si="262"/>
        <v>353.17619999999999</v>
      </c>
      <c r="V90" s="143">
        <f t="shared" si="262"/>
        <v>413.21615400000002</v>
      </c>
      <c r="W90" s="143">
        <f t="shared" si="262"/>
        <v>483.46290017999996</v>
      </c>
      <c r="X90" s="143">
        <f t="shared" si="262"/>
        <v>565.65159321059991</v>
      </c>
      <c r="Y90" s="143">
        <f t="shared" si="262"/>
        <v>661.81236405640186</v>
      </c>
      <c r="Z90" s="143">
        <f t="shared" si="262"/>
        <v>774.32046594599012</v>
      </c>
      <c r="AA90" s="143">
        <f t="shared" si="262"/>
        <v>905.95494515680844</v>
      </c>
      <c r="AB90" s="143">
        <f t="shared" si="262"/>
        <v>1059.9672858334657</v>
      </c>
      <c r="AC90" s="143">
        <f t="shared" si="262"/>
        <v>1240.1617244251547</v>
      </c>
      <c r="AD90" s="137">
        <f t="shared" ref="AD90:AD95" si="263">((AC90/G90)^(1/($AC$3-$H$1) ))-1</f>
        <v>0.29544510458135442</v>
      </c>
      <c r="AE90" s="31">
        <f t="shared" si="15"/>
        <v>0.05</v>
      </c>
      <c r="AF90" s="145">
        <f t="shared" si="217"/>
        <v>10016.69085112625</v>
      </c>
    </row>
    <row r="91" spans="2:32" x14ac:dyDescent="0.2">
      <c r="B91" s="20"/>
      <c r="C91" s="127"/>
      <c r="D91" s="127"/>
      <c r="E91" s="127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28"/>
      <c r="S91" s="128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38"/>
      <c r="AE91" s="136"/>
      <c r="AF91" s="145"/>
    </row>
    <row r="92" spans="2:32" x14ac:dyDescent="0.2">
      <c r="B92" s="20" t="s">
        <v>316</v>
      </c>
      <c r="C92" s="127"/>
      <c r="D92" s="127"/>
      <c r="E92" s="127"/>
      <c r="F92" s="143"/>
      <c r="G92" s="143">
        <f t="shared" ref="G92:P92" si="264">G90/G57</f>
        <v>2.7777777777777777</v>
      </c>
      <c r="H92" s="143">
        <f t="shared" si="264"/>
        <v>8.7301587301587293</v>
      </c>
      <c r="I92" s="143">
        <f t="shared" si="264"/>
        <v>1.3872374157748713</v>
      </c>
      <c r="J92" s="143">
        <f t="shared" si="264"/>
        <v>-1.426872770511296</v>
      </c>
      <c r="K92" s="143">
        <f t="shared" si="264"/>
        <v>-6.4031620553359678</v>
      </c>
      <c r="L92" s="143">
        <f t="shared" si="264"/>
        <v>1.2648221343873518</v>
      </c>
      <c r="M92" s="143">
        <f t="shared" si="264"/>
        <v>1.3238490416913653</v>
      </c>
      <c r="N92" s="143">
        <f t="shared" si="264"/>
        <v>5.6312981624184948</v>
      </c>
      <c r="O92" s="143">
        <f t="shared" si="264"/>
        <v>5.4373522458628845</v>
      </c>
      <c r="P92" s="143">
        <f t="shared" si="264"/>
        <v>6.1646507998439333</v>
      </c>
      <c r="Q92" s="143">
        <f t="shared" ref="Q92" si="265">Q90/Q57</f>
        <v>5.0331642606320717</v>
      </c>
      <c r="R92" s="118">
        <f>((P92/G92)^(1/($H$2-$H$1) ))-1</f>
        <v>8.2981650337424107E-2</v>
      </c>
      <c r="S92" s="128"/>
      <c r="T92" s="145">
        <f t="shared" ref="T92:AC92" si="266">T90/T57</f>
        <v>5.7733354754309065</v>
      </c>
      <c r="U92" s="145">
        <f t="shared" si="266"/>
        <v>6.6223553982883923</v>
      </c>
      <c r="V92" s="145">
        <f t="shared" si="266"/>
        <v>7.5962311921543328</v>
      </c>
      <c r="W92" s="145">
        <f t="shared" si="266"/>
        <v>8.7133240145299684</v>
      </c>
      <c r="X92" s="145">
        <f t="shared" si="266"/>
        <v>9.994695193137316</v>
      </c>
      <c r="Y92" s="145">
        <f t="shared" si="266"/>
        <v>11.464503309775155</v>
      </c>
      <c r="Z92" s="145">
        <f t="shared" si="266"/>
        <v>13.150459678859738</v>
      </c>
      <c r="AA92" s="145">
        <f t="shared" si="266"/>
        <v>15.084350808103816</v>
      </c>
      <c r="AB92" s="145">
        <f t="shared" si="266"/>
        <v>17.302637691648489</v>
      </c>
      <c r="AC92" s="145">
        <f t="shared" si="266"/>
        <v>19.847143234537974</v>
      </c>
      <c r="AD92" s="137">
        <f t="shared" si="263"/>
        <v>0.10331627687912404</v>
      </c>
      <c r="AE92" s="31">
        <f t="shared" si="15"/>
        <v>0.05</v>
      </c>
      <c r="AF92" s="145">
        <f t="shared" si="217"/>
        <v>160.3038492020375</v>
      </c>
    </row>
    <row r="93" spans="2:32" x14ac:dyDescent="0.2">
      <c r="B93" s="20" t="s">
        <v>286</v>
      </c>
      <c r="C93" s="127"/>
      <c r="D93" s="127"/>
      <c r="E93" s="127"/>
      <c r="F93" s="143"/>
      <c r="G93" s="143">
        <f t="shared" ref="G93:P93" si="267">G20/G57</f>
        <v>19.047619047619047</v>
      </c>
      <c r="H93" s="143">
        <f t="shared" si="267"/>
        <v>36.507936507936506</v>
      </c>
      <c r="I93" s="143">
        <f t="shared" si="267"/>
        <v>4.439159730479588</v>
      </c>
      <c r="J93" s="143">
        <f t="shared" si="267"/>
        <v>3.5275465715418153</v>
      </c>
      <c r="K93" s="143">
        <f t="shared" si="267"/>
        <v>5.0592885375494072</v>
      </c>
      <c r="L93" s="143">
        <f t="shared" si="267"/>
        <v>10.276679841897232</v>
      </c>
      <c r="M93" s="143">
        <f t="shared" si="267"/>
        <v>8.140683659355858</v>
      </c>
      <c r="N93" s="143">
        <f t="shared" si="267"/>
        <v>6.3623789764868608</v>
      </c>
      <c r="O93" s="143">
        <f t="shared" si="267"/>
        <v>9.9881796690307336</v>
      </c>
      <c r="P93" s="143">
        <f t="shared" si="267"/>
        <v>10.00780335544284</v>
      </c>
      <c r="Q93" s="143">
        <f t="shared" ref="Q93" si="268">Q20/Q57</f>
        <v>7.7643386656262194</v>
      </c>
      <c r="R93" s="118">
        <f>((P93/G93)^(1/($H$2-$H$1) ))-1</f>
        <v>-6.2330463463754149E-2</v>
      </c>
      <c r="S93" s="128"/>
      <c r="T93" s="145">
        <f t="shared" ref="T93:AC93" si="269">T20/T57</f>
        <v>8.9061531752771348</v>
      </c>
      <c r="U93" s="145">
        <f t="shared" si="269"/>
        <v>10.215881583406125</v>
      </c>
      <c r="V93" s="145">
        <f t="shared" si="269"/>
        <v>11.718217110377614</v>
      </c>
      <c r="W93" s="145">
        <f t="shared" si="269"/>
        <v>13.441484332491967</v>
      </c>
      <c r="X93" s="145">
        <f t="shared" si="269"/>
        <v>15.418173204917256</v>
      </c>
      <c r="Y93" s="145">
        <f t="shared" si="269"/>
        <v>17.685551617405086</v>
      </c>
      <c r="Z93" s="145">
        <f t="shared" si="269"/>
        <v>20.28636803172936</v>
      </c>
      <c r="AA93" s="145">
        <f t="shared" si="269"/>
        <v>23.269657448160146</v>
      </c>
      <c r="AB93" s="145">
        <f t="shared" si="269"/>
        <v>26.691665896418986</v>
      </c>
      <c r="AC93" s="145">
        <f t="shared" si="269"/>
        <v>30.616910881186481</v>
      </c>
      <c r="AD93" s="137">
        <f t="shared" si="263"/>
        <v>2.4014328817177688E-2</v>
      </c>
      <c r="AE93" s="31">
        <f t="shared" si="15"/>
        <v>0.05</v>
      </c>
      <c r="AF93" s="145">
        <f t="shared" si="217"/>
        <v>247.29043404035238</v>
      </c>
    </row>
    <row r="94" spans="2:32" x14ac:dyDescent="0.2">
      <c r="B94" s="20" t="s">
        <v>287</v>
      </c>
      <c r="C94" s="127"/>
      <c r="D94" s="127"/>
      <c r="E94" s="127"/>
      <c r="F94" s="143"/>
      <c r="G94" s="143">
        <f t="shared" ref="G94:P94" si="270">G21/G57</f>
        <v>-16.269841269841269</v>
      </c>
      <c r="H94" s="143">
        <f t="shared" si="270"/>
        <v>-27.777777777777779</v>
      </c>
      <c r="I94" s="143">
        <f t="shared" si="270"/>
        <v>-3.0519223147047168</v>
      </c>
      <c r="J94" s="143">
        <f t="shared" si="270"/>
        <v>-4.9544193420531109</v>
      </c>
      <c r="K94" s="143">
        <f t="shared" si="270"/>
        <v>-11.462450592885375</v>
      </c>
      <c r="L94" s="143">
        <f t="shared" si="270"/>
        <v>-9.0118577075098809</v>
      </c>
      <c r="M94" s="143">
        <f t="shared" si="270"/>
        <v>-6.8168346176644929</v>
      </c>
      <c r="N94" s="143">
        <f t="shared" si="270"/>
        <v>-0.73108081406836589</v>
      </c>
      <c r="O94" s="143">
        <f t="shared" si="270"/>
        <v>-4.5508274231678492</v>
      </c>
      <c r="P94" s="143">
        <f t="shared" si="270"/>
        <v>-3.8431525555989077</v>
      </c>
      <c r="Q94" s="143">
        <f t="shared" ref="Q94" si="271">Q21/Q57</f>
        <v>-2.7311744049941478</v>
      </c>
      <c r="R94" s="118">
        <f>((P94/G94)^(1/($H$2-$H$1) ))-1</f>
        <v>-0.13437372418160265</v>
      </c>
      <c r="S94" s="128"/>
      <c r="T94" s="145">
        <f t="shared" ref="T94:AC94" si="272">T21/T57</f>
        <v>-3.1328176998462278</v>
      </c>
      <c r="U94" s="145">
        <f t="shared" si="272"/>
        <v>-3.5935261851177316</v>
      </c>
      <c r="V94" s="145">
        <f t="shared" si="272"/>
        <v>-4.1219859182232801</v>
      </c>
      <c r="W94" s="145">
        <f t="shared" si="272"/>
        <v>-4.7281603179619971</v>
      </c>
      <c r="X94" s="145">
        <f t="shared" si="272"/>
        <v>-5.4234780117799373</v>
      </c>
      <c r="Y94" s="145">
        <f t="shared" si="272"/>
        <v>-6.2210483076299274</v>
      </c>
      <c r="Z94" s="145">
        <f t="shared" si="272"/>
        <v>-7.1359083528696221</v>
      </c>
      <c r="AA94" s="145">
        <f t="shared" si="272"/>
        <v>-8.1853066400563304</v>
      </c>
      <c r="AB94" s="145">
        <f t="shared" si="272"/>
        <v>-9.3890282047704954</v>
      </c>
      <c r="AC94" s="145">
        <f t="shared" si="272"/>
        <v>-10.769767646648509</v>
      </c>
      <c r="AD94" s="137">
        <f t="shared" si="263"/>
        <v>-2.0417200169811744E-2</v>
      </c>
      <c r="AE94" s="31">
        <f t="shared" si="15"/>
        <v>0.05</v>
      </c>
      <c r="AF94" s="145">
        <f t="shared" si="217"/>
        <v>-86.986584838314883</v>
      </c>
    </row>
    <row r="95" spans="2:32" x14ac:dyDescent="0.2">
      <c r="B95" s="20" t="s">
        <v>288</v>
      </c>
      <c r="C95" s="127"/>
      <c r="D95" s="127"/>
      <c r="E95" s="127"/>
      <c r="F95" s="143"/>
      <c r="G95" s="143">
        <f t="shared" ref="G95:P95" si="273">G22/G57</f>
        <v>-2.7777777777777777</v>
      </c>
      <c r="H95" s="143">
        <f t="shared" si="273"/>
        <v>-7.1428571428571432</v>
      </c>
      <c r="I95" s="143">
        <f t="shared" si="273"/>
        <v>-1.3872374157748713</v>
      </c>
      <c r="J95" s="143">
        <f t="shared" si="273"/>
        <v>1.8628616726119698</v>
      </c>
      <c r="K95" s="143">
        <f t="shared" si="273"/>
        <v>11.383399209486166</v>
      </c>
      <c r="L95" s="143">
        <f t="shared" si="273"/>
        <v>-2.1343873517786562</v>
      </c>
      <c r="M95" s="143">
        <f t="shared" si="273"/>
        <v>-3.1614305473226634</v>
      </c>
      <c r="N95" s="143">
        <f t="shared" si="273"/>
        <v>-4.8606994665085956</v>
      </c>
      <c r="O95" s="143">
        <f t="shared" si="273"/>
        <v>-5.6146572104018917</v>
      </c>
      <c r="P95" s="143">
        <f t="shared" si="273"/>
        <v>-12.192742879438159</v>
      </c>
      <c r="Q95" s="143">
        <f t="shared" ref="Q95" si="274">Q22/Q57</f>
        <v>-4.2918454935622323</v>
      </c>
      <c r="R95" s="118">
        <f>((P95/G95)^(1/($H$2-$H$1) ))-1</f>
        <v>0.15941894266771284</v>
      </c>
      <c r="S95" s="128"/>
      <c r="T95" s="145">
        <f t="shared" ref="T95:AC95" si="275">T22/T57</f>
        <v>-4.9229992426155009</v>
      </c>
      <c r="U95" s="145">
        <f t="shared" si="275"/>
        <v>-5.6469697194707216</v>
      </c>
      <c r="V95" s="145">
        <f t="shared" si="275"/>
        <v>-6.4774064429222982</v>
      </c>
      <c r="W95" s="145">
        <f t="shared" si="275"/>
        <v>-7.4299662139402818</v>
      </c>
      <c r="X95" s="145">
        <f t="shared" si="275"/>
        <v>-8.5226083042256171</v>
      </c>
      <c r="Y95" s="145">
        <f t="shared" si="275"/>
        <v>-9.7759330548470302</v>
      </c>
      <c r="Z95" s="145">
        <f t="shared" si="275"/>
        <v>-11.213570268795124</v>
      </c>
      <c r="AA95" s="145">
        <f t="shared" si="275"/>
        <v>-12.862624720088522</v>
      </c>
      <c r="AB95" s="145">
        <f t="shared" si="275"/>
        <v>-14.754187178925068</v>
      </c>
      <c r="AC95" s="145">
        <f t="shared" si="275"/>
        <v>-16.923920587590516</v>
      </c>
      <c r="AD95" s="137">
        <f t="shared" si="263"/>
        <v>9.4561514456608542E-2</v>
      </c>
      <c r="AE95" s="31">
        <f t="shared" si="15"/>
        <v>0.05</v>
      </c>
      <c r="AF95" s="145">
        <f t="shared" si="217"/>
        <v>-136.6932047459234</v>
      </c>
    </row>
    <row r="96" spans="2:32" x14ac:dyDescent="0.2">
      <c r="B96" s="20" t="s">
        <v>295</v>
      </c>
      <c r="C96" s="127"/>
      <c r="D96" s="127"/>
      <c r="E96" s="127"/>
      <c r="F96" s="143"/>
      <c r="G96" s="143">
        <f t="shared" ref="G96:P96" si="276">G23/G57</f>
        <v>2.9523809523809526</v>
      </c>
      <c r="H96" s="143">
        <f t="shared" si="276"/>
        <v>4.6269841269841274</v>
      </c>
      <c r="I96" s="143">
        <f t="shared" si="276"/>
        <v>0.47562425683709869</v>
      </c>
      <c r="J96" s="143">
        <f t="shared" si="276"/>
        <v>0.91161315893777251</v>
      </c>
      <c r="K96" s="143">
        <f t="shared" si="276"/>
        <v>5.8695652173913038</v>
      </c>
      <c r="L96" s="143">
        <f t="shared" si="276"/>
        <v>5.0197628458498018</v>
      </c>
      <c r="M96" s="143">
        <f t="shared" si="276"/>
        <v>0.65204505038529936</v>
      </c>
      <c r="N96" s="143">
        <f t="shared" si="276"/>
        <v>1.4226437462951986</v>
      </c>
      <c r="O96" s="143">
        <f t="shared" si="276"/>
        <v>1.2214342001576044</v>
      </c>
      <c r="P96" s="143">
        <f t="shared" si="276"/>
        <v>0.99492781896215376</v>
      </c>
      <c r="Q96" s="143">
        <f t="shared" ref="Q96" si="277">Q23/Q57</f>
        <v>1.7167381974248928</v>
      </c>
      <c r="R96" s="118">
        <f>((P96/G96)^(1/($H$2-$H$1) ))-1</f>
        <v>-0.10306304489146489</v>
      </c>
      <c r="S96" s="128"/>
      <c r="T96" s="145">
        <f t="shared" ref="T96:AC96" si="278">T23/T57</f>
        <v>1.9691996970462005</v>
      </c>
      <c r="U96" s="145">
        <f t="shared" si="278"/>
        <v>2.2587878877882885</v>
      </c>
      <c r="V96" s="145">
        <f t="shared" si="278"/>
        <v>2.5909625771689195</v>
      </c>
      <c r="W96" s="145">
        <f t="shared" si="278"/>
        <v>2.9719864855761129</v>
      </c>
      <c r="X96" s="145">
        <f t="shared" si="278"/>
        <v>3.4090433216902474</v>
      </c>
      <c r="Y96" s="145">
        <f t="shared" si="278"/>
        <v>3.9103732219388125</v>
      </c>
      <c r="Z96" s="145">
        <f t="shared" si="278"/>
        <v>4.4854281075180493</v>
      </c>
      <c r="AA96" s="145">
        <f t="shared" si="278"/>
        <v>5.1450498880354099</v>
      </c>
      <c r="AB96" s="145">
        <f t="shared" si="278"/>
        <v>5.9016748715700276</v>
      </c>
      <c r="AC96" s="145">
        <f t="shared" si="278"/>
        <v>6.7695682350362079</v>
      </c>
      <c r="AD96" s="137">
        <f t="shared" ref="AD96" si="279">((AC96/G96)^(1/($AC$3-$H$1) ))-1</f>
        <v>4.2364059959407729E-2</v>
      </c>
      <c r="AE96" s="31">
        <f t="shared" si="15"/>
        <v>0.05</v>
      </c>
      <c r="AF96" s="145">
        <f t="shared" si="217"/>
        <v>54.677281898369372</v>
      </c>
    </row>
    <row r="97" spans="2:32" x14ac:dyDescent="0.2">
      <c r="B97" s="20"/>
      <c r="C97" s="127"/>
      <c r="D97" s="127"/>
      <c r="E97" s="127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28"/>
      <c r="S97" s="128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38"/>
      <c r="AE97" s="136"/>
      <c r="AF97" s="152"/>
    </row>
    <row r="98" spans="2:32" x14ac:dyDescent="0.2">
      <c r="B98" s="20" t="s">
        <v>310</v>
      </c>
      <c r="C98" s="143"/>
      <c r="D98" s="143"/>
      <c r="E98" s="143"/>
      <c r="F98" s="143"/>
      <c r="G98" s="143">
        <f t="shared" ref="G98:P98" si="280">G51/G57</f>
        <v>42.857142857142854</v>
      </c>
      <c r="H98" s="143">
        <f t="shared" si="280"/>
        <v>50.793650793650791</v>
      </c>
      <c r="I98" s="143">
        <f t="shared" si="280"/>
        <v>5.7471264367816088</v>
      </c>
      <c r="J98" s="143">
        <f t="shared" si="280"/>
        <v>6.8172810146650811</v>
      </c>
      <c r="K98" s="143">
        <f t="shared" si="280"/>
        <v>9.920948616600791</v>
      </c>
      <c r="L98" s="143">
        <f t="shared" si="280"/>
        <v>9.5652173913043477</v>
      </c>
      <c r="M98" s="143">
        <f t="shared" si="280"/>
        <v>7.864058486465126</v>
      </c>
      <c r="N98" s="143">
        <f t="shared" si="280"/>
        <v>9.1681485872357236</v>
      </c>
      <c r="O98" s="143">
        <f t="shared" si="280"/>
        <v>9.7320724980299449</v>
      </c>
      <c r="P98" s="143">
        <f t="shared" si="280"/>
        <v>11.685524775653532</v>
      </c>
      <c r="Q98" s="143">
        <f t="shared" ref="Q98" si="281">Q51/Q57</f>
        <v>13.090128755364807</v>
      </c>
      <c r="R98" s="118">
        <f>((P98/G98)^(1/($H$2-$H$1) ))-1</f>
        <v>-0.12186254667848628</v>
      </c>
      <c r="S98" s="128"/>
      <c r="T98" s="143">
        <f t="shared" ref="T98:AC98" si="282">T51/T57</f>
        <v>15.015147689977278</v>
      </c>
      <c r="U98" s="143">
        <f t="shared" si="282"/>
        <v>17.223257644385701</v>
      </c>
      <c r="V98" s="143">
        <f t="shared" si="282"/>
        <v>19.756089650913008</v>
      </c>
      <c r="W98" s="143">
        <f t="shared" si="282"/>
        <v>22.661396952517862</v>
      </c>
      <c r="X98" s="143">
        <f t="shared" si="282"/>
        <v>25.993955327888134</v>
      </c>
      <c r="Y98" s="143">
        <f t="shared" si="282"/>
        <v>29.816595817283442</v>
      </c>
      <c r="Z98" s="143">
        <f t="shared" si="282"/>
        <v>34.201389319825125</v>
      </c>
      <c r="AA98" s="143">
        <f t="shared" si="282"/>
        <v>39.231005396269993</v>
      </c>
      <c r="AB98" s="143">
        <f t="shared" si="282"/>
        <v>45.000270895721457</v>
      </c>
      <c r="AC98" s="143">
        <f t="shared" si="282"/>
        <v>51.617957792151074</v>
      </c>
      <c r="AD98" s="137">
        <f t="shared" ref="AD98:AD100" si="283">((AC98/G98)^(1/($AC$3-$H$1) ))-1</f>
        <v>9.3432433915099367E-3</v>
      </c>
      <c r="AE98" s="31">
        <f t="shared" si="15"/>
        <v>0.05</v>
      </c>
      <c r="AF98" s="145">
        <f t="shared" si="217"/>
        <v>416.91427447506635</v>
      </c>
    </row>
    <row r="99" spans="2:32" x14ac:dyDescent="0.2">
      <c r="B99" s="20" t="s">
        <v>311</v>
      </c>
      <c r="C99" s="143"/>
      <c r="D99" s="143"/>
      <c r="E99" s="143"/>
      <c r="F99" s="143"/>
      <c r="G99" s="143">
        <f t="shared" ref="G99:P99" si="284">G55/G57</f>
        <v>24.206349206349206</v>
      </c>
      <c r="H99" s="143">
        <f t="shared" si="284"/>
        <v>28.571428571428573</v>
      </c>
      <c r="I99" s="143">
        <f t="shared" si="284"/>
        <v>3.4086405073325405</v>
      </c>
      <c r="J99" s="143">
        <f t="shared" si="284"/>
        <v>4.3995243757431632</v>
      </c>
      <c r="K99" s="143">
        <f t="shared" si="284"/>
        <v>6.7588932806324111</v>
      </c>
      <c r="L99" s="143">
        <f t="shared" si="284"/>
        <v>4.3478260869565215</v>
      </c>
      <c r="M99" s="143">
        <f t="shared" si="284"/>
        <v>5.4337087532108281</v>
      </c>
      <c r="N99" s="143">
        <f t="shared" si="284"/>
        <v>6.0857538035961269</v>
      </c>
      <c r="O99" s="143">
        <f t="shared" si="284"/>
        <v>6.3435776201733649</v>
      </c>
      <c r="P99" s="143">
        <f t="shared" si="284"/>
        <v>8.2130316035895436</v>
      </c>
      <c r="Q99" s="143">
        <f t="shared" ref="Q99" si="285">Q55/Q57</f>
        <v>8.7202497073741707</v>
      </c>
      <c r="R99" s="118">
        <f>((P99/G99)^(1/($H$2-$H$1) ))-1</f>
        <v>-0.10245254466310072</v>
      </c>
      <c r="S99" s="128"/>
      <c r="T99" s="143">
        <f t="shared" ref="T99:AC99" si="286">T55/T57</f>
        <v>10.002639370223315</v>
      </c>
      <c r="U99" s="143">
        <f t="shared" si="286"/>
        <v>11.47361574819733</v>
      </c>
      <c r="V99" s="143">
        <f t="shared" si="286"/>
        <v>13.16091218175576</v>
      </c>
      <c r="W99" s="143">
        <f t="shared" si="286"/>
        <v>15.096340443778667</v>
      </c>
      <c r="X99" s="143">
        <f t="shared" si="286"/>
        <v>17.316390509040236</v>
      </c>
      <c r="Y99" s="143">
        <f t="shared" si="286"/>
        <v>19.86291852507556</v>
      </c>
      <c r="Z99" s="143">
        <f t="shared" si="286"/>
        <v>22.78393595523373</v>
      </c>
      <c r="AA99" s="143">
        <f t="shared" si="286"/>
        <v>26.134514772179866</v>
      </c>
      <c r="AB99" s="143">
        <f t="shared" si="286"/>
        <v>29.977825768088668</v>
      </c>
      <c r="AC99" s="143">
        <f t="shared" si="286"/>
        <v>34.386329557513463</v>
      </c>
      <c r="AD99" s="137">
        <f t="shared" si="283"/>
        <v>1.7707151497039053E-2</v>
      </c>
      <c r="AE99" s="31">
        <f t="shared" si="15"/>
        <v>0.05</v>
      </c>
      <c r="AF99" s="145">
        <f t="shared" si="217"/>
        <v>277.73573873376256</v>
      </c>
    </row>
    <row r="100" spans="2:32" x14ac:dyDescent="0.2">
      <c r="B100" s="20" t="s">
        <v>312</v>
      </c>
      <c r="C100" s="143"/>
      <c r="D100" s="143"/>
      <c r="E100" s="143"/>
      <c r="F100" s="143"/>
      <c r="G100" s="143">
        <f t="shared" ref="G100:P100" si="287">G6/G57</f>
        <v>114.68253968253968</v>
      </c>
      <c r="H100" s="143">
        <f t="shared" si="287"/>
        <v>133.33333333333334</v>
      </c>
      <c r="I100" s="143">
        <f t="shared" si="287"/>
        <v>15.378517637732857</v>
      </c>
      <c r="J100" s="143">
        <f t="shared" si="287"/>
        <v>18.034086405073324</v>
      </c>
      <c r="K100" s="143">
        <f t="shared" si="287"/>
        <v>23.359683794466402</v>
      </c>
      <c r="L100" s="143">
        <f t="shared" si="287"/>
        <v>26.442687747035574</v>
      </c>
      <c r="M100" s="143">
        <f t="shared" si="287"/>
        <v>16.222090495949416</v>
      </c>
      <c r="N100" s="143">
        <f t="shared" si="287"/>
        <v>20.430744912072711</v>
      </c>
      <c r="O100" s="143">
        <f t="shared" si="287"/>
        <v>25.118203309692671</v>
      </c>
      <c r="P100" s="143">
        <f t="shared" si="287"/>
        <v>31.213421771361688</v>
      </c>
      <c r="Q100" s="143">
        <f t="shared" ref="Q100" si="288">Q6/Q57</f>
        <v>37.085446742099101</v>
      </c>
      <c r="R100" s="118">
        <f>((P100/G100)^(1/($H$2-$H$1) ))-1</f>
        <v>-0.12202043484579894</v>
      </c>
      <c r="S100" s="128"/>
      <c r="T100" s="143">
        <f t="shared" ref="T100:AC100" si="289">T6/T57</f>
        <v>42.539188910054861</v>
      </c>
      <c r="U100" s="143">
        <f t="shared" si="289"/>
        <v>48.794951985062916</v>
      </c>
      <c r="V100" s="143">
        <f t="shared" si="289"/>
        <v>55.97068021816041</v>
      </c>
      <c r="W100" s="143">
        <f t="shared" si="289"/>
        <v>64.201662603183991</v>
      </c>
      <c r="X100" s="143">
        <f t="shared" si="289"/>
        <v>73.64308357424045</v>
      </c>
      <c r="Y100" s="143">
        <f t="shared" si="289"/>
        <v>84.472948805746398</v>
      </c>
      <c r="Z100" s="143">
        <f t="shared" si="289"/>
        <v>96.895441277179685</v>
      </c>
      <c r="AA100" s="143">
        <f t="shared" si="289"/>
        <v>111.14477087676492</v>
      </c>
      <c r="AB100" s="143">
        <f t="shared" si="289"/>
        <v>127.48959012334799</v>
      </c>
      <c r="AC100" s="143">
        <f t="shared" si="289"/>
        <v>146.23805925913445</v>
      </c>
      <c r="AD100" s="137">
        <f t="shared" si="283"/>
        <v>1.2227555199160189E-2</v>
      </c>
      <c r="AE100" s="31">
        <f t="shared" ref="AE100" si="290">$L$1</f>
        <v>0.05</v>
      </c>
      <c r="AF100" s="145">
        <f t="shared" si="217"/>
        <v>1181.1535555545474</v>
      </c>
    </row>
    <row r="101" spans="2:32" x14ac:dyDescent="0.2">
      <c r="B101" s="20"/>
      <c r="C101" s="127"/>
      <c r="D101" s="127"/>
      <c r="E101" s="127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28"/>
      <c r="S101" s="128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38"/>
      <c r="AE101" s="20"/>
      <c r="AF101" s="152"/>
    </row>
    <row r="102" spans="2:32" x14ac:dyDescent="0.2">
      <c r="B102" s="20" t="s">
        <v>465</v>
      </c>
      <c r="C102" s="127"/>
      <c r="D102" s="127"/>
      <c r="E102" s="127"/>
      <c r="F102" s="143"/>
      <c r="G102" s="143">
        <f t="shared" ref="G102:Q102" si="291">G55/$Q$57</f>
        <v>1.1900117050331642</v>
      </c>
      <c r="H102" s="143">
        <f t="shared" si="291"/>
        <v>1.4046039797112759</v>
      </c>
      <c r="I102" s="143">
        <f t="shared" si="291"/>
        <v>1.6777214202106907</v>
      </c>
      <c r="J102" s="143">
        <f t="shared" si="291"/>
        <v>2.165431135388217</v>
      </c>
      <c r="K102" s="143">
        <f t="shared" si="291"/>
        <v>3.3359344518142802</v>
      </c>
      <c r="L102" s="143">
        <f t="shared" si="291"/>
        <v>2.1459227467811162</v>
      </c>
      <c r="M102" s="143">
        <f t="shared" si="291"/>
        <v>5.3648068669527902</v>
      </c>
      <c r="N102" s="143">
        <f t="shared" si="291"/>
        <v>6.0085836909871251</v>
      </c>
      <c r="O102" s="143">
        <f t="shared" si="291"/>
        <v>6.2817011314865399</v>
      </c>
      <c r="P102" s="143">
        <f t="shared" si="291"/>
        <v>8.2130316035895436</v>
      </c>
      <c r="Q102" s="143">
        <f t="shared" si="291"/>
        <v>8.7202497073741707</v>
      </c>
      <c r="R102" s="118">
        <f>((P102/G102)^(1/($H$2-$H$1) ))-1</f>
        <v>0.21309615466854481</v>
      </c>
      <c r="S102" s="128"/>
      <c r="T102" s="143">
        <f t="shared" ref="T102:AC102" si="292">T55/T57</f>
        <v>10.002639370223315</v>
      </c>
      <c r="U102" s="143">
        <f t="shared" si="292"/>
        <v>11.47361574819733</v>
      </c>
      <c r="V102" s="143">
        <f t="shared" si="292"/>
        <v>13.16091218175576</v>
      </c>
      <c r="W102" s="143">
        <f t="shared" si="292"/>
        <v>15.096340443778667</v>
      </c>
      <c r="X102" s="143">
        <f t="shared" si="292"/>
        <v>17.316390509040236</v>
      </c>
      <c r="Y102" s="143">
        <f t="shared" si="292"/>
        <v>19.86291852507556</v>
      </c>
      <c r="Z102" s="143">
        <f t="shared" si="292"/>
        <v>22.78393595523373</v>
      </c>
      <c r="AA102" s="143">
        <f t="shared" si="292"/>
        <v>26.134514772179866</v>
      </c>
      <c r="AB102" s="143">
        <f t="shared" si="292"/>
        <v>29.977825768088668</v>
      </c>
      <c r="AC102" s="143">
        <f t="shared" si="292"/>
        <v>34.386329557513463</v>
      </c>
      <c r="AD102" s="138"/>
      <c r="AE102" s="20"/>
      <c r="AF102" s="152"/>
    </row>
    <row r="103" spans="2:32" x14ac:dyDescent="0.2">
      <c r="B103" s="20"/>
      <c r="C103" s="127"/>
      <c r="D103" s="127"/>
      <c r="E103" s="127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28"/>
      <c r="S103" s="128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38"/>
      <c r="AE103" s="20"/>
      <c r="AF103" s="152"/>
    </row>
    <row r="104" spans="2:32" x14ac:dyDescent="0.2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2:32" x14ac:dyDescent="0.2">
      <c r="B105" s="20" t="s">
        <v>308</v>
      </c>
      <c r="C105" s="150"/>
      <c r="D105" s="150"/>
      <c r="E105" s="150"/>
      <c r="F105" s="150"/>
      <c r="G105" s="150">
        <f t="shared" ref="G105:P105" si="293">G51/G25</f>
        <v>0.16</v>
      </c>
      <c r="H105" s="150">
        <f t="shared" si="293"/>
        <v>0.16473616473616473</v>
      </c>
      <c r="I105" s="150">
        <f t="shared" si="293"/>
        <v>0.15279241306638566</v>
      </c>
      <c r="J105" s="150">
        <f t="shared" si="293"/>
        <v>0.13333333333333333</v>
      </c>
      <c r="K105" s="150">
        <f t="shared" si="293"/>
        <v>0.14204867006225241</v>
      </c>
      <c r="L105" s="150">
        <f t="shared" si="293"/>
        <v>0.12234580384226491</v>
      </c>
      <c r="M105" s="150">
        <f t="shared" si="293"/>
        <v>0.17712505562972852</v>
      </c>
      <c r="N105" s="150">
        <f t="shared" si="293"/>
        <v>0.16885007278020378</v>
      </c>
      <c r="O105" s="150">
        <f t="shared" si="293"/>
        <v>0.15466499686912963</v>
      </c>
      <c r="P105" s="150">
        <f t="shared" si="293"/>
        <v>0.15754865860073644</v>
      </c>
      <c r="Q105" s="150">
        <f t="shared" ref="Q105" si="294">Q51/Q25</f>
        <v>0.15319634703196347</v>
      </c>
      <c r="R105" s="118">
        <f t="shared" ref="R105:R167" si="295">((P105/G105)^(1/($H$2-$H$1) ))-1</f>
        <v>-1.5427548468184282E-3</v>
      </c>
      <c r="S105" s="150"/>
      <c r="T105" s="150">
        <f t="shared" ref="T105:AC105" si="296">T51/T25</f>
        <v>0.15319634703196347</v>
      </c>
      <c r="U105" s="150">
        <f t="shared" si="296"/>
        <v>0.15319634703196347</v>
      </c>
      <c r="V105" s="150">
        <f t="shared" si="296"/>
        <v>0.15319634703196347</v>
      </c>
      <c r="W105" s="150">
        <f t="shared" si="296"/>
        <v>0.15319634703196347</v>
      </c>
      <c r="X105" s="150">
        <f t="shared" si="296"/>
        <v>0.15319634703196347</v>
      </c>
      <c r="Y105" s="150">
        <f t="shared" si="296"/>
        <v>0.15319634703196347</v>
      </c>
      <c r="Z105" s="150">
        <f t="shared" si="296"/>
        <v>0.15319634703196347</v>
      </c>
      <c r="AA105" s="150">
        <f t="shared" si="296"/>
        <v>0.15319634703196347</v>
      </c>
      <c r="AB105" s="150">
        <f t="shared" si="296"/>
        <v>0.15319634703196344</v>
      </c>
      <c r="AC105" s="150">
        <f t="shared" si="296"/>
        <v>0.15319634703196344</v>
      </c>
      <c r="AD105" s="137">
        <f t="shared" ref="AD105:AD154" si="297">((AC105/G105)^(1/($AC$3-$H$1) ))-1</f>
        <v>-2.1703115931911432E-3</v>
      </c>
      <c r="AE105" s="145"/>
      <c r="AF105" s="145"/>
    </row>
    <row r="106" spans="2:32" x14ac:dyDescent="0.2">
      <c r="B106" s="20" t="s">
        <v>266</v>
      </c>
      <c r="C106" s="150"/>
      <c r="D106" s="150"/>
      <c r="E106" s="150"/>
      <c r="F106" s="150"/>
      <c r="G106" s="150">
        <f t="shared" ref="G106:P106" si="298">G55/G25</f>
        <v>9.0370370370370365E-2</v>
      </c>
      <c r="H106" s="150">
        <f t="shared" si="298"/>
        <v>9.2664092664092659E-2</v>
      </c>
      <c r="I106" s="150">
        <f t="shared" si="298"/>
        <v>9.0621707060063228E-2</v>
      </c>
      <c r="J106" s="150">
        <f t="shared" si="298"/>
        <v>8.6046511627906982E-2</v>
      </c>
      <c r="K106" s="150">
        <f t="shared" si="298"/>
        <v>9.6774193548387094E-2</v>
      </c>
      <c r="L106" s="150">
        <f t="shared" si="298"/>
        <v>5.5611729019211326E-2</v>
      </c>
      <c r="M106" s="150">
        <f t="shared" si="298"/>
        <v>0.12238540275923454</v>
      </c>
      <c r="N106" s="150">
        <f t="shared" si="298"/>
        <v>0.11208151382823872</v>
      </c>
      <c r="O106" s="150">
        <f t="shared" si="298"/>
        <v>0.1008140262993112</v>
      </c>
      <c r="P106" s="150">
        <f t="shared" si="298"/>
        <v>0.11073119410836402</v>
      </c>
      <c r="Q106" s="150">
        <f t="shared" ref="Q106" si="299">Q55/Q25</f>
        <v>0.10205479452054794</v>
      </c>
      <c r="R106" s="118">
        <f t="shared" si="295"/>
        <v>2.0526748130643035E-2</v>
      </c>
      <c r="S106" s="150"/>
      <c r="T106" s="150">
        <f t="shared" ref="T106:AC106" si="300">T55/T25</f>
        <v>0.10205479452054796</v>
      </c>
      <c r="U106" s="150">
        <f t="shared" si="300"/>
        <v>0.10205479452054796</v>
      </c>
      <c r="V106" s="150">
        <f t="shared" si="300"/>
        <v>0.10205479452054796</v>
      </c>
      <c r="W106" s="150">
        <f t="shared" si="300"/>
        <v>0.10205479452054796</v>
      </c>
      <c r="X106" s="150">
        <f t="shared" si="300"/>
        <v>0.10205479452054796</v>
      </c>
      <c r="Y106" s="150">
        <f t="shared" si="300"/>
        <v>0.10205479452054796</v>
      </c>
      <c r="Z106" s="150">
        <f t="shared" si="300"/>
        <v>0.10205479452054797</v>
      </c>
      <c r="AA106" s="150">
        <f t="shared" si="300"/>
        <v>0.10205479452054796</v>
      </c>
      <c r="AB106" s="150">
        <f t="shared" si="300"/>
        <v>0.10205479452054796</v>
      </c>
      <c r="AC106" s="150">
        <f t="shared" si="300"/>
        <v>0.10205479452054794</v>
      </c>
      <c r="AD106" s="137">
        <f t="shared" si="297"/>
        <v>6.0981896064211671E-3</v>
      </c>
      <c r="AE106" s="145"/>
      <c r="AF106" s="145"/>
    </row>
    <row r="107" spans="2:32" x14ac:dyDescent="0.2">
      <c r="B107" s="20" t="s">
        <v>357</v>
      </c>
      <c r="C107" s="150"/>
      <c r="D107" s="150"/>
      <c r="E107" s="150"/>
      <c r="F107" s="150"/>
      <c r="G107" s="150">
        <f>G55/G7</f>
        <v>0.19365079365079366</v>
      </c>
      <c r="H107" s="150">
        <f t="shared" ref="H107:O107" si="301">H55/H7</f>
        <v>0.1994459833795014</v>
      </c>
      <c r="I107" s="150">
        <f t="shared" si="301"/>
        <v>0.20823244552058112</v>
      </c>
      <c r="J107" s="150">
        <f t="shared" si="301"/>
        <v>0.23125000000000001</v>
      </c>
      <c r="K107" s="150">
        <f t="shared" si="301"/>
        <v>0.27580645161290324</v>
      </c>
      <c r="L107" s="150">
        <f t="shared" si="301"/>
        <v>0.17350157728706625</v>
      </c>
      <c r="M107" s="150">
        <f t="shared" si="301"/>
        <v>0.31536697247706424</v>
      </c>
      <c r="N107" s="150">
        <f t="shared" si="301"/>
        <v>0.28413284132841327</v>
      </c>
      <c r="O107" s="150">
        <f t="shared" si="301"/>
        <v>0.24283559577677225</v>
      </c>
      <c r="P107" s="150">
        <f t="shared" ref="P107:Q107" si="302">P55/P7</f>
        <v>0.25499697153240458</v>
      </c>
      <c r="Q107" s="150">
        <f t="shared" si="302"/>
        <v>0.22899590163934427</v>
      </c>
      <c r="R107" s="118">
        <f t="shared" si="295"/>
        <v>2.7901675894376199E-2</v>
      </c>
      <c r="S107" s="20"/>
      <c r="T107" s="150">
        <f t="shared" ref="T107" si="303">T55/T7</f>
        <v>0.2289959016393443</v>
      </c>
      <c r="U107" s="150">
        <f t="shared" ref="U107:AC107" si="304">U55/U7</f>
        <v>0.2289959016393443</v>
      </c>
      <c r="V107" s="150">
        <f t="shared" si="304"/>
        <v>0.2289959016393443</v>
      </c>
      <c r="W107" s="150">
        <f t="shared" si="304"/>
        <v>0.2289959016393443</v>
      </c>
      <c r="X107" s="150">
        <f t="shared" si="304"/>
        <v>0.22899590163934433</v>
      </c>
      <c r="Y107" s="150">
        <f t="shared" si="304"/>
        <v>0.2289959016393443</v>
      </c>
      <c r="Z107" s="150">
        <f t="shared" si="304"/>
        <v>0.2289959016393443</v>
      </c>
      <c r="AA107" s="150">
        <f t="shared" si="304"/>
        <v>0.2289959016393443</v>
      </c>
      <c r="AB107" s="150">
        <f t="shared" si="304"/>
        <v>0.22899590163934433</v>
      </c>
      <c r="AC107" s="150">
        <f t="shared" si="304"/>
        <v>0.2289959016393443</v>
      </c>
      <c r="AD107" s="137">
        <f t="shared" si="297"/>
        <v>8.4176106325659639E-3</v>
      </c>
      <c r="AE107" s="145"/>
      <c r="AF107" s="145"/>
    </row>
    <row r="108" spans="2:32" x14ac:dyDescent="0.2">
      <c r="B108" s="20" t="s">
        <v>358</v>
      </c>
      <c r="C108" s="150"/>
      <c r="D108" s="150"/>
      <c r="E108" s="150"/>
      <c r="F108" s="150"/>
      <c r="G108" s="150">
        <f>(G55)/(G7+G10)</f>
        <v>0.16442048517520216</v>
      </c>
      <c r="H108" s="150">
        <f t="shared" ref="H108:O108" si="305">(H55)/(H7+H10)</f>
        <v>0.1702127659574468</v>
      </c>
      <c r="I108" s="150">
        <f t="shared" si="305"/>
        <v>0.18336886993603413</v>
      </c>
      <c r="J108" s="150">
        <f t="shared" si="305"/>
        <v>0.17760000000000001</v>
      </c>
      <c r="K108" s="150">
        <f t="shared" si="305"/>
        <v>0.14921465968586387</v>
      </c>
      <c r="L108" s="150">
        <f t="shared" si="305"/>
        <v>8.8495575221238937E-2</v>
      </c>
      <c r="M108" s="150">
        <f t="shared" si="305"/>
        <v>0.20522388059701493</v>
      </c>
      <c r="N108" s="150">
        <f t="shared" si="305"/>
        <v>0.21705426356589147</v>
      </c>
      <c r="O108" s="150">
        <f t="shared" si="305"/>
        <v>0.21845318860244234</v>
      </c>
      <c r="P108" s="150">
        <f t="shared" ref="P108:Q108" si="306">(P55)/(P7+P10)</f>
        <v>0.24735605170387778</v>
      </c>
      <c r="Q108" s="150">
        <f t="shared" si="306"/>
        <v>0.22372372372372373</v>
      </c>
      <c r="R108" s="118">
        <f t="shared" si="295"/>
        <v>4.1685602024250201E-2</v>
      </c>
      <c r="S108" s="20"/>
      <c r="T108" s="150">
        <f t="shared" ref="T108:AC108" si="307">(T55)/(T7+T10)</f>
        <v>0.22372372372372373</v>
      </c>
      <c r="U108" s="150">
        <f t="shared" si="307"/>
        <v>0.22372372372372376</v>
      </c>
      <c r="V108" s="150">
        <f t="shared" si="307"/>
        <v>0.22372372372372376</v>
      </c>
      <c r="W108" s="150">
        <f t="shared" si="307"/>
        <v>0.22372372372372376</v>
      </c>
      <c r="X108" s="150">
        <f t="shared" si="307"/>
        <v>0.22372372372372376</v>
      </c>
      <c r="Y108" s="150">
        <f t="shared" si="307"/>
        <v>0.22372372372372376</v>
      </c>
      <c r="Z108" s="150">
        <f t="shared" si="307"/>
        <v>0.22372372372372376</v>
      </c>
      <c r="AA108" s="150">
        <f t="shared" si="307"/>
        <v>0.22372372372372379</v>
      </c>
      <c r="AB108" s="150">
        <f t="shared" si="307"/>
        <v>0.22372372372372376</v>
      </c>
      <c r="AC108" s="150">
        <f t="shared" si="307"/>
        <v>0.22372372372372373</v>
      </c>
      <c r="AD108" s="137">
        <f t="shared" si="297"/>
        <v>1.5518420985363601E-2</v>
      </c>
      <c r="AE108" s="145"/>
      <c r="AF108" s="145"/>
    </row>
    <row r="109" spans="2:32" x14ac:dyDescent="0.2">
      <c r="B109" s="20" t="s">
        <v>374</v>
      </c>
      <c r="C109" s="150"/>
      <c r="D109" s="150"/>
      <c r="E109" s="150"/>
      <c r="F109" s="150"/>
      <c r="G109" s="150">
        <f>G20/G25</f>
        <v>7.1111111111111111E-2</v>
      </c>
      <c r="H109" s="150">
        <f t="shared" ref="H109:P109" si="308">H20/H25</f>
        <v>0.11840411840411841</v>
      </c>
      <c r="I109" s="150">
        <f t="shared" si="308"/>
        <v>0.11801896733403583</v>
      </c>
      <c r="J109" s="150">
        <f t="shared" si="308"/>
        <v>6.899224806201551E-2</v>
      </c>
      <c r="K109" s="150">
        <f t="shared" si="308"/>
        <v>7.2439162422184497E-2</v>
      </c>
      <c r="L109" s="150">
        <f t="shared" si="308"/>
        <v>0.13144590495449948</v>
      </c>
      <c r="M109" s="150">
        <f t="shared" si="308"/>
        <v>0.1833555852247441</v>
      </c>
      <c r="N109" s="150">
        <f t="shared" si="308"/>
        <v>0.11717612809315867</v>
      </c>
      <c r="O109" s="150">
        <f t="shared" si="308"/>
        <v>0.15873512836568565</v>
      </c>
      <c r="P109" s="150">
        <f t="shared" si="308"/>
        <v>0.13492898474487111</v>
      </c>
      <c r="Q109" s="150">
        <f t="shared" ref="Q109" si="309">Q20/Q25</f>
        <v>9.0867579908675805E-2</v>
      </c>
      <c r="R109" s="118">
        <f t="shared" si="295"/>
        <v>6.6146238009574976E-2</v>
      </c>
      <c r="S109" s="20"/>
      <c r="T109" s="150">
        <f t="shared" ref="T109:AC109" si="310">T20/T25</f>
        <v>9.0867579908675805E-2</v>
      </c>
      <c r="U109" s="150">
        <f t="shared" si="310"/>
        <v>9.0867579908675805E-2</v>
      </c>
      <c r="V109" s="150">
        <f t="shared" si="310"/>
        <v>9.0867579908675819E-2</v>
      </c>
      <c r="W109" s="150">
        <f t="shared" si="310"/>
        <v>9.0867579908675805E-2</v>
      </c>
      <c r="X109" s="150">
        <f t="shared" si="310"/>
        <v>9.0867579908675805E-2</v>
      </c>
      <c r="Y109" s="150">
        <f t="shared" si="310"/>
        <v>9.0867579908675805E-2</v>
      </c>
      <c r="Z109" s="150">
        <f t="shared" si="310"/>
        <v>9.0867579908675805E-2</v>
      </c>
      <c r="AA109" s="150">
        <f t="shared" si="310"/>
        <v>9.0867579908675805E-2</v>
      </c>
      <c r="AB109" s="150">
        <f t="shared" si="310"/>
        <v>9.0867579908675791E-2</v>
      </c>
      <c r="AC109" s="150">
        <f t="shared" si="310"/>
        <v>9.0867579908675791E-2</v>
      </c>
      <c r="AD109" s="137">
        <f t="shared" si="297"/>
        <v>1.233342110104485E-2</v>
      </c>
      <c r="AE109" s="145"/>
      <c r="AF109" s="145"/>
    </row>
    <row r="110" spans="2:32" x14ac:dyDescent="0.2">
      <c r="B110" s="20" t="s">
        <v>426</v>
      </c>
      <c r="C110" s="150"/>
      <c r="D110" s="150"/>
      <c r="E110" s="150"/>
      <c r="F110" s="150"/>
      <c r="G110" s="150">
        <f>G68/G25</f>
        <v>4.5925925925925926E-2</v>
      </c>
      <c r="H110" s="150">
        <f t="shared" ref="H110:P110" si="311">H68/H25</f>
        <v>4.2471042471042469E-2</v>
      </c>
      <c r="I110" s="150">
        <f t="shared" si="311"/>
        <v>4.7418335089567963E-2</v>
      </c>
      <c r="J110" s="150">
        <f t="shared" si="311"/>
        <v>2.7131782945736434E-2</v>
      </c>
      <c r="K110" s="150">
        <f t="shared" si="311"/>
        <v>2.0939445387662705E-2</v>
      </c>
      <c r="L110" s="150">
        <f t="shared" si="311"/>
        <v>8.5945399393326585E-3</v>
      </c>
      <c r="M110" s="150">
        <f t="shared" si="311"/>
        <v>1.602136181575434E-2</v>
      </c>
      <c r="N110" s="150">
        <f t="shared" si="311"/>
        <v>3.4570596797671035E-2</v>
      </c>
      <c r="O110" s="150">
        <f t="shared" si="311"/>
        <v>3.4439574201628055E-2</v>
      </c>
      <c r="P110" s="150">
        <f t="shared" si="311"/>
        <v>4.2083114150447132E-2</v>
      </c>
      <c r="Q110" s="150">
        <f t="shared" ref="Q110" si="312">Q68/Q25</f>
        <v>3.7671232876712327E-2</v>
      </c>
      <c r="R110" s="118">
        <f t="shared" si="295"/>
        <v>-8.7002539704635895E-3</v>
      </c>
      <c r="S110" s="20"/>
      <c r="T110" s="150">
        <f t="shared" ref="T110:AC110" si="313">T68/T25</f>
        <v>3.7671232876712327E-2</v>
      </c>
      <c r="U110" s="150">
        <f t="shared" si="313"/>
        <v>3.767123287671232E-2</v>
      </c>
      <c r="V110" s="150">
        <f t="shared" si="313"/>
        <v>3.7671232876712327E-2</v>
      </c>
      <c r="W110" s="150">
        <f t="shared" si="313"/>
        <v>3.7671232876712327E-2</v>
      </c>
      <c r="X110" s="150">
        <f t="shared" si="313"/>
        <v>3.7671232876712327E-2</v>
      </c>
      <c r="Y110" s="150">
        <f t="shared" si="313"/>
        <v>3.7671232876712334E-2</v>
      </c>
      <c r="Z110" s="150">
        <f t="shared" si="313"/>
        <v>3.767123287671232E-2</v>
      </c>
      <c r="AA110" s="150">
        <f t="shared" si="313"/>
        <v>3.7671232876712327E-2</v>
      </c>
      <c r="AB110" s="150">
        <f t="shared" si="313"/>
        <v>3.7671232876712313E-2</v>
      </c>
      <c r="AC110" s="150">
        <f t="shared" si="313"/>
        <v>3.767123287671232E-2</v>
      </c>
      <c r="AD110" s="137">
        <f t="shared" si="297"/>
        <v>-9.8577429178515752E-3</v>
      </c>
      <c r="AE110" s="145"/>
      <c r="AF110" s="145"/>
    </row>
    <row r="111" spans="2:32" x14ac:dyDescent="0.2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2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3"/>
      <c r="AE111" s="145"/>
      <c r="AF111" s="145"/>
    </row>
    <row r="112" spans="2:32" x14ac:dyDescent="0.2">
      <c r="B112" s="20" t="s">
        <v>321</v>
      </c>
      <c r="C112" s="150"/>
      <c r="D112" s="150"/>
      <c r="E112" s="150"/>
      <c r="F112" s="150"/>
      <c r="G112" s="150">
        <f>G29/G25</f>
        <v>1.4814814814814815E-6</v>
      </c>
      <c r="H112" s="150">
        <f t="shared" ref="H112:P112" si="314">H29/H25</f>
        <v>5.1480051480051478E-3</v>
      </c>
      <c r="I112" s="150">
        <f t="shared" si="314"/>
        <v>4.0042149631190722E-3</v>
      </c>
      <c r="J112" s="150">
        <f t="shared" si="314"/>
        <v>7.4341085271317827E-3</v>
      </c>
      <c r="K112" s="150">
        <f t="shared" si="314"/>
        <v>1.3582342954159592E-2</v>
      </c>
      <c r="L112" s="150">
        <f t="shared" si="314"/>
        <v>2.2244691607684528E-2</v>
      </c>
      <c r="M112" s="150">
        <f t="shared" si="314"/>
        <v>1.6911437472185136E-2</v>
      </c>
      <c r="N112" s="150">
        <f t="shared" si="314"/>
        <v>1.3100436681222707E-2</v>
      </c>
      <c r="O112" s="150">
        <f t="shared" si="314"/>
        <v>9.7056981840951788E-3</v>
      </c>
      <c r="P112" s="150">
        <f t="shared" si="314"/>
        <v>5.7864281956864806E-3</v>
      </c>
      <c r="Q112" s="150">
        <f t="shared" ref="Q112" si="315">Q29/Q25</f>
        <v>3.6529680365296802E-3</v>
      </c>
      <c r="R112" s="118">
        <f t="shared" si="295"/>
        <v>1.2865012024717819</v>
      </c>
      <c r="S112" s="20"/>
      <c r="T112" s="150">
        <f t="shared" ref="T112:AC112" si="316">T29/T25</f>
        <v>3.6529680365296807E-3</v>
      </c>
      <c r="U112" s="150">
        <f t="shared" si="316"/>
        <v>3.6529680365296802E-3</v>
      </c>
      <c r="V112" s="150">
        <f t="shared" si="316"/>
        <v>3.6529680365296807E-3</v>
      </c>
      <c r="W112" s="150">
        <f t="shared" si="316"/>
        <v>3.6529680365296807E-3</v>
      </c>
      <c r="X112" s="150">
        <f t="shared" si="316"/>
        <v>3.6529680365296802E-3</v>
      </c>
      <c r="Y112" s="150">
        <f t="shared" si="316"/>
        <v>3.6529680365296798E-3</v>
      </c>
      <c r="Z112" s="150">
        <f t="shared" si="316"/>
        <v>3.6529680365296794E-3</v>
      </c>
      <c r="AA112" s="150">
        <f t="shared" si="316"/>
        <v>3.6529680365296794E-3</v>
      </c>
      <c r="AB112" s="150">
        <f t="shared" si="316"/>
        <v>3.6529680365296794E-3</v>
      </c>
      <c r="AC112" s="150">
        <f t="shared" si="316"/>
        <v>3.6529680365296789E-3</v>
      </c>
      <c r="AD112" s="137">
        <f t="shared" si="297"/>
        <v>0.47773813920324981</v>
      </c>
      <c r="AE112" s="145"/>
      <c r="AF112" s="145"/>
    </row>
    <row r="113" spans="1:32" x14ac:dyDescent="0.2">
      <c r="B113" s="20" t="s">
        <v>367</v>
      </c>
      <c r="C113" s="150"/>
      <c r="D113" s="150"/>
      <c r="E113" s="150"/>
      <c r="F113" s="150"/>
      <c r="G113" s="150">
        <f>G29/G51</f>
        <v>9.2592592592592591E-6</v>
      </c>
      <c r="H113" s="150">
        <f t="shared" ref="H113:P113" si="317">H29/H51</f>
        <v>3.125E-2</v>
      </c>
      <c r="I113" s="150">
        <f t="shared" si="317"/>
        <v>2.6206896551724135E-2</v>
      </c>
      <c r="J113" s="150">
        <f t="shared" si="317"/>
        <v>5.5755813953488373E-2</v>
      </c>
      <c r="K113" s="150">
        <f t="shared" si="317"/>
        <v>9.5617529880478086E-2</v>
      </c>
      <c r="L113" s="150">
        <f t="shared" si="317"/>
        <v>0.18181818181818182</v>
      </c>
      <c r="M113" s="150">
        <f t="shared" si="317"/>
        <v>9.5477386934673364E-2</v>
      </c>
      <c r="N113" s="150">
        <f t="shared" si="317"/>
        <v>7.7586206896551727E-2</v>
      </c>
      <c r="O113" s="150">
        <f t="shared" si="317"/>
        <v>6.2753036437246959E-2</v>
      </c>
      <c r="P113" s="150">
        <f t="shared" si="317"/>
        <v>3.6727879799666109E-2</v>
      </c>
      <c r="Q113" s="150">
        <f t="shared" ref="Q113" si="318">Q29/Q51</f>
        <v>2.3845007451564829E-2</v>
      </c>
      <c r="R113" s="118">
        <f t="shared" ref="R113" si="319">((P113/G113)^(1/($H$2-$H$1) ))-1</f>
        <v>1.2900341637773289</v>
      </c>
      <c r="S113" s="20"/>
      <c r="T113" s="150">
        <f t="shared" ref="T113:AC113" si="320">T29/T51</f>
        <v>2.3845007451564829E-2</v>
      </c>
      <c r="U113" s="150">
        <f t="shared" si="320"/>
        <v>2.3845007451564829E-2</v>
      </c>
      <c r="V113" s="150">
        <f t="shared" si="320"/>
        <v>2.3845007451564829E-2</v>
      </c>
      <c r="W113" s="150">
        <f t="shared" si="320"/>
        <v>2.3845007451564829E-2</v>
      </c>
      <c r="X113" s="150">
        <f t="shared" si="320"/>
        <v>2.3845007451564829E-2</v>
      </c>
      <c r="Y113" s="150">
        <f t="shared" si="320"/>
        <v>2.3845007451564825E-2</v>
      </c>
      <c r="Z113" s="150">
        <f t="shared" si="320"/>
        <v>2.3845007451564825E-2</v>
      </c>
      <c r="AA113" s="150">
        <f t="shared" si="320"/>
        <v>2.3845007451564825E-2</v>
      </c>
      <c r="AB113" s="150">
        <f t="shared" si="320"/>
        <v>2.3845007451564825E-2</v>
      </c>
      <c r="AC113" s="150">
        <f t="shared" si="320"/>
        <v>2.3845007451564825E-2</v>
      </c>
      <c r="AD113" s="137">
        <f t="shared" ref="AD113" si="321">((AC113/G113)^(1/($AC$3-$H$1) ))-1</f>
        <v>0.48095226707745087</v>
      </c>
      <c r="AE113" s="145"/>
      <c r="AF113" s="145"/>
    </row>
    <row r="114" spans="1:32" ht="12" customHeight="1" x14ac:dyDescent="0.2">
      <c r="B114" s="20" t="s">
        <v>366</v>
      </c>
      <c r="C114" s="150"/>
      <c r="D114" s="150"/>
      <c r="E114" s="150"/>
      <c r="F114" s="150"/>
      <c r="G114" s="169">
        <f t="shared" ref="G114:P114" si="322">G29/G55</f>
        <v>1.6393442622950821E-5</v>
      </c>
      <c r="H114" s="169">
        <f t="shared" si="322"/>
        <v>5.5555555555555552E-2</v>
      </c>
      <c r="I114" s="169">
        <f t="shared" si="322"/>
        <v>4.4186046511627906E-2</v>
      </c>
      <c r="J114" s="169">
        <f t="shared" si="322"/>
        <v>8.6396396396396388E-2</v>
      </c>
      <c r="K114" s="169">
        <f t="shared" si="322"/>
        <v>0.14035087719298245</v>
      </c>
      <c r="L114" s="169">
        <f t="shared" si="322"/>
        <v>0.4</v>
      </c>
      <c r="M114" s="169">
        <f t="shared" si="322"/>
        <v>0.13818181818181818</v>
      </c>
      <c r="N114" s="169">
        <f t="shared" si="322"/>
        <v>0.11688311688311688</v>
      </c>
      <c r="O114" s="169">
        <f t="shared" si="322"/>
        <v>9.627329192546584E-2</v>
      </c>
      <c r="P114" s="169">
        <f t="shared" si="322"/>
        <v>5.2256532066508314E-2</v>
      </c>
      <c r="Q114" s="169">
        <f t="shared" ref="Q114" si="323">Q29/Q55</f>
        <v>3.5794183445190156E-2</v>
      </c>
      <c r="R114" s="118">
        <f t="shared" ref="R114" si="324">((P114/G114)^(1/($H$2-$H$1) ))-1</f>
        <v>1.2405108015640907</v>
      </c>
      <c r="S114" s="20"/>
      <c r="T114" s="169">
        <f t="shared" ref="T114:AC114" si="325">T29/T55</f>
        <v>3.5794183445190156E-2</v>
      </c>
      <c r="U114" s="169">
        <f t="shared" si="325"/>
        <v>3.5794183445190156E-2</v>
      </c>
      <c r="V114" s="169">
        <f t="shared" si="325"/>
        <v>3.5794183445190156E-2</v>
      </c>
      <c r="W114" s="169">
        <f t="shared" si="325"/>
        <v>3.5794183445190156E-2</v>
      </c>
      <c r="X114" s="169">
        <f t="shared" si="325"/>
        <v>3.5794183445190149E-2</v>
      </c>
      <c r="Y114" s="169">
        <f t="shared" si="325"/>
        <v>3.5794183445190149E-2</v>
      </c>
      <c r="Z114" s="169">
        <f t="shared" si="325"/>
        <v>3.5794183445190142E-2</v>
      </c>
      <c r="AA114" s="169">
        <f t="shared" si="325"/>
        <v>3.5794183445190142E-2</v>
      </c>
      <c r="AB114" s="169">
        <f t="shared" si="325"/>
        <v>3.5794183445190142E-2</v>
      </c>
      <c r="AC114" s="169">
        <f t="shared" si="325"/>
        <v>3.5794183445190142E-2</v>
      </c>
      <c r="AD114" s="137">
        <f t="shared" ref="AD114" si="326">((AC114/G114)^(1/($AC$3-$H$1) ))-1</f>
        <v>0.46878123275555339</v>
      </c>
      <c r="AE114" s="145"/>
      <c r="AF114" s="145"/>
    </row>
    <row r="115" spans="1:32" ht="12" customHeight="1" x14ac:dyDescent="0.2">
      <c r="B115" s="20" t="s">
        <v>323</v>
      </c>
      <c r="C115" s="150"/>
      <c r="D115" s="150"/>
      <c r="E115" s="150"/>
      <c r="F115" s="150"/>
      <c r="G115" s="169">
        <f t="shared" ref="G115:P115" si="327">G29/G12</f>
        <v>1.3333333333333334E-4</v>
      </c>
      <c r="H115" s="169">
        <f t="shared" si="327"/>
        <v>0.2857142857142857</v>
      </c>
      <c r="I115" s="169">
        <f t="shared" si="327"/>
        <v>0.23749999999999999</v>
      </c>
      <c r="J115" s="169">
        <f t="shared" si="327"/>
        <v>0.25236842105263158</v>
      </c>
      <c r="K115" s="169">
        <f t="shared" si="327"/>
        <v>0.13953488372093023</v>
      </c>
      <c r="L115" s="169">
        <f t="shared" si="327"/>
        <v>0.27672955974842767</v>
      </c>
      <c r="M115" s="169">
        <f t="shared" si="327"/>
        <v>0.84444444444444444</v>
      </c>
      <c r="N115" s="169">
        <f t="shared" si="327"/>
        <v>0.34951456310679613</v>
      </c>
      <c r="O115" s="169">
        <f t="shared" si="327"/>
        <v>0.11355311355311355</v>
      </c>
      <c r="P115" s="169">
        <f t="shared" si="327"/>
        <v>0.14569536423841059</v>
      </c>
      <c r="Q115" s="169">
        <f t="shared" ref="Q115" si="328">Q29/Q12</f>
        <v>9.03954802259887E-2</v>
      </c>
      <c r="R115" s="118">
        <f t="shared" si="295"/>
        <v>1.0130320974384839</v>
      </c>
      <c r="S115" s="20"/>
      <c r="T115" s="150">
        <f t="shared" ref="T115:AC115" si="329">T29/T12</f>
        <v>9.03954802259887E-2</v>
      </c>
      <c r="U115" s="150">
        <f t="shared" si="329"/>
        <v>9.03954802259887E-2</v>
      </c>
      <c r="V115" s="150">
        <f t="shared" si="329"/>
        <v>9.03954802259887E-2</v>
      </c>
      <c r="W115" s="150">
        <f t="shared" si="329"/>
        <v>9.03954802259887E-2</v>
      </c>
      <c r="X115" s="150">
        <f t="shared" si="329"/>
        <v>9.0395480225988686E-2</v>
      </c>
      <c r="Y115" s="150">
        <f t="shared" si="329"/>
        <v>9.0395480225988686E-2</v>
      </c>
      <c r="Z115" s="150">
        <f t="shared" si="329"/>
        <v>9.0395480225988686E-2</v>
      </c>
      <c r="AA115" s="150">
        <f t="shared" si="329"/>
        <v>9.0395480225988672E-2</v>
      </c>
      <c r="AB115" s="150">
        <f t="shared" si="329"/>
        <v>9.0395480225988686E-2</v>
      </c>
      <c r="AC115" s="150">
        <f t="shared" si="329"/>
        <v>9.0395480225988672E-2</v>
      </c>
      <c r="AD115" s="137">
        <f t="shared" si="297"/>
        <v>0.38535283881249272</v>
      </c>
      <c r="AE115" s="145"/>
      <c r="AF115" s="145"/>
    </row>
    <row r="116" spans="1:32" ht="12" customHeight="1" x14ac:dyDescent="0.2">
      <c r="B116" s="20" t="s">
        <v>368</v>
      </c>
      <c r="C116" s="150"/>
      <c r="D116" s="150"/>
      <c r="E116" s="150"/>
      <c r="F116" s="150"/>
      <c r="G116" s="169">
        <f>G29/G23</f>
        <v>1.3440860215053763E-4</v>
      </c>
      <c r="H116" s="169">
        <f t="shared" ref="H116:P116" si="330">H29/H23</f>
        <v>0.34305317324185247</v>
      </c>
      <c r="I116" s="169">
        <f t="shared" si="330"/>
        <v>0.31666666666666665</v>
      </c>
      <c r="J116" s="169">
        <f t="shared" si="330"/>
        <v>0.41695652173913045</v>
      </c>
      <c r="K116" s="169">
        <f t="shared" si="330"/>
        <v>0.16161616161616163</v>
      </c>
      <c r="L116" s="169">
        <f t="shared" si="330"/>
        <v>0.34645669291338582</v>
      </c>
      <c r="M116" s="169">
        <f t="shared" si="330"/>
        <v>1.1515151515151516</v>
      </c>
      <c r="N116" s="169">
        <f t="shared" si="330"/>
        <v>0.5</v>
      </c>
      <c r="O116" s="169">
        <f t="shared" si="330"/>
        <v>0.5</v>
      </c>
      <c r="P116" s="169">
        <f t="shared" si="330"/>
        <v>0.43137254901960786</v>
      </c>
      <c r="Q116" s="169">
        <f t="shared" ref="Q116" si="331">Q29/Q23</f>
        <v>0.18181818181818182</v>
      </c>
      <c r="R116" s="118">
        <f t="shared" ref="R116" si="332">((P116/G116)^(1/($H$2-$H$1) ))-1</f>
        <v>1.2420358054656657</v>
      </c>
      <c r="S116" s="20"/>
      <c r="T116" s="169">
        <f t="shared" ref="T116:AC116" si="333">T29/T23</f>
        <v>0.18181818181818182</v>
      </c>
      <c r="U116" s="169">
        <f t="shared" si="333"/>
        <v>0.18181818181818182</v>
      </c>
      <c r="V116" s="169">
        <f t="shared" si="333"/>
        <v>0.18181818181818182</v>
      </c>
      <c r="W116" s="169">
        <f t="shared" si="333"/>
        <v>0.18181818181818182</v>
      </c>
      <c r="X116" s="169">
        <f t="shared" si="333"/>
        <v>0.1818181818181818</v>
      </c>
      <c r="Y116" s="169">
        <f t="shared" si="333"/>
        <v>0.18181818181818177</v>
      </c>
      <c r="Z116" s="169">
        <f t="shared" si="333"/>
        <v>0.18181818181818177</v>
      </c>
      <c r="AA116" s="169">
        <f t="shared" si="333"/>
        <v>0.18181818181818174</v>
      </c>
      <c r="AB116" s="169">
        <f t="shared" si="333"/>
        <v>0.18181818181818177</v>
      </c>
      <c r="AC116" s="169">
        <f t="shared" si="333"/>
        <v>0.18181818181818177</v>
      </c>
      <c r="AD116" s="137">
        <f t="shared" ref="AD116" si="334">((AC116/G116)^(1/($AC$3-$H$1) ))-1</f>
        <v>0.43403751335994323</v>
      </c>
      <c r="AE116" s="145"/>
      <c r="AF116" s="145"/>
    </row>
    <row r="117" spans="1:32" ht="12" customHeight="1" x14ac:dyDescent="0.2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2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45"/>
      <c r="AF117" s="145"/>
    </row>
    <row r="118" spans="1:32" ht="12" customHeight="1" x14ac:dyDescent="0.2">
      <c r="B118" s="20" t="s">
        <v>400</v>
      </c>
      <c r="C118" s="150"/>
      <c r="D118" s="150"/>
      <c r="E118" s="150"/>
      <c r="F118" s="150"/>
      <c r="G118" s="127">
        <f>1/G112</f>
        <v>675000</v>
      </c>
      <c r="H118" s="127">
        <f t="shared" ref="H118:P118" si="335">1/H112</f>
        <v>194.25</v>
      </c>
      <c r="I118" s="127">
        <f t="shared" si="335"/>
        <v>249.73684210526318</v>
      </c>
      <c r="J118" s="127">
        <f t="shared" si="335"/>
        <v>134.51511991657978</v>
      </c>
      <c r="K118" s="127">
        <f t="shared" si="335"/>
        <v>73.625</v>
      </c>
      <c r="L118" s="127">
        <f t="shared" si="335"/>
        <v>44.95454545454546</v>
      </c>
      <c r="M118" s="127">
        <f t="shared" si="335"/>
        <v>59.131578947368418</v>
      </c>
      <c r="N118" s="127">
        <f t="shared" si="335"/>
        <v>76.333333333333343</v>
      </c>
      <c r="O118" s="127">
        <f t="shared" si="335"/>
        <v>103.03225806451613</v>
      </c>
      <c r="P118" s="127">
        <f t="shared" si="335"/>
        <v>172.81818181818181</v>
      </c>
      <c r="Q118" s="127">
        <f t="shared" ref="Q118" si="336">1/Q112</f>
        <v>273.75</v>
      </c>
      <c r="R118" s="118">
        <f t="shared" si="295"/>
        <v>-0.56265056894832699</v>
      </c>
      <c r="S118" s="20"/>
      <c r="T118" s="127">
        <f t="shared" ref="T118:AC118" si="337">1/T112</f>
        <v>273.75</v>
      </c>
      <c r="U118" s="127">
        <f t="shared" si="337"/>
        <v>273.75</v>
      </c>
      <c r="V118" s="127">
        <f t="shared" si="337"/>
        <v>273.75</v>
      </c>
      <c r="W118" s="127">
        <f t="shared" si="337"/>
        <v>273.75</v>
      </c>
      <c r="X118" s="127">
        <f t="shared" si="337"/>
        <v>273.75</v>
      </c>
      <c r="Y118" s="127">
        <f t="shared" si="337"/>
        <v>273.75000000000006</v>
      </c>
      <c r="Z118" s="127">
        <f t="shared" si="337"/>
        <v>273.75000000000006</v>
      </c>
      <c r="AA118" s="127">
        <f t="shared" si="337"/>
        <v>273.75000000000006</v>
      </c>
      <c r="AB118" s="127">
        <f t="shared" si="337"/>
        <v>273.75000000000006</v>
      </c>
      <c r="AC118" s="127">
        <f t="shared" si="337"/>
        <v>273.75000000000011</v>
      </c>
      <c r="AD118" s="137">
        <f t="shared" si="297"/>
        <v>-0.32329011922290329</v>
      </c>
      <c r="AE118" s="145"/>
      <c r="AF118" s="145"/>
    </row>
    <row r="119" spans="1:32" ht="12" customHeight="1" x14ac:dyDescent="0.2">
      <c r="B119" s="20" t="s">
        <v>401</v>
      </c>
      <c r="C119" s="150"/>
      <c r="D119" s="150"/>
      <c r="E119" s="150"/>
      <c r="F119" s="150"/>
      <c r="G119" s="127">
        <f t="shared" ref="G119:P122" si="338">1/G113</f>
        <v>108000</v>
      </c>
      <c r="H119" s="127">
        <f t="shared" si="338"/>
        <v>32</v>
      </c>
      <c r="I119" s="127">
        <f t="shared" si="338"/>
        <v>38.15789473684211</v>
      </c>
      <c r="J119" s="127">
        <f t="shared" si="338"/>
        <v>17.935349322210637</v>
      </c>
      <c r="K119" s="127">
        <f t="shared" si="338"/>
        <v>10.458333333333334</v>
      </c>
      <c r="L119" s="127">
        <f t="shared" si="338"/>
        <v>5.5</v>
      </c>
      <c r="M119" s="127">
        <f t="shared" si="338"/>
        <v>10.473684210526317</v>
      </c>
      <c r="N119" s="127">
        <f t="shared" si="338"/>
        <v>12.888888888888889</v>
      </c>
      <c r="O119" s="127">
        <f t="shared" si="338"/>
        <v>15.935483870967744</v>
      </c>
      <c r="P119" s="127">
        <f t="shared" si="338"/>
        <v>27.227272727272727</v>
      </c>
      <c r="Q119" s="127">
        <f t="shared" ref="Q119" si="339">1/Q113</f>
        <v>41.9375</v>
      </c>
      <c r="R119" s="118">
        <f t="shared" si="295"/>
        <v>-0.56332529190283531</v>
      </c>
      <c r="S119" s="20"/>
      <c r="T119" s="127">
        <f t="shared" ref="T119:AC119" si="340">1/T113</f>
        <v>41.9375</v>
      </c>
      <c r="U119" s="127">
        <f t="shared" si="340"/>
        <v>41.9375</v>
      </c>
      <c r="V119" s="127">
        <f t="shared" si="340"/>
        <v>41.9375</v>
      </c>
      <c r="W119" s="127">
        <f t="shared" si="340"/>
        <v>41.9375</v>
      </c>
      <c r="X119" s="127">
        <f t="shared" si="340"/>
        <v>41.9375</v>
      </c>
      <c r="Y119" s="127">
        <f t="shared" si="340"/>
        <v>41.937500000000007</v>
      </c>
      <c r="Z119" s="127">
        <f t="shared" si="340"/>
        <v>41.937500000000007</v>
      </c>
      <c r="AA119" s="127">
        <f t="shared" si="340"/>
        <v>41.937500000000007</v>
      </c>
      <c r="AB119" s="127">
        <f t="shared" si="340"/>
        <v>41.937500000000007</v>
      </c>
      <c r="AC119" s="127">
        <f t="shared" si="340"/>
        <v>41.937500000000007</v>
      </c>
      <c r="AD119" s="137">
        <f t="shared" si="297"/>
        <v>-0.32475879052238077</v>
      </c>
      <c r="AE119" s="145"/>
      <c r="AF119" s="145"/>
    </row>
    <row r="120" spans="1:32" ht="12" customHeight="1" x14ac:dyDescent="0.2">
      <c r="B120" s="20" t="s">
        <v>402</v>
      </c>
      <c r="C120" s="150"/>
      <c r="D120" s="150"/>
      <c r="E120" s="150"/>
      <c r="F120" s="150"/>
      <c r="G120" s="127">
        <f t="shared" si="338"/>
        <v>60999.999999999993</v>
      </c>
      <c r="H120" s="127">
        <f t="shared" si="338"/>
        <v>18</v>
      </c>
      <c r="I120" s="127">
        <f t="shared" si="338"/>
        <v>22.631578947368421</v>
      </c>
      <c r="J120" s="127">
        <f t="shared" si="338"/>
        <v>11.574556830031284</v>
      </c>
      <c r="K120" s="127">
        <f t="shared" si="338"/>
        <v>7.125</v>
      </c>
      <c r="L120" s="127">
        <f t="shared" si="338"/>
        <v>2.5</v>
      </c>
      <c r="M120" s="127">
        <f t="shared" si="338"/>
        <v>7.2368421052631575</v>
      </c>
      <c r="N120" s="127">
        <f t="shared" si="338"/>
        <v>8.5555555555555554</v>
      </c>
      <c r="O120" s="127">
        <f t="shared" si="338"/>
        <v>10.387096774193548</v>
      </c>
      <c r="P120" s="127">
        <f t="shared" si="338"/>
        <v>19.136363636363637</v>
      </c>
      <c r="Q120" s="127">
        <f t="shared" ref="Q120" si="341">1/Q114</f>
        <v>27.9375</v>
      </c>
      <c r="R120" s="118">
        <f t="shared" si="295"/>
        <v>-0.55367320733204928</v>
      </c>
      <c r="S120" s="20"/>
      <c r="T120" s="127">
        <f t="shared" ref="T120:AC120" si="342">1/T114</f>
        <v>27.9375</v>
      </c>
      <c r="U120" s="127">
        <f t="shared" si="342"/>
        <v>27.9375</v>
      </c>
      <c r="V120" s="127">
        <f t="shared" si="342"/>
        <v>27.9375</v>
      </c>
      <c r="W120" s="127">
        <f t="shared" si="342"/>
        <v>27.9375</v>
      </c>
      <c r="X120" s="127">
        <f t="shared" si="342"/>
        <v>27.937500000000007</v>
      </c>
      <c r="Y120" s="127">
        <f t="shared" si="342"/>
        <v>27.937500000000007</v>
      </c>
      <c r="Z120" s="127">
        <f t="shared" si="342"/>
        <v>27.937500000000011</v>
      </c>
      <c r="AA120" s="127">
        <f t="shared" si="342"/>
        <v>27.937500000000011</v>
      </c>
      <c r="AB120" s="127">
        <f t="shared" si="342"/>
        <v>27.937500000000011</v>
      </c>
      <c r="AC120" s="127">
        <f t="shared" si="342"/>
        <v>27.937500000000011</v>
      </c>
      <c r="AD120" s="137">
        <f t="shared" si="297"/>
        <v>-0.31916341406138582</v>
      </c>
      <c r="AE120" s="145"/>
      <c r="AF120" s="145"/>
    </row>
    <row r="121" spans="1:32" ht="12" customHeight="1" x14ac:dyDescent="0.2">
      <c r="B121" s="20" t="s">
        <v>403</v>
      </c>
      <c r="C121" s="150"/>
      <c r="D121" s="150"/>
      <c r="E121" s="150"/>
      <c r="F121" s="150"/>
      <c r="G121" s="127">
        <f t="shared" si="338"/>
        <v>7500</v>
      </c>
      <c r="H121" s="127">
        <f t="shared" si="338"/>
        <v>3.5</v>
      </c>
      <c r="I121" s="127">
        <f t="shared" si="338"/>
        <v>4.2105263157894735</v>
      </c>
      <c r="J121" s="127">
        <f t="shared" si="338"/>
        <v>3.9624608967674662</v>
      </c>
      <c r="K121" s="127">
        <f t="shared" si="338"/>
        <v>7.166666666666667</v>
      </c>
      <c r="L121" s="127">
        <f t="shared" si="338"/>
        <v>3.6136363636363638</v>
      </c>
      <c r="M121" s="127">
        <f t="shared" si="338"/>
        <v>1.1842105263157894</v>
      </c>
      <c r="N121" s="127">
        <f t="shared" si="338"/>
        <v>2.8611111111111112</v>
      </c>
      <c r="O121" s="127">
        <f t="shared" si="338"/>
        <v>8.806451612903226</v>
      </c>
      <c r="P121" s="127">
        <f t="shared" si="338"/>
        <v>6.8636363636363642</v>
      </c>
      <c r="Q121" s="127">
        <f t="shared" ref="Q121" si="343">1/Q115</f>
        <v>11.0625</v>
      </c>
      <c r="R121" s="118">
        <f t="shared" si="295"/>
        <v>-0.50323693235072275</v>
      </c>
      <c r="S121" s="20"/>
      <c r="T121" s="127">
        <f t="shared" ref="T121:AC121" si="344">1/T115</f>
        <v>11.0625</v>
      </c>
      <c r="U121" s="127">
        <f t="shared" si="344"/>
        <v>11.0625</v>
      </c>
      <c r="V121" s="127">
        <f t="shared" si="344"/>
        <v>11.0625</v>
      </c>
      <c r="W121" s="127">
        <f t="shared" si="344"/>
        <v>11.0625</v>
      </c>
      <c r="X121" s="127">
        <f t="shared" si="344"/>
        <v>11.062500000000002</v>
      </c>
      <c r="Y121" s="127">
        <f t="shared" si="344"/>
        <v>11.062500000000002</v>
      </c>
      <c r="Z121" s="127">
        <f t="shared" si="344"/>
        <v>11.062500000000002</v>
      </c>
      <c r="AA121" s="127">
        <f t="shared" si="344"/>
        <v>11.062500000000004</v>
      </c>
      <c r="AB121" s="127">
        <f t="shared" si="344"/>
        <v>11.062500000000002</v>
      </c>
      <c r="AC121" s="127">
        <f t="shared" si="344"/>
        <v>11.062500000000004</v>
      </c>
      <c r="AD121" s="137">
        <f t="shared" si="297"/>
        <v>-0.27816223276577856</v>
      </c>
      <c r="AE121" s="145"/>
      <c r="AF121" s="145"/>
    </row>
    <row r="122" spans="1:32" ht="12" customHeight="1" x14ac:dyDescent="0.2">
      <c r="B122" s="20" t="s">
        <v>404</v>
      </c>
      <c r="C122" s="150"/>
      <c r="D122" s="150"/>
      <c r="E122" s="150"/>
      <c r="F122" s="150"/>
      <c r="G122" s="127">
        <f t="shared" si="338"/>
        <v>7440</v>
      </c>
      <c r="H122" s="127">
        <f t="shared" si="338"/>
        <v>2.915</v>
      </c>
      <c r="I122" s="127">
        <f t="shared" si="338"/>
        <v>3.1578947368421053</v>
      </c>
      <c r="J122" s="127">
        <f t="shared" si="338"/>
        <v>2.3983315954118871</v>
      </c>
      <c r="K122" s="127">
        <f t="shared" si="338"/>
        <v>6.1874999999999991</v>
      </c>
      <c r="L122" s="127">
        <f t="shared" si="338"/>
        <v>2.8863636363636362</v>
      </c>
      <c r="M122" s="127">
        <f t="shared" si="338"/>
        <v>0.86842105263157887</v>
      </c>
      <c r="N122" s="127">
        <f t="shared" si="338"/>
        <v>2</v>
      </c>
      <c r="O122" s="127">
        <f t="shared" si="338"/>
        <v>2</v>
      </c>
      <c r="P122" s="127">
        <f t="shared" si="338"/>
        <v>2.3181818181818179</v>
      </c>
      <c r="Q122" s="127">
        <f t="shared" ref="Q122" si="345">1/Q116</f>
        <v>5.5</v>
      </c>
      <c r="R122" s="118">
        <f t="shared" si="295"/>
        <v>-0.55397679307253411</v>
      </c>
      <c r="S122" s="20"/>
      <c r="T122" s="127">
        <f t="shared" ref="T122:AC122" si="346">1/T116</f>
        <v>5.5</v>
      </c>
      <c r="U122" s="127">
        <f t="shared" si="346"/>
        <v>5.5</v>
      </c>
      <c r="V122" s="127">
        <f t="shared" si="346"/>
        <v>5.5</v>
      </c>
      <c r="W122" s="127">
        <f t="shared" si="346"/>
        <v>5.5</v>
      </c>
      <c r="X122" s="127">
        <f t="shared" si="346"/>
        <v>5.5000000000000009</v>
      </c>
      <c r="Y122" s="127">
        <f t="shared" si="346"/>
        <v>5.5000000000000018</v>
      </c>
      <c r="Z122" s="127">
        <f t="shared" si="346"/>
        <v>5.5000000000000018</v>
      </c>
      <c r="AA122" s="127">
        <f t="shared" si="346"/>
        <v>5.5000000000000027</v>
      </c>
      <c r="AB122" s="127">
        <f t="shared" si="346"/>
        <v>5.5000000000000018</v>
      </c>
      <c r="AC122" s="127">
        <f t="shared" si="346"/>
        <v>5.5000000000000018</v>
      </c>
      <c r="AD122" s="137">
        <f t="shared" si="297"/>
        <v>-0.30266817242667199</v>
      </c>
      <c r="AE122" s="145"/>
      <c r="AF122" s="145"/>
    </row>
    <row r="123" spans="1:32" ht="12" customHeight="1" x14ac:dyDescent="0.2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20"/>
      <c r="T123" s="15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45"/>
      <c r="AF123" s="145"/>
    </row>
    <row r="124" spans="1:32" ht="12" customHeight="1" x14ac:dyDescent="0.2">
      <c r="A124" s="205" t="s">
        <v>482</v>
      </c>
      <c r="B124" s="200" t="s">
        <v>490</v>
      </c>
      <c r="C124" s="150"/>
      <c r="D124" s="150"/>
      <c r="E124" s="150"/>
      <c r="F124" s="150"/>
      <c r="G124" s="169" t="e">
        <f t="shared" ref="G124:Q124" si="347">G25/(G36+G38)</f>
        <v>#DIV/0!</v>
      </c>
      <c r="H124" s="169" t="e">
        <f t="shared" si="347"/>
        <v>#DIV/0!</v>
      </c>
      <c r="I124" s="169" t="e">
        <f t="shared" si="347"/>
        <v>#DIV/0!</v>
      </c>
      <c r="J124" s="169" t="e">
        <f t="shared" si="347"/>
        <v>#DIV/0!</v>
      </c>
      <c r="K124" s="169" t="e">
        <f t="shared" si="347"/>
        <v>#DIV/0!</v>
      </c>
      <c r="L124" s="169" t="e">
        <f t="shared" si="347"/>
        <v>#DIV/0!</v>
      </c>
      <c r="M124" s="169" t="e">
        <f t="shared" si="347"/>
        <v>#DIV/0!</v>
      </c>
      <c r="N124" s="169" t="e">
        <f t="shared" si="347"/>
        <v>#DIV/0!</v>
      </c>
      <c r="O124" s="169" t="e">
        <f t="shared" si="347"/>
        <v>#DIV/0!</v>
      </c>
      <c r="P124" s="169" t="e">
        <f t="shared" si="347"/>
        <v>#DIV/0!</v>
      </c>
      <c r="Q124" s="169" t="e">
        <f t="shared" si="347"/>
        <v>#DIV/0!</v>
      </c>
      <c r="R124" s="118" t="e">
        <f t="shared" ref="R124:R132" si="348">((P124/G124)^(1/($H$2-$H$1) ))-1</f>
        <v>#DIV/0!</v>
      </c>
      <c r="S124" s="20"/>
      <c r="T124" s="169" t="e">
        <f t="shared" ref="T124:AC124" si="349">T25/(T36+T38)</f>
        <v>#DIV/0!</v>
      </c>
      <c r="U124" s="169" t="e">
        <f t="shared" si="349"/>
        <v>#DIV/0!</v>
      </c>
      <c r="V124" s="169" t="e">
        <f t="shared" si="349"/>
        <v>#DIV/0!</v>
      </c>
      <c r="W124" s="169" t="e">
        <f t="shared" si="349"/>
        <v>#DIV/0!</v>
      </c>
      <c r="X124" s="169" t="e">
        <f t="shared" si="349"/>
        <v>#DIV/0!</v>
      </c>
      <c r="Y124" s="169" t="e">
        <f t="shared" si="349"/>
        <v>#DIV/0!</v>
      </c>
      <c r="Z124" s="169" t="e">
        <f t="shared" si="349"/>
        <v>#DIV/0!</v>
      </c>
      <c r="AA124" s="169" t="e">
        <f t="shared" si="349"/>
        <v>#DIV/0!</v>
      </c>
      <c r="AB124" s="169" t="e">
        <f t="shared" si="349"/>
        <v>#DIV/0!</v>
      </c>
      <c r="AC124" s="169" t="e">
        <f t="shared" si="349"/>
        <v>#DIV/0!</v>
      </c>
      <c r="AD124" s="137" t="e">
        <f t="shared" ref="AD124:AD132" si="350">((AC124/G124)^(1/($AC$3-$H$1) ))-1</f>
        <v>#DIV/0!</v>
      </c>
      <c r="AE124" s="145"/>
      <c r="AF124" s="145"/>
    </row>
    <row r="125" spans="1:32" ht="12" customHeight="1" x14ac:dyDescent="0.2">
      <c r="A125" s="205"/>
      <c r="B125" s="200" t="s">
        <v>484</v>
      </c>
      <c r="C125" s="150"/>
      <c r="D125" s="150"/>
      <c r="E125" s="150"/>
      <c r="F125" s="150"/>
      <c r="G125" s="169" t="e">
        <f t="shared" ref="G125:Q125" si="351">G25/G43</f>
        <v>#DIV/0!</v>
      </c>
      <c r="H125" s="169" t="e">
        <f t="shared" si="351"/>
        <v>#DIV/0!</v>
      </c>
      <c r="I125" s="169" t="e">
        <f t="shared" si="351"/>
        <v>#DIV/0!</v>
      </c>
      <c r="J125" s="169" t="e">
        <f t="shared" si="351"/>
        <v>#DIV/0!</v>
      </c>
      <c r="K125" s="169" t="e">
        <f t="shared" si="351"/>
        <v>#DIV/0!</v>
      </c>
      <c r="L125" s="169" t="e">
        <f t="shared" si="351"/>
        <v>#DIV/0!</v>
      </c>
      <c r="M125" s="169" t="e">
        <f t="shared" si="351"/>
        <v>#DIV/0!</v>
      </c>
      <c r="N125" s="169" t="e">
        <f t="shared" si="351"/>
        <v>#DIV/0!</v>
      </c>
      <c r="O125" s="169" t="e">
        <f t="shared" si="351"/>
        <v>#DIV/0!</v>
      </c>
      <c r="P125" s="169" t="e">
        <f t="shared" si="351"/>
        <v>#DIV/0!</v>
      </c>
      <c r="Q125" s="169" t="e">
        <f t="shared" si="351"/>
        <v>#DIV/0!</v>
      </c>
      <c r="R125" s="118" t="e">
        <f t="shared" si="348"/>
        <v>#DIV/0!</v>
      </c>
      <c r="S125" s="20"/>
      <c r="T125" s="169" t="e">
        <f t="shared" ref="T125:AC125" si="352">T25/T43</f>
        <v>#DIV/0!</v>
      </c>
      <c r="U125" s="169" t="e">
        <f t="shared" si="352"/>
        <v>#DIV/0!</v>
      </c>
      <c r="V125" s="169" t="e">
        <f t="shared" si="352"/>
        <v>#DIV/0!</v>
      </c>
      <c r="W125" s="169" t="e">
        <f t="shared" si="352"/>
        <v>#DIV/0!</v>
      </c>
      <c r="X125" s="169" t="e">
        <f t="shared" si="352"/>
        <v>#DIV/0!</v>
      </c>
      <c r="Y125" s="169" t="e">
        <f t="shared" si="352"/>
        <v>#DIV/0!</v>
      </c>
      <c r="Z125" s="169" t="e">
        <f t="shared" si="352"/>
        <v>#DIV/0!</v>
      </c>
      <c r="AA125" s="169" t="e">
        <f t="shared" si="352"/>
        <v>#DIV/0!</v>
      </c>
      <c r="AB125" s="169" t="e">
        <f t="shared" si="352"/>
        <v>#DIV/0!</v>
      </c>
      <c r="AC125" s="169" t="e">
        <f t="shared" si="352"/>
        <v>#DIV/0!</v>
      </c>
      <c r="AD125" s="137" t="e">
        <f t="shared" si="350"/>
        <v>#DIV/0!</v>
      </c>
      <c r="AE125" s="145"/>
      <c r="AF125" s="145"/>
    </row>
    <row r="126" spans="1:32" ht="12" customHeight="1" x14ac:dyDescent="0.2">
      <c r="A126" s="205"/>
      <c r="B126" s="200" t="s">
        <v>491</v>
      </c>
      <c r="C126" s="150"/>
      <c r="D126" s="150"/>
      <c r="E126" s="150"/>
      <c r="F126" s="150"/>
      <c r="G126" s="169" t="e">
        <f t="shared" ref="G126:Q126" si="353">G43/(G36)</f>
        <v>#DIV/0!</v>
      </c>
      <c r="H126" s="169" t="e">
        <f t="shared" si="353"/>
        <v>#DIV/0!</v>
      </c>
      <c r="I126" s="169" t="e">
        <f t="shared" si="353"/>
        <v>#DIV/0!</v>
      </c>
      <c r="J126" s="169" t="e">
        <f t="shared" si="353"/>
        <v>#DIV/0!</v>
      </c>
      <c r="K126" s="169" t="e">
        <f t="shared" si="353"/>
        <v>#DIV/0!</v>
      </c>
      <c r="L126" s="169" t="e">
        <f t="shared" si="353"/>
        <v>#DIV/0!</v>
      </c>
      <c r="M126" s="169" t="e">
        <f t="shared" si="353"/>
        <v>#DIV/0!</v>
      </c>
      <c r="N126" s="169" t="e">
        <f t="shared" si="353"/>
        <v>#DIV/0!</v>
      </c>
      <c r="O126" s="169" t="e">
        <f t="shared" si="353"/>
        <v>#DIV/0!</v>
      </c>
      <c r="P126" s="169" t="e">
        <f t="shared" si="353"/>
        <v>#DIV/0!</v>
      </c>
      <c r="Q126" s="169" t="e">
        <f t="shared" si="353"/>
        <v>#DIV/0!</v>
      </c>
      <c r="R126" s="118" t="e">
        <f t="shared" si="348"/>
        <v>#DIV/0!</v>
      </c>
      <c r="S126" s="20"/>
      <c r="T126" s="169" t="e">
        <f t="shared" ref="T126:AC126" si="354">T43/(T36+T38)</f>
        <v>#DIV/0!</v>
      </c>
      <c r="U126" s="169" t="e">
        <f t="shared" si="354"/>
        <v>#DIV/0!</v>
      </c>
      <c r="V126" s="169" t="e">
        <f t="shared" si="354"/>
        <v>#DIV/0!</v>
      </c>
      <c r="W126" s="169" t="e">
        <f t="shared" si="354"/>
        <v>#DIV/0!</v>
      </c>
      <c r="X126" s="169" t="e">
        <f t="shared" si="354"/>
        <v>#DIV/0!</v>
      </c>
      <c r="Y126" s="169" t="e">
        <f t="shared" si="354"/>
        <v>#DIV/0!</v>
      </c>
      <c r="Z126" s="169" t="e">
        <f t="shared" si="354"/>
        <v>#DIV/0!</v>
      </c>
      <c r="AA126" s="169" t="e">
        <f t="shared" si="354"/>
        <v>#DIV/0!</v>
      </c>
      <c r="AB126" s="169" t="e">
        <f t="shared" si="354"/>
        <v>#DIV/0!</v>
      </c>
      <c r="AC126" s="169" t="e">
        <f t="shared" si="354"/>
        <v>#DIV/0!</v>
      </c>
      <c r="AD126" s="137" t="e">
        <f t="shared" si="350"/>
        <v>#DIV/0!</v>
      </c>
      <c r="AE126" s="145"/>
      <c r="AF126" s="145"/>
    </row>
    <row r="127" spans="1:32" ht="12" customHeight="1" x14ac:dyDescent="0.2">
      <c r="A127" s="205"/>
      <c r="B127" s="200" t="s">
        <v>488</v>
      </c>
      <c r="C127" s="150"/>
      <c r="D127" s="150"/>
      <c r="E127" s="150"/>
      <c r="F127" s="150"/>
      <c r="G127" s="169" t="e">
        <f t="shared" ref="G127:Q127" si="355">G43/G38</f>
        <v>#DIV/0!</v>
      </c>
      <c r="H127" s="169" t="e">
        <f t="shared" si="355"/>
        <v>#DIV/0!</v>
      </c>
      <c r="I127" s="169" t="e">
        <f t="shared" si="355"/>
        <v>#DIV/0!</v>
      </c>
      <c r="J127" s="169" t="e">
        <f t="shared" si="355"/>
        <v>#DIV/0!</v>
      </c>
      <c r="K127" s="169" t="e">
        <f t="shared" si="355"/>
        <v>#DIV/0!</v>
      </c>
      <c r="L127" s="169" t="e">
        <f t="shared" si="355"/>
        <v>#DIV/0!</v>
      </c>
      <c r="M127" s="169" t="e">
        <f t="shared" si="355"/>
        <v>#DIV/0!</v>
      </c>
      <c r="N127" s="169" t="e">
        <f t="shared" si="355"/>
        <v>#DIV/0!</v>
      </c>
      <c r="O127" s="169" t="e">
        <f t="shared" si="355"/>
        <v>#DIV/0!</v>
      </c>
      <c r="P127" s="169" t="e">
        <f t="shared" si="355"/>
        <v>#DIV/0!</v>
      </c>
      <c r="Q127" s="169" t="e">
        <f t="shared" si="355"/>
        <v>#DIV/0!</v>
      </c>
      <c r="R127" s="118" t="e">
        <f t="shared" si="348"/>
        <v>#DIV/0!</v>
      </c>
      <c r="S127" s="20"/>
      <c r="T127" s="169" t="e">
        <f t="shared" ref="T127:AC127" si="356">T43/T38</f>
        <v>#DIV/0!</v>
      </c>
      <c r="U127" s="169" t="e">
        <f t="shared" si="356"/>
        <v>#DIV/0!</v>
      </c>
      <c r="V127" s="169" t="e">
        <f t="shared" si="356"/>
        <v>#DIV/0!</v>
      </c>
      <c r="W127" s="169" t="e">
        <f t="shared" si="356"/>
        <v>#DIV/0!</v>
      </c>
      <c r="X127" s="169" t="e">
        <f t="shared" si="356"/>
        <v>#DIV/0!</v>
      </c>
      <c r="Y127" s="169" t="e">
        <f t="shared" si="356"/>
        <v>#DIV/0!</v>
      </c>
      <c r="Z127" s="169" t="e">
        <f t="shared" si="356"/>
        <v>#DIV/0!</v>
      </c>
      <c r="AA127" s="169" t="e">
        <f t="shared" si="356"/>
        <v>#DIV/0!</v>
      </c>
      <c r="AB127" s="169" t="e">
        <f t="shared" si="356"/>
        <v>#DIV/0!</v>
      </c>
      <c r="AC127" s="169" t="e">
        <f t="shared" si="356"/>
        <v>#DIV/0!</v>
      </c>
      <c r="AD127" s="137" t="e">
        <f t="shared" si="350"/>
        <v>#DIV/0!</v>
      </c>
      <c r="AE127" s="145"/>
      <c r="AF127" s="145"/>
    </row>
    <row r="128" spans="1:32" ht="12" customHeight="1" x14ac:dyDescent="0.2">
      <c r="A128" s="205"/>
      <c r="B128" s="200" t="s">
        <v>487</v>
      </c>
      <c r="C128" s="150"/>
      <c r="D128" s="150"/>
      <c r="E128" s="150"/>
      <c r="F128" s="150"/>
      <c r="G128" s="169" t="e">
        <f t="shared" ref="G128:Q128" si="357">G43/(G36+G38)</f>
        <v>#DIV/0!</v>
      </c>
      <c r="H128" s="169" t="e">
        <f t="shared" si="357"/>
        <v>#DIV/0!</v>
      </c>
      <c r="I128" s="169" t="e">
        <f t="shared" si="357"/>
        <v>#DIV/0!</v>
      </c>
      <c r="J128" s="169" t="e">
        <f t="shared" si="357"/>
        <v>#DIV/0!</v>
      </c>
      <c r="K128" s="169" t="e">
        <f t="shared" si="357"/>
        <v>#DIV/0!</v>
      </c>
      <c r="L128" s="169" t="e">
        <f t="shared" si="357"/>
        <v>#DIV/0!</v>
      </c>
      <c r="M128" s="169" t="e">
        <f t="shared" si="357"/>
        <v>#DIV/0!</v>
      </c>
      <c r="N128" s="169" t="e">
        <f t="shared" si="357"/>
        <v>#DIV/0!</v>
      </c>
      <c r="O128" s="169" t="e">
        <f t="shared" si="357"/>
        <v>#DIV/0!</v>
      </c>
      <c r="P128" s="169" t="e">
        <f t="shared" si="357"/>
        <v>#DIV/0!</v>
      </c>
      <c r="Q128" s="169" t="e">
        <f t="shared" si="357"/>
        <v>#DIV/0!</v>
      </c>
      <c r="R128" s="118" t="e">
        <f>((P128/G128)^(1/($H$2-$H$1) ))-1</f>
        <v>#DIV/0!</v>
      </c>
      <c r="S128" s="20"/>
      <c r="T128" s="169" t="e">
        <f t="shared" ref="T128:AC128" si="358">T43/(T36+T38)</f>
        <v>#DIV/0!</v>
      </c>
      <c r="U128" s="169" t="e">
        <f t="shared" si="358"/>
        <v>#DIV/0!</v>
      </c>
      <c r="V128" s="169" t="e">
        <f t="shared" si="358"/>
        <v>#DIV/0!</v>
      </c>
      <c r="W128" s="169" t="e">
        <f t="shared" si="358"/>
        <v>#DIV/0!</v>
      </c>
      <c r="X128" s="169" t="e">
        <f t="shared" si="358"/>
        <v>#DIV/0!</v>
      </c>
      <c r="Y128" s="169" t="e">
        <f t="shared" si="358"/>
        <v>#DIV/0!</v>
      </c>
      <c r="Z128" s="169" t="e">
        <f t="shared" si="358"/>
        <v>#DIV/0!</v>
      </c>
      <c r="AA128" s="169" t="e">
        <f t="shared" si="358"/>
        <v>#DIV/0!</v>
      </c>
      <c r="AB128" s="169" t="e">
        <f t="shared" si="358"/>
        <v>#DIV/0!</v>
      </c>
      <c r="AC128" s="169" t="e">
        <f t="shared" si="358"/>
        <v>#DIV/0!</v>
      </c>
      <c r="AD128" s="137" t="e">
        <f>((AC128/G128)^(1/($AC$3-$H$1) ))-1</f>
        <v>#DIV/0!</v>
      </c>
      <c r="AE128" s="145"/>
      <c r="AF128" s="145"/>
    </row>
    <row r="129" spans="1:32" ht="12" customHeight="1" x14ac:dyDescent="0.2">
      <c r="A129" s="205"/>
      <c r="B129" s="200" t="s">
        <v>494</v>
      </c>
      <c r="C129" s="150"/>
      <c r="D129" s="150"/>
      <c r="E129" s="150"/>
      <c r="F129" s="150"/>
      <c r="G129" s="169">
        <f t="shared" ref="G129:Q129" si="359">G47/G25</f>
        <v>0</v>
      </c>
      <c r="H129" s="169">
        <f t="shared" si="359"/>
        <v>0</v>
      </c>
      <c r="I129" s="169">
        <f t="shared" si="359"/>
        <v>0</v>
      </c>
      <c r="J129" s="169">
        <f t="shared" si="359"/>
        <v>0</v>
      </c>
      <c r="K129" s="169">
        <f t="shared" si="359"/>
        <v>0</v>
      </c>
      <c r="L129" s="169">
        <f t="shared" si="359"/>
        <v>0</v>
      </c>
      <c r="M129" s="169">
        <f t="shared" si="359"/>
        <v>0</v>
      </c>
      <c r="N129" s="169">
        <f t="shared" si="359"/>
        <v>0</v>
      </c>
      <c r="O129" s="169">
        <f t="shared" si="359"/>
        <v>0</v>
      </c>
      <c r="P129" s="169">
        <f t="shared" si="359"/>
        <v>0</v>
      </c>
      <c r="Q129" s="169">
        <f t="shared" si="359"/>
        <v>0</v>
      </c>
      <c r="R129" s="118" t="e">
        <f>((P129/G129)^(1/($H$2-$H$1) ))-1</f>
        <v>#DIV/0!</v>
      </c>
      <c r="S129" s="20"/>
      <c r="T129" s="169">
        <f t="shared" ref="T129:AC129" si="360">T47/T25</f>
        <v>0</v>
      </c>
      <c r="U129" s="169">
        <f t="shared" si="360"/>
        <v>0</v>
      </c>
      <c r="V129" s="169">
        <f t="shared" si="360"/>
        <v>0</v>
      </c>
      <c r="W129" s="169">
        <f t="shared" si="360"/>
        <v>0</v>
      </c>
      <c r="X129" s="169">
        <f t="shared" si="360"/>
        <v>0</v>
      </c>
      <c r="Y129" s="169">
        <f t="shared" si="360"/>
        <v>0</v>
      </c>
      <c r="Z129" s="169">
        <f t="shared" si="360"/>
        <v>0</v>
      </c>
      <c r="AA129" s="169">
        <f t="shared" si="360"/>
        <v>0</v>
      </c>
      <c r="AB129" s="169">
        <f t="shared" si="360"/>
        <v>0</v>
      </c>
      <c r="AC129" s="169">
        <f t="shared" si="360"/>
        <v>0</v>
      </c>
      <c r="AD129" s="137" t="e">
        <f>((AC129/G129)^(1/($AC$3-$H$1) ))-1</f>
        <v>#DIV/0!</v>
      </c>
      <c r="AE129" s="145"/>
      <c r="AF129" s="145"/>
    </row>
    <row r="130" spans="1:32" ht="12" customHeight="1" x14ac:dyDescent="0.2">
      <c r="A130" s="205"/>
      <c r="B130" s="200" t="s">
        <v>492</v>
      </c>
      <c r="C130" s="150"/>
      <c r="D130" s="150"/>
      <c r="E130" s="150"/>
      <c r="F130" s="150"/>
      <c r="G130" s="204" t="e">
        <f t="shared" ref="G130:Q130" si="361">G55/G49</f>
        <v>#DIV/0!</v>
      </c>
      <c r="H130" s="204" t="e">
        <f t="shared" si="361"/>
        <v>#DIV/0!</v>
      </c>
      <c r="I130" s="204" t="e">
        <f t="shared" si="361"/>
        <v>#DIV/0!</v>
      </c>
      <c r="J130" s="204" t="e">
        <f t="shared" si="361"/>
        <v>#DIV/0!</v>
      </c>
      <c r="K130" s="204" t="e">
        <f t="shared" si="361"/>
        <v>#DIV/0!</v>
      </c>
      <c r="L130" s="204" t="e">
        <f t="shared" si="361"/>
        <v>#DIV/0!</v>
      </c>
      <c r="M130" s="204" t="e">
        <f t="shared" si="361"/>
        <v>#DIV/0!</v>
      </c>
      <c r="N130" s="204" t="e">
        <f t="shared" si="361"/>
        <v>#DIV/0!</v>
      </c>
      <c r="O130" s="204" t="e">
        <f t="shared" si="361"/>
        <v>#DIV/0!</v>
      </c>
      <c r="P130" s="204" t="e">
        <f t="shared" si="361"/>
        <v>#DIV/0!</v>
      </c>
      <c r="Q130" s="204" t="e">
        <f t="shared" si="361"/>
        <v>#DIV/0!</v>
      </c>
      <c r="R130" s="118" t="e">
        <f>((P130/G130)^(1/($H$2-$H$1) ))-1</f>
        <v>#DIV/0!</v>
      </c>
      <c r="S130" s="20"/>
      <c r="T130" s="204" t="e">
        <f t="shared" ref="T130:AC130" si="362">T55/T49</f>
        <v>#DIV/0!</v>
      </c>
      <c r="U130" s="204" t="e">
        <f t="shared" si="362"/>
        <v>#DIV/0!</v>
      </c>
      <c r="V130" s="204" t="e">
        <f t="shared" si="362"/>
        <v>#DIV/0!</v>
      </c>
      <c r="W130" s="204" t="e">
        <f t="shared" si="362"/>
        <v>#DIV/0!</v>
      </c>
      <c r="X130" s="204" t="e">
        <f t="shared" si="362"/>
        <v>#DIV/0!</v>
      </c>
      <c r="Y130" s="204" t="e">
        <f t="shared" si="362"/>
        <v>#DIV/0!</v>
      </c>
      <c r="Z130" s="204" t="e">
        <f t="shared" si="362"/>
        <v>#DIV/0!</v>
      </c>
      <c r="AA130" s="204" t="e">
        <f t="shared" si="362"/>
        <v>#DIV/0!</v>
      </c>
      <c r="AB130" s="204" t="e">
        <f t="shared" si="362"/>
        <v>#DIV/0!</v>
      </c>
      <c r="AC130" s="204" t="e">
        <f t="shared" si="362"/>
        <v>#DIV/0!</v>
      </c>
      <c r="AD130" s="137" t="e">
        <f>((AC130/G130)^(1/($AC$3-$H$1) ))-1</f>
        <v>#DIV/0!</v>
      </c>
      <c r="AE130" s="145"/>
      <c r="AF130" s="145"/>
    </row>
    <row r="131" spans="1:32" ht="12" customHeight="1" x14ac:dyDescent="0.2">
      <c r="A131" s="205"/>
      <c r="B131" s="200" t="s">
        <v>485</v>
      </c>
      <c r="C131" s="150"/>
      <c r="D131" s="150"/>
      <c r="E131" s="150"/>
      <c r="F131" s="150"/>
      <c r="G131" s="169" t="e">
        <f t="shared" ref="G131:Q131" si="363">G55/G43</f>
        <v>#DIV/0!</v>
      </c>
      <c r="H131" s="169" t="e">
        <f t="shared" si="363"/>
        <v>#DIV/0!</v>
      </c>
      <c r="I131" s="169" t="e">
        <f t="shared" si="363"/>
        <v>#DIV/0!</v>
      </c>
      <c r="J131" s="169" t="e">
        <f t="shared" si="363"/>
        <v>#DIV/0!</v>
      </c>
      <c r="K131" s="169" t="e">
        <f t="shared" si="363"/>
        <v>#DIV/0!</v>
      </c>
      <c r="L131" s="169" t="e">
        <f t="shared" si="363"/>
        <v>#DIV/0!</v>
      </c>
      <c r="M131" s="169" t="e">
        <f t="shared" si="363"/>
        <v>#DIV/0!</v>
      </c>
      <c r="N131" s="169" t="e">
        <f t="shared" si="363"/>
        <v>#DIV/0!</v>
      </c>
      <c r="O131" s="169" t="e">
        <f t="shared" si="363"/>
        <v>#DIV/0!</v>
      </c>
      <c r="P131" s="169" t="e">
        <f t="shared" si="363"/>
        <v>#DIV/0!</v>
      </c>
      <c r="Q131" s="169" t="e">
        <f t="shared" si="363"/>
        <v>#DIV/0!</v>
      </c>
      <c r="R131" s="118" t="e">
        <f t="shared" si="348"/>
        <v>#DIV/0!</v>
      </c>
      <c r="S131" s="20"/>
      <c r="T131" s="169" t="e">
        <f t="shared" ref="T131:AC131" si="364">T55/T43</f>
        <v>#DIV/0!</v>
      </c>
      <c r="U131" s="169" t="e">
        <f t="shared" si="364"/>
        <v>#DIV/0!</v>
      </c>
      <c r="V131" s="169" t="e">
        <f t="shared" si="364"/>
        <v>#DIV/0!</v>
      </c>
      <c r="W131" s="169" t="e">
        <f t="shared" si="364"/>
        <v>#DIV/0!</v>
      </c>
      <c r="X131" s="169" t="e">
        <f t="shared" si="364"/>
        <v>#DIV/0!</v>
      </c>
      <c r="Y131" s="169" t="e">
        <f t="shared" si="364"/>
        <v>#DIV/0!</v>
      </c>
      <c r="Z131" s="169" t="e">
        <f t="shared" si="364"/>
        <v>#DIV/0!</v>
      </c>
      <c r="AA131" s="169" t="e">
        <f t="shared" si="364"/>
        <v>#DIV/0!</v>
      </c>
      <c r="AB131" s="169" t="e">
        <f t="shared" si="364"/>
        <v>#DIV/0!</v>
      </c>
      <c r="AC131" s="169" t="e">
        <f t="shared" si="364"/>
        <v>#DIV/0!</v>
      </c>
      <c r="AD131" s="137" t="e">
        <f t="shared" si="350"/>
        <v>#DIV/0!</v>
      </c>
      <c r="AE131" s="145"/>
      <c r="AF131" s="145"/>
    </row>
    <row r="132" spans="1:32" ht="12" customHeight="1" x14ac:dyDescent="0.2">
      <c r="A132" s="205"/>
      <c r="B132" s="200" t="s">
        <v>486</v>
      </c>
      <c r="C132" s="150"/>
      <c r="D132" s="150"/>
      <c r="E132" s="150"/>
      <c r="F132" s="150"/>
      <c r="G132" s="169" t="e">
        <f t="shared" ref="G132:Q132" si="365">G55/(G36+G38)</f>
        <v>#DIV/0!</v>
      </c>
      <c r="H132" s="169" t="e">
        <f t="shared" si="365"/>
        <v>#DIV/0!</v>
      </c>
      <c r="I132" s="169" t="e">
        <f t="shared" si="365"/>
        <v>#DIV/0!</v>
      </c>
      <c r="J132" s="169" t="e">
        <f t="shared" si="365"/>
        <v>#DIV/0!</v>
      </c>
      <c r="K132" s="169" t="e">
        <f t="shared" si="365"/>
        <v>#DIV/0!</v>
      </c>
      <c r="L132" s="169" t="e">
        <f t="shared" si="365"/>
        <v>#DIV/0!</v>
      </c>
      <c r="M132" s="169" t="e">
        <f t="shared" si="365"/>
        <v>#DIV/0!</v>
      </c>
      <c r="N132" s="169" t="e">
        <f t="shared" si="365"/>
        <v>#DIV/0!</v>
      </c>
      <c r="O132" s="169" t="e">
        <f t="shared" si="365"/>
        <v>#DIV/0!</v>
      </c>
      <c r="P132" s="169" t="e">
        <f t="shared" si="365"/>
        <v>#DIV/0!</v>
      </c>
      <c r="Q132" s="169" t="e">
        <f t="shared" si="365"/>
        <v>#DIV/0!</v>
      </c>
      <c r="R132" s="118" t="e">
        <f t="shared" si="348"/>
        <v>#DIV/0!</v>
      </c>
      <c r="S132" s="20"/>
      <c r="T132" s="169" t="e">
        <f t="shared" ref="T132:AC132" si="366">T55/(T36+T38)</f>
        <v>#DIV/0!</v>
      </c>
      <c r="U132" s="169" t="e">
        <f t="shared" si="366"/>
        <v>#DIV/0!</v>
      </c>
      <c r="V132" s="169" t="e">
        <f t="shared" si="366"/>
        <v>#DIV/0!</v>
      </c>
      <c r="W132" s="169" t="e">
        <f t="shared" si="366"/>
        <v>#DIV/0!</v>
      </c>
      <c r="X132" s="169" t="e">
        <f t="shared" si="366"/>
        <v>#DIV/0!</v>
      </c>
      <c r="Y132" s="169" t="e">
        <f t="shared" si="366"/>
        <v>#DIV/0!</v>
      </c>
      <c r="Z132" s="169" t="e">
        <f t="shared" si="366"/>
        <v>#DIV/0!</v>
      </c>
      <c r="AA132" s="169" t="e">
        <f t="shared" si="366"/>
        <v>#DIV/0!</v>
      </c>
      <c r="AB132" s="169" t="e">
        <f t="shared" si="366"/>
        <v>#DIV/0!</v>
      </c>
      <c r="AC132" s="169" t="e">
        <f t="shared" si="366"/>
        <v>#DIV/0!</v>
      </c>
      <c r="AD132" s="137" t="e">
        <f t="shared" si="350"/>
        <v>#DIV/0!</v>
      </c>
      <c r="AE132" s="145"/>
      <c r="AF132" s="145"/>
    </row>
    <row r="133" spans="1:32" ht="12" customHeight="1" x14ac:dyDescent="0.2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2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202"/>
      <c r="AE133" s="145"/>
      <c r="AF133" s="145"/>
    </row>
    <row r="134" spans="1:32" x14ac:dyDescent="0.2">
      <c r="B134" s="20" t="s">
        <v>324</v>
      </c>
      <c r="C134" s="150"/>
      <c r="D134" s="150"/>
      <c r="E134" s="150"/>
      <c r="F134" s="161"/>
      <c r="G134" s="161">
        <f t="shared" ref="G134:Q134" si="367">G10-(G12+G13)</f>
        <v>29.5</v>
      </c>
      <c r="H134" s="161">
        <f t="shared" si="367"/>
        <v>29</v>
      </c>
      <c r="I134" s="161">
        <f t="shared" si="367"/>
        <v>24</v>
      </c>
      <c r="J134" s="161">
        <f t="shared" si="367"/>
        <v>91</v>
      </c>
      <c r="K134" s="161">
        <f t="shared" si="367"/>
        <v>350.76</v>
      </c>
      <c r="L134" s="161">
        <f t="shared" si="367"/>
        <v>424</v>
      </c>
      <c r="M134" s="161">
        <f t="shared" si="367"/>
        <v>155</v>
      </c>
      <c r="N134" s="161">
        <f t="shared" si="367"/>
        <v>62</v>
      </c>
      <c r="O134" s="161">
        <f t="shared" si="367"/>
        <v>-223</v>
      </c>
      <c r="P134" s="161">
        <f t="shared" si="367"/>
        <v>-393</v>
      </c>
      <c r="Q134" s="161">
        <f t="shared" si="367"/>
        <v>-391</v>
      </c>
      <c r="R134" s="118" t="e">
        <f t="shared" si="295"/>
        <v>#NUM!</v>
      </c>
      <c r="S134" s="20"/>
      <c r="T134" s="161">
        <f t="shared" ref="T134:AC134" si="368">T10-(T12+T13)</f>
        <v>-457.46999999999997</v>
      </c>
      <c r="U134" s="161">
        <f t="shared" si="368"/>
        <v>-535.23990000000003</v>
      </c>
      <c r="V134" s="161">
        <f t="shared" si="368"/>
        <v>-626.230683</v>
      </c>
      <c r="W134" s="161">
        <f t="shared" si="368"/>
        <v>-732.68989910999983</v>
      </c>
      <c r="X134" s="161">
        <f t="shared" si="368"/>
        <v>-857.2471819586998</v>
      </c>
      <c r="Y134" s="161">
        <f t="shared" si="368"/>
        <v>-1002.9792028916786</v>
      </c>
      <c r="Z134" s="161">
        <f t="shared" si="368"/>
        <v>-1173.4856673832639</v>
      </c>
      <c r="AA134" s="161">
        <f t="shared" si="368"/>
        <v>-1372.9782308384185</v>
      </c>
      <c r="AB134" s="161">
        <f t="shared" si="368"/>
        <v>-1606.3845300809496</v>
      </c>
      <c r="AC134" s="161">
        <f t="shared" si="368"/>
        <v>-1879.469900194711</v>
      </c>
      <c r="AD134" s="137" t="e">
        <f t="shared" si="297"/>
        <v>#NUM!</v>
      </c>
      <c r="AE134" s="145"/>
      <c r="AF134" s="145"/>
    </row>
    <row r="135" spans="1:32" ht="12" customHeight="1" x14ac:dyDescent="0.2">
      <c r="B135" s="20" t="s">
        <v>319</v>
      </c>
      <c r="C135" s="20"/>
      <c r="D135" s="20"/>
      <c r="E135" s="20"/>
      <c r="F135" s="20"/>
      <c r="G135" s="150">
        <f t="shared" ref="G135:Q135" si="369">G55/G18</f>
        <v>0.29901960784313725</v>
      </c>
      <c r="H135" s="150">
        <f t="shared" si="369"/>
        <v>0.32142857142857145</v>
      </c>
      <c r="I135" s="150">
        <f t="shared" si="369"/>
        <v>0.30935251798561153</v>
      </c>
      <c r="J135" s="150">
        <f t="shared" si="369"/>
        <v>0.31714285714285712</v>
      </c>
      <c r="K135" s="150">
        <f t="shared" si="369"/>
        <v>0.34406438631790742</v>
      </c>
      <c r="L135" s="150">
        <f t="shared" si="369"/>
        <v>0.19963702359346641</v>
      </c>
      <c r="M135" s="150">
        <f t="shared" si="369"/>
        <v>0.5092592592592593</v>
      </c>
      <c r="N135" s="150">
        <f t="shared" si="369"/>
        <v>0.54706927175843689</v>
      </c>
      <c r="O135" s="150">
        <f t="shared" si="369"/>
        <v>0.52103559870550165</v>
      </c>
      <c r="P135" s="150">
        <f t="shared" si="369"/>
        <v>0.65170278637770895</v>
      </c>
      <c r="Q135" s="150">
        <f t="shared" si="369"/>
        <v>0.61316872427983538</v>
      </c>
      <c r="R135" s="118">
        <f t="shared" si="295"/>
        <v>8.1023141538995036E-2</v>
      </c>
      <c r="S135" s="20"/>
      <c r="T135" s="150">
        <f t="shared" ref="T135:AC135" si="370">T55/T18</f>
        <v>0.61316872427983549</v>
      </c>
      <c r="U135" s="150">
        <f t="shared" si="370"/>
        <v>0.61316872427983538</v>
      </c>
      <c r="V135" s="150">
        <f t="shared" si="370"/>
        <v>0.61316872427983549</v>
      </c>
      <c r="W135" s="150">
        <f t="shared" si="370"/>
        <v>0.61316872427983538</v>
      </c>
      <c r="X135" s="150">
        <f t="shared" si="370"/>
        <v>0.61316872427983549</v>
      </c>
      <c r="Y135" s="150">
        <f t="shared" si="370"/>
        <v>0.61316872427983549</v>
      </c>
      <c r="Z135" s="150">
        <f t="shared" si="370"/>
        <v>0.61316872427983549</v>
      </c>
      <c r="AA135" s="150">
        <f t="shared" si="370"/>
        <v>0.61316872427983549</v>
      </c>
      <c r="AB135" s="150">
        <f t="shared" si="370"/>
        <v>0.61316872427983549</v>
      </c>
      <c r="AC135" s="150">
        <f t="shared" si="370"/>
        <v>0.61316872427983549</v>
      </c>
      <c r="AD135" s="137">
        <f t="shared" si="297"/>
        <v>3.6558975128106797E-2</v>
      </c>
      <c r="AE135" s="20"/>
      <c r="AF135" s="20"/>
    </row>
    <row r="136" spans="1:32" x14ac:dyDescent="0.2">
      <c r="B136" s="20" t="s">
        <v>320</v>
      </c>
      <c r="C136" s="20"/>
      <c r="D136" s="20"/>
      <c r="E136" s="20"/>
      <c r="F136" s="20"/>
      <c r="G136" s="150">
        <f t="shared" ref="G136:Q136" si="371">G55/G25</f>
        <v>9.0370370370370365E-2</v>
      </c>
      <c r="H136" s="150">
        <f t="shared" si="371"/>
        <v>9.2664092664092659E-2</v>
      </c>
      <c r="I136" s="150">
        <f t="shared" si="371"/>
        <v>9.0621707060063228E-2</v>
      </c>
      <c r="J136" s="150">
        <f t="shared" si="371"/>
        <v>8.6046511627906982E-2</v>
      </c>
      <c r="K136" s="150">
        <f t="shared" si="371"/>
        <v>9.6774193548387094E-2</v>
      </c>
      <c r="L136" s="150">
        <f t="shared" si="371"/>
        <v>5.5611729019211326E-2</v>
      </c>
      <c r="M136" s="150">
        <f t="shared" si="371"/>
        <v>0.12238540275923454</v>
      </c>
      <c r="N136" s="150">
        <f t="shared" si="371"/>
        <v>0.11208151382823872</v>
      </c>
      <c r="O136" s="150">
        <f t="shared" si="371"/>
        <v>0.1008140262993112</v>
      </c>
      <c r="P136" s="150">
        <f t="shared" si="371"/>
        <v>0.11073119410836402</v>
      </c>
      <c r="Q136" s="150">
        <f t="shared" si="371"/>
        <v>0.10205479452054794</v>
      </c>
      <c r="R136" s="118">
        <f t="shared" si="295"/>
        <v>2.0526748130643035E-2</v>
      </c>
      <c r="S136" s="20"/>
      <c r="T136" s="150">
        <f t="shared" ref="T136:AC136" si="372">T55/T25</f>
        <v>0.10205479452054796</v>
      </c>
      <c r="U136" s="150">
        <f t="shared" si="372"/>
        <v>0.10205479452054796</v>
      </c>
      <c r="V136" s="150">
        <f t="shared" si="372"/>
        <v>0.10205479452054796</v>
      </c>
      <c r="W136" s="150">
        <f t="shared" si="372"/>
        <v>0.10205479452054796</v>
      </c>
      <c r="X136" s="150">
        <f t="shared" si="372"/>
        <v>0.10205479452054796</v>
      </c>
      <c r="Y136" s="150">
        <f t="shared" si="372"/>
        <v>0.10205479452054796</v>
      </c>
      <c r="Z136" s="150">
        <f t="shared" si="372"/>
        <v>0.10205479452054797</v>
      </c>
      <c r="AA136" s="150">
        <f t="shared" si="372"/>
        <v>0.10205479452054796</v>
      </c>
      <c r="AB136" s="150">
        <f t="shared" si="372"/>
        <v>0.10205479452054796</v>
      </c>
      <c r="AC136" s="150">
        <f t="shared" si="372"/>
        <v>0.10205479452054794</v>
      </c>
      <c r="AD136" s="137">
        <f t="shared" si="297"/>
        <v>6.0981896064211671E-3</v>
      </c>
      <c r="AE136" s="20"/>
      <c r="AF136" s="20"/>
    </row>
    <row r="137" spans="1:32" x14ac:dyDescent="0.2">
      <c r="B137" s="20" t="s">
        <v>346</v>
      </c>
      <c r="C137" s="20"/>
      <c r="D137" s="20"/>
      <c r="E137" s="150"/>
      <c r="F137" s="150"/>
      <c r="G137" s="150">
        <f t="shared" ref="G137:Q137" si="373">G25/G18</f>
        <v>3.3088235294117645</v>
      </c>
      <c r="H137" s="150">
        <f t="shared" si="373"/>
        <v>3.46875</v>
      </c>
      <c r="I137" s="150">
        <f t="shared" si="373"/>
        <v>3.4136690647482015</v>
      </c>
      <c r="J137" s="150">
        <f t="shared" si="373"/>
        <v>3.6857142857142855</v>
      </c>
      <c r="K137" s="150">
        <f t="shared" si="373"/>
        <v>3.5553319919517103</v>
      </c>
      <c r="L137" s="150">
        <f t="shared" si="373"/>
        <v>3.5898366606170597</v>
      </c>
      <c r="M137" s="150">
        <f t="shared" si="373"/>
        <v>4.1611111111111114</v>
      </c>
      <c r="N137" s="150">
        <f t="shared" si="373"/>
        <v>4.8809946714031973</v>
      </c>
      <c r="O137" s="150">
        <f t="shared" si="373"/>
        <v>5.1682847896440132</v>
      </c>
      <c r="P137" s="150">
        <f t="shared" si="373"/>
        <v>5.8854489164086683</v>
      </c>
      <c r="Q137" s="150">
        <f t="shared" si="373"/>
        <v>6.0082304526748969</v>
      </c>
      <c r="R137" s="118">
        <f t="shared" si="295"/>
        <v>5.9279576472803575E-2</v>
      </c>
      <c r="S137" s="20"/>
      <c r="T137" s="150">
        <f t="shared" ref="T137:AC137" si="374">T25/T18</f>
        <v>6.0082304526748969</v>
      </c>
      <c r="U137" s="150">
        <f t="shared" si="374"/>
        <v>6.0082304526748969</v>
      </c>
      <c r="V137" s="150">
        <f t="shared" si="374"/>
        <v>6.0082304526748969</v>
      </c>
      <c r="W137" s="150">
        <f t="shared" si="374"/>
        <v>6.0082304526748969</v>
      </c>
      <c r="X137" s="150">
        <f t="shared" si="374"/>
        <v>6.0082304526748969</v>
      </c>
      <c r="Y137" s="150">
        <f t="shared" si="374"/>
        <v>6.0082304526748969</v>
      </c>
      <c r="Z137" s="150">
        <f t="shared" si="374"/>
        <v>6.0082304526748977</v>
      </c>
      <c r="AA137" s="150">
        <f t="shared" si="374"/>
        <v>6.0082304526748977</v>
      </c>
      <c r="AB137" s="150">
        <f t="shared" si="374"/>
        <v>6.0082304526748977</v>
      </c>
      <c r="AC137" s="150">
        <f t="shared" si="374"/>
        <v>6.0082304526748986</v>
      </c>
      <c r="AD137" s="137">
        <f t="shared" si="297"/>
        <v>3.0276155783166114E-2</v>
      </c>
      <c r="AE137" s="20"/>
      <c r="AF137" s="20"/>
    </row>
    <row r="138" spans="1:32" x14ac:dyDescent="0.2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28"/>
      <c r="S138" s="20"/>
      <c r="T138" s="15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28"/>
      <c r="AE138" s="20"/>
      <c r="AF138" s="20"/>
    </row>
    <row r="139" spans="1:32" x14ac:dyDescent="0.2">
      <c r="B139" s="20" t="s">
        <v>332</v>
      </c>
      <c r="C139" s="20"/>
      <c r="D139" s="20"/>
      <c r="E139" s="163"/>
      <c r="F139" s="163"/>
      <c r="G139" s="163">
        <f t="shared" ref="G139:Q139" si="375">G88*G57</f>
        <v>20.16</v>
      </c>
      <c r="H139" s="163">
        <f t="shared" si="375"/>
        <v>20.16</v>
      </c>
      <c r="I139" s="163">
        <f t="shared" si="375"/>
        <v>31.537500000000001</v>
      </c>
      <c r="J139" s="163">
        <f t="shared" si="375"/>
        <v>37.844999999999999</v>
      </c>
      <c r="K139" s="163">
        <f t="shared" si="375"/>
        <v>44.274999999999999</v>
      </c>
      <c r="L139" s="163">
        <f t="shared" si="375"/>
        <v>44.274999999999999</v>
      </c>
      <c r="M139" s="163">
        <f t="shared" si="375"/>
        <v>75.914999999999992</v>
      </c>
      <c r="N139" s="163">
        <f t="shared" si="375"/>
        <v>88.567499999999995</v>
      </c>
      <c r="O139" s="163">
        <f t="shared" si="375"/>
        <v>96.443999999999988</v>
      </c>
      <c r="P139" s="163">
        <f t="shared" si="375"/>
        <v>133.27600000000001</v>
      </c>
      <c r="Q139" s="163">
        <f t="shared" si="375"/>
        <v>138.40200000000002</v>
      </c>
      <c r="R139" s="118">
        <f t="shared" si="295"/>
        <v>0.20788654122670058</v>
      </c>
      <c r="S139" s="20"/>
      <c r="T139" s="163">
        <f t="shared" ref="T139:AC139" si="376">T88*T57</f>
        <v>148.228542</v>
      </c>
      <c r="U139" s="163">
        <f t="shared" si="376"/>
        <v>158.75276848200002</v>
      </c>
      <c r="V139" s="163">
        <f t="shared" si="376"/>
        <v>170.02421504422202</v>
      </c>
      <c r="W139" s="163">
        <f t="shared" si="376"/>
        <v>182.09593431236178</v>
      </c>
      <c r="X139" s="163">
        <f t="shared" si="376"/>
        <v>195.02474564853947</v>
      </c>
      <c r="Y139" s="163">
        <f t="shared" si="376"/>
        <v>208.87150258958579</v>
      </c>
      <c r="Z139" s="163">
        <f t="shared" si="376"/>
        <v>223.70137927344641</v>
      </c>
      <c r="AA139" s="163">
        <f t="shared" si="376"/>
        <v>239.58417720186111</v>
      </c>
      <c r="AB139" s="163">
        <f t="shared" si="376"/>
        <v>256.59465378319328</v>
      </c>
      <c r="AC139" s="163">
        <f t="shared" si="376"/>
        <v>274.81287420180001</v>
      </c>
      <c r="AD139" s="137">
        <f t="shared" si="297"/>
        <v>0.13953410411170375</v>
      </c>
      <c r="AE139" s="20"/>
      <c r="AF139" s="20"/>
    </row>
    <row r="140" spans="1:32" x14ac:dyDescent="0.2">
      <c r="B140" s="20" t="s">
        <v>333</v>
      </c>
      <c r="C140" s="20"/>
      <c r="D140" s="20"/>
      <c r="E140" s="163"/>
      <c r="F140" s="163"/>
      <c r="G140" s="163">
        <f t="shared" ref="G140:P140" si="377">(G139*0.17)+G139</f>
        <v>23.587199999999999</v>
      </c>
      <c r="H140" s="163">
        <f t="shared" si="377"/>
        <v>23.587199999999999</v>
      </c>
      <c r="I140" s="163">
        <f t="shared" si="377"/>
        <v>36.898875000000004</v>
      </c>
      <c r="J140" s="163">
        <f t="shared" si="377"/>
        <v>44.278649999999999</v>
      </c>
      <c r="K140" s="163">
        <f t="shared" si="377"/>
        <v>51.801749999999998</v>
      </c>
      <c r="L140" s="163">
        <f t="shared" si="377"/>
        <v>51.801749999999998</v>
      </c>
      <c r="M140" s="163">
        <f t="shared" si="377"/>
        <v>88.820549999999997</v>
      </c>
      <c r="N140" s="163">
        <f t="shared" si="377"/>
        <v>103.623975</v>
      </c>
      <c r="O140" s="163">
        <f t="shared" si="377"/>
        <v>112.83947999999998</v>
      </c>
      <c r="P140" s="163">
        <f t="shared" si="377"/>
        <v>155.93292000000002</v>
      </c>
      <c r="Q140" s="163">
        <f t="shared" ref="Q140" si="378">(Q139*0.17)+Q139</f>
        <v>161.93034000000003</v>
      </c>
      <c r="R140" s="118">
        <f t="shared" si="295"/>
        <v>0.20788654122670058</v>
      </c>
      <c r="S140" s="20"/>
      <c r="T140" s="163">
        <f t="shared" ref="T140:AC140" si="379">(T139*0.17)+T139</f>
        <v>173.42739414000002</v>
      </c>
      <c r="U140" s="163">
        <f t="shared" si="379"/>
        <v>185.74073912394002</v>
      </c>
      <c r="V140" s="163">
        <f t="shared" si="379"/>
        <v>198.92833160173976</v>
      </c>
      <c r="W140" s="163">
        <f t="shared" si="379"/>
        <v>213.05224314546328</v>
      </c>
      <c r="X140" s="163">
        <f t="shared" si="379"/>
        <v>228.17895240879119</v>
      </c>
      <c r="Y140" s="163">
        <f t="shared" si="379"/>
        <v>244.37965802981537</v>
      </c>
      <c r="Z140" s="163">
        <f t="shared" si="379"/>
        <v>261.73061374993227</v>
      </c>
      <c r="AA140" s="163">
        <f t="shared" si="379"/>
        <v>280.31348732617749</v>
      </c>
      <c r="AB140" s="163">
        <f t="shared" si="379"/>
        <v>300.21574492633613</v>
      </c>
      <c r="AC140" s="163">
        <f t="shared" si="379"/>
        <v>321.53106281610604</v>
      </c>
      <c r="AD140" s="137">
        <f t="shared" si="297"/>
        <v>0.13953410411170375</v>
      </c>
      <c r="AE140" s="20"/>
      <c r="AF140" s="20"/>
    </row>
    <row r="141" spans="1:32" x14ac:dyDescent="0.2">
      <c r="B141" s="20" t="s">
        <v>334</v>
      </c>
      <c r="C141" s="20"/>
      <c r="D141" s="20"/>
      <c r="E141" s="20"/>
      <c r="F141" s="150"/>
      <c r="G141" s="150">
        <f t="shared" ref="G141:Q141" si="380">G140/G55</f>
        <v>0.38667540983606558</v>
      </c>
      <c r="H141" s="150">
        <f t="shared" si="380"/>
        <v>0.3276</v>
      </c>
      <c r="I141" s="150">
        <f t="shared" si="380"/>
        <v>0.42905668604651165</v>
      </c>
      <c r="J141" s="150">
        <f t="shared" si="380"/>
        <v>0.39890675675675674</v>
      </c>
      <c r="K141" s="150">
        <f t="shared" si="380"/>
        <v>0.30293421052631581</v>
      </c>
      <c r="L141" s="150">
        <f t="shared" si="380"/>
        <v>0.47092499999999998</v>
      </c>
      <c r="M141" s="150">
        <f t="shared" si="380"/>
        <v>0.32298381818181815</v>
      </c>
      <c r="N141" s="150">
        <f t="shared" si="380"/>
        <v>0.33644147727272727</v>
      </c>
      <c r="O141" s="150">
        <f t="shared" si="380"/>
        <v>0.35043316770186328</v>
      </c>
      <c r="P141" s="150">
        <f t="shared" si="380"/>
        <v>0.3703869833729217</v>
      </c>
      <c r="Q141" s="150">
        <f t="shared" si="380"/>
        <v>0.36226026845637588</v>
      </c>
      <c r="R141" s="118">
        <f t="shared" si="295"/>
        <v>-4.2944769231980651E-3</v>
      </c>
      <c r="S141" s="20"/>
      <c r="T141" s="150">
        <f t="shared" ref="T141:AC141" si="381">T140/T55</f>
        <v>0.33160747651006717</v>
      </c>
      <c r="U141" s="150">
        <f t="shared" si="381"/>
        <v>0.30354838234383069</v>
      </c>
      <c r="V141" s="150">
        <f t="shared" si="381"/>
        <v>0.27786351922242969</v>
      </c>
      <c r="W141" s="150">
        <f t="shared" si="381"/>
        <v>0.25435199067283948</v>
      </c>
      <c r="X141" s="150">
        <f t="shared" si="381"/>
        <v>0.23282989915436847</v>
      </c>
      <c r="Y141" s="150">
        <f t="shared" si="381"/>
        <v>0.2131289076874604</v>
      </c>
      <c r="Z141" s="150">
        <f t="shared" si="381"/>
        <v>0.19509492319082913</v>
      </c>
      <c r="AA141" s="150">
        <f t="shared" si="381"/>
        <v>0.17858689122852825</v>
      </c>
      <c r="AB141" s="150">
        <f t="shared" si="381"/>
        <v>0.16347569273996049</v>
      </c>
      <c r="AC141" s="150">
        <f t="shared" si="381"/>
        <v>0.14964313412350233</v>
      </c>
      <c r="AD141" s="137">
        <f t="shared" si="297"/>
        <v>-4.6357687815803628E-2</v>
      </c>
      <c r="AE141" s="20"/>
      <c r="AF141" s="20"/>
    </row>
    <row r="142" spans="1:32" x14ac:dyDescent="0.2">
      <c r="B142" s="20" t="s">
        <v>327</v>
      </c>
      <c r="C142" s="20"/>
      <c r="D142" s="20"/>
      <c r="E142" s="20"/>
      <c r="F142" s="150"/>
      <c r="G142" s="150">
        <f>1-G141</f>
        <v>0.61332459016393437</v>
      </c>
      <c r="H142" s="150">
        <f t="shared" ref="H142:P142" si="382">1-H141</f>
        <v>0.6724</v>
      </c>
      <c r="I142" s="150">
        <f t="shared" si="382"/>
        <v>0.5709433139534883</v>
      </c>
      <c r="J142" s="150">
        <f t="shared" si="382"/>
        <v>0.6010932432432432</v>
      </c>
      <c r="K142" s="150">
        <f t="shared" si="382"/>
        <v>0.69706578947368425</v>
      </c>
      <c r="L142" s="150">
        <f t="shared" si="382"/>
        <v>0.52907499999999996</v>
      </c>
      <c r="M142" s="150">
        <f t="shared" si="382"/>
        <v>0.67701618181818191</v>
      </c>
      <c r="N142" s="150">
        <f t="shared" si="382"/>
        <v>0.66355852272727267</v>
      </c>
      <c r="O142" s="150">
        <f t="shared" si="382"/>
        <v>0.64956683229813672</v>
      </c>
      <c r="P142" s="150">
        <f t="shared" si="382"/>
        <v>0.62961301662707836</v>
      </c>
      <c r="Q142" s="150">
        <f t="shared" ref="Q142" si="383">1-Q141</f>
        <v>0.63773973154362418</v>
      </c>
      <c r="R142" s="118">
        <f t="shared" si="295"/>
        <v>2.6245445690868952E-3</v>
      </c>
      <c r="S142" s="20"/>
      <c r="T142" s="150">
        <f t="shared" ref="T142:AC142" si="384">1-T141</f>
        <v>0.66839252348993283</v>
      </c>
      <c r="U142" s="150">
        <f t="shared" si="384"/>
        <v>0.69645161765616925</v>
      </c>
      <c r="V142" s="150">
        <f t="shared" si="384"/>
        <v>0.72213648077757031</v>
      </c>
      <c r="W142" s="150">
        <f t="shared" si="384"/>
        <v>0.74564800932716047</v>
      </c>
      <c r="X142" s="150">
        <f t="shared" si="384"/>
        <v>0.76717010084563153</v>
      </c>
      <c r="Y142" s="150">
        <f t="shared" si="384"/>
        <v>0.7868710923125396</v>
      </c>
      <c r="Z142" s="150">
        <f t="shared" si="384"/>
        <v>0.80490507680917089</v>
      </c>
      <c r="AA142" s="150">
        <f t="shared" si="384"/>
        <v>0.82141310877147178</v>
      </c>
      <c r="AB142" s="150">
        <f t="shared" si="384"/>
        <v>0.83652430726003946</v>
      </c>
      <c r="AC142" s="150">
        <f t="shared" si="384"/>
        <v>0.85035686587649773</v>
      </c>
      <c r="AD142" s="137">
        <f t="shared" si="297"/>
        <v>1.6472286277422921E-2</v>
      </c>
      <c r="AE142" s="20"/>
      <c r="AF142" s="20"/>
    </row>
    <row r="143" spans="1:32" x14ac:dyDescent="0.2">
      <c r="B143" s="20" t="s">
        <v>450</v>
      </c>
      <c r="C143" s="20"/>
      <c r="D143" s="20"/>
      <c r="E143" s="20"/>
      <c r="F143" s="150"/>
      <c r="G143" s="150">
        <f t="shared" ref="G143:Q143" si="385">G140/G20</f>
        <v>0.4914</v>
      </c>
      <c r="H143" s="150">
        <f t="shared" si="385"/>
        <v>0.25638260869565216</v>
      </c>
      <c r="I143" s="150">
        <f t="shared" si="385"/>
        <v>0.32945424107142862</v>
      </c>
      <c r="J143" s="150">
        <f t="shared" si="385"/>
        <v>0.4975129213483146</v>
      </c>
      <c r="K143" s="150">
        <f t="shared" si="385"/>
        <v>0.40470117187499999</v>
      </c>
      <c r="L143" s="150">
        <f t="shared" si="385"/>
        <v>0.19923749999999998</v>
      </c>
      <c r="M143" s="150">
        <f t="shared" si="385"/>
        <v>0.21558385922330098</v>
      </c>
      <c r="N143" s="150">
        <f t="shared" si="385"/>
        <v>0.32181358695652174</v>
      </c>
      <c r="O143" s="150">
        <f t="shared" si="385"/>
        <v>0.22256307692307689</v>
      </c>
      <c r="P143" s="150">
        <f t="shared" si="385"/>
        <v>0.30396280701754391</v>
      </c>
      <c r="Q143" s="150">
        <f t="shared" si="385"/>
        <v>0.40686015075376891</v>
      </c>
      <c r="R143" s="118">
        <f t="shared" si="295"/>
        <v>-4.689986857866324E-2</v>
      </c>
      <c r="S143" s="20"/>
      <c r="T143" s="150">
        <f t="shared" ref="T143:AC143" si="386">T140/T20</f>
        <v>0.37243352261306539</v>
      </c>
      <c r="U143" s="150">
        <f t="shared" si="386"/>
        <v>0.34091991685349832</v>
      </c>
      <c r="V143" s="150">
        <f t="shared" si="386"/>
        <v>0.3120728469658946</v>
      </c>
      <c r="W143" s="150">
        <f t="shared" si="386"/>
        <v>0.28566668299185743</v>
      </c>
      <c r="X143" s="150">
        <f t="shared" si="386"/>
        <v>0.26149488673870025</v>
      </c>
      <c r="Y143" s="150">
        <f t="shared" si="386"/>
        <v>0.23936839632234874</v>
      </c>
      <c r="Z143" s="150">
        <f t="shared" si="386"/>
        <v>0.21911414740276541</v>
      </c>
      <c r="AA143" s="150">
        <f t="shared" si="386"/>
        <v>0.20057371954560838</v>
      </c>
      <c r="AB143" s="150">
        <f t="shared" si="386"/>
        <v>0.18360209712251846</v>
      </c>
      <c r="AC143" s="150">
        <f t="shared" si="386"/>
        <v>0.16806653505830541</v>
      </c>
      <c r="AD143" s="137" t="s">
        <v>451</v>
      </c>
      <c r="AE143" s="20"/>
      <c r="AF143" s="20"/>
    </row>
    <row r="144" spans="1:32" x14ac:dyDescent="0.2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28"/>
      <c r="S144" s="20"/>
      <c r="T144" s="15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28"/>
      <c r="AE144" s="20"/>
      <c r="AF144" s="20"/>
    </row>
    <row r="145" spans="2:32" x14ac:dyDescent="0.2">
      <c r="B145" s="20" t="s">
        <v>331</v>
      </c>
      <c r="C145" s="150"/>
      <c r="D145" s="150"/>
      <c r="E145" s="150"/>
      <c r="F145" s="150"/>
      <c r="G145" s="150">
        <f t="shared" ref="G145:Q145" si="387">G31/G25</f>
        <v>0</v>
      </c>
      <c r="H145" s="150">
        <f t="shared" si="387"/>
        <v>0</v>
      </c>
      <c r="I145" s="150">
        <f t="shared" si="387"/>
        <v>0</v>
      </c>
      <c r="J145" s="150">
        <f t="shared" si="387"/>
        <v>0</v>
      </c>
      <c r="K145" s="150">
        <f t="shared" si="387"/>
        <v>0</v>
      </c>
      <c r="L145" s="150">
        <f t="shared" si="387"/>
        <v>0</v>
      </c>
      <c r="M145" s="150">
        <f t="shared" si="387"/>
        <v>0</v>
      </c>
      <c r="N145" s="150">
        <f t="shared" si="387"/>
        <v>0</v>
      </c>
      <c r="O145" s="150">
        <f t="shared" si="387"/>
        <v>0</v>
      </c>
      <c r="P145" s="150">
        <f t="shared" si="387"/>
        <v>0</v>
      </c>
      <c r="Q145" s="150">
        <f t="shared" si="387"/>
        <v>0</v>
      </c>
      <c r="R145" s="118" t="e">
        <f t="shared" si="295"/>
        <v>#DIV/0!</v>
      </c>
      <c r="S145" s="20"/>
      <c r="T145" s="150">
        <f t="shared" ref="T145:AC145" si="388">T31/T25</f>
        <v>0</v>
      </c>
      <c r="U145" s="150">
        <f t="shared" si="388"/>
        <v>0</v>
      </c>
      <c r="V145" s="150">
        <f t="shared" si="388"/>
        <v>0</v>
      </c>
      <c r="W145" s="150">
        <f t="shared" si="388"/>
        <v>0</v>
      </c>
      <c r="X145" s="150">
        <f t="shared" si="388"/>
        <v>0</v>
      </c>
      <c r="Y145" s="150">
        <f t="shared" si="388"/>
        <v>0</v>
      </c>
      <c r="Z145" s="150">
        <f t="shared" si="388"/>
        <v>0</v>
      </c>
      <c r="AA145" s="150">
        <f t="shared" si="388"/>
        <v>0</v>
      </c>
      <c r="AB145" s="150">
        <f t="shared" si="388"/>
        <v>0</v>
      </c>
      <c r="AC145" s="150">
        <f t="shared" si="388"/>
        <v>0</v>
      </c>
      <c r="AD145" s="137" t="e">
        <f t="shared" si="297"/>
        <v>#DIV/0!</v>
      </c>
      <c r="AE145" s="20"/>
      <c r="AF145" s="20"/>
    </row>
    <row r="146" spans="2:32" x14ac:dyDescent="0.2">
      <c r="B146" s="20" t="s">
        <v>328</v>
      </c>
      <c r="C146" s="150"/>
      <c r="D146" s="150"/>
      <c r="E146" s="150"/>
      <c r="F146" s="150"/>
      <c r="G146" s="150">
        <f t="shared" ref="G146:Q146" si="389">G32/G25</f>
        <v>0</v>
      </c>
      <c r="H146" s="150">
        <f t="shared" si="389"/>
        <v>0</v>
      </c>
      <c r="I146" s="150">
        <f t="shared" si="389"/>
        <v>0</v>
      </c>
      <c r="J146" s="150">
        <f t="shared" si="389"/>
        <v>0</v>
      </c>
      <c r="K146" s="150">
        <f t="shared" si="389"/>
        <v>0</v>
      </c>
      <c r="L146" s="150">
        <f t="shared" si="389"/>
        <v>0</v>
      </c>
      <c r="M146" s="150">
        <f t="shared" si="389"/>
        <v>0</v>
      </c>
      <c r="N146" s="150">
        <f t="shared" si="389"/>
        <v>0</v>
      </c>
      <c r="O146" s="150">
        <f t="shared" si="389"/>
        <v>0</v>
      </c>
      <c r="P146" s="150">
        <f t="shared" si="389"/>
        <v>0</v>
      </c>
      <c r="Q146" s="150">
        <f t="shared" si="389"/>
        <v>0</v>
      </c>
      <c r="R146" s="118" t="e">
        <f t="shared" si="295"/>
        <v>#DIV/0!</v>
      </c>
      <c r="S146" s="20"/>
      <c r="T146" s="150">
        <f t="shared" ref="T146:AC146" si="390">T32/T25</f>
        <v>0</v>
      </c>
      <c r="U146" s="150">
        <f t="shared" si="390"/>
        <v>0</v>
      </c>
      <c r="V146" s="150">
        <f t="shared" si="390"/>
        <v>0</v>
      </c>
      <c r="W146" s="150">
        <f t="shared" si="390"/>
        <v>0</v>
      </c>
      <c r="X146" s="150">
        <f t="shared" si="390"/>
        <v>0</v>
      </c>
      <c r="Y146" s="150">
        <f t="shared" si="390"/>
        <v>0</v>
      </c>
      <c r="Z146" s="150">
        <f t="shared" si="390"/>
        <v>0</v>
      </c>
      <c r="AA146" s="150">
        <f t="shared" si="390"/>
        <v>0</v>
      </c>
      <c r="AB146" s="150">
        <f t="shared" si="390"/>
        <v>0</v>
      </c>
      <c r="AC146" s="150">
        <f t="shared" si="390"/>
        <v>0</v>
      </c>
      <c r="AD146" s="137" t="e">
        <f t="shared" si="297"/>
        <v>#DIV/0!</v>
      </c>
      <c r="AE146" s="20"/>
      <c r="AF146" s="20"/>
    </row>
    <row r="147" spans="2:32" x14ac:dyDescent="0.2">
      <c r="B147" s="20" t="s">
        <v>458</v>
      </c>
      <c r="C147" s="150"/>
      <c r="D147" s="150"/>
      <c r="E147" s="150"/>
      <c r="F147" s="150"/>
      <c r="G147" s="150">
        <f t="shared" ref="G147:Q147" si="391">(G31+G32)/G25</f>
        <v>0</v>
      </c>
      <c r="H147" s="150">
        <f t="shared" si="391"/>
        <v>0</v>
      </c>
      <c r="I147" s="150">
        <f t="shared" si="391"/>
        <v>0</v>
      </c>
      <c r="J147" s="150">
        <f t="shared" si="391"/>
        <v>0</v>
      </c>
      <c r="K147" s="150">
        <f t="shared" si="391"/>
        <v>0</v>
      </c>
      <c r="L147" s="150">
        <f t="shared" si="391"/>
        <v>0</v>
      </c>
      <c r="M147" s="150">
        <f t="shared" si="391"/>
        <v>0</v>
      </c>
      <c r="N147" s="150">
        <f t="shared" si="391"/>
        <v>0</v>
      </c>
      <c r="O147" s="150">
        <f t="shared" si="391"/>
        <v>0</v>
      </c>
      <c r="P147" s="150">
        <f t="shared" si="391"/>
        <v>0</v>
      </c>
      <c r="Q147" s="150">
        <f t="shared" si="391"/>
        <v>0</v>
      </c>
      <c r="R147" s="118" t="e">
        <f t="shared" si="295"/>
        <v>#DIV/0!</v>
      </c>
      <c r="S147" s="20"/>
      <c r="T147" s="150">
        <f t="shared" ref="T147:AC147" si="392">(T31+T32)/T25</f>
        <v>0</v>
      </c>
      <c r="U147" s="150">
        <f t="shared" si="392"/>
        <v>0</v>
      </c>
      <c r="V147" s="150">
        <f t="shared" si="392"/>
        <v>0</v>
      </c>
      <c r="W147" s="150">
        <f t="shared" si="392"/>
        <v>0</v>
      </c>
      <c r="X147" s="150">
        <f t="shared" si="392"/>
        <v>0</v>
      </c>
      <c r="Y147" s="150">
        <f t="shared" si="392"/>
        <v>0</v>
      </c>
      <c r="Z147" s="150">
        <f t="shared" si="392"/>
        <v>0</v>
      </c>
      <c r="AA147" s="150">
        <f t="shared" si="392"/>
        <v>0</v>
      </c>
      <c r="AB147" s="150">
        <f t="shared" si="392"/>
        <v>0</v>
      </c>
      <c r="AC147" s="150">
        <f t="shared" si="392"/>
        <v>0</v>
      </c>
      <c r="AD147" s="137" t="e">
        <f t="shared" si="297"/>
        <v>#DIV/0!</v>
      </c>
      <c r="AE147" s="20"/>
      <c r="AF147" s="20"/>
    </row>
    <row r="148" spans="2:32" x14ac:dyDescent="0.2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28"/>
      <c r="S148" s="20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28"/>
      <c r="AE148" s="20"/>
      <c r="AF148" s="20"/>
    </row>
    <row r="149" spans="2:32" x14ac:dyDescent="0.2">
      <c r="B149" s="20" t="s">
        <v>352</v>
      </c>
      <c r="C149" s="20"/>
      <c r="D149" s="20"/>
      <c r="E149" s="20"/>
      <c r="F149" s="20"/>
      <c r="G149" s="150">
        <f t="shared" ref="G149:Q149" si="393">G27/G25</f>
        <v>0.82666666666666666</v>
      </c>
      <c r="H149" s="150">
        <f t="shared" si="393"/>
        <v>0.82368082368082363</v>
      </c>
      <c r="I149" s="150">
        <f t="shared" si="393"/>
        <v>0.83140147523709163</v>
      </c>
      <c r="J149" s="150">
        <f t="shared" si="393"/>
        <v>0.8542635658914729</v>
      </c>
      <c r="K149" s="150">
        <f t="shared" si="393"/>
        <v>0.84267119411431801</v>
      </c>
      <c r="L149" s="150">
        <f t="shared" si="393"/>
        <v>0.88372093023255816</v>
      </c>
      <c r="M149" s="150">
        <f t="shared" si="393"/>
        <v>0.81486426346239427</v>
      </c>
      <c r="N149" s="150">
        <f t="shared" si="393"/>
        <v>0.81841339155749637</v>
      </c>
      <c r="O149" s="150">
        <f t="shared" si="393"/>
        <v>0.83469004383218537</v>
      </c>
      <c r="P149" s="150">
        <f t="shared" si="393"/>
        <v>0.82325092056812199</v>
      </c>
      <c r="Q149" s="150">
        <f t="shared" si="393"/>
        <v>0.83789954337899542</v>
      </c>
      <c r="R149" s="118">
        <f t="shared" si="295"/>
        <v>-4.1396539496751927E-4</v>
      </c>
      <c r="S149" s="20"/>
      <c r="T149" s="150">
        <f t="shared" ref="T149:AC149" si="394">T27/T25</f>
        <v>0.83789954337899542</v>
      </c>
      <c r="U149" s="150">
        <f t="shared" si="394"/>
        <v>0.83789954337899542</v>
      </c>
      <c r="V149" s="150">
        <f t="shared" si="394"/>
        <v>0.83789954337899553</v>
      </c>
      <c r="W149" s="150">
        <f t="shared" si="394"/>
        <v>0.83789954337899553</v>
      </c>
      <c r="X149" s="150">
        <f t="shared" si="394"/>
        <v>0.83789954337899542</v>
      </c>
      <c r="Y149" s="150">
        <f t="shared" si="394"/>
        <v>0.83789954337899553</v>
      </c>
      <c r="Z149" s="150">
        <f t="shared" si="394"/>
        <v>0.83789954337899542</v>
      </c>
      <c r="AA149" s="150">
        <f t="shared" si="394"/>
        <v>0.83789954337899542</v>
      </c>
      <c r="AB149" s="150">
        <f t="shared" si="394"/>
        <v>0.8378995433789953</v>
      </c>
      <c r="AC149" s="150">
        <f t="shared" si="394"/>
        <v>0.8378995433789953</v>
      </c>
      <c r="AD149" s="137">
        <f t="shared" si="297"/>
        <v>6.7506105969283858E-4</v>
      </c>
      <c r="AE149" s="20"/>
      <c r="AF149" s="20"/>
    </row>
    <row r="150" spans="2:32" x14ac:dyDescent="0.2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Q150" si="395">G33/G25</f>
        <v>0.53481481481481485</v>
      </c>
      <c r="H150" s="150">
        <f t="shared" si="395"/>
        <v>0.60617760617760619</v>
      </c>
      <c r="I150" s="150">
        <f t="shared" si="395"/>
        <v>0.59009483667017915</v>
      </c>
      <c r="J150" s="150">
        <f t="shared" si="395"/>
        <v>0.61240310077519378</v>
      </c>
      <c r="K150" s="150">
        <f t="shared" si="395"/>
        <v>0.59988681380871534</v>
      </c>
      <c r="L150" s="150">
        <f t="shared" si="395"/>
        <v>0.63801820020222444</v>
      </c>
      <c r="M150" s="150">
        <f t="shared" si="395"/>
        <v>0.56608811748998666</v>
      </c>
      <c r="N150" s="150">
        <f t="shared" si="395"/>
        <v>0.58406113537117899</v>
      </c>
      <c r="O150" s="150">
        <f t="shared" si="395"/>
        <v>0.55948653725735753</v>
      </c>
      <c r="P150" s="150">
        <f t="shared" si="395"/>
        <v>0.54497632824829034</v>
      </c>
      <c r="Q150" s="150">
        <f t="shared" si="395"/>
        <v>0.55525114155251143</v>
      </c>
      <c r="R150" s="118">
        <f t="shared" si="295"/>
        <v>1.8839537020911568E-3</v>
      </c>
      <c r="S150" s="20"/>
      <c r="T150" s="150">
        <f t="shared" ref="T150:AC150" si="396">T33/T25</f>
        <v>0.55525114155251143</v>
      </c>
      <c r="U150" s="150">
        <f t="shared" si="396"/>
        <v>0.55525114155251132</v>
      </c>
      <c r="V150" s="150">
        <f t="shared" si="396"/>
        <v>0.55525114155251132</v>
      </c>
      <c r="W150" s="150">
        <f t="shared" si="396"/>
        <v>0.55525114155251132</v>
      </c>
      <c r="X150" s="150">
        <f t="shared" si="396"/>
        <v>0.55525114155251132</v>
      </c>
      <c r="Y150" s="150">
        <f t="shared" si="396"/>
        <v>0.55525114155251132</v>
      </c>
      <c r="Z150" s="150">
        <f t="shared" si="396"/>
        <v>0.55525114155251121</v>
      </c>
      <c r="AA150" s="150">
        <f t="shared" si="396"/>
        <v>0.55525114155251121</v>
      </c>
      <c r="AB150" s="150">
        <f t="shared" si="396"/>
        <v>0.5552511415525111</v>
      </c>
      <c r="AC150" s="150">
        <f t="shared" si="396"/>
        <v>0.5552511415525111</v>
      </c>
      <c r="AD150" s="137">
        <f t="shared" si="297"/>
        <v>1.8767575218052723E-3</v>
      </c>
      <c r="AE150" s="20"/>
      <c r="AF150" s="20"/>
    </row>
    <row r="151" spans="2:32" x14ac:dyDescent="0.2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Q151" si="397">G34/G25</f>
        <v>8.2962962962962961E-2</v>
      </c>
      <c r="H151" s="150">
        <f t="shared" si="397"/>
        <v>8.6229086229086233E-2</v>
      </c>
      <c r="I151" s="150">
        <f t="shared" si="397"/>
        <v>8.956796628029505E-2</v>
      </c>
      <c r="J151" s="150">
        <f t="shared" si="397"/>
        <v>8.4496124031007758E-2</v>
      </c>
      <c r="K151" s="150">
        <f t="shared" si="397"/>
        <v>9.2812676853423884E-2</v>
      </c>
      <c r="L151" s="150">
        <f t="shared" si="397"/>
        <v>0.11172901921132457</v>
      </c>
      <c r="M151" s="150">
        <f t="shared" si="397"/>
        <v>0.11214953271028037</v>
      </c>
      <c r="N151" s="150">
        <f t="shared" si="397"/>
        <v>0.10553129548762737</v>
      </c>
      <c r="O151" s="150">
        <f t="shared" si="397"/>
        <v>0.10206637445209768</v>
      </c>
      <c r="P151" s="150">
        <f t="shared" si="397"/>
        <v>9.863229879011047E-2</v>
      </c>
      <c r="Q151" s="150">
        <f t="shared" si="397"/>
        <v>0.10091324200913242</v>
      </c>
      <c r="R151" s="118">
        <f t="shared" si="295"/>
        <v>1.7450969862169208E-2</v>
      </c>
      <c r="S151" s="20"/>
      <c r="T151" s="150">
        <f t="shared" ref="T151:AC151" si="398">T34/T25</f>
        <v>0.10091324200913243</v>
      </c>
      <c r="U151" s="150">
        <f t="shared" si="398"/>
        <v>0.10091324200913242</v>
      </c>
      <c r="V151" s="150">
        <f t="shared" si="398"/>
        <v>0.10091324200913242</v>
      </c>
      <c r="W151" s="150">
        <f t="shared" si="398"/>
        <v>0.10091324200913242</v>
      </c>
      <c r="X151" s="150">
        <f t="shared" si="398"/>
        <v>0.10091324200913242</v>
      </c>
      <c r="Y151" s="150">
        <f t="shared" si="398"/>
        <v>0.10091324200913242</v>
      </c>
      <c r="Z151" s="150">
        <f t="shared" si="398"/>
        <v>0.1009132420091324</v>
      </c>
      <c r="AA151" s="150">
        <f t="shared" si="398"/>
        <v>0.10091324200913242</v>
      </c>
      <c r="AB151" s="150">
        <f t="shared" si="398"/>
        <v>0.1009132420091324</v>
      </c>
      <c r="AC151" s="150">
        <f t="shared" si="398"/>
        <v>0.1009132420091324</v>
      </c>
      <c r="AD151" s="137">
        <f t="shared" si="297"/>
        <v>9.841455664970189E-3</v>
      </c>
      <c r="AE151" s="20"/>
      <c r="AF151" s="20"/>
    </row>
    <row r="152" spans="2:32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28"/>
      <c r="S152" s="128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38"/>
      <c r="AE152" s="20"/>
      <c r="AF152" s="20"/>
    </row>
    <row r="153" spans="2:32" x14ac:dyDescent="0.2">
      <c r="B153" s="108" t="s">
        <v>360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118"/>
      <c r="S153" s="128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137"/>
      <c r="AE153" s="20"/>
      <c r="AF153" s="20"/>
    </row>
    <row r="154" spans="2:32" x14ac:dyDescent="0.2">
      <c r="B154" s="20" t="s">
        <v>363</v>
      </c>
      <c r="C154" s="20"/>
      <c r="D154" s="20"/>
      <c r="E154" s="20"/>
      <c r="F154" s="20"/>
      <c r="G154" s="25">
        <f t="shared" ref="G154:Q154" si="399">G15/G9</f>
        <v>2.4647058823529413</v>
      </c>
      <c r="H154" s="25">
        <f t="shared" si="399"/>
        <v>2.2678571428571428</v>
      </c>
      <c r="I154" s="25">
        <f t="shared" si="399"/>
        <v>2.1353383458646618</v>
      </c>
      <c r="J154" s="25">
        <f t="shared" si="399"/>
        <v>2.1167512690355328</v>
      </c>
      <c r="K154" s="25">
        <f t="shared" si="399"/>
        <v>2.6920152091254752</v>
      </c>
      <c r="L154" s="25">
        <f t="shared" si="399"/>
        <v>2.2160493827160495</v>
      </c>
      <c r="M154" s="25">
        <f t="shared" si="399"/>
        <v>1.5523114355231145</v>
      </c>
      <c r="N154" s="25">
        <f t="shared" si="399"/>
        <v>1.5549019607843138</v>
      </c>
      <c r="O154" s="25">
        <f t="shared" si="399"/>
        <v>1.5</v>
      </c>
      <c r="P154" s="25">
        <f t="shared" si="399"/>
        <v>1.5930735930735931</v>
      </c>
      <c r="Q154" s="25">
        <f t="shared" si="399"/>
        <v>1.8480113636363635</v>
      </c>
      <c r="R154" s="118">
        <f t="shared" si="295"/>
        <v>-4.2702171625545238E-2</v>
      </c>
      <c r="S154" s="20"/>
      <c r="T154" s="20">
        <f t="shared" ref="T154:AC154" si="400">T15/T9</f>
        <v>1.8480113636363635</v>
      </c>
      <c r="U154" s="20">
        <f t="shared" si="400"/>
        <v>1.8480113636363635</v>
      </c>
      <c r="V154" s="20">
        <f t="shared" si="400"/>
        <v>1.8480113636363633</v>
      </c>
      <c r="W154" s="20">
        <f t="shared" si="400"/>
        <v>1.8480113636363635</v>
      </c>
      <c r="X154" s="20">
        <f t="shared" si="400"/>
        <v>1.8480113636363633</v>
      </c>
      <c r="Y154" s="20">
        <f t="shared" si="400"/>
        <v>1.8480113636363633</v>
      </c>
      <c r="Z154" s="20">
        <f t="shared" si="400"/>
        <v>1.8480113636363631</v>
      </c>
      <c r="AA154" s="20">
        <f t="shared" si="400"/>
        <v>1.8480113636363631</v>
      </c>
      <c r="AB154" s="20">
        <f t="shared" si="400"/>
        <v>1.8480113636363631</v>
      </c>
      <c r="AC154" s="20">
        <f t="shared" si="400"/>
        <v>1.8480113636363631</v>
      </c>
      <c r="AD154" s="137">
        <f t="shared" si="297"/>
        <v>-1.4294960807919699E-2</v>
      </c>
      <c r="AE154" s="20"/>
      <c r="AF154" s="20"/>
    </row>
    <row r="155" spans="2:32" x14ac:dyDescent="0.2">
      <c r="B155" s="20" t="s">
        <v>353</v>
      </c>
      <c r="C155" s="20"/>
      <c r="D155" s="20"/>
      <c r="E155" s="20"/>
      <c r="F155" s="20"/>
      <c r="G155" s="25">
        <f t="shared" ref="G155:Q155" si="401">G12/G9</f>
        <v>8.8235294117647065E-2</v>
      </c>
      <c r="H155" s="25">
        <f t="shared" si="401"/>
        <v>0.125</v>
      </c>
      <c r="I155" s="25">
        <f t="shared" si="401"/>
        <v>0.12030075187969924</v>
      </c>
      <c r="J155" s="25">
        <f t="shared" si="401"/>
        <v>0.19289340101522842</v>
      </c>
      <c r="K155" s="25">
        <f t="shared" si="401"/>
        <v>0.6539923954372624</v>
      </c>
      <c r="L155" s="25">
        <f t="shared" si="401"/>
        <v>0.49074074074074076</v>
      </c>
      <c r="M155" s="25">
        <f t="shared" si="401"/>
        <v>0.10948905109489052</v>
      </c>
      <c r="N155" s="25">
        <f t="shared" si="401"/>
        <v>0.20196078431372549</v>
      </c>
      <c r="O155" s="25">
        <f t="shared" si="401"/>
        <v>0.36497326203208558</v>
      </c>
      <c r="P155" s="25">
        <f t="shared" si="401"/>
        <v>0.21789321789321789</v>
      </c>
      <c r="Q155" s="25">
        <f t="shared" si="401"/>
        <v>0.25142045454545453</v>
      </c>
      <c r="R155" s="118">
        <f t="shared" si="295"/>
        <v>9.4611830095316707E-2</v>
      </c>
      <c r="S155" s="128"/>
      <c r="T155" s="20">
        <f t="shared" ref="T155:AC155" si="402">T12/T9</f>
        <v>0.25142045454545453</v>
      </c>
      <c r="U155" s="20">
        <f t="shared" si="402"/>
        <v>0.25142045454545453</v>
      </c>
      <c r="V155" s="20">
        <f t="shared" si="402"/>
        <v>0.25142045454545453</v>
      </c>
      <c r="W155" s="20">
        <f t="shared" si="402"/>
        <v>0.25142045454545459</v>
      </c>
      <c r="X155" s="20">
        <f t="shared" si="402"/>
        <v>0.25142045454545453</v>
      </c>
      <c r="Y155" s="20">
        <f t="shared" si="402"/>
        <v>0.25142045454545453</v>
      </c>
      <c r="Z155" s="20">
        <f t="shared" si="402"/>
        <v>0.25142045454545453</v>
      </c>
      <c r="AA155" s="20">
        <f t="shared" si="402"/>
        <v>0.25142045454545453</v>
      </c>
      <c r="AB155" s="20">
        <f t="shared" si="402"/>
        <v>0.25142045454545453</v>
      </c>
      <c r="AC155" s="20">
        <f t="shared" si="402"/>
        <v>0.25142045454545453</v>
      </c>
      <c r="AD155" s="118">
        <f t="shared" ref="AD155" si="403">((AC155/T155)^(1/($H$2-$H$1) ))-1</f>
        <v>0</v>
      </c>
      <c r="AE155" s="20"/>
      <c r="AF155" s="20"/>
    </row>
    <row r="156" spans="2:32" x14ac:dyDescent="0.2">
      <c r="B156" s="20" t="s">
        <v>355</v>
      </c>
      <c r="C156" s="20"/>
      <c r="D156" s="20"/>
      <c r="E156" s="20"/>
      <c r="F156" s="20"/>
      <c r="G156" s="25">
        <f t="shared" ref="G156:Q156" si="404">G25/360</f>
        <v>1.875</v>
      </c>
      <c r="H156" s="25">
        <f t="shared" si="404"/>
        <v>2.1583333333333332</v>
      </c>
      <c r="I156" s="25">
        <f t="shared" si="404"/>
        <v>2.6361111111111111</v>
      </c>
      <c r="J156" s="25">
        <f t="shared" si="404"/>
        <v>3.5833333333333335</v>
      </c>
      <c r="K156" s="25">
        <f t="shared" si="404"/>
        <v>4.9083333333333332</v>
      </c>
      <c r="L156" s="25">
        <f t="shared" si="404"/>
        <v>5.4944444444444445</v>
      </c>
      <c r="M156" s="25">
        <f t="shared" si="404"/>
        <v>6.2416666666666663</v>
      </c>
      <c r="N156" s="25">
        <f t="shared" si="404"/>
        <v>7.6333333333333337</v>
      </c>
      <c r="O156" s="25">
        <f t="shared" si="404"/>
        <v>8.8722222222222218</v>
      </c>
      <c r="P156" s="25">
        <f t="shared" si="404"/>
        <v>10.561111111111112</v>
      </c>
      <c r="Q156" s="25">
        <f t="shared" si="404"/>
        <v>12.166666666666666</v>
      </c>
      <c r="R156" s="118">
        <f t="shared" si="295"/>
        <v>0.1886960894367955</v>
      </c>
      <c r="S156" s="128"/>
      <c r="T156" s="25">
        <f t="shared" ref="T156:AC156" si="405">T25/360</f>
        <v>14.234999999999998</v>
      </c>
      <c r="U156" s="25">
        <f t="shared" si="405"/>
        <v>16.654949999999999</v>
      </c>
      <c r="V156" s="25">
        <f t="shared" si="405"/>
        <v>19.486291499999997</v>
      </c>
      <c r="W156" s="25">
        <f t="shared" si="405"/>
        <v>22.798961054999992</v>
      </c>
      <c r="X156" s="25">
        <f t="shared" si="405"/>
        <v>26.674784434349991</v>
      </c>
      <c r="Y156" s="25">
        <f t="shared" si="405"/>
        <v>31.209497788189488</v>
      </c>
      <c r="Z156" s="25">
        <f t="shared" si="405"/>
        <v>36.515112412181701</v>
      </c>
      <c r="AA156" s="25">
        <f t="shared" si="405"/>
        <v>42.722681522252586</v>
      </c>
      <c r="AB156" s="25">
        <f t="shared" si="405"/>
        <v>49.985537381035527</v>
      </c>
      <c r="AC156" s="25">
        <f t="shared" si="405"/>
        <v>58.48307873581156</v>
      </c>
      <c r="AD156" s="118">
        <f t="shared" ref="AD156:AD167" si="406">((AC156/T156)^(1/($H$2-$H$1) ))-1</f>
        <v>0.15177401319527206</v>
      </c>
      <c r="AE156" s="20"/>
      <c r="AF156" s="20"/>
    </row>
    <row r="157" spans="2:32" x14ac:dyDescent="0.2">
      <c r="B157" s="20" t="s">
        <v>354</v>
      </c>
      <c r="C157" s="20"/>
      <c r="D157" s="20"/>
      <c r="E157" s="20"/>
      <c r="F157" s="20"/>
      <c r="G157" s="25">
        <f t="shared" ref="G157:Q157" si="407">G27/360</f>
        <v>1.55</v>
      </c>
      <c r="H157" s="25">
        <f t="shared" si="407"/>
        <v>1.7777777777777777</v>
      </c>
      <c r="I157" s="25">
        <f t="shared" si="407"/>
        <v>2.1916666666666669</v>
      </c>
      <c r="J157" s="25">
        <f t="shared" si="407"/>
        <v>3.0611111111111109</v>
      </c>
      <c r="K157" s="25">
        <f t="shared" si="407"/>
        <v>4.1361111111111111</v>
      </c>
      <c r="L157" s="25">
        <f t="shared" si="407"/>
        <v>4.8555555555555552</v>
      </c>
      <c r="M157" s="25">
        <f t="shared" si="407"/>
        <v>5.0861111111111112</v>
      </c>
      <c r="N157" s="25">
        <f t="shared" si="407"/>
        <v>6.2472222222222218</v>
      </c>
      <c r="O157" s="25">
        <f t="shared" si="407"/>
        <v>7.4055555555555559</v>
      </c>
      <c r="P157" s="25">
        <f t="shared" si="407"/>
        <v>8.6944444444444446</v>
      </c>
      <c r="Q157" s="25">
        <f t="shared" si="407"/>
        <v>10.194444444444445</v>
      </c>
      <c r="R157" s="118">
        <f t="shared" si="295"/>
        <v>0.18820401039063528</v>
      </c>
      <c r="S157" s="128"/>
      <c r="T157" s="25">
        <f t="shared" ref="T157:AC157" si="408">T27/360</f>
        <v>11.927499999999998</v>
      </c>
      <c r="U157" s="25">
        <f t="shared" si="408"/>
        <v>13.955174999999999</v>
      </c>
      <c r="V157" s="25">
        <f t="shared" si="408"/>
        <v>16.327554749999997</v>
      </c>
      <c r="W157" s="25">
        <f t="shared" si="408"/>
        <v>19.103239057499994</v>
      </c>
      <c r="X157" s="25">
        <f t="shared" si="408"/>
        <v>22.350789697274994</v>
      </c>
      <c r="Y157" s="25">
        <f t="shared" si="408"/>
        <v>26.150423945811742</v>
      </c>
      <c r="Z157" s="25">
        <f t="shared" si="408"/>
        <v>30.595996016599731</v>
      </c>
      <c r="AA157" s="25">
        <f t="shared" si="408"/>
        <v>35.797315339421687</v>
      </c>
      <c r="AB157" s="25">
        <f t="shared" si="408"/>
        <v>41.882858947123367</v>
      </c>
      <c r="AC157" s="25">
        <f t="shared" si="408"/>
        <v>49.002944968134337</v>
      </c>
      <c r="AD157" s="118">
        <f t="shared" si="406"/>
        <v>0.15177401319527206</v>
      </c>
      <c r="AE157" s="20"/>
      <c r="AF157" s="20"/>
    </row>
    <row r="158" spans="2:32" x14ac:dyDescent="0.2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128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128"/>
      <c r="AE158" s="20"/>
      <c r="AF158" s="20"/>
    </row>
    <row r="159" spans="2:32" x14ac:dyDescent="0.2">
      <c r="B159" s="20" t="s">
        <v>364</v>
      </c>
      <c r="C159" s="20"/>
      <c r="D159" s="20"/>
      <c r="E159" s="20"/>
      <c r="F159" s="20"/>
      <c r="G159" s="25">
        <f t="shared" ref="G159:Q159" si="409">G10/G7</f>
        <v>0.17777777777777778</v>
      </c>
      <c r="H159" s="25">
        <f t="shared" si="409"/>
        <v>0.17174515235457063</v>
      </c>
      <c r="I159" s="25">
        <f t="shared" si="409"/>
        <v>0.13559322033898305</v>
      </c>
      <c r="J159" s="25">
        <f t="shared" si="409"/>
        <v>0.30208333333333331</v>
      </c>
      <c r="K159" s="25">
        <f t="shared" si="409"/>
        <v>0.84838709677419355</v>
      </c>
      <c r="L159" s="25">
        <f t="shared" si="409"/>
        <v>0.9605678233438486</v>
      </c>
      <c r="M159" s="25">
        <f t="shared" si="409"/>
        <v>0.53669724770642202</v>
      </c>
      <c r="N159" s="25">
        <f t="shared" si="409"/>
        <v>0.30904059040590404</v>
      </c>
      <c r="O159" s="25">
        <f t="shared" si="409"/>
        <v>0.11161387631975868</v>
      </c>
      <c r="P159" s="25">
        <f t="shared" si="409"/>
        <v>3.0890369473046637E-2</v>
      </c>
      <c r="Q159" s="25">
        <f t="shared" si="409"/>
        <v>2.3565573770491802E-2</v>
      </c>
      <c r="R159" s="118">
        <f t="shared" si="295"/>
        <v>-0.1605505228183649</v>
      </c>
      <c r="S159" s="128"/>
      <c r="T159" s="25">
        <f t="shared" ref="T159:AC159" si="410">T10/T7</f>
        <v>2.3565573770491805E-2</v>
      </c>
      <c r="U159" s="25">
        <f t="shared" si="410"/>
        <v>2.3565573770491802E-2</v>
      </c>
      <c r="V159" s="25">
        <f t="shared" si="410"/>
        <v>2.3565573770491802E-2</v>
      </c>
      <c r="W159" s="25">
        <f t="shared" si="410"/>
        <v>2.3565573770491802E-2</v>
      </c>
      <c r="X159" s="25">
        <f t="shared" si="410"/>
        <v>2.3565573770491802E-2</v>
      </c>
      <c r="Y159" s="25">
        <f t="shared" si="410"/>
        <v>2.3565573770491802E-2</v>
      </c>
      <c r="Z159" s="25">
        <f t="shared" si="410"/>
        <v>2.3565573770491802E-2</v>
      </c>
      <c r="AA159" s="25">
        <f t="shared" si="410"/>
        <v>2.3565573770491805E-2</v>
      </c>
      <c r="AB159" s="25">
        <f t="shared" si="410"/>
        <v>2.3565573770491805E-2</v>
      </c>
      <c r="AC159" s="25">
        <f t="shared" si="410"/>
        <v>2.3565573770491805E-2</v>
      </c>
      <c r="AD159" s="118">
        <f t="shared" si="406"/>
        <v>0</v>
      </c>
      <c r="AE159" s="20"/>
      <c r="AF159" s="20"/>
    </row>
    <row r="160" spans="2:32" x14ac:dyDescent="0.2">
      <c r="B160" s="20" t="s">
        <v>356</v>
      </c>
      <c r="C160" s="20"/>
      <c r="D160" s="20"/>
      <c r="E160" s="20"/>
      <c r="F160" s="20"/>
      <c r="G160" s="25">
        <f t="shared" ref="G160:Q160" si="411">G10/(G10+G7)</f>
        <v>0.15094339622641509</v>
      </c>
      <c r="H160" s="25">
        <f t="shared" si="411"/>
        <v>0.14657210401891252</v>
      </c>
      <c r="I160" s="25">
        <f t="shared" si="411"/>
        <v>0.11940298507462686</v>
      </c>
      <c r="J160" s="25">
        <f t="shared" si="411"/>
        <v>0.23200000000000001</v>
      </c>
      <c r="K160" s="25">
        <f t="shared" si="411"/>
        <v>0.45898778359511344</v>
      </c>
      <c r="L160" s="25">
        <f t="shared" si="411"/>
        <v>0.48994368463395011</v>
      </c>
      <c r="M160" s="25">
        <f t="shared" si="411"/>
        <v>0.34925373134328358</v>
      </c>
      <c r="N160" s="25">
        <f t="shared" si="411"/>
        <v>0.23608174770965468</v>
      </c>
      <c r="O160" s="25">
        <f t="shared" si="411"/>
        <v>0.10040705563093623</v>
      </c>
      <c r="P160" s="25">
        <f t="shared" si="411"/>
        <v>2.9964747356051705E-2</v>
      </c>
      <c r="Q160" s="25">
        <f t="shared" si="411"/>
        <v>2.3023023023023025E-2</v>
      </c>
      <c r="R160" s="118">
        <f t="shared" si="295"/>
        <v>-0.14929369752603783</v>
      </c>
      <c r="S160" s="128"/>
      <c r="T160" s="25">
        <f t="shared" ref="T160:AC160" si="412">T10/(T10+T7)</f>
        <v>2.3023023023023021E-2</v>
      </c>
      <c r="U160" s="25">
        <f t="shared" si="412"/>
        <v>2.3023023023023025E-2</v>
      </c>
      <c r="V160" s="25">
        <f t="shared" si="412"/>
        <v>2.3023023023023021E-2</v>
      </c>
      <c r="W160" s="25">
        <f t="shared" si="412"/>
        <v>2.3023023023023021E-2</v>
      </c>
      <c r="X160" s="25">
        <f t="shared" si="412"/>
        <v>2.3023023023023021E-2</v>
      </c>
      <c r="Y160" s="25">
        <f t="shared" si="412"/>
        <v>2.3023023023023021E-2</v>
      </c>
      <c r="Z160" s="25">
        <f t="shared" si="412"/>
        <v>2.3023023023023021E-2</v>
      </c>
      <c r="AA160" s="25">
        <f t="shared" si="412"/>
        <v>2.3023023023023025E-2</v>
      </c>
      <c r="AB160" s="25">
        <f t="shared" si="412"/>
        <v>2.3023023023023025E-2</v>
      </c>
      <c r="AC160" s="25">
        <f t="shared" si="412"/>
        <v>2.3023023023023025E-2</v>
      </c>
      <c r="AD160" s="118">
        <f t="shared" si="406"/>
        <v>0</v>
      </c>
      <c r="AE160" s="20"/>
      <c r="AF160" s="20"/>
    </row>
    <row r="161" spans="2:32" x14ac:dyDescent="0.2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128"/>
      <c r="S161" s="128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136"/>
      <c r="AE161" s="20"/>
      <c r="AF161" s="20"/>
    </row>
    <row r="162" spans="2:32" x14ac:dyDescent="0.2">
      <c r="B162" s="20" t="s">
        <v>361</v>
      </c>
      <c r="C162" s="20"/>
      <c r="D162" s="20"/>
      <c r="E162" s="20"/>
      <c r="F162" s="20"/>
      <c r="G162" s="25">
        <f t="shared" ref="G162:Q162" si="413">G16</f>
        <v>132</v>
      </c>
      <c r="H162" s="25">
        <f t="shared" si="413"/>
        <v>145</v>
      </c>
      <c r="I162" s="25">
        <f t="shared" si="413"/>
        <v>147</v>
      </c>
      <c r="J162" s="25">
        <f t="shared" si="413"/>
        <v>224</v>
      </c>
      <c r="K162" s="25">
        <f t="shared" si="413"/>
        <v>477</v>
      </c>
      <c r="L162" s="25">
        <f t="shared" si="413"/>
        <v>445</v>
      </c>
      <c r="M162" s="25">
        <f t="shared" si="413"/>
        <v>234</v>
      </c>
      <c r="N162" s="25">
        <f t="shared" si="413"/>
        <v>336</v>
      </c>
      <c r="O162" s="25">
        <f t="shared" si="413"/>
        <v>365</v>
      </c>
      <c r="P162" s="25">
        <f t="shared" si="413"/>
        <v>335</v>
      </c>
      <c r="Q162" s="25">
        <f t="shared" si="413"/>
        <v>555</v>
      </c>
      <c r="R162" s="118">
        <f t="shared" si="295"/>
        <v>9.7607554734781221E-2</v>
      </c>
      <c r="S162" s="128"/>
      <c r="T162" s="25">
        <f t="shared" ref="T162:AC162" si="414">T16</f>
        <v>649.34999999999991</v>
      </c>
      <c r="U162" s="25">
        <f t="shared" si="414"/>
        <v>759.73949999999979</v>
      </c>
      <c r="V162" s="25">
        <f t="shared" si="414"/>
        <v>888.89521499999967</v>
      </c>
      <c r="W162" s="25">
        <f t="shared" si="414"/>
        <v>1040.0074015499995</v>
      </c>
      <c r="X162" s="25">
        <f t="shared" si="414"/>
        <v>1216.8086598134994</v>
      </c>
      <c r="Y162" s="25">
        <f t="shared" si="414"/>
        <v>1423.6661319817943</v>
      </c>
      <c r="Z162" s="25">
        <f t="shared" si="414"/>
        <v>1665.6893744186991</v>
      </c>
      <c r="AA162" s="25">
        <f t="shared" si="414"/>
        <v>1948.8565680698778</v>
      </c>
      <c r="AB162" s="25">
        <f t="shared" si="414"/>
        <v>2280.162184641757</v>
      </c>
      <c r="AC162" s="25">
        <f t="shared" si="414"/>
        <v>2667.7897560308556</v>
      </c>
      <c r="AD162" s="118">
        <f t="shared" si="406"/>
        <v>0.15177401319527206</v>
      </c>
      <c r="AE162" s="20"/>
      <c r="AF162" s="20"/>
    </row>
    <row r="163" spans="2:32" x14ac:dyDescent="0.2">
      <c r="B163" s="20" t="s">
        <v>362</v>
      </c>
      <c r="C163" s="20"/>
      <c r="D163" s="20"/>
      <c r="E163" s="20"/>
      <c r="F163" s="20"/>
      <c r="G163" s="119">
        <f t="shared" ref="G163:Q163" si="415">G162*365/G25</f>
        <v>71.37777777777778</v>
      </c>
      <c r="H163" s="119">
        <f t="shared" si="415"/>
        <v>68.11454311454311</v>
      </c>
      <c r="I163" s="119">
        <f t="shared" si="415"/>
        <v>56.53846153846154</v>
      </c>
      <c r="J163" s="119">
        <f t="shared" si="415"/>
        <v>63.379844961240309</v>
      </c>
      <c r="K163" s="119">
        <f t="shared" si="415"/>
        <v>98.531409168081495</v>
      </c>
      <c r="L163" s="119">
        <f t="shared" si="415"/>
        <v>82.115773508594543</v>
      </c>
      <c r="M163" s="119">
        <f t="shared" si="415"/>
        <v>38.010680907877166</v>
      </c>
      <c r="N163" s="119">
        <f t="shared" si="415"/>
        <v>44.62882096069869</v>
      </c>
      <c r="O163" s="119">
        <f t="shared" si="415"/>
        <v>41.71102066374452</v>
      </c>
      <c r="P163" s="119">
        <f t="shared" si="415"/>
        <v>32.160704892162023</v>
      </c>
      <c r="Q163" s="119">
        <f t="shared" si="415"/>
        <v>46.25</v>
      </c>
      <c r="R163" s="118">
        <f t="shared" si="295"/>
        <v>-7.6628951261353828E-2</v>
      </c>
      <c r="S163" s="128"/>
      <c r="T163" s="119">
        <f t="shared" ref="T163:AC163" si="416">T162*365/T25</f>
        <v>46.25</v>
      </c>
      <c r="U163" s="119">
        <f t="shared" si="416"/>
        <v>46.249999999999993</v>
      </c>
      <c r="V163" s="119">
        <f t="shared" si="416"/>
        <v>46.249999999999993</v>
      </c>
      <c r="W163" s="119">
        <f t="shared" si="416"/>
        <v>46.249999999999993</v>
      </c>
      <c r="X163" s="119">
        <f t="shared" si="416"/>
        <v>46.249999999999993</v>
      </c>
      <c r="Y163" s="119">
        <f t="shared" si="416"/>
        <v>46.249999999999993</v>
      </c>
      <c r="Z163" s="119">
        <f t="shared" si="416"/>
        <v>46.249999999999993</v>
      </c>
      <c r="AA163" s="119">
        <f t="shared" si="416"/>
        <v>46.249999999999993</v>
      </c>
      <c r="AB163" s="119">
        <f t="shared" si="416"/>
        <v>46.249999999999993</v>
      </c>
      <c r="AC163" s="119">
        <f t="shared" si="416"/>
        <v>46.249999999999993</v>
      </c>
      <c r="AD163" s="118">
        <f t="shared" si="406"/>
        <v>0</v>
      </c>
      <c r="AE163" s="20"/>
      <c r="AF163" s="20"/>
    </row>
    <row r="164" spans="2:32" x14ac:dyDescent="0.2">
      <c r="B164" s="20" t="s">
        <v>365</v>
      </c>
      <c r="C164" s="20"/>
      <c r="D164" s="20"/>
      <c r="E164" s="20"/>
      <c r="F164" s="20"/>
      <c r="G164" s="133">
        <f t="shared" ref="G164:Q164" si="417">G98/G29</f>
        <v>42857.142857142855</v>
      </c>
      <c r="H164" s="133">
        <f t="shared" si="417"/>
        <v>12.698412698412698</v>
      </c>
      <c r="I164" s="133">
        <f t="shared" si="417"/>
        <v>1.5124016938898972</v>
      </c>
      <c r="J164" s="133">
        <f t="shared" si="417"/>
        <v>0.71087393270751631</v>
      </c>
      <c r="K164" s="133">
        <f t="shared" si="417"/>
        <v>0.41337285902503296</v>
      </c>
      <c r="L164" s="133">
        <f t="shared" si="417"/>
        <v>0.21739130434782608</v>
      </c>
      <c r="M164" s="133">
        <f t="shared" si="417"/>
        <v>0.20694890753855594</v>
      </c>
      <c r="N164" s="133">
        <f t="shared" si="417"/>
        <v>0.25467079408988119</v>
      </c>
      <c r="O164" s="133">
        <f t="shared" si="417"/>
        <v>0.31393782251709501</v>
      </c>
      <c r="P164" s="133">
        <f t="shared" si="417"/>
        <v>0.53116021707516048</v>
      </c>
      <c r="Q164" s="133">
        <f t="shared" si="417"/>
        <v>0.81813304721030045</v>
      </c>
      <c r="R164" s="118">
        <f t="shared" si="295"/>
        <v>-0.6769124429632023</v>
      </c>
      <c r="S164" s="128"/>
      <c r="T164" s="133">
        <f t="shared" ref="T164:AC164" si="418">T98/T29</f>
        <v>0.80209122275519651</v>
      </c>
      <c r="U164" s="133">
        <f t="shared" si="418"/>
        <v>0.78636394387764375</v>
      </c>
      <c r="V164" s="133">
        <f t="shared" si="418"/>
        <v>0.77094504301729772</v>
      </c>
      <c r="W164" s="133">
        <f t="shared" si="418"/>
        <v>0.75582847354637039</v>
      </c>
      <c r="X164" s="133">
        <f t="shared" si="418"/>
        <v>0.7410083073984024</v>
      </c>
      <c r="Y164" s="133">
        <f t="shared" si="418"/>
        <v>0.7264787327435317</v>
      </c>
      <c r="Z164" s="133">
        <f t="shared" si="418"/>
        <v>0.71223405170934484</v>
      </c>
      <c r="AA164" s="133">
        <f t="shared" si="418"/>
        <v>0.69826867814641658</v>
      </c>
      <c r="AB164" s="133">
        <f t="shared" si="418"/>
        <v>0.68457713543766319</v>
      </c>
      <c r="AC164" s="133">
        <f t="shared" si="418"/>
        <v>0.67115405435065012</v>
      </c>
      <c r="AD164" s="118">
        <f t="shared" si="406"/>
        <v>-1.7664485544367503E-2</v>
      </c>
      <c r="AE164" s="20"/>
      <c r="AF164" s="20"/>
    </row>
    <row r="165" spans="2:32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28"/>
      <c r="S165" s="128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 t="s">
        <v>372</v>
      </c>
      <c r="C166" s="20"/>
      <c r="D166" s="20"/>
      <c r="E166" s="20"/>
      <c r="F166" s="20"/>
      <c r="G166" s="178">
        <f t="shared" ref="G166:Q166" si="419">G25/G14</f>
        <v>6.4285714285714288</v>
      </c>
      <c r="H166" s="178">
        <f t="shared" si="419"/>
        <v>5.976923076923077</v>
      </c>
      <c r="I166" s="178">
        <f t="shared" si="419"/>
        <v>6.083333333333333</v>
      </c>
      <c r="J166" s="178">
        <f t="shared" si="419"/>
        <v>5.8371040723981897</v>
      </c>
      <c r="K166" s="178">
        <f t="shared" si="419"/>
        <v>5.9295302013422821</v>
      </c>
      <c r="L166" s="178">
        <f t="shared" si="419"/>
        <v>7.0642857142857141</v>
      </c>
      <c r="M166" s="178">
        <f t="shared" si="419"/>
        <v>7.5402684563758386</v>
      </c>
      <c r="N166" s="178">
        <f t="shared" si="419"/>
        <v>6.7188264058679703</v>
      </c>
      <c r="O166" s="178">
        <f t="shared" si="419"/>
        <v>7.035242290748899</v>
      </c>
      <c r="P166" s="178">
        <f t="shared" si="419"/>
        <v>7.2557251908396942</v>
      </c>
      <c r="Q166" s="178">
        <f t="shared" si="419"/>
        <v>7.3</v>
      </c>
      <c r="R166" s="118">
        <f t="shared" si="295"/>
        <v>1.217739782978744E-2</v>
      </c>
      <c r="S166" s="128"/>
      <c r="T166" s="20">
        <f t="shared" ref="T166:AC166" si="420">T25/T14</f>
        <v>7.2999999999999989</v>
      </c>
      <c r="U166" s="20">
        <f t="shared" si="420"/>
        <v>7.3</v>
      </c>
      <c r="V166" s="20">
        <f t="shared" si="420"/>
        <v>7.2999999999999989</v>
      </c>
      <c r="W166" s="20">
        <f t="shared" si="420"/>
        <v>7.2999999999999989</v>
      </c>
      <c r="X166" s="20">
        <f t="shared" si="420"/>
        <v>7.3</v>
      </c>
      <c r="Y166" s="20">
        <f t="shared" si="420"/>
        <v>7.3</v>
      </c>
      <c r="Z166" s="20">
        <f t="shared" si="420"/>
        <v>7.3</v>
      </c>
      <c r="AA166" s="20">
        <f t="shared" si="420"/>
        <v>7.3000000000000007</v>
      </c>
      <c r="AB166" s="20">
        <f t="shared" si="420"/>
        <v>7.3000000000000007</v>
      </c>
      <c r="AC166" s="20">
        <f t="shared" si="420"/>
        <v>7.3000000000000007</v>
      </c>
      <c r="AD166" s="118">
        <f t="shared" si="406"/>
        <v>0</v>
      </c>
      <c r="AE166" s="20"/>
      <c r="AF166" s="20"/>
    </row>
    <row r="167" spans="2:32" x14ac:dyDescent="0.2">
      <c r="B167" s="20" t="s">
        <v>373</v>
      </c>
      <c r="C167" s="20"/>
      <c r="D167" s="20"/>
      <c r="E167" s="20"/>
      <c r="F167" s="20"/>
      <c r="G167" s="178">
        <f t="shared" ref="G167:Q167" si="421">G27/G14</f>
        <v>5.3142857142857141</v>
      </c>
      <c r="H167" s="178">
        <f t="shared" si="421"/>
        <v>4.9230769230769234</v>
      </c>
      <c r="I167" s="178">
        <f t="shared" si="421"/>
        <v>5.0576923076923075</v>
      </c>
      <c r="J167" s="178">
        <f t="shared" si="421"/>
        <v>4.9864253393665159</v>
      </c>
      <c r="K167" s="178">
        <f t="shared" si="421"/>
        <v>4.9966442953020138</v>
      </c>
      <c r="L167" s="178">
        <f t="shared" si="421"/>
        <v>6.2428571428571429</v>
      </c>
      <c r="M167" s="178">
        <f t="shared" si="421"/>
        <v>6.1442953020134228</v>
      </c>
      <c r="N167" s="178">
        <f t="shared" si="421"/>
        <v>5.4987775061124697</v>
      </c>
      <c r="O167" s="178">
        <f t="shared" si="421"/>
        <v>5.8722466960352424</v>
      </c>
      <c r="P167" s="178">
        <f t="shared" si="421"/>
        <v>5.9732824427480917</v>
      </c>
      <c r="Q167" s="178">
        <f t="shared" si="421"/>
        <v>6.1166666666666663</v>
      </c>
      <c r="R167" s="118">
        <f t="shared" si="295"/>
        <v>1.1758391413517755E-2</v>
      </c>
      <c r="S167" s="128"/>
      <c r="T167" s="20">
        <f t="shared" ref="T167:AC167" si="422">T27/T14</f>
        <v>6.1166666666666663</v>
      </c>
      <c r="U167" s="20">
        <f t="shared" si="422"/>
        <v>6.1166666666666663</v>
      </c>
      <c r="V167" s="20">
        <f t="shared" si="422"/>
        <v>6.1166666666666663</v>
      </c>
      <c r="W167" s="20">
        <f t="shared" si="422"/>
        <v>6.1166666666666671</v>
      </c>
      <c r="X167" s="20">
        <f t="shared" si="422"/>
        <v>6.1166666666666663</v>
      </c>
      <c r="Y167" s="20">
        <f t="shared" si="422"/>
        <v>6.1166666666666671</v>
      </c>
      <c r="Z167" s="20">
        <f t="shared" si="422"/>
        <v>6.1166666666666663</v>
      </c>
      <c r="AA167" s="20">
        <f t="shared" si="422"/>
        <v>6.1166666666666671</v>
      </c>
      <c r="AB167" s="20">
        <f t="shared" si="422"/>
        <v>6.1166666666666663</v>
      </c>
      <c r="AC167" s="20">
        <f t="shared" si="422"/>
        <v>6.1166666666666663</v>
      </c>
      <c r="AD167" s="118">
        <f t="shared" si="406"/>
        <v>0</v>
      </c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28"/>
      <c r="S168" s="128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36"/>
      <c r="AE168" s="20"/>
      <c r="AF168" s="20"/>
    </row>
    <row r="169" spans="2:32" x14ac:dyDescent="0.2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3" t="s">
        <v>471</v>
      </c>
      <c r="R169" s="23"/>
      <c r="S169" s="23" t="s">
        <v>472</v>
      </c>
      <c r="T169" s="122" t="s">
        <v>66</v>
      </c>
      <c r="U169" s="20"/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5"/>
      <c r="Q170" s="133">
        <f>AVERAGE(M102:Q102)</f>
        <v>6.9176746000780343</v>
      </c>
      <c r="R170" s="158">
        <f>AVERAGE(G72:Q72)</f>
        <v>9.6808166833078584</v>
      </c>
      <c r="S170" s="158">
        <f>AVERAGE(G102:Q102)</f>
        <v>4.2279998581208105</v>
      </c>
      <c r="T170" s="192" t="s">
        <v>427</v>
      </c>
      <c r="U170" s="193" t="s">
        <v>428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9">
        <f>T171+U171</f>
        <v>70.369815176252786</v>
      </c>
      <c r="T171" s="133">
        <f>PV($C$1, ($AC$3-$T$3), 0, -AC72)</f>
        <v>7.7526067567058163</v>
      </c>
      <c r="U171" s="133">
        <f>PV($C$1, ($AC$3-$T$3), 0, -AF72)</f>
        <v>62.617208419546969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39">
        <f t="shared" ref="S172:S190" si="423">T172+U172</f>
        <v>307.29726895759609</v>
      </c>
      <c r="T172" s="133">
        <f>PV($C$1, ($AC$3-$T$3), 0, -AC74)</f>
        <v>33.854783868209736</v>
      </c>
      <c r="U172" s="133">
        <f>PV($C$1, ($AC$3-$T$3), 0, -AF74)</f>
        <v>273.44248508938637</v>
      </c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>
        <f t="shared" si="423"/>
        <v>299.26849809856054</v>
      </c>
      <c r="T173" s="133">
        <f>PV($C$1, ($AC$3-$T$3), 0, -AC75)</f>
        <v>32.970258265095651</v>
      </c>
      <c r="U173" s="133">
        <f>PV($C$1, ($AC$3-$T$3), 0, -AF75)</f>
        <v>266.29823983346489</v>
      </c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39">
        <f t="shared" si="423"/>
        <v>7.2416364610908914</v>
      </c>
      <c r="T174" s="133">
        <f>PV($C$1, ($AC$3-$T$3), 0, -AC76)</f>
        <v>0.79780740673035244</v>
      </c>
      <c r="U174" s="133">
        <f>PV($C$1, ($AC$3-$T$3), 0, -AF76)</f>
        <v>6.4438290543605392</v>
      </c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139">
        <f t="shared" si="423"/>
        <v>27.864557687241035</v>
      </c>
      <c r="T175" s="133">
        <f>PV($C$1, ($AC$3-$T$3), 0, -AC82)</f>
        <v>3.0698241519841822</v>
      </c>
      <c r="U175" s="133">
        <f>PV($C$1, ($AC$3-$T$3), 0, -AF82)</f>
        <v>24.794733535256853</v>
      </c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 x14ac:dyDescent="0.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39"/>
      <c r="T176" s="133"/>
      <c r="U176" s="20"/>
      <c r="V176" s="20"/>
      <c r="W176" s="20"/>
      <c r="X176" s="20"/>
      <c r="Y176" s="20"/>
      <c r="Z176" s="20"/>
      <c r="AA176" s="20"/>
      <c r="AB176" s="20"/>
      <c r="AC176" s="20"/>
      <c r="AD176" s="136"/>
      <c r="AE176" s="20"/>
      <c r="AF176" s="20"/>
    </row>
    <row r="177" spans="2:32" x14ac:dyDescent="0.2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139">
        <f t="shared" si="423"/>
        <v>300.05563249650515</v>
      </c>
      <c r="T177" s="133">
        <f>PV($C$1, ($AC$3-$T$3), 0, -AC78)</f>
        <v>33.05697646147938</v>
      </c>
      <c r="U177" s="133">
        <f>PV($C$1, ($AC$3-$T$3), 0, -$AF$78)</f>
        <v>266.99865603502576</v>
      </c>
      <c r="V177" s="20"/>
      <c r="W177" s="20"/>
      <c r="X177" s="20"/>
      <c r="Y177" s="20"/>
      <c r="Z177" s="20"/>
      <c r="AA177" s="20"/>
      <c r="AB177" s="20"/>
      <c r="AC177" s="20"/>
      <c r="AD177" s="136"/>
      <c r="AE177" s="20"/>
      <c r="AF177" s="20"/>
    </row>
    <row r="178" spans="2:32" x14ac:dyDescent="0.2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139">
        <f t="shared" si="423"/>
        <v>189.22710926589673</v>
      </c>
      <c r="T178" s="133">
        <f>PV($C$1, ($AC$3-$T$3), 0, -AC79)</f>
        <v>20.84705441064964</v>
      </c>
      <c r="U178" s="133">
        <f>PV($C$1, ($AC$3-$T$3), 0, -$AF$79)</f>
        <v>168.3800548552471</v>
      </c>
      <c r="V178" s="20"/>
      <c r="W178" s="20"/>
      <c r="X178" s="20"/>
      <c r="Y178" s="20"/>
      <c r="Z178" s="20"/>
      <c r="AA178" s="20"/>
      <c r="AB178" s="20"/>
      <c r="AC178" s="20"/>
      <c r="AD178" s="136"/>
      <c r="AE178" s="20"/>
      <c r="AF178" s="20"/>
    </row>
    <row r="179" spans="2:32" x14ac:dyDescent="0.2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139">
        <f t="shared" si="423"/>
        <v>394.03947961109776</v>
      </c>
      <c r="T179" s="133">
        <f>PV($C$1, ($AC$3-$T$3), 0, -AC80)</f>
        <v>43.411129109697207</v>
      </c>
      <c r="U179" s="133">
        <f>PV($C$1, ($AC$3-$T$3), 0, -$AF$80)</f>
        <v>350.62835050140058</v>
      </c>
      <c r="V179" s="20"/>
      <c r="W179" s="20"/>
      <c r="X179" s="20"/>
      <c r="Y179" s="20"/>
      <c r="Z179" s="20"/>
      <c r="AA179" s="20"/>
      <c r="AB179" s="20"/>
      <c r="AC179" s="20"/>
      <c r="AD179" s="136"/>
      <c r="AE179" s="20"/>
      <c r="AF179" s="20"/>
    </row>
    <row r="180" spans="2:32" x14ac:dyDescent="0.2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139"/>
      <c r="T180" s="133"/>
      <c r="U180" s="20"/>
      <c r="V180" s="20"/>
      <c r="W180" s="20"/>
      <c r="X180" s="20"/>
      <c r="Y180" s="20"/>
      <c r="Z180" s="20"/>
      <c r="AA180" s="20"/>
      <c r="AB180" s="20"/>
      <c r="AC180" s="20"/>
      <c r="AD180" s="136"/>
      <c r="AE180" s="20"/>
      <c r="AF180" s="20"/>
    </row>
    <row r="181" spans="2:32" x14ac:dyDescent="0.2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139">
        <f t="shared" si="423"/>
        <v>204.81237034520103</v>
      </c>
      <c r="T181" s="133">
        <f>PV($C$1, ($AC$3-$T$3), 0, -AC85)</f>
        <v>22.56407469904757</v>
      </c>
      <c r="U181" s="133">
        <f>PV($C$1, ($AC$3-$T$3), 0, -AF85)</f>
        <v>182.24829564615345</v>
      </c>
      <c r="V181" s="20"/>
      <c r="W181" s="20"/>
      <c r="X181" s="20"/>
      <c r="Y181" s="20"/>
      <c r="Z181" s="20"/>
      <c r="AA181" s="20"/>
      <c r="AB181" s="20"/>
      <c r="AC181" s="20"/>
      <c r="AD181" s="136"/>
      <c r="AE181" s="20"/>
      <c r="AF181" s="20"/>
    </row>
    <row r="182" spans="2:32" x14ac:dyDescent="0.2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139">
        <f t="shared" si="423"/>
        <v>63.101940901897073</v>
      </c>
      <c r="T182" s="133">
        <f>PV($C$1, ($AC$3-$T$3), 0, -AC86)</f>
        <v>9.6257197985944689</v>
      </c>
      <c r="U182" s="133">
        <f>PV($C$1, ($AC$3-$T$3), 0, -AF86)</f>
        <v>53.476221103302606</v>
      </c>
      <c r="V182" s="20"/>
      <c r="W182" s="20"/>
      <c r="X182" s="20"/>
      <c r="Y182" s="20"/>
      <c r="Z182" s="20"/>
      <c r="AA182" s="20"/>
      <c r="AB182" s="20"/>
      <c r="AC182" s="20"/>
      <c r="AD182" s="136"/>
      <c r="AE182" s="20"/>
      <c r="AF182" s="20"/>
    </row>
    <row r="183" spans="2:32" x14ac:dyDescent="0.2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139"/>
      <c r="T183" s="133"/>
      <c r="U183" s="133"/>
      <c r="V183" s="20"/>
      <c r="W183" s="20"/>
      <c r="X183" s="20"/>
      <c r="Y183" s="20"/>
      <c r="Z183" s="20"/>
      <c r="AA183" s="20"/>
      <c r="AB183" s="20"/>
      <c r="AC183" s="20"/>
      <c r="AD183" s="136"/>
      <c r="AE183" s="20"/>
      <c r="AF183" s="20"/>
    </row>
    <row r="184" spans="2:32" x14ac:dyDescent="0.2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139">
        <f t="shared" ref="S184" si="424">T184+U184</f>
        <v>1741.1351096422668</v>
      </c>
      <c r="T184" s="133">
        <f>PV($C$1, ($AC$3-$T$3), 0, -AC12)</f>
        <v>191.81996970635143</v>
      </c>
      <c r="U184" s="133">
        <f>PV($C$1, ($AC$3-$T$3), 0, -AF12)</f>
        <v>1549.3151399359153</v>
      </c>
      <c r="V184" s="20"/>
      <c r="W184" s="20"/>
      <c r="X184" s="20"/>
      <c r="Y184" s="20"/>
      <c r="Z184" s="20"/>
      <c r="AA184" s="20"/>
      <c r="AB184" s="20"/>
      <c r="AC184" s="20"/>
      <c r="AD184" s="136"/>
      <c r="AE184" s="20"/>
      <c r="AF184" s="20"/>
    </row>
    <row r="185" spans="2:32" x14ac:dyDescent="0.2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139">
        <f>T185+U185</f>
        <v>33.966740336368844</v>
      </c>
      <c r="T185" s="139">
        <f>T184/P57</f>
        <v>3.7420985116338557</v>
      </c>
      <c r="U185" s="139">
        <f>U184/P57</f>
        <v>30.224641824734988</v>
      </c>
      <c r="V185" s="20"/>
      <c r="W185" s="20"/>
      <c r="X185" s="20"/>
      <c r="Y185" s="20"/>
      <c r="Z185" s="20"/>
      <c r="AA185" s="20"/>
      <c r="AB185" s="20"/>
      <c r="AC185" s="20"/>
      <c r="AD185" s="136"/>
      <c r="AE185" s="20"/>
      <c r="AF185" s="20"/>
    </row>
    <row r="186" spans="2:32" x14ac:dyDescent="0.2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139"/>
      <c r="T186" s="139"/>
      <c r="U186" s="139"/>
      <c r="V186" s="20"/>
      <c r="W186" s="20"/>
      <c r="X186" s="20"/>
      <c r="Y186" s="20"/>
      <c r="Z186" s="20"/>
      <c r="AA186" s="20"/>
      <c r="AB186" s="20"/>
      <c r="AC186" s="20"/>
      <c r="AD186" s="136"/>
      <c r="AE186" s="20"/>
      <c r="AF186" s="20"/>
    </row>
    <row r="187" spans="2:32" x14ac:dyDescent="0.2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139"/>
      <c r="T187" s="133"/>
      <c r="U187" s="133"/>
      <c r="V187" s="20"/>
      <c r="W187" s="20"/>
      <c r="X187" s="20"/>
      <c r="Y187" s="20"/>
      <c r="Z187" s="20"/>
      <c r="AA187" s="20"/>
      <c r="AB187" s="20"/>
      <c r="AC187" s="20"/>
      <c r="AD187" s="136"/>
      <c r="AE187" s="20"/>
      <c r="AF187" s="20"/>
    </row>
    <row r="188" spans="2:32" x14ac:dyDescent="0.2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39">
        <f t="shared" ref="S188" si="425">T188+U188</f>
        <v>31.331520290605098</v>
      </c>
      <c r="T188" s="133">
        <f>PV($C$1, ($AC$3-$T$3), 0, -AC88)+PV($C$1, ($AB$3-$T$3), 0, -AC88)+PV($C$1, ($AA$3-$T$3), 0, -AC88)+PV($C$1, ($Z$3-$T$3), 0, -AC88)+PV($C$1, ($Y$3-$T$3), 0, -AC88)+PV($C$1, ($X$3-$T$3), 0, -AC88)+PV($C$1, ($W$3-$T$3), 0, -AC88)+PV($C$1, ($V$3-$T$3), 0, -AC88)+PV($C$1, ($U$3-$T$3), 0, -AC88)+PV($C$1, ($T$3-$T$3), 0, -AC88)</f>
        <v>23.322772155591792</v>
      </c>
      <c r="U188" s="133">
        <f>PV($C$1, ($AC$3-$T$3), 0, -AF88)</f>
        <v>8.0087481350133061</v>
      </c>
      <c r="V188" s="20"/>
      <c r="W188" s="20"/>
      <c r="X188" s="20"/>
      <c r="Y188" s="20"/>
      <c r="Z188" s="20"/>
      <c r="AA188" s="20"/>
      <c r="AB188" s="20"/>
      <c r="AC188" s="20"/>
      <c r="AD188" s="136"/>
      <c r="AE188" s="20"/>
      <c r="AF188" s="20"/>
    </row>
    <row r="189" spans="2:32" x14ac:dyDescent="0.2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139"/>
      <c r="T189" s="133"/>
      <c r="U189" s="133"/>
      <c r="V189" s="20"/>
      <c r="W189" s="20"/>
      <c r="X189" s="20"/>
      <c r="Y189" s="20"/>
      <c r="Z189" s="20"/>
      <c r="AA189" s="20"/>
      <c r="AB189" s="20"/>
      <c r="AC189" s="20"/>
      <c r="AD189" s="136"/>
      <c r="AE189" s="20"/>
      <c r="AF189" s="20"/>
    </row>
    <row r="190" spans="2:32" x14ac:dyDescent="0.2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139">
        <f t="shared" si="423"/>
        <v>8834.9284581865395</v>
      </c>
      <c r="T190" s="133">
        <f>PV($C$1, ($AC$3-$T$3), 0, -AC90)+PV($C$1, ($AB$3-$T$3), 0, -AC90)+PV($C$1, ($AA$3-$T$3), 0, -AC90)+PV($C$1, ($Z$3-$T$3), 0, -AC90)+PV($C$1, ($Y$3-$T$3), 0, -AC90)+PV($C$1, ($X$3-$T$3), 0, -AC90)+PV($C$1, ($W$3-$T$3), 0, -AC90)+PV($C$1, ($V$3-$T$3), 0, -AC90)+PV($C$1, ($U$3-$T$3), 0, -AC90)+PV($C$1, ($T$3-$T$3), 0, -AC90)</f>
        <v>6576.6046948901194</v>
      </c>
      <c r="U190" s="133">
        <f>PV($C$1, ($AC$3-$T$3), 0, -AF90)</f>
        <v>2258.3237632964192</v>
      </c>
      <c r="V190" s="20"/>
      <c r="W190" s="20"/>
      <c r="X190" s="20"/>
      <c r="Y190" s="20"/>
      <c r="Z190" s="20"/>
      <c r="AA190" s="20"/>
      <c r="AB190" s="20"/>
      <c r="AC190" s="20"/>
      <c r="AD190" s="136"/>
      <c r="AE190" s="20"/>
      <c r="AF190" s="20"/>
    </row>
    <row r="191" spans="2:32" x14ac:dyDescent="0.2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139"/>
      <c r="T191" s="133"/>
      <c r="U191" s="133"/>
      <c r="V191" s="20"/>
      <c r="W191" s="20"/>
      <c r="X191" s="20"/>
      <c r="Y191" s="20"/>
      <c r="Z191" s="20"/>
      <c r="AA191" s="20"/>
      <c r="AB191" s="20"/>
      <c r="AC191" s="20"/>
      <c r="AD191" s="136"/>
      <c r="AE191" s="20"/>
      <c r="AF191" s="20"/>
    </row>
    <row r="192" spans="2:32" x14ac:dyDescent="0.2">
      <c r="B192" s="20" t="s">
        <v>459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139">
        <f t="shared" ref="S192:S195" si="426">T192+U192</f>
        <v>141.3913097969558</v>
      </c>
      <c r="T192" s="133">
        <f>PV($C$1, ($AC$3-$T$3), 0, -AC92)+PV($C$1, ($AB$3-$T$3), 0, -AC92)+PV($C$1, ($AA$3-$T$3), 0, -AC92)+PV($C$1, ($Z$3-$T$3), 0, -AC92)+PV($C$1, ($Y$3-$T$3), 0, -AC92)+PV($C$1, ($X$3-$T$3), 0, -AC92)+PV($C$1, ($W$3-$T$3), 0, -AC92)+PV($C$1, ($V$3-$T$3), 0, -AC92)+PV($C$1, ($U$3-$T$3), 0, -AC92)+PV($C$1, ($T$3-$T$3), 0, -AC92)</f>
        <v>105.24983379641191</v>
      </c>
      <c r="U192" s="133">
        <f>PV($C$1, ($AC$3-$T$3), 0, -AF92)</f>
        <v>36.141476000543896</v>
      </c>
      <c r="V192" s="20"/>
      <c r="W192" s="20"/>
      <c r="X192" s="20"/>
      <c r="Y192" s="20"/>
      <c r="Z192" s="20"/>
      <c r="AA192" s="20"/>
      <c r="AB192" s="20"/>
      <c r="AC192" s="20"/>
      <c r="AD192" s="136"/>
      <c r="AE192" s="20"/>
      <c r="AF192" s="20"/>
    </row>
    <row r="193" spans="2:32" x14ac:dyDescent="0.2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139">
        <f t="shared" si="426"/>
        <v>218.11527635344339</v>
      </c>
      <c r="T193" s="133">
        <f>PV($C$1, ($AC$3-$T$3), 0, -AC93)+PV($C$1, ($AB$3-$T$3), 0, -AC93)+PV($C$1, ($AA$3-$T$3), 0, -AC93)+PV($C$1, ($Z$3-$T$3), 0, -AC93)+PV($C$1, ($Y$3-$T$3), 0, -AC93)+PV($C$1, ($X$3-$T$3), 0, -AC93)+PV($C$1, ($W$3-$T$3), 0, -AC93)+PV($C$1, ($V$3-$T$3), 0, -AC93)+PV($C$1, ($U$3-$T$3), 0, -AC93)+PV($C$1, ($T$3-$T$3), 0, -AC93)</f>
        <v>162.3621467091935</v>
      </c>
      <c r="U193" s="133">
        <f>PV($C$1, ($AC$3-$T$3), 0, -AF93)</f>
        <v>55.753129644249881</v>
      </c>
      <c r="V193" s="20"/>
      <c r="W193" s="20"/>
      <c r="X193" s="20"/>
      <c r="Y193" s="20"/>
      <c r="Z193" s="20"/>
      <c r="AA193" s="20"/>
      <c r="AB193" s="20"/>
      <c r="AC193" s="20"/>
      <c r="AD193" s="136"/>
      <c r="AE193" s="20"/>
      <c r="AF193" s="20"/>
    </row>
    <row r="194" spans="2:32" x14ac:dyDescent="0.2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139">
        <f t="shared" si="426"/>
        <v>-76.723966556487611</v>
      </c>
      <c r="T194" s="133">
        <f>PV($C$1, ($AC$3-$T$3), 0, -AC94)+PV($C$1, ($AB$3-$T$3), 0, -AC94)+PV($C$1, ($AA$3-$T$3), 0, -AC94)+PV($C$1, ($Z$3-$T$3), 0, -AC94)+PV($C$1, ($Y$3-$T$3), 0, -AC94)+PV($C$1, ($X$3-$T$3), 0, -AC94)+PV($C$1, ($W$3-$T$3), 0, -AC94)+PV($C$1, ($V$3-$T$3), 0, -AC94)+PV($C$1, ($U$3-$T$3), 0, -AC94)+PV($C$1, ($T$3-$T$3), 0, -AC94)</f>
        <v>-57.112312912781633</v>
      </c>
      <c r="U194" s="133">
        <f>PV($C$1, ($AC$3-$T$3), 0, -AF94)</f>
        <v>-19.611653643705981</v>
      </c>
      <c r="V194" s="20"/>
      <c r="W194" s="20"/>
      <c r="X194" s="20"/>
      <c r="Y194" s="20"/>
      <c r="Z194" s="20"/>
      <c r="AA194" s="20"/>
      <c r="AB194" s="20"/>
      <c r="AC194" s="20"/>
      <c r="AD194" s="136"/>
      <c r="AE194" s="20"/>
      <c r="AF194" s="20"/>
    </row>
    <row r="195" spans="2:32" x14ac:dyDescent="0.2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139">
        <f t="shared" si="426"/>
        <v>-120.56623316019483</v>
      </c>
      <c r="T195" s="133">
        <f>PV($C$1, ($AC$3-$T$3), 0, -AC95)+PV($C$1, ($AB$3-$T$3), 0, -AC95)+PV($C$1, ($AA$3-$T$3), 0, -AC95)+PV($C$1, ($Z$3-$T$3), 0, -AC95)+PV($C$1, ($Y$3-$T$3), 0, -AC95)+PV($C$1, ($X$3-$T$3), 0, -AC95)+PV($C$1, ($W$3-$T$3), 0, -AC95)+PV($C$1, ($V$3-$T$3), 0, -AC95)+PV($C$1, ($U$3-$T$3), 0, -AC95)+PV($C$1, ($T$3-$T$3), 0, -AC95)</f>
        <v>-89.747920291513992</v>
      </c>
      <c r="U195" s="133">
        <f>PV($C$1, ($AC$3-$T$3), 0, -AF95)</f>
        <v>-30.818312868680831</v>
      </c>
      <c r="V195" s="20"/>
      <c r="W195" s="20"/>
      <c r="X195" s="20"/>
      <c r="Y195" s="20"/>
      <c r="Z195" s="20"/>
      <c r="AA195" s="20"/>
      <c r="AB195" s="20"/>
      <c r="AC195" s="20"/>
      <c r="AD195" s="136"/>
      <c r="AE195" s="20"/>
      <c r="AF195" s="20"/>
    </row>
    <row r="196" spans="2:32" x14ac:dyDescent="0.2">
      <c r="B196" s="20" t="s">
        <v>457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110">
        <f>S193+S194+S195</f>
        <v>20.825076636760969</v>
      </c>
      <c r="T196" s="110">
        <f t="shared" ref="T196:U196" si="427">T193+T194+T195</f>
        <v>15.501913504897871</v>
      </c>
      <c r="U196" s="110">
        <f t="shared" si="427"/>
        <v>5.3231631318630726</v>
      </c>
      <c r="V196" s="20"/>
      <c r="W196" s="20"/>
      <c r="X196" s="20"/>
      <c r="Y196" s="20"/>
      <c r="Z196" s="20"/>
      <c r="AA196" s="20"/>
      <c r="AB196" s="20"/>
      <c r="AC196" s="20"/>
      <c r="AD196" s="136"/>
      <c r="AE196" s="20"/>
      <c r="AF196" s="20"/>
    </row>
    <row r="197" spans="2:32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139"/>
      <c r="T197" s="133"/>
      <c r="U197" s="133"/>
      <c r="V197" s="20"/>
      <c r="W197" s="20"/>
      <c r="X197" s="20"/>
      <c r="Y197" s="20"/>
      <c r="Z197" s="20"/>
      <c r="AA197" s="20"/>
      <c r="AB197" s="20"/>
      <c r="AC197" s="20"/>
      <c r="AD197" s="136"/>
      <c r="AE197" s="20"/>
      <c r="AF197" s="20"/>
    </row>
    <row r="198" spans="2:32" x14ac:dyDescent="0.2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139">
        <f>T198+U198</f>
        <v>48.226493264077945</v>
      </c>
      <c r="T198" s="133">
        <f>PV($C$1, ($AC$3-$T$3), 0, -AC96)+PV($C$1, ($AB$3-$T$3), 0, -AC96)+PV($C$1, ($AA$3-$T$3), 0, -AC96)+PV($C$1, ($Z$3-$T$3), 0, -AC96)+PV($C$1, ($Y$3-$T$3), 0, -AC96)+PV($C$1, ($X$3-$T$3), 0, -AC96)+PV($C$1, ($W$3-$T$3), 0, -AC96)+PV($C$1, ($V$3-$T$3), 0, -AC96)+PV($C$1, ($U$3-$T$3), 0, -AC96)+PV($C$1, ($T$3-$T$3), 0, -AC96)</f>
        <v>35.899168116605608</v>
      </c>
      <c r="U198" s="133">
        <f>PV($C$1, ($AC$3-$T$3), 0, -AF96)</f>
        <v>12.327325147472337</v>
      </c>
      <c r="V198" s="20"/>
      <c r="W198" s="20"/>
      <c r="X198" s="20"/>
      <c r="Y198" s="20"/>
      <c r="Z198" s="20"/>
      <c r="AA198" s="20"/>
      <c r="AB198" s="20"/>
      <c r="AC198" s="20"/>
      <c r="AD198" s="136"/>
      <c r="AE198" s="20"/>
      <c r="AF198" s="20"/>
    </row>
    <row r="199" spans="2:32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181">
        <v>41729</v>
      </c>
      <c r="P199" s="20">
        <v>280</v>
      </c>
      <c r="Q199" s="20"/>
      <c r="R199" s="20"/>
      <c r="S199" s="20"/>
      <c r="T199" s="121"/>
      <c r="U199" s="20"/>
      <c r="V199" s="20"/>
      <c r="W199" s="20"/>
      <c r="X199" s="20"/>
      <c r="Y199" s="20"/>
      <c r="Z199" s="20"/>
      <c r="AA199" s="20"/>
      <c r="AB199" s="20"/>
      <c r="AC199" s="20"/>
      <c r="AD199" s="136"/>
      <c r="AE199" s="20"/>
      <c r="AF199" s="20"/>
    </row>
    <row r="200" spans="2:32" x14ac:dyDescent="0.2">
      <c r="B200" s="108" t="s">
        <v>251</v>
      </c>
      <c r="C200" s="20"/>
      <c r="D200" s="20"/>
      <c r="E200" s="20"/>
      <c r="F200" s="199" t="s">
        <v>470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23" t="s">
        <v>388</v>
      </c>
      <c r="P200" s="20">
        <v>400</v>
      </c>
      <c r="Q200" s="20"/>
      <c r="R200" s="20">
        <v>150</v>
      </c>
      <c r="S200" s="23" t="s">
        <v>389</v>
      </c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36"/>
      <c r="AE200" s="20"/>
      <c r="AF200" s="20"/>
    </row>
    <row r="201" spans="2:32" x14ac:dyDescent="0.2">
      <c r="B201" s="20" t="s">
        <v>204</v>
      </c>
      <c r="C201" s="22">
        <v>0</v>
      </c>
      <c r="D201" s="22">
        <v>0</v>
      </c>
      <c r="E201" s="22">
        <v>0</v>
      </c>
      <c r="F201" s="22">
        <v>0</v>
      </c>
      <c r="G201" s="22">
        <v>310</v>
      </c>
      <c r="H201" s="22">
        <v>450</v>
      </c>
      <c r="I201" s="22">
        <v>120</v>
      </c>
      <c r="J201" s="22">
        <v>190</v>
      </c>
      <c r="K201" s="22">
        <v>200</v>
      </c>
      <c r="L201" s="22">
        <v>140</v>
      </c>
      <c r="M201" s="22">
        <v>150</v>
      </c>
      <c r="N201" s="22">
        <v>150</v>
      </c>
      <c r="O201" s="22">
        <v>210</v>
      </c>
      <c r="P201" s="22">
        <v>240</v>
      </c>
      <c r="Q201" s="22">
        <v>400</v>
      </c>
      <c r="R201" s="118">
        <f t="shared" ref="R201:R208" si="428">((P201/G201)^(1/($H$2-$H$1) ))-1</f>
        <v>-2.5268604187815846E-2</v>
      </c>
      <c r="S201" s="31">
        <v>0</v>
      </c>
      <c r="T201" s="195">
        <v>50</v>
      </c>
      <c r="U201" s="119">
        <f t="shared" ref="U201:AC201" si="429">T201*(1+$S201)</f>
        <v>50</v>
      </c>
      <c r="V201" s="119">
        <f t="shared" si="429"/>
        <v>50</v>
      </c>
      <c r="W201" s="119">
        <f t="shared" si="429"/>
        <v>50</v>
      </c>
      <c r="X201" s="119">
        <f t="shared" si="429"/>
        <v>50</v>
      </c>
      <c r="Y201" s="119">
        <f t="shared" si="429"/>
        <v>50</v>
      </c>
      <c r="Z201" s="119">
        <f t="shared" si="429"/>
        <v>50</v>
      </c>
      <c r="AA201" s="119">
        <f t="shared" si="429"/>
        <v>50</v>
      </c>
      <c r="AB201" s="119">
        <f t="shared" si="429"/>
        <v>50</v>
      </c>
      <c r="AC201" s="119">
        <f t="shared" si="429"/>
        <v>50</v>
      </c>
      <c r="AD201" s="137">
        <f t="shared" ref="AD201:AD208" si="430">((AC201/G201)^(1/($AC$3-$H$1) ))-1</f>
        <v>-8.7189944693423338E-2</v>
      </c>
      <c r="AE201" s="31">
        <f t="shared" ref="AE201:AE208" si="431">$L$1</f>
        <v>0.05</v>
      </c>
      <c r="AF201" s="127">
        <f t="shared" ref="AF201:AF212" si="432">(AC201*(1+AD201))/($C$1-AE201)</f>
        <v>351.08079050252945</v>
      </c>
    </row>
    <row r="202" spans="2:32" x14ac:dyDescent="0.2">
      <c r="B202" s="20" t="s">
        <v>359</v>
      </c>
      <c r="C202" s="25"/>
      <c r="D202" s="25"/>
      <c r="E202" s="25"/>
      <c r="F202" s="25"/>
      <c r="G202" s="25">
        <f t="shared" ref="G202:Q202" si="433">G201/G66</f>
        <v>1.1573333333333335</v>
      </c>
      <c r="H202" s="25">
        <f t="shared" si="433"/>
        <v>1.4594594594594597</v>
      </c>
      <c r="I202" s="25">
        <f t="shared" si="433"/>
        <v>3.1903055848261328</v>
      </c>
      <c r="J202" s="25">
        <f t="shared" si="433"/>
        <v>3.7160465116279071</v>
      </c>
      <c r="K202" s="25">
        <f t="shared" si="433"/>
        <v>2.8636106395019807</v>
      </c>
      <c r="L202" s="25">
        <f t="shared" si="433"/>
        <v>1.7906976744186049</v>
      </c>
      <c r="M202" s="25">
        <f t="shared" si="433"/>
        <v>3.3785046728971966</v>
      </c>
      <c r="N202" s="25">
        <f t="shared" si="433"/>
        <v>2.7625545851528384</v>
      </c>
      <c r="O202" s="25">
        <f t="shared" si="433"/>
        <v>3.3373825923606759</v>
      </c>
      <c r="P202" s="25">
        <f t="shared" si="433"/>
        <v>3.2357706470278802</v>
      </c>
      <c r="Q202" s="25">
        <f t="shared" si="433"/>
        <v>4.6812785388127853</v>
      </c>
      <c r="R202" s="118">
        <f t="shared" ref="R202" si="434">((P202/G202)^(1/($H$2-$H$1) ))-1</f>
        <v>0.10828620342494344</v>
      </c>
      <c r="S202" s="128"/>
      <c r="T202" s="25">
        <f t="shared" ref="T202:AC202" si="435">T201/T66</f>
        <v>0.51013932794754713</v>
      </c>
      <c r="U202" s="25">
        <f t="shared" si="435"/>
        <v>0.44473685000555391</v>
      </c>
      <c r="V202" s="25">
        <f t="shared" si="435"/>
        <v>0.38771930513304703</v>
      </c>
      <c r="W202" s="25">
        <f t="shared" si="435"/>
        <v>0.33801170191086155</v>
      </c>
      <c r="X202" s="25">
        <f t="shared" si="435"/>
        <v>0.29467686833254597</v>
      </c>
      <c r="Y202" s="25">
        <f t="shared" si="435"/>
        <v>0.2568977826488863</v>
      </c>
      <c r="Z202" s="25">
        <f t="shared" si="435"/>
        <v>0.22396216948877265</v>
      </c>
      <c r="AA202" s="25">
        <f t="shared" si="435"/>
        <v>0.19524907083636592</v>
      </c>
      <c r="AB202" s="25">
        <f t="shared" si="435"/>
        <v>0.17021713867785745</v>
      </c>
      <c r="AC202" s="25">
        <f t="shared" si="435"/>
        <v>0.14839442859095267</v>
      </c>
      <c r="AD202" s="137">
        <f t="shared" ref="AD202" si="436">((AC202/G202)^(1/($AC$3-$H$1) ))-1</f>
        <v>-9.7602347838904868E-2</v>
      </c>
      <c r="AE202" s="31">
        <f t="shared" si="431"/>
        <v>0.05</v>
      </c>
      <c r="AF202" s="127">
        <f t="shared" ref="AF202" si="437">(AC202*(1+AD202))/($C$1-AE202)</f>
        <v>1.0300829534943305</v>
      </c>
    </row>
    <row r="203" spans="2:32" x14ac:dyDescent="0.2">
      <c r="B203" s="20" t="s">
        <v>387</v>
      </c>
      <c r="C203" s="25"/>
      <c r="D203" s="25"/>
      <c r="E203" s="25"/>
      <c r="F203" s="25"/>
      <c r="G203" s="25">
        <f t="shared" ref="G203:Q203" si="438">G201/G72</f>
        <v>12.806557377049181</v>
      </c>
      <c r="H203" s="25">
        <f t="shared" si="438"/>
        <v>15.75</v>
      </c>
      <c r="I203" s="25">
        <f t="shared" si="438"/>
        <v>35.204651162790697</v>
      </c>
      <c r="J203" s="25">
        <f t="shared" si="438"/>
        <v>43.18648648648648</v>
      </c>
      <c r="K203" s="25">
        <f t="shared" si="438"/>
        <v>29.5906432748538</v>
      </c>
      <c r="L203" s="25">
        <f t="shared" si="438"/>
        <v>32.200000000000003</v>
      </c>
      <c r="M203" s="25">
        <f t="shared" si="438"/>
        <v>27.605454545454545</v>
      </c>
      <c r="N203" s="25">
        <f t="shared" si="438"/>
        <v>24.647727272727273</v>
      </c>
      <c r="O203" s="25">
        <f t="shared" si="438"/>
        <v>33.104347826086958</v>
      </c>
      <c r="P203" s="25">
        <f t="shared" si="438"/>
        <v>29.221852731591447</v>
      </c>
      <c r="Q203" s="25">
        <f t="shared" si="438"/>
        <v>45.870246085011189</v>
      </c>
      <c r="R203" s="118">
        <f t="shared" si="428"/>
        <v>8.5994272521572102E-2</v>
      </c>
      <c r="S203" s="128"/>
      <c r="T203" s="119">
        <f t="shared" ref="T203:AC203" si="439">T201/T72</f>
        <v>4.9986806631101928</v>
      </c>
      <c r="U203" s="119">
        <f t="shared" si="439"/>
        <v>4.3578241678396559</v>
      </c>
      <c r="V203" s="119">
        <f t="shared" si="439"/>
        <v>3.7991287617063669</v>
      </c>
      <c r="W203" s="119">
        <f t="shared" si="439"/>
        <v>3.3120609717440121</v>
      </c>
      <c r="X203" s="119">
        <f t="shared" si="439"/>
        <v>2.8874377702383693</v>
      </c>
      <c r="Y203" s="119">
        <f t="shared" si="439"/>
        <v>2.5172534407206304</v>
      </c>
      <c r="Z203" s="119">
        <f t="shared" si="439"/>
        <v>2.194528640628242</v>
      </c>
      <c r="AA203" s="119">
        <f t="shared" si="439"/>
        <v>1.9131788149066724</v>
      </c>
      <c r="AB203" s="119">
        <f t="shared" si="439"/>
        <v>1.6678994796622273</v>
      </c>
      <c r="AC203" s="119">
        <f t="shared" si="439"/>
        <v>1.4540662130388653</v>
      </c>
      <c r="AD203" s="137">
        <f t="shared" si="430"/>
        <v>-0.10307198493806358</v>
      </c>
      <c r="AE203" s="31">
        <f t="shared" si="431"/>
        <v>0.05</v>
      </c>
      <c r="AF203" s="127">
        <f t="shared" si="432"/>
        <v>10.032251709458277</v>
      </c>
    </row>
    <row r="204" spans="2:32" x14ac:dyDescent="0.2">
      <c r="B204" s="20" t="s">
        <v>462</v>
      </c>
      <c r="C204" s="25"/>
      <c r="D204" s="25"/>
      <c r="E204" s="25"/>
      <c r="F204" s="25"/>
      <c r="G204" s="25">
        <f t="shared" ref="G204:Q204" si="440">G201/G70</f>
        <v>7.2333333333333343</v>
      </c>
      <c r="H204" s="25">
        <f t="shared" si="440"/>
        <v>8.859375</v>
      </c>
      <c r="I204" s="25">
        <f t="shared" si="440"/>
        <v>20.880000000000003</v>
      </c>
      <c r="J204" s="25">
        <f t="shared" si="440"/>
        <v>27.870348837209303</v>
      </c>
      <c r="K204" s="25">
        <f t="shared" si="440"/>
        <v>20.159362549800797</v>
      </c>
      <c r="L204" s="25">
        <f t="shared" si="440"/>
        <v>14.636363636363637</v>
      </c>
      <c r="M204" s="25">
        <f t="shared" si="440"/>
        <v>19.074120603015075</v>
      </c>
      <c r="N204" s="25">
        <f t="shared" si="440"/>
        <v>16.360991379310345</v>
      </c>
      <c r="O204" s="25">
        <f t="shared" si="440"/>
        <v>21.578137651821862</v>
      </c>
      <c r="P204" s="25">
        <f t="shared" si="440"/>
        <v>20.538230383973289</v>
      </c>
      <c r="Q204" s="25">
        <f t="shared" si="440"/>
        <v>30.557377049180328</v>
      </c>
      <c r="R204" s="118">
        <f t="shared" si="428"/>
        <v>0.10999865923644236</v>
      </c>
      <c r="S204" s="128"/>
      <c r="T204" s="25">
        <f t="shared" ref="T204:AC204" si="441">T201/T70</f>
        <v>3.3299705758722156</v>
      </c>
      <c r="U204" s="25">
        <f t="shared" si="441"/>
        <v>2.9030512712732133</v>
      </c>
      <c r="V204" s="25">
        <f t="shared" si="441"/>
        <v>2.530865210853571</v>
      </c>
      <c r="W204" s="25">
        <f t="shared" si="441"/>
        <v>2.2063953120261899</v>
      </c>
      <c r="X204" s="25">
        <f t="shared" si="441"/>
        <v>1.9235241181766787</v>
      </c>
      <c r="Y204" s="25">
        <f t="shared" si="441"/>
        <v>1.6769184620001816</v>
      </c>
      <c r="Z204" s="25">
        <f t="shared" si="441"/>
        <v>1.461928915589902</v>
      </c>
      <c r="AA204" s="25">
        <f t="shared" si="441"/>
        <v>1.2745021315399148</v>
      </c>
      <c r="AB204" s="25">
        <f t="shared" si="441"/>
        <v>1.1111044223681308</v>
      </c>
      <c r="AC204" s="25">
        <f t="shared" si="441"/>
        <v>0.96865513744913989</v>
      </c>
      <c r="AD204" s="137">
        <f t="shared" ref="AD204:AD205" si="442">((AC204/G204)^(1/($AC$3-$H$1) ))-1</f>
        <v>-9.5639603987014876E-2</v>
      </c>
      <c r="AE204" s="31">
        <f t="shared" si="431"/>
        <v>0.05</v>
      </c>
      <c r="AF204" s="127">
        <f t="shared" ref="AF204:AF205" si="443">(AC204*(1+AD204))/($C$1-AE204)</f>
        <v>6.738564182334744</v>
      </c>
    </row>
    <row r="205" spans="2:32" x14ac:dyDescent="0.2">
      <c r="B205" s="20" t="s">
        <v>463</v>
      </c>
      <c r="C205" s="25"/>
      <c r="D205" s="25"/>
      <c r="E205" s="25"/>
      <c r="F205" s="25"/>
      <c r="G205" s="25">
        <f t="shared" ref="G205:Q205" si="444">G201/G71</f>
        <v>8.4913043478260875</v>
      </c>
      <c r="H205" s="25">
        <f t="shared" si="444"/>
        <v>10.8</v>
      </c>
      <c r="I205" s="25">
        <f t="shared" si="444"/>
        <v>23.11145038167939</v>
      </c>
      <c r="J205" s="25">
        <f t="shared" si="444"/>
        <v>32.833561643835623</v>
      </c>
      <c r="K205" s="25">
        <f t="shared" si="444"/>
        <v>24.326923076923077</v>
      </c>
      <c r="L205" s="25">
        <f t="shared" si="444"/>
        <v>27.889763779527563</v>
      </c>
      <c r="M205" s="25">
        <f t="shared" si="444"/>
        <v>24.409967845659164</v>
      </c>
      <c r="N205" s="25">
        <f t="shared" si="444"/>
        <v>18.837468982630273</v>
      </c>
      <c r="O205" s="25">
        <f t="shared" si="444"/>
        <v>24.675000000000001</v>
      </c>
      <c r="P205" s="25">
        <f t="shared" si="444"/>
        <v>21.174526678141135</v>
      </c>
      <c r="Q205" s="25">
        <f t="shared" si="444"/>
        <v>33.503267973856211</v>
      </c>
      <c r="R205" s="118">
        <f t="shared" si="428"/>
        <v>9.5680494651554593E-2</v>
      </c>
      <c r="S205" s="128"/>
      <c r="T205" s="25">
        <f t="shared" ref="T205:AC205" si="445">T201/T71</f>
        <v>3.6509971509971511</v>
      </c>
      <c r="U205" s="25">
        <f t="shared" si="445"/>
        <v>3.1829205931770037</v>
      </c>
      <c r="V205" s="25">
        <f t="shared" si="445"/>
        <v>2.7748538504620028</v>
      </c>
      <c r="W205" s="25">
        <f t="shared" si="445"/>
        <v>2.4191033568130282</v>
      </c>
      <c r="X205" s="25">
        <f t="shared" si="445"/>
        <v>2.1089619008113583</v>
      </c>
      <c r="Y205" s="25">
        <f t="shared" si="445"/>
        <v>1.8385821699381075</v>
      </c>
      <c r="Z205" s="25">
        <f t="shared" si="445"/>
        <v>1.6028665071255297</v>
      </c>
      <c r="AA205" s="25">
        <f t="shared" si="445"/>
        <v>1.3973708010837951</v>
      </c>
      <c r="AB205" s="25">
        <f t="shared" si="445"/>
        <v>1.2182206983807446</v>
      </c>
      <c r="AC205" s="25">
        <f t="shared" si="445"/>
        <v>1.0620385575627007</v>
      </c>
      <c r="AD205" s="137">
        <f t="shared" si="442"/>
        <v>-9.8722988482789376E-2</v>
      </c>
      <c r="AE205" s="31">
        <f t="shared" si="431"/>
        <v>0.05</v>
      </c>
      <c r="AF205" s="127">
        <f t="shared" si="443"/>
        <v>7.3630072098166153</v>
      </c>
    </row>
    <row r="206" spans="2:32" x14ac:dyDescent="0.2">
      <c r="B206" s="20" t="s">
        <v>258</v>
      </c>
      <c r="C206" s="25"/>
      <c r="D206" s="25"/>
      <c r="E206" s="25"/>
      <c r="F206" s="25"/>
      <c r="G206" s="25">
        <f t="shared" ref="G206:Q206" si="446">G201/G75</f>
        <v>2.7031141868512112</v>
      </c>
      <c r="H206" s="25">
        <f t="shared" si="446"/>
        <v>3.3749999999999996</v>
      </c>
      <c r="I206" s="25">
        <f t="shared" si="446"/>
        <v>7.8030927835051553</v>
      </c>
      <c r="J206" s="25">
        <f t="shared" si="446"/>
        <v>10.535604395604397</v>
      </c>
      <c r="K206" s="25">
        <f t="shared" si="446"/>
        <v>8.5617597292724206</v>
      </c>
      <c r="L206" s="25">
        <f t="shared" si="446"/>
        <v>5.2944693572496258</v>
      </c>
      <c r="M206" s="25">
        <f t="shared" si="446"/>
        <v>9.2466504263093796</v>
      </c>
      <c r="N206" s="25">
        <f t="shared" si="446"/>
        <v>7.341876208897486</v>
      </c>
      <c r="O206" s="25">
        <f t="shared" si="446"/>
        <v>8.3604705882352945</v>
      </c>
      <c r="P206" s="25">
        <f t="shared" si="446"/>
        <v>7.6889999999999992</v>
      </c>
      <c r="Q206" s="25">
        <f t="shared" si="446"/>
        <v>10.785902156759601</v>
      </c>
      <c r="R206" s="118">
        <f t="shared" si="428"/>
        <v>0.11019827168869289</v>
      </c>
      <c r="S206" s="128"/>
      <c r="T206" s="119">
        <f t="shared" ref="T206:AC206" si="447">T201/T75</f>
        <v>1.1753867734930332</v>
      </c>
      <c r="U206" s="119">
        <f t="shared" si="447"/>
        <v>1.0246961615067471</v>
      </c>
      <c r="V206" s="119">
        <f t="shared" si="447"/>
        <v>0.89332485874947176</v>
      </c>
      <c r="W206" s="119">
        <f t="shared" si="447"/>
        <v>0.77879603070466774</v>
      </c>
      <c r="X206" s="119">
        <f t="shared" si="447"/>
        <v>0.67895038574253097</v>
      </c>
      <c r="Y206" s="119">
        <f t="shared" si="447"/>
        <v>0.59190546449348858</v>
      </c>
      <c r="Z206" s="119">
        <f t="shared" si="447"/>
        <v>0.51602014853278488</v>
      </c>
      <c r="AA206" s="119">
        <f t="shared" si="447"/>
        <v>0.44986371923370999</v>
      </c>
      <c r="AB206" s="119">
        <f t="shared" si="447"/>
        <v>0.39218888343451641</v>
      </c>
      <c r="AC206" s="119">
        <f t="shared" si="447"/>
        <v>0.34190825735316821</v>
      </c>
      <c r="AD206" s="137">
        <f t="shared" si="430"/>
        <v>-9.8216551586587486E-2</v>
      </c>
      <c r="AE206" s="31">
        <f t="shared" si="431"/>
        <v>0.05</v>
      </c>
      <c r="AF206" s="127">
        <f t="shared" si="432"/>
        <v>2.3717477488996961</v>
      </c>
    </row>
    <row r="207" spans="2:32" x14ac:dyDescent="0.2">
      <c r="B207" s="20" t="s">
        <v>259</v>
      </c>
      <c r="C207" s="25"/>
      <c r="D207" s="25"/>
      <c r="E207" s="25"/>
      <c r="F207" s="25"/>
      <c r="G207" s="25">
        <f t="shared" ref="G207:Q207" si="448">G201/G84</f>
        <v>29.479245283018869</v>
      </c>
      <c r="H207" s="25">
        <f t="shared" si="448"/>
        <v>34.363636363636367</v>
      </c>
      <c r="I207" s="25">
        <f t="shared" si="448"/>
        <v>94.612499999999997</v>
      </c>
      <c r="J207" s="25">
        <f t="shared" si="448"/>
        <v>88.772222222222226</v>
      </c>
      <c r="K207" s="25">
        <f t="shared" si="448"/>
        <v>28.874686144715817</v>
      </c>
      <c r="L207" s="25">
        <f t="shared" si="448"/>
        <v>19.145945945945943</v>
      </c>
      <c r="M207" s="25">
        <f t="shared" si="448"/>
        <v>24.253993610223642</v>
      </c>
      <c r="N207" s="25">
        <f t="shared" si="448"/>
        <v>27.807692307692307</v>
      </c>
      <c r="O207" s="25">
        <f t="shared" si="448"/>
        <v>28.73207547169811</v>
      </c>
      <c r="P207" s="25">
        <f t="shared" si="448"/>
        <v>27.708108108108107</v>
      </c>
      <c r="Q207" s="25">
        <f t="shared" si="448"/>
        <v>46.919908466819216</v>
      </c>
      <c r="R207" s="118">
        <f t="shared" si="428"/>
        <v>-6.1769819366487289E-3</v>
      </c>
      <c r="S207" s="128"/>
      <c r="T207" s="119">
        <f t="shared" ref="T207:AC207" si="449">T201/T84</f>
        <v>5.1130669483072229</v>
      </c>
      <c r="U207" s="119">
        <f t="shared" si="449"/>
        <v>4.4575455446780916</v>
      </c>
      <c r="V207" s="119">
        <f t="shared" si="449"/>
        <v>3.8860653466424395</v>
      </c>
      <c r="W207" s="119">
        <f t="shared" si="449"/>
        <v>3.3878518406626394</v>
      </c>
      <c r="X207" s="119">
        <f t="shared" si="449"/>
        <v>2.9535118610905067</v>
      </c>
      <c r="Y207" s="119">
        <f t="shared" si="449"/>
        <v>2.574856494284032</v>
      </c>
      <c r="Z207" s="119">
        <f t="shared" si="449"/>
        <v>2.244746687324541</v>
      </c>
      <c r="AA207" s="119">
        <f t="shared" si="449"/>
        <v>1.9569586504880612</v>
      </c>
      <c r="AB207" s="119">
        <f t="shared" si="449"/>
        <v>1.7060665158101049</v>
      </c>
      <c r="AC207" s="119">
        <f t="shared" si="449"/>
        <v>1.487340039424194</v>
      </c>
      <c r="AD207" s="137">
        <f t="shared" si="430"/>
        <v>-0.13871933967733951</v>
      </c>
      <c r="AE207" s="31">
        <f t="shared" si="431"/>
        <v>0.05</v>
      </c>
      <c r="AF207" s="127">
        <f t="shared" si="432"/>
        <v>9.853978548304628</v>
      </c>
    </row>
    <row r="208" spans="2:32" x14ac:dyDescent="0.2">
      <c r="B208" s="20" t="s">
        <v>260</v>
      </c>
      <c r="C208" s="25"/>
      <c r="D208" s="25"/>
      <c r="E208" s="25"/>
      <c r="F208" s="25"/>
      <c r="G208" s="25">
        <f t="shared" ref="G208:Q208" si="450">G201/G86</f>
        <v>5.918181818181818</v>
      </c>
      <c r="H208" s="25">
        <f t="shared" si="450"/>
        <v>7.8206896551724139</v>
      </c>
      <c r="I208" s="25">
        <f t="shared" si="450"/>
        <v>20.595918367346936</v>
      </c>
      <c r="J208" s="25">
        <f t="shared" si="450"/>
        <v>21.400446428571428</v>
      </c>
      <c r="K208" s="25">
        <f t="shared" si="450"/>
        <v>10.607966457023062</v>
      </c>
      <c r="L208" s="25">
        <f t="shared" si="450"/>
        <v>7.9595505617977533</v>
      </c>
      <c r="M208" s="25">
        <f t="shared" si="450"/>
        <v>32.442307692307686</v>
      </c>
      <c r="N208" s="25">
        <f t="shared" si="450"/>
        <v>22.59375</v>
      </c>
      <c r="O208" s="25">
        <f t="shared" si="450"/>
        <v>29.204383561643834</v>
      </c>
      <c r="P208" s="25">
        <f t="shared" si="450"/>
        <v>36.723582089552238</v>
      </c>
      <c r="Q208" s="25">
        <f t="shared" si="450"/>
        <v>36.94414414414414</v>
      </c>
      <c r="R208" s="118">
        <f t="shared" si="428"/>
        <v>0.20026094053836441</v>
      </c>
      <c r="S208" s="128"/>
      <c r="T208" s="119">
        <f t="shared" ref="T208:AC208" si="451">T201/T86</f>
        <v>4.0259644259644256</v>
      </c>
      <c r="U208" s="119">
        <f t="shared" si="451"/>
        <v>3.5098151405843718</v>
      </c>
      <c r="V208" s="119">
        <f t="shared" si="451"/>
        <v>3.0598388405094528</v>
      </c>
      <c r="W208" s="119">
        <f t="shared" si="451"/>
        <v>2.6675518096749076</v>
      </c>
      <c r="X208" s="119">
        <f t="shared" si="451"/>
        <v>2.3255579879217145</v>
      </c>
      <c r="Y208" s="119">
        <f t="shared" si="451"/>
        <v>2.0274095279317517</v>
      </c>
      <c r="Z208" s="119">
        <f t="shared" si="451"/>
        <v>1.7674852294789629</v>
      </c>
      <c r="AA208" s="119">
        <f t="shared" si="451"/>
        <v>1.5408845590329421</v>
      </c>
      <c r="AB208" s="119">
        <f t="shared" si="451"/>
        <v>1.3433352565928214</v>
      </c>
      <c r="AC208" s="119">
        <f t="shared" si="451"/>
        <v>1.1711127877988701</v>
      </c>
      <c r="AD208" s="137">
        <f t="shared" si="430"/>
        <v>-7.7809761192927263E-2</v>
      </c>
      <c r="AE208" s="31">
        <f t="shared" si="431"/>
        <v>0.05</v>
      </c>
      <c r="AF208" s="127">
        <f t="shared" si="432"/>
        <v>8.307606011155821</v>
      </c>
    </row>
    <row r="209" spans="2:32" x14ac:dyDescent="0.2">
      <c r="B209" s="20" t="s">
        <v>281</v>
      </c>
      <c r="C209" s="25"/>
      <c r="D209" s="25"/>
      <c r="E209" s="25"/>
      <c r="F209" s="25"/>
      <c r="G209" s="180">
        <f t="shared" ref="G209:Q209" si="452">G201/G80</f>
        <v>2.0370273794002611</v>
      </c>
      <c r="H209" s="180">
        <f t="shared" si="452"/>
        <v>2.5714285714285716</v>
      </c>
      <c r="I209" s="180">
        <f t="shared" si="452"/>
        <v>5.9598425196850391</v>
      </c>
      <c r="J209" s="180">
        <f t="shared" si="452"/>
        <v>8.6372972972972963</v>
      </c>
      <c r="K209" s="180">
        <f t="shared" si="452"/>
        <v>9.387755102040817</v>
      </c>
      <c r="L209" s="180">
        <f t="shared" si="452"/>
        <v>8.4534606205250604</v>
      </c>
      <c r="M209" s="180">
        <f t="shared" si="452"/>
        <v>12.030903328050712</v>
      </c>
      <c r="N209" s="180">
        <f t="shared" si="452"/>
        <v>7.3561046511627914</v>
      </c>
      <c r="O209" s="180">
        <f t="shared" si="452"/>
        <v>6.868298969072165</v>
      </c>
      <c r="P209" s="180">
        <f t="shared" si="452"/>
        <v>6.1175534559920433</v>
      </c>
      <c r="Q209" s="180">
        <f t="shared" si="452"/>
        <v>8.1917698761486211</v>
      </c>
      <c r="R209" s="118">
        <f t="shared" ref="R209:R227" si="453">((P209/G209)^(1/($H$2-$H$1) ))-1</f>
        <v>0.11624130938287203</v>
      </c>
      <c r="S209" s="128"/>
      <c r="T209" s="134">
        <f t="shared" ref="T209:AC209" si="454">T201/T80</f>
        <v>0.89269287111876017</v>
      </c>
      <c r="U209" s="134">
        <f t="shared" si="454"/>
        <v>0.77824506712917541</v>
      </c>
      <c r="V209" s="134">
        <f t="shared" si="454"/>
        <v>0.67847005852287112</v>
      </c>
      <c r="W209" s="134">
        <f t="shared" si="454"/>
        <v>0.59148671768660555</v>
      </c>
      <c r="X209" s="134">
        <f t="shared" si="454"/>
        <v>0.5156550872139638</v>
      </c>
      <c r="Y209" s="134">
        <f t="shared" si="454"/>
        <v>0.4495454606480711</v>
      </c>
      <c r="Z209" s="134">
        <f t="shared" si="454"/>
        <v>0.39191142723165168</v>
      </c>
      <c r="AA209" s="134">
        <f t="shared" si="454"/>
        <v>0.34166637245836312</v>
      </c>
      <c r="AB209" s="134">
        <f t="shared" si="454"/>
        <v>0.29786299137395766</v>
      </c>
      <c r="AC209" s="134">
        <f t="shared" si="454"/>
        <v>0.2596754283772964</v>
      </c>
      <c r="AD209" s="137">
        <f t="shared" ref="AD209" si="455">((AC209/G209)^(1/($AC$3-$H$1) ))-1</f>
        <v>-9.7864652864782298E-2</v>
      </c>
      <c r="AE209" s="31">
        <f t="shared" ref="AE209:AE212" si="456">$L$1</f>
        <v>0.05</v>
      </c>
      <c r="AF209" s="127">
        <f t="shared" si="432"/>
        <v>1.8020183286279896</v>
      </c>
    </row>
    <row r="210" spans="2:32" x14ac:dyDescent="0.2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28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7"/>
      <c r="AE210" s="31">
        <f t="shared" si="456"/>
        <v>0.05</v>
      </c>
      <c r="AF210" s="127"/>
    </row>
    <row r="211" spans="2:32" x14ac:dyDescent="0.2">
      <c r="B211" s="20" t="s">
        <v>318</v>
      </c>
      <c r="C211" s="150"/>
      <c r="D211" s="150"/>
      <c r="E211" s="150"/>
      <c r="F211" s="150"/>
      <c r="G211" s="150">
        <f t="shared" ref="G211:Q211" si="457">G59/G201</f>
        <v>2.5806451612903226E-2</v>
      </c>
      <c r="H211" s="150">
        <f t="shared" si="457"/>
        <v>1.7777777777777778E-2</v>
      </c>
      <c r="I211" s="150">
        <f t="shared" si="457"/>
        <v>1.0416666666666666E-2</v>
      </c>
      <c r="J211" s="150">
        <f t="shared" si="457"/>
        <v>7.8947368421052634E-3</v>
      </c>
      <c r="K211" s="150">
        <f t="shared" si="457"/>
        <v>8.7500000000000008E-3</v>
      </c>
      <c r="L211" s="150">
        <f t="shared" si="457"/>
        <v>1.2500000000000001E-2</v>
      </c>
      <c r="M211" s="150">
        <f t="shared" si="457"/>
        <v>0.01</v>
      </c>
      <c r="N211" s="150">
        <f t="shared" si="457"/>
        <v>1.1666666666666667E-2</v>
      </c>
      <c r="O211" s="150">
        <f t="shared" si="457"/>
        <v>9.0476190476190474E-3</v>
      </c>
      <c r="P211" s="150">
        <f t="shared" si="457"/>
        <v>1.0833333333333334E-2</v>
      </c>
      <c r="Q211" s="150">
        <f t="shared" si="457"/>
        <v>6.7500000000000008E-3</v>
      </c>
      <c r="R211" s="118">
        <f t="shared" si="453"/>
        <v>-8.3139250113288821E-2</v>
      </c>
      <c r="S211" s="128"/>
      <c r="T211" s="150">
        <f t="shared" ref="T211:AC211" si="458">T59/T201</f>
        <v>5.6700000000000007E-2</v>
      </c>
      <c r="U211" s="150">
        <f t="shared" si="458"/>
        <v>5.9535000000000012E-2</v>
      </c>
      <c r="V211" s="150">
        <f t="shared" si="458"/>
        <v>6.2511750000000005E-2</v>
      </c>
      <c r="W211" s="150">
        <f t="shared" si="458"/>
        <v>6.5637337500000004E-2</v>
      </c>
      <c r="X211" s="150">
        <f t="shared" si="458"/>
        <v>6.8919204375000015E-2</v>
      </c>
      <c r="Y211" s="150">
        <f t="shared" si="458"/>
        <v>7.2365164593750017E-2</v>
      </c>
      <c r="Z211" s="150">
        <f t="shared" si="458"/>
        <v>7.5983422823437521E-2</v>
      </c>
      <c r="AA211" s="150">
        <f t="shared" si="458"/>
        <v>7.9782593964609405E-2</v>
      </c>
      <c r="AB211" s="150">
        <f t="shared" si="458"/>
        <v>8.3771723662839873E-2</v>
      </c>
      <c r="AC211" s="150">
        <f t="shared" si="458"/>
        <v>8.7960309845981882E-2</v>
      </c>
      <c r="AD211" s="137">
        <f t="shared" ref="AD211:AD216" si="459">((AC211/G211)^(1/($AC$3-$H$1) ))-1</f>
        <v>6.3231715555616352E-2</v>
      </c>
      <c r="AE211" s="31">
        <f t="shared" si="456"/>
        <v>0.05</v>
      </c>
      <c r="AF211" s="127">
        <f t="shared" si="432"/>
        <v>0.71940147029497603</v>
      </c>
    </row>
    <row r="212" spans="2:32" x14ac:dyDescent="0.2">
      <c r="B212" s="20" t="s">
        <v>153</v>
      </c>
      <c r="C212" s="150"/>
      <c r="D212" s="150"/>
      <c r="E212" s="150"/>
      <c r="F212" s="150"/>
      <c r="G212" s="163">
        <f t="shared" ref="G212:Q212" si="460">G201*G57</f>
        <v>781.2</v>
      </c>
      <c r="H212" s="163">
        <f t="shared" si="460"/>
        <v>1134</v>
      </c>
      <c r="I212" s="163">
        <f t="shared" si="460"/>
        <v>3027.6</v>
      </c>
      <c r="J212" s="163">
        <f t="shared" si="460"/>
        <v>4793.7</v>
      </c>
      <c r="K212" s="163">
        <f t="shared" si="460"/>
        <v>5060</v>
      </c>
      <c r="L212" s="163">
        <f t="shared" si="460"/>
        <v>3542</v>
      </c>
      <c r="M212" s="163">
        <f t="shared" si="460"/>
        <v>7591.5</v>
      </c>
      <c r="N212" s="163">
        <f t="shared" si="460"/>
        <v>7591.5</v>
      </c>
      <c r="O212" s="163">
        <f t="shared" si="460"/>
        <v>10659.6</v>
      </c>
      <c r="P212" s="163">
        <f t="shared" si="460"/>
        <v>12302.4</v>
      </c>
      <c r="Q212" s="163">
        <f t="shared" si="460"/>
        <v>20504</v>
      </c>
      <c r="R212" s="118">
        <f t="shared" si="453"/>
        <v>0.31741547598798281</v>
      </c>
      <c r="S212" s="128"/>
      <c r="T212" s="163">
        <f t="shared" ref="T212:AC212" si="461">T201*T57</f>
        <v>2614.2599999999998</v>
      </c>
      <c r="U212" s="163">
        <f t="shared" si="461"/>
        <v>2666.5452</v>
      </c>
      <c r="V212" s="163">
        <f t="shared" si="461"/>
        <v>2719.8761039999999</v>
      </c>
      <c r="W212" s="163">
        <f t="shared" si="461"/>
        <v>2774.2736260799998</v>
      </c>
      <c r="X212" s="163">
        <f t="shared" si="461"/>
        <v>2829.7590986015998</v>
      </c>
      <c r="Y212" s="163">
        <f t="shared" si="461"/>
        <v>2886.354280573632</v>
      </c>
      <c r="Z212" s="163">
        <f t="shared" si="461"/>
        <v>2944.0813661851043</v>
      </c>
      <c r="AA212" s="163">
        <f t="shared" si="461"/>
        <v>3002.9629935088069</v>
      </c>
      <c r="AB212" s="163">
        <f t="shared" si="461"/>
        <v>3063.0222533789829</v>
      </c>
      <c r="AC212" s="163">
        <f t="shared" si="461"/>
        <v>3124.2826984465628</v>
      </c>
      <c r="AD212" s="137">
        <f t="shared" si="459"/>
        <v>7.1764590389606475E-2</v>
      </c>
      <c r="AE212" s="31">
        <f t="shared" si="456"/>
        <v>0.05</v>
      </c>
      <c r="AF212" s="127">
        <f t="shared" si="432"/>
        <v>25757.658204322423</v>
      </c>
    </row>
    <row r="213" spans="2:32" x14ac:dyDescent="0.2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28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</row>
    <row r="214" spans="2:32" x14ac:dyDescent="0.2">
      <c r="B214" s="20" t="s">
        <v>369</v>
      </c>
      <c r="C214" s="159"/>
      <c r="D214" s="159"/>
      <c r="E214" s="159"/>
      <c r="F214" s="159"/>
      <c r="G214" s="159">
        <f t="shared" ref="G214:Q214" si="462">G72/G201</f>
        <v>7.8084997439836143E-2</v>
      </c>
      <c r="H214" s="159">
        <f t="shared" si="462"/>
        <v>6.3492063492063489E-2</v>
      </c>
      <c r="I214" s="159">
        <f t="shared" si="462"/>
        <v>2.8405337561104506E-2</v>
      </c>
      <c r="J214" s="159">
        <f t="shared" si="462"/>
        <v>2.3155391451279806E-2</v>
      </c>
      <c r="K214" s="159">
        <f t="shared" si="462"/>
        <v>3.3794466403162055E-2</v>
      </c>
      <c r="L214" s="159">
        <f t="shared" si="462"/>
        <v>3.1055900621118012E-2</v>
      </c>
      <c r="M214" s="159">
        <f t="shared" si="462"/>
        <v>3.6224725021405522E-2</v>
      </c>
      <c r="N214" s="159">
        <f t="shared" si="462"/>
        <v>4.0571692023974176E-2</v>
      </c>
      <c r="O214" s="159">
        <f t="shared" si="462"/>
        <v>3.0207512477016023E-2</v>
      </c>
      <c r="P214" s="159">
        <f t="shared" si="462"/>
        <v>3.4220965014956431E-2</v>
      </c>
      <c r="Q214" s="159">
        <f t="shared" si="462"/>
        <v>2.1800624268435428E-2</v>
      </c>
      <c r="R214" s="118">
        <f t="shared" ref="R214" si="463">((P214/G214)^(1/($H$2-$H$1) ))-1</f>
        <v>-7.9184830617846536E-2</v>
      </c>
      <c r="S214" s="128"/>
      <c r="T214" s="159">
        <f t="shared" ref="T214:AC214" si="464">T72/T201</f>
        <v>0.2000527874044663</v>
      </c>
      <c r="U214" s="159">
        <f t="shared" si="464"/>
        <v>0.2294723149639466</v>
      </c>
      <c r="V214" s="159">
        <f t="shared" si="464"/>
        <v>0.2632182436351152</v>
      </c>
      <c r="W214" s="159">
        <f t="shared" si="464"/>
        <v>0.30192680887557333</v>
      </c>
      <c r="X214" s="159">
        <f t="shared" si="464"/>
        <v>0.34632781018080472</v>
      </c>
      <c r="Y214" s="159">
        <f t="shared" si="464"/>
        <v>0.39725837050151119</v>
      </c>
      <c r="Z214" s="159">
        <f t="shared" si="464"/>
        <v>0.45567871910467461</v>
      </c>
      <c r="AA214" s="159">
        <f t="shared" si="464"/>
        <v>0.52269029544359735</v>
      </c>
      <c r="AB214" s="159">
        <f t="shared" si="464"/>
        <v>0.59955651536177335</v>
      </c>
      <c r="AC214" s="159">
        <f t="shared" si="464"/>
        <v>0.68772659115026924</v>
      </c>
      <c r="AD214" s="137">
        <f t="shared" ref="AD214" si="465">((AC214/G214)^(1/($AC$3-$H$1) ))-1</f>
        <v>0.11491667470208977</v>
      </c>
      <c r="AE214" s="31">
        <f t="shared" ref="AE214" si="466">$L$1</f>
        <v>0.05</v>
      </c>
      <c r="AF214" s="127">
        <f t="shared" ref="AF214" si="467">(AC214*(1+AD214))/($C$1-AE214)</f>
        <v>5.8981372623804749</v>
      </c>
    </row>
    <row r="215" spans="2:32" x14ac:dyDescent="0.2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Q215" si="468">G203</f>
        <v>12.806557377049181</v>
      </c>
      <c r="H215" s="179">
        <f t="shared" si="468"/>
        <v>15.75</v>
      </c>
      <c r="I215" s="179">
        <f t="shared" si="468"/>
        <v>35.204651162790697</v>
      </c>
      <c r="J215" s="179">
        <f t="shared" si="468"/>
        <v>43.18648648648648</v>
      </c>
      <c r="K215" s="179">
        <f t="shared" si="468"/>
        <v>29.5906432748538</v>
      </c>
      <c r="L215" s="179">
        <f t="shared" si="468"/>
        <v>32.200000000000003</v>
      </c>
      <c r="M215" s="179">
        <f t="shared" si="468"/>
        <v>27.605454545454545</v>
      </c>
      <c r="N215" s="179">
        <f t="shared" si="468"/>
        <v>24.647727272727273</v>
      </c>
      <c r="O215" s="179">
        <f t="shared" si="468"/>
        <v>33.104347826086958</v>
      </c>
      <c r="P215" s="179">
        <f t="shared" si="468"/>
        <v>29.221852731591447</v>
      </c>
      <c r="Q215" s="179">
        <f t="shared" si="468"/>
        <v>45.870246085011189</v>
      </c>
      <c r="R215" s="118">
        <f t="shared" si="453"/>
        <v>8.5994272521572102E-2</v>
      </c>
      <c r="S215" s="128"/>
      <c r="T215" s="150">
        <f t="shared" ref="T215:AC215" si="469">T203</f>
        <v>4.9986806631101928</v>
      </c>
      <c r="U215" s="150">
        <f t="shared" si="469"/>
        <v>4.3578241678396559</v>
      </c>
      <c r="V215" s="150">
        <f t="shared" si="469"/>
        <v>3.7991287617063669</v>
      </c>
      <c r="W215" s="150">
        <f t="shared" si="469"/>
        <v>3.3120609717440121</v>
      </c>
      <c r="X215" s="150">
        <f t="shared" si="469"/>
        <v>2.8874377702383693</v>
      </c>
      <c r="Y215" s="150">
        <f t="shared" si="469"/>
        <v>2.5172534407206304</v>
      </c>
      <c r="Z215" s="150">
        <f t="shared" si="469"/>
        <v>2.194528640628242</v>
      </c>
      <c r="AA215" s="150">
        <f t="shared" si="469"/>
        <v>1.9131788149066724</v>
      </c>
      <c r="AB215" s="150">
        <f t="shared" si="469"/>
        <v>1.6678994796622273</v>
      </c>
      <c r="AC215" s="150">
        <f t="shared" si="469"/>
        <v>1.4540662130388653</v>
      </c>
      <c r="AD215" s="137">
        <f t="shared" ref="AD215" si="470">((AC215/G215)^(1/($AC$3-$H$1) ))-1</f>
        <v>-0.10307198493806358</v>
      </c>
      <c r="AE215" s="31">
        <f t="shared" ref="AE215:AE217" si="471">$L$1</f>
        <v>0.05</v>
      </c>
      <c r="AF215" s="179">
        <f>(AF202)/($L$2*100)</f>
        <v>6.0593114911431212E-2</v>
      </c>
    </row>
    <row r="216" spans="2:32" x14ac:dyDescent="0.2">
      <c r="B216" s="20" t="s">
        <v>444</v>
      </c>
      <c r="C216" s="179"/>
      <c r="D216" s="179"/>
      <c r="E216" s="179"/>
      <c r="F216" s="179"/>
      <c r="G216" s="179">
        <f t="shared" ref="G216:Q216" si="472">(G203)/($L$2*100)</f>
        <v>0.75332690453230478</v>
      </c>
      <c r="H216" s="179">
        <f t="shared" si="472"/>
        <v>0.92647058823529416</v>
      </c>
      <c r="I216" s="179">
        <f t="shared" si="472"/>
        <v>2.0708618331053352</v>
      </c>
      <c r="J216" s="179">
        <f t="shared" si="472"/>
        <v>2.5403815580286166</v>
      </c>
      <c r="K216" s="179">
        <f t="shared" si="472"/>
        <v>1.7406260749914</v>
      </c>
      <c r="L216" s="179">
        <f t="shared" si="472"/>
        <v>1.8941176470588237</v>
      </c>
      <c r="M216" s="179">
        <f t="shared" si="472"/>
        <v>1.6238502673796791</v>
      </c>
      <c r="N216" s="179">
        <f t="shared" si="472"/>
        <v>1.4498663101604279</v>
      </c>
      <c r="O216" s="179">
        <f t="shared" si="472"/>
        <v>1.9473145780051151</v>
      </c>
      <c r="P216" s="179">
        <f t="shared" si="472"/>
        <v>1.7189325136230262</v>
      </c>
      <c r="Q216" s="179">
        <f t="shared" si="472"/>
        <v>2.6982497697065404</v>
      </c>
      <c r="R216" s="118">
        <f t="shared" si="453"/>
        <v>8.5994272521572102E-2</v>
      </c>
      <c r="S216" s="128"/>
      <c r="T216" s="179">
        <f t="shared" ref="T216:AC216" si="473">(T203)/($L$2*100)</f>
        <v>0.2940400390064819</v>
      </c>
      <c r="U216" s="179">
        <f t="shared" si="473"/>
        <v>0.25634259810821503</v>
      </c>
      <c r="V216" s="179">
        <f t="shared" si="473"/>
        <v>0.2234781624533157</v>
      </c>
      <c r="W216" s="179">
        <f t="shared" si="473"/>
        <v>0.1948271159849419</v>
      </c>
      <c r="X216" s="179">
        <f t="shared" si="473"/>
        <v>0.16984928060225701</v>
      </c>
      <c r="Y216" s="179">
        <f t="shared" si="473"/>
        <v>0.1480737318070959</v>
      </c>
      <c r="Z216" s="179">
        <f t="shared" si="473"/>
        <v>0.12908992003695541</v>
      </c>
      <c r="AA216" s="179">
        <f t="shared" si="473"/>
        <v>0.11253993028862778</v>
      </c>
      <c r="AB216" s="179">
        <f t="shared" si="473"/>
        <v>9.8111734097778069E-2</v>
      </c>
      <c r="AC216" s="179">
        <f t="shared" si="473"/>
        <v>8.5533306649345012E-2</v>
      </c>
      <c r="AD216" s="137">
        <f t="shared" si="459"/>
        <v>-0.10307198493806358</v>
      </c>
      <c r="AE216" s="31">
        <f t="shared" si="471"/>
        <v>0.05</v>
      </c>
      <c r="AF216" s="179">
        <f>(AF203)/($L$2*100)</f>
        <v>0.59013245349754573</v>
      </c>
    </row>
    <row r="217" spans="2:32" x14ac:dyDescent="0.2">
      <c r="B217" s="20" t="s">
        <v>445</v>
      </c>
      <c r="C217" s="150"/>
      <c r="D217" s="150"/>
      <c r="E217" s="150"/>
      <c r="F217" s="150"/>
      <c r="G217" s="150">
        <f t="shared" ref="G217:P217" si="474">G216-1</f>
        <v>-0.24667309546769522</v>
      </c>
      <c r="H217" s="150">
        <f t="shared" si="474"/>
        <v>-7.3529411764705843E-2</v>
      </c>
      <c r="I217" s="150">
        <f t="shared" si="474"/>
        <v>1.0708618331053352</v>
      </c>
      <c r="J217" s="150">
        <f t="shared" si="474"/>
        <v>1.5403815580286166</v>
      </c>
      <c r="K217" s="150">
        <f t="shared" si="474"/>
        <v>0.74062607499139999</v>
      </c>
      <c r="L217" s="150">
        <f t="shared" si="474"/>
        <v>0.89411764705882368</v>
      </c>
      <c r="M217" s="150">
        <f t="shared" si="474"/>
        <v>0.62385026737967908</v>
      </c>
      <c r="N217" s="150">
        <f t="shared" si="474"/>
        <v>0.44986631016042788</v>
      </c>
      <c r="O217" s="150">
        <f t="shared" si="474"/>
        <v>0.94731457800511509</v>
      </c>
      <c r="P217" s="150">
        <f t="shared" si="474"/>
        <v>0.71893251362302624</v>
      </c>
      <c r="Q217" s="150">
        <f>Q216-1</f>
        <v>1.6982497697065404</v>
      </c>
      <c r="R217" s="118" t="e">
        <f t="shared" si="453"/>
        <v>#NUM!</v>
      </c>
      <c r="S217" s="128"/>
      <c r="T217" s="150">
        <f t="shared" ref="T217:AC217" si="475">T216-1</f>
        <v>-0.7059599609935181</v>
      </c>
      <c r="U217" s="150">
        <f t="shared" si="475"/>
        <v>-0.74365740189178497</v>
      </c>
      <c r="V217" s="150">
        <f t="shared" si="475"/>
        <v>-0.77652183754668425</v>
      </c>
      <c r="W217" s="150">
        <f t="shared" si="475"/>
        <v>-0.80517288401505804</v>
      </c>
      <c r="X217" s="150">
        <f t="shared" si="475"/>
        <v>-0.83015071939774299</v>
      </c>
      <c r="Y217" s="150">
        <f t="shared" si="475"/>
        <v>-0.85192626819290407</v>
      </c>
      <c r="Z217" s="150">
        <f t="shared" si="475"/>
        <v>-0.87091007996304459</v>
      </c>
      <c r="AA217" s="150">
        <f t="shared" si="475"/>
        <v>-0.88746006971137226</v>
      </c>
      <c r="AB217" s="150">
        <f t="shared" si="475"/>
        <v>-0.90188826590222193</v>
      </c>
      <c r="AC217" s="150">
        <f t="shared" si="475"/>
        <v>-0.914466693350655</v>
      </c>
      <c r="AD217" s="137">
        <f t="shared" ref="AD217" si="476">((AC217/G217)^(1/($AC$3-$H$1) ))-1</f>
        <v>6.7707529586620296E-2</v>
      </c>
      <c r="AE217" s="31">
        <f t="shared" si="471"/>
        <v>0.05</v>
      </c>
      <c r="AF217" s="179">
        <f>(AF204)/($L$2*100)</f>
        <v>0.39638612837263199</v>
      </c>
    </row>
    <row r="218" spans="2:32" x14ac:dyDescent="0.2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28"/>
      <c r="S218" s="128"/>
      <c r="T218" s="150"/>
      <c r="U218" s="150"/>
      <c r="V218" s="150"/>
      <c r="W218" s="150"/>
      <c r="X218" s="150"/>
      <c r="Y218" s="150"/>
      <c r="Z218" s="150"/>
      <c r="AA218" s="150"/>
      <c r="AB218" s="150"/>
      <c r="AC218" s="134"/>
      <c r="AD218" s="136"/>
      <c r="AE218" s="20"/>
      <c r="AF218" s="127"/>
    </row>
    <row r="219" spans="2:32" x14ac:dyDescent="0.2">
      <c r="B219" s="20" t="s">
        <v>473</v>
      </c>
      <c r="C219" s="150"/>
      <c r="D219" s="150"/>
      <c r="E219" s="150"/>
      <c r="F219" s="150"/>
      <c r="G219" s="150">
        <f t="shared" ref="G219:Q219" si="477">1/G220</f>
        <v>1.363870921974455E-2</v>
      </c>
      <c r="H219" s="150">
        <f t="shared" si="477"/>
        <v>9.3955552402684682E-3</v>
      </c>
      <c r="I219" s="150">
        <f t="shared" si="477"/>
        <v>3.5233332151006755E-2</v>
      </c>
      <c r="J219" s="150">
        <f t="shared" si="477"/>
        <v>2.2252630832214789E-2</v>
      </c>
      <c r="K219" s="150">
        <f t="shared" si="477"/>
        <v>2.1139999290604054E-2</v>
      </c>
      <c r="L219" s="150">
        <f t="shared" si="477"/>
        <v>3.0199998986577221E-2</v>
      </c>
      <c r="M219" s="150">
        <f t="shared" si="477"/>
        <v>2.8186665720805405E-2</v>
      </c>
      <c r="N219" s="150">
        <f t="shared" si="477"/>
        <v>2.8186665720805405E-2</v>
      </c>
      <c r="O219" s="150">
        <f t="shared" si="477"/>
        <v>2.0133332657718144E-2</v>
      </c>
      <c r="P219" s="150">
        <f t="shared" si="477"/>
        <v>1.7616666075503377E-2</v>
      </c>
      <c r="Q219" s="150">
        <f t="shared" si="477"/>
        <v>1.0569999645302027E-2</v>
      </c>
      <c r="R219" s="118">
        <f t="shared" ref="R219" si="478">((P219/G219)^(1/($H$2-$H$1) ))-1</f>
        <v>2.5923658862717858E-2</v>
      </c>
      <c r="S219" s="128"/>
      <c r="T219" s="150">
        <f t="shared" ref="T219:AC219" si="479">1/T220</f>
        <v>8.4559997162416217E-2</v>
      </c>
      <c r="U219" s="150">
        <f t="shared" si="479"/>
        <v>8.4559997162416217E-2</v>
      </c>
      <c r="V219" s="150">
        <f t="shared" si="479"/>
        <v>8.4559997162416217E-2</v>
      </c>
      <c r="W219" s="150">
        <f t="shared" si="479"/>
        <v>8.4559997162416217E-2</v>
      </c>
      <c r="X219" s="150">
        <f t="shared" si="479"/>
        <v>8.4559997162416217E-2</v>
      </c>
      <c r="Y219" s="150">
        <f t="shared" si="479"/>
        <v>8.4559997162416217E-2</v>
      </c>
      <c r="Z219" s="150">
        <f t="shared" si="479"/>
        <v>8.4559997162416217E-2</v>
      </c>
      <c r="AA219" s="150">
        <f t="shared" si="479"/>
        <v>8.4559997162416217E-2</v>
      </c>
      <c r="AB219" s="150">
        <f t="shared" si="479"/>
        <v>8.4559997162416217E-2</v>
      </c>
      <c r="AC219" s="150">
        <f t="shared" si="479"/>
        <v>8.4559997162416217E-2</v>
      </c>
      <c r="AD219" s="137">
        <f t="shared" ref="AD219" si="480">((AC219/G219)^(1/($AC$3-$H$1) ))-1</f>
        <v>9.5518168524271641E-2</v>
      </c>
      <c r="AE219" s="31">
        <f t="shared" ref="AE219:AE222" si="481">$L$1</f>
        <v>0.05</v>
      </c>
      <c r="AF219" s="179">
        <f>(AF206)/($L$2*100)</f>
        <v>0.13951457346468801</v>
      </c>
    </row>
    <row r="220" spans="2:32" x14ac:dyDescent="0.2">
      <c r="B220" s="20" t="s">
        <v>474</v>
      </c>
      <c r="C220" s="129"/>
      <c r="D220" s="129"/>
      <c r="E220" s="129"/>
      <c r="F220" s="129"/>
      <c r="G220" s="134">
        <f t="shared" ref="G220:Q220" si="482">G201/$S$170</f>
        <v>73.320721476510059</v>
      </c>
      <c r="H220" s="134">
        <f t="shared" si="482"/>
        <v>106.43330536912751</v>
      </c>
      <c r="I220" s="134">
        <f t="shared" si="482"/>
        <v>28.38221476510067</v>
      </c>
      <c r="J220" s="134">
        <f t="shared" si="482"/>
        <v>44.938506711409396</v>
      </c>
      <c r="K220" s="134">
        <f t="shared" si="482"/>
        <v>47.303691275167779</v>
      </c>
      <c r="L220" s="134">
        <f t="shared" si="482"/>
        <v>33.112583892617444</v>
      </c>
      <c r="M220" s="134">
        <f t="shared" si="482"/>
        <v>35.477768456375834</v>
      </c>
      <c r="N220" s="134">
        <f t="shared" si="482"/>
        <v>35.477768456375834</v>
      </c>
      <c r="O220" s="134">
        <f t="shared" si="482"/>
        <v>49.668875838926169</v>
      </c>
      <c r="P220" s="134">
        <f t="shared" si="482"/>
        <v>56.76442953020134</v>
      </c>
      <c r="Q220" s="134">
        <f t="shared" si="482"/>
        <v>94.607382550335558</v>
      </c>
      <c r="R220" s="118">
        <f t="shared" si="453"/>
        <v>-2.5268604187815846E-2</v>
      </c>
      <c r="S220" s="128"/>
      <c r="T220" s="134">
        <f t="shared" ref="T220:AC220" si="483">T201/$S$170</f>
        <v>11.825922818791945</v>
      </c>
      <c r="U220" s="134">
        <f t="shared" si="483"/>
        <v>11.825922818791945</v>
      </c>
      <c r="V220" s="134">
        <f t="shared" si="483"/>
        <v>11.825922818791945</v>
      </c>
      <c r="W220" s="134">
        <f t="shared" si="483"/>
        <v>11.825922818791945</v>
      </c>
      <c r="X220" s="134">
        <f t="shared" si="483"/>
        <v>11.825922818791945</v>
      </c>
      <c r="Y220" s="134">
        <f t="shared" si="483"/>
        <v>11.825922818791945</v>
      </c>
      <c r="Z220" s="134">
        <f t="shared" si="483"/>
        <v>11.825922818791945</v>
      </c>
      <c r="AA220" s="134">
        <f t="shared" si="483"/>
        <v>11.825922818791945</v>
      </c>
      <c r="AB220" s="134">
        <f t="shared" si="483"/>
        <v>11.825922818791945</v>
      </c>
      <c r="AC220" s="134">
        <f t="shared" si="483"/>
        <v>11.825922818791945</v>
      </c>
      <c r="AD220" s="137">
        <f t="shared" ref="AD220:AD222" si="484">((AC220/G220)^(1/($AC$3-$H$1) ))-1</f>
        <v>-8.7189944693423338E-2</v>
      </c>
      <c r="AE220" s="31">
        <f t="shared" si="481"/>
        <v>0.05</v>
      </c>
      <c r="AF220" s="179">
        <f>(AF206)/($L$2*100)</f>
        <v>0.13951457346468801</v>
      </c>
    </row>
    <row r="221" spans="2:32" x14ac:dyDescent="0.2">
      <c r="B221" s="20" t="s">
        <v>468</v>
      </c>
      <c r="C221" s="129"/>
      <c r="D221" s="129"/>
      <c r="E221" s="129"/>
      <c r="F221" s="129"/>
      <c r="G221" s="179">
        <f t="shared" ref="G221:Q221" si="485">(G220)/($L$2*100)</f>
        <v>4.3129836162652975</v>
      </c>
      <c r="H221" s="179">
        <f t="shared" si="485"/>
        <v>6.2607826687722063</v>
      </c>
      <c r="I221" s="179">
        <f t="shared" si="485"/>
        <v>1.6695420450059217</v>
      </c>
      <c r="J221" s="179">
        <f t="shared" si="485"/>
        <v>2.6434415712593764</v>
      </c>
      <c r="K221" s="179">
        <f t="shared" si="485"/>
        <v>2.7825700750098692</v>
      </c>
      <c r="L221" s="179">
        <f t="shared" si="485"/>
        <v>1.9477990525069084</v>
      </c>
      <c r="M221" s="179">
        <f t="shared" si="485"/>
        <v>2.0869275562574021</v>
      </c>
      <c r="N221" s="179">
        <f t="shared" si="485"/>
        <v>2.0869275562574021</v>
      </c>
      <c r="O221" s="179">
        <f t="shared" si="485"/>
        <v>2.9216985787603629</v>
      </c>
      <c r="P221" s="179">
        <f t="shared" si="485"/>
        <v>3.3390840900118435</v>
      </c>
      <c r="Q221" s="179">
        <f t="shared" si="485"/>
        <v>5.5651401500197384</v>
      </c>
      <c r="R221" s="118">
        <f t="shared" si="453"/>
        <v>-2.5268604187815846E-2</v>
      </c>
      <c r="S221" s="128"/>
      <c r="T221" s="179">
        <f t="shared" ref="T221:AC221" si="486">(T220)/($L$2*100)</f>
        <v>0.6956425187524673</v>
      </c>
      <c r="U221" s="179">
        <f t="shared" si="486"/>
        <v>0.6956425187524673</v>
      </c>
      <c r="V221" s="179">
        <f t="shared" si="486"/>
        <v>0.6956425187524673</v>
      </c>
      <c r="W221" s="179">
        <f t="shared" si="486"/>
        <v>0.6956425187524673</v>
      </c>
      <c r="X221" s="179">
        <f t="shared" si="486"/>
        <v>0.6956425187524673</v>
      </c>
      <c r="Y221" s="179">
        <f t="shared" si="486"/>
        <v>0.6956425187524673</v>
      </c>
      <c r="Z221" s="179">
        <f t="shared" si="486"/>
        <v>0.6956425187524673</v>
      </c>
      <c r="AA221" s="179">
        <f t="shared" si="486"/>
        <v>0.6956425187524673</v>
      </c>
      <c r="AB221" s="179">
        <f t="shared" si="486"/>
        <v>0.6956425187524673</v>
      </c>
      <c r="AC221" s="179">
        <f t="shared" si="486"/>
        <v>0.6956425187524673</v>
      </c>
      <c r="AD221" s="137">
        <f t="shared" si="484"/>
        <v>-8.7189944693423338E-2</v>
      </c>
      <c r="AE221" s="31">
        <f t="shared" si="481"/>
        <v>0.05</v>
      </c>
      <c r="AF221" s="179">
        <f>(AF207)/($L$2*100)</f>
        <v>0.57964579695909579</v>
      </c>
    </row>
    <row r="222" spans="2:32" x14ac:dyDescent="0.2">
      <c r="B222" s="20" t="s">
        <v>469</v>
      </c>
      <c r="C222" s="129"/>
      <c r="D222" s="129"/>
      <c r="E222" s="129"/>
      <c r="F222" s="129"/>
      <c r="G222" s="150">
        <f t="shared" ref="G222:Q222" si="487">G221-1</f>
        <v>3.3129836162652975</v>
      </c>
      <c r="H222" s="150">
        <f t="shared" si="487"/>
        <v>5.2607826687722063</v>
      </c>
      <c r="I222" s="150">
        <f t="shared" si="487"/>
        <v>0.66954204500592174</v>
      </c>
      <c r="J222" s="150">
        <f t="shared" si="487"/>
        <v>1.6434415712593764</v>
      </c>
      <c r="K222" s="150">
        <f t="shared" si="487"/>
        <v>1.7825700750098692</v>
      </c>
      <c r="L222" s="150">
        <f t="shared" si="487"/>
        <v>0.94779905250690843</v>
      </c>
      <c r="M222" s="150">
        <f t="shared" si="487"/>
        <v>1.0869275562574021</v>
      </c>
      <c r="N222" s="150">
        <f t="shared" si="487"/>
        <v>1.0869275562574021</v>
      </c>
      <c r="O222" s="150">
        <f t="shared" si="487"/>
        <v>1.9216985787603629</v>
      </c>
      <c r="P222" s="150">
        <f t="shared" si="487"/>
        <v>2.3390840900118435</v>
      </c>
      <c r="Q222" s="150">
        <f t="shared" si="487"/>
        <v>4.5651401500197384</v>
      </c>
      <c r="R222" s="118">
        <f t="shared" si="453"/>
        <v>-3.4210110363517177E-2</v>
      </c>
      <c r="S222" s="128"/>
      <c r="T222" s="150">
        <f t="shared" ref="T222:AC222" si="488">T221-1</f>
        <v>-0.3043574812475327</v>
      </c>
      <c r="U222" s="150">
        <f t="shared" si="488"/>
        <v>-0.3043574812475327</v>
      </c>
      <c r="V222" s="150">
        <f t="shared" si="488"/>
        <v>-0.3043574812475327</v>
      </c>
      <c r="W222" s="150">
        <f t="shared" si="488"/>
        <v>-0.3043574812475327</v>
      </c>
      <c r="X222" s="150">
        <f t="shared" si="488"/>
        <v>-0.3043574812475327</v>
      </c>
      <c r="Y222" s="150">
        <f t="shared" si="488"/>
        <v>-0.3043574812475327</v>
      </c>
      <c r="Z222" s="150">
        <f t="shared" si="488"/>
        <v>-0.3043574812475327</v>
      </c>
      <c r="AA222" s="150">
        <f t="shared" si="488"/>
        <v>-0.3043574812475327</v>
      </c>
      <c r="AB222" s="150">
        <f t="shared" si="488"/>
        <v>-0.3043574812475327</v>
      </c>
      <c r="AC222" s="150">
        <f t="shared" si="488"/>
        <v>-0.3043574812475327</v>
      </c>
      <c r="AD222" s="137" t="e">
        <f t="shared" si="484"/>
        <v>#NUM!</v>
      </c>
      <c r="AE222" s="31">
        <f t="shared" si="481"/>
        <v>0.05</v>
      </c>
      <c r="AF222" s="179">
        <f>(AF208)/($L$2*100)</f>
        <v>0.4886827065385777</v>
      </c>
    </row>
    <row r="223" spans="2:32" x14ac:dyDescent="0.2">
      <c r="B223" s="20"/>
      <c r="C223" s="129"/>
      <c r="D223" s="129"/>
      <c r="E223" s="129"/>
      <c r="F223" s="129"/>
      <c r="G223" s="134"/>
      <c r="H223" s="134"/>
      <c r="I223" s="134"/>
      <c r="J223" s="134"/>
      <c r="K223" s="197"/>
      <c r="L223" s="198"/>
      <c r="M223" s="134"/>
      <c r="N223" s="134"/>
      <c r="O223" s="134"/>
      <c r="P223" s="134"/>
      <c r="Q223" s="134"/>
      <c r="R223" s="128"/>
      <c r="S223" s="128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6"/>
      <c r="AE223" s="20"/>
      <c r="AF223" s="20"/>
    </row>
    <row r="224" spans="2:32" x14ac:dyDescent="0.2">
      <c r="B224" s="20" t="s">
        <v>473</v>
      </c>
      <c r="C224" s="129"/>
      <c r="D224" s="129"/>
      <c r="E224" s="129"/>
      <c r="F224" s="129"/>
      <c r="G224" s="150">
        <f t="shared" ref="G224:Q224" si="489">1/G225</f>
        <v>2.2315079355090431E-2</v>
      </c>
      <c r="H224" s="150">
        <f t="shared" si="489"/>
        <v>1.5372610222395632E-2</v>
      </c>
      <c r="I224" s="150">
        <f t="shared" si="489"/>
        <v>5.7647288333983623E-2</v>
      </c>
      <c r="J224" s="150">
        <f t="shared" si="489"/>
        <v>3.6408813684621233E-2</v>
      </c>
      <c r="K224" s="150">
        <f t="shared" si="489"/>
        <v>3.4588373000390173E-2</v>
      </c>
      <c r="L224" s="150">
        <f t="shared" si="489"/>
        <v>4.9411961429128813E-2</v>
      </c>
      <c r="M224" s="150">
        <f t="shared" si="489"/>
        <v>4.6117830667186895E-2</v>
      </c>
      <c r="N224" s="150">
        <f t="shared" si="489"/>
        <v>4.6117830667186895E-2</v>
      </c>
      <c r="O224" s="150">
        <f t="shared" si="489"/>
        <v>3.2941307619419213E-2</v>
      </c>
      <c r="P224" s="150">
        <f t="shared" si="489"/>
        <v>2.8823644166991812E-2</v>
      </c>
      <c r="Q224" s="150">
        <f t="shared" si="489"/>
        <v>1.7294186500195086E-2</v>
      </c>
      <c r="R224" s="118">
        <f t="shared" ref="R224" si="490">((P224/G224)^(1/($H$2-$H$1) ))-1</f>
        <v>2.5923658862717858E-2</v>
      </c>
      <c r="S224" s="128"/>
      <c r="T224" s="150">
        <f t="shared" ref="T224:AC224" si="491">1/T225</f>
        <v>0.13835349200156069</v>
      </c>
      <c r="U224" s="150">
        <f t="shared" si="491"/>
        <v>0.13835349200156069</v>
      </c>
      <c r="V224" s="150">
        <f t="shared" si="491"/>
        <v>0.13835349200156069</v>
      </c>
      <c r="W224" s="150">
        <f t="shared" si="491"/>
        <v>0.13835349200156069</v>
      </c>
      <c r="X224" s="150">
        <f t="shared" si="491"/>
        <v>0.13835349200156069</v>
      </c>
      <c r="Y224" s="150">
        <f t="shared" si="491"/>
        <v>0.13835349200156069</v>
      </c>
      <c r="Z224" s="150">
        <f t="shared" si="491"/>
        <v>0.13835349200156069</v>
      </c>
      <c r="AA224" s="150">
        <f t="shared" si="491"/>
        <v>0.13835349200156069</v>
      </c>
      <c r="AB224" s="150">
        <f t="shared" si="491"/>
        <v>0.13835349200156069</v>
      </c>
      <c r="AC224" s="150">
        <f t="shared" si="491"/>
        <v>0.13835349200156069</v>
      </c>
      <c r="AD224" s="137">
        <f t="shared" ref="AD224" si="492">((AC224/G224)^(1/($AC$3-$H$1) ))-1</f>
        <v>9.5518168524271641E-2</v>
      </c>
      <c r="AE224" s="31">
        <f t="shared" ref="AE224" si="493">$L$1</f>
        <v>0.05</v>
      </c>
      <c r="AF224" s="179">
        <f>(AF210)/($L$2*100)</f>
        <v>0</v>
      </c>
    </row>
    <row r="225" spans="2:46" x14ac:dyDescent="0.2">
      <c r="B225" s="20" t="s">
        <v>475</v>
      </c>
      <c r="C225" s="129"/>
      <c r="D225" s="129"/>
      <c r="E225" s="129"/>
      <c r="F225" s="129"/>
      <c r="G225" s="134">
        <f t="shared" ref="G225:Q225" si="494">G201/$Q$170</f>
        <v>44.812746756909192</v>
      </c>
      <c r="H225" s="134">
        <f t="shared" si="494"/>
        <v>65.050761421319791</v>
      </c>
      <c r="I225" s="134">
        <f t="shared" si="494"/>
        <v>17.346869712351943</v>
      </c>
      <c r="J225" s="134">
        <f t="shared" si="494"/>
        <v>27.465877044557246</v>
      </c>
      <c r="K225" s="134">
        <f t="shared" si="494"/>
        <v>28.911449520586572</v>
      </c>
      <c r="L225" s="134">
        <f t="shared" si="494"/>
        <v>20.238014664410603</v>
      </c>
      <c r="M225" s="134">
        <f t="shared" si="494"/>
        <v>21.683587140439929</v>
      </c>
      <c r="N225" s="134">
        <f t="shared" si="494"/>
        <v>21.683587140439929</v>
      </c>
      <c r="O225" s="134">
        <f t="shared" si="494"/>
        <v>30.357021996615902</v>
      </c>
      <c r="P225" s="134">
        <f t="shared" si="494"/>
        <v>34.693739424703885</v>
      </c>
      <c r="Q225" s="134">
        <f t="shared" si="494"/>
        <v>57.822899041173144</v>
      </c>
      <c r="R225" s="118">
        <f t="shared" si="453"/>
        <v>-2.5268604187815846E-2</v>
      </c>
      <c r="S225" s="128"/>
      <c r="T225" s="134">
        <f t="shared" ref="T225:AC225" si="495">T201/$Q$170</f>
        <v>7.2278623801466431</v>
      </c>
      <c r="U225" s="134">
        <f t="shared" si="495"/>
        <v>7.2278623801466431</v>
      </c>
      <c r="V225" s="134">
        <f t="shared" si="495"/>
        <v>7.2278623801466431</v>
      </c>
      <c r="W225" s="134">
        <f t="shared" si="495"/>
        <v>7.2278623801466431</v>
      </c>
      <c r="X225" s="134">
        <f t="shared" si="495"/>
        <v>7.2278623801466431</v>
      </c>
      <c r="Y225" s="134">
        <f t="shared" si="495"/>
        <v>7.2278623801466431</v>
      </c>
      <c r="Z225" s="134">
        <f t="shared" si="495"/>
        <v>7.2278623801466431</v>
      </c>
      <c r="AA225" s="134">
        <f t="shared" si="495"/>
        <v>7.2278623801466431</v>
      </c>
      <c r="AB225" s="134">
        <f t="shared" si="495"/>
        <v>7.2278623801466431</v>
      </c>
      <c r="AC225" s="134">
        <f t="shared" si="495"/>
        <v>7.2278623801466431</v>
      </c>
      <c r="AD225" s="137">
        <f t="shared" ref="AD225:AD227" si="496">((AC225/G225)^(1/($AC$3-$H$1) ))-1</f>
        <v>-8.7189944693423338E-2</v>
      </c>
      <c r="AE225" s="31">
        <f t="shared" ref="AE225:AE227" si="497">$L$1</f>
        <v>0.05</v>
      </c>
      <c r="AF225" s="179">
        <f>(AF210)/($L$2*100)</f>
        <v>0</v>
      </c>
    </row>
    <row r="226" spans="2:46" x14ac:dyDescent="0.2">
      <c r="B226" s="20" t="s">
        <v>468</v>
      </c>
      <c r="C226" s="129"/>
      <c r="D226" s="129"/>
      <c r="E226" s="129"/>
      <c r="F226" s="129"/>
      <c r="G226" s="179">
        <f t="shared" ref="G226:Q226" si="498">(G225)/($L$2*100)</f>
        <v>2.6360439268770115</v>
      </c>
      <c r="H226" s="179">
        <f t="shared" si="498"/>
        <v>3.8265153777246934</v>
      </c>
      <c r="I226" s="179">
        <f t="shared" si="498"/>
        <v>1.0204041007265849</v>
      </c>
      <c r="J226" s="179">
        <f t="shared" si="498"/>
        <v>1.6156398261504261</v>
      </c>
      <c r="K226" s="179">
        <f t="shared" si="498"/>
        <v>1.7006735012109748</v>
      </c>
      <c r="L226" s="179">
        <f t="shared" si="498"/>
        <v>1.1904714508476826</v>
      </c>
      <c r="M226" s="179">
        <f t="shared" si="498"/>
        <v>1.2755051259082311</v>
      </c>
      <c r="N226" s="179">
        <f t="shared" si="498"/>
        <v>1.2755051259082311</v>
      </c>
      <c r="O226" s="179">
        <f t="shared" si="498"/>
        <v>1.7857071762715238</v>
      </c>
      <c r="P226" s="179">
        <f t="shared" si="498"/>
        <v>2.0408082014531699</v>
      </c>
      <c r="Q226" s="179">
        <f t="shared" si="498"/>
        <v>3.4013470024219497</v>
      </c>
      <c r="R226" s="118">
        <f t="shared" si="453"/>
        <v>-2.5268604187815846E-2</v>
      </c>
      <c r="S226" s="128"/>
      <c r="T226" s="179">
        <f t="shared" ref="T226:AC226" si="499">(T225)/($L$2*100)</f>
        <v>0.42516837530274371</v>
      </c>
      <c r="U226" s="179">
        <f t="shared" si="499"/>
        <v>0.42516837530274371</v>
      </c>
      <c r="V226" s="179">
        <f t="shared" si="499"/>
        <v>0.42516837530274371</v>
      </c>
      <c r="W226" s="179">
        <f t="shared" si="499"/>
        <v>0.42516837530274371</v>
      </c>
      <c r="X226" s="179">
        <f t="shared" si="499"/>
        <v>0.42516837530274371</v>
      </c>
      <c r="Y226" s="179">
        <f t="shared" si="499"/>
        <v>0.42516837530274371</v>
      </c>
      <c r="Z226" s="179">
        <f t="shared" si="499"/>
        <v>0.42516837530274371</v>
      </c>
      <c r="AA226" s="179">
        <f t="shared" si="499"/>
        <v>0.42516837530274371</v>
      </c>
      <c r="AB226" s="179">
        <f t="shared" si="499"/>
        <v>0.42516837530274371</v>
      </c>
      <c r="AC226" s="179">
        <f t="shared" si="499"/>
        <v>0.42516837530274371</v>
      </c>
      <c r="AD226" s="137">
        <f t="shared" si="496"/>
        <v>-8.7189944693423338E-2</v>
      </c>
      <c r="AE226" s="31">
        <f t="shared" si="497"/>
        <v>0.05</v>
      </c>
      <c r="AF226" s="179" t="e">
        <f>(#REF!)/($L$2*100)</f>
        <v>#REF!</v>
      </c>
    </row>
    <row r="227" spans="2:46" x14ac:dyDescent="0.2">
      <c r="B227" s="20" t="s">
        <v>469</v>
      </c>
      <c r="C227" s="129"/>
      <c r="D227" s="129"/>
      <c r="E227" s="129"/>
      <c r="F227" s="129"/>
      <c r="G227" s="150">
        <f t="shared" ref="G227:Q227" si="500">G226-1</f>
        <v>1.6360439268770115</v>
      </c>
      <c r="H227" s="150">
        <f t="shared" si="500"/>
        <v>2.8265153777246934</v>
      </c>
      <c r="I227" s="150">
        <f t="shared" si="500"/>
        <v>2.0404100726584939E-2</v>
      </c>
      <c r="J227" s="150">
        <f t="shared" si="500"/>
        <v>0.61563982615042612</v>
      </c>
      <c r="K227" s="150">
        <f t="shared" si="500"/>
        <v>0.70067350121097483</v>
      </c>
      <c r="L227" s="150">
        <f t="shared" si="500"/>
        <v>0.19047145084768258</v>
      </c>
      <c r="M227" s="150">
        <f t="shared" si="500"/>
        <v>0.27550512590823106</v>
      </c>
      <c r="N227" s="150">
        <f t="shared" si="500"/>
        <v>0.27550512590823106</v>
      </c>
      <c r="O227" s="150">
        <f t="shared" si="500"/>
        <v>0.78570717627152376</v>
      </c>
      <c r="P227" s="150">
        <f t="shared" si="500"/>
        <v>1.0408082014531699</v>
      </c>
      <c r="Q227" s="150">
        <f t="shared" si="500"/>
        <v>2.4013470024219497</v>
      </c>
      <c r="R227" s="118">
        <f t="shared" si="453"/>
        <v>-4.4220800989779097E-2</v>
      </c>
      <c r="S227" s="128"/>
      <c r="T227" s="150">
        <f t="shared" ref="T227:AC227" si="501">T226-1</f>
        <v>-0.57483162469725624</v>
      </c>
      <c r="U227" s="150">
        <f t="shared" si="501"/>
        <v>-0.57483162469725624</v>
      </c>
      <c r="V227" s="150">
        <f t="shared" si="501"/>
        <v>-0.57483162469725624</v>
      </c>
      <c r="W227" s="150">
        <f t="shared" si="501"/>
        <v>-0.57483162469725624</v>
      </c>
      <c r="X227" s="150">
        <f t="shared" si="501"/>
        <v>-0.57483162469725624</v>
      </c>
      <c r="Y227" s="150">
        <f t="shared" si="501"/>
        <v>-0.57483162469725624</v>
      </c>
      <c r="Z227" s="150">
        <f t="shared" si="501"/>
        <v>-0.57483162469725624</v>
      </c>
      <c r="AA227" s="150">
        <f t="shared" si="501"/>
        <v>-0.57483162469725624</v>
      </c>
      <c r="AB227" s="150">
        <f t="shared" si="501"/>
        <v>-0.57483162469725624</v>
      </c>
      <c r="AC227" s="150">
        <f t="shared" si="501"/>
        <v>-0.57483162469725624</v>
      </c>
      <c r="AD227" s="137" t="e">
        <f t="shared" si="496"/>
        <v>#NUM!</v>
      </c>
      <c r="AE227" s="31">
        <f t="shared" si="497"/>
        <v>0.05</v>
      </c>
      <c r="AF227" s="179">
        <f>(AF211)/($L$2*100)</f>
        <v>4.2317733546763298E-2</v>
      </c>
    </row>
    <row r="228" spans="2:46" x14ac:dyDescent="0.2">
      <c r="B228" s="20"/>
      <c r="C228" s="129"/>
      <c r="D228" s="129"/>
      <c r="E228" s="129"/>
      <c r="F228" s="129"/>
      <c r="G228" s="134"/>
      <c r="H228" s="134"/>
      <c r="I228" s="134"/>
      <c r="J228" s="134"/>
      <c r="K228" s="197"/>
      <c r="L228" s="198"/>
      <c r="M228" s="134"/>
      <c r="N228" s="134"/>
      <c r="O228" s="134"/>
      <c r="P228" s="134"/>
      <c r="Q228" s="134"/>
      <c r="R228" s="128"/>
      <c r="S228" s="128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6"/>
      <c r="AE228" s="20"/>
      <c r="AF228" s="20"/>
    </row>
    <row r="229" spans="2:46" x14ac:dyDescent="0.2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16" t="s">
        <v>349</v>
      </c>
      <c r="L229" s="217"/>
      <c r="M229" s="20"/>
      <c r="N229" s="20"/>
      <c r="O229" s="20"/>
      <c r="P229" s="108" t="s">
        <v>428</v>
      </c>
      <c r="Q229" s="108" t="s">
        <v>427</v>
      </c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136"/>
      <c r="AE229" s="20"/>
      <c r="AF229" s="20"/>
    </row>
    <row r="230" spans="2:46" x14ac:dyDescent="0.2">
      <c r="B230" s="20" t="s">
        <v>298</v>
      </c>
      <c r="C230" s="20" t="s">
        <v>313</v>
      </c>
      <c r="D230" s="20"/>
      <c r="E230" s="20"/>
      <c r="F230" s="20"/>
      <c r="G230" s="20"/>
      <c r="H230" s="20"/>
      <c r="I230" s="20"/>
      <c r="J230" s="20"/>
      <c r="K230" s="20" t="s">
        <v>350</v>
      </c>
      <c r="L230" s="22">
        <v>1</v>
      </c>
      <c r="M230" s="20"/>
      <c r="N230" s="20"/>
      <c r="O230" s="20"/>
      <c r="P230" s="128">
        <f>(Q201-S188)/Q201</f>
        <v>0.92167119927348717</v>
      </c>
      <c r="Q230" s="128">
        <f>(Q201-T188)/Q201</f>
        <v>0.94169306961102051</v>
      </c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136"/>
      <c r="AE230" s="20"/>
      <c r="AF230" s="20"/>
    </row>
    <row r="231" spans="2:46" x14ac:dyDescent="0.2">
      <c r="B231" s="20" t="s">
        <v>347</v>
      </c>
      <c r="C231" s="20" t="s">
        <v>313</v>
      </c>
      <c r="D231" s="20"/>
      <c r="E231" s="20"/>
      <c r="F231" s="20"/>
      <c r="G231" s="20"/>
      <c r="H231" s="20"/>
      <c r="I231" s="20"/>
      <c r="J231" s="20"/>
      <c r="K231" s="170">
        <f>$L$230</f>
        <v>1</v>
      </c>
      <c r="L231" s="20"/>
      <c r="M231" s="128">
        <f>(P201-(K231*S179))/P201</f>
        <v>-0.64183116504624071</v>
      </c>
      <c r="N231" s="20"/>
      <c r="O231" s="20"/>
      <c r="P231" s="128">
        <f>(Q201-S179)/Q201</f>
        <v>1.4901300972255598E-2</v>
      </c>
      <c r="Q231" s="128">
        <f>(Q201-T179)/Q201</f>
        <v>0.891472177225757</v>
      </c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136"/>
      <c r="AE231" s="20"/>
      <c r="AF231" s="20"/>
    </row>
    <row r="232" spans="2:46" x14ac:dyDescent="0.2">
      <c r="B232" s="20" t="s">
        <v>348</v>
      </c>
      <c r="C232" s="20" t="s">
        <v>313</v>
      </c>
      <c r="D232" s="20"/>
      <c r="E232" s="20"/>
      <c r="F232" s="20"/>
      <c r="G232" s="20"/>
      <c r="H232" s="20"/>
      <c r="I232" s="20"/>
      <c r="J232" s="20"/>
      <c r="K232" s="170">
        <f>$L$230</f>
        <v>1</v>
      </c>
      <c r="L232" s="20"/>
      <c r="M232" s="128">
        <f>(P201-(K232*S172))/P201</f>
        <v>-0.28040528732331704</v>
      </c>
      <c r="N232" s="20"/>
      <c r="O232" s="20"/>
      <c r="P232" s="128">
        <f>(Q201-S172)/Q201</f>
        <v>0.23175682760600977</v>
      </c>
      <c r="Q232" s="128">
        <f>(Q201-T172)/Q201</f>
        <v>0.91536304032947569</v>
      </c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136"/>
      <c r="AE232" s="20"/>
      <c r="AF232" s="20"/>
    </row>
    <row r="233" spans="2:46" x14ac:dyDescent="0.2">
      <c r="B233" s="20" t="s">
        <v>351</v>
      </c>
      <c r="C233" s="20" t="s">
        <v>313</v>
      </c>
      <c r="D233" s="20"/>
      <c r="E233" s="20"/>
      <c r="F233" s="20"/>
      <c r="G233" s="20"/>
      <c r="H233" s="20"/>
      <c r="I233" s="20"/>
      <c r="J233" s="20"/>
      <c r="K233" s="170">
        <f>$L$230</f>
        <v>1</v>
      </c>
      <c r="L233" s="20"/>
      <c r="M233" s="128">
        <f>(P201-(K233*S185))/P201</f>
        <v>0.85847191526512978</v>
      </c>
      <c r="N233" s="20"/>
      <c r="O233" s="20"/>
      <c r="P233" s="128">
        <f>(Q201-S185)/Q201</f>
        <v>0.91508314915907785</v>
      </c>
      <c r="Q233" s="128">
        <f>(Q201-T185)/Q201</f>
        <v>0.99064475372091532</v>
      </c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136"/>
      <c r="AE233" s="20"/>
      <c r="AF233" s="20"/>
    </row>
    <row r="234" spans="2:46" x14ac:dyDescent="0.2">
      <c r="B234" s="20" t="s">
        <v>397</v>
      </c>
      <c r="C234" s="20" t="s">
        <v>313</v>
      </c>
      <c r="D234" s="20"/>
      <c r="E234" s="20"/>
      <c r="F234" s="20"/>
      <c r="G234" s="20"/>
      <c r="H234" s="20"/>
      <c r="I234" s="20"/>
      <c r="J234" s="20"/>
      <c r="K234" s="170">
        <f>$L$230</f>
        <v>1</v>
      </c>
      <c r="L234" s="20"/>
      <c r="M234" s="128">
        <f>(P201-(K234*S198))/P201</f>
        <v>0.79905627806634194</v>
      </c>
      <c r="N234" s="20"/>
      <c r="O234" s="20"/>
      <c r="P234" s="128">
        <f>(Q201-S198)/Q201</f>
        <v>0.87943376683980512</v>
      </c>
      <c r="Q234" s="128">
        <f>(Q201-T198)/Q201</f>
        <v>0.91025207970848598</v>
      </c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136"/>
      <c r="AE234" s="20"/>
      <c r="AF234" s="20"/>
    </row>
    <row r="235" spans="2:46" x14ac:dyDescent="0.2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5">
        <f>Q201/S171</f>
        <v>5.6842553728204939</v>
      </c>
      <c r="Q235" s="25">
        <f>Q201/T171</f>
        <v>51.59554876867832</v>
      </c>
      <c r="R235" s="20"/>
      <c r="S235" s="20"/>
      <c r="T235" s="115" t="s">
        <v>11</v>
      </c>
      <c r="U235" s="115" t="s">
        <v>12</v>
      </c>
      <c r="V235" s="115" t="s">
        <v>13</v>
      </c>
      <c r="W235" s="115" t="s">
        <v>14</v>
      </c>
      <c r="X235" s="115" t="s">
        <v>15</v>
      </c>
      <c r="Y235" s="115" t="s">
        <v>234</v>
      </c>
      <c r="Z235" s="115" t="s">
        <v>235</v>
      </c>
      <c r="AA235" s="115" t="s">
        <v>236</v>
      </c>
      <c r="AB235" s="115" t="s">
        <v>237</v>
      </c>
      <c r="AC235" s="115" t="s">
        <v>238</v>
      </c>
      <c r="AD235" s="115" t="s">
        <v>405</v>
      </c>
      <c r="AE235" s="115" t="s">
        <v>406</v>
      </c>
      <c r="AF235" s="115" t="s">
        <v>407</v>
      </c>
      <c r="AG235" s="115" t="s">
        <v>408</v>
      </c>
      <c r="AH235" s="115" t="s">
        <v>409</v>
      </c>
      <c r="AI235" s="115" t="s">
        <v>410</v>
      </c>
      <c r="AJ235" s="115" t="s">
        <v>411</v>
      </c>
      <c r="AK235" s="115" t="s">
        <v>412</v>
      </c>
      <c r="AL235" s="115" t="s">
        <v>413</v>
      </c>
      <c r="AM235" s="115" t="s">
        <v>414</v>
      </c>
      <c r="AN235" s="115" t="s">
        <v>415</v>
      </c>
      <c r="AO235" s="115" t="s">
        <v>416</v>
      </c>
      <c r="AP235" s="115" t="s">
        <v>417</v>
      </c>
      <c r="AQ235" s="115" t="s">
        <v>418</v>
      </c>
      <c r="AR235" s="115" t="s">
        <v>419</v>
      </c>
      <c r="AS235" s="115" t="s">
        <v>420</v>
      </c>
      <c r="AT235" s="115" t="s">
        <v>421</v>
      </c>
    </row>
    <row r="236" spans="2:46" x14ac:dyDescent="0.2">
      <c r="B236" s="20" t="s">
        <v>369</v>
      </c>
      <c r="C236" s="20"/>
      <c r="D236" s="20"/>
      <c r="E236" s="20"/>
      <c r="F236" s="20"/>
      <c r="G236" s="187" t="s">
        <v>446</v>
      </c>
      <c r="H236" s="188"/>
      <c r="I236" s="187" t="s">
        <v>447</v>
      </c>
      <c r="J236" s="188"/>
      <c r="K236" s="20"/>
      <c r="L236" s="187" t="s">
        <v>448</v>
      </c>
      <c r="M236" s="188"/>
      <c r="N236" s="187" t="s">
        <v>449</v>
      </c>
      <c r="O236" s="188"/>
      <c r="P236" s="150">
        <f>1/P235</f>
        <v>0.17592453794063195</v>
      </c>
      <c r="Q236" s="150">
        <f>1/Q235</f>
        <v>1.9381516891764542E-2</v>
      </c>
      <c r="R236" s="20"/>
      <c r="S236" s="20"/>
      <c r="T236" s="129">
        <f>Q201-T237</f>
        <v>389.83514248252675</v>
      </c>
      <c r="U236" s="183">
        <f>T236-U237</f>
        <v>379.16204208917986</v>
      </c>
      <c r="V236" s="183">
        <f t="shared" ref="V236:X236" si="502">U236-V237</f>
        <v>367.9552866761656</v>
      </c>
      <c r="W236" s="183">
        <f t="shared" si="502"/>
        <v>356.1881934925006</v>
      </c>
      <c r="X236" s="183">
        <f t="shared" si="502"/>
        <v>343.8327456496524</v>
      </c>
      <c r="Y236" s="183">
        <f>X236-Y237</f>
        <v>330.85952541466179</v>
      </c>
      <c r="Z236" s="183">
        <f t="shared" ref="Z236:AC236" si="503">Y236-Z237</f>
        <v>317.23764416792164</v>
      </c>
      <c r="AA236" s="183">
        <f t="shared" si="503"/>
        <v>302.93466885884447</v>
      </c>
      <c r="AB236" s="183">
        <f t="shared" si="503"/>
        <v>287.91654478431343</v>
      </c>
      <c r="AC236" s="183">
        <f t="shared" si="503"/>
        <v>272.14751450605587</v>
      </c>
      <c r="AD236" s="183">
        <f t="shared" ref="AD236" si="504">AC236-AD237</f>
        <v>255.59003271388539</v>
      </c>
      <c r="AE236" s="183">
        <f t="shared" ref="AE236" si="505">AD236-AE237</f>
        <v>238.2046768321064</v>
      </c>
      <c r="AF236" s="183">
        <f t="shared" ref="AF236" si="506">AE236-AF237</f>
        <v>219.95005315623845</v>
      </c>
      <c r="AG236" s="183">
        <f t="shared" ref="AG236" si="507">AF236-AG237</f>
        <v>200.78269829657711</v>
      </c>
      <c r="AH236" s="183">
        <f t="shared" ref="AH236" si="508">AG236-AH237</f>
        <v>180.65697569393271</v>
      </c>
      <c r="AI236" s="183">
        <f t="shared" ref="AI236" si="509">AH236-AI237</f>
        <v>159.52496696115608</v>
      </c>
      <c r="AJ236" s="183">
        <f t="shared" ref="AJ236" si="510">AI236-AJ237</f>
        <v>137.33635779174062</v>
      </c>
      <c r="AK236" s="183">
        <f t="shared" ref="AK236" si="511">AJ236-AK237</f>
        <v>114.03831816385438</v>
      </c>
      <c r="AL236" s="183">
        <f t="shared" ref="AL236" si="512">AK236-AL237</f>
        <v>89.575376554573836</v>
      </c>
      <c r="AM236" s="183">
        <f t="shared" ref="AM236" si="513">AL236-AM237</f>
        <v>63.889287864829257</v>
      </c>
      <c r="AN236" s="183">
        <f t="shared" ref="AN236" si="514">AM236-AN237</f>
        <v>36.918894740597452</v>
      </c>
      <c r="AO236" s="183">
        <f t="shared" ref="AO236" si="515">AN236-AO237</f>
        <v>8.5999819601540537</v>
      </c>
      <c r="AP236" s="183">
        <f t="shared" ref="AP236" si="516">AO236-AP237</f>
        <v>-21.134876459311517</v>
      </c>
      <c r="AQ236" s="183">
        <f t="shared" ref="AQ236" si="517">AP236-AQ237</f>
        <v>-52.356477799750365</v>
      </c>
      <c r="AR236" s="183">
        <f t="shared" ref="AR236" si="518">AQ236-AR237</f>
        <v>-85.139159207211151</v>
      </c>
      <c r="AS236" s="183">
        <f t="shared" ref="AS236" si="519">AR236-AS237</f>
        <v>-119.56097468504498</v>
      </c>
      <c r="AT236" s="183">
        <f t="shared" ref="AT236" si="520">AS236-AT237</f>
        <v>-155.7038809367705</v>
      </c>
    </row>
    <row r="237" spans="2:46" x14ac:dyDescent="0.2">
      <c r="B237" s="20" t="s">
        <v>394</v>
      </c>
      <c r="C237" s="20"/>
      <c r="D237" s="20"/>
      <c r="E237" s="20"/>
      <c r="F237" s="20"/>
      <c r="G237" s="189">
        <v>0</v>
      </c>
      <c r="H237" s="188"/>
      <c r="I237" s="189">
        <v>0.05</v>
      </c>
      <c r="J237" s="188"/>
      <c r="K237" s="182">
        <f>P1</f>
        <v>0.05</v>
      </c>
      <c r="L237" s="189">
        <v>0.12</v>
      </c>
      <c r="M237" s="188"/>
      <c r="N237" s="189">
        <v>0.2</v>
      </c>
      <c r="O237" s="196" t="s">
        <v>280</v>
      </c>
      <c r="P237" s="179">
        <f>Q201/S170</f>
        <v>94.607382550335558</v>
      </c>
      <c r="Q237" s="179" t="s">
        <v>467</v>
      </c>
      <c r="R237" s="20"/>
      <c r="S237" s="20"/>
      <c r="T237" s="184">
        <f>R170*(1+$K$237)</f>
        <v>10.164857517473251</v>
      </c>
      <c r="U237" s="184">
        <f>T237*(1+$K$237)</f>
        <v>10.673100393346914</v>
      </c>
      <c r="V237" s="184">
        <f t="shared" ref="V237:AC237" si="521">U237*(1+$K$237)</f>
        <v>11.20675541301426</v>
      </c>
      <c r="W237" s="184">
        <f t="shared" si="521"/>
        <v>11.767093183664974</v>
      </c>
      <c r="X237" s="184">
        <f t="shared" si="521"/>
        <v>12.355447842848223</v>
      </c>
      <c r="Y237" s="184">
        <f t="shared" si="521"/>
        <v>12.973220234990634</v>
      </c>
      <c r="Z237" s="184">
        <f t="shared" si="521"/>
        <v>13.621881246740166</v>
      </c>
      <c r="AA237" s="184">
        <f t="shared" si="521"/>
        <v>14.302975309077175</v>
      </c>
      <c r="AB237" s="184">
        <f t="shared" si="521"/>
        <v>15.018124074531034</v>
      </c>
      <c r="AC237" s="184">
        <f t="shared" si="521"/>
        <v>15.769030278257587</v>
      </c>
      <c r="AD237" s="184">
        <f t="shared" ref="AD237" si="522">AC237*(1+$K$237)</f>
        <v>16.557481792170467</v>
      </c>
      <c r="AE237" s="184">
        <f t="shared" ref="AE237" si="523">AD237*(1+$K$237)</f>
        <v>17.385355881778992</v>
      </c>
      <c r="AF237" s="184">
        <f t="shared" ref="AF237" si="524">AE237*(1+$K$237)</f>
        <v>18.254623675867943</v>
      </c>
      <c r="AG237" s="184">
        <f t="shared" ref="AG237" si="525">AF237*(1+$K$237)</f>
        <v>19.167354859661341</v>
      </c>
      <c r="AH237" s="184">
        <f t="shared" ref="AH237" si="526">AG237*(1+$K$237)</f>
        <v>20.125722602644409</v>
      </c>
      <c r="AI237" s="184">
        <f t="shared" ref="AI237" si="527">AH237*(1+$K$237)</f>
        <v>21.13200873277663</v>
      </c>
      <c r="AJ237" s="184">
        <f t="shared" ref="AJ237" si="528">AI237*(1+$K$237)</f>
        <v>22.188609169415461</v>
      </c>
      <c r="AK237" s="184">
        <f t="shared" ref="AK237" si="529">AJ237*(1+$K$237)</f>
        <v>23.298039627886237</v>
      </c>
      <c r="AL237" s="184">
        <f t="shared" ref="AL237" si="530">AK237*(1+$K$237)</f>
        <v>24.462941609280549</v>
      </c>
      <c r="AM237" s="184">
        <f t="shared" ref="AM237" si="531">AL237*(1+$K$237)</f>
        <v>25.686088689744576</v>
      </c>
      <c r="AN237" s="184">
        <f t="shared" ref="AN237" si="532">AM237*(1+$K$237)</f>
        <v>26.970393124231805</v>
      </c>
      <c r="AO237" s="184">
        <f t="shared" ref="AO237" si="533">AN237*(1+$K$237)</f>
        <v>28.318912780443398</v>
      </c>
      <c r="AP237" s="184">
        <f t="shared" ref="AP237" si="534">AO237*(1+$K$237)</f>
        <v>29.734858419465571</v>
      </c>
      <c r="AQ237" s="184">
        <f t="shared" ref="AQ237" si="535">AP237*(1+$K$237)</f>
        <v>31.221601340438852</v>
      </c>
      <c r="AR237" s="184">
        <f t="shared" ref="AR237" si="536">AQ237*(1+$K$237)</f>
        <v>32.782681407460792</v>
      </c>
      <c r="AS237" s="184">
        <f t="shared" ref="AS237" si="537">AR237*(1+$K$237)</f>
        <v>34.421815477833832</v>
      </c>
      <c r="AT237" s="184">
        <f t="shared" ref="AT237" si="538">AS237*(1+$K$237)</f>
        <v>36.142906251725528</v>
      </c>
    </row>
    <row r="238" spans="2:46" x14ac:dyDescent="0.2">
      <c r="B238" s="20" t="s">
        <v>393</v>
      </c>
      <c r="C238" s="20"/>
      <c r="D238" s="20"/>
      <c r="E238" s="23" t="s">
        <v>389</v>
      </c>
      <c r="F238" s="22"/>
      <c r="G238" s="189">
        <v>0</v>
      </c>
      <c r="H238" s="190">
        <f>Q203</f>
        <v>45.870246085011189</v>
      </c>
      <c r="I238" s="189">
        <v>0.05</v>
      </c>
      <c r="J238" s="188"/>
      <c r="K238" s="182">
        <f>P1</f>
        <v>0.05</v>
      </c>
      <c r="L238" s="189">
        <v>0.12</v>
      </c>
      <c r="M238" s="188"/>
      <c r="N238" s="189">
        <v>0.2</v>
      </c>
      <c r="O238" s="196" t="s">
        <v>466</v>
      </c>
      <c r="P238" s="179">
        <f>Q201/Q72</f>
        <v>45.870246085011189</v>
      </c>
      <c r="Q238" s="179" t="s">
        <v>467</v>
      </c>
      <c r="R238" s="20"/>
      <c r="S238" s="20"/>
      <c r="T238" s="184">
        <f>Q72*(1+$K$238)</f>
        <v>9.1562621927428793</v>
      </c>
      <c r="U238" s="184">
        <f>T238*(1+$K$238)</f>
        <v>9.6140753023800229</v>
      </c>
      <c r="V238" s="184">
        <f t="shared" ref="V238:AC238" si="539">U238*(1+$K$238)</f>
        <v>10.094779067499024</v>
      </c>
      <c r="W238" s="184">
        <f t="shared" si="539"/>
        <v>10.599518020873976</v>
      </c>
      <c r="X238" s="184">
        <f t="shared" si="539"/>
        <v>11.129493921917675</v>
      </c>
      <c r="Y238" s="184">
        <f t="shared" si="539"/>
        <v>11.685968618013559</v>
      </c>
      <c r="Z238" s="184">
        <f t="shared" si="539"/>
        <v>12.270267048914238</v>
      </c>
      <c r="AA238" s="184">
        <f t="shared" si="539"/>
        <v>12.883780401359951</v>
      </c>
      <c r="AB238" s="184">
        <f t="shared" si="539"/>
        <v>13.527969421427949</v>
      </c>
      <c r="AC238" s="184">
        <f t="shared" si="539"/>
        <v>14.204367892499347</v>
      </c>
      <c r="AD238" s="184">
        <f t="shared" ref="AD238" si="540">AC238*(1+$K$238)</f>
        <v>14.914586287124315</v>
      </c>
      <c r="AE238" s="184">
        <f t="shared" ref="AE238" si="541">AD238*(1+$K$238)</f>
        <v>15.660315601480532</v>
      </c>
      <c r="AF238" s="184">
        <f t="shared" ref="AF238" si="542">AE238*(1+$K$238)</f>
        <v>16.443331381554557</v>
      </c>
      <c r="AG238" s="184">
        <f t="shared" ref="AG238" si="543">AF238*(1+$K$238)</f>
        <v>17.265497950632287</v>
      </c>
      <c r="AH238" s="184">
        <f t="shared" ref="AH238" si="544">AG238*(1+$K$238)</f>
        <v>18.128772848163901</v>
      </c>
      <c r="AI238" s="184">
        <f t="shared" ref="AI238" si="545">AH238*(1+$K$238)</f>
        <v>19.035211490572099</v>
      </c>
      <c r="AJ238" s="184">
        <f t="shared" ref="AJ238" si="546">AI238*(1+$K$238)</f>
        <v>19.986972065100705</v>
      </c>
      <c r="AK238" s="184">
        <f t="shared" ref="AK238" si="547">AJ238*(1+$K$238)</f>
        <v>20.986320668355742</v>
      </c>
      <c r="AL238" s="184">
        <f t="shared" ref="AL238" si="548">AK238*(1+$K$238)</f>
        <v>22.03563670177353</v>
      </c>
      <c r="AM238" s="184">
        <f t="shared" ref="AM238" si="549">AL238*(1+$K$238)</f>
        <v>23.137418536862207</v>
      </c>
      <c r="AN238" s="184">
        <f t="shared" ref="AN238" si="550">AM238*(1+$K$238)</f>
        <v>24.294289463705319</v>
      </c>
      <c r="AO238" s="184">
        <f t="shared" ref="AO238" si="551">AN238*(1+$K$238)</f>
        <v>25.509003936890586</v>
      </c>
      <c r="AP238" s="184">
        <f t="shared" ref="AP238" si="552">AO238*(1+$K$238)</f>
        <v>26.784454133735117</v>
      </c>
      <c r="AQ238" s="184">
        <f t="shared" ref="AQ238" si="553">AP238*(1+$K$238)</f>
        <v>28.123676840421876</v>
      </c>
      <c r="AR238" s="184">
        <f t="shared" ref="AR238" si="554">AQ238*(1+$K$238)</f>
        <v>29.529860682442973</v>
      </c>
      <c r="AS238" s="184">
        <f t="shared" ref="AS238" si="555">AR238*(1+$K$238)</f>
        <v>31.006353716565123</v>
      </c>
      <c r="AT238" s="184">
        <f t="shared" ref="AT238" si="556">AS238*(1+$K$238)</f>
        <v>32.556671402393377</v>
      </c>
    </row>
    <row r="239" spans="2:46" x14ac:dyDescent="0.2">
      <c r="B239" s="20"/>
      <c r="C239" s="20"/>
      <c r="D239" s="20"/>
      <c r="E239" s="23" t="s">
        <v>452</v>
      </c>
      <c r="F239" s="22"/>
      <c r="G239" s="189">
        <v>0</v>
      </c>
      <c r="H239" s="190"/>
      <c r="I239" s="189">
        <v>0.05</v>
      </c>
      <c r="J239" s="188"/>
      <c r="K239" s="188"/>
      <c r="L239" s="189">
        <v>0.12</v>
      </c>
      <c r="M239" s="188"/>
      <c r="N239" s="189">
        <v>0.2</v>
      </c>
      <c r="O239" s="20"/>
      <c r="P239" s="20"/>
      <c r="Q239" s="20"/>
      <c r="R239" s="20"/>
      <c r="S239" s="20"/>
      <c r="T239" s="129">
        <f>Q201-T238</f>
        <v>390.84373780725713</v>
      </c>
      <c r="U239" s="183">
        <f>T239-U238</f>
        <v>381.22966250487713</v>
      </c>
      <c r="V239" s="183">
        <f t="shared" ref="V239:AA239" si="557">U239-V238</f>
        <v>371.13488343737811</v>
      </c>
      <c r="W239" s="183">
        <f t="shared" si="557"/>
        <v>360.53536541650413</v>
      </c>
      <c r="X239" s="183">
        <f t="shared" si="557"/>
        <v>349.40587149458645</v>
      </c>
      <c r="Y239" s="183">
        <f t="shared" si="557"/>
        <v>337.71990287657292</v>
      </c>
      <c r="Z239" s="183">
        <f t="shared" si="557"/>
        <v>325.44963582765865</v>
      </c>
      <c r="AA239" s="183">
        <f t="shared" si="557"/>
        <v>312.5658554262987</v>
      </c>
      <c r="AB239" s="183">
        <f>AA239-AB238</f>
        <v>299.03788600487076</v>
      </c>
      <c r="AC239" s="183">
        <f t="shared" ref="AC239" si="558">AB239-AC238</f>
        <v>284.83351811237139</v>
      </c>
      <c r="AD239" s="183">
        <f t="shared" ref="AD239" si="559">AC239-AD238</f>
        <v>269.91893182524706</v>
      </c>
      <c r="AE239" s="183">
        <f t="shared" ref="AE239" si="560">AD239-AE238</f>
        <v>254.25861622376652</v>
      </c>
      <c r="AF239" s="183">
        <f t="shared" ref="AF239" si="561">AE239-AF238</f>
        <v>237.81528484221195</v>
      </c>
      <c r="AG239" s="183">
        <f t="shared" ref="AG239" si="562">AF239-AG238</f>
        <v>220.54978689157966</v>
      </c>
      <c r="AH239" s="183">
        <f t="shared" ref="AH239" si="563">AG239-AH238</f>
        <v>202.42101404341577</v>
      </c>
      <c r="AI239" s="183">
        <f t="shared" ref="AI239" si="564">AH239-AI238</f>
        <v>183.38580255284367</v>
      </c>
      <c r="AJ239" s="183">
        <f t="shared" ref="AJ239" si="565">AI239-AJ238</f>
        <v>163.39883048774297</v>
      </c>
      <c r="AK239" s="183">
        <f t="shared" ref="AK239" si="566">AJ239-AK238</f>
        <v>142.41250981938722</v>
      </c>
      <c r="AL239" s="183">
        <f t="shared" ref="AL239" si="567">AK239-AL238</f>
        <v>120.3768731176137</v>
      </c>
      <c r="AM239" s="183">
        <f t="shared" ref="AM239" si="568">AL239-AM238</f>
        <v>97.239454580751499</v>
      </c>
      <c r="AN239" s="183">
        <f t="shared" ref="AN239" si="569">AM239-AN238</f>
        <v>72.945165117046173</v>
      </c>
      <c r="AO239" s="183">
        <f t="shared" ref="AO239" si="570">AN239-AO238</f>
        <v>47.436161180155587</v>
      </c>
      <c r="AP239" s="183">
        <f t="shared" ref="AP239" si="571">AO239-AP238</f>
        <v>20.651707046420469</v>
      </c>
      <c r="AQ239" s="183">
        <f t="shared" ref="AQ239" si="572">AP239-AQ238</f>
        <v>-7.4719697940014065</v>
      </c>
      <c r="AR239" s="183">
        <f t="shared" ref="AR239" si="573">AQ239-AR238</f>
        <v>-37.001830476444383</v>
      </c>
      <c r="AS239" s="183">
        <f t="shared" ref="AS239" si="574">AR239-AS238</f>
        <v>-68.008184193009498</v>
      </c>
      <c r="AT239" s="183">
        <f t="shared" ref="AT239" si="575">AS239-AT238</f>
        <v>-100.56485559540288</v>
      </c>
    </row>
    <row r="240" spans="2:46" x14ac:dyDescent="0.2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spans="2:32" x14ac:dyDescent="0.2">
      <c r="B241" s="20" t="s">
        <v>304</v>
      </c>
      <c r="C241" s="25"/>
      <c r="D241" s="25"/>
      <c r="E241" s="25"/>
      <c r="F241" s="25"/>
      <c r="G241" s="25">
        <f t="shared" ref="G241:Q241" si="576">G10/G7</f>
        <v>0.17777777777777778</v>
      </c>
      <c r="H241" s="25">
        <f t="shared" si="576"/>
        <v>0.17174515235457063</v>
      </c>
      <c r="I241" s="25">
        <f t="shared" si="576"/>
        <v>0.13559322033898305</v>
      </c>
      <c r="J241" s="25">
        <f t="shared" si="576"/>
        <v>0.30208333333333331</v>
      </c>
      <c r="K241" s="25">
        <f t="shared" si="576"/>
        <v>0.84838709677419355</v>
      </c>
      <c r="L241" s="25">
        <f t="shared" si="576"/>
        <v>0.9605678233438486</v>
      </c>
      <c r="M241" s="25">
        <f t="shared" si="576"/>
        <v>0.53669724770642202</v>
      </c>
      <c r="N241" s="25">
        <f t="shared" si="576"/>
        <v>0.30904059040590404</v>
      </c>
      <c r="O241" s="25">
        <f t="shared" si="576"/>
        <v>0.11161387631975868</v>
      </c>
      <c r="P241" s="25">
        <f t="shared" si="576"/>
        <v>3.0890369473046637E-2</v>
      </c>
      <c r="Q241" s="25">
        <f t="shared" si="576"/>
        <v>2.3565573770491802E-2</v>
      </c>
      <c r="R241" s="118">
        <f t="shared" ref="R241:R243" si="577">((P241/G241)^(1/($H$2-$H$1) ))-1</f>
        <v>-0.1605505228183649</v>
      </c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spans="2:32" x14ac:dyDescent="0.2">
      <c r="B242" s="20" t="s">
        <v>305</v>
      </c>
      <c r="C242" s="112"/>
      <c r="D242" s="112"/>
      <c r="E242" s="112"/>
      <c r="F242" s="112"/>
      <c r="G242" s="112">
        <f t="shared" ref="G242:Q242" si="578">G10/G12</f>
        <v>7.4666666666666668</v>
      </c>
      <c r="H242" s="112">
        <f t="shared" si="578"/>
        <v>4.4285714285714288</v>
      </c>
      <c r="I242" s="112">
        <f t="shared" si="578"/>
        <v>3.5</v>
      </c>
      <c r="J242" s="112">
        <f t="shared" si="578"/>
        <v>3.8157894736842106</v>
      </c>
      <c r="K242" s="112">
        <f t="shared" si="578"/>
        <v>3.058139534883721</v>
      </c>
      <c r="L242" s="112">
        <f t="shared" si="578"/>
        <v>3.8301886792452828</v>
      </c>
      <c r="M242" s="112">
        <f t="shared" si="578"/>
        <v>10.4</v>
      </c>
      <c r="N242" s="112">
        <f t="shared" si="578"/>
        <v>3.2524271844660193</v>
      </c>
      <c r="O242" s="112">
        <f t="shared" si="578"/>
        <v>0.54212454212454209</v>
      </c>
      <c r="P242" s="112">
        <f t="shared" si="578"/>
        <v>0.33774834437086093</v>
      </c>
      <c r="Q242" s="112">
        <f t="shared" si="578"/>
        <v>0.25988700564971751</v>
      </c>
      <c r="R242" s="118">
        <f t="shared" si="577"/>
        <v>-0.26625247976888444</v>
      </c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spans="2:32" x14ac:dyDescent="0.2">
      <c r="B243" s="20" t="s">
        <v>306</v>
      </c>
      <c r="C243" s="25"/>
      <c r="D243" s="25"/>
      <c r="E243" s="25"/>
      <c r="F243" s="25"/>
      <c r="G243" s="25">
        <f t="shared" ref="G243:Q243" si="579">G10/(G12+G13)</f>
        <v>2.1132075471698113</v>
      </c>
      <c r="H243" s="25">
        <f t="shared" si="579"/>
        <v>1.8787878787878789</v>
      </c>
      <c r="I243" s="25">
        <f t="shared" si="579"/>
        <v>1.75</v>
      </c>
      <c r="J243" s="25">
        <f t="shared" si="579"/>
        <v>2.6851851851851851</v>
      </c>
      <c r="K243" s="25">
        <f t="shared" si="579"/>
        <v>3.0015978087194704</v>
      </c>
      <c r="L243" s="25">
        <f t="shared" si="579"/>
        <v>3.291891891891892</v>
      </c>
      <c r="M243" s="25">
        <f t="shared" si="579"/>
        <v>1.4952076677316295</v>
      </c>
      <c r="N243" s="25">
        <f t="shared" si="579"/>
        <v>1.2271062271062272</v>
      </c>
      <c r="O243" s="25">
        <f t="shared" si="579"/>
        <v>0.39892183288409705</v>
      </c>
      <c r="P243" s="25">
        <f t="shared" si="579"/>
        <v>0.11486486486486487</v>
      </c>
      <c r="Q243" s="25">
        <f t="shared" si="579"/>
        <v>0.10526315789473684</v>
      </c>
      <c r="R243" s="118">
        <f t="shared" si="577"/>
        <v>-0.25264919734176305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2:32" x14ac:dyDescent="0.2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spans="2:32" x14ac:dyDescent="0.2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spans="2:32" x14ac:dyDescent="0.2">
      <c r="B246" s="20"/>
      <c r="C246" s="172" t="s">
        <v>375</v>
      </c>
      <c r="D246" s="173"/>
      <c r="E246" s="173"/>
      <c r="F246" s="173"/>
      <c r="G246" s="173"/>
      <c r="H246" s="173"/>
      <c r="I246" s="173"/>
      <c r="J246" s="173"/>
      <c r="K246" s="20"/>
      <c r="L246" s="213" t="s">
        <v>335</v>
      </c>
      <c r="M246" s="214"/>
      <c r="N246" s="215"/>
      <c r="O246" s="23" t="s">
        <v>338</v>
      </c>
      <c r="P246" s="20"/>
      <c r="Q246" s="136"/>
      <c r="R246" s="213" t="s">
        <v>336</v>
      </c>
      <c r="S246" s="214"/>
      <c r="T246" s="215"/>
      <c r="U246" s="23" t="s">
        <v>338</v>
      </c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spans="2:32" x14ac:dyDescent="0.2">
      <c r="B247" s="20"/>
      <c r="C247" s="164" t="s">
        <v>337</v>
      </c>
      <c r="D247" s="164" t="s">
        <v>0</v>
      </c>
      <c r="E247" s="164" t="s">
        <v>376</v>
      </c>
      <c r="F247" s="164" t="s">
        <v>377</v>
      </c>
      <c r="G247" s="164" t="s">
        <v>378</v>
      </c>
      <c r="H247" s="164" t="s">
        <v>379</v>
      </c>
      <c r="I247" s="164" t="s">
        <v>380</v>
      </c>
      <c r="J247" s="164" t="s">
        <v>381</v>
      </c>
      <c r="K247" s="20"/>
      <c r="L247" s="164" t="s">
        <v>337</v>
      </c>
      <c r="M247" s="164"/>
      <c r="N247" s="164" t="s">
        <v>0</v>
      </c>
      <c r="O247" s="164" t="s">
        <v>370</v>
      </c>
      <c r="P247" s="20"/>
      <c r="Q247" s="20"/>
      <c r="R247" s="164" t="s">
        <v>337</v>
      </c>
      <c r="S247" s="164"/>
      <c r="T247" s="164" t="s">
        <v>0</v>
      </c>
      <c r="U247" s="164" t="s">
        <v>370</v>
      </c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spans="2:32" x14ac:dyDescent="0.2">
      <c r="B248" s="20"/>
      <c r="C248" s="165" t="s">
        <v>339</v>
      </c>
      <c r="D248" s="21">
        <v>310</v>
      </c>
      <c r="E248" s="174" t="s">
        <v>382</v>
      </c>
      <c r="F248" s="22">
        <v>1</v>
      </c>
      <c r="G248" s="22">
        <v>1</v>
      </c>
      <c r="H248" s="165">
        <f>F248/G248</f>
        <v>1</v>
      </c>
      <c r="I248" s="165">
        <f>H248*D249</f>
        <v>1</v>
      </c>
      <c r="J248" s="175">
        <f>I248+D249</f>
        <v>2</v>
      </c>
      <c r="K248" s="20"/>
      <c r="L248" s="165" t="s">
        <v>339</v>
      </c>
      <c r="M248" s="165"/>
      <c r="N248" s="21">
        <v>15</v>
      </c>
      <c r="O248" s="171">
        <f>N248</f>
        <v>15</v>
      </c>
      <c r="P248" s="20"/>
      <c r="Q248" s="20"/>
      <c r="R248" s="165" t="s">
        <v>339</v>
      </c>
      <c r="S248" s="165"/>
      <c r="T248" s="21">
        <v>310</v>
      </c>
      <c r="U248" s="171">
        <f>T248</f>
        <v>310</v>
      </c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spans="2:32" x14ac:dyDescent="0.2">
      <c r="B249" s="20"/>
      <c r="C249" s="165" t="s">
        <v>340</v>
      </c>
      <c r="D249" s="21">
        <v>1</v>
      </c>
      <c r="E249" s="174" t="s">
        <v>383</v>
      </c>
      <c r="F249" s="22">
        <v>0</v>
      </c>
      <c r="G249" s="22">
        <v>1</v>
      </c>
      <c r="H249" s="165">
        <f>F249/G249</f>
        <v>0</v>
      </c>
      <c r="I249" s="165">
        <f>H249*J248</f>
        <v>0</v>
      </c>
      <c r="J249" s="165">
        <f>I249+J248</f>
        <v>2</v>
      </c>
      <c r="K249" s="20"/>
      <c r="L249" s="165" t="s">
        <v>340</v>
      </c>
      <c r="M249" s="165"/>
      <c r="N249" s="21">
        <v>1</v>
      </c>
      <c r="O249" s="171">
        <f>N249</f>
        <v>1</v>
      </c>
      <c r="P249" s="20"/>
      <c r="Q249" s="20"/>
      <c r="R249" s="165" t="s">
        <v>340</v>
      </c>
      <c r="S249" s="165"/>
      <c r="T249" s="21">
        <v>1</v>
      </c>
      <c r="U249" s="171">
        <f>T249</f>
        <v>1</v>
      </c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spans="2:32" x14ac:dyDescent="0.2">
      <c r="B250" s="20"/>
      <c r="C250" s="165" t="s">
        <v>342</v>
      </c>
      <c r="D250" s="166">
        <f>D248*D249</f>
        <v>310</v>
      </c>
      <c r="E250" s="174" t="s">
        <v>395</v>
      </c>
      <c r="F250" s="22">
        <v>0</v>
      </c>
      <c r="G250" s="22">
        <v>1</v>
      </c>
      <c r="H250" s="165">
        <f>F250/G250</f>
        <v>0</v>
      </c>
      <c r="I250" s="165">
        <f>H250*J249</f>
        <v>0</v>
      </c>
      <c r="J250" s="165">
        <f>I250+J249</f>
        <v>2</v>
      </c>
      <c r="K250" s="20"/>
      <c r="L250" s="165" t="s">
        <v>341</v>
      </c>
      <c r="M250" s="165"/>
      <c r="N250" s="166">
        <f>N248*N249</f>
        <v>15</v>
      </c>
      <c r="O250" s="171">
        <f>N250</f>
        <v>15</v>
      </c>
      <c r="P250" s="20"/>
      <c r="Q250" s="20"/>
      <c r="R250" s="165" t="s">
        <v>342</v>
      </c>
      <c r="S250" s="165"/>
      <c r="T250" s="166">
        <f>T248*T249</f>
        <v>310</v>
      </c>
      <c r="U250" s="171">
        <f>T250</f>
        <v>310</v>
      </c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spans="2:32" x14ac:dyDescent="0.2">
      <c r="B251" s="20"/>
      <c r="C251" s="165"/>
      <c r="D251" s="166"/>
      <c r="E251" s="174" t="s">
        <v>453</v>
      </c>
      <c r="F251" s="22">
        <v>0</v>
      </c>
      <c r="G251" s="22">
        <v>1</v>
      </c>
      <c r="H251" s="165">
        <f t="shared" ref="H251:H254" si="580">F251/G251</f>
        <v>0</v>
      </c>
      <c r="I251" s="165">
        <f t="shared" ref="I251:I253" si="581">H251*J250</f>
        <v>0</v>
      </c>
      <c r="J251" s="165">
        <f t="shared" ref="J251:J253" si="582">I251+J250</f>
        <v>2</v>
      </c>
      <c r="K251" s="20"/>
      <c r="L251" s="165" t="s">
        <v>343</v>
      </c>
      <c r="M251" s="165"/>
      <c r="N251" s="21">
        <v>300</v>
      </c>
      <c r="O251" s="21">
        <v>400</v>
      </c>
      <c r="P251" s="20"/>
      <c r="Q251" s="20"/>
      <c r="R251" s="165" t="s">
        <v>343</v>
      </c>
      <c r="S251" s="165"/>
      <c r="T251" s="21">
        <v>300</v>
      </c>
      <c r="U251" s="21">
        <v>400</v>
      </c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spans="2:32" x14ac:dyDescent="0.2">
      <c r="B252" s="20"/>
      <c r="C252" s="165"/>
      <c r="D252" s="166"/>
      <c r="E252" s="174" t="s">
        <v>454</v>
      </c>
      <c r="F252" s="22">
        <v>0</v>
      </c>
      <c r="G252" s="22">
        <v>1</v>
      </c>
      <c r="H252" s="165">
        <f t="shared" si="580"/>
        <v>0</v>
      </c>
      <c r="I252" s="165">
        <f t="shared" si="581"/>
        <v>0</v>
      </c>
      <c r="J252" s="165">
        <f t="shared" si="582"/>
        <v>2</v>
      </c>
      <c r="K252" s="20"/>
      <c r="L252" s="165" t="s">
        <v>344</v>
      </c>
      <c r="M252" s="165"/>
      <c r="N252" s="166">
        <f>N251*N249</f>
        <v>300</v>
      </c>
      <c r="O252" s="166">
        <f>O251*O249</f>
        <v>400</v>
      </c>
      <c r="P252" s="20"/>
      <c r="Q252" s="20"/>
      <c r="R252" s="165" t="s">
        <v>340</v>
      </c>
      <c r="S252" s="165"/>
      <c r="T252" s="21">
        <v>30</v>
      </c>
      <c r="U252" s="127">
        <f>T252</f>
        <v>30</v>
      </c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spans="2:32" x14ac:dyDescent="0.2">
      <c r="B253" s="20"/>
      <c r="C253" s="165"/>
      <c r="D253" s="166"/>
      <c r="E253" s="174" t="s">
        <v>455</v>
      </c>
      <c r="F253" s="22">
        <v>0</v>
      </c>
      <c r="G253" s="22">
        <v>1</v>
      </c>
      <c r="H253" s="165">
        <f t="shared" si="580"/>
        <v>0</v>
      </c>
      <c r="I253" s="165">
        <f t="shared" si="581"/>
        <v>0</v>
      </c>
      <c r="J253" s="165">
        <f t="shared" si="582"/>
        <v>2</v>
      </c>
      <c r="K253" s="20"/>
      <c r="L253" s="165"/>
      <c r="M253" s="165"/>
      <c r="N253" s="166"/>
      <c r="O253" s="166"/>
      <c r="P253" s="20"/>
      <c r="Q253" s="20"/>
      <c r="R253" s="165" t="s">
        <v>342</v>
      </c>
      <c r="S253" s="165"/>
      <c r="T253" s="166">
        <f>T252*T251</f>
        <v>9000</v>
      </c>
      <c r="U253" s="166">
        <f>U252*U251</f>
        <v>12000</v>
      </c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spans="2:32" x14ac:dyDescent="0.2">
      <c r="B254" s="20"/>
      <c r="C254" s="165"/>
      <c r="D254" s="166"/>
      <c r="E254" s="174" t="s">
        <v>384</v>
      </c>
      <c r="F254" s="22">
        <v>10</v>
      </c>
      <c r="G254" s="22">
        <v>2</v>
      </c>
      <c r="H254" s="165">
        <f t="shared" si="580"/>
        <v>5</v>
      </c>
      <c r="I254" s="165">
        <f>H254*J253</f>
        <v>10</v>
      </c>
      <c r="J254" s="165">
        <f>I254</f>
        <v>10</v>
      </c>
      <c r="K254" s="20"/>
      <c r="L254" s="165"/>
      <c r="M254" s="165"/>
      <c r="N254" s="166"/>
      <c r="O254" s="166"/>
      <c r="P254" s="20"/>
      <c r="Q254" s="20"/>
      <c r="R254" s="165"/>
      <c r="S254" s="165"/>
      <c r="T254" s="166"/>
      <c r="U254" s="166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spans="2:32" x14ac:dyDescent="0.2">
      <c r="B255" s="20"/>
      <c r="C255" s="165"/>
      <c r="D255" s="166"/>
      <c r="E255" s="174" t="s">
        <v>456</v>
      </c>
      <c r="F255" s="22">
        <v>0</v>
      </c>
      <c r="G255" s="22">
        <v>1</v>
      </c>
      <c r="H255" s="165">
        <f>F255/G255</f>
        <v>0</v>
      </c>
      <c r="I255" s="165">
        <f>H255*J254</f>
        <v>0</v>
      </c>
      <c r="J255" s="165">
        <f>I255</f>
        <v>0</v>
      </c>
      <c r="K255" s="20"/>
      <c r="L255" s="167" t="s">
        <v>345</v>
      </c>
      <c r="M255" s="167"/>
      <c r="N255" s="168">
        <f>N252/N250</f>
        <v>20</v>
      </c>
      <c r="O255" s="168">
        <f>O252/O250</f>
        <v>26.666666666666668</v>
      </c>
      <c r="P255" s="20"/>
      <c r="Q255" s="20"/>
      <c r="R255" s="167" t="s">
        <v>345</v>
      </c>
      <c r="S255" s="167"/>
      <c r="T255" s="168">
        <f>T253/T250</f>
        <v>29.032258064516128</v>
      </c>
      <c r="U255" s="168">
        <f>U253/U250</f>
        <v>38.70967741935484</v>
      </c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spans="2:32" x14ac:dyDescent="0.2">
      <c r="B256" s="20"/>
      <c r="C256" s="165" t="s">
        <v>343</v>
      </c>
      <c r="D256" s="21">
        <v>400</v>
      </c>
      <c r="E256" s="174"/>
      <c r="F256" s="165"/>
      <c r="G256" s="165"/>
      <c r="H256" s="167" t="s">
        <v>385</v>
      </c>
      <c r="I256" s="165"/>
      <c r="J256" s="165">
        <f>J255</f>
        <v>0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spans="2:32" x14ac:dyDescent="0.2">
      <c r="B257" s="20"/>
      <c r="C257" s="165" t="s">
        <v>340</v>
      </c>
      <c r="D257" s="21">
        <v>30</v>
      </c>
      <c r="E257" s="174" t="s">
        <v>384</v>
      </c>
      <c r="F257" s="22">
        <v>10</v>
      </c>
      <c r="G257" s="22">
        <v>2</v>
      </c>
      <c r="H257" s="165">
        <f>F257/G257</f>
        <v>5</v>
      </c>
      <c r="I257" s="175">
        <f>H257*D249</f>
        <v>5</v>
      </c>
      <c r="J257" s="175">
        <f>I257</f>
        <v>5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spans="2:32" x14ac:dyDescent="0.2">
      <c r="B258" s="20"/>
      <c r="C258" s="165" t="s">
        <v>342</v>
      </c>
      <c r="D258" s="166">
        <f>D257*D256</f>
        <v>12000</v>
      </c>
      <c r="E258" s="165"/>
      <c r="F258" s="165"/>
      <c r="G258" s="165"/>
      <c r="H258" s="167" t="s">
        <v>385</v>
      </c>
      <c r="I258" s="165"/>
      <c r="J258" s="165">
        <f>J257</f>
        <v>5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spans="2:32" x14ac:dyDescent="0.2">
      <c r="B259" s="20"/>
      <c r="C259" s="165"/>
      <c r="D259" s="166"/>
      <c r="E259" s="174" t="s">
        <v>384</v>
      </c>
      <c r="F259" s="22">
        <v>10</v>
      </c>
      <c r="G259" s="22">
        <v>2</v>
      </c>
      <c r="H259" s="165">
        <f>F259/G259</f>
        <v>5</v>
      </c>
      <c r="I259" s="165">
        <f>H259*J258</f>
        <v>25</v>
      </c>
      <c r="J259" s="165">
        <f>I259</f>
        <v>25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spans="2:32" x14ac:dyDescent="0.2">
      <c r="B260" s="20"/>
      <c r="C260" s="167" t="s">
        <v>345</v>
      </c>
      <c r="D260" s="168">
        <f>D258/D250</f>
        <v>38.70967741935484</v>
      </c>
      <c r="E260" s="174"/>
      <c r="F260" s="165"/>
      <c r="G260" s="165"/>
      <c r="H260" s="167" t="s">
        <v>385</v>
      </c>
      <c r="I260" s="165"/>
      <c r="J260" s="165">
        <f>J259</f>
        <v>25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spans="2:32" x14ac:dyDescent="0.2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spans="2:32" x14ac:dyDescent="0.2">
      <c r="B262" s="20"/>
      <c r="C262" s="20"/>
      <c r="D262" s="136"/>
      <c r="E262" s="176"/>
      <c r="F262" s="176"/>
      <c r="G262" s="177"/>
      <c r="H262" s="20"/>
      <c r="I262" s="136"/>
      <c r="J262" s="176"/>
      <c r="K262" s="177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spans="2:32" ht="14.25" x14ac:dyDescent="0.2">
      <c r="B263" s="20"/>
      <c r="C263" s="20"/>
      <c r="D263" s="206" t="s">
        <v>27</v>
      </c>
      <c r="E263" s="207"/>
      <c r="F263" s="207"/>
      <c r="G263" s="208"/>
      <c r="H263" s="20"/>
      <c r="I263" s="206" t="s">
        <v>390</v>
      </c>
      <c r="J263" s="207"/>
      <c r="K263" s="208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spans="2:32" x14ac:dyDescent="0.2">
      <c r="B264" s="20"/>
      <c r="C264" s="20"/>
      <c r="D264" s="20" t="s">
        <v>28</v>
      </c>
      <c r="E264" s="127"/>
      <c r="F264" s="127"/>
      <c r="G264" s="21">
        <f>D250</f>
        <v>310</v>
      </c>
      <c r="H264" s="20"/>
      <c r="I264" s="20" t="s">
        <v>28</v>
      </c>
      <c r="J264" s="127"/>
      <c r="K264" s="21">
        <f>G264</f>
        <v>310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spans="2:32" x14ac:dyDescent="0.2">
      <c r="B265" s="20"/>
      <c r="C265" s="20"/>
      <c r="D265" s="20" t="s">
        <v>29</v>
      </c>
      <c r="E265" s="127"/>
      <c r="F265" s="127"/>
      <c r="G265" s="21">
        <f>D258</f>
        <v>12000</v>
      </c>
      <c r="H265" s="20"/>
      <c r="I265" s="20" t="s">
        <v>29</v>
      </c>
      <c r="J265" s="20"/>
      <c r="K265" s="21">
        <f>G265</f>
        <v>12000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spans="2:32" x14ac:dyDescent="0.2">
      <c r="B266" s="20"/>
      <c r="C266" s="20"/>
      <c r="D266" s="20" t="s">
        <v>30</v>
      </c>
      <c r="E266" s="20"/>
      <c r="F266" s="20"/>
      <c r="G266" s="22">
        <v>10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spans="2:32" x14ac:dyDescent="0.2">
      <c r="B267" s="20"/>
      <c r="C267" s="20"/>
      <c r="D267" s="23" t="s">
        <v>31</v>
      </c>
      <c r="E267" s="3"/>
      <c r="F267" s="3"/>
      <c r="G267" s="3">
        <f>((G265/G264)^(1/G266))-1</f>
        <v>0.44139149521864307</v>
      </c>
      <c r="H267" s="20"/>
      <c r="I267" s="23" t="s">
        <v>391</v>
      </c>
      <c r="J267" s="23"/>
      <c r="K267" s="191">
        <f>(K265-K264)/K264</f>
        <v>37.70967741935484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spans="2:32" x14ac:dyDescent="0.2">
      <c r="C268" s="20"/>
      <c r="D268" s="23" t="s">
        <v>32</v>
      </c>
      <c r="E268" s="163"/>
      <c r="F268" s="163"/>
      <c r="G268" s="24">
        <f>G266*12</f>
        <v>120</v>
      </c>
      <c r="H268" s="20"/>
      <c r="I268" s="23" t="s">
        <v>392</v>
      </c>
      <c r="J268" s="23"/>
      <c r="K268" s="23">
        <f>K265/K264</f>
        <v>38.70967741935484</v>
      </c>
    </row>
    <row r="269" spans="2:32" x14ac:dyDescent="0.2">
      <c r="C269" s="20"/>
      <c r="D269" s="20" t="s">
        <v>30</v>
      </c>
      <c r="E269" s="25"/>
      <c r="F269" s="25"/>
      <c r="G269" s="25">
        <f>G268/12</f>
        <v>10</v>
      </c>
      <c r="H269" s="20"/>
      <c r="I269" s="20"/>
      <c r="J269" s="20"/>
      <c r="K269" s="20"/>
    </row>
    <row r="270" spans="2:32" x14ac:dyDescent="0.2">
      <c r="C270" s="20"/>
      <c r="D270" s="23" t="s">
        <v>33</v>
      </c>
      <c r="E270" s="3"/>
      <c r="F270" s="3"/>
      <c r="G270" s="3">
        <f>((G265/G264)^(1/G269))-1</f>
        <v>0.44139149521864307</v>
      </c>
      <c r="H270" s="20"/>
      <c r="I270" s="20"/>
      <c r="J270" s="20"/>
      <c r="K270" s="20"/>
    </row>
    <row r="271" spans="2:32" x14ac:dyDescent="0.2">
      <c r="C271" s="20"/>
      <c r="D271" s="20"/>
      <c r="E271" s="20"/>
      <c r="F271" s="20"/>
      <c r="G271" s="20"/>
      <c r="H271" s="20"/>
      <c r="I271" s="20"/>
      <c r="J271" s="20"/>
      <c r="K271" s="20"/>
    </row>
    <row r="272" spans="2:32" x14ac:dyDescent="0.2">
      <c r="C272" s="20"/>
      <c r="D272" s="20"/>
      <c r="E272" s="20"/>
      <c r="F272" s="20"/>
      <c r="G272" s="20"/>
      <c r="H272" s="20"/>
      <c r="I272" s="20"/>
      <c r="J272" s="20"/>
      <c r="K272" s="20"/>
    </row>
  </sheetData>
  <mergeCells count="9">
    <mergeCell ref="A36:A45"/>
    <mergeCell ref="A124:A132"/>
    <mergeCell ref="D263:G263"/>
    <mergeCell ref="I263:K263"/>
    <mergeCell ref="AE2:AF2"/>
    <mergeCell ref="AE3:AF3"/>
    <mergeCell ref="L246:N246"/>
    <mergeCell ref="R246:T246"/>
    <mergeCell ref="K229:L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 x14ac:dyDescent="0.2">
      <c r="B3" s="224" t="s">
        <v>429</v>
      </c>
      <c r="C3" s="225"/>
      <c r="F3" s="224" t="s">
        <v>430</v>
      </c>
      <c r="G3" s="225"/>
    </row>
    <row r="4" spans="2:7" x14ac:dyDescent="0.2">
      <c r="B4" s="186" t="s">
        <v>431</v>
      </c>
      <c r="C4" s="186"/>
      <c r="F4" s="186" t="s">
        <v>432</v>
      </c>
      <c r="G4" s="186"/>
    </row>
    <row r="5" spans="2:7" x14ac:dyDescent="0.2">
      <c r="B5" s="186" t="s">
        <v>433</v>
      </c>
      <c r="C5" s="186"/>
      <c r="F5" s="186" t="s">
        <v>291</v>
      </c>
      <c r="G5" s="186"/>
    </row>
    <row r="6" spans="2:7" x14ac:dyDescent="0.2">
      <c r="B6" s="186" t="s">
        <v>434</v>
      </c>
      <c r="C6" s="186"/>
      <c r="F6" s="186" t="s">
        <v>435</v>
      </c>
      <c r="G6" s="186"/>
    </row>
    <row r="7" spans="2:7" x14ac:dyDescent="0.2">
      <c r="B7" s="186" t="s">
        <v>436</v>
      </c>
      <c r="C7" s="186"/>
      <c r="F7" s="186" t="s">
        <v>437</v>
      </c>
      <c r="G7" s="186"/>
    </row>
    <row r="8" spans="2:7" x14ac:dyDescent="0.2">
      <c r="B8" s="186" t="s">
        <v>438</v>
      </c>
      <c r="C8" s="186"/>
      <c r="F8" s="186" t="s">
        <v>439</v>
      </c>
      <c r="G8" s="186"/>
    </row>
    <row r="9" spans="2:7" x14ac:dyDescent="0.2">
      <c r="B9" s="186" t="s">
        <v>440</v>
      </c>
      <c r="C9" s="186"/>
      <c r="F9" s="186" t="s">
        <v>441</v>
      </c>
      <c r="G9" s="186"/>
    </row>
    <row r="10" spans="2:7" x14ac:dyDescent="0.2">
      <c r="B10" s="186" t="s">
        <v>439</v>
      </c>
      <c r="C10" s="186"/>
      <c r="F10" s="186"/>
      <c r="G10" s="186"/>
    </row>
    <row r="11" spans="2:7" x14ac:dyDescent="0.2">
      <c r="B11" s="186" t="s">
        <v>442</v>
      </c>
      <c r="C11" s="186"/>
      <c r="F11" s="186"/>
      <c r="G11" s="186"/>
    </row>
    <row r="12" spans="2:7" x14ac:dyDescent="0.2">
      <c r="B12" s="186" t="s">
        <v>443</v>
      </c>
      <c r="C12" s="186"/>
      <c r="F12" s="186"/>
      <c r="G12" s="186"/>
    </row>
    <row r="13" spans="2:7" x14ac:dyDescent="0.2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2014-12-30T10:41:05Z</dcterms:modified>
</cp:coreProperties>
</file>
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25725"/>
</workbook>
</file>

<file path=xl/calcChain.xml><?xml version="1.0" encoding="utf-8"?>
<calcChain xmlns="http://schemas.openxmlformats.org/spreadsheetml/2006/main">
  <c r="S187" i="18"/>
  <c r="N187"/>
  <c r="T190" l="1"/>
  <c r="T189"/>
  <c r="S40"/>
  <c r="D187"/>
  <c r="H187"/>
  <c r="L26"/>
  <c r="L91"/>
  <c r="J91"/>
  <c r="H91"/>
  <c r="F91"/>
  <c r="G91"/>
  <c r="I91"/>
  <c r="K91"/>
  <c r="M91"/>
  <c r="N91"/>
  <c r="O91"/>
  <c r="P91"/>
  <c r="H122"/>
  <c r="I122"/>
  <c r="J122"/>
  <c r="K122"/>
  <c r="L122"/>
  <c r="M122"/>
  <c r="N122"/>
  <c r="O122"/>
  <c r="P122"/>
  <c r="H121"/>
  <c r="I121"/>
  <c r="J121"/>
  <c r="K121"/>
  <c r="L121"/>
  <c r="M121"/>
  <c r="N121"/>
  <c r="O121"/>
  <c r="P121"/>
  <c r="G201"/>
  <c r="G202" s="1"/>
  <c r="G203" s="1"/>
  <c r="G200"/>
  <c r="K198"/>
  <c r="K197"/>
  <c r="AD48"/>
  <c r="C48"/>
  <c r="D48"/>
  <c r="E48"/>
  <c r="F48"/>
  <c r="H48"/>
  <c r="I48"/>
  <c r="J48"/>
  <c r="K48"/>
  <c r="L48"/>
  <c r="M48"/>
  <c r="N48"/>
  <c r="O48"/>
  <c r="P48"/>
  <c r="G48"/>
  <c r="H192"/>
  <c r="D191"/>
  <c r="I190"/>
  <c r="J190" s="1"/>
  <c r="J191" s="1"/>
  <c r="H190"/>
  <c r="H188"/>
  <c r="H186"/>
  <c r="H185"/>
  <c r="I185" s="1"/>
  <c r="J185" s="1"/>
  <c r="D193" l="1"/>
  <c r="K201"/>
  <c r="Q48"/>
  <c r="K200"/>
  <c r="I186"/>
  <c r="J186" s="1"/>
  <c r="I192"/>
  <c r="J192" s="1"/>
  <c r="J193" s="1"/>
  <c r="H83"/>
  <c r="I83"/>
  <c r="J83"/>
  <c r="K83"/>
  <c r="L83"/>
  <c r="M83"/>
  <c r="N83"/>
  <c r="O83"/>
  <c r="P83"/>
  <c r="G83"/>
  <c r="H39"/>
  <c r="I39"/>
  <c r="J39"/>
  <c r="K39"/>
  <c r="L39"/>
  <c r="M39"/>
  <c r="N39"/>
  <c r="O39"/>
  <c r="P39"/>
  <c r="K37"/>
  <c r="L37"/>
  <c r="M37"/>
  <c r="J37"/>
  <c r="I37"/>
  <c r="H37"/>
  <c r="G37"/>
  <c r="P37"/>
  <c r="O37"/>
  <c r="N37"/>
  <c r="P30"/>
  <c r="O30"/>
  <c r="N30"/>
  <c r="M30"/>
  <c r="N28"/>
  <c r="O28"/>
  <c r="P28"/>
  <c r="N26"/>
  <c r="O26"/>
  <c r="P26"/>
  <c r="H11"/>
  <c r="I11"/>
  <c r="J11"/>
  <c r="K11"/>
  <c r="L11"/>
  <c r="M11"/>
  <c r="N11"/>
  <c r="O11"/>
  <c r="P11"/>
  <c r="G122"/>
  <c r="G121"/>
  <c r="AD14"/>
  <c r="R14"/>
  <c r="S14" s="1"/>
  <c r="T14" s="1"/>
  <c r="U14" s="1"/>
  <c r="V14" s="1"/>
  <c r="W14" s="1"/>
  <c r="X14" s="1"/>
  <c r="Y14" s="1"/>
  <c r="Z14" s="1"/>
  <c r="AA14" s="1"/>
  <c r="AB14" s="1"/>
  <c r="Q14"/>
  <c r="T186"/>
  <c r="T185"/>
  <c r="O186"/>
  <c r="O189" s="1"/>
  <c r="O185"/>
  <c r="H89"/>
  <c r="I89"/>
  <c r="J89"/>
  <c r="K89"/>
  <c r="L89"/>
  <c r="M89"/>
  <c r="N89"/>
  <c r="O89"/>
  <c r="P89"/>
  <c r="G89"/>
  <c r="H86"/>
  <c r="I86"/>
  <c r="J86"/>
  <c r="K86"/>
  <c r="L86"/>
  <c r="M86"/>
  <c r="N86"/>
  <c r="O86"/>
  <c r="P86"/>
  <c r="G86"/>
  <c r="H87"/>
  <c r="I87"/>
  <c r="J87"/>
  <c r="K87"/>
  <c r="L87"/>
  <c r="M87"/>
  <c r="N87"/>
  <c r="O87"/>
  <c r="P87"/>
  <c r="G87"/>
  <c r="H117"/>
  <c r="H118" s="1"/>
  <c r="I117"/>
  <c r="I118" s="1"/>
  <c r="J117"/>
  <c r="J118" s="1"/>
  <c r="K117"/>
  <c r="K118" s="1"/>
  <c r="L117"/>
  <c r="L118" s="1"/>
  <c r="M117"/>
  <c r="M118" s="1"/>
  <c r="N117"/>
  <c r="N118" s="1"/>
  <c r="O117"/>
  <c r="O118" s="1"/>
  <c r="P117"/>
  <c r="P118" s="1"/>
  <c r="G117"/>
  <c r="G118" s="1"/>
  <c r="I187" l="1"/>
  <c r="J187" s="1"/>
  <c r="I188" s="1"/>
  <c r="J188" s="1"/>
  <c r="J189" s="1"/>
  <c r="Q121"/>
  <c r="Q122"/>
  <c r="Q83"/>
  <c r="Q89"/>
  <c r="AC14"/>
  <c r="AE14"/>
  <c r="Q86"/>
  <c r="Q118"/>
  <c r="Q117"/>
  <c r="Q87"/>
  <c r="P82"/>
  <c r="P81"/>
  <c r="E82"/>
  <c r="F82"/>
  <c r="H82"/>
  <c r="I82"/>
  <c r="J82"/>
  <c r="K82"/>
  <c r="L82"/>
  <c r="M82"/>
  <c r="N82"/>
  <c r="O82"/>
  <c r="G82"/>
  <c r="G81"/>
  <c r="H115"/>
  <c r="I115"/>
  <c r="J115"/>
  <c r="K115"/>
  <c r="L115"/>
  <c r="M115"/>
  <c r="N115"/>
  <c r="O115"/>
  <c r="P115"/>
  <c r="G115"/>
  <c r="H114"/>
  <c r="I114"/>
  <c r="J114"/>
  <c r="K114"/>
  <c r="L114"/>
  <c r="M114"/>
  <c r="N114"/>
  <c r="O114"/>
  <c r="P114"/>
  <c r="G114"/>
  <c r="H111"/>
  <c r="I111"/>
  <c r="J111"/>
  <c r="K111"/>
  <c r="L111"/>
  <c r="M111"/>
  <c r="N111"/>
  <c r="O111"/>
  <c r="P111"/>
  <c r="G111"/>
  <c r="H112"/>
  <c r="I112"/>
  <c r="J112"/>
  <c r="K112"/>
  <c r="L112"/>
  <c r="M112"/>
  <c r="N112"/>
  <c r="O112"/>
  <c r="P112"/>
  <c r="G112"/>
  <c r="H110"/>
  <c r="I110"/>
  <c r="J110"/>
  <c r="K110"/>
  <c r="L110"/>
  <c r="M110"/>
  <c r="N110"/>
  <c r="O110"/>
  <c r="P110"/>
  <c r="G110"/>
  <c r="H109"/>
  <c r="I109"/>
  <c r="J109"/>
  <c r="K109"/>
  <c r="L109"/>
  <c r="M109"/>
  <c r="N109"/>
  <c r="O109"/>
  <c r="P109"/>
  <c r="G109"/>
  <c r="R155"/>
  <c r="H106"/>
  <c r="I106"/>
  <c r="J106"/>
  <c r="K106"/>
  <c r="L106"/>
  <c r="M106"/>
  <c r="N106"/>
  <c r="O106"/>
  <c r="P106"/>
  <c r="G106"/>
  <c r="H105"/>
  <c r="I105"/>
  <c r="J105"/>
  <c r="K105"/>
  <c r="L105"/>
  <c r="M105"/>
  <c r="N105"/>
  <c r="O105"/>
  <c r="P105"/>
  <c r="G105"/>
  <c r="H104"/>
  <c r="I104"/>
  <c r="J104"/>
  <c r="K104"/>
  <c r="L104"/>
  <c r="M104"/>
  <c r="N104"/>
  <c r="O104"/>
  <c r="P104"/>
  <c r="G104"/>
  <c r="B106"/>
  <c r="B105"/>
  <c r="K170"/>
  <c r="K169"/>
  <c r="K168"/>
  <c r="AD32"/>
  <c r="R32"/>
  <c r="S32" s="1"/>
  <c r="T32" s="1"/>
  <c r="U32" s="1"/>
  <c r="V32" s="1"/>
  <c r="W32" s="1"/>
  <c r="X32" s="1"/>
  <c r="Y32" s="1"/>
  <c r="Z32" s="1"/>
  <c r="AA32" s="1"/>
  <c r="AB32" s="1"/>
  <c r="Q32"/>
  <c r="G94"/>
  <c r="H94"/>
  <c r="I94"/>
  <c r="J94"/>
  <c r="K94"/>
  <c r="L94"/>
  <c r="M94"/>
  <c r="N94"/>
  <c r="O94"/>
  <c r="P94"/>
  <c r="S190"/>
  <c r="N189"/>
  <c r="T187"/>
  <c r="T192" s="1"/>
  <c r="O187"/>
  <c r="O192" s="1"/>
  <c r="F102"/>
  <c r="H102"/>
  <c r="I102"/>
  <c r="J102"/>
  <c r="K102"/>
  <c r="L102"/>
  <c r="M102"/>
  <c r="N102"/>
  <c r="O102"/>
  <c r="P102"/>
  <c r="G102"/>
  <c r="F101"/>
  <c r="H101"/>
  <c r="I101"/>
  <c r="J101"/>
  <c r="K101"/>
  <c r="L101"/>
  <c r="M101"/>
  <c r="N101"/>
  <c r="O101"/>
  <c r="P101"/>
  <c r="G101"/>
  <c r="Q112" l="1"/>
  <c r="Q82"/>
  <c r="Q109"/>
  <c r="Q115"/>
  <c r="Q114"/>
  <c r="Q110"/>
  <c r="Q111"/>
  <c r="Q104"/>
  <c r="Q105"/>
  <c r="Q106"/>
  <c r="Q94"/>
  <c r="AC32"/>
  <c r="AE32"/>
  <c r="N192"/>
  <c r="S192"/>
  <c r="Q102"/>
  <c r="Q101"/>
  <c r="R9"/>
  <c r="R10"/>
  <c r="R12"/>
  <c r="R13"/>
  <c r="R15"/>
  <c r="R16"/>
  <c r="R18"/>
  <c r="R20"/>
  <c r="R21"/>
  <c r="R22"/>
  <c r="R23"/>
  <c r="R25"/>
  <c r="R27"/>
  <c r="R29"/>
  <c r="R31"/>
  <c r="S31" s="1"/>
  <c r="T31" s="1"/>
  <c r="U31" s="1"/>
  <c r="V31" s="1"/>
  <c r="W31" s="1"/>
  <c r="X31" s="1"/>
  <c r="Y31" s="1"/>
  <c r="Z31" s="1"/>
  <c r="AA31" s="1"/>
  <c r="AB31" s="1"/>
  <c r="R33"/>
  <c r="R34"/>
  <c r="R36"/>
  <c r="R38"/>
  <c r="R7"/>
  <c r="R6"/>
  <c r="AD9"/>
  <c r="AD10"/>
  <c r="AD11"/>
  <c r="AD12"/>
  <c r="AD13"/>
  <c r="AD15"/>
  <c r="AD16"/>
  <c r="AD18"/>
  <c r="AD20"/>
  <c r="AD21"/>
  <c r="AD22"/>
  <c r="AD23"/>
  <c r="AD25"/>
  <c r="AD27"/>
  <c r="AD29"/>
  <c r="AD31"/>
  <c r="AD33"/>
  <c r="AD34"/>
  <c r="AD36"/>
  <c r="AD38"/>
  <c r="AD40"/>
  <c r="AD41"/>
  <c r="AD44"/>
  <c r="AD45"/>
  <c r="AD47"/>
  <c r="AD49"/>
  <c r="AD50"/>
  <c r="AD51"/>
  <c r="AD53"/>
  <c r="AD54"/>
  <c r="AD55"/>
  <c r="AD57"/>
  <c r="AD58"/>
  <c r="AD59"/>
  <c r="AD60"/>
  <c r="AD62"/>
  <c r="AD63"/>
  <c r="AD65"/>
  <c r="AD67"/>
  <c r="AD68"/>
  <c r="AD69"/>
  <c r="AD70"/>
  <c r="AD71"/>
  <c r="AD73"/>
  <c r="AD74"/>
  <c r="AD75"/>
  <c r="AD7"/>
  <c r="AD6"/>
  <c r="Q91" l="1"/>
  <c r="H85"/>
  <c r="I85"/>
  <c r="J85"/>
  <c r="K85"/>
  <c r="L85"/>
  <c r="M85"/>
  <c r="N85"/>
  <c r="O85"/>
  <c r="P85"/>
  <c r="H88"/>
  <c r="I88"/>
  <c r="J88"/>
  <c r="K88"/>
  <c r="L88"/>
  <c r="M88"/>
  <c r="N88"/>
  <c r="O88"/>
  <c r="P88"/>
  <c r="G88"/>
  <c r="G85"/>
  <c r="S29"/>
  <c r="Q29"/>
  <c r="L30"/>
  <c r="K30"/>
  <c r="J30"/>
  <c r="I30"/>
  <c r="H30"/>
  <c r="G30"/>
  <c r="T29" l="1"/>
  <c r="Q88"/>
  <c r="Q85"/>
  <c r="H93"/>
  <c r="I93"/>
  <c r="J93"/>
  <c r="K93"/>
  <c r="L93"/>
  <c r="M93"/>
  <c r="N93"/>
  <c r="O93"/>
  <c r="P93"/>
  <c r="G93"/>
  <c r="H92"/>
  <c r="I92"/>
  <c r="J92"/>
  <c r="K92"/>
  <c r="L92"/>
  <c r="M92"/>
  <c r="N92"/>
  <c r="O92"/>
  <c r="P92"/>
  <c r="G92"/>
  <c r="U29" l="1"/>
  <c r="Q92"/>
  <c r="Q93"/>
  <c r="AE62"/>
  <c r="V29" l="1"/>
  <c r="C163"/>
  <c r="D163"/>
  <c r="E163"/>
  <c r="F163"/>
  <c r="G163"/>
  <c r="H163"/>
  <c r="I163"/>
  <c r="J163"/>
  <c r="K163"/>
  <c r="L163"/>
  <c r="M163"/>
  <c r="N163"/>
  <c r="O163"/>
  <c r="P163"/>
  <c r="C9" i="15"/>
  <c r="D63" i="18"/>
  <c r="E63"/>
  <c r="E96" s="1"/>
  <c r="E97" s="1"/>
  <c r="F63"/>
  <c r="F96" s="1"/>
  <c r="F97" s="1"/>
  <c r="G63"/>
  <c r="G96" s="1"/>
  <c r="G97" s="1"/>
  <c r="H63"/>
  <c r="H96" s="1"/>
  <c r="H97" s="1"/>
  <c r="I63"/>
  <c r="I96" s="1"/>
  <c r="I97" s="1"/>
  <c r="J63"/>
  <c r="J96" s="1"/>
  <c r="J97" s="1"/>
  <c r="K63"/>
  <c r="K96" s="1"/>
  <c r="K97" s="1"/>
  <c r="L63"/>
  <c r="L96" s="1"/>
  <c r="L97" s="1"/>
  <c r="M63"/>
  <c r="M96" s="1"/>
  <c r="M97" s="1"/>
  <c r="N63"/>
  <c r="N96" s="1"/>
  <c r="N97" s="1"/>
  <c r="O63"/>
  <c r="O96" s="1"/>
  <c r="O97" s="1"/>
  <c r="P63"/>
  <c r="P96" s="1"/>
  <c r="C63"/>
  <c r="S41"/>
  <c r="Q41"/>
  <c r="S63" l="1"/>
  <c r="S96" s="1"/>
  <c r="S97" s="1"/>
  <c r="W29"/>
  <c r="Q163"/>
  <c r="N98"/>
  <c r="N99" s="1"/>
  <c r="J98"/>
  <c r="J99" s="1"/>
  <c r="L98"/>
  <c r="L99" s="1"/>
  <c r="H98"/>
  <c r="H99" s="1"/>
  <c r="M98"/>
  <c r="M99" s="1"/>
  <c r="I98"/>
  <c r="I99" s="1"/>
  <c r="F98"/>
  <c r="F99" s="1"/>
  <c r="O98"/>
  <c r="O99" s="1"/>
  <c r="K98"/>
  <c r="K99" s="1"/>
  <c r="G98"/>
  <c r="G99" s="1"/>
  <c r="P97"/>
  <c r="Q96"/>
  <c r="T41"/>
  <c r="U41" l="1"/>
  <c r="X29"/>
  <c r="P98"/>
  <c r="Q97"/>
  <c r="T63"/>
  <c r="C73"/>
  <c r="D73"/>
  <c r="E73"/>
  <c r="F73"/>
  <c r="G73"/>
  <c r="G119" s="1"/>
  <c r="H73"/>
  <c r="H119" s="1"/>
  <c r="I73"/>
  <c r="I119" s="1"/>
  <c r="J73"/>
  <c r="J119" s="1"/>
  <c r="K73"/>
  <c r="K119" s="1"/>
  <c r="L73"/>
  <c r="L119" s="1"/>
  <c r="M73"/>
  <c r="M119" s="1"/>
  <c r="N73"/>
  <c r="N119" s="1"/>
  <c r="O73"/>
  <c r="O119" s="1"/>
  <c r="C74"/>
  <c r="D74"/>
  <c r="E74"/>
  <c r="F74"/>
  <c r="G74"/>
  <c r="H74"/>
  <c r="I74"/>
  <c r="J74"/>
  <c r="K74"/>
  <c r="L74"/>
  <c r="M74"/>
  <c r="N74"/>
  <c r="O74"/>
  <c r="C75"/>
  <c r="D75"/>
  <c r="E75"/>
  <c r="F75"/>
  <c r="G75"/>
  <c r="H75"/>
  <c r="I75"/>
  <c r="J75"/>
  <c r="K75"/>
  <c r="L75"/>
  <c r="M75"/>
  <c r="N75"/>
  <c r="O75"/>
  <c r="P75"/>
  <c r="P74"/>
  <c r="P73"/>
  <c r="P119" s="1"/>
  <c r="E81"/>
  <c r="F81"/>
  <c r="H81"/>
  <c r="I81"/>
  <c r="J81"/>
  <c r="K81"/>
  <c r="L81"/>
  <c r="M81"/>
  <c r="N81"/>
  <c r="O81"/>
  <c r="E79"/>
  <c r="E80"/>
  <c r="F80"/>
  <c r="G80"/>
  <c r="H80"/>
  <c r="I80"/>
  <c r="J80"/>
  <c r="K80"/>
  <c r="L80"/>
  <c r="M80"/>
  <c r="N80"/>
  <c r="O80"/>
  <c r="F79"/>
  <c r="G79"/>
  <c r="H79"/>
  <c r="I79"/>
  <c r="J79"/>
  <c r="K79"/>
  <c r="L79"/>
  <c r="M79"/>
  <c r="N79"/>
  <c r="O79"/>
  <c r="P80"/>
  <c r="G39"/>
  <c r="G28"/>
  <c r="G11"/>
  <c r="G8"/>
  <c r="G26"/>
  <c r="V41" l="1"/>
  <c r="U63"/>
  <c r="Q119"/>
  <c r="Y29"/>
  <c r="Q75"/>
  <c r="Q73"/>
  <c r="Q74"/>
  <c r="Q80"/>
  <c r="Q81"/>
  <c r="P79"/>
  <c r="Q79" s="1"/>
  <c r="C178"/>
  <c r="D178"/>
  <c r="E178"/>
  <c r="F178"/>
  <c r="C179"/>
  <c r="D179"/>
  <c r="E179"/>
  <c r="F179"/>
  <c r="C180"/>
  <c r="D180"/>
  <c r="E180"/>
  <c r="F180"/>
  <c r="H180"/>
  <c r="I180"/>
  <c r="J180"/>
  <c r="K180"/>
  <c r="L180"/>
  <c r="M180"/>
  <c r="N180"/>
  <c r="O180"/>
  <c r="P180"/>
  <c r="G180"/>
  <c r="H179"/>
  <c r="I179"/>
  <c r="J179"/>
  <c r="K179"/>
  <c r="L179"/>
  <c r="M179"/>
  <c r="N179"/>
  <c r="O179"/>
  <c r="P179"/>
  <c r="G179"/>
  <c r="H178"/>
  <c r="I178"/>
  <c r="J178"/>
  <c r="K178"/>
  <c r="L178"/>
  <c r="M178"/>
  <c r="N178"/>
  <c r="O178"/>
  <c r="P178"/>
  <c r="G178"/>
  <c r="H45"/>
  <c r="I45"/>
  <c r="J45"/>
  <c r="K45"/>
  <c r="L45"/>
  <c r="M45"/>
  <c r="N45"/>
  <c r="O45"/>
  <c r="P45"/>
  <c r="C45"/>
  <c r="D45"/>
  <c r="E45"/>
  <c r="F45"/>
  <c r="G45"/>
  <c r="G47"/>
  <c r="G162" s="1"/>
  <c r="H44"/>
  <c r="H156" s="1"/>
  <c r="I44"/>
  <c r="I156" s="1"/>
  <c r="J44"/>
  <c r="J156" s="1"/>
  <c r="K44"/>
  <c r="K156" s="1"/>
  <c r="L44"/>
  <c r="L156" s="1"/>
  <c r="M44"/>
  <c r="M156" s="1"/>
  <c r="N44"/>
  <c r="N156" s="1"/>
  <c r="O44"/>
  <c r="O156" s="1"/>
  <c r="P44"/>
  <c r="P156" s="1"/>
  <c r="M171" s="1"/>
  <c r="C44"/>
  <c r="C156" s="1"/>
  <c r="D44"/>
  <c r="D156" s="1"/>
  <c r="E44"/>
  <c r="E156" s="1"/>
  <c r="F44"/>
  <c r="F156" s="1"/>
  <c r="G44"/>
  <c r="G156" s="1"/>
  <c r="M28"/>
  <c r="L28"/>
  <c r="K28"/>
  <c r="J28"/>
  <c r="I28"/>
  <c r="H28"/>
  <c r="M26"/>
  <c r="K26"/>
  <c r="J26"/>
  <c r="I26"/>
  <c r="H26"/>
  <c r="I8"/>
  <c r="J8"/>
  <c r="K8"/>
  <c r="L8"/>
  <c r="M8"/>
  <c r="N8"/>
  <c r="O8"/>
  <c r="P8"/>
  <c r="H8"/>
  <c r="Q40"/>
  <c r="S36"/>
  <c r="S86" s="1"/>
  <c r="Q36"/>
  <c r="W41" l="1"/>
  <c r="V63"/>
  <c r="Q156"/>
  <c r="Z29"/>
  <c r="T36"/>
  <c r="T86" s="1"/>
  <c r="Q180"/>
  <c r="Q45"/>
  <c r="Q44"/>
  <c r="Q179"/>
  <c r="Q178"/>
  <c r="Q31"/>
  <c r="Q34"/>
  <c r="X41" l="1"/>
  <c r="W63"/>
  <c r="AA29"/>
  <c r="U36"/>
  <c r="U86" s="1"/>
  <c r="I70"/>
  <c r="J70"/>
  <c r="K70"/>
  <c r="L70"/>
  <c r="M70"/>
  <c r="N70"/>
  <c r="O70"/>
  <c r="P70"/>
  <c r="I71"/>
  <c r="J71"/>
  <c r="K71"/>
  <c r="L71"/>
  <c r="M71"/>
  <c r="N71"/>
  <c r="O71"/>
  <c r="P71"/>
  <c r="I65"/>
  <c r="I67" s="1"/>
  <c r="J65"/>
  <c r="J67" s="1"/>
  <c r="K65"/>
  <c r="K67" s="1"/>
  <c r="L65"/>
  <c r="L67" s="1"/>
  <c r="M65"/>
  <c r="M67" s="1"/>
  <c r="N65"/>
  <c r="N67" s="1"/>
  <c r="O65"/>
  <c r="O67" s="1"/>
  <c r="P65"/>
  <c r="P67" s="1"/>
  <c r="I68"/>
  <c r="J68"/>
  <c r="K68"/>
  <c r="L68"/>
  <c r="M68"/>
  <c r="N68"/>
  <c r="O68"/>
  <c r="P68"/>
  <c r="I69"/>
  <c r="J69"/>
  <c r="K69"/>
  <c r="L69"/>
  <c r="M69"/>
  <c r="N69"/>
  <c r="O69"/>
  <c r="P69"/>
  <c r="C68"/>
  <c r="D68"/>
  <c r="E68"/>
  <c r="F68"/>
  <c r="G68"/>
  <c r="C69"/>
  <c r="D69"/>
  <c r="E69"/>
  <c r="F69"/>
  <c r="G69"/>
  <c r="C70"/>
  <c r="D70"/>
  <c r="E70"/>
  <c r="F70"/>
  <c r="G70"/>
  <c r="C71"/>
  <c r="D71"/>
  <c r="E71"/>
  <c r="F71"/>
  <c r="G71"/>
  <c r="H71"/>
  <c r="H70"/>
  <c r="S23"/>
  <c r="Q23"/>
  <c r="S22"/>
  <c r="T22" s="1"/>
  <c r="U22" s="1"/>
  <c r="V22" s="1"/>
  <c r="W22" s="1"/>
  <c r="X22" s="1"/>
  <c r="Y22" s="1"/>
  <c r="Z22" s="1"/>
  <c r="AA22" s="1"/>
  <c r="AB22" s="1"/>
  <c r="S21"/>
  <c r="Q20"/>
  <c r="C65"/>
  <c r="C67" s="1"/>
  <c r="D65"/>
  <c r="D67" s="1"/>
  <c r="E65"/>
  <c r="E67" s="1"/>
  <c r="F65"/>
  <c r="F67" s="1"/>
  <c r="G65"/>
  <c r="G67" s="1"/>
  <c r="H65"/>
  <c r="H67" s="1"/>
  <c r="H69"/>
  <c r="H68"/>
  <c r="Y41" l="1"/>
  <c r="X63"/>
  <c r="T23"/>
  <c r="S89"/>
  <c r="AB29"/>
  <c r="AE31"/>
  <c r="AC31"/>
  <c r="AC22"/>
  <c r="AE22"/>
  <c r="V36"/>
  <c r="V86" s="1"/>
  <c r="Q70"/>
  <c r="Q71"/>
  <c r="Q69"/>
  <c r="Q67"/>
  <c r="Q68"/>
  <c r="Q22"/>
  <c r="Q21"/>
  <c r="Q65"/>
  <c r="S20"/>
  <c r="S48" s="1"/>
  <c r="T21"/>
  <c r="Q63"/>
  <c r="Q155"/>
  <c r="Y63" l="1"/>
  <c r="Z41"/>
  <c r="U23"/>
  <c r="T89"/>
  <c r="AE29"/>
  <c r="AC29"/>
  <c r="T20"/>
  <c r="S65"/>
  <c r="U21"/>
  <c r="C19" i="15"/>
  <c r="S9" i="18"/>
  <c r="T9" s="1"/>
  <c r="U9" s="1"/>
  <c r="V9" s="1"/>
  <c r="W9" s="1"/>
  <c r="X9" s="1"/>
  <c r="Y9" s="1"/>
  <c r="Z9" s="1"/>
  <c r="AA9" s="1"/>
  <c r="AB9" s="1"/>
  <c r="AE9" s="1"/>
  <c r="Q38"/>
  <c r="Q33"/>
  <c r="Q27"/>
  <c r="Q25"/>
  <c r="Q18"/>
  <c r="Q16"/>
  <c r="Q15"/>
  <c r="Q13"/>
  <c r="Q12"/>
  <c r="Q10"/>
  <c r="Q9"/>
  <c r="Q7"/>
  <c r="Q6"/>
  <c r="S18"/>
  <c r="S25"/>
  <c r="S83" s="1"/>
  <c r="S27"/>
  <c r="S33"/>
  <c r="T33" s="1"/>
  <c r="U33" s="1"/>
  <c r="V33" s="1"/>
  <c r="W33" s="1"/>
  <c r="X33" s="1"/>
  <c r="Y33" s="1"/>
  <c r="Z33" s="1"/>
  <c r="AA33" s="1"/>
  <c r="AB33" s="1"/>
  <c r="AE33" s="1"/>
  <c r="S34"/>
  <c r="T34" s="1"/>
  <c r="U34" s="1"/>
  <c r="V34" s="1"/>
  <c r="W34" s="1"/>
  <c r="X34" s="1"/>
  <c r="Y34" s="1"/>
  <c r="Z34" s="1"/>
  <c r="AA34" s="1"/>
  <c r="AB34" s="1"/>
  <c r="AE34" s="1"/>
  <c r="W36"/>
  <c r="W86" s="1"/>
  <c r="O61"/>
  <c r="O160" s="1"/>
  <c r="O60"/>
  <c r="O58"/>
  <c r="O57"/>
  <c r="O55"/>
  <c r="O161" s="1"/>
  <c r="O54"/>
  <c r="O53"/>
  <c r="O51"/>
  <c r="O50"/>
  <c r="O158" s="1"/>
  <c r="O49"/>
  <c r="O47"/>
  <c r="Z63" l="1"/>
  <c r="AA41"/>
  <c r="T65"/>
  <c r="S111"/>
  <c r="S121"/>
  <c r="S112"/>
  <c r="S122"/>
  <c r="V23"/>
  <c r="U89"/>
  <c r="S105"/>
  <c r="S106"/>
  <c r="S104"/>
  <c r="S94"/>
  <c r="P99"/>
  <c r="Q99" s="1"/>
  <c r="Q98"/>
  <c r="S85"/>
  <c r="S102"/>
  <c r="S101"/>
  <c r="T18"/>
  <c r="O157"/>
  <c r="O162"/>
  <c r="U20"/>
  <c r="T27"/>
  <c r="X36"/>
  <c r="X86" s="1"/>
  <c r="T25"/>
  <c r="T83" s="1"/>
  <c r="S79"/>
  <c r="V21"/>
  <c r="AC33"/>
  <c r="AC34"/>
  <c r="AC9"/>
  <c r="O59"/>
  <c r="O159" s="1"/>
  <c r="D55"/>
  <c r="E55"/>
  <c r="F55"/>
  <c r="G55"/>
  <c r="G161" s="1"/>
  <c r="H55"/>
  <c r="H161" s="1"/>
  <c r="I55"/>
  <c r="I161" s="1"/>
  <c r="J55"/>
  <c r="J161" s="1"/>
  <c r="K55"/>
  <c r="K161" s="1"/>
  <c r="L55"/>
  <c r="L161" s="1"/>
  <c r="M55"/>
  <c r="M161" s="1"/>
  <c r="N55"/>
  <c r="N161" s="1"/>
  <c r="P55"/>
  <c r="C55"/>
  <c r="C54"/>
  <c r="AB41" l="1"/>
  <c r="AA63"/>
  <c r="T112"/>
  <c r="T122"/>
  <c r="T111"/>
  <c r="T121"/>
  <c r="W23"/>
  <c r="V89"/>
  <c r="T104"/>
  <c r="T106"/>
  <c r="T105"/>
  <c r="T94"/>
  <c r="T85"/>
  <c r="T102"/>
  <c r="T101"/>
  <c r="U18"/>
  <c r="V20"/>
  <c r="U65"/>
  <c r="U27"/>
  <c r="U25"/>
  <c r="T79"/>
  <c r="Y36"/>
  <c r="Y86" s="1"/>
  <c r="W21"/>
  <c r="P161"/>
  <c r="Q161" s="1"/>
  <c r="Q55"/>
  <c r="D54"/>
  <c r="E54"/>
  <c r="F54"/>
  <c r="G54"/>
  <c r="H54"/>
  <c r="I54"/>
  <c r="J54"/>
  <c r="K54"/>
  <c r="L54"/>
  <c r="M54"/>
  <c r="N54"/>
  <c r="P54"/>
  <c r="D53"/>
  <c r="E53"/>
  <c r="F53"/>
  <c r="G53"/>
  <c r="H53"/>
  <c r="I53"/>
  <c r="J53"/>
  <c r="K53"/>
  <c r="L53"/>
  <c r="M53"/>
  <c r="N53"/>
  <c r="P53"/>
  <c r="C53"/>
  <c r="AE41" l="1"/>
  <c r="AB63"/>
  <c r="AC41"/>
  <c r="U111"/>
  <c r="U121"/>
  <c r="U112"/>
  <c r="U122"/>
  <c r="U83"/>
  <c r="X23"/>
  <c r="W89"/>
  <c r="U106"/>
  <c r="U105"/>
  <c r="U104"/>
  <c r="U94"/>
  <c r="U85"/>
  <c r="U102"/>
  <c r="U101"/>
  <c r="V18"/>
  <c r="W20"/>
  <c r="V65"/>
  <c r="V27"/>
  <c r="V25"/>
  <c r="V83" s="1"/>
  <c r="U79"/>
  <c r="Z36"/>
  <c r="Z86" s="1"/>
  <c r="X21"/>
  <c r="Q53"/>
  <c r="Q54"/>
  <c r="C46" i="15"/>
  <c r="S143" i="18" l="1"/>
  <c r="AE63"/>
  <c r="T143" s="1"/>
  <c r="AC63"/>
  <c r="V112"/>
  <c r="V122"/>
  <c r="V111"/>
  <c r="V121"/>
  <c r="Y23"/>
  <c r="X89"/>
  <c r="V94"/>
  <c r="V106"/>
  <c r="V105"/>
  <c r="V104"/>
  <c r="V85"/>
  <c r="V102"/>
  <c r="V101"/>
  <c r="W18"/>
  <c r="X20"/>
  <c r="W65"/>
  <c r="W27"/>
  <c r="W25"/>
  <c r="V79"/>
  <c r="AA36"/>
  <c r="AA86" s="1"/>
  <c r="Y21"/>
  <c r="S155"/>
  <c r="S163" s="1"/>
  <c r="C47"/>
  <c r="D47"/>
  <c r="E47"/>
  <c r="F47"/>
  <c r="H47"/>
  <c r="I47"/>
  <c r="J47"/>
  <c r="K47"/>
  <c r="L47"/>
  <c r="L162" s="1"/>
  <c r="M47"/>
  <c r="N47"/>
  <c r="N162" s="1"/>
  <c r="P47"/>
  <c r="D61"/>
  <c r="D160" s="1"/>
  <c r="E61"/>
  <c r="E160" s="1"/>
  <c r="F61"/>
  <c r="F160" s="1"/>
  <c r="G61"/>
  <c r="H61"/>
  <c r="H160" s="1"/>
  <c r="I61"/>
  <c r="I160" s="1"/>
  <c r="J61"/>
  <c r="J160" s="1"/>
  <c r="K61"/>
  <c r="K160" s="1"/>
  <c r="L61"/>
  <c r="L160" s="1"/>
  <c r="M61"/>
  <c r="M160" s="1"/>
  <c r="N61"/>
  <c r="P61"/>
  <c r="D60"/>
  <c r="E60"/>
  <c r="F60"/>
  <c r="G60"/>
  <c r="H60"/>
  <c r="I60"/>
  <c r="J60"/>
  <c r="K60"/>
  <c r="L60"/>
  <c r="M60"/>
  <c r="N60"/>
  <c r="P60"/>
  <c r="D58"/>
  <c r="E58"/>
  <c r="F58"/>
  <c r="G58"/>
  <c r="H58"/>
  <c r="I58"/>
  <c r="J58"/>
  <c r="K58"/>
  <c r="L58"/>
  <c r="M58"/>
  <c r="N58"/>
  <c r="P58"/>
  <c r="D57"/>
  <c r="D59" s="1"/>
  <c r="D159" s="1"/>
  <c r="E57"/>
  <c r="E59" s="1"/>
  <c r="E159" s="1"/>
  <c r="F57"/>
  <c r="G57"/>
  <c r="H57"/>
  <c r="I57"/>
  <c r="J57"/>
  <c r="K57"/>
  <c r="L57"/>
  <c r="M57"/>
  <c r="N57"/>
  <c r="P57"/>
  <c r="D51"/>
  <c r="E51"/>
  <c r="F51"/>
  <c r="G51"/>
  <c r="H51"/>
  <c r="I51"/>
  <c r="J51"/>
  <c r="K51"/>
  <c r="L51"/>
  <c r="M51"/>
  <c r="N51"/>
  <c r="P51"/>
  <c r="D50"/>
  <c r="D158" s="1"/>
  <c r="E50"/>
  <c r="E158" s="1"/>
  <c r="F50"/>
  <c r="F158" s="1"/>
  <c r="G50"/>
  <c r="H50"/>
  <c r="H158" s="1"/>
  <c r="I50"/>
  <c r="I158" s="1"/>
  <c r="J50"/>
  <c r="J158" s="1"/>
  <c r="K50"/>
  <c r="K158" s="1"/>
  <c r="L50"/>
  <c r="L158" s="1"/>
  <c r="M50"/>
  <c r="M158" s="1"/>
  <c r="N50"/>
  <c r="P50"/>
  <c r="C61"/>
  <c r="C160" s="1"/>
  <c r="C60"/>
  <c r="C58"/>
  <c r="C57"/>
  <c r="C51"/>
  <c r="C50"/>
  <c r="C158" s="1"/>
  <c r="D49"/>
  <c r="E49"/>
  <c r="F49"/>
  <c r="G49"/>
  <c r="H49"/>
  <c r="I49"/>
  <c r="J49"/>
  <c r="K49"/>
  <c r="L49"/>
  <c r="M49"/>
  <c r="N49"/>
  <c r="P49"/>
  <c r="C49"/>
  <c r="S15"/>
  <c r="S109" s="1"/>
  <c r="S16"/>
  <c r="S117" s="1"/>
  <c r="S118" s="1"/>
  <c r="S38"/>
  <c r="S87" s="1"/>
  <c r="S10"/>
  <c r="S12"/>
  <c r="S13"/>
  <c r="S7"/>
  <c r="S6"/>
  <c r="P175" l="1"/>
  <c r="S175"/>
  <c r="M175"/>
  <c r="S91"/>
  <c r="R143"/>
  <c r="P167" s="1"/>
  <c r="W111"/>
  <c r="W121"/>
  <c r="W83"/>
  <c r="W112"/>
  <c r="W122"/>
  <c r="Z23"/>
  <c r="Y89"/>
  <c r="S81"/>
  <c r="S82"/>
  <c r="S115"/>
  <c r="S114"/>
  <c r="S88"/>
  <c r="S110"/>
  <c r="H162"/>
  <c r="H157"/>
  <c r="W94"/>
  <c r="W105"/>
  <c r="W104"/>
  <c r="W106"/>
  <c r="S93"/>
  <c r="S98"/>
  <c r="S99" s="1"/>
  <c r="W85"/>
  <c r="W102"/>
  <c r="W101"/>
  <c r="S92"/>
  <c r="X18"/>
  <c r="D157"/>
  <c r="D161" s="1"/>
  <c r="D162"/>
  <c r="E157"/>
  <c r="E161" s="1"/>
  <c r="E162"/>
  <c r="C157"/>
  <c r="C161" s="1"/>
  <c r="C162"/>
  <c r="P157"/>
  <c r="P162"/>
  <c r="Q162" s="1"/>
  <c r="K157"/>
  <c r="K162"/>
  <c r="F157"/>
  <c r="F161" s="1"/>
  <c r="F162"/>
  <c r="J157"/>
  <c r="J162"/>
  <c r="M157"/>
  <c r="M162"/>
  <c r="I157"/>
  <c r="I162"/>
  <c r="Q125"/>
  <c r="Y20"/>
  <c r="X65"/>
  <c r="H59"/>
  <c r="H159" s="1"/>
  <c r="X27"/>
  <c r="T12"/>
  <c r="T15"/>
  <c r="T109" s="1"/>
  <c r="T13"/>
  <c r="T10"/>
  <c r="T16"/>
  <c r="T117" s="1"/>
  <c r="T118" s="1"/>
  <c r="T6"/>
  <c r="T7"/>
  <c r="X25"/>
  <c r="X83" s="1"/>
  <c r="W79"/>
  <c r="T38"/>
  <c r="T87" s="1"/>
  <c r="S80"/>
  <c r="AB36"/>
  <c r="F59"/>
  <c r="F159" s="1"/>
  <c r="L59"/>
  <c r="L159" s="1"/>
  <c r="K59"/>
  <c r="K159" s="1"/>
  <c r="J59"/>
  <c r="J159" s="1"/>
  <c r="Z21"/>
  <c r="C59"/>
  <c r="C159" s="1"/>
  <c r="T155"/>
  <c r="T163" s="1"/>
  <c r="I59"/>
  <c r="I159" s="1"/>
  <c r="Q49"/>
  <c r="G158"/>
  <c r="Q50"/>
  <c r="Q51"/>
  <c r="Q58"/>
  <c r="Q60"/>
  <c r="G157"/>
  <c r="Q47"/>
  <c r="G160"/>
  <c r="Q61"/>
  <c r="G59"/>
  <c r="Q57"/>
  <c r="N158"/>
  <c r="N157"/>
  <c r="N160"/>
  <c r="P158"/>
  <c r="L157"/>
  <c r="N59"/>
  <c r="M59"/>
  <c r="M159" s="1"/>
  <c r="P160"/>
  <c r="P59"/>
  <c r="S58"/>
  <c r="C6" i="12"/>
  <c r="C26" i="15"/>
  <c r="C58"/>
  <c r="C57"/>
  <c r="C54"/>
  <c r="C53"/>
  <c r="C50"/>
  <c r="C49"/>
  <c r="C45"/>
  <c r="T175" i="18" l="1"/>
  <c r="U175" s="1"/>
  <c r="V175" s="1"/>
  <c r="W175" s="1"/>
  <c r="X175" s="1"/>
  <c r="Y175" s="1"/>
  <c r="Z175" s="1"/>
  <c r="AA175" s="1"/>
  <c r="AB175" s="1"/>
  <c r="AC175" s="1"/>
  <c r="AD175" s="1"/>
  <c r="AE175" s="1"/>
  <c r="S176"/>
  <c r="P174"/>
  <c r="M174"/>
  <c r="S174"/>
  <c r="S173" s="1"/>
  <c r="T91"/>
  <c r="X111"/>
  <c r="X121"/>
  <c r="X112"/>
  <c r="X122"/>
  <c r="AE36"/>
  <c r="AB86"/>
  <c r="AC86" s="1"/>
  <c r="AA23"/>
  <c r="Z89"/>
  <c r="T115"/>
  <c r="T114"/>
  <c r="T88"/>
  <c r="T110"/>
  <c r="T82"/>
  <c r="X104"/>
  <c r="X105"/>
  <c r="X106"/>
  <c r="X94"/>
  <c r="X85"/>
  <c r="X102"/>
  <c r="X101"/>
  <c r="T92"/>
  <c r="T93"/>
  <c r="Y18"/>
  <c r="Z20"/>
  <c r="Y65"/>
  <c r="S57"/>
  <c r="S74"/>
  <c r="S53"/>
  <c r="S55"/>
  <c r="S161" s="1"/>
  <c r="S61"/>
  <c r="S160" s="1"/>
  <c r="S71"/>
  <c r="S73"/>
  <c r="S119" s="1"/>
  <c r="S45"/>
  <c r="S44"/>
  <c r="S156" s="1"/>
  <c r="S54"/>
  <c r="S50"/>
  <c r="S51"/>
  <c r="S60"/>
  <c r="S49"/>
  <c r="S75"/>
  <c r="S47"/>
  <c r="S162" s="1"/>
  <c r="Y27"/>
  <c r="U15"/>
  <c r="U109" s="1"/>
  <c r="U13"/>
  <c r="U12"/>
  <c r="S59"/>
  <c r="U16"/>
  <c r="U117" s="1"/>
  <c r="U118" s="1"/>
  <c r="U10"/>
  <c r="U7"/>
  <c r="U6"/>
  <c r="AC36"/>
  <c r="Y25"/>
  <c r="Y83" s="1"/>
  <c r="X79"/>
  <c r="U38"/>
  <c r="U87" s="1"/>
  <c r="T81"/>
  <c r="T80"/>
  <c r="T40"/>
  <c r="S68"/>
  <c r="S69"/>
  <c r="S70"/>
  <c r="S67"/>
  <c r="AA21"/>
  <c r="U155"/>
  <c r="U163" s="1"/>
  <c r="Q158"/>
  <c r="Q157"/>
  <c r="Q160"/>
  <c r="G159"/>
  <c r="Q59"/>
  <c r="N159"/>
  <c r="P159"/>
  <c r="C16" i="15"/>
  <c r="C21"/>
  <c r="C10"/>
  <c r="T173" i="18" l="1"/>
  <c r="U173" s="1"/>
  <c r="V173" s="1"/>
  <c r="W173" s="1"/>
  <c r="X173" s="1"/>
  <c r="Y173" s="1"/>
  <c r="Z173" s="1"/>
  <c r="AA173" s="1"/>
  <c r="AB173" s="1"/>
  <c r="AC173" s="1"/>
  <c r="AD173" s="1"/>
  <c r="AE173" s="1"/>
  <c r="T174"/>
  <c r="U174" s="1"/>
  <c r="V174" s="1"/>
  <c r="W174" s="1"/>
  <c r="X174" s="1"/>
  <c r="Y174" s="1"/>
  <c r="Z174" s="1"/>
  <c r="AA174" s="1"/>
  <c r="AB174" s="1"/>
  <c r="AC174" s="1"/>
  <c r="AD174" s="1"/>
  <c r="AE174" s="1"/>
  <c r="T176"/>
  <c r="U176" s="1"/>
  <c r="V176" s="1"/>
  <c r="W176" s="1"/>
  <c r="X176" s="1"/>
  <c r="Y176" s="1"/>
  <c r="Z176" s="1"/>
  <c r="AA176" s="1"/>
  <c r="AB176" s="1"/>
  <c r="AC176" s="1"/>
  <c r="AD176" s="1"/>
  <c r="AE176" s="1"/>
  <c r="U91"/>
  <c r="T96"/>
  <c r="T97" s="1"/>
  <c r="T98" s="1"/>
  <c r="T99" s="1"/>
  <c r="T48"/>
  <c r="Y111"/>
  <c r="Y121"/>
  <c r="Y112"/>
  <c r="Y122"/>
  <c r="AB23"/>
  <c r="AA89"/>
  <c r="U88"/>
  <c r="U110"/>
  <c r="U115"/>
  <c r="U114"/>
  <c r="U82"/>
  <c r="Y106"/>
  <c r="Y105"/>
  <c r="Y104"/>
  <c r="Y94"/>
  <c r="T57"/>
  <c r="Y85"/>
  <c r="Y102"/>
  <c r="Y101"/>
  <c r="U92"/>
  <c r="U93"/>
  <c r="T53"/>
  <c r="Z18"/>
  <c r="AA20"/>
  <c r="Z65"/>
  <c r="T55"/>
  <c r="T161" s="1"/>
  <c r="T61"/>
  <c r="T160" s="1"/>
  <c r="T71"/>
  <c r="T73"/>
  <c r="T119" s="1"/>
  <c r="T44"/>
  <c r="T156" s="1"/>
  <c r="T45"/>
  <c r="T50"/>
  <c r="T49"/>
  <c r="T60"/>
  <c r="T75"/>
  <c r="T54"/>
  <c r="T51"/>
  <c r="T47"/>
  <c r="T162" s="1"/>
  <c r="T58"/>
  <c r="T74"/>
  <c r="Z27"/>
  <c r="V13"/>
  <c r="V12"/>
  <c r="V15"/>
  <c r="V109" s="1"/>
  <c r="V10"/>
  <c r="V16"/>
  <c r="V117" s="1"/>
  <c r="V118" s="1"/>
  <c r="V6"/>
  <c r="V7"/>
  <c r="V38"/>
  <c r="V87" s="1"/>
  <c r="U81"/>
  <c r="U80"/>
  <c r="Z25"/>
  <c r="Z83" s="1"/>
  <c r="Y79"/>
  <c r="U40"/>
  <c r="T70"/>
  <c r="T69"/>
  <c r="T68"/>
  <c r="T67"/>
  <c r="AB21"/>
  <c r="AE21" s="1"/>
  <c r="S159"/>
  <c r="V155"/>
  <c r="V163" s="1"/>
  <c r="S157"/>
  <c r="S158"/>
  <c r="Q159"/>
  <c r="D31" i="8"/>
  <c r="D29"/>
  <c r="D28"/>
  <c r="D13"/>
  <c r="D30" s="1"/>
  <c r="E14"/>
  <c r="F14" s="1"/>
  <c r="G14" s="1"/>
  <c r="H14" s="1"/>
  <c r="I14" s="1"/>
  <c r="V91" i="18" l="1"/>
  <c r="U96"/>
  <c r="U97" s="1"/>
  <c r="U98" s="1"/>
  <c r="U99" s="1"/>
  <c r="U48"/>
  <c r="Z111"/>
  <c r="Z121"/>
  <c r="Z112"/>
  <c r="Z122"/>
  <c r="AE23"/>
  <c r="AB89"/>
  <c r="AC89" s="1"/>
  <c r="AC23"/>
  <c r="V82"/>
  <c r="V114"/>
  <c r="V115"/>
  <c r="V88"/>
  <c r="V110"/>
  <c r="Z106"/>
  <c r="Z105"/>
  <c r="Z104"/>
  <c r="Z94"/>
  <c r="U57"/>
  <c r="T59"/>
  <c r="T159" s="1"/>
  <c r="Z85"/>
  <c r="Z102"/>
  <c r="Z101"/>
  <c r="V93"/>
  <c r="V92"/>
  <c r="AA18"/>
  <c r="AB20"/>
  <c r="AA65"/>
  <c r="U75"/>
  <c r="U74"/>
  <c r="U53"/>
  <c r="U61"/>
  <c r="U160" s="1"/>
  <c r="U60"/>
  <c r="U55"/>
  <c r="U161" s="1"/>
  <c r="U58"/>
  <c r="U49"/>
  <c r="U71"/>
  <c r="U73"/>
  <c r="U119" s="1"/>
  <c r="U45"/>
  <c r="U44"/>
  <c r="U156" s="1"/>
  <c r="U54"/>
  <c r="U50"/>
  <c r="U51"/>
  <c r="U47"/>
  <c r="U162" s="1"/>
  <c r="AA27"/>
  <c r="W12"/>
  <c r="W15"/>
  <c r="W109" s="1"/>
  <c r="W13"/>
  <c r="W16"/>
  <c r="W117" s="1"/>
  <c r="W118" s="1"/>
  <c r="W10"/>
  <c r="W7"/>
  <c r="W6"/>
  <c r="AA25"/>
  <c r="Z79"/>
  <c r="W38"/>
  <c r="W87" s="1"/>
  <c r="V80"/>
  <c r="V81"/>
  <c r="V40"/>
  <c r="U70"/>
  <c r="U68"/>
  <c r="U69"/>
  <c r="U67"/>
  <c r="AC21"/>
  <c r="W155"/>
  <c r="W163" s="1"/>
  <c r="T157"/>
  <c r="T158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W91" i="18" l="1"/>
  <c r="V96"/>
  <c r="V97" s="1"/>
  <c r="V98" s="1"/>
  <c r="V99" s="1"/>
  <c r="V48"/>
  <c r="AA111"/>
  <c r="AA121"/>
  <c r="AA112"/>
  <c r="AA122"/>
  <c r="AE20"/>
  <c r="AA83"/>
  <c r="W115"/>
  <c r="W114"/>
  <c r="W88"/>
  <c r="W110"/>
  <c r="W82"/>
  <c r="AA105"/>
  <c r="AA104"/>
  <c r="AA106"/>
  <c r="AA94"/>
  <c r="U59"/>
  <c r="U159" s="1"/>
  <c r="AA85"/>
  <c r="AA102"/>
  <c r="AA101"/>
  <c r="V60"/>
  <c r="W93"/>
  <c r="W92"/>
  <c r="AB18"/>
  <c r="V75"/>
  <c r="V51"/>
  <c r="V58"/>
  <c r="AC20"/>
  <c r="AB65"/>
  <c r="V49"/>
  <c r="V57"/>
  <c r="V54"/>
  <c r="V74"/>
  <c r="V50"/>
  <c r="V55"/>
  <c r="V161" s="1"/>
  <c r="V71"/>
  <c r="V73"/>
  <c r="V119" s="1"/>
  <c r="V44"/>
  <c r="V156" s="1"/>
  <c r="V45"/>
  <c r="V53"/>
  <c r="V61"/>
  <c r="V160" s="1"/>
  <c r="V47"/>
  <c r="V162" s="1"/>
  <c r="AB27"/>
  <c r="AB122" s="1"/>
  <c r="AC122" s="1"/>
  <c r="X15"/>
  <c r="X109" s="1"/>
  <c r="X13"/>
  <c r="X12"/>
  <c r="X10"/>
  <c r="X16"/>
  <c r="X117" s="1"/>
  <c r="X118" s="1"/>
  <c r="X6"/>
  <c r="X7"/>
  <c r="X38"/>
  <c r="X87" s="1"/>
  <c r="W81"/>
  <c r="W80"/>
  <c r="AB25"/>
  <c r="AB83" s="1"/>
  <c r="AC83" s="1"/>
  <c r="AA79"/>
  <c r="W40"/>
  <c r="V70"/>
  <c r="V68"/>
  <c r="V69"/>
  <c r="V67"/>
  <c r="X155"/>
  <c r="X163" s="1"/>
  <c r="U157"/>
  <c r="U158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X91" i="18" l="1"/>
  <c r="W96"/>
  <c r="W97" s="1"/>
  <c r="W98" s="1"/>
  <c r="W99" s="1"/>
  <c r="W48"/>
  <c r="AB111"/>
  <c r="AC111" s="1"/>
  <c r="AB121"/>
  <c r="AC121" s="1"/>
  <c r="X88"/>
  <c r="X110"/>
  <c r="X115"/>
  <c r="X114"/>
  <c r="AE27"/>
  <c r="AB112"/>
  <c r="AC112" s="1"/>
  <c r="X82"/>
  <c r="AB104"/>
  <c r="AC104" s="1"/>
  <c r="AB106"/>
  <c r="AC106" s="1"/>
  <c r="AB105"/>
  <c r="AC105" s="1"/>
  <c r="N32" i="9"/>
  <c r="N33" s="1"/>
  <c r="N34" s="1"/>
  <c r="N35" s="1"/>
  <c r="N36" s="1"/>
  <c r="N37" s="1"/>
  <c r="N38" s="1"/>
  <c r="N39" s="1"/>
  <c r="N40" s="1"/>
  <c r="N41" s="1"/>
  <c r="N42" s="1"/>
  <c r="M45"/>
  <c r="AB94" i="18"/>
  <c r="AC94" s="1"/>
  <c r="V59"/>
  <c r="V159" s="1"/>
  <c r="W58"/>
  <c r="AB85"/>
  <c r="AC85" s="1"/>
  <c r="AB102"/>
  <c r="AC102" s="1"/>
  <c r="AB101"/>
  <c r="AC101" s="1"/>
  <c r="X93"/>
  <c r="X92"/>
  <c r="AE25"/>
  <c r="AE18"/>
  <c r="AC18"/>
  <c r="S145"/>
  <c r="AE65"/>
  <c r="AC65"/>
  <c r="M32" i="9"/>
  <c r="M33" s="1"/>
  <c r="M34" s="1"/>
  <c r="M35" s="1"/>
  <c r="M36" s="1"/>
  <c r="M37" s="1"/>
  <c r="M38" s="1"/>
  <c r="M39" s="1"/>
  <c r="M40" s="1"/>
  <c r="M41" s="1"/>
  <c r="P32"/>
  <c r="W61" i="18"/>
  <c r="W160" s="1"/>
  <c r="W60"/>
  <c r="W55"/>
  <c r="W161" s="1"/>
  <c r="W57"/>
  <c r="W54"/>
  <c r="W74"/>
  <c r="W53"/>
  <c r="W75"/>
  <c r="W71"/>
  <c r="W73"/>
  <c r="W119" s="1"/>
  <c r="W45"/>
  <c r="W44"/>
  <c r="W156" s="1"/>
  <c r="W49"/>
  <c r="W50"/>
  <c r="W51"/>
  <c r="W47"/>
  <c r="W162" s="1"/>
  <c r="AC27"/>
  <c r="Y12"/>
  <c r="Y15"/>
  <c r="Y109" s="1"/>
  <c r="Y13"/>
  <c r="Y10"/>
  <c r="Y16"/>
  <c r="Y117" s="1"/>
  <c r="Y118" s="1"/>
  <c r="Y7"/>
  <c r="Y6"/>
  <c r="AC25"/>
  <c r="AB79"/>
  <c r="AC79" s="1"/>
  <c r="Y38"/>
  <c r="Y87" s="1"/>
  <c r="X81"/>
  <c r="X80"/>
  <c r="O31" i="9"/>
  <c r="O32" s="1"/>
  <c r="X40" i="18"/>
  <c r="W70"/>
  <c r="W68"/>
  <c r="W69"/>
  <c r="W67"/>
  <c r="Y155"/>
  <c r="Y163" s="1"/>
  <c r="V157"/>
  <c r="V158"/>
  <c r="P31" i="11"/>
  <c r="N32"/>
  <c r="T19" i="9"/>
  <c r="D22"/>
  <c r="Y91" i="18" l="1"/>
  <c r="X96"/>
  <c r="X97" s="1"/>
  <c r="X98" s="1"/>
  <c r="X99" s="1"/>
  <c r="X48"/>
  <c r="Y115"/>
  <c r="Y114"/>
  <c r="Y88"/>
  <c r="Y110"/>
  <c r="Y82"/>
  <c r="W59"/>
  <c r="W159" s="1"/>
  <c r="X51"/>
  <c r="Y92"/>
  <c r="Y93"/>
  <c r="T145"/>
  <c r="R145" s="1"/>
  <c r="X53"/>
  <c r="X60"/>
  <c r="X47"/>
  <c r="X162" s="1"/>
  <c r="X55"/>
  <c r="X161" s="1"/>
  <c r="X50"/>
  <c r="X49"/>
  <c r="X71"/>
  <c r="X73"/>
  <c r="X119" s="1"/>
  <c r="X45"/>
  <c r="X44"/>
  <c r="X156" s="1"/>
  <c r="X75"/>
  <c r="X54"/>
  <c r="X61"/>
  <c r="X160" s="1"/>
  <c r="X58"/>
  <c r="X57"/>
  <c r="X74"/>
  <c r="Z13"/>
  <c r="Z12"/>
  <c r="Z15"/>
  <c r="Z109" s="1"/>
  <c r="Z10"/>
  <c r="Z16"/>
  <c r="Z117" s="1"/>
  <c r="Z118" s="1"/>
  <c r="Z6"/>
  <c r="Z7"/>
  <c r="Z38"/>
  <c r="Z87" s="1"/>
  <c r="Y81"/>
  <c r="Y80"/>
  <c r="Y40"/>
  <c r="X70"/>
  <c r="X68"/>
  <c r="X69"/>
  <c r="X67"/>
  <c r="Z155"/>
  <c r="Z163" s="1"/>
  <c r="W157"/>
  <c r="W158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Z91" i="18" l="1"/>
  <c r="Y96"/>
  <c r="Y97" s="1"/>
  <c r="Y98" s="1"/>
  <c r="Y99" s="1"/>
  <c r="Y48"/>
  <c r="Z88"/>
  <c r="Z110"/>
  <c r="Z114"/>
  <c r="Z115"/>
  <c r="Z82"/>
  <c r="Z92"/>
  <c r="Z93"/>
  <c r="X59"/>
  <c r="X159" s="1"/>
  <c r="Y71"/>
  <c r="Y73"/>
  <c r="Y119" s="1"/>
  <c r="Y44"/>
  <c r="Y156" s="1"/>
  <c r="Y45"/>
  <c r="Y55"/>
  <c r="Y161" s="1"/>
  <c r="Y61"/>
  <c r="Y160" s="1"/>
  <c r="Y60"/>
  <c r="Y58"/>
  <c r="Y49"/>
  <c r="Y47"/>
  <c r="Y162" s="1"/>
  <c r="Y54"/>
  <c r="Y50"/>
  <c r="Y51"/>
  <c r="Y57"/>
  <c r="Y74"/>
  <c r="Y53"/>
  <c r="Y75"/>
  <c r="AA12"/>
  <c r="AA15"/>
  <c r="AA109" s="1"/>
  <c r="AA13"/>
  <c r="AA10"/>
  <c r="AA16"/>
  <c r="AA117" s="1"/>
  <c r="AA118" s="1"/>
  <c r="AA7"/>
  <c r="AA6"/>
  <c r="AA38"/>
  <c r="AA87" s="1"/>
  <c r="Z80"/>
  <c r="Z81"/>
  <c r="Z40"/>
  <c r="Y70"/>
  <c r="Y68"/>
  <c r="Y69"/>
  <c r="Y67"/>
  <c r="AA155"/>
  <c r="AA163" s="1"/>
  <c r="X157"/>
  <c r="X158"/>
  <c r="N34" i="11"/>
  <c r="O33"/>
  <c r="D25" i="8"/>
  <c r="D23"/>
  <c r="AA91" i="18" l="1"/>
  <c r="Z96"/>
  <c r="Z97" s="1"/>
  <c r="Z98" s="1"/>
  <c r="Z99" s="1"/>
  <c r="Z48"/>
  <c r="AA82"/>
  <c r="AA114"/>
  <c r="AA115"/>
  <c r="AA88"/>
  <c r="AA110"/>
  <c r="AA92"/>
  <c r="AA93"/>
  <c r="Y59"/>
  <c r="Y159" s="1"/>
  <c r="Z71"/>
  <c r="Z73"/>
  <c r="Z119" s="1"/>
  <c r="Z45"/>
  <c r="Z44"/>
  <c r="Z156" s="1"/>
  <c r="Z49"/>
  <c r="Z60"/>
  <c r="Z50"/>
  <c r="Z55"/>
  <c r="Z161" s="1"/>
  <c r="Z58"/>
  <c r="Z57"/>
  <c r="Z75"/>
  <c r="Z61"/>
  <c r="Z160" s="1"/>
  <c r="Z47"/>
  <c r="Z162" s="1"/>
  <c r="Z54"/>
  <c r="Z74"/>
  <c r="Z53"/>
  <c r="Z51"/>
  <c r="AB15"/>
  <c r="AB13"/>
  <c r="AE13" s="1"/>
  <c r="AB12"/>
  <c r="AB110" s="1"/>
  <c r="AC110" s="1"/>
  <c r="AB10"/>
  <c r="AB16"/>
  <c r="AB6"/>
  <c r="AE6" s="1"/>
  <c r="AB7"/>
  <c r="AE7" s="1"/>
  <c r="AB38"/>
  <c r="AB87" s="1"/>
  <c r="AC87" s="1"/>
  <c r="AA81"/>
  <c r="AA80"/>
  <c r="AA40"/>
  <c r="Z70"/>
  <c r="Z68"/>
  <c r="Z69"/>
  <c r="Z67"/>
  <c r="AB155"/>
  <c r="AB163" s="1"/>
  <c r="Y157"/>
  <c r="Y158"/>
  <c r="N35" i="11"/>
  <c r="O34"/>
  <c r="D35" i="8"/>
  <c r="E5"/>
  <c r="E18" s="1"/>
  <c r="D18"/>
  <c r="D19"/>
  <c r="D21"/>
  <c r="D20"/>
  <c r="AB91" i="18" l="1"/>
  <c r="AC163"/>
  <c r="AE163" s="1"/>
  <c r="AA96"/>
  <c r="AA97" s="1"/>
  <c r="AA98" s="1"/>
  <c r="AA99" s="1"/>
  <c r="AA48"/>
  <c r="AE16"/>
  <c r="AB117"/>
  <c r="AB115"/>
  <c r="AC115" s="1"/>
  <c r="AB114"/>
  <c r="AC114" s="1"/>
  <c r="AE15"/>
  <c r="AB109"/>
  <c r="AC109" s="1"/>
  <c r="AB82"/>
  <c r="AC82" s="1"/>
  <c r="AE10"/>
  <c r="AC91"/>
  <c r="AE12"/>
  <c r="AB88"/>
  <c r="AC88" s="1"/>
  <c r="AE38"/>
  <c r="AB92"/>
  <c r="AC92" s="1"/>
  <c r="AB93"/>
  <c r="AC93" s="1"/>
  <c r="Z59"/>
  <c r="Z159" s="1"/>
  <c r="AA71"/>
  <c r="AA73"/>
  <c r="AA119" s="1"/>
  <c r="AA44"/>
  <c r="AA156" s="1"/>
  <c r="AA45"/>
  <c r="AA53"/>
  <c r="AA61"/>
  <c r="AA160" s="1"/>
  <c r="AA47"/>
  <c r="AA162" s="1"/>
  <c r="AA55"/>
  <c r="AA161" s="1"/>
  <c r="AA58"/>
  <c r="AA74"/>
  <c r="AA49"/>
  <c r="AA50"/>
  <c r="AA51"/>
  <c r="AA54"/>
  <c r="AA75"/>
  <c r="AA57"/>
  <c r="AA60"/>
  <c r="AC15"/>
  <c r="AC13"/>
  <c r="S139"/>
  <c r="AC12"/>
  <c r="AC10"/>
  <c r="AC16"/>
  <c r="AC7"/>
  <c r="AC6"/>
  <c r="AB81"/>
  <c r="AC81" s="1"/>
  <c r="AB80"/>
  <c r="AC80" s="1"/>
  <c r="AC38"/>
  <c r="AB40"/>
  <c r="AA70"/>
  <c r="AA68"/>
  <c r="AA69"/>
  <c r="AA67"/>
  <c r="AC155"/>
  <c r="AE155" s="1"/>
  <c r="Z157"/>
  <c r="Z158"/>
  <c r="N36" i="11"/>
  <c r="O35"/>
  <c r="F5" i="8"/>
  <c r="G5" s="1"/>
  <c r="H5" s="1"/>
  <c r="I5" s="1"/>
  <c r="AB96" i="18" l="1"/>
  <c r="AB97" s="1"/>
  <c r="AB98" s="1"/>
  <c r="AB99" s="1"/>
  <c r="AB48"/>
  <c r="AC117"/>
  <c r="AB118"/>
  <c r="AC118" s="1"/>
  <c r="AE40"/>
  <c r="T139"/>
  <c r="T140" s="1"/>
  <c r="AA59"/>
  <c r="AA159" s="1"/>
  <c r="AB71"/>
  <c r="AB73"/>
  <c r="AB44"/>
  <c r="AB156" s="1"/>
  <c r="AC156" s="1"/>
  <c r="AE156" s="1"/>
  <c r="AB45"/>
  <c r="AB53"/>
  <c r="AB58"/>
  <c r="AB47"/>
  <c r="AB55"/>
  <c r="AB51"/>
  <c r="AB74"/>
  <c r="AB50"/>
  <c r="AE50" s="1"/>
  <c r="AB49"/>
  <c r="AB60"/>
  <c r="AB75"/>
  <c r="AB54"/>
  <c r="AB61"/>
  <c r="AB57"/>
  <c r="S140"/>
  <c r="AB70"/>
  <c r="AB68"/>
  <c r="AC40"/>
  <c r="AB69"/>
  <c r="AB67"/>
  <c r="AA157"/>
  <c r="AA158"/>
  <c r="N37" i="11"/>
  <c r="O36"/>
  <c r="F18" i="8"/>
  <c r="G18"/>
  <c r="AE47" i="18" l="1"/>
  <c r="AB162"/>
  <c r="AE48"/>
  <c r="AC48"/>
  <c r="AE73"/>
  <c r="AB119"/>
  <c r="AC119" s="1"/>
  <c r="AC96"/>
  <c r="R139"/>
  <c r="R140"/>
  <c r="AC74"/>
  <c r="AE74"/>
  <c r="AC45"/>
  <c r="AE45"/>
  <c r="S136"/>
  <c r="AE60"/>
  <c r="AB160"/>
  <c r="AC160" s="1"/>
  <c r="AE160" s="1"/>
  <c r="AE61"/>
  <c r="AC44"/>
  <c r="AE44"/>
  <c r="AC58"/>
  <c r="AE58"/>
  <c r="S130"/>
  <c r="AE57"/>
  <c r="S129"/>
  <c r="AE51"/>
  <c r="AB161"/>
  <c r="AC161" s="1"/>
  <c r="AE161" s="1"/>
  <c r="AE55"/>
  <c r="AC54"/>
  <c r="AE54"/>
  <c r="S127"/>
  <c r="AE49"/>
  <c r="S132"/>
  <c r="AE53"/>
  <c r="AC75"/>
  <c r="AE75"/>
  <c r="S152"/>
  <c r="AE71"/>
  <c r="S150"/>
  <c r="AE70"/>
  <c r="S149"/>
  <c r="AE69"/>
  <c r="S147"/>
  <c r="AE67"/>
  <c r="S148"/>
  <c r="AE68"/>
  <c r="AC60"/>
  <c r="S133"/>
  <c r="AC49"/>
  <c r="AC51"/>
  <c r="T129" s="1"/>
  <c r="AC53"/>
  <c r="S134"/>
  <c r="AC71"/>
  <c r="AC57"/>
  <c r="S137"/>
  <c r="AB59"/>
  <c r="AC55"/>
  <c r="AC61"/>
  <c r="AC73"/>
  <c r="AC69"/>
  <c r="AC68"/>
  <c r="AC67"/>
  <c r="AC70"/>
  <c r="S126"/>
  <c r="AC47"/>
  <c r="AB157"/>
  <c r="AC50"/>
  <c r="T128" s="1"/>
  <c r="AB158"/>
  <c r="S128"/>
  <c r="N38" i="11"/>
  <c r="O37"/>
  <c r="H18" i="8"/>
  <c r="AC162" i="18" l="1"/>
  <c r="AE162" s="1"/>
  <c r="T126"/>
  <c r="R126" s="1"/>
  <c r="P172" s="1"/>
  <c r="P173" s="1"/>
  <c r="P170"/>
  <c r="M170"/>
  <c r="AC97"/>
  <c r="T137"/>
  <c r="R137" s="1"/>
  <c r="T127"/>
  <c r="R127" s="1"/>
  <c r="T136"/>
  <c r="R136" s="1"/>
  <c r="T132"/>
  <c r="R132" s="1"/>
  <c r="T134"/>
  <c r="R134" s="1"/>
  <c r="T152"/>
  <c r="R152" s="1"/>
  <c r="P171" s="1"/>
  <c r="T149"/>
  <c r="R149" s="1"/>
  <c r="AC59"/>
  <c r="AE59"/>
  <c r="T130"/>
  <c r="R130" s="1"/>
  <c r="R129"/>
  <c r="T133"/>
  <c r="R133" s="1"/>
  <c r="T147"/>
  <c r="R147" s="1"/>
  <c r="AB159"/>
  <c r="AC159" s="1"/>
  <c r="AE159" s="1"/>
  <c r="T150"/>
  <c r="R150" s="1"/>
  <c r="T148"/>
  <c r="R148" s="1"/>
  <c r="AC158"/>
  <c r="AE158" s="1"/>
  <c r="AC157"/>
  <c r="AE157" s="1"/>
  <c r="R128"/>
  <c r="N39" i="11"/>
  <c r="O38"/>
  <c r="I18" i="8"/>
  <c r="P169" i="18" l="1"/>
  <c r="M169"/>
  <c r="P168"/>
  <c r="M168"/>
  <c r="AC99"/>
  <c r="AC98"/>
  <c r="N40" i="11"/>
  <c r="O39"/>
  <c r="N41" l="1"/>
  <c r="O40"/>
  <c r="N42" l="1"/>
  <c r="O41"/>
</calcChain>
</file>

<file path=xl/comments1.xml><?xml version="1.0" encoding="utf-8"?>
<comments xmlns="http://schemas.openxmlformats.org/spreadsheetml/2006/main">
  <authors>
    <author>Author</author>
  </authors>
  <commentList>
    <comment ref="B11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5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</commentList>
</comments>
</file>

<file path=xl/sharedStrings.xml><?xml version="1.0" encoding="utf-8"?>
<sst xmlns="http://schemas.openxmlformats.org/spreadsheetml/2006/main" count="580" uniqueCount="401">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</sst>
</file>

<file path=xl/styles.xml><?xml version="1.0" encoding="utf-8"?>
<styleSheet xmlns="http://schemas.openxmlformats.org/spreadsheetml/2006/main">
  <numFmts count="18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* #,##0.0_);_(* \(#,##0.0\);_(* &quot;-&quot;??_);_(@_)"/>
    <numFmt numFmtId="168" formatCode="[$₹-861]#,##0.00;[Red]\-[$₹-861]#,##0.00"/>
    <numFmt numFmtId="169" formatCode="[$₹-861]#,##0;[Red]\-[$₹-861]#,##0"/>
    <numFmt numFmtId="170" formatCode="0.0%"/>
    <numFmt numFmtId="171" formatCode="_-[$₹-861]* #,##0.00_-;\-[$₹-861]* #,##0.00_-;_-[$₹-861]* &quot;-&quot;??_-;_-@_-"/>
    <numFmt numFmtId="172" formatCode="_-[$₹-861]* #,##0_-;\-[$₹-861]* #,##0_-;_-[$₹-861]* &quot;-&quot;??_-;_-@_-"/>
    <numFmt numFmtId="173" formatCode="0.000"/>
    <numFmt numFmtId="174" formatCode="0.0"/>
    <numFmt numFmtId="175" formatCode="_(&quot;$&quot;* #,##0_);_(&quot;$&quot;* \(#,##0\);_(&quot;$&quot;* &quot;-&quot;??_);_(@_)"/>
    <numFmt numFmtId="176" formatCode="#,##0.00_ ;[Red]\-#,##0.00\ "/>
    <numFmt numFmtId="177" formatCode="#,##0_ ;[Red]\-#,##0\ "/>
    <numFmt numFmtId="178" formatCode="0_);[Red]\(0\)"/>
    <numFmt numFmtId="179" formatCode="0.00_);[Red]\(0.00\)"/>
    <numFmt numFmtId="180" formatCode="#,##0.0_ ;[Red]\-#,##0.0\ "/>
    <numFmt numFmtId="181" formatCode="#,##0.0;[Red]\-#,##0.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05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6" fontId="2" fillId="6" borderId="0" xfId="2" applyNumberFormat="1" applyFont="1" applyFill="1"/>
    <xf numFmtId="166" fontId="2" fillId="5" borderId="0" xfId="2" applyNumberFormat="1" applyFont="1" applyFill="1"/>
    <xf numFmtId="1" fontId="2" fillId="5" borderId="0" xfId="2" applyNumberFormat="1" applyFont="1" applyFill="1"/>
    <xf numFmtId="166" fontId="2" fillId="6" borderId="1" xfId="2" applyNumberFormat="1" applyFont="1" applyFill="1" applyBorder="1"/>
    <xf numFmtId="167" fontId="2" fillId="5" borderId="1" xfId="0" applyNumberFormat="1" applyFont="1" applyFill="1" applyBorder="1"/>
    <xf numFmtId="165" fontId="2" fillId="5" borderId="0" xfId="0" applyNumberFormat="1" applyFont="1" applyFill="1"/>
    <xf numFmtId="165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6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8" fontId="4" fillId="5" borderId="1" xfId="0" applyNumberFormat="1" applyFont="1" applyFill="1" applyBorder="1"/>
    <xf numFmtId="168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9" fontId="4" fillId="6" borderId="1" xfId="0" applyNumberFormat="1" applyFont="1" applyFill="1" applyBorder="1"/>
    <xf numFmtId="168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70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70" fontId="2" fillId="8" borderId="1" xfId="0" applyNumberFormat="1" applyFont="1" applyFill="1" applyBorder="1"/>
    <xf numFmtId="2" fontId="2" fillId="8" borderId="1" xfId="1" applyNumberFormat="1" applyFont="1" applyFill="1" applyBorder="1"/>
    <xf numFmtId="170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9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6" fontId="2" fillId="5" borderId="1" xfId="2" applyNumberFormat="1" applyFont="1" applyFill="1" applyBorder="1"/>
    <xf numFmtId="166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2" fontId="2" fillId="5" borderId="1" xfId="2" applyNumberFormat="1" applyFont="1" applyFill="1" applyBorder="1" applyAlignment="1">
      <alignment horizontal="center"/>
    </xf>
    <xf numFmtId="171" fontId="0" fillId="5" borderId="1" xfId="2" applyNumberFormat="1" applyFont="1" applyFill="1" applyBorder="1"/>
    <xf numFmtId="171" fontId="0" fillId="5" borderId="1" xfId="0" applyNumberFormat="1" applyFill="1" applyBorder="1"/>
    <xf numFmtId="172" fontId="0" fillId="5" borderId="1" xfId="0" applyNumberFormat="1" applyFill="1" applyBorder="1"/>
    <xf numFmtId="166" fontId="2" fillId="5" borderId="10" xfId="2" applyNumberFormat="1" applyFont="1" applyFill="1" applyBorder="1"/>
    <xf numFmtId="166" fontId="2" fillId="5" borderId="11" xfId="2" applyNumberFormat="1" applyFont="1" applyFill="1" applyBorder="1"/>
    <xf numFmtId="172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2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6" fontId="0" fillId="5" borderId="10" xfId="2" applyNumberFormat="1" applyFont="1" applyFill="1" applyBorder="1"/>
    <xf numFmtId="166" fontId="0" fillId="5" borderId="11" xfId="2" applyNumberFormat="1" applyFont="1" applyFill="1" applyBorder="1"/>
    <xf numFmtId="171" fontId="0" fillId="5" borderId="11" xfId="2" applyNumberFormat="1" applyFont="1" applyFill="1" applyBorder="1"/>
    <xf numFmtId="171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6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3" fontId="4" fillId="5" borderId="1" xfId="0" applyNumberFormat="1" applyFont="1" applyFill="1" applyBorder="1"/>
    <xf numFmtId="9" fontId="4" fillId="6" borderId="1" xfId="0" applyNumberFormat="1" applyFont="1" applyFill="1" applyBorder="1"/>
    <xf numFmtId="174" fontId="4" fillId="5" borderId="1" xfId="0" applyNumberFormat="1" applyFont="1" applyFill="1" applyBorder="1"/>
    <xf numFmtId="175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71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6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2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165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6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165" fontId="8" fillId="5" borderId="1" xfId="2" applyNumberFormat="1" applyFont="1" applyFill="1" applyBorder="1"/>
    <xf numFmtId="177" fontId="4" fillId="5" borderId="1" xfId="2" applyNumberFormat="1" applyFont="1" applyFill="1" applyBorder="1"/>
    <xf numFmtId="177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7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7" fontId="4" fillId="5" borderId="1" xfId="0" applyNumberFormat="1" applyFont="1" applyFill="1" applyBorder="1"/>
    <xf numFmtId="177" fontId="5" fillId="5" borderId="1" xfId="0" applyNumberFormat="1" applyFont="1" applyFill="1" applyBorder="1"/>
    <xf numFmtId="177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165" fontId="11" fillId="5" borderId="1" xfId="2" applyNumberFormat="1" applyFont="1" applyFill="1" applyBorder="1"/>
    <xf numFmtId="40" fontId="5" fillId="5" borderId="1" xfId="0" applyNumberFormat="1" applyFont="1" applyFill="1" applyBorder="1"/>
    <xf numFmtId="170" fontId="4" fillId="5" borderId="1" xfId="1" applyNumberFormat="1" applyFont="1" applyFill="1" applyBorder="1"/>
    <xf numFmtId="1" fontId="4" fillId="5" borderId="4" xfId="0" applyNumberFormat="1" applyFont="1" applyFill="1" applyBorder="1"/>
    <xf numFmtId="178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6" fontId="4" fillId="0" borderId="1" xfId="2" applyNumberFormat="1" applyFont="1" applyBorder="1"/>
    <xf numFmtId="0" fontId="5" fillId="0" borderId="1" xfId="0" applyFont="1" applyBorder="1"/>
    <xf numFmtId="165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6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6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165" fontId="4" fillId="5" borderId="1" xfId="2" applyFont="1" applyFill="1" applyBorder="1"/>
    <xf numFmtId="2" fontId="4" fillId="5" borderId="1" xfId="1" applyNumberFormat="1" applyFont="1" applyFill="1" applyBorder="1"/>
    <xf numFmtId="179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80" fontId="4" fillId="5" borderId="1" xfId="0" applyNumberFormat="1" applyFont="1" applyFill="1" applyBorder="1"/>
    <xf numFmtId="181" fontId="4" fillId="5" borderId="1" xfId="0" applyNumberFormat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80421248"/>
        <c:axId val="79966208"/>
      </c:lineChart>
      <c:catAx>
        <c:axId val="80421248"/>
        <c:scaling>
          <c:orientation val="minMax"/>
        </c:scaling>
        <c:axPos val="b"/>
        <c:tickLblPos val="nextTo"/>
        <c:crossAx val="79966208"/>
        <c:crosses val="autoZero"/>
        <c:auto val="1"/>
        <c:lblAlgn val="ctr"/>
        <c:lblOffset val="100"/>
      </c:catAx>
      <c:valAx>
        <c:axId val="79966208"/>
        <c:scaling>
          <c:orientation val="minMax"/>
        </c:scaling>
        <c:axPos val="l"/>
        <c:majorGridlines/>
        <c:numFmt formatCode="General" sourceLinked="1"/>
        <c:tickLblPos val="nextTo"/>
        <c:crossAx val="80421248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4"/>
  <sheetViews>
    <sheetView zoomScale="80" zoomScaleNormal="80" workbookViewId="0">
      <selection activeCell="C9" sqref="C9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5" t="s">
        <v>280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5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30">
        <v>14</v>
      </c>
      <c r="D7" s="20"/>
      <c r="E7" s="20"/>
      <c r="F7" s="20"/>
      <c r="G7" s="20"/>
    </row>
    <row r="8" spans="2:7">
      <c r="B8" s="20" t="s">
        <v>25</v>
      </c>
      <c r="C8" s="130">
        <v>5</v>
      </c>
      <c r="D8" s="20"/>
      <c r="E8" s="20"/>
      <c r="F8" s="20"/>
      <c r="G8" s="20"/>
    </row>
    <row r="9" spans="2:7">
      <c r="B9" s="20" t="s">
        <v>320</v>
      </c>
      <c r="C9" s="152">
        <f>C8/C7</f>
        <v>0.35714285714285715</v>
      </c>
      <c r="D9" s="20"/>
      <c r="E9" s="20"/>
      <c r="F9" s="20"/>
      <c r="G9" s="20"/>
    </row>
    <row r="10" spans="2:7">
      <c r="B10" s="20" t="s">
        <v>100</v>
      </c>
      <c r="C10" s="110">
        <f>C7/C8</f>
        <v>2.8</v>
      </c>
      <c r="D10" s="20" t="s">
        <v>269</v>
      </c>
      <c r="E10" s="20"/>
      <c r="F10" s="20"/>
      <c r="G10" s="20"/>
    </row>
    <row r="11" spans="2:7">
      <c r="B11" s="20"/>
      <c r="C11" s="20"/>
      <c r="D11" s="20"/>
      <c r="E11" s="20"/>
      <c r="F11" s="20"/>
      <c r="G11" s="20"/>
    </row>
    <row r="12" spans="2:7">
      <c r="B12" s="108" t="s">
        <v>101</v>
      </c>
      <c r="C12" s="20"/>
      <c r="D12" s="20"/>
      <c r="E12" s="20"/>
      <c r="F12" s="20"/>
      <c r="G12" s="20"/>
    </row>
    <row r="13" spans="2:7">
      <c r="B13" s="20" t="s">
        <v>25</v>
      </c>
      <c r="C13" s="130">
        <v>-2.66</v>
      </c>
      <c r="D13" s="20"/>
      <c r="E13" s="20"/>
      <c r="F13" s="20"/>
      <c r="G13" s="20"/>
    </row>
    <row r="14" spans="2:7">
      <c r="B14" s="20" t="s">
        <v>102</v>
      </c>
      <c r="C14" s="130">
        <v>28</v>
      </c>
      <c r="D14" s="20"/>
      <c r="E14" s="20"/>
      <c r="F14" s="20"/>
      <c r="G14" s="20"/>
    </row>
    <row r="15" spans="2:7">
      <c r="B15" s="20" t="s">
        <v>103</v>
      </c>
      <c r="C15" s="130">
        <v>1000</v>
      </c>
      <c r="D15" s="20"/>
      <c r="E15" s="20"/>
      <c r="F15" s="20"/>
      <c r="G15" s="20"/>
    </row>
    <row r="16" spans="2:7">
      <c r="B16" s="20" t="s">
        <v>104</v>
      </c>
      <c r="C16" s="20">
        <f>C15*C13</f>
        <v>-2660</v>
      </c>
      <c r="D16" s="20" t="s">
        <v>269</v>
      </c>
      <c r="E16" s="20"/>
      <c r="F16" s="20"/>
      <c r="G16" s="20"/>
    </row>
    <row r="17" spans="2:7">
      <c r="B17" s="20"/>
      <c r="C17" s="20"/>
      <c r="D17" s="20"/>
      <c r="E17" s="20"/>
      <c r="F17" s="20"/>
      <c r="G17" s="20"/>
    </row>
    <row r="18" spans="2:7">
      <c r="B18" s="108" t="s">
        <v>112</v>
      </c>
      <c r="C18" s="20"/>
      <c r="D18" s="20"/>
      <c r="E18" s="20"/>
      <c r="F18" s="20"/>
      <c r="G18" s="20"/>
    </row>
    <row r="19" spans="2:7">
      <c r="B19" s="20" t="s">
        <v>114</v>
      </c>
      <c r="C19" s="130">
        <f>C4</f>
        <v>5</v>
      </c>
      <c r="D19" s="20"/>
      <c r="E19" s="20"/>
      <c r="F19" s="20"/>
      <c r="G19" s="20"/>
    </row>
    <row r="20" spans="2:7">
      <c r="B20" s="20" t="s">
        <v>115</v>
      </c>
      <c r="C20" s="111">
        <v>0.08</v>
      </c>
      <c r="D20" s="20"/>
      <c r="E20" s="20"/>
      <c r="F20" s="20"/>
      <c r="G20" s="20"/>
    </row>
    <row r="21" spans="2:7">
      <c r="B21" s="20" t="s">
        <v>116</v>
      </c>
      <c r="C21" s="112">
        <f>C19/C20</f>
        <v>62.5</v>
      </c>
      <c r="D21" s="20" t="s">
        <v>269</v>
      </c>
      <c r="E21" s="20"/>
      <c r="F21" s="20"/>
      <c r="G21" s="20"/>
    </row>
    <row r="22" spans="2:7">
      <c r="B22" s="20"/>
      <c r="C22" s="20"/>
      <c r="D22" s="20"/>
      <c r="E22" s="20"/>
      <c r="F22" s="20"/>
      <c r="G22" s="20"/>
    </row>
    <row r="23" spans="2:7">
      <c r="B23" s="108" t="s">
        <v>227</v>
      </c>
      <c r="C23" s="20"/>
      <c r="D23" s="20"/>
      <c r="E23" s="20"/>
      <c r="F23" s="20"/>
      <c r="G23" s="20"/>
    </row>
    <row r="24" spans="2:7">
      <c r="B24" s="20" t="s">
        <v>99</v>
      </c>
      <c r="C24" s="130">
        <v>14</v>
      </c>
      <c r="D24" s="20"/>
      <c r="E24" s="20"/>
      <c r="F24" s="20"/>
      <c r="G24" s="20"/>
    </row>
    <row r="25" spans="2:7">
      <c r="B25" s="20" t="s">
        <v>114</v>
      </c>
      <c r="C25" s="130">
        <v>-2.66</v>
      </c>
      <c r="D25" s="20"/>
      <c r="E25" s="20"/>
      <c r="F25" s="20"/>
      <c r="G25" s="20"/>
    </row>
    <row r="26" spans="2:7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>
      <c r="B27" s="20" t="s">
        <v>77</v>
      </c>
      <c r="C27" s="130">
        <v>15</v>
      </c>
      <c r="D27" s="20"/>
      <c r="E27" s="20"/>
      <c r="F27" s="20"/>
      <c r="G27" s="20"/>
    </row>
    <row r="28" spans="2:7">
      <c r="B28" s="20" t="s">
        <v>229</v>
      </c>
      <c r="C28" s="131">
        <v>1</v>
      </c>
      <c r="D28" s="20"/>
      <c r="E28" s="20"/>
      <c r="F28" s="20"/>
      <c r="G28" s="20"/>
    </row>
    <row r="29" spans="2:7">
      <c r="B29" s="20" t="s">
        <v>230</v>
      </c>
      <c r="C29" s="22">
        <v>139.13</v>
      </c>
      <c r="D29" s="20"/>
      <c r="E29" s="20"/>
      <c r="F29" s="20"/>
      <c r="G29" s="20"/>
    </row>
    <row r="30" spans="2:7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>
      <c r="B32" s="20" t="s">
        <v>233</v>
      </c>
      <c r="C32" s="132"/>
      <c r="D32" s="20"/>
      <c r="E32" s="20"/>
      <c r="F32" s="20"/>
      <c r="G32" s="20"/>
    </row>
    <row r="33" spans="2:7">
      <c r="B33" s="20" t="s">
        <v>268</v>
      </c>
      <c r="C33" s="132">
        <v>3.44E-2</v>
      </c>
      <c r="D33" s="20"/>
      <c r="E33" s="20"/>
      <c r="F33" s="20"/>
      <c r="G33" s="20"/>
    </row>
    <row r="34" spans="2:7">
      <c r="B34" s="20" t="s">
        <v>267</v>
      </c>
      <c r="C34" s="132">
        <v>0.1241</v>
      </c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20"/>
      <c r="C36" s="20"/>
      <c r="D36" s="20"/>
      <c r="E36" s="20"/>
      <c r="F36" s="20"/>
      <c r="G36" s="20"/>
    </row>
    <row r="37" spans="2:7">
      <c r="B37" s="108" t="s">
        <v>187</v>
      </c>
      <c r="C37" s="20"/>
      <c r="D37" s="20"/>
      <c r="E37" s="20"/>
      <c r="F37" s="20"/>
      <c r="G37" s="20"/>
    </row>
    <row r="38" spans="2:7">
      <c r="B38" s="20" t="s">
        <v>215</v>
      </c>
      <c r="C38" s="130">
        <v>3141.2</v>
      </c>
      <c r="D38" s="20"/>
      <c r="E38" s="20"/>
      <c r="F38" s="20"/>
      <c r="G38" s="20"/>
    </row>
    <row r="39" spans="2:7">
      <c r="B39" s="20" t="s">
        <v>216</v>
      </c>
      <c r="C39" s="130">
        <v>3384.26</v>
      </c>
      <c r="D39" s="20"/>
      <c r="E39" s="20"/>
      <c r="F39" s="20"/>
      <c r="G39" s="20"/>
    </row>
    <row r="40" spans="2:7">
      <c r="B40" s="20" t="s">
        <v>34</v>
      </c>
      <c r="C40" s="130">
        <v>92.03</v>
      </c>
      <c r="D40" s="20"/>
      <c r="E40" s="20"/>
      <c r="F40" s="20"/>
      <c r="G40" s="20"/>
    </row>
    <row r="41" spans="2:7">
      <c r="B41" s="20" t="s">
        <v>217</v>
      </c>
      <c r="C41" s="130">
        <v>31.09</v>
      </c>
      <c r="D41" s="20"/>
      <c r="E41" s="20"/>
      <c r="F41" s="20"/>
      <c r="G41" s="20"/>
    </row>
    <row r="42" spans="2:7">
      <c r="B42" s="20" t="s">
        <v>218</v>
      </c>
      <c r="C42" s="130">
        <v>1005.03</v>
      </c>
      <c r="D42" s="20"/>
      <c r="E42" s="20"/>
      <c r="F42" s="20"/>
      <c r="G42" s="20"/>
    </row>
    <row r="43" spans="2:7">
      <c r="B43" s="20"/>
      <c r="C43" s="20"/>
      <c r="D43" s="20"/>
      <c r="E43" s="20"/>
      <c r="F43" s="20"/>
      <c r="G43" s="20"/>
    </row>
    <row r="44" spans="2:7">
      <c r="B44" s="23" t="s">
        <v>212</v>
      </c>
      <c r="C44" s="130">
        <v>281.95</v>
      </c>
      <c r="D44" s="20"/>
      <c r="E44" s="20"/>
      <c r="F44" s="20"/>
      <c r="G44" s="20"/>
    </row>
    <row r="45" spans="2:7">
      <c r="B45" s="20" t="s">
        <v>263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>
      <c r="B47" s="20"/>
      <c r="C47" s="25"/>
      <c r="D47" s="20"/>
      <c r="E47" s="20"/>
      <c r="F47" s="20"/>
      <c r="G47" s="20"/>
    </row>
    <row r="48" spans="2:7">
      <c r="B48" s="23" t="s">
        <v>213</v>
      </c>
      <c r="C48" s="130">
        <v>171.6</v>
      </c>
      <c r="D48" s="20"/>
      <c r="E48" s="20"/>
      <c r="F48" s="20"/>
      <c r="G48" s="20"/>
    </row>
    <row r="49" spans="2:7">
      <c r="B49" s="20" t="s">
        <v>264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>
      <c r="B51" s="20"/>
      <c r="C51" s="25"/>
      <c r="D51" s="20"/>
      <c r="E51" s="20"/>
      <c r="F51" s="20"/>
      <c r="G51" s="20"/>
    </row>
    <row r="52" spans="2:7">
      <c r="B52" s="23" t="s">
        <v>214</v>
      </c>
      <c r="C52" s="130">
        <v>110.33</v>
      </c>
      <c r="D52" s="20"/>
      <c r="E52" s="20"/>
      <c r="F52" s="20"/>
      <c r="G52" s="20"/>
    </row>
    <row r="53" spans="2:7">
      <c r="B53" s="20" t="s">
        <v>265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>
      <c r="B55" s="20"/>
      <c r="C55" s="20"/>
      <c r="D55" s="20"/>
      <c r="E55" s="20"/>
      <c r="F55" s="20"/>
      <c r="G55" s="20"/>
    </row>
    <row r="56" spans="2:7">
      <c r="B56" s="23" t="s">
        <v>219</v>
      </c>
      <c r="C56" s="130">
        <v>1320.99</v>
      </c>
      <c r="D56" s="20"/>
      <c r="E56" s="20"/>
      <c r="F56" s="20"/>
      <c r="G56" s="20"/>
    </row>
    <row r="57" spans="2:7">
      <c r="B57" s="20" t="s">
        <v>266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>
      <c r="B59" s="20"/>
      <c r="C59" s="20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5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  <row r="64" spans="2:7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AE205"/>
  <sheetViews>
    <sheetView tabSelected="1" zoomScale="80" zoomScaleNormal="80" workbookViewId="0">
      <pane xSplit="2" ySplit="3" topLeftCell="G142" activePane="bottomRight" state="frozen"/>
      <selection pane="topRight" activeCell="C1" sqref="C1"/>
      <selection pane="bottomLeft" activeCell="A5" sqref="A5"/>
      <selection pane="bottomRight" activeCell="N161" sqref="N161"/>
    </sheetView>
  </sheetViews>
  <sheetFormatPr defaultRowHeight="12.75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>
      <c r="B1" s="123" t="s">
        <v>241</v>
      </c>
      <c r="C1" s="124">
        <v>0.15</v>
      </c>
      <c r="F1" s="104" t="s">
        <v>252</v>
      </c>
      <c r="H1" s="126">
        <v>2004</v>
      </c>
      <c r="J1" s="104" t="s">
        <v>328</v>
      </c>
      <c r="L1" s="164">
        <v>0.08</v>
      </c>
      <c r="N1" s="104" t="s">
        <v>399</v>
      </c>
      <c r="P1" s="164">
        <v>0.05</v>
      </c>
    </row>
    <row r="2" spans="2:31">
      <c r="B2" s="153" t="s">
        <v>316</v>
      </c>
      <c r="C2" s="120"/>
      <c r="F2" s="104" t="s">
        <v>253</v>
      </c>
      <c r="H2" s="126">
        <v>2013</v>
      </c>
      <c r="J2" s="104" t="s">
        <v>329</v>
      </c>
      <c r="L2" s="164">
        <v>0.12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90" t="s">
        <v>292</v>
      </c>
      <c r="AE2" s="191"/>
    </row>
    <row r="3" spans="2:31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92" t="s">
        <v>293</v>
      </c>
      <c r="AE3" s="193"/>
    </row>
    <row r="4" spans="2:31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7"/>
      <c r="AD5" s="20"/>
      <c r="AE5" s="154"/>
    </row>
    <row r="6" spans="2:31">
      <c r="B6" s="20" t="s">
        <v>16</v>
      </c>
      <c r="C6" s="141"/>
      <c r="D6" s="141"/>
      <c r="E6" s="147"/>
      <c r="F6" s="147"/>
      <c r="G6" s="147">
        <v>289</v>
      </c>
      <c r="H6" s="147">
        <v>336</v>
      </c>
      <c r="I6" s="147">
        <v>388</v>
      </c>
      <c r="J6" s="147">
        <v>455</v>
      </c>
      <c r="K6" s="147">
        <v>591</v>
      </c>
      <c r="L6" s="147">
        <v>669</v>
      </c>
      <c r="M6" s="147">
        <v>821</v>
      </c>
      <c r="N6" s="147">
        <v>1034</v>
      </c>
      <c r="O6" s="147">
        <v>1275</v>
      </c>
      <c r="P6" s="147">
        <v>1600</v>
      </c>
      <c r="Q6" s="118">
        <f>((P6/G6)^(1/($H$2-$H$1) ))-1</f>
        <v>0.20942860942138286</v>
      </c>
      <c r="R6" s="31">
        <f>$L$2</f>
        <v>0.12</v>
      </c>
      <c r="S6" s="154">
        <f>P6*(1+$R6)</f>
        <v>1792.0000000000002</v>
      </c>
      <c r="T6" s="154">
        <f>S6*(1+$R6)</f>
        <v>2007.0400000000004</v>
      </c>
      <c r="U6" s="154">
        <f t="shared" ref="U6:AB6" si="0">T6*(1+$R6)</f>
        <v>2247.8848000000007</v>
      </c>
      <c r="V6" s="154">
        <f t="shared" si="0"/>
        <v>2517.6309760000008</v>
      </c>
      <c r="W6" s="154">
        <f t="shared" si="0"/>
        <v>2819.7466931200011</v>
      </c>
      <c r="X6" s="154">
        <f t="shared" si="0"/>
        <v>3158.1162962944013</v>
      </c>
      <c r="Y6" s="154">
        <f t="shared" si="0"/>
        <v>3537.0902518497296</v>
      </c>
      <c r="Z6" s="154">
        <f t="shared" si="0"/>
        <v>3961.5410820716975</v>
      </c>
      <c r="AA6" s="154">
        <f t="shared" si="0"/>
        <v>4436.9260119203018</v>
      </c>
      <c r="AB6" s="154">
        <f t="shared" si="0"/>
        <v>4969.3571333507389</v>
      </c>
      <c r="AC6" s="138">
        <f>((AB6/G6)^(1/($AB$3-$H$1) ))-1</f>
        <v>0.16150525010479155</v>
      </c>
      <c r="AD6" s="31">
        <f>$L$1</f>
        <v>0.08</v>
      </c>
      <c r="AE6" s="146">
        <f t="shared" ref="AE6:AE41" si="1">(AB6*(1+AD6))/($C$1-AD6)</f>
        <v>76670.081485982839</v>
      </c>
    </row>
    <row r="7" spans="2:31">
      <c r="B7" s="20" t="s">
        <v>240</v>
      </c>
      <c r="C7" s="141"/>
      <c r="D7" s="141"/>
      <c r="E7" s="147"/>
      <c r="F7" s="147"/>
      <c r="G7" s="147">
        <v>315</v>
      </c>
      <c r="H7" s="147">
        <v>361</v>
      </c>
      <c r="I7" s="147">
        <v>413</v>
      </c>
      <c r="J7" s="147">
        <v>480</v>
      </c>
      <c r="K7" s="147">
        <v>620</v>
      </c>
      <c r="L7" s="147">
        <v>634</v>
      </c>
      <c r="M7" s="147">
        <v>872</v>
      </c>
      <c r="N7" s="147">
        <v>1084</v>
      </c>
      <c r="O7" s="147">
        <v>1326</v>
      </c>
      <c r="P7" s="147">
        <v>1651</v>
      </c>
      <c r="Q7" s="118">
        <f>((P7/G7)^(1/($H$2-$H$1) ))-1</f>
        <v>0.20209112574880295</v>
      </c>
      <c r="R7" s="31">
        <f>$L$2</f>
        <v>0.12</v>
      </c>
      <c r="S7" s="154">
        <f t="shared" ref="S7:S16" si="2">P7*(1+$R7)</f>
        <v>1849.1200000000001</v>
      </c>
      <c r="T7" s="154">
        <f t="shared" ref="T7:AB7" si="3">S7*(1+$R7)</f>
        <v>2071.0144000000005</v>
      </c>
      <c r="U7" s="154">
        <f t="shared" si="3"/>
        <v>2319.5361280000006</v>
      </c>
      <c r="V7" s="154">
        <f t="shared" si="3"/>
        <v>2597.8804633600012</v>
      </c>
      <c r="W7" s="154">
        <f t="shared" si="3"/>
        <v>2909.6261189632014</v>
      </c>
      <c r="X7" s="154">
        <f t="shared" si="3"/>
        <v>3258.7812532387857</v>
      </c>
      <c r="Y7" s="154">
        <f t="shared" si="3"/>
        <v>3649.8350036274401</v>
      </c>
      <c r="Z7" s="154">
        <f t="shared" si="3"/>
        <v>4087.8152040627333</v>
      </c>
      <c r="AA7" s="154">
        <f t="shared" si="3"/>
        <v>4578.353028550262</v>
      </c>
      <c r="AB7" s="154">
        <f t="shared" si="3"/>
        <v>5127.755391976294</v>
      </c>
      <c r="AC7" s="138">
        <f>((AB7/G7)^(1/($AB$3-$H$1) ))-1</f>
        <v>0.15816197617345606</v>
      </c>
      <c r="AD7" s="31">
        <f>$L$1</f>
        <v>0.08</v>
      </c>
      <c r="AE7" s="146">
        <f t="shared" si="1"/>
        <v>79113.940333348553</v>
      </c>
    </row>
    <row r="8" spans="2:31">
      <c r="B8" s="20"/>
      <c r="C8" s="141"/>
      <c r="D8" s="141"/>
      <c r="E8" s="147"/>
      <c r="F8" s="147"/>
      <c r="G8" s="148">
        <f>(G7-F7)/G7</f>
        <v>1</v>
      </c>
      <c r="H8" s="151">
        <f>(H7-G7)/H7</f>
        <v>0.12742382271468145</v>
      </c>
      <c r="I8" s="151">
        <f t="shared" ref="I8:P8" si="4">(I7-H7)/I7</f>
        <v>0.12590799031476999</v>
      </c>
      <c r="J8" s="151">
        <f t="shared" si="4"/>
        <v>0.13958333333333334</v>
      </c>
      <c r="K8" s="151">
        <f t="shared" si="4"/>
        <v>0.22580645161290322</v>
      </c>
      <c r="L8" s="151">
        <f t="shared" si="4"/>
        <v>2.2082018927444796E-2</v>
      </c>
      <c r="M8" s="151">
        <f t="shared" si="4"/>
        <v>0.27293577981651373</v>
      </c>
      <c r="N8" s="151">
        <f t="shared" si="4"/>
        <v>0.19557195571955718</v>
      </c>
      <c r="O8" s="151">
        <f t="shared" si="4"/>
        <v>0.18250377073906485</v>
      </c>
      <c r="P8" s="151">
        <f t="shared" si="4"/>
        <v>0.19685039370078741</v>
      </c>
      <c r="Q8" s="128"/>
      <c r="R8" s="20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7"/>
      <c r="AD8" s="137"/>
      <c r="AE8" s="146"/>
    </row>
    <row r="9" spans="2:31">
      <c r="B9" s="20" t="s">
        <v>270</v>
      </c>
      <c r="C9" s="141"/>
      <c r="D9" s="141"/>
      <c r="E9" s="147"/>
      <c r="F9" s="147"/>
      <c r="G9" s="147">
        <v>85</v>
      </c>
      <c r="H9" s="147">
        <v>112</v>
      </c>
      <c r="I9" s="147">
        <v>133</v>
      </c>
      <c r="J9" s="147">
        <v>197</v>
      </c>
      <c r="K9" s="147">
        <v>263</v>
      </c>
      <c r="L9" s="147">
        <v>324</v>
      </c>
      <c r="M9" s="147">
        <v>411</v>
      </c>
      <c r="N9" s="147">
        <v>510</v>
      </c>
      <c r="O9" s="147">
        <v>748</v>
      </c>
      <c r="P9" s="147">
        <v>693</v>
      </c>
      <c r="Q9" s="118">
        <f t="shared" ref="Q9:Q16" si="5">((P9/G9)^(1/($H$2-$H$1) ))-1</f>
        <v>0.26257488294639741</v>
      </c>
      <c r="R9" s="31">
        <f t="shared" ref="R9:R40" si="6">$L$2</f>
        <v>0.12</v>
      </c>
      <c r="S9" s="154">
        <f t="shared" ref="S9" si="7">P9*(1+$R9)</f>
        <v>776.16000000000008</v>
      </c>
      <c r="T9" s="154">
        <f t="shared" ref="T9" si="8">S9*(1+$R9)</f>
        <v>869.29920000000016</v>
      </c>
      <c r="U9" s="154">
        <f t="shared" ref="U9" si="9">T9*(1+$R9)</f>
        <v>973.61510400000031</v>
      </c>
      <c r="V9" s="154">
        <f t="shared" ref="V9" si="10">U9*(1+$R9)</f>
        <v>1090.4489164800004</v>
      </c>
      <c r="W9" s="154">
        <f t="shared" ref="W9" si="11">V9*(1+$R9)</f>
        <v>1221.3027864576006</v>
      </c>
      <c r="X9" s="154">
        <f t="shared" ref="X9" si="12">W9*(1+$R9)</f>
        <v>1367.8591208325129</v>
      </c>
      <c r="Y9" s="154">
        <f t="shared" ref="Y9" si="13">X9*(1+$R9)</f>
        <v>1532.0022153324146</v>
      </c>
      <c r="Z9" s="154">
        <f t="shared" ref="Z9" si="14">Y9*(1+$R9)</f>
        <v>1715.8424811723046</v>
      </c>
      <c r="AA9" s="154">
        <f t="shared" ref="AA9" si="15">Z9*(1+$R9)</f>
        <v>1921.7435789129813</v>
      </c>
      <c r="AB9" s="154">
        <f t="shared" ref="AB9" si="16">AA9*(1+$R9)</f>
        <v>2152.3528083825395</v>
      </c>
      <c r="AC9" s="138">
        <f>((AB9/G9)^(1/($AB$3-$H$1) ))-1</f>
        <v>0.1854087631773329</v>
      </c>
      <c r="AD9" s="31">
        <f t="shared" ref="AD9:AD74" si="17">$L$1</f>
        <v>0.08</v>
      </c>
      <c r="AE9" s="146">
        <f t="shared" si="1"/>
        <v>33207.729043616324</v>
      </c>
    </row>
    <row r="10" spans="2:31">
      <c r="B10" s="20" t="s">
        <v>4</v>
      </c>
      <c r="C10" s="141"/>
      <c r="D10" s="141"/>
      <c r="E10" s="147"/>
      <c r="F10" s="147"/>
      <c r="G10" s="147">
        <v>56</v>
      </c>
      <c r="H10" s="147">
        <v>62</v>
      </c>
      <c r="I10" s="147">
        <v>56</v>
      </c>
      <c r="J10" s="147">
        <v>145</v>
      </c>
      <c r="K10" s="147">
        <v>526</v>
      </c>
      <c r="L10" s="147">
        <v>609</v>
      </c>
      <c r="M10" s="147">
        <v>468</v>
      </c>
      <c r="N10" s="147">
        <v>335</v>
      </c>
      <c r="O10" s="147">
        <v>148</v>
      </c>
      <c r="P10" s="147">
        <v>51</v>
      </c>
      <c r="Q10" s="118">
        <f t="shared" si="5"/>
        <v>-1.0337976182232311E-2</v>
      </c>
      <c r="R10" s="31">
        <f t="shared" si="6"/>
        <v>0.12</v>
      </c>
      <c r="S10" s="154">
        <f t="shared" si="2"/>
        <v>57.120000000000005</v>
      </c>
      <c r="T10" s="154">
        <f t="shared" ref="T10:AB10" si="18">S10*(1+$R10)</f>
        <v>63.97440000000001</v>
      </c>
      <c r="U10" s="154">
        <f t="shared" si="18"/>
        <v>71.651328000000021</v>
      </c>
      <c r="V10" s="154">
        <f t="shared" si="18"/>
        <v>80.249487360000032</v>
      </c>
      <c r="W10" s="154">
        <f t="shared" si="18"/>
        <v>89.879425843200039</v>
      </c>
      <c r="X10" s="154">
        <f t="shared" si="18"/>
        <v>100.66495694438406</v>
      </c>
      <c r="Y10" s="154">
        <f t="shared" si="18"/>
        <v>112.74475177771016</v>
      </c>
      <c r="Z10" s="154">
        <f t="shared" si="18"/>
        <v>126.2741219910354</v>
      </c>
      <c r="AA10" s="154">
        <f t="shared" si="18"/>
        <v>141.42701662995967</v>
      </c>
      <c r="AB10" s="154">
        <f t="shared" si="18"/>
        <v>158.39825862555483</v>
      </c>
      <c r="AC10" s="138">
        <f t="shared" ref="AC10:AC40" si="19">((AB10/G10)^(1/($AB$3-$H$1) ))-1</f>
        <v>5.6249316270891025E-2</v>
      </c>
      <c r="AD10" s="31">
        <f t="shared" si="17"/>
        <v>0.08</v>
      </c>
      <c r="AE10" s="146">
        <f t="shared" si="1"/>
        <v>2443.8588473657037</v>
      </c>
    </row>
    <row r="11" spans="2:31">
      <c r="B11" s="20"/>
      <c r="C11" s="141"/>
      <c r="D11" s="141"/>
      <c r="E11" s="147"/>
      <c r="F11" s="147"/>
      <c r="G11" s="148">
        <f>(G10-F10)/G10</f>
        <v>1</v>
      </c>
      <c r="H11" s="148">
        <f t="shared" ref="H11:P11" si="20">(H10-G10)/H10</f>
        <v>9.6774193548387094E-2</v>
      </c>
      <c r="I11" s="148">
        <f t="shared" si="20"/>
        <v>-0.10714285714285714</v>
      </c>
      <c r="J11" s="148">
        <f t="shared" si="20"/>
        <v>0.61379310344827587</v>
      </c>
      <c r="K11" s="148">
        <f t="shared" si="20"/>
        <v>0.7243346007604563</v>
      </c>
      <c r="L11" s="148">
        <f t="shared" si="20"/>
        <v>0.13628899835796388</v>
      </c>
      <c r="M11" s="148">
        <f t="shared" si="20"/>
        <v>-0.30128205128205127</v>
      </c>
      <c r="N11" s="148">
        <f t="shared" si="20"/>
        <v>-0.39701492537313432</v>
      </c>
      <c r="O11" s="148">
        <f t="shared" si="20"/>
        <v>-1.2635135135135136</v>
      </c>
      <c r="P11" s="148">
        <f t="shared" si="20"/>
        <v>-1.9019607843137254</v>
      </c>
      <c r="Q11" s="128"/>
      <c r="R11" s="20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31">
        <f t="shared" si="17"/>
        <v>0.08</v>
      </c>
      <c r="AE11" s="154"/>
    </row>
    <row r="12" spans="2:31">
      <c r="B12" s="20" t="s">
        <v>2</v>
      </c>
      <c r="C12" s="141"/>
      <c r="D12" s="141"/>
      <c r="E12" s="147"/>
      <c r="F12" s="147"/>
      <c r="G12" s="147">
        <v>7.5</v>
      </c>
      <c r="H12" s="147">
        <v>14</v>
      </c>
      <c r="I12" s="147">
        <v>16</v>
      </c>
      <c r="J12" s="147">
        <v>38</v>
      </c>
      <c r="K12" s="147">
        <v>172</v>
      </c>
      <c r="L12" s="147">
        <v>159</v>
      </c>
      <c r="M12" s="147">
        <v>45</v>
      </c>
      <c r="N12" s="147">
        <v>103</v>
      </c>
      <c r="O12" s="147">
        <v>273</v>
      </c>
      <c r="P12" s="147">
        <v>151</v>
      </c>
      <c r="Q12" s="118">
        <f t="shared" si="5"/>
        <v>0.39598104201612827</v>
      </c>
      <c r="R12" s="31">
        <f t="shared" si="6"/>
        <v>0.12</v>
      </c>
      <c r="S12" s="154">
        <f t="shared" si="2"/>
        <v>169.12</v>
      </c>
      <c r="T12" s="154">
        <f t="shared" ref="T12:AB12" si="21">S12*(1+$R12)</f>
        <v>189.41440000000003</v>
      </c>
      <c r="U12" s="154">
        <f t="shared" si="21"/>
        <v>212.14412800000005</v>
      </c>
      <c r="V12" s="154">
        <f t="shared" si="21"/>
        <v>237.60142336000007</v>
      </c>
      <c r="W12" s="154">
        <f t="shared" si="21"/>
        <v>266.1135941632001</v>
      </c>
      <c r="X12" s="154">
        <f t="shared" si="21"/>
        <v>298.04722546278413</v>
      </c>
      <c r="Y12" s="154">
        <f t="shared" si="21"/>
        <v>333.81289251831828</v>
      </c>
      <c r="Z12" s="154">
        <f t="shared" si="21"/>
        <v>373.87043962051649</v>
      </c>
      <c r="AA12" s="154">
        <f t="shared" si="21"/>
        <v>418.73489237497853</v>
      </c>
      <c r="AB12" s="154">
        <f t="shared" si="21"/>
        <v>468.98307945997601</v>
      </c>
      <c r="AC12" s="138">
        <f t="shared" si="19"/>
        <v>0.24317241156171332</v>
      </c>
      <c r="AD12" s="31">
        <f t="shared" si="17"/>
        <v>0.08</v>
      </c>
      <c r="AE12" s="146">
        <f t="shared" si="1"/>
        <v>7235.7389402396311</v>
      </c>
    </row>
    <row r="13" spans="2:31">
      <c r="B13" s="20" t="s">
        <v>218</v>
      </c>
      <c r="C13" s="141"/>
      <c r="D13" s="141"/>
      <c r="E13" s="147"/>
      <c r="F13" s="147"/>
      <c r="G13" s="147">
        <v>19</v>
      </c>
      <c r="H13" s="147">
        <v>19</v>
      </c>
      <c r="I13" s="147">
        <v>16</v>
      </c>
      <c r="J13" s="147">
        <v>16</v>
      </c>
      <c r="K13" s="147">
        <v>3.24</v>
      </c>
      <c r="L13" s="147">
        <v>26</v>
      </c>
      <c r="M13" s="147">
        <v>268</v>
      </c>
      <c r="N13" s="147">
        <v>170</v>
      </c>
      <c r="O13" s="147">
        <v>98</v>
      </c>
      <c r="P13" s="147">
        <v>293</v>
      </c>
      <c r="Q13" s="118">
        <f t="shared" si="5"/>
        <v>0.35522894521425896</v>
      </c>
      <c r="R13" s="31">
        <f t="shared" si="6"/>
        <v>0.12</v>
      </c>
      <c r="S13" s="154">
        <f t="shared" si="2"/>
        <v>328.16</v>
      </c>
      <c r="T13" s="154">
        <f t="shared" ref="T13:AB13" si="22">S13*(1+$R13)</f>
        <v>367.53920000000005</v>
      </c>
      <c r="U13" s="154">
        <f t="shared" si="22"/>
        <v>411.64390400000008</v>
      </c>
      <c r="V13" s="154">
        <f t="shared" si="22"/>
        <v>461.04117248000011</v>
      </c>
      <c r="W13" s="154">
        <f t="shared" si="22"/>
        <v>516.36611317760014</v>
      </c>
      <c r="X13" s="154">
        <f t="shared" si="22"/>
        <v>578.3300467589122</v>
      </c>
      <c r="Y13" s="154">
        <f t="shared" si="22"/>
        <v>647.72965236998175</v>
      </c>
      <c r="Z13" s="154">
        <f t="shared" si="22"/>
        <v>725.45721065437965</v>
      </c>
      <c r="AA13" s="154">
        <f t="shared" si="22"/>
        <v>812.5120759329053</v>
      </c>
      <c r="AB13" s="154">
        <f t="shared" si="22"/>
        <v>910.01352504485408</v>
      </c>
      <c r="AC13" s="138">
        <f t="shared" si="19"/>
        <v>0.22584776413725205</v>
      </c>
      <c r="AD13" s="31">
        <f t="shared" si="17"/>
        <v>0.08</v>
      </c>
      <c r="AE13" s="146">
        <f t="shared" si="1"/>
        <v>14040.208672120607</v>
      </c>
    </row>
    <row r="14" spans="2:31">
      <c r="B14" s="20" t="s">
        <v>374</v>
      </c>
      <c r="C14" s="141"/>
      <c r="D14" s="141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18" t="e">
        <f t="shared" ref="Q14" si="23">((P14/G14)^(1/($H$2-$H$1) ))-1</f>
        <v>#DIV/0!</v>
      </c>
      <c r="R14" s="31">
        <f t="shared" si="6"/>
        <v>0.12</v>
      </c>
      <c r="S14" s="154">
        <f t="shared" ref="S14" si="24">P14*(1+$R14)</f>
        <v>0</v>
      </c>
      <c r="T14" s="154">
        <f t="shared" ref="T14" si="25">S14*(1+$R14)</f>
        <v>0</v>
      </c>
      <c r="U14" s="154">
        <f t="shared" ref="U14" si="26">T14*(1+$R14)</f>
        <v>0</v>
      </c>
      <c r="V14" s="154">
        <f t="shared" ref="V14" si="27">U14*(1+$R14)</f>
        <v>0</v>
      </c>
      <c r="W14" s="154">
        <f t="shared" ref="W14" si="28">V14*(1+$R14)</f>
        <v>0</v>
      </c>
      <c r="X14" s="154">
        <f t="shared" ref="X14" si="29">W14*(1+$R14)</f>
        <v>0</v>
      </c>
      <c r="Y14" s="154">
        <f t="shared" ref="Y14" si="30">X14*(1+$R14)</f>
        <v>0</v>
      </c>
      <c r="Z14" s="154">
        <f t="shared" ref="Z14" si="31">Y14*(1+$R14)</f>
        <v>0</v>
      </c>
      <c r="AA14" s="154">
        <f t="shared" ref="AA14" si="32">Z14*(1+$R14)</f>
        <v>0</v>
      </c>
      <c r="AB14" s="154">
        <f t="shared" ref="AB14" si="33">AA14*(1+$R14)</f>
        <v>0</v>
      </c>
      <c r="AC14" s="138" t="e">
        <f t="shared" ref="AC14" si="34">((AB14/G14)^(1/($AB$3-$H$1) ))-1</f>
        <v>#DIV/0!</v>
      </c>
      <c r="AD14" s="31">
        <f t="shared" si="17"/>
        <v>0.08</v>
      </c>
      <c r="AE14" s="146">
        <f t="shared" ref="AE14" si="35">(AB14*(1+AD14))/($C$1-AD14)</f>
        <v>0</v>
      </c>
    </row>
    <row r="15" spans="2:31">
      <c r="B15" s="20" t="s">
        <v>19</v>
      </c>
      <c r="C15" s="141"/>
      <c r="D15" s="141"/>
      <c r="E15" s="147"/>
      <c r="F15" s="147"/>
      <c r="G15" s="147">
        <v>209.5</v>
      </c>
      <c r="H15" s="147">
        <v>254</v>
      </c>
      <c r="I15" s="147">
        <v>284</v>
      </c>
      <c r="J15" s="147">
        <v>417</v>
      </c>
      <c r="K15" s="147">
        <v>708</v>
      </c>
      <c r="L15" s="147">
        <v>718</v>
      </c>
      <c r="M15" s="147">
        <v>638</v>
      </c>
      <c r="N15" s="147">
        <v>793</v>
      </c>
      <c r="O15" s="147">
        <v>1122</v>
      </c>
      <c r="P15" s="147">
        <v>1104</v>
      </c>
      <c r="Q15" s="118">
        <f t="shared" si="5"/>
        <v>0.2028136235625817</v>
      </c>
      <c r="R15" s="31">
        <f t="shared" si="6"/>
        <v>0.12</v>
      </c>
      <c r="S15" s="154">
        <f t="shared" si="2"/>
        <v>1236.48</v>
      </c>
      <c r="T15" s="154">
        <f t="shared" ref="T15:AB15" si="36">S15*(1+$R15)</f>
        <v>1384.8576</v>
      </c>
      <c r="U15" s="154">
        <f t="shared" si="36"/>
        <v>1551.0405120000003</v>
      </c>
      <c r="V15" s="154">
        <f t="shared" si="36"/>
        <v>1737.1653734400004</v>
      </c>
      <c r="W15" s="154">
        <f t="shared" si="36"/>
        <v>1945.6252182528006</v>
      </c>
      <c r="X15" s="154">
        <f t="shared" si="36"/>
        <v>2179.1002444431369</v>
      </c>
      <c r="Y15" s="154">
        <f t="shared" si="36"/>
        <v>2440.5922737763135</v>
      </c>
      <c r="Z15" s="154">
        <f t="shared" si="36"/>
        <v>2733.4633466294713</v>
      </c>
      <c r="AA15" s="154">
        <f t="shared" si="36"/>
        <v>3061.478948225008</v>
      </c>
      <c r="AB15" s="154">
        <f t="shared" si="36"/>
        <v>3428.8564220120093</v>
      </c>
      <c r="AC15" s="138">
        <f t="shared" si="19"/>
        <v>0.15849165319788683</v>
      </c>
      <c r="AD15" s="31">
        <f t="shared" si="17"/>
        <v>0.08</v>
      </c>
      <c r="AE15" s="146">
        <f t="shared" si="1"/>
        <v>52902.356225328149</v>
      </c>
    </row>
    <row r="16" spans="2:31">
      <c r="B16" s="20" t="s">
        <v>23</v>
      </c>
      <c r="C16" s="141"/>
      <c r="D16" s="141"/>
      <c r="E16" s="147"/>
      <c r="F16" s="147"/>
      <c r="G16" s="147">
        <v>132</v>
      </c>
      <c r="H16" s="147">
        <v>145</v>
      </c>
      <c r="I16" s="147">
        <v>147</v>
      </c>
      <c r="J16" s="147">
        <v>224</v>
      </c>
      <c r="K16" s="147">
        <v>477</v>
      </c>
      <c r="L16" s="147">
        <v>445</v>
      </c>
      <c r="M16" s="147">
        <v>234</v>
      </c>
      <c r="N16" s="147">
        <v>336</v>
      </c>
      <c r="O16" s="147">
        <v>365</v>
      </c>
      <c r="P16" s="147">
        <v>335</v>
      </c>
      <c r="Q16" s="118">
        <f t="shared" si="5"/>
        <v>0.10902467354362688</v>
      </c>
      <c r="R16" s="31">
        <f t="shared" si="6"/>
        <v>0.12</v>
      </c>
      <c r="S16" s="154">
        <f t="shared" si="2"/>
        <v>375.20000000000005</v>
      </c>
      <c r="T16" s="154">
        <f t="shared" ref="T16:AB16" si="37">S16*(1+$R16)</f>
        <v>420.2240000000001</v>
      </c>
      <c r="U16" s="154">
        <f t="shared" si="37"/>
        <v>470.65088000000014</v>
      </c>
      <c r="V16" s="154">
        <f t="shared" si="37"/>
        <v>527.12898560000019</v>
      </c>
      <c r="W16" s="154">
        <f t="shared" si="37"/>
        <v>590.38446387200031</v>
      </c>
      <c r="X16" s="154">
        <f t="shared" si="37"/>
        <v>661.2305995366404</v>
      </c>
      <c r="Y16" s="154">
        <f t="shared" si="37"/>
        <v>740.57827148103729</v>
      </c>
      <c r="Z16" s="154">
        <f t="shared" si="37"/>
        <v>829.4476640587618</v>
      </c>
      <c r="AA16" s="154">
        <f t="shared" si="37"/>
        <v>928.98138374581333</v>
      </c>
      <c r="AB16" s="154">
        <f t="shared" si="37"/>
        <v>1040.4591497953111</v>
      </c>
      <c r="AC16" s="138">
        <f t="shared" si="19"/>
        <v>0.1147876871853879</v>
      </c>
      <c r="AD16" s="31">
        <f t="shared" si="17"/>
        <v>0.08</v>
      </c>
      <c r="AE16" s="146">
        <f t="shared" si="1"/>
        <v>16052.798311127657</v>
      </c>
    </row>
    <row r="17" spans="2:31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28"/>
      <c r="R17" s="20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39"/>
      <c r="AD17" s="137"/>
      <c r="AE17" s="154"/>
    </row>
    <row r="18" spans="2:31">
      <c r="B18" s="20" t="s">
        <v>278</v>
      </c>
      <c r="C18" s="141"/>
      <c r="D18" s="141"/>
      <c r="E18" s="147"/>
      <c r="F18" s="147"/>
      <c r="G18" s="147">
        <v>204</v>
      </c>
      <c r="H18" s="147">
        <v>224</v>
      </c>
      <c r="I18" s="147">
        <v>278</v>
      </c>
      <c r="J18" s="147">
        <v>350</v>
      </c>
      <c r="K18" s="147">
        <v>497</v>
      </c>
      <c r="L18" s="147">
        <v>551</v>
      </c>
      <c r="M18" s="147">
        <v>540</v>
      </c>
      <c r="N18" s="147">
        <v>563</v>
      </c>
      <c r="O18" s="147">
        <v>618</v>
      </c>
      <c r="P18" s="147">
        <v>646</v>
      </c>
      <c r="Q18" s="118">
        <f>((P18/G18)^(1/($H$2-$H$1) ))-1</f>
        <v>0.13663881694331415</v>
      </c>
      <c r="R18" s="31">
        <f t="shared" si="6"/>
        <v>0.12</v>
      </c>
      <c r="S18" s="154">
        <f t="shared" ref="S18:S34" si="38">P18*(1+$R18)</f>
        <v>723.5200000000001</v>
      </c>
      <c r="T18" s="154">
        <f t="shared" ref="T18:T34" si="39">S18*(1+$R18)</f>
        <v>810.34240000000023</v>
      </c>
      <c r="U18" s="154">
        <f t="shared" ref="U18:U34" si="40">T18*(1+$R18)</f>
        <v>907.58348800000033</v>
      </c>
      <c r="V18" s="154">
        <f t="shared" ref="V18:V34" si="41">U18*(1+$R18)</f>
        <v>1016.4935065600005</v>
      </c>
      <c r="W18" s="154">
        <f t="shared" ref="W18:W36" si="42">V18*(1+$R18)</f>
        <v>1138.4727273472006</v>
      </c>
      <c r="X18" s="154">
        <f t="shared" ref="X18:X36" si="43">W18*(1+$R18)</f>
        <v>1275.0894546288648</v>
      </c>
      <c r="Y18" s="154">
        <f t="shared" ref="Y18:Y36" si="44">X18*(1+$R18)</f>
        <v>1428.1001891843287</v>
      </c>
      <c r="Z18" s="154">
        <f t="shared" ref="Z18:Z36" si="45">Y18*(1+$R18)</f>
        <v>1599.4722118864483</v>
      </c>
      <c r="AA18" s="154">
        <f t="shared" ref="AA18:AA36" si="46">Z18*(1+$R18)</f>
        <v>1791.4088773128224</v>
      </c>
      <c r="AB18" s="154">
        <f t="shared" ref="AB18:AB36" si="47">AA18*(1+$R18)</f>
        <v>2006.3779425903613</v>
      </c>
      <c r="AC18" s="138">
        <f t="shared" si="19"/>
        <v>0.12785096272831842</v>
      </c>
      <c r="AD18" s="31">
        <f t="shared" si="17"/>
        <v>0.08</v>
      </c>
      <c r="AE18" s="146">
        <f t="shared" si="1"/>
        <v>30955.54539996558</v>
      </c>
    </row>
    <row r="19" spans="2:31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28"/>
      <c r="R19" s="20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39"/>
      <c r="AD19" s="137"/>
      <c r="AE19" s="154"/>
    </row>
    <row r="20" spans="2:31">
      <c r="B20" s="20" t="s">
        <v>284</v>
      </c>
      <c r="C20" s="141"/>
      <c r="D20" s="141"/>
      <c r="E20" s="147"/>
      <c r="F20" s="147"/>
      <c r="G20" s="147">
        <v>48</v>
      </c>
      <c r="H20" s="147">
        <v>92</v>
      </c>
      <c r="I20" s="147">
        <v>112</v>
      </c>
      <c r="J20" s="147">
        <v>89</v>
      </c>
      <c r="K20" s="147">
        <v>128</v>
      </c>
      <c r="L20" s="147">
        <v>260</v>
      </c>
      <c r="M20" s="147">
        <v>412</v>
      </c>
      <c r="N20" s="147">
        <v>322</v>
      </c>
      <c r="O20" s="147">
        <v>507</v>
      </c>
      <c r="P20" s="147">
        <v>513</v>
      </c>
      <c r="Q20" s="118">
        <f>((P20/G20)^(1/($H$2-$H$1) ))-1</f>
        <v>0.30112664239398113</v>
      </c>
      <c r="R20" s="31">
        <f t="shared" si="6"/>
        <v>0.12</v>
      </c>
      <c r="S20" s="154">
        <f t="shared" ref="S20:S22" si="48">P20*(1+$R20)</f>
        <v>574.56000000000006</v>
      </c>
      <c r="T20" s="154">
        <f t="shared" ref="T20:T22" si="49">S20*(1+$R20)</f>
        <v>643.50720000000013</v>
      </c>
      <c r="U20" s="154">
        <f t="shared" ref="U20:U22" si="50">T20*(1+$R20)</f>
        <v>720.72806400000024</v>
      </c>
      <c r="V20" s="154">
        <f t="shared" ref="V20:V22" si="51">U20*(1+$R20)</f>
        <v>807.21543168000039</v>
      </c>
      <c r="W20" s="154">
        <f t="shared" ref="W20:W22" si="52">V20*(1+$R20)</f>
        <v>904.08128348160051</v>
      </c>
      <c r="X20" s="154">
        <f t="shared" ref="X20:X22" si="53">W20*(1+$R20)</f>
        <v>1012.5710374993927</v>
      </c>
      <c r="Y20" s="154">
        <f t="shared" ref="Y20:Y22" si="54">X20*(1+$R20)</f>
        <v>1134.0795619993198</v>
      </c>
      <c r="Z20" s="154">
        <f t="shared" ref="Z20:Z22" si="55">Y20*(1+$R20)</f>
        <v>1270.1691094392384</v>
      </c>
      <c r="AA20" s="154">
        <f t="shared" ref="AA20:AA22" si="56">Z20*(1+$R20)</f>
        <v>1422.5894025719472</v>
      </c>
      <c r="AB20" s="154">
        <f t="shared" ref="AB20:AB22" si="57">AA20*(1+$R20)</f>
        <v>1593.300130880581</v>
      </c>
      <c r="AC20" s="138">
        <f t="shared" ref="AC20:AC22" si="58">((AB20/G20)^(1/($AB$3-$H$1) ))-1</f>
        <v>0.20241835620994375</v>
      </c>
      <c r="AD20" s="31">
        <f t="shared" si="17"/>
        <v>0.08</v>
      </c>
      <c r="AE20" s="146">
        <f t="shared" si="1"/>
        <v>24582.344876443254</v>
      </c>
    </row>
    <row r="21" spans="2:31">
      <c r="B21" s="20" t="s">
        <v>285</v>
      </c>
      <c r="C21" s="141"/>
      <c r="D21" s="141"/>
      <c r="E21" s="147"/>
      <c r="F21" s="147"/>
      <c r="G21" s="147">
        <v>-41</v>
      </c>
      <c r="H21" s="147">
        <v>-70</v>
      </c>
      <c r="I21" s="147">
        <v>-77</v>
      </c>
      <c r="J21" s="147">
        <v>-125</v>
      </c>
      <c r="K21" s="147">
        <v>-290</v>
      </c>
      <c r="L21" s="147">
        <v>-228</v>
      </c>
      <c r="M21" s="147">
        <v>-345</v>
      </c>
      <c r="N21" s="147">
        <v>-37</v>
      </c>
      <c r="O21" s="147">
        <v>-231</v>
      </c>
      <c r="P21" s="147">
        <v>-197</v>
      </c>
      <c r="Q21" s="118">
        <f>((P21/G21)^(1/($H$2-$H$1) ))-1</f>
        <v>0.19053587156611562</v>
      </c>
      <c r="R21" s="31">
        <f t="shared" si="6"/>
        <v>0.12</v>
      </c>
      <c r="S21" s="154">
        <f t="shared" si="48"/>
        <v>-220.64000000000001</v>
      </c>
      <c r="T21" s="154">
        <f t="shared" si="49"/>
        <v>-247.11680000000004</v>
      </c>
      <c r="U21" s="154">
        <f t="shared" si="50"/>
        <v>-276.77081600000008</v>
      </c>
      <c r="V21" s="154">
        <f t="shared" si="51"/>
        <v>-309.98331392000011</v>
      </c>
      <c r="W21" s="154">
        <f t="shared" si="52"/>
        <v>-347.18131159040018</v>
      </c>
      <c r="X21" s="154">
        <f t="shared" si="53"/>
        <v>-388.84306898124822</v>
      </c>
      <c r="Y21" s="154">
        <f t="shared" si="54"/>
        <v>-435.50423725899805</v>
      </c>
      <c r="Z21" s="154">
        <f t="shared" si="55"/>
        <v>-487.76474573007783</v>
      </c>
      <c r="AA21" s="154">
        <f t="shared" si="56"/>
        <v>-546.29651521768722</v>
      </c>
      <c r="AB21" s="154">
        <f t="shared" si="57"/>
        <v>-611.85209704380975</v>
      </c>
      <c r="AC21" s="138">
        <f t="shared" si="58"/>
        <v>0.15287505377267263</v>
      </c>
      <c r="AD21" s="31">
        <f t="shared" si="17"/>
        <v>0.08</v>
      </c>
      <c r="AE21" s="146">
        <f t="shared" si="1"/>
        <v>-9440.0037829616376</v>
      </c>
    </row>
    <row r="22" spans="2:31">
      <c r="B22" s="20" t="s">
        <v>286</v>
      </c>
      <c r="C22" s="141"/>
      <c r="D22" s="141"/>
      <c r="E22" s="147"/>
      <c r="F22" s="147"/>
      <c r="G22" s="147">
        <v>-7</v>
      </c>
      <c r="H22" s="147">
        <v>-18</v>
      </c>
      <c r="I22" s="147">
        <v>-35</v>
      </c>
      <c r="J22" s="147">
        <v>47</v>
      </c>
      <c r="K22" s="147">
        <v>288</v>
      </c>
      <c r="L22" s="147">
        <v>-54</v>
      </c>
      <c r="M22" s="147">
        <v>-160</v>
      </c>
      <c r="N22" s="147">
        <v>-246</v>
      </c>
      <c r="O22" s="147">
        <v>-285</v>
      </c>
      <c r="P22" s="147">
        <v>-625</v>
      </c>
      <c r="Q22" s="118">
        <f>((P22/G22)^(1/($H$2-$H$1) ))-1</f>
        <v>0.64722738220021325</v>
      </c>
      <c r="R22" s="31">
        <f t="shared" si="6"/>
        <v>0.12</v>
      </c>
      <c r="S22" s="154">
        <f t="shared" si="48"/>
        <v>-700.00000000000011</v>
      </c>
      <c r="T22" s="154">
        <f t="shared" si="49"/>
        <v>-784.00000000000023</v>
      </c>
      <c r="U22" s="154">
        <f t="shared" si="50"/>
        <v>-878.08000000000038</v>
      </c>
      <c r="V22" s="154">
        <f t="shared" si="51"/>
        <v>-983.44960000000049</v>
      </c>
      <c r="W22" s="154">
        <f t="shared" si="52"/>
        <v>-1101.4635520000006</v>
      </c>
      <c r="X22" s="154">
        <f t="shared" si="53"/>
        <v>-1233.6391782400008</v>
      </c>
      <c r="Y22" s="154">
        <f t="shared" si="54"/>
        <v>-1381.6758796288009</v>
      </c>
      <c r="Z22" s="154">
        <f t="shared" si="55"/>
        <v>-1547.476985184257</v>
      </c>
      <c r="AA22" s="154">
        <f t="shared" si="56"/>
        <v>-1733.1742234063681</v>
      </c>
      <c r="AB22" s="154">
        <f t="shared" si="57"/>
        <v>-1941.1551302151324</v>
      </c>
      <c r="AC22" s="138">
        <f t="shared" si="58"/>
        <v>0.34455000330530638</v>
      </c>
      <c r="AD22" s="31">
        <f t="shared" si="17"/>
        <v>0.08</v>
      </c>
      <c r="AE22" s="146">
        <f t="shared" si="1"/>
        <v>-29949.250580462049</v>
      </c>
    </row>
    <row r="23" spans="2:31">
      <c r="B23" s="20" t="s">
        <v>296</v>
      </c>
      <c r="C23" s="141"/>
      <c r="D23" s="141"/>
      <c r="E23" s="147"/>
      <c r="F23" s="147"/>
      <c r="G23" s="147">
        <v>7.44</v>
      </c>
      <c r="H23" s="147">
        <v>11.66</v>
      </c>
      <c r="I23" s="147">
        <v>12</v>
      </c>
      <c r="J23" s="147">
        <v>23</v>
      </c>
      <c r="K23" s="147">
        <v>148.5</v>
      </c>
      <c r="L23" s="147">
        <v>127</v>
      </c>
      <c r="M23" s="147">
        <v>33</v>
      </c>
      <c r="N23" s="147">
        <v>72</v>
      </c>
      <c r="O23" s="147">
        <v>62</v>
      </c>
      <c r="P23" s="147">
        <v>51</v>
      </c>
      <c r="Q23" s="118">
        <f>((P23/G23)^(1/($H$2-$H$1) ))-1</f>
        <v>0.23847881554976125</v>
      </c>
      <c r="R23" s="31">
        <f t="shared" si="6"/>
        <v>0.12</v>
      </c>
      <c r="S23" s="154">
        <f t="shared" ref="S23" si="59">P23*(1+$R23)</f>
        <v>57.120000000000005</v>
      </c>
      <c r="T23" s="154">
        <f t="shared" ref="T23" si="60">S23*(1+$R23)</f>
        <v>63.97440000000001</v>
      </c>
      <c r="U23" s="154">
        <f t="shared" ref="U23" si="61">T23*(1+$R23)</f>
        <v>71.651328000000021</v>
      </c>
      <c r="V23" s="154">
        <f t="shared" ref="V23" si="62">U23*(1+$R23)</f>
        <v>80.249487360000032</v>
      </c>
      <c r="W23" s="154">
        <f t="shared" ref="W23" si="63">V23*(1+$R23)</f>
        <v>89.879425843200039</v>
      </c>
      <c r="X23" s="154">
        <f t="shared" ref="X23" si="64">W23*(1+$R23)</f>
        <v>100.66495694438406</v>
      </c>
      <c r="Y23" s="154">
        <f t="shared" ref="Y23" si="65">X23*(1+$R23)</f>
        <v>112.74475177771016</v>
      </c>
      <c r="Z23" s="154">
        <f t="shared" ref="Z23" si="66">Y23*(1+$R23)</f>
        <v>126.2741219910354</v>
      </c>
      <c r="AA23" s="154">
        <f t="shared" ref="AA23" si="67">Z23*(1+$R23)</f>
        <v>141.42701662995967</v>
      </c>
      <c r="AB23" s="154">
        <f t="shared" ref="AB23" si="68">AA23*(1+$R23)</f>
        <v>158.39825862555483</v>
      </c>
      <c r="AC23" s="138">
        <f t="shared" ref="AC23" si="69">((AB23/G23)^(1/($AB$3-$H$1) ))-1</f>
        <v>0.17463808355606369</v>
      </c>
      <c r="AD23" s="31">
        <f t="shared" si="17"/>
        <v>0.08</v>
      </c>
      <c r="AE23" s="146">
        <f t="shared" si="1"/>
        <v>2443.8588473657037</v>
      </c>
    </row>
    <row r="24" spans="2:31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28"/>
      <c r="R24" s="20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19"/>
      <c r="AD24" s="137"/>
      <c r="AE24" s="154"/>
    </row>
    <row r="25" spans="2:31">
      <c r="B25" s="20" t="s">
        <v>89</v>
      </c>
      <c r="C25" s="141"/>
      <c r="D25" s="141"/>
      <c r="E25" s="147"/>
      <c r="F25" s="147"/>
      <c r="G25" s="147">
        <v>675</v>
      </c>
      <c r="H25" s="147">
        <v>777</v>
      </c>
      <c r="I25" s="147">
        <v>949</v>
      </c>
      <c r="J25" s="147">
        <v>1290</v>
      </c>
      <c r="K25" s="147">
        <v>1767</v>
      </c>
      <c r="L25" s="147">
        <v>1978</v>
      </c>
      <c r="M25" s="147">
        <v>2247</v>
      </c>
      <c r="N25" s="147">
        <v>2748</v>
      </c>
      <c r="O25" s="147">
        <v>3194</v>
      </c>
      <c r="P25" s="147">
        <v>3802</v>
      </c>
      <c r="Q25" s="118">
        <f>((P25/G25)^(1/($H$2-$H$1) ))-1</f>
        <v>0.21174723593215905</v>
      </c>
      <c r="R25" s="31">
        <f t="shared" si="6"/>
        <v>0.12</v>
      </c>
      <c r="S25" s="154">
        <f t="shared" si="38"/>
        <v>4258.2400000000007</v>
      </c>
      <c r="T25" s="154">
        <f t="shared" si="39"/>
        <v>4769.2288000000008</v>
      </c>
      <c r="U25" s="154">
        <f t="shared" si="40"/>
        <v>5341.5362560000012</v>
      </c>
      <c r="V25" s="154">
        <f t="shared" si="41"/>
        <v>5982.5206067200015</v>
      </c>
      <c r="W25" s="154">
        <f t="shared" si="42"/>
        <v>6700.423079526402</v>
      </c>
      <c r="X25" s="154">
        <f t="shared" si="43"/>
        <v>7504.4738490695709</v>
      </c>
      <c r="Y25" s="154">
        <f t="shared" si="44"/>
        <v>8405.0107109579203</v>
      </c>
      <c r="Z25" s="154">
        <f t="shared" si="45"/>
        <v>9413.6119962728717</v>
      </c>
      <c r="AA25" s="154">
        <f t="shared" si="46"/>
        <v>10543.245435825618</v>
      </c>
      <c r="AB25" s="154">
        <f t="shared" si="47"/>
        <v>11808.434888124693</v>
      </c>
      <c r="AC25" s="138">
        <f t="shared" si="19"/>
        <v>0.16255949546635962</v>
      </c>
      <c r="AD25" s="31">
        <f t="shared" si="17"/>
        <v>0.08</v>
      </c>
      <c r="AE25" s="146">
        <f t="shared" si="1"/>
        <v>182187.28113106673</v>
      </c>
    </row>
    <row r="26" spans="2:31" s="123" customFormat="1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0.13127413127413126</v>
      </c>
      <c r="I26" s="148">
        <f t="shared" ref="I26" si="70">(I25-H25)/I25</f>
        <v>0.18124341412012646</v>
      </c>
      <c r="J26" s="148">
        <f t="shared" ref="J26" si="71">(J25-I25)/J25</f>
        <v>0.26434108527131783</v>
      </c>
      <c r="K26" s="148">
        <f t="shared" ref="K26" si="72">(K25-J25)/K25</f>
        <v>0.2699490662139219</v>
      </c>
      <c r="L26" s="148">
        <f t="shared" ref="L26" si="73">(L25-K25)/L25</f>
        <v>0.10667340748230536</v>
      </c>
      <c r="M26" s="148">
        <f t="shared" ref="M26" si="74">(M25-L25)/M25</f>
        <v>0.11971517578994215</v>
      </c>
      <c r="N26" s="148">
        <f t="shared" ref="N26" si="75">(N25-M25)/N25</f>
        <v>0.18231441048034935</v>
      </c>
      <c r="O26" s="148">
        <f t="shared" ref="O26" si="76">(O25-N25)/O25</f>
        <v>0.13963681903569192</v>
      </c>
      <c r="P26" s="148">
        <f t="shared" ref="P26" si="77">(P25-O25)/P25</f>
        <v>0.1599158337716991</v>
      </c>
      <c r="Q26" s="128"/>
      <c r="R26" s="20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19"/>
      <c r="AD26" s="137"/>
      <c r="AE26" s="154"/>
    </row>
    <row r="27" spans="2:31">
      <c r="B27" s="20" t="s">
        <v>262</v>
      </c>
      <c r="C27" s="141"/>
      <c r="D27" s="141"/>
      <c r="E27" s="147"/>
      <c r="F27" s="147"/>
      <c r="G27" s="147">
        <v>558</v>
      </c>
      <c r="H27" s="147">
        <v>640</v>
      </c>
      <c r="I27" s="147">
        <v>789</v>
      </c>
      <c r="J27" s="147">
        <v>1102</v>
      </c>
      <c r="K27" s="147">
        <v>1489</v>
      </c>
      <c r="L27" s="147">
        <v>1748</v>
      </c>
      <c r="M27" s="147">
        <v>1831</v>
      </c>
      <c r="N27" s="147">
        <v>2249</v>
      </c>
      <c r="O27" s="147">
        <v>2666</v>
      </c>
      <c r="P27" s="147">
        <v>3130</v>
      </c>
      <c r="Q27" s="118">
        <f>((P27/G27)^(1/($H$2-$H$1) ))-1</f>
        <v>0.21118989161507029</v>
      </c>
      <c r="R27" s="31">
        <f t="shared" si="6"/>
        <v>0.12</v>
      </c>
      <c r="S27" s="154">
        <f t="shared" si="38"/>
        <v>3505.6000000000004</v>
      </c>
      <c r="T27" s="154">
        <f t="shared" si="39"/>
        <v>3926.2720000000008</v>
      </c>
      <c r="U27" s="154">
        <f t="shared" si="40"/>
        <v>4397.4246400000011</v>
      </c>
      <c r="V27" s="154">
        <f t="shared" si="41"/>
        <v>4925.1155968000021</v>
      </c>
      <c r="W27" s="154">
        <f t="shared" si="42"/>
        <v>5516.129468416003</v>
      </c>
      <c r="X27" s="154">
        <f t="shared" si="43"/>
        <v>6178.0650046259243</v>
      </c>
      <c r="Y27" s="154">
        <f t="shared" si="44"/>
        <v>6919.4328051810362</v>
      </c>
      <c r="Z27" s="154">
        <f t="shared" si="45"/>
        <v>7749.7647418027609</v>
      </c>
      <c r="AA27" s="154">
        <f t="shared" si="46"/>
        <v>8679.7365108190934</v>
      </c>
      <c r="AB27" s="154">
        <f t="shared" si="47"/>
        <v>9721.304892117385</v>
      </c>
      <c r="AC27" s="138">
        <f t="shared" si="19"/>
        <v>0.16230617620577115</v>
      </c>
      <c r="AD27" s="31">
        <f t="shared" si="17"/>
        <v>0.08</v>
      </c>
      <c r="AE27" s="146">
        <f t="shared" si="1"/>
        <v>149985.84690695396</v>
      </c>
    </row>
    <row r="28" spans="2:31" s="123" customFormat="1">
      <c r="B28" s="23"/>
      <c r="C28" s="149"/>
      <c r="D28" s="149"/>
      <c r="E28" s="150"/>
      <c r="F28" s="150"/>
      <c r="G28" s="148">
        <f t="shared" ref="G28:M28" si="78">(G27-F27)/G27</f>
        <v>1</v>
      </c>
      <c r="H28" s="148">
        <f t="shared" si="78"/>
        <v>0.12812499999999999</v>
      </c>
      <c r="I28" s="148">
        <f t="shared" si="78"/>
        <v>0.1888466413181242</v>
      </c>
      <c r="J28" s="148">
        <f t="shared" si="78"/>
        <v>0.28402903811252267</v>
      </c>
      <c r="K28" s="148">
        <f t="shared" si="78"/>
        <v>0.25990597716588315</v>
      </c>
      <c r="L28" s="148">
        <f t="shared" si="78"/>
        <v>0.14816933638443935</v>
      </c>
      <c r="M28" s="148">
        <f t="shared" si="78"/>
        <v>4.5330420535226651E-2</v>
      </c>
      <c r="N28" s="148">
        <f t="shared" ref="N28" si="79">(N27-M27)/N27</f>
        <v>0.18586038239217431</v>
      </c>
      <c r="O28" s="148">
        <f t="shared" ref="O28" si="80">(O27-N27)/O27</f>
        <v>0.15641410352588148</v>
      </c>
      <c r="P28" s="148">
        <f t="shared" ref="P28" si="81">(P27-O27)/P27</f>
        <v>0.14824281150159743</v>
      </c>
      <c r="Q28" s="128"/>
      <c r="R28" s="20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19"/>
      <c r="AD28" s="137"/>
      <c r="AE28" s="154"/>
    </row>
    <row r="29" spans="2:31" s="123" customFormat="1">
      <c r="B29" s="20" t="s">
        <v>325</v>
      </c>
      <c r="C29" s="149"/>
      <c r="D29" s="149"/>
      <c r="E29" s="150"/>
      <c r="F29" s="147"/>
      <c r="G29" s="147">
        <v>1E-3</v>
      </c>
      <c r="H29" s="147">
        <v>4</v>
      </c>
      <c r="I29" s="147">
        <v>3.8</v>
      </c>
      <c r="J29" s="147">
        <v>9.59</v>
      </c>
      <c r="K29" s="147">
        <v>24</v>
      </c>
      <c r="L29" s="147">
        <v>44</v>
      </c>
      <c r="M29" s="147">
        <v>38</v>
      </c>
      <c r="N29" s="147">
        <v>36</v>
      </c>
      <c r="O29" s="147">
        <v>31</v>
      </c>
      <c r="P29" s="147">
        <v>22</v>
      </c>
      <c r="Q29" s="118">
        <f>((P29/G29)^(1/($H$2-$H$1) ))-1</f>
        <v>2.0373260083233196</v>
      </c>
      <c r="R29" s="31">
        <f t="shared" si="6"/>
        <v>0.12</v>
      </c>
      <c r="S29" s="154">
        <f t="shared" ref="S29" si="82">P29*(1+$R29)</f>
        <v>24.64</v>
      </c>
      <c r="T29" s="154">
        <f t="shared" ref="T29" si="83">S29*(1+$R29)</f>
        <v>27.596800000000002</v>
      </c>
      <c r="U29" s="154">
        <f t="shared" ref="U29" si="84">T29*(1+$R29)</f>
        <v>30.908416000000006</v>
      </c>
      <c r="V29" s="154">
        <f t="shared" ref="V29" si="85">U29*(1+$R29)</f>
        <v>34.617425920000009</v>
      </c>
      <c r="W29" s="154">
        <f t="shared" ref="W29" si="86">V29*(1+$R29)</f>
        <v>38.771517030400013</v>
      </c>
      <c r="X29" s="154">
        <f t="shared" ref="X29" si="87">W29*(1+$R29)</f>
        <v>43.424099074048016</v>
      </c>
      <c r="Y29" s="154">
        <f t="shared" ref="Y29" si="88">X29*(1+$R29)</f>
        <v>48.634990962933784</v>
      </c>
      <c r="Z29" s="154">
        <f t="shared" ref="Z29" si="89">Y29*(1+$R29)</f>
        <v>54.471189878485845</v>
      </c>
      <c r="AA29" s="154">
        <f t="shared" ref="AA29" si="90">Z29*(1+$R29)</f>
        <v>61.00773266390415</v>
      </c>
      <c r="AB29" s="154">
        <f t="shared" ref="AB29" si="91">AA29*(1+$R29)</f>
        <v>68.328660583572656</v>
      </c>
      <c r="AC29" s="138">
        <f t="shared" ref="AC29" si="92">((AB29/G29)^(1/($AB$3-$H$1) ))-1</f>
        <v>0.79660574714007915</v>
      </c>
      <c r="AD29" s="31">
        <f t="shared" si="17"/>
        <v>0.08</v>
      </c>
      <c r="AE29" s="146">
        <f t="shared" ref="AE29" si="93">(AB29*(1+AD29))/($C$1-AD29)</f>
        <v>1054.213620432264</v>
      </c>
    </row>
    <row r="30" spans="2:31" s="123" customFormat="1">
      <c r="B30" s="23"/>
      <c r="C30" s="149"/>
      <c r="D30" s="149"/>
      <c r="E30" s="150"/>
      <c r="F30" s="150"/>
      <c r="G30" s="148">
        <f t="shared" ref="G30:L30" si="94">(G29-F29)/G29</f>
        <v>1</v>
      </c>
      <c r="H30" s="148">
        <f t="shared" si="94"/>
        <v>0.99975000000000003</v>
      </c>
      <c r="I30" s="148">
        <f t="shared" si="94"/>
        <v>-5.2631578947368474E-2</v>
      </c>
      <c r="J30" s="148">
        <f t="shared" si="94"/>
        <v>0.60375391032325343</v>
      </c>
      <c r="K30" s="148">
        <f t="shared" si="94"/>
        <v>0.60041666666666671</v>
      </c>
      <c r="L30" s="148">
        <f t="shared" si="94"/>
        <v>0.45454545454545453</v>
      </c>
      <c r="M30" s="148">
        <f t="shared" ref="M30" si="95">(M29-L29)/M29</f>
        <v>-0.15789473684210525</v>
      </c>
      <c r="N30" s="148">
        <f t="shared" ref="N30" si="96">(N29-M29)/N29</f>
        <v>-5.5555555555555552E-2</v>
      </c>
      <c r="O30" s="148">
        <f t="shared" ref="O30" si="97">(O29-N29)/O29</f>
        <v>-0.16129032258064516</v>
      </c>
      <c r="P30" s="148">
        <f t="shared" ref="P30" si="98">(P29-O29)/P29</f>
        <v>-0.40909090909090912</v>
      </c>
      <c r="Q30" s="128"/>
      <c r="R30" s="20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62"/>
      <c r="AD30" s="137"/>
      <c r="AE30" s="154"/>
    </row>
    <row r="31" spans="2:31">
      <c r="B31" s="20" t="s">
        <v>333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f t="shared" si="6"/>
        <v>0.12</v>
      </c>
      <c r="S31" s="154">
        <f>P31*(1+$R31)</f>
        <v>0</v>
      </c>
      <c r="T31" s="154">
        <f>S31*(1+$R31)</f>
        <v>0</v>
      </c>
      <c r="U31" s="154">
        <f t="shared" ref="U31:AB32" si="99">T31*(1+$R31)</f>
        <v>0</v>
      </c>
      <c r="V31" s="154">
        <f t="shared" si="99"/>
        <v>0</v>
      </c>
      <c r="W31" s="154">
        <f t="shared" si="99"/>
        <v>0</v>
      </c>
      <c r="X31" s="154">
        <f t="shared" si="99"/>
        <v>0</v>
      </c>
      <c r="Y31" s="154">
        <f t="shared" si="99"/>
        <v>0</v>
      </c>
      <c r="Z31" s="154">
        <f t="shared" si="99"/>
        <v>0</v>
      </c>
      <c r="AA31" s="154">
        <f t="shared" si="99"/>
        <v>0</v>
      </c>
      <c r="AB31" s="154">
        <f t="shared" si="99"/>
        <v>0</v>
      </c>
      <c r="AC31" s="138" t="e">
        <f t="shared" ref="AC31" si="100">((AB31/G31)^(1/($AB$3-$H$1) ))-1</f>
        <v>#DIV/0!</v>
      </c>
      <c r="AD31" s="31">
        <f t="shared" si="17"/>
        <v>0.08</v>
      </c>
      <c r="AE31" s="146">
        <f t="shared" si="1"/>
        <v>0</v>
      </c>
    </row>
    <row r="32" spans="2:31">
      <c r="B32" s="20" t="s">
        <v>332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18" t="e">
        <f>((P32/G32)^(1/($H$2-$H$1) ))-1</f>
        <v>#DIV/0!</v>
      </c>
      <c r="R32" s="31">
        <f t="shared" si="6"/>
        <v>0.12</v>
      </c>
      <c r="S32" s="154">
        <f>P32*(1+$R32)</f>
        <v>0</v>
      </c>
      <c r="T32" s="154">
        <f>S32*(1+$R32)</f>
        <v>0</v>
      </c>
      <c r="U32" s="154">
        <f t="shared" si="99"/>
        <v>0</v>
      </c>
      <c r="V32" s="154">
        <f t="shared" si="99"/>
        <v>0</v>
      </c>
      <c r="W32" s="154">
        <f t="shared" si="99"/>
        <v>0</v>
      </c>
      <c r="X32" s="154">
        <f t="shared" si="99"/>
        <v>0</v>
      </c>
      <c r="Y32" s="154">
        <f t="shared" si="99"/>
        <v>0</v>
      </c>
      <c r="Z32" s="154">
        <f t="shared" si="99"/>
        <v>0</v>
      </c>
      <c r="AA32" s="154">
        <f t="shared" si="99"/>
        <v>0</v>
      </c>
      <c r="AB32" s="154">
        <f t="shared" si="99"/>
        <v>0</v>
      </c>
      <c r="AC32" s="138" t="e">
        <f t="shared" ref="AC32" si="101">((AB32/G32)^(1/($AB$3-$H$1) ))-1</f>
        <v>#DIV/0!</v>
      </c>
      <c r="AD32" s="31">
        <f t="shared" si="17"/>
        <v>0.08</v>
      </c>
      <c r="AE32" s="146">
        <f t="shared" si="1"/>
        <v>0</v>
      </c>
    </row>
    <row r="33" spans="2:31">
      <c r="B33" s="20" t="s">
        <v>317</v>
      </c>
      <c r="C33" s="141"/>
      <c r="D33" s="141"/>
      <c r="E33" s="147"/>
      <c r="F33" s="147"/>
      <c r="G33" s="147">
        <v>361</v>
      </c>
      <c r="H33" s="147">
        <v>471</v>
      </c>
      <c r="I33" s="147">
        <v>560</v>
      </c>
      <c r="J33" s="147">
        <v>790</v>
      </c>
      <c r="K33" s="147">
        <v>1060</v>
      </c>
      <c r="L33" s="147">
        <v>1262</v>
      </c>
      <c r="M33" s="147">
        <v>1272</v>
      </c>
      <c r="N33" s="147">
        <v>1605</v>
      </c>
      <c r="O33" s="147">
        <v>1787</v>
      </c>
      <c r="P33" s="147">
        <v>2072</v>
      </c>
      <c r="Q33" s="118">
        <f>((P33/G33)^(1/($H$2-$H$1) ))-1</f>
        <v>0.21428402981326267</v>
      </c>
      <c r="R33" s="31">
        <f t="shared" si="6"/>
        <v>0.12</v>
      </c>
      <c r="S33" s="154">
        <f t="shared" si="38"/>
        <v>2320.6400000000003</v>
      </c>
      <c r="T33" s="154">
        <f t="shared" si="39"/>
        <v>2599.1168000000007</v>
      </c>
      <c r="U33" s="154">
        <f t="shared" si="40"/>
        <v>2911.0108160000009</v>
      </c>
      <c r="V33" s="154">
        <f t="shared" si="41"/>
        <v>3260.3321139200011</v>
      </c>
      <c r="W33" s="154">
        <f t="shared" si="42"/>
        <v>3651.5719675904015</v>
      </c>
      <c r="X33" s="154">
        <f t="shared" si="43"/>
        <v>4089.7606037012501</v>
      </c>
      <c r="Y33" s="154">
        <f t="shared" si="44"/>
        <v>4580.5318761454009</v>
      </c>
      <c r="Z33" s="154">
        <f t="shared" si="45"/>
        <v>5130.1957012828498</v>
      </c>
      <c r="AA33" s="154">
        <f t="shared" si="46"/>
        <v>5745.8191854367924</v>
      </c>
      <c r="AB33" s="154">
        <f t="shared" si="47"/>
        <v>6435.3174876892081</v>
      </c>
      <c r="AC33" s="138">
        <f t="shared" si="19"/>
        <v>0.1637117227815077</v>
      </c>
      <c r="AD33" s="31">
        <f t="shared" si="17"/>
        <v>0.08</v>
      </c>
      <c r="AE33" s="146">
        <f t="shared" si="1"/>
        <v>99287.755524347798</v>
      </c>
    </row>
    <row r="34" spans="2:31">
      <c r="B34" s="20" t="s">
        <v>309</v>
      </c>
      <c r="C34" s="141"/>
      <c r="D34" s="141"/>
      <c r="E34" s="147"/>
      <c r="F34" s="147"/>
      <c r="G34" s="147">
        <v>56</v>
      </c>
      <c r="H34" s="147">
        <v>67</v>
      </c>
      <c r="I34" s="147">
        <v>85</v>
      </c>
      <c r="J34" s="147">
        <v>109</v>
      </c>
      <c r="K34" s="147">
        <v>164</v>
      </c>
      <c r="L34" s="147">
        <v>221</v>
      </c>
      <c r="M34" s="147">
        <v>252</v>
      </c>
      <c r="N34" s="147">
        <v>290</v>
      </c>
      <c r="O34" s="147">
        <v>326</v>
      </c>
      <c r="P34" s="147">
        <v>375</v>
      </c>
      <c r="Q34" s="118">
        <f>((P34/G34)^(1/($H$2-$H$1) ))-1</f>
        <v>0.23526563651682397</v>
      </c>
      <c r="R34" s="31">
        <f t="shared" si="6"/>
        <v>0.12</v>
      </c>
      <c r="S34" s="154">
        <f t="shared" si="38"/>
        <v>420.00000000000006</v>
      </c>
      <c r="T34" s="154">
        <f t="shared" si="39"/>
        <v>470.40000000000009</v>
      </c>
      <c r="U34" s="154">
        <f t="shared" si="40"/>
        <v>526.84800000000018</v>
      </c>
      <c r="V34" s="154">
        <f t="shared" si="41"/>
        <v>590.06976000000031</v>
      </c>
      <c r="W34" s="154">
        <f t="shared" si="42"/>
        <v>660.87813120000044</v>
      </c>
      <c r="X34" s="154">
        <f t="shared" si="43"/>
        <v>740.18350694400056</v>
      </c>
      <c r="Y34" s="154">
        <f t="shared" si="44"/>
        <v>829.00552777728069</v>
      </c>
      <c r="Z34" s="154">
        <f t="shared" si="45"/>
        <v>928.4861911105545</v>
      </c>
      <c r="AA34" s="154">
        <f t="shared" si="46"/>
        <v>1039.9045340438211</v>
      </c>
      <c r="AB34" s="154">
        <f t="shared" si="47"/>
        <v>1164.6930781290796</v>
      </c>
      <c r="AC34" s="138">
        <f t="shared" si="19"/>
        <v>0.17319352173118308</v>
      </c>
      <c r="AD34" s="31">
        <f t="shared" si="17"/>
        <v>0.08</v>
      </c>
      <c r="AE34" s="146">
        <f t="shared" si="1"/>
        <v>17969.550348277233</v>
      </c>
    </row>
    <row r="35" spans="2:31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28"/>
      <c r="R35" s="20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39"/>
      <c r="AD35" s="137"/>
      <c r="AE35" s="154"/>
    </row>
    <row r="36" spans="2:31">
      <c r="B36" s="20" t="s">
        <v>279</v>
      </c>
      <c r="C36" s="141"/>
      <c r="D36" s="141"/>
      <c r="E36" s="147"/>
      <c r="F36" s="147"/>
      <c r="G36" s="147">
        <v>108</v>
      </c>
      <c r="H36" s="147">
        <v>128</v>
      </c>
      <c r="I36" s="147">
        <v>145</v>
      </c>
      <c r="J36" s="147">
        <v>172</v>
      </c>
      <c r="K36" s="147">
        <v>251</v>
      </c>
      <c r="L36" s="147">
        <v>242</v>
      </c>
      <c r="M36" s="147">
        <v>398</v>
      </c>
      <c r="N36" s="147">
        <v>464</v>
      </c>
      <c r="O36" s="147">
        <v>494</v>
      </c>
      <c r="P36" s="147">
        <v>599</v>
      </c>
      <c r="Q36" s="118">
        <f>((P36/G36)^(1/($H$2-$H$1) ))-1</f>
        <v>0.20967027079669465</v>
      </c>
      <c r="R36" s="31">
        <f t="shared" si="6"/>
        <v>0.12</v>
      </c>
      <c r="S36" s="154">
        <f t="shared" ref="S36" si="102">P36*(1+$R36)</f>
        <v>670.88000000000011</v>
      </c>
      <c r="T36" s="154">
        <f t="shared" ref="T36" si="103">S36*(1+$R36)</f>
        <v>751.38560000000018</v>
      </c>
      <c r="U36" s="154">
        <f t="shared" ref="U36" si="104">T36*(1+$R36)</f>
        <v>841.55187200000023</v>
      </c>
      <c r="V36" s="154">
        <f t="shared" ref="V36" si="105">U36*(1+$R36)</f>
        <v>942.53809664000039</v>
      </c>
      <c r="W36" s="154">
        <f t="shared" si="42"/>
        <v>1055.6426682368005</v>
      </c>
      <c r="X36" s="154">
        <f t="shared" si="43"/>
        <v>1182.3197884252168</v>
      </c>
      <c r="Y36" s="154">
        <f t="shared" si="44"/>
        <v>1324.1981630362429</v>
      </c>
      <c r="Z36" s="154">
        <f t="shared" si="45"/>
        <v>1483.1019426005923</v>
      </c>
      <c r="AA36" s="154">
        <f t="shared" si="46"/>
        <v>1661.0741757126636</v>
      </c>
      <c r="AB36" s="154">
        <f t="shared" si="47"/>
        <v>1860.4030767981835</v>
      </c>
      <c r="AC36" s="138">
        <f t="shared" si="19"/>
        <v>0.16161517960563709</v>
      </c>
      <c r="AD36" s="31">
        <f t="shared" si="17"/>
        <v>0.08</v>
      </c>
      <c r="AE36" s="146">
        <f t="shared" si="1"/>
        <v>28703.361756314836</v>
      </c>
    </row>
    <row r="37" spans="2:31" s="123" customFormat="1">
      <c r="B37" s="23"/>
      <c r="C37" s="149"/>
      <c r="D37" s="149"/>
      <c r="E37" s="150"/>
      <c r="F37" s="150"/>
      <c r="G37" s="148">
        <f t="shared" ref="G37" si="106">(G36-F36)/G36</f>
        <v>1</v>
      </c>
      <c r="H37" s="148">
        <f t="shared" ref="H37" si="107">(H36-G36)/H36</f>
        <v>0.15625</v>
      </c>
      <c r="I37" s="148">
        <f t="shared" ref="I37" si="108">(I36-H36)/I36</f>
        <v>0.11724137931034483</v>
      </c>
      <c r="J37" s="148">
        <f t="shared" ref="J37" si="109">(J36-I36)/J36</f>
        <v>0.15697674418604651</v>
      </c>
      <c r="K37" s="148">
        <f t="shared" ref="K37" si="110">(K36-J36)/K36</f>
        <v>0.3147410358565737</v>
      </c>
      <c r="L37" s="148">
        <f t="shared" ref="L37" si="111">(L36-K36)/L36</f>
        <v>-3.71900826446281E-2</v>
      </c>
      <c r="M37" s="148">
        <f t="shared" ref="M37" si="112">(M36-L36)/M36</f>
        <v>0.39195979899497485</v>
      </c>
      <c r="N37" s="148">
        <f t="shared" ref="N37" si="113">(N36-M36)/N36</f>
        <v>0.14224137931034483</v>
      </c>
      <c r="O37" s="148">
        <f t="shared" ref="O37" si="114">(O36-N36)/O36</f>
        <v>6.0728744939271252E-2</v>
      </c>
      <c r="P37" s="148">
        <f t="shared" ref="P37" si="115">(P36-O36)/P36</f>
        <v>0.17529215358931552</v>
      </c>
      <c r="Q37" s="128"/>
      <c r="R37" s="20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39"/>
      <c r="AD37" s="137"/>
      <c r="AE37" s="156"/>
    </row>
    <row r="38" spans="2:31">
      <c r="B38" s="20" t="s">
        <v>257</v>
      </c>
      <c r="C38" s="141"/>
      <c r="D38" s="141"/>
      <c r="E38" s="147"/>
      <c r="F38" s="147"/>
      <c r="G38" s="147">
        <v>61</v>
      </c>
      <c r="H38" s="147">
        <v>72</v>
      </c>
      <c r="I38" s="147">
        <v>86</v>
      </c>
      <c r="J38" s="147">
        <v>111</v>
      </c>
      <c r="K38" s="147">
        <v>171</v>
      </c>
      <c r="L38" s="147">
        <v>110</v>
      </c>
      <c r="M38" s="147">
        <v>275</v>
      </c>
      <c r="N38" s="147">
        <v>308</v>
      </c>
      <c r="O38" s="147">
        <v>322</v>
      </c>
      <c r="P38" s="147">
        <v>421</v>
      </c>
      <c r="Q38" s="118">
        <f>((P38/G38)^(1/($H$2-$H$1) ))-1</f>
        <v>0.23941548510473254</v>
      </c>
      <c r="R38" s="31">
        <f t="shared" si="6"/>
        <v>0.12</v>
      </c>
      <c r="S38" s="154">
        <f>P38*(1+$R38)</f>
        <v>471.52000000000004</v>
      </c>
      <c r="T38" s="154">
        <f t="shared" ref="T38:AB38" si="116">S38*(1+$R38)</f>
        <v>528.1024000000001</v>
      </c>
      <c r="U38" s="154">
        <f t="shared" si="116"/>
        <v>591.47468800000013</v>
      </c>
      <c r="V38" s="154">
        <f t="shared" si="116"/>
        <v>662.45165056000019</v>
      </c>
      <c r="W38" s="154">
        <f t="shared" si="116"/>
        <v>741.94584862720023</v>
      </c>
      <c r="X38" s="154">
        <f t="shared" si="116"/>
        <v>830.97935046246437</v>
      </c>
      <c r="Y38" s="154">
        <f t="shared" si="116"/>
        <v>930.69687251796017</v>
      </c>
      <c r="Z38" s="154">
        <f t="shared" si="116"/>
        <v>1042.3804972201156</v>
      </c>
      <c r="AA38" s="154">
        <f t="shared" si="116"/>
        <v>1167.4661568865295</v>
      </c>
      <c r="AB38" s="154">
        <f t="shared" si="116"/>
        <v>1307.5620957129131</v>
      </c>
      <c r="AC38" s="138">
        <f t="shared" si="19"/>
        <v>0.17505881444282023</v>
      </c>
      <c r="AD38" s="31">
        <f t="shared" si="17"/>
        <v>0.08</v>
      </c>
      <c r="AE38" s="146">
        <f t="shared" si="1"/>
        <v>20173.815190999234</v>
      </c>
    </row>
    <row r="39" spans="2:31" s="123" customFormat="1">
      <c r="B39" s="23"/>
      <c r="C39" s="149"/>
      <c r="D39" s="149"/>
      <c r="E39" s="150"/>
      <c r="F39" s="150"/>
      <c r="G39" s="148">
        <f>(G38-F38)/G38</f>
        <v>1</v>
      </c>
      <c r="H39" s="148">
        <f t="shared" ref="H39:P39" si="117">(H38-G38)/H38</f>
        <v>0.15277777777777779</v>
      </c>
      <c r="I39" s="148">
        <f t="shared" si="117"/>
        <v>0.16279069767441862</v>
      </c>
      <c r="J39" s="148">
        <f t="shared" si="117"/>
        <v>0.22522522522522523</v>
      </c>
      <c r="K39" s="148">
        <f t="shared" si="117"/>
        <v>0.35087719298245612</v>
      </c>
      <c r="L39" s="148">
        <f t="shared" si="117"/>
        <v>-0.55454545454545456</v>
      </c>
      <c r="M39" s="148">
        <f t="shared" si="117"/>
        <v>0.6</v>
      </c>
      <c r="N39" s="148">
        <f t="shared" si="117"/>
        <v>0.10714285714285714</v>
      </c>
      <c r="O39" s="148">
        <f t="shared" si="117"/>
        <v>4.3478260869565216E-2</v>
      </c>
      <c r="P39" s="148">
        <f t="shared" si="117"/>
        <v>0.23515439429928742</v>
      </c>
      <c r="Q39" s="128"/>
      <c r="R39" s="20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39"/>
      <c r="AD39" s="137"/>
      <c r="AE39" s="156"/>
    </row>
    <row r="40" spans="2:31">
      <c r="B40" s="20" t="s">
        <v>239</v>
      </c>
      <c r="C40" s="142">
        <v>1</v>
      </c>
      <c r="D40" s="142">
        <v>1</v>
      </c>
      <c r="E40" s="143">
        <v>1</v>
      </c>
      <c r="F40" s="147">
        <v>1</v>
      </c>
      <c r="G40" s="147">
        <v>2.52</v>
      </c>
      <c r="H40" s="147">
        <v>2.52</v>
      </c>
      <c r="I40" s="147">
        <v>25.23</v>
      </c>
      <c r="J40" s="147">
        <v>25.23</v>
      </c>
      <c r="K40" s="147">
        <v>25.3</v>
      </c>
      <c r="L40" s="147">
        <v>25.3</v>
      </c>
      <c r="M40" s="147">
        <v>50.61</v>
      </c>
      <c r="N40" s="147">
        <v>50.61</v>
      </c>
      <c r="O40" s="147">
        <v>50.76</v>
      </c>
      <c r="P40" s="147">
        <v>51.26</v>
      </c>
      <c r="Q40" s="118">
        <f>((P40/G40)^(1/($H$2-$H$1) ))-1</f>
        <v>0.39757569763578293</v>
      </c>
      <c r="R40" s="31">
        <v>0.05</v>
      </c>
      <c r="S40" s="154">
        <f>P40*(1.5)</f>
        <v>76.89</v>
      </c>
      <c r="T40" s="154">
        <f t="shared" ref="T40:AB40" si="118">S40*(1+$R40)</f>
        <v>80.734499999999997</v>
      </c>
      <c r="U40" s="154">
        <f t="shared" si="118"/>
        <v>84.771225000000001</v>
      </c>
      <c r="V40" s="154">
        <f t="shared" si="118"/>
        <v>89.009786250000005</v>
      </c>
      <c r="W40" s="154">
        <f t="shared" si="118"/>
        <v>93.460275562500016</v>
      </c>
      <c r="X40" s="154">
        <f t="shared" si="118"/>
        <v>98.133289340625026</v>
      </c>
      <c r="Y40" s="154">
        <f t="shared" si="118"/>
        <v>103.03995380765629</v>
      </c>
      <c r="Z40" s="154">
        <f t="shared" si="118"/>
        <v>108.1919514980391</v>
      </c>
      <c r="AA40" s="154">
        <f t="shared" si="118"/>
        <v>113.60154907294107</v>
      </c>
      <c r="AB40" s="154">
        <f t="shared" si="118"/>
        <v>119.28162652658813</v>
      </c>
      <c r="AC40" s="138">
        <f t="shared" si="19"/>
        <v>0.2250871953219673</v>
      </c>
      <c r="AD40" s="31">
        <f t="shared" si="17"/>
        <v>0.08</v>
      </c>
      <c r="AE40" s="146">
        <f t="shared" si="1"/>
        <v>1840.3450949816458</v>
      </c>
    </row>
    <row r="41" spans="2:31">
      <c r="B41" s="20" t="s">
        <v>283</v>
      </c>
      <c r="C41" s="145"/>
      <c r="D41" s="145"/>
      <c r="E41" s="145"/>
      <c r="F41" s="147"/>
      <c r="G41" s="147">
        <v>8</v>
      </c>
      <c r="H41" s="147">
        <v>8</v>
      </c>
      <c r="I41" s="147">
        <v>1.25</v>
      </c>
      <c r="J41" s="147">
        <v>1.5</v>
      </c>
      <c r="K41" s="147">
        <v>1.75</v>
      </c>
      <c r="L41" s="147">
        <v>1.75</v>
      </c>
      <c r="M41" s="147">
        <v>1.5</v>
      </c>
      <c r="N41" s="147">
        <v>1.75</v>
      </c>
      <c r="O41" s="147">
        <v>1.9</v>
      </c>
      <c r="P41" s="147">
        <v>2.6</v>
      </c>
      <c r="Q41" s="118">
        <f>((P41/G41)^(1/($H$2-$H$1) ))-1</f>
        <v>-0.1173981815805033</v>
      </c>
      <c r="R41" s="31">
        <v>0.05</v>
      </c>
      <c r="S41" s="154">
        <f t="shared" ref="S41" si="119">P41*(1+$R41)</f>
        <v>2.7300000000000004</v>
      </c>
      <c r="T41" s="154">
        <f t="shared" ref="T41" si="120">S41*(1+$R41)</f>
        <v>2.8665000000000007</v>
      </c>
      <c r="U41" s="154">
        <f t="shared" ref="U41" si="121">T41*(1+$R41)</f>
        <v>3.0098250000000011</v>
      </c>
      <c r="V41" s="154">
        <f t="shared" ref="V41" si="122">U41*(1+$R41)</f>
        <v>3.1603162500000015</v>
      </c>
      <c r="W41" s="154">
        <f t="shared" ref="W41" si="123">V41*(1+$R41)</f>
        <v>3.3183320625000019</v>
      </c>
      <c r="X41" s="154">
        <f t="shared" ref="X41" si="124">W41*(1+$R41)</f>
        <v>3.4842486656250022</v>
      </c>
      <c r="Y41" s="154">
        <f t="shared" ref="Y41" si="125">X41*(1+$R41)</f>
        <v>3.6584610989062525</v>
      </c>
      <c r="Z41" s="154">
        <f t="shared" ref="Z41" si="126">Y41*(1+$R41)</f>
        <v>3.8413841538515654</v>
      </c>
      <c r="AA41" s="154">
        <f t="shared" ref="AA41" si="127">Z41*(1+$R41)</f>
        <v>4.0334533615441437</v>
      </c>
      <c r="AB41" s="154">
        <f t="shared" ref="AB41" si="128">AA41*(1+$R41)</f>
        <v>4.2351260296213509</v>
      </c>
      <c r="AC41" s="138">
        <f t="shared" ref="AC41" si="129">((AB41/G41)^(1/($AB$3-$H$1) ))-1</f>
        <v>-3.2921087947156646E-2</v>
      </c>
      <c r="AD41" s="31">
        <f t="shared" si="17"/>
        <v>0.08</v>
      </c>
      <c r="AE41" s="146">
        <f t="shared" si="1"/>
        <v>65.341944457015131</v>
      </c>
    </row>
    <row r="42" spans="2:31">
      <c r="B42" s="20"/>
      <c r="C42" s="20"/>
      <c r="D42" s="20"/>
      <c r="E42" s="127"/>
      <c r="F42" s="127"/>
      <c r="G42" s="127"/>
      <c r="H42" s="20"/>
      <c r="I42" s="20"/>
      <c r="J42" s="20"/>
      <c r="K42" s="20"/>
      <c r="L42" s="20"/>
      <c r="M42" s="20"/>
      <c r="N42" s="20"/>
      <c r="O42" s="20"/>
      <c r="P42" s="20"/>
      <c r="Q42" s="128"/>
      <c r="R42" s="128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  <c r="AC42" s="139"/>
      <c r="AD42" s="137"/>
      <c r="AE42" s="154"/>
    </row>
    <row r="43" spans="2:31">
      <c r="B43" s="108" t="s">
        <v>243</v>
      </c>
      <c r="C43" s="20"/>
      <c r="D43" s="20"/>
      <c r="E43" s="127"/>
      <c r="F43" s="127"/>
      <c r="G43" s="127"/>
      <c r="H43" s="20"/>
      <c r="I43" s="20"/>
      <c r="J43" s="20"/>
      <c r="K43" s="20"/>
      <c r="L43" s="20"/>
      <c r="M43" s="20"/>
      <c r="N43" s="20"/>
      <c r="O43" s="20"/>
      <c r="P43" s="20"/>
      <c r="Q43" s="128"/>
      <c r="R43" s="128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39"/>
      <c r="AD43" s="137"/>
      <c r="AE43" s="154"/>
    </row>
    <row r="44" spans="2:31">
      <c r="B44" s="20" t="s">
        <v>304</v>
      </c>
      <c r="C44" s="133">
        <f t="shared" ref="C44:P44" si="130">C25/C40</f>
        <v>0</v>
      </c>
      <c r="D44" s="133">
        <f t="shared" si="130"/>
        <v>0</v>
      </c>
      <c r="E44" s="133">
        <f t="shared" si="130"/>
        <v>0</v>
      </c>
      <c r="F44" s="133">
        <f t="shared" si="130"/>
        <v>0</v>
      </c>
      <c r="G44" s="133">
        <f t="shared" si="130"/>
        <v>267.85714285714283</v>
      </c>
      <c r="H44" s="133">
        <f t="shared" si="130"/>
        <v>308.33333333333331</v>
      </c>
      <c r="I44" s="133">
        <f t="shared" si="130"/>
        <v>37.613951644867221</v>
      </c>
      <c r="J44" s="133">
        <f t="shared" si="130"/>
        <v>51.129607609988106</v>
      </c>
      <c r="K44" s="133">
        <f t="shared" si="130"/>
        <v>69.841897233201578</v>
      </c>
      <c r="L44" s="133">
        <f t="shared" si="130"/>
        <v>78.181818181818173</v>
      </c>
      <c r="M44" s="133">
        <f t="shared" si="130"/>
        <v>44.398340248962654</v>
      </c>
      <c r="N44" s="133">
        <f t="shared" si="130"/>
        <v>54.297569650266745</v>
      </c>
      <c r="O44" s="133">
        <f t="shared" si="130"/>
        <v>62.923561859732075</v>
      </c>
      <c r="P44" s="133">
        <f t="shared" si="130"/>
        <v>74.170893484198203</v>
      </c>
      <c r="Q44" s="118">
        <f>((P44/G44)^(1/($H$2-$H$1) ))-1</f>
        <v>-0.13296486338305802</v>
      </c>
      <c r="R44" s="128"/>
      <c r="S44" s="158">
        <f t="shared" ref="S44:AB44" si="131">S25/S40</f>
        <v>55.380933801534667</v>
      </c>
      <c r="T44" s="158">
        <f t="shared" si="131"/>
        <v>59.072996054970318</v>
      </c>
      <c r="U44" s="158">
        <f t="shared" si="131"/>
        <v>63.011195791968341</v>
      </c>
      <c r="V44" s="158">
        <f t="shared" si="131"/>
        <v>67.211942178099562</v>
      </c>
      <c r="W44" s="158">
        <f t="shared" si="131"/>
        <v>71.692738323306187</v>
      </c>
      <c r="X44" s="158">
        <f t="shared" si="131"/>
        <v>76.472254211526604</v>
      </c>
      <c r="Y44" s="158">
        <f t="shared" si="131"/>
        <v>81.57040449229504</v>
      </c>
      <c r="Z44" s="158">
        <f t="shared" si="131"/>
        <v>87.008431458448058</v>
      </c>
      <c r="AA44" s="158">
        <f t="shared" si="131"/>
        <v>92.80899355567793</v>
      </c>
      <c r="AB44" s="158">
        <f t="shared" si="131"/>
        <v>98.996259792723137</v>
      </c>
      <c r="AC44" s="138">
        <f t="shared" ref="AC44" si="132">((AB44/G44)^(1/($AB$3-$H$1) ))-1</f>
        <v>-5.1039387314120721E-2</v>
      </c>
      <c r="AD44" s="31">
        <f t="shared" si="17"/>
        <v>0.08</v>
      </c>
      <c r="AE44" s="146">
        <f t="shared" ref="AE44:AE45" si="133">(AB44*(1+AD44))/($C$1-AD44)</f>
        <v>1527.3708653734429</v>
      </c>
    </row>
    <row r="45" spans="2:31">
      <c r="B45" s="20" t="s">
        <v>305</v>
      </c>
      <c r="C45" s="133">
        <f t="shared" ref="C45:P45" si="134">C27/C40</f>
        <v>0</v>
      </c>
      <c r="D45" s="133">
        <f t="shared" si="134"/>
        <v>0</v>
      </c>
      <c r="E45" s="133">
        <f t="shared" si="134"/>
        <v>0</v>
      </c>
      <c r="F45" s="133">
        <f t="shared" si="134"/>
        <v>0</v>
      </c>
      <c r="G45" s="133">
        <f t="shared" si="134"/>
        <v>221.42857142857142</v>
      </c>
      <c r="H45" s="133">
        <f t="shared" si="134"/>
        <v>253.96825396825398</v>
      </c>
      <c r="I45" s="133">
        <f t="shared" si="134"/>
        <v>31.272294887039237</v>
      </c>
      <c r="J45" s="133">
        <f t="shared" si="134"/>
        <v>43.678160919540232</v>
      </c>
      <c r="K45" s="133">
        <f t="shared" si="134"/>
        <v>58.853754940711461</v>
      </c>
      <c r="L45" s="133">
        <f t="shared" si="134"/>
        <v>69.090909090909093</v>
      </c>
      <c r="M45" s="133">
        <f t="shared" si="134"/>
        <v>36.17862082592373</v>
      </c>
      <c r="N45" s="133">
        <f t="shared" si="134"/>
        <v>44.437858130804187</v>
      </c>
      <c r="O45" s="133">
        <f t="shared" si="134"/>
        <v>52.521670606776993</v>
      </c>
      <c r="P45" s="133">
        <f t="shared" si="134"/>
        <v>61.061256340226301</v>
      </c>
      <c r="Q45" s="118">
        <f>((P45/G45)^(1/($H$2-$H$1) ))-1</f>
        <v>-0.13336365703554598</v>
      </c>
      <c r="R45" s="128"/>
      <c r="S45" s="158">
        <f t="shared" ref="S45:AB45" si="135">S27/S40</f>
        <v>45.59240473403564</v>
      </c>
      <c r="T45" s="158">
        <f t="shared" si="135"/>
        <v>48.631898382971357</v>
      </c>
      <c r="U45" s="158">
        <f t="shared" si="135"/>
        <v>51.874024941836112</v>
      </c>
      <c r="V45" s="158">
        <f t="shared" si="135"/>
        <v>55.33229327129186</v>
      </c>
      <c r="W45" s="158">
        <f t="shared" si="135"/>
        <v>59.021112822711316</v>
      </c>
      <c r="X45" s="158">
        <f t="shared" si="135"/>
        <v>62.955853677558743</v>
      </c>
      <c r="Y45" s="158">
        <f t="shared" si="135"/>
        <v>67.152910589396001</v>
      </c>
      <c r="Z45" s="158">
        <f t="shared" si="135"/>
        <v>71.629771295355738</v>
      </c>
      <c r="AA45" s="158">
        <f t="shared" si="135"/>
        <v>76.405089381712784</v>
      </c>
      <c r="AB45" s="158">
        <f t="shared" si="135"/>
        <v>81.498762007160309</v>
      </c>
      <c r="AC45" s="138">
        <f t="shared" ref="AC45" si="136">((AB45/G45)^(1/($AB$3-$H$1) ))-1</f>
        <v>-5.1246163828931768E-2</v>
      </c>
      <c r="AD45" s="31">
        <f t="shared" si="17"/>
        <v>0.08</v>
      </c>
      <c r="AE45" s="146">
        <f t="shared" si="133"/>
        <v>1257.4094709676162</v>
      </c>
    </row>
    <row r="46" spans="2:31">
      <c r="B46" s="20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28"/>
      <c r="R46" s="128"/>
      <c r="S46" s="158"/>
      <c r="T46" s="158"/>
      <c r="U46" s="158"/>
      <c r="V46" s="158"/>
      <c r="W46" s="158"/>
      <c r="X46" s="158"/>
      <c r="Y46" s="158"/>
      <c r="Z46" s="158"/>
      <c r="AA46" s="158"/>
      <c r="AB46" s="158"/>
      <c r="AC46" s="119"/>
      <c r="AD46" s="137"/>
      <c r="AE46" s="146"/>
    </row>
    <row r="47" spans="2:31">
      <c r="B47" s="20" t="s">
        <v>258</v>
      </c>
      <c r="C47" s="25">
        <f t="shared" ref="C47:P47" si="137">C38/C40</f>
        <v>0</v>
      </c>
      <c r="D47" s="25">
        <f t="shared" si="137"/>
        <v>0</v>
      </c>
      <c r="E47" s="25">
        <f t="shared" si="137"/>
        <v>0</v>
      </c>
      <c r="F47" s="133">
        <f t="shared" si="137"/>
        <v>0</v>
      </c>
      <c r="G47" s="133">
        <f t="shared" si="137"/>
        <v>24.206349206349206</v>
      </c>
      <c r="H47" s="133">
        <f t="shared" si="137"/>
        <v>28.571428571428573</v>
      </c>
      <c r="I47" s="133">
        <f t="shared" si="137"/>
        <v>3.4086405073325405</v>
      </c>
      <c r="J47" s="133">
        <f t="shared" si="137"/>
        <v>4.3995243757431632</v>
      </c>
      <c r="K47" s="133">
        <f t="shared" si="137"/>
        <v>6.7588932806324111</v>
      </c>
      <c r="L47" s="133">
        <f t="shared" si="137"/>
        <v>4.3478260869565215</v>
      </c>
      <c r="M47" s="133">
        <f t="shared" si="137"/>
        <v>5.4337087532108281</v>
      </c>
      <c r="N47" s="133">
        <f t="shared" si="137"/>
        <v>6.0857538035961269</v>
      </c>
      <c r="O47" s="133">
        <f t="shared" si="137"/>
        <v>6.3435776201733649</v>
      </c>
      <c r="P47" s="133">
        <f t="shared" si="137"/>
        <v>8.2130316035895436</v>
      </c>
      <c r="Q47" s="118">
        <f>((P47/G47)^(1/($H$2-$H$1) ))-1</f>
        <v>-0.11316754634371717</v>
      </c>
      <c r="R47" s="128"/>
      <c r="S47" s="158">
        <f t="shared" ref="S47:AB47" si="138">S38/S40</f>
        <v>6.1323969306801933</v>
      </c>
      <c r="T47" s="158">
        <f t="shared" si="138"/>
        <v>6.5412233927255405</v>
      </c>
      <c r="U47" s="158">
        <f t="shared" si="138"/>
        <v>6.9773049522405763</v>
      </c>
      <c r="V47" s="158">
        <f t="shared" si="138"/>
        <v>7.4424586157232815</v>
      </c>
      <c r="W47" s="158">
        <f t="shared" si="138"/>
        <v>7.9386225234381662</v>
      </c>
      <c r="X47" s="158">
        <f t="shared" si="138"/>
        <v>8.4678640250007113</v>
      </c>
      <c r="Y47" s="158">
        <f t="shared" si="138"/>
        <v>9.0323882933340904</v>
      </c>
      <c r="Z47" s="158">
        <f t="shared" si="138"/>
        <v>9.6345475128896982</v>
      </c>
      <c r="AA47" s="158">
        <f t="shared" si="138"/>
        <v>10.276850680415677</v>
      </c>
      <c r="AB47" s="158">
        <f t="shared" si="138"/>
        <v>10.961974059110057</v>
      </c>
      <c r="AC47" s="138">
        <f t="shared" ref="AC47:AC61" si="139">((AB47/G47)^(1/($AB$3-$H$1) ))-1</f>
        <v>-4.0836587852833617E-2</v>
      </c>
      <c r="AD47" s="31">
        <f t="shared" si="17"/>
        <v>0.08</v>
      </c>
      <c r="AE47" s="146">
        <f t="shared" ref="AE47:AE75" si="140">(AB47*(1+AD47))/($C$1-AD47)</f>
        <v>169.12759976912662</v>
      </c>
    </row>
    <row r="48" spans="2:31">
      <c r="B48" s="20" t="s">
        <v>389</v>
      </c>
      <c r="C48" s="133">
        <f t="shared" ref="C48:F48" si="141">C20/C40</f>
        <v>0</v>
      </c>
      <c r="D48" s="133">
        <f t="shared" si="141"/>
        <v>0</v>
      </c>
      <c r="E48" s="133">
        <f t="shared" si="141"/>
        <v>0</v>
      </c>
      <c r="F48" s="133">
        <f t="shared" si="141"/>
        <v>0</v>
      </c>
      <c r="G48" s="133">
        <f>G20/G40</f>
        <v>19.047619047619047</v>
      </c>
      <c r="H48" s="133">
        <f t="shared" ref="H48:P48" si="142">H20/H40</f>
        <v>36.507936507936506</v>
      </c>
      <c r="I48" s="133">
        <f t="shared" si="142"/>
        <v>4.439159730479588</v>
      </c>
      <c r="J48" s="133">
        <f t="shared" si="142"/>
        <v>3.5275465715418153</v>
      </c>
      <c r="K48" s="133">
        <f t="shared" si="142"/>
        <v>5.0592885375494072</v>
      </c>
      <c r="L48" s="133">
        <f t="shared" si="142"/>
        <v>10.276679841897232</v>
      </c>
      <c r="M48" s="133">
        <f t="shared" si="142"/>
        <v>8.140683659355858</v>
      </c>
      <c r="N48" s="133">
        <f t="shared" si="142"/>
        <v>6.3623789764868608</v>
      </c>
      <c r="O48" s="133">
        <f t="shared" si="142"/>
        <v>9.9881796690307336</v>
      </c>
      <c r="P48" s="133">
        <f t="shared" si="142"/>
        <v>10.00780335544284</v>
      </c>
      <c r="Q48" s="118">
        <f>((P48/G48)^(1/($H$2-$H$1) ))-1</f>
        <v>-6.9011686025279739E-2</v>
      </c>
      <c r="R48" s="128"/>
      <c r="S48" s="133">
        <f t="shared" ref="S48:AB48" si="143">S20/S40</f>
        <v>7.472493172063988</v>
      </c>
      <c r="T48" s="133">
        <f t="shared" si="143"/>
        <v>7.9706593835349215</v>
      </c>
      <c r="U48" s="133">
        <f t="shared" si="143"/>
        <v>8.5020366757705848</v>
      </c>
      <c r="V48" s="133">
        <f t="shared" si="143"/>
        <v>9.0688391208219574</v>
      </c>
      <c r="W48" s="133">
        <f t="shared" si="143"/>
        <v>9.6734283955434215</v>
      </c>
      <c r="X48" s="133">
        <f t="shared" si="143"/>
        <v>10.318323621912983</v>
      </c>
      <c r="Y48" s="133">
        <f t="shared" si="143"/>
        <v>11.006211863373847</v>
      </c>
      <c r="Z48" s="133">
        <f t="shared" si="143"/>
        <v>11.739959320932105</v>
      </c>
      <c r="AA48" s="133">
        <f t="shared" si="143"/>
        <v>12.522623275660912</v>
      </c>
      <c r="AB48" s="133">
        <f t="shared" si="143"/>
        <v>13.357464827371642</v>
      </c>
      <c r="AC48" s="138">
        <f t="shared" ref="AC48" si="144">((AB48/G48)^(1/($AB$3-$H$1) ))-1</f>
        <v>-1.8503857683424663E-2</v>
      </c>
      <c r="AD48" s="31">
        <f t="shared" si="17"/>
        <v>0.08</v>
      </c>
      <c r="AE48" s="146">
        <f t="shared" si="140"/>
        <v>206.08660019373394</v>
      </c>
    </row>
    <row r="49" spans="2:31">
      <c r="B49" s="20" t="s">
        <v>245</v>
      </c>
      <c r="C49" s="25">
        <f t="shared" ref="C49:P49" si="145">C7/C40</f>
        <v>0</v>
      </c>
      <c r="D49" s="25">
        <f t="shared" si="145"/>
        <v>0</v>
      </c>
      <c r="E49" s="25">
        <f t="shared" si="145"/>
        <v>0</v>
      </c>
      <c r="F49" s="133">
        <f t="shared" si="145"/>
        <v>0</v>
      </c>
      <c r="G49" s="133">
        <f t="shared" si="145"/>
        <v>125</v>
      </c>
      <c r="H49" s="133">
        <f t="shared" si="145"/>
        <v>143.25396825396825</v>
      </c>
      <c r="I49" s="133">
        <f t="shared" si="145"/>
        <v>16.369401506143479</v>
      </c>
      <c r="J49" s="133">
        <f t="shared" si="145"/>
        <v>19.024970273483948</v>
      </c>
      <c r="K49" s="133">
        <f t="shared" si="145"/>
        <v>24.505928853754941</v>
      </c>
      <c r="L49" s="133">
        <f t="shared" si="145"/>
        <v>25.059288537549406</v>
      </c>
      <c r="M49" s="133">
        <f t="shared" si="145"/>
        <v>17.229796482908515</v>
      </c>
      <c r="N49" s="133">
        <f t="shared" si="145"/>
        <v>21.418691958111044</v>
      </c>
      <c r="O49" s="133">
        <f t="shared" si="145"/>
        <v>26.122931442080379</v>
      </c>
      <c r="P49" s="133">
        <f t="shared" si="145"/>
        <v>32.208349590323841</v>
      </c>
      <c r="Q49" s="118">
        <f>((P49/G49)^(1/($H$2-$H$1) ))-1</f>
        <v>-0.13987404919652835</v>
      </c>
      <c r="R49" s="128"/>
      <c r="S49" s="158">
        <f t="shared" ref="S49:AB49" si="146">S7/S40</f>
        <v>24.048901027441801</v>
      </c>
      <c r="T49" s="158">
        <f t="shared" si="146"/>
        <v>25.652161095937927</v>
      </c>
      <c r="U49" s="158">
        <f t="shared" si="146"/>
        <v>27.362305169000454</v>
      </c>
      <c r="V49" s="158">
        <f t="shared" si="146"/>
        <v>29.186458846933821</v>
      </c>
      <c r="W49" s="158">
        <f t="shared" si="146"/>
        <v>31.132222770062743</v>
      </c>
      <c r="X49" s="158">
        <f t="shared" si="146"/>
        <v>33.207704288066921</v>
      </c>
      <c r="Y49" s="158">
        <f t="shared" si="146"/>
        <v>35.421551240604714</v>
      </c>
      <c r="Z49" s="158">
        <f t="shared" si="146"/>
        <v>37.782987989978366</v>
      </c>
      <c r="AA49" s="158">
        <f t="shared" si="146"/>
        <v>40.30185385597693</v>
      </c>
      <c r="AB49" s="158">
        <f t="shared" si="146"/>
        <v>42.988644113042056</v>
      </c>
      <c r="AC49" s="138">
        <f t="shared" si="139"/>
        <v>-5.4628943477710967E-2</v>
      </c>
      <c r="AD49" s="31">
        <f t="shared" si="17"/>
        <v>0.08</v>
      </c>
      <c r="AE49" s="146">
        <f t="shared" si="140"/>
        <v>663.25336631550613</v>
      </c>
    </row>
    <row r="50" spans="2:31">
      <c r="B50" s="20" t="s">
        <v>246</v>
      </c>
      <c r="C50" s="127">
        <f t="shared" ref="C50:P50" si="147">C6/C40</f>
        <v>0</v>
      </c>
      <c r="D50" s="127">
        <f t="shared" si="147"/>
        <v>0</v>
      </c>
      <c r="E50" s="127">
        <f t="shared" si="147"/>
        <v>0</v>
      </c>
      <c r="F50" s="144">
        <f t="shared" si="147"/>
        <v>0</v>
      </c>
      <c r="G50" s="144">
        <f t="shared" si="147"/>
        <v>114.68253968253968</v>
      </c>
      <c r="H50" s="144">
        <f t="shared" si="147"/>
        <v>133.33333333333334</v>
      </c>
      <c r="I50" s="144">
        <f t="shared" si="147"/>
        <v>15.378517637732857</v>
      </c>
      <c r="J50" s="144">
        <f t="shared" si="147"/>
        <v>18.034086405073324</v>
      </c>
      <c r="K50" s="144">
        <f t="shared" si="147"/>
        <v>23.359683794466402</v>
      </c>
      <c r="L50" s="144">
        <f t="shared" si="147"/>
        <v>26.442687747035574</v>
      </c>
      <c r="M50" s="144">
        <f t="shared" si="147"/>
        <v>16.222090495949416</v>
      </c>
      <c r="N50" s="144">
        <f t="shared" si="147"/>
        <v>20.430744912072711</v>
      </c>
      <c r="O50" s="144">
        <f t="shared" si="147"/>
        <v>25.118203309692671</v>
      </c>
      <c r="P50" s="144">
        <f t="shared" si="147"/>
        <v>31.213421771361688</v>
      </c>
      <c r="Q50" s="118">
        <f>((P50/G50)^(1/($H$2-$H$1) ))-1</f>
        <v>-0.1346238980347757</v>
      </c>
      <c r="R50" s="128"/>
      <c r="S50" s="157">
        <f t="shared" ref="S50:AB50" si="148">S6/S40</f>
        <v>23.306021589283393</v>
      </c>
      <c r="T50" s="157">
        <f t="shared" si="148"/>
        <v>24.859756361902292</v>
      </c>
      <c r="U50" s="157">
        <f t="shared" si="148"/>
        <v>26.517073452695779</v>
      </c>
      <c r="V50" s="157">
        <f t="shared" si="148"/>
        <v>28.284878349542161</v>
      </c>
      <c r="W50" s="157">
        <f t="shared" si="148"/>
        <v>30.170536906178306</v>
      </c>
      <c r="X50" s="157">
        <f t="shared" si="148"/>
        <v>32.181906033256858</v>
      </c>
      <c r="Y50" s="157">
        <f t="shared" si="148"/>
        <v>34.327366435473976</v>
      </c>
      <c r="Z50" s="157">
        <f t="shared" si="148"/>
        <v>36.615857531172246</v>
      </c>
      <c r="AA50" s="157">
        <f t="shared" si="148"/>
        <v>39.056914699917066</v>
      </c>
      <c r="AB50" s="157">
        <f t="shared" si="148"/>
        <v>41.660709013244876</v>
      </c>
      <c r="AC50" s="138">
        <f t="shared" si="139"/>
        <v>-5.1899934518918611E-2</v>
      </c>
      <c r="AD50" s="31">
        <f t="shared" si="17"/>
        <v>0.08</v>
      </c>
      <c r="AE50" s="146">
        <f t="shared" si="140"/>
        <v>642.76522477577817</v>
      </c>
    </row>
    <row r="51" spans="2:31">
      <c r="B51" s="20" t="s">
        <v>247</v>
      </c>
      <c r="C51" s="127">
        <f t="shared" ref="C51:P51" si="149">C10/C40</f>
        <v>0</v>
      </c>
      <c r="D51" s="127">
        <f t="shared" si="149"/>
        <v>0</v>
      </c>
      <c r="E51" s="127">
        <f t="shared" si="149"/>
        <v>0</v>
      </c>
      <c r="F51" s="144">
        <f t="shared" si="149"/>
        <v>0</v>
      </c>
      <c r="G51" s="144">
        <f t="shared" si="149"/>
        <v>22.222222222222221</v>
      </c>
      <c r="H51" s="144">
        <f t="shared" si="149"/>
        <v>24.603174603174605</v>
      </c>
      <c r="I51" s="144">
        <f t="shared" si="149"/>
        <v>2.219579865239794</v>
      </c>
      <c r="J51" s="144">
        <f t="shared" si="149"/>
        <v>5.7471264367816088</v>
      </c>
      <c r="K51" s="144">
        <f t="shared" si="149"/>
        <v>20.790513833992094</v>
      </c>
      <c r="L51" s="144">
        <f t="shared" si="149"/>
        <v>24.071146245059289</v>
      </c>
      <c r="M51" s="144">
        <f t="shared" si="149"/>
        <v>9.2471843509187917</v>
      </c>
      <c r="N51" s="144">
        <f t="shared" si="149"/>
        <v>6.6192452084568272</v>
      </c>
      <c r="O51" s="144">
        <f t="shared" si="149"/>
        <v>2.9156816390858946</v>
      </c>
      <c r="P51" s="144">
        <f t="shared" si="149"/>
        <v>0.99492781896215376</v>
      </c>
      <c r="Q51" s="118">
        <f>((P51/G51)^(1/($H$2-$H$1) ))-1</f>
        <v>-0.29187232899660798</v>
      </c>
      <c r="R51" s="128"/>
      <c r="S51" s="157">
        <f t="shared" ref="S51:AB51" si="150">S10/S40</f>
        <v>0.74287943815840818</v>
      </c>
      <c r="T51" s="157">
        <f t="shared" si="150"/>
        <v>0.79240473403563549</v>
      </c>
      <c r="U51" s="157">
        <f t="shared" si="150"/>
        <v>0.84523171630467786</v>
      </c>
      <c r="V51" s="157">
        <f t="shared" si="150"/>
        <v>0.90158049739165647</v>
      </c>
      <c r="W51" s="157">
        <f t="shared" si="150"/>
        <v>0.96168586388443356</v>
      </c>
      <c r="X51" s="157">
        <f t="shared" si="150"/>
        <v>1.0257982548100624</v>
      </c>
      <c r="Y51" s="157">
        <f t="shared" si="150"/>
        <v>1.0941848051307335</v>
      </c>
      <c r="Z51" s="157">
        <f t="shared" si="150"/>
        <v>1.1671304588061158</v>
      </c>
      <c r="AA51" s="157">
        <f t="shared" si="150"/>
        <v>1.2449391560598568</v>
      </c>
      <c r="AB51" s="157">
        <f t="shared" si="150"/>
        <v>1.3279350997971806</v>
      </c>
      <c r="AC51" s="138">
        <f t="shared" si="139"/>
        <v>-0.13781703024551151</v>
      </c>
      <c r="AD51" s="31">
        <f t="shared" si="17"/>
        <v>0.08</v>
      </c>
      <c r="AE51" s="146">
        <f t="shared" si="140"/>
        <v>20.488141539727931</v>
      </c>
    </row>
    <row r="52" spans="2:31">
      <c r="B52" s="20"/>
      <c r="C52" s="127"/>
      <c r="D52" s="127"/>
      <c r="E52" s="127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28"/>
      <c r="R52" s="128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39"/>
      <c r="AD52" s="137"/>
      <c r="AE52" s="146"/>
    </row>
    <row r="53" spans="2:31">
      <c r="B53" s="20" t="s">
        <v>271</v>
      </c>
      <c r="C53" s="127">
        <f t="shared" ref="C53:P53" si="151">(C7-C10)/C40</f>
        <v>0</v>
      </c>
      <c r="D53" s="127">
        <f t="shared" si="151"/>
        <v>0</v>
      </c>
      <c r="E53" s="127">
        <f t="shared" si="151"/>
        <v>0</v>
      </c>
      <c r="F53" s="144">
        <f t="shared" si="151"/>
        <v>0</v>
      </c>
      <c r="G53" s="144">
        <f t="shared" si="151"/>
        <v>102.77777777777777</v>
      </c>
      <c r="H53" s="144">
        <f t="shared" si="151"/>
        <v>118.65079365079364</v>
      </c>
      <c r="I53" s="144">
        <f t="shared" si="151"/>
        <v>14.149821640903685</v>
      </c>
      <c r="J53" s="144">
        <f t="shared" si="151"/>
        <v>13.277843836702338</v>
      </c>
      <c r="K53" s="144">
        <f t="shared" si="151"/>
        <v>3.7154150197628457</v>
      </c>
      <c r="L53" s="144">
        <f t="shared" si="151"/>
        <v>0.98814229249011853</v>
      </c>
      <c r="M53" s="144">
        <f t="shared" si="151"/>
        <v>7.9826121319897254</v>
      </c>
      <c r="N53" s="144">
        <f t="shared" si="151"/>
        <v>14.799446749654219</v>
      </c>
      <c r="O53" s="144">
        <f t="shared" si="151"/>
        <v>23.207249802994486</v>
      </c>
      <c r="P53" s="144">
        <f t="shared" si="151"/>
        <v>31.213421771361688</v>
      </c>
      <c r="Q53" s="118">
        <f>((P53/G53)^(1/($H$2-$H$1) ))-1</f>
        <v>-0.12402124570835338</v>
      </c>
      <c r="R53" s="128"/>
      <c r="S53" s="157">
        <f t="shared" ref="S53:AB53" si="152">(S7-S10)/S40</f>
        <v>23.306021589283393</v>
      </c>
      <c r="T53" s="157">
        <f t="shared" si="152"/>
        <v>24.859756361902292</v>
      </c>
      <c r="U53" s="157">
        <f t="shared" si="152"/>
        <v>26.517073452695779</v>
      </c>
      <c r="V53" s="157">
        <f t="shared" si="152"/>
        <v>28.284878349542169</v>
      </c>
      <c r="W53" s="157">
        <f t="shared" si="152"/>
        <v>30.17053690617831</v>
      </c>
      <c r="X53" s="157">
        <f t="shared" si="152"/>
        <v>32.181906033256858</v>
      </c>
      <c r="Y53" s="157">
        <f t="shared" si="152"/>
        <v>34.327366435473984</v>
      </c>
      <c r="Z53" s="157">
        <f t="shared" si="152"/>
        <v>36.615857531172253</v>
      </c>
      <c r="AA53" s="157">
        <f t="shared" si="152"/>
        <v>39.056914699917073</v>
      </c>
      <c r="AB53" s="157">
        <f t="shared" si="152"/>
        <v>41.660709013244876</v>
      </c>
      <c r="AC53" s="138">
        <f t="shared" si="139"/>
        <v>-4.6415158842004534E-2</v>
      </c>
      <c r="AD53" s="31">
        <f t="shared" si="17"/>
        <v>0.08</v>
      </c>
      <c r="AE53" s="146">
        <f t="shared" si="140"/>
        <v>642.76522477577817</v>
      </c>
    </row>
    <row r="54" spans="2:31">
      <c r="B54" s="20" t="s">
        <v>272</v>
      </c>
      <c r="C54" s="127">
        <f t="shared" ref="C54:P54" si="153">(C7-C10-C9)/C40</f>
        <v>0</v>
      </c>
      <c r="D54" s="127">
        <f t="shared" si="153"/>
        <v>0</v>
      </c>
      <c r="E54" s="127">
        <f t="shared" si="153"/>
        <v>0</v>
      </c>
      <c r="F54" s="144">
        <f t="shared" si="153"/>
        <v>0</v>
      </c>
      <c r="G54" s="144">
        <f t="shared" si="153"/>
        <v>69.047619047619051</v>
      </c>
      <c r="H54" s="144">
        <f t="shared" si="153"/>
        <v>74.206349206349202</v>
      </c>
      <c r="I54" s="144">
        <f t="shared" si="153"/>
        <v>8.878319460959176</v>
      </c>
      <c r="J54" s="144">
        <f t="shared" si="153"/>
        <v>5.4696789536266346</v>
      </c>
      <c r="K54" s="144">
        <f t="shared" si="153"/>
        <v>-6.6798418972332012</v>
      </c>
      <c r="L54" s="144">
        <f t="shared" si="153"/>
        <v>-11.818181818181818</v>
      </c>
      <c r="M54" s="144">
        <f t="shared" si="153"/>
        <v>-0.13831258644536654</v>
      </c>
      <c r="N54" s="144">
        <f t="shared" si="153"/>
        <v>4.7223868800632287</v>
      </c>
      <c r="O54" s="144">
        <f t="shared" si="153"/>
        <v>8.47123719464145</v>
      </c>
      <c r="P54" s="144">
        <f t="shared" si="153"/>
        <v>17.694108466640657</v>
      </c>
      <c r="Q54" s="118">
        <f>((P54/G54)^(1/($H$2-$H$1) ))-1</f>
        <v>-0.14039729135677714</v>
      </c>
      <c r="R54" s="128"/>
      <c r="S54" s="157">
        <f t="shared" ref="S54:AB54" si="154">(S7-S10-S9)/S40</f>
        <v>13.211600988425021</v>
      </c>
      <c r="T54" s="157">
        <f t="shared" si="154"/>
        <v>14.092374387653361</v>
      </c>
      <c r="U54" s="157">
        <f t="shared" si="154"/>
        <v>15.031866013496918</v>
      </c>
      <c r="V54" s="157">
        <f t="shared" si="154"/>
        <v>16.033990414396719</v>
      </c>
      <c r="W54" s="157">
        <f t="shared" si="154"/>
        <v>17.102923108689829</v>
      </c>
      <c r="X54" s="157">
        <f t="shared" si="154"/>
        <v>18.243117982602481</v>
      </c>
      <c r="Y54" s="157">
        <f t="shared" si="154"/>
        <v>19.459325848109312</v>
      </c>
      <c r="Z54" s="157">
        <f t="shared" si="154"/>
        <v>20.756614237983268</v>
      </c>
      <c r="AA54" s="157">
        <f t="shared" si="154"/>
        <v>22.14038852051549</v>
      </c>
      <c r="AB54" s="157">
        <f t="shared" si="154"/>
        <v>23.616414421883182</v>
      </c>
      <c r="AC54" s="138">
        <f t="shared" si="139"/>
        <v>-5.490140264841159E-2</v>
      </c>
      <c r="AD54" s="31">
        <f t="shared" si="17"/>
        <v>0.08</v>
      </c>
      <c r="AE54" s="146">
        <f t="shared" si="140"/>
        <v>364.36753679476914</v>
      </c>
    </row>
    <row r="55" spans="2:31">
      <c r="B55" s="20" t="s">
        <v>277</v>
      </c>
      <c r="C55" s="127">
        <f t="shared" ref="C55:P55" si="155">(C7+C15-C10-C9)/C40</f>
        <v>0</v>
      </c>
      <c r="D55" s="127">
        <f t="shared" si="155"/>
        <v>0</v>
      </c>
      <c r="E55" s="127">
        <f t="shared" si="155"/>
        <v>0</v>
      </c>
      <c r="F55" s="144">
        <f t="shared" si="155"/>
        <v>0</v>
      </c>
      <c r="G55" s="144">
        <f t="shared" si="155"/>
        <v>152.18253968253967</v>
      </c>
      <c r="H55" s="144">
        <f t="shared" si="155"/>
        <v>175</v>
      </c>
      <c r="I55" s="144">
        <f t="shared" si="155"/>
        <v>20.134760206103845</v>
      </c>
      <c r="J55" s="144">
        <f t="shared" si="155"/>
        <v>21.997621878715815</v>
      </c>
      <c r="K55" s="144">
        <f t="shared" si="155"/>
        <v>21.304347826086957</v>
      </c>
      <c r="L55" s="144">
        <f t="shared" si="155"/>
        <v>16.561264822134387</v>
      </c>
      <c r="M55" s="144">
        <f t="shared" si="155"/>
        <v>12.467891721003754</v>
      </c>
      <c r="N55" s="144">
        <f t="shared" si="155"/>
        <v>20.391227030231178</v>
      </c>
      <c r="O55" s="144">
        <f t="shared" si="155"/>
        <v>30.575256107171001</v>
      </c>
      <c r="P55" s="144">
        <f t="shared" si="155"/>
        <v>39.231369488880219</v>
      </c>
      <c r="Q55" s="118">
        <f>((P55/G55)^(1/($H$2-$H$1) ))-1</f>
        <v>-0.13982779574353221</v>
      </c>
      <c r="R55" s="128"/>
      <c r="S55" s="157">
        <f t="shared" ref="S55:AB55" si="156">(S7+S15-S10-S9)/S40</f>
        <v>29.292755885030569</v>
      </c>
      <c r="T55" s="157">
        <f t="shared" si="156"/>
        <v>31.245606277365933</v>
      </c>
      <c r="U55" s="157">
        <f t="shared" si="156"/>
        <v>33.328646695857003</v>
      </c>
      <c r="V55" s="157">
        <f t="shared" si="156"/>
        <v>35.550556475580805</v>
      </c>
      <c r="W55" s="157">
        <f t="shared" si="156"/>
        <v>37.920593573952857</v>
      </c>
      <c r="X55" s="157">
        <f t="shared" si="156"/>
        <v>40.448633145549714</v>
      </c>
      <c r="Y55" s="157">
        <f t="shared" si="156"/>
        <v>43.145208688586358</v>
      </c>
      <c r="Z55" s="157">
        <f t="shared" si="156"/>
        <v>46.021555934492113</v>
      </c>
      <c r="AA55" s="157">
        <f t="shared" si="156"/>
        <v>49.089659663458264</v>
      </c>
      <c r="AB55" s="157">
        <f t="shared" si="156"/>
        <v>52.362303641022145</v>
      </c>
      <c r="AC55" s="138">
        <f t="shared" si="139"/>
        <v>-5.4604862884924499E-2</v>
      </c>
      <c r="AD55" s="31">
        <f t="shared" si="17"/>
        <v>0.08</v>
      </c>
      <c r="AE55" s="146">
        <f t="shared" si="140"/>
        <v>807.87554189005607</v>
      </c>
    </row>
    <row r="56" spans="2:31">
      <c r="B56" s="20"/>
      <c r="C56" s="127"/>
      <c r="D56" s="127"/>
      <c r="E56" s="127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28"/>
      <c r="R56" s="128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  <c r="AC56" s="139"/>
      <c r="AD56" s="137"/>
      <c r="AE56" s="154"/>
    </row>
    <row r="57" spans="2:31">
      <c r="B57" s="20" t="s">
        <v>248</v>
      </c>
      <c r="C57" s="127">
        <f t="shared" ref="C57:P57" si="157">C12/C40</f>
        <v>0</v>
      </c>
      <c r="D57" s="127">
        <f t="shared" si="157"/>
        <v>0</v>
      </c>
      <c r="E57" s="127">
        <f t="shared" si="157"/>
        <v>0</v>
      </c>
      <c r="F57" s="144">
        <f t="shared" si="157"/>
        <v>0</v>
      </c>
      <c r="G57" s="144">
        <f t="shared" si="157"/>
        <v>2.9761904761904763</v>
      </c>
      <c r="H57" s="144">
        <f t="shared" si="157"/>
        <v>5.5555555555555554</v>
      </c>
      <c r="I57" s="144">
        <f t="shared" si="157"/>
        <v>0.63416567578279825</v>
      </c>
      <c r="J57" s="144">
        <f t="shared" si="157"/>
        <v>1.5061434799841458</v>
      </c>
      <c r="K57" s="144">
        <f t="shared" si="157"/>
        <v>6.7984189723320156</v>
      </c>
      <c r="L57" s="144">
        <f t="shared" si="157"/>
        <v>6.2845849802371543</v>
      </c>
      <c r="M57" s="144">
        <f t="shared" si="157"/>
        <v>0.88915234143449917</v>
      </c>
      <c r="N57" s="144">
        <f t="shared" si="157"/>
        <v>2.0351709148389645</v>
      </c>
      <c r="O57" s="144">
        <f t="shared" si="157"/>
        <v>5.378250591016549</v>
      </c>
      <c r="P57" s="144">
        <f t="shared" si="157"/>
        <v>2.9457666796722592</v>
      </c>
      <c r="Q57" s="118">
        <f>((P57/G57)^(1/($H$2-$H$1) ))-1</f>
        <v>-1.1410155616989881E-3</v>
      </c>
      <c r="R57" s="128"/>
      <c r="S57" s="157">
        <f t="shared" ref="S57:AB57" si="158">S12/S40</f>
        <v>2.1995057874886204</v>
      </c>
      <c r="T57" s="157">
        <f t="shared" si="158"/>
        <v>2.3461395066545285</v>
      </c>
      <c r="U57" s="157">
        <f t="shared" si="158"/>
        <v>2.5025488070981639</v>
      </c>
      <c r="V57" s="157">
        <f t="shared" si="158"/>
        <v>2.6693853942380414</v>
      </c>
      <c r="W57" s="157">
        <f t="shared" si="158"/>
        <v>2.8473444205205776</v>
      </c>
      <c r="X57" s="157">
        <f t="shared" si="158"/>
        <v>3.037167381888616</v>
      </c>
      <c r="Y57" s="157">
        <f t="shared" si="158"/>
        <v>3.239645207347857</v>
      </c>
      <c r="Z57" s="157">
        <f t="shared" si="158"/>
        <v>3.4556215545043814</v>
      </c>
      <c r="AA57" s="157">
        <f t="shared" si="158"/>
        <v>3.6859963248046732</v>
      </c>
      <c r="AB57" s="157">
        <f t="shared" si="158"/>
        <v>3.9317294131249851</v>
      </c>
      <c r="AC57" s="138">
        <f t="shared" si="139"/>
        <v>1.4762391043515066E-2</v>
      </c>
      <c r="AD57" s="31">
        <f t="shared" si="17"/>
        <v>0.08</v>
      </c>
      <c r="AE57" s="146">
        <f t="shared" si="140"/>
        <v>60.660968088214069</v>
      </c>
    </row>
    <row r="58" spans="2:31">
      <c r="B58" s="20" t="s">
        <v>255</v>
      </c>
      <c r="C58" s="127">
        <f t="shared" ref="C58:P58" si="159">C13/C40</f>
        <v>0</v>
      </c>
      <c r="D58" s="127">
        <f t="shared" si="159"/>
        <v>0</v>
      </c>
      <c r="E58" s="127">
        <f t="shared" si="159"/>
        <v>0</v>
      </c>
      <c r="F58" s="144">
        <f t="shared" si="159"/>
        <v>0</v>
      </c>
      <c r="G58" s="144">
        <f t="shared" si="159"/>
        <v>7.5396825396825395</v>
      </c>
      <c r="H58" s="144">
        <f t="shared" si="159"/>
        <v>7.5396825396825395</v>
      </c>
      <c r="I58" s="144">
        <f t="shared" si="159"/>
        <v>0.63416567578279825</v>
      </c>
      <c r="J58" s="144">
        <f t="shared" si="159"/>
        <v>0.63416567578279825</v>
      </c>
      <c r="K58" s="144">
        <f t="shared" si="159"/>
        <v>0.12806324110671938</v>
      </c>
      <c r="L58" s="144">
        <f t="shared" si="159"/>
        <v>1.0276679841897234</v>
      </c>
      <c r="M58" s="144">
        <f t="shared" si="159"/>
        <v>5.2953961667654612</v>
      </c>
      <c r="N58" s="144">
        <f t="shared" si="159"/>
        <v>3.35901995653033</v>
      </c>
      <c r="O58" s="144">
        <f t="shared" si="159"/>
        <v>1.9306540583136329</v>
      </c>
      <c r="P58" s="144">
        <f t="shared" si="159"/>
        <v>5.7159578618806091</v>
      </c>
      <c r="Q58" s="118">
        <f>((P58/G58)^(1/($H$2-$H$1) ))-1</f>
        <v>-3.0300149389517972E-2</v>
      </c>
      <c r="R58" s="128"/>
      <c r="S58" s="157">
        <f t="shared" ref="S58:AB58" si="160">S13/S40</f>
        <v>4.2679152035375214</v>
      </c>
      <c r="T58" s="157">
        <f t="shared" si="160"/>
        <v>4.5524428837733568</v>
      </c>
      <c r="U58" s="157">
        <f t="shared" si="160"/>
        <v>4.8559390760249137</v>
      </c>
      <c r="V58" s="157">
        <f t="shared" si="160"/>
        <v>5.1796683477599084</v>
      </c>
      <c r="W58" s="157">
        <f t="shared" si="160"/>
        <v>5.5249795709439011</v>
      </c>
      <c r="X58" s="157">
        <f t="shared" si="160"/>
        <v>5.8933115423401619</v>
      </c>
      <c r="Y58" s="157">
        <f t="shared" si="160"/>
        <v>6.2861989784961727</v>
      </c>
      <c r="Z58" s="157">
        <f t="shared" si="160"/>
        <v>6.7052789103959185</v>
      </c>
      <c r="AA58" s="157">
        <f t="shared" si="160"/>
        <v>7.1522975044223127</v>
      </c>
      <c r="AB58" s="157">
        <f t="shared" si="160"/>
        <v>7.6291173380504675</v>
      </c>
      <c r="AC58" s="138">
        <f t="shared" si="139"/>
        <v>6.208283118043223E-4</v>
      </c>
      <c r="AD58" s="31">
        <f t="shared" si="17"/>
        <v>0.08</v>
      </c>
      <c r="AE58" s="146">
        <f t="shared" si="140"/>
        <v>117.70638178706439</v>
      </c>
    </row>
    <row r="59" spans="2:31">
      <c r="B59" s="20" t="s">
        <v>256</v>
      </c>
      <c r="C59" s="127">
        <f>(C57+C58)</f>
        <v>0</v>
      </c>
      <c r="D59" s="127">
        <f t="shared" ref="D59:P59" si="161">(D57+D58)</f>
        <v>0</v>
      </c>
      <c r="E59" s="127">
        <f t="shared" si="161"/>
        <v>0</v>
      </c>
      <c r="F59" s="144">
        <f t="shared" si="161"/>
        <v>0</v>
      </c>
      <c r="G59" s="144">
        <f t="shared" si="161"/>
        <v>10.515873015873016</v>
      </c>
      <c r="H59" s="144">
        <f t="shared" si="161"/>
        <v>13.095238095238095</v>
      </c>
      <c r="I59" s="144">
        <f t="shared" si="161"/>
        <v>1.2683313515655965</v>
      </c>
      <c r="J59" s="144">
        <f t="shared" si="161"/>
        <v>2.140309155766944</v>
      </c>
      <c r="K59" s="144">
        <f t="shared" si="161"/>
        <v>6.9264822134387352</v>
      </c>
      <c r="L59" s="144">
        <f t="shared" si="161"/>
        <v>7.3122529644268779</v>
      </c>
      <c r="M59" s="144">
        <f t="shared" si="161"/>
        <v>6.1845485081999607</v>
      </c>
      <c r="N59" s="144">
        <f t="shared" si="161"/>
        <v>5.394190871369295</v>
      </c>
      <c r="O59" s="144">
        <f t="shared" ref="O59" si="162">(O57+O58)</f>
        <v>7.3089046493301817</v>
      </c>
      <c r="P59" s="144">
        <f t="shared" si="161"/>
        <v>8.6617245415528679</v>
      </c>
      <c r="Q59" s="118">
        <f>((P59/G59)^(1/($H$2-$H$1) ))-1</f>
        <v>-2.1321849018219097E-2</v>
      </c>
      <c r="R59" s="128"/>
      <c r="S59" s="157">
        <f t="shared" ref="S59:AB59" si="163">(S57+S58)</f>
        <v>6.4674209910261418</v>
      </c>
      <c r="T59" s="157">
        <f t="shared" si="163"/>
        <v>6.8985823904278849</v>
      </c>
      <c r="U59" s="157">
        <f t="shared" si="163"/>
        <v>7.3584878831230771</v>
      </c>
      <c r="V59" s="157">
        <f t="shared" si="163"/>
        <v>7.8490537419979498</v>
      </c>
      <c r="W59" s="157">
        <f t="shared" si="163"/>
        <v>8.3723239914644783</v>
      </c>
      <c r="X59" s="157">
        <f t="shared" si="163"/>
        <v>8.9304789242287779</v>
      </c>
      <c r="Y59" s="157">
        <f t="shared" si="163"/>
        <v>9.5258441858440293</v>
      </c>
      <c r="Z59" s="157">
        <f t="shared" si="163"/>
        <v>10.160900464900299</v>
      </c>
      <c r="AA59" s="157">
        <f t="shared" si="163"/>
        <v>10.838293829226986</v>
      </c>
      <c r="AB59" s="157">
        <f t="shared" si="163"/>
        <v>11.560846751175452</v>
      </c>
      <c r="AC59" s="138">
        <f t="shared" si="139"/>
        <v>4.9986770376320155E-3</v>
      </c>
      <c r="AD59" s="31">
        <f t="shared" si="17"/>
        <v>0.08</v>
      </c>
      <c r="AE59" s="146">
        <f t="shared" si="140"/>
        <v>178.36734987527842</v>
      </c>
    </row>
    <row r="60" spans="2:31">
      <c r="B60" s="20" t="s">
        <v>249</v>
      </c>
      <c r="C60" s="127">
        <f t="shared" ref="C60:P60" si="164">C15/C40</f>
        <v>0</v>
      </c>
      <c r="D60" s="127">
        <f t="shared" si="164"/>
        <v>0</v>
      </c>
      <c r="E60" s="127">
        <f t="shared" si="164"/>
        <v>0</v>
      </c>
      <c r="F60" s="144">
        <f t="shared" si="164"/>
        <v>0</v>
      </c>
      <c r="G60" s="144">
        <f t="shared" si="164"/>
        <v>83.134920634920633</v>
      </c>
      <c r="H60" s="144">
        <f t="shared" si="164"/>
        <v>100.7936507936508</v>
      </c>
      <c r="I60" s="144">
        <f t="shared" si="164"/>
        <v>11.256440745144669</v>
      </c>
      <c r="J60" s="144">
        <f t="shared" si="164"/>
        <v>16.527942925089178</v>
      </c>
      <c r="K60" s="144">
        <f t="shared" si="164"/>
        <v>27.984189723320156</v>
      </c>
      <c r="L60" s="144">
        <f t="shared" si="164"/>
        <v>28.379446640316203</v>
      </c>
      <c r="M60" s="144">
        <f t="shared" si="164"/>
        <v>12.60620430744912</v>
      </c>
      <c r="N60" s="144">
        <f t="shared" si="164"/>
        <v>15.66884015016795</v>
      </c>
      <c r="O60" s="144">
        <f t="shared" si="164"/>
        <v>22.104018912529551</v>
      </c>
      <c r="P60" s="144">
        <f t="shared" si="164"/>
        <v>21.537261022239562</v>
      </c>
      <c r="Q60" s="118">
        <f>((P60/G60)^(1/($H$2-$H$1) ))-1</f>
        <v>-0.1393570841298053</v>
      </c>
      <c r="R60" s="128"/>
      <c r="S60" s="157">
        <f t="shared" ref="S60:AB60" si="165">S15/S40</f>
        <v>16.08115489660554</v>
      </c>
      <c r="T60" s="157">
        <f t="shared" si="165"/>
        <v>17.153231889712579</v>
      </c>
      <c r="U60" s="157">
        <f t="shared" si="165"/>
        <v>18.296780682360083</v>
      </c>
      <c r="V60" s="157">
        <f t="shared" si="165"/>
        <v>19.51656606118409</v>
      </c>
      <c r="W60" s="157">
        <f t="shared" si="165"/>
        <v>20.817670465263028</v>
      </c>
      <c r="X60" s="157">
        <f t="shared" si="165"/>
        <v>22.205515162947233</v>
      </c>
      <c r="Y60" s="157">
        <f t="shared" si="165"/>
        <v>23.685882840477046</v>
      </c>
      <c r="Z60" s="157">
        <f t="shared" si="165"/>
        <v>25.264941696508849</v>
      </c>
      <c r="AA60" s="157">
        <f t="shared" si="165"/>
        <v>26.949271142942774</v>
      </c>
      <c r="AB60" s="157">
        <f t="shared" si="165"/>
        <v>28.745889219138959</v>
      </c>
      <c r="AC60" s="138">
        <f t="shared" si="139"/>
        <v>-5.4359838530985916E-2</v>
      </c>
      <c r="AD60" s="31">
        <f t="shared" si="17"/>
        <v>0.08</v>
      </c>
      <c r="AE60" s="146">
        <f t="shared" si="140"/>
        <v>443.50800509528688</v>
      </c>
    </row>
    <row r="61" spans="2:31">
      <c r="B61" s="20" t="s">
        <v>250</v>
      </c>
      <c r="C61" s="127">
        <f t="shared" ref="C61:P61" si="166">C16/C40</f>
        <v>0</v>
      </c>
      <c r="D61" s="127">
        <f t="shared" si="166"/>
        <v>0</v>
      </c>
      <c r="E61" s="127">
        <f t="shared" si="166"/>
        <v>0</v>
      </c>
      <c r="F61" s="144">
        <f t="shared" si="166"/>
        <v>0</v>
      </c>
      <c r="G61" s="144">
        <f t="shared" si="166"/>
        <v>52.38095238095238</v>
      </c>
      <c r="H61" s="144">
        <f t="shared" si="166"/>
        <v>57.539682539682538</v>
      </c>
      <c r="I61" s="144">
        <f t="shared" si="166"/>
        <v>5.8263971462544593</v>
      </c>
      <c r="J61" s="144">
        <f t="shared" si="166"/>
        <v>8.878319460959176</v>
      </c>
      <c r="K61" s="144">
        <f t="shared" si="166"/>
        <v>18.853754940711461</v>
      </c>
      <c r="L61" s="144">
        <f t="shared" si="166"/>
        <v>17.588932806324109</v>
      </c>
      <c r="M61" s="144">
        <f t="shared" si="166"/>
        <v>4.6235921754593958</v>
      </c>
      <c r="N61" s="144">
        <f t="shared" si="166"/>
        <v>6.6390041493775938</v>
      </c>
      <c r="O61" s="144">
        <f t="shared" si="166"/>
        <v>7.1907013396375099</v>
      </c>
      <c r="P61" s="144">
        <f t="shared" si="166"/>
        <v>6.5353101833788534</v>
      </c>
      <c r="Q61" s="118">
        <f>((P61/G61)^(1/($H$2-$H$1) ))-1</f>
        <v>-0.20646539903368755</v>
      </c>
      <c r="R61" s="128"/>
      <c r="S61" s="157">
        <f t="shared" ref="S61:AB61" si="167">S16/S40</f>
        <v>4.8796982702562106</v>
      </c>
      <c r="T61" s="157">
        <f t="shared" si="167"/>
        <v>5.2050114882732927</v>
      </c>
      <c r="U61" s="157">
        <f t="shared" si="167"/>
        <v>5.5520122541581785</v>
      </c>
      <c r="V61" s="157">
        <f t="shared" si="167"/>
        <v>5.9221464044353906</v>
      </c>
      <c r="W61" s="157">
        <f t="shared" si="167"/>
        <v>6.3169561647310832</v>
      </c>
      <c r="X61" s="157">
        <f t="shared" si="167"/>
        <v>6.7380865757131554</v>
      </c>
      <c r="Y61" s="157">
        <f t="shared" si="167"/>
        <v>7.1872923474273653</v>
      </c>
      <c r="Z61" s="157">
        <f t="shared" si="167"/>
        <v>7.6664451705891903</v>
      </c>
      <c r="AA61" s="157">
        <f t="shared" si="167"/>
        <v>8.1775415152951361</v>
      </c>
      <c r="AB61" s="157">
        <f t="shared" si="167"/>
        <v>8.7227109496481461</v>
      </c>
      <c r="AC61" s="138">
        <f t="shared" si="139"/>
        <v>-9.00340061978947E-2</v>
      </c>
      <c r="AD61" s="137"/>
      <c r="AE61" s="146">
        <f t="shared" si="140"/>
        <v>58.151406330987641</v>
      </c>
    </row>
    <row r="62" spans="2:31">
      <c r="B62" s="20"/>
      <c r="C62" s="127"/>
      <c r="D62" s="127"/>
      <c r="E62" s="127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28"/>
      <c r="R62" s="128"/>
      <c r="S62" s="154"/>
      <c r="T62" s="154"/>
      <c r="U62" s="154"/>
      <c r="V62" s="154"/>
      <c r="W62" s="154"/>
      <c r="X62" s="154"/>
      <c r="Y62" s="154"/>
      <c r="Z62" s="154"/>
      <c r="AA62" s="154"/>
      <c r="AB62" s="154"/>
      <c r="AC62" s="139"/>
      <c r="AD62" s="31">
        <f t="shared" si="17"/>
        <v>0.08</v>
      </c>
      <c r="AE62" s="146">
        <f t="shared" si="140"/>
        <v>0</v>
      </c>
    </row>
    <row r="63" spans="2:31">
      <c r="B63" s="20" t="s">
        <v>283</v>
      </c>
      <c r="C63" s="159">
        <f>C41</f>
        <v>0</v>
      </c>
      <c r="D63" s="159">
        <f t="shared" ref="D63:P63" si="168">D41</f>
        <v>0</v>
      </c>
      <c r="E63" s="159">
        <f t="shared" si="168"/>
        <v>0</v>
      </c>
      <c r="F63" s="159">
        <f t="shared" si="168"/>
        <v>0</v>
      </c>
      <c r="G63" s="159">
        <f t="shared" si="168"/>
        <v>8</v>
      </c>
      <c r="H63" s="159">
        <f t="shared" si="168"/>
        <v>8</v>
      </c>
      <c r="I63" s="159">
        <f t="shared" si="168"/>
        <v>1.25</v>
      </c>
      <c r="J63" s="159">
        <f t="shared" si="168"/>
        <v>1.5</v>
      </c>
      <c r="K63" s="159">
        <f t="shared" si="168"/>
        <v>1.75</v>
      </c>
      <c r="L63" s="159">
        <f t="shared" si="168"/>
        <v>1.75</v>
      </c>
      <c r="M63" s="159">
        <f t="shared" si="168"/>
        <v>1.5</v>
      </c>
      <c r="N63" s="159">
        <f t="shared" si="168"/>
        <v>1.75</v>
      </c>
      <c r="O63" s="159">
        <f t="shared" si="168"/>
        <v>1.9</v>
      </c>
      <c r="P63" s="159">
        <f t="shared" si="168"/>
        <v>2.6</v>
      </c>
      <c r="Q63" s="118">
        <f>((P63/G63)^(1/($H$2-$H$1) ))-1</f>
        <v>-0.1173981815805033</v>
      </c>
      <c r="R63" s="128"/>
      <c r="S63" s="159">
        <f t="shared" ref="S63:AB63" si="169">S41</f>
        <v>2.7300000000000004</v>
      </c>
      <c r="T63" s="159">
        <f t="shared" si="169"/>
        <v>2.8665000000000007</v>
      </c>
      <c r="U63" s="159">
        <f t="shared" si="169"/>
        <v>3.0098250000000011</v>
      </c>
      <c r="V63" s="159">
        <f t="shared" si="169"/>
        <v>3.1603162500000015</v>
      </c>
      <c r="W63" s="159">
        <f t="shared" si="169"/>
        <v>3.3183320625000019</v>
      </c>
      <c r="X63" s="159">
        <f t="shared" si="169"/>
        <v>3.4842486656250022</v>
      </c>
      <c r="Y63" s="159">
        <f t="shared" si="169"/>
        <v>3.6584610989062525</v>
      </c>
      <c r="Z63" s="159">
        <f t="shared" si="169"/>
        <v>3.8413841538515654</v>
      </c>
      <c r="AA63" s="159">
        <f t="shared" si="169"/>
        <v>4.0334533615441437</v>
      </c>
      <c r="AB63" s="159">
        <f t="shared" si="169"/>
        <v>4.2351260296213509</v>
      </c>
      <c r="AC63" s="138">
        <f t="shared" ref="AC63" si="170">((AB63/G63)^(1/($AB$3-$H$1) ))-1</f>
        <v>-3.2921087947156646E-2</v>
      </c>
      <c r="AD63" s="31">
        <f t="shared" si="17"/>
        <v>0.08</v>
      </c>
      <c r="AE63" s="146">
        <f t="shared" si="140"/>
        <v>65.341944457015131</v>
      </c>
    </row>
    <row r="64" spans="2:31">
      <c r="B64" s="20"/>
      <c r="C64" s="127"/>
      <c r="D64" s="127"/>
      <c r="E64" s="127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28"/>
      <c r="R64" s="128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  <c r="AC64" s="139"/>
      <c r="AD64" s="137"/>
      <c r="AE64" s="154"/>
    </row>
    <row r="65" spans="2:31">
      <c r="B65" s="20" t="s">
        <v>318</v>
      </c>
      <c r="C65" s="127">
        <f t="shared" ref="C65:P65" si="171">C20+C21</f>
        <v>0</v>
      </c>
      <c r="D65" s="127">
        <f t="shared" si="171"/>
        <v>0</v>
      </c>
      <c r="E65" s="127">
        <f t="shared" si="171"/>
        <v>0</v>
      </c>
      <c r="F65" s="144">
        <f t="shared" si="171"/>
        <v>0</v>
      </c>
      <c r="G65" s="144">
        <f t="shared" si="171"/>
        <v>7</v>
      </c>
      <c r="H65" s="144">
        <f t="shared" si="171"/>
        <v>22</v>
      </c>
      <c r="I65" s="144">
        <f t="shared" si="171"/>
        <v>35</v>
      </c>
      <c r="J65" s="144">
        <f t="shared" si="171"/>
        <v>-36</v>
      </c>
      <c r="K65" s="144">
        <f t="shared" si="171"/>
        <v>-162</v>
      </c>
      <c r="L65" s="144">
        <f t="shared" si="171"/>
        <v>32</v>
      </c>
      <c r="M65" s="144">
        <f t="shared" si="171"/>
        <v>67</v>
      </c>
      <c r="N65" s="144">
        <f t="shared" si="171"/>
        <v>285</v>
      </c>
      <c r="O65" s="144">
        <f t="shared" si="171"/>
        <v>276</v>
      </c>
      <c r="P65" s="144">
        <f t="shared" si="171"/>
        <v>316</v>
      </c>
      <c r="Q65" s="118">
        <f>((P65/G65)^(1/($H$2-$H$1) ))-1</f>
        <v>0.5270147319567966</v>
      </c>
      <c r="R65" s="128"/>
      <c r="S65" s="144">
        <f t="shared" ref="S65:AB65" si="172">S20+S21</f>
        <v>353.92000000000007</v>
      </c>
      <c r="T65" s="144">
        <f t="shared" si="172"/>
        <v>396.39040000000011</v>
      </c>
      <c r="U65" s="144">
        <f t="shared" si="172"/>
        <v>443.95724800000016</v>
      </c>
      <c r="V65" s="144">
        <f t="shared" si="172"/>
        <v>497.23211776000028</v>
      </c>
      <c r="W65" s="144">
        <f t="shared" si="172"/>
        <v>556.89997189120027</v>
      </c>
      <c r="X65" s="144">
        <f t="shared" si="172"/>
        <v>623.72796851814451</v>
      </c>
      <c r="Y65" s="144">
        <f t="shared" si="172"/>
        <v>698.57532474032178</v>
      </c>
      <c r="Z65" s="144">
        <f t="shared" si="172"/>
        <v>782.40436370916052</v>
      </c>
      <c r="AA65" s="144">
        <f t="shared" si="172"/>
        <v>876.29288735425996</v>
      </c>
      <c r="AB65" s="144">
        <f t="shared" si="172"/>
        <v>981.44803383677129</v>
      </c>
      <c r="AC65" s="138">
        <f t="shared" ref="AC65:AC70" si="173">((AB65/G65)^(1/($AB$3-$H$1) ))-1</f>
        <v>0.29714299982869852</v>
      </c>
      <c r="AD65" s="31">
        <f t="shared" si="17"/>
        <v>0.08</v>
      </c>
      <c r="AE65" s="146">
        <f t="shared" si="140"/>
        <v>15142.341093481617</v>
      </c>
    </row>
    <row r="66" spans="2:31">
      <c r="B66" s="20"/>
      <c r="C66" s="127"/>
      <c r="D66" s="127"/>
      <c r="E66" s="127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28"/>
      <c r="R66" s="128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  <c r="AC66" s="139"/>
      <c r="AD66" s="137"/>
      <c r="AE66" s="146"/>
    </row>
    <row r="67" spans="2:31">
      <c r="B67" s="20" t="s">
        <v>319</v>
      </c>
      <c r="C67" s="127">
        <f t="shared" ref="C67:P67" si="174">C65/C40</f>
        <v>0</v>
      </c>
      <c r="D67" s="127">
        <f t="shared" si="174"/>
        <v>0</v>
      </c>
      <c r="E67" s="127">
        <f t="shared" si="174"/>
        <v>0</v>
      </c>
      <c r="F67" s="144">
        <f t="shared" si="174"/>
        <v>0</v>
      </c>
      <c r="G67" s="144">
        <f t="shared" si="174"/>
        <v>2.7777777777777777</v>
      </c>
      <c r="H67" s="144">
        <f t="shared" si="174"/>
        <v>8.7301587301587293</v>
      </c>
      <c r="I67" s="144">
        <f t="shared" si="174"/>
        <v>1.3872374157748713</v>
      </c>
      <c r="J67" s="144">
        <f t="shared" si="174"/>
        <v>-1.426872770511296</v>
      </c>
      <c r="K67" s="144">
        <f t="shared" si="174"/>
        <v>-6.4031620553359678</v>
      </c>
      <c r="L67" s="144">
        <f t="shared" si="174"/>
        <v>1.2648221343873518</v>
      </c>
      <c r="M67" s="144">
        <f t="shared" si="174"/>
        <v>1.3238490416913653</v>
      </c>
      <c r="N67" s="144">
        <f t="shared" si="174"/>
        <v>5.6312981624184948</v>
      </c>
      <c r="O67" s="144">
        <f t="shared" si="174"/>
        <v>5.4373522458628845</v>
      </c>
      <c r="P67" s="144">
        <f t="shared" si="174"/>
        <v>6.1646507998439333</v>
      </c>
      <c r="Q67" s="118">
        <f>((P67/G67)^(1/($H$2-$H$1) ))-1</f>
        <v>9.2616832519326175E-2</v>
      </c>
      <c r="R67" s="128"/>
      <c r="S67" s="146">
        <f t="shared" ref="S67:AB67" si="175">S65/S40</f>
        <v>4.6029392638834707</v>
      </c>
      <c r="T67" s="146">
        <f t="shared" si="175"/>
        <v>4.909801881475703</v>
      </c>
      <c r="U67" s="146">
        <f t="shared" si="175"/>
        <v>5.2371220069074162</v>
      </c>
      <c r="V67" s="146">
        <f t="shared" si="175"/>
        <v>5.5862634740345785</v>
      </c>
      <c r="W67" s="146">
        <f t="shared" si="175"/>
        <v>5.9586810389702158</v>
      </c>
      <c r="X67" s="146">
        <f t="shared" si="175"/>
        <v>6.3559264415682319</v>
      </c>
      <c r="Y67" s="146">
        <f t="shared" si="175"/>
        <v>6.7796548710061124</v>
      </c>
      <c r="Z67" s="146">
        <f t="shared" si="175"/>
        <v>7.2316318624065214</v>
      </c>
      <c r="AA67" s="146">
        <f t="shared" si="175"/>
        <v>7.7137406532336232</v>
      </c>
      <c r="AB67" s="146">
        <f t="shared" si="175"/>
        <v>8.2279900301158655</v>
      </c>
      <c r="AC67" s="138">
        <f t="shared" si="173"/>
        <v>5.8816878326602762E-2</v>
      </c>
      <c r="AD67" s="31">
        <f t="shared" si="17"/>
        <v>0.08</v>
      </c>
      <c r="AE67" s="146">
        <f t="shared" si="140"/>
        <v>126.94613189321623</v>
      </c>
    </row>
    <row r="68" spans="2:31">
      <c r="B68" s="20" t="s">
        <v>288</v>
      </c>
      <c r="C68" s="127">
        <f t="shared" ref="C68:P68" si="176">C20/C40</f>
        <v>0</v>
      </c>
      <c r="D68" s="127">
        <f t="shared" si="176"/>
        <v>0</v>
      </c>
      <c r="E68" s="127">
        <f t="shared" si="176"/>
        <v>0</v>
      </c>
      <c r="F68" s="144">
        <f t="shared" si="176"/>
        <v>0</v>
      </c>
      <c r="G68" s="144">
        <f t="shared" si="176"/>
        <v>19.047619047619047</v>
      </c>
      <c r="H68" s="144">
        <f t="shared" si="176"/>
        <v>36.507936507936506</v>
      </c>
      <c r="I68" s="144">
        <f t="shared" si="176"/>
        <v>4.439159730479588</v>
      </c>
      <c r="J68" s="144">
        <f t="shared" si="176"/>
        <v>3.5275465715418153</v>
      </c>
      <c r="K68" s="144">
        <f t="shared" si="176"/>
        <v>5.0592885375494072</v>
      </c>
      <c r="L68" s="144">
        <f t="shared" si="176"/>
        <v>10.276679841897232</v>
      </c>
      <c r="M68" s="144">
        <f t="shared" si="176"/>
        <v>8.140683659355858</v>
      </c>
      <c r="N68" s="144">
        <f t="shared" si="176"/>
        <v>6.3623789764868608</v>
      </c>
      <c r="O68" s="144">
        <f t="shared" si="176"/>
        <v>9.9881796690307336</v>
      </c>
      <c r="P68" s="144">
        <f t="shared" si="176"/>
        <v>10.00780335544284</v>
      </c>
      <c r="Q68" s="118">
        <f>((P68/G68)^(1/($H$2-$H$1) ))-1</f>
        <v>-6.9011686025279739E-2</v>
      </c>
      <c r="R68" s="128"/>
      <c r="S68" s="146">
        <f t="shared" ref="S68:AB68" si="177">S20/S40</f>
        <v>7.472493172063988</v>
      </c>
      <c r="T68" s="146">
        <f t="shared" si="177"/>
        <v>7.9706593835349215</v>
      </c>
      <c r="U68" s="146">
        <f t="shared" si="177"/>
        <v>8.5020366757705848</v>
      </c>
      <c r="V68" s="146">
        <f t="shared" si="177"/>
        <v>9.0688391208219574</v>
      </c>
      <c r="W68" s="146">
        <f t="shared" si="177"/>
        <v>9.6734283955434215</v>
      </c>
      <c r="X68" s="146">
        <f t="shared" si="177"/>
        <v>10.318323621912983</v>
      </c>
      <c r="Y68" s="146">
        <f t="shared" si="177"/>
        <v>11.006211863373847</v>
      </c>
      <c r="Z68" s="146">
        <f t="shared" si="177"/>
        <v>11.739959320932105</v>
      </c>
      <c r="AA68" s="146">
        <f t="shared" si="177"/>
        <v>12.522623275660912</v>
      </c>
      <c r="AB68" s="146">
        <f t="shared" si="177"/>
        <v>13.357464827371642</v>
      </c>
      <c r="AC68" s="138">
        <f t="shared" si="173"/>
        <v>-1.8503857683424663E-2</v>
      </c>
      <c r="AD68" s="31">
        <f t="shared" si="17"/>
        <v>0.08</v>
      </c>
      <c r="AE68" s="146">
        <f t="shared" si="140"/>
        <v>206.08660019373394</v>
      </c>
    </row>
    <row r="69" spans="2:31">
      <c r="B69" s="20" t="s">
        <v>289</v>
      </c>
      <c r="C69" s="127">
        <f t="shared" ref="C69:P69" si="178">C21/C40</f>
        <v>0</v>
      </c>
      <c r="D69" s="127">
        <f t="shared" si="178"/>
        <v>0</v>
      </c>
      <c r="E69" s="127">
        <f t="shared" si="178"/>
        <v>0</v>
      </c>
      <c r="F69" s="144">
        <f t="shared" si="178"/>
        <v>0</v>
      </c>
      <c r="G69" s="144">
        <f t="shared" si="178"/>
        <v>-16.269841269841269</v>
      </c>
      <c r="H69" s="144">
        <f t="shared" si="178"/>
        <v>-27.777777777777779</v>
      </c>
      <c r="I69" s="144">
        <f t="shared" si="178"/>
        <v>-3.0519223147047168</v>
      </c>
      <c r="J69" s="144">
        <f t="shared" si="178"/>
        <v>-4.9544193420531109</v>
      </c>
      <c r="K69" s="144">
        <f t="shared" si="178"/>
        <v>-11.462450592885375</v>
      </c>
      <c r="L69" s="144">
        <f t="shared" si="178"/>
        <v>-9.0118577075098809</v>
      </c>
      <c r="M69" s="144">
        <f t="shared" si="178"/>
        <v>-6.8168346176644929</v>
      </c>
      <c r="N69" s="144">
        <f t="shared" si="178"/>
        <v>-0.73108081406836589</v>
      </c>
      <c r="O69" s="144">
        <f t="shared" si="178"/>
        <v>-4.5508274231678492</v>
      </c>
      <c r="P69" s="144">
        <f t="shared" si="178"/>
        <v>-3.8431525555989077</v>
      </c>
      <c r="Q69" s="118">
        <f>((P69/G69)^(1/($H$2-$H$1) ))-1</f>
        <v>-0.14814211954308276</v>
      </c>
      <c r="R69" s="128"/>
      <c r="S69" s="146">
        <f t="shared" ref="S69:AB69" si="179">S21/S40</f>
        <v>-2.8695539081805177</v>
      </c>
      <c r="T69" s="146">
        <f t="shared" si="179"/>
        <v>-3.0608575020592195</v>
      </c>
      <c r="U69" s="146">
        <f t="shared" si="179"/>
        <v>-3.2649146688631676</v>
      </c>
      <c r="V69" s="146">
        <f t="shared" si="179"/>
        <v>-3.482575646787379</v>
      </c>
      <c r="W69" s="146">
        <f t="shared" si="179"/>
        <v>-3.7147473565732043</v>
      </c>
      <c r="X69" s="146">
        <f t="shared" si="179"/>
        <v>-3.9623971803447513</v>
      </c>
      <c r="Y69" s="146">
        <f t="shared" si="179"/>
        <v>-4.2265569923677342</v>
      </c>
      <c r="Z69" s="146">
        <f t="shared" si="179"/>
        <v>-4.5083274585255833</v>
      </c>
      <c r="AA69" s="146">
        <f t="shared" si="179"/>
        <v>-4.8088826224272889</v>
      </c>
      <c r="AB69" s="146">
        <f t="shared" si="179"/>
        <v>-5.1294747972557753</v>
      </c>
      <c r="AC69" s="138">
        <f t="shared" si="173"/>
        <v>-5.8944491318690617E-2</v>
      </c>
      <c r="AD69" s="31">
        <f t="shared" si="17"/>
        <v>0.08</v>
      </c>
      <c r="AE69" s="146">
        <f t="shared" si="140"/>
        <v>-79.140468300517696</v>
      </c>
    </row>
    <row r="70" spans="2:31">
      <c r="B70" s="20" t="s">
        <v>290</v>
      </c>
      <c r="C70" s="127">
        <f t="shared" ref="C70:P70" si="180">C22/C40</f>
        <v>0</v>
      </c>
      <c r="D70" s="127">
        <f t="shared" si="180"/>
        <v>0</v>
      </c>
      <c r="E70" s="127">
        <f t="shared" si="180"/>
        <v>0</v>
      </c>
      <c r="F70" s="144">
        <f t="shared" si="180"/>
        <v>0</v>
      </c>
      <c r="G70" s="144">
        <f t="shared" si="180"/>
        <v>-2.7777777777777777</v>
      </c>
      <c r="H70" s="144">
        <f t="shared" si="180"/>
        <v>-7.1428571428571432</v>
      </c>
      <c r="I70" s="144">
        <f t="shared" si="180"/>
        <v>-1.3872374157748713</v>
      </c>
      <c r="J70" s="144">
        <f t="shared" si="180"/>
        <v>1.8628616726119698</v>
      </c>
      <c r="K70" s="144">
        <f t="shared" si="180"/>
        <v>11.383399209486166</v>
      </c>
      <c r="L70" s="144">
        <f t="shared" si="180"/>
        <v>-2.1343873517786562</v>
      </c>
      <c r="M70" s="144">
        <f t="shared" si="180"/>
        <v>-3.1614305473226634</v>
      </c>
      <c r="N70" s="144">
        <f t="shared" si="180"/>
        <v>-4.8606994665085956</v>
      </c>
      <c r="O70" s="144">
        <f t="shared" si="180"/>
        <v>-5.6146572104018917</v>
      </c>
      <c r="P70" s="144">
        <f t="shared" si="180"/>
        <v>-12.192742879438159</v>
      </c>
      <c r="Q70" s="118">
        <f>((P70/G70)^(1/($H$2-$H$1) ))-1</f>
        <v>0.17863195888906414</v>
      </c>
      <c r="R70" s="128"/>
      <c r="S70" s="146">
        <f t="shared" ref="S70:AB70" si="181">S22/S40</f>
        <v>-9.1039146833138265</v>
      </c>
      <c r="T70" s="146">
        <f t="shared" si="181"/>
        <v>-9.7108423288680825</v>
      </c>
      <c r="U70" s="146">
        <f t="shared" si="181"/>
        <v>-10.35823181745929</v>
      </c>
      <c r="V70" s="146">
        <f t="shared" si="181"/>
        <v>-11.04878060528991</v>
      </c>
      <c r="W70" s="146">
        <f t="shared" si="181"/>
        <v>-11.785365978975902</v>
      </c>
      <c r="X70" s="146">
        <f t="shared" si="181"/>
        <v>-12.571057044240963</v>
      </c>
      <c r="Y70" s="146">
        <f t="shared" si="181"/>
        <v>-13.409127513857024</v>
      </c>
      <c r="Z70" s="146">
        <f t="shared" si="181"/>
        <v>-14.30306934811416</v>
      </c>
      <c r="AA70" s="146">
        <f t="shared" si="181"/>
        <v>-15.256607304655105</v>
      </c>
      <c r="AB70" s="146">
        <f t="shared" si="181"/>
        <v>-16.27371445829878</v>
      </c>
      <c r="AC70" s="138">
        <f t="shared" si="173"/>
        <v>9.7513718565920282E-2</v>
      </c>
      <c r="AD70" s="31">
        <f t="shared" si="17"/>
        <v>0.08</v>
      </c>
      <c r="AE70" s="146">
        <f t="shared" si="140"/>
        <v>-251.08016592803838</v>
      </c>
    </row>
    <row r="71" spans="2:31">
      <c r="B71" s="20" t="s">
        <v>297</v>
      </c>
      <c r="C71" s="127">
        <f t="shared" ref="C71:P71" si="182">C23/C40</f>
        <v>0</v>
      </c>
      <c r="D71" s="127">
        <f t="shared" si="182"/>
        <v>0</v>
      </c>
      <c r="E71" s="127">
        <f t="shared" si="182"/>
        <v>0</v>
      </c>
      <c r="F71" s="144">
        <f t="shared" si="182"/>
        <v>0</v>
      </c>
      <c r="G71" s="144">
        <f t="shared" si="182"/>
        <v>2.9523809523809526</v>
      </c>
      <c r="H71" s="144">
        <f t="shared" si="182"/>
        <v>4.6269841269841274</v>
      </c>
      <c r="I71" s="144">
        <f t="shared" si="182"/>
        <v>0.47562425683709869</v>
      </c>
      <c r="J71" s="144">
        <f t="shared" si="182"/>
        <v>0.91161315893777251</v>
      </c>
      <c r="K71" s="144">
        <f t="shared" si="182"/>
        <v>5.8695652173913038</v>
      </c>
      <c r="L71" s="144">
        <f t="shared" si="182"/>
        <v>5.0197628458498018</v>
      </c>
      <c r="M71" s="144">
        <f t="shared" si="182"/>
        <v>0.65204505038529936</v>
      </c>
      <c r="N71" s="144">
        <f t="shared" si="182"/>
        <v>1.4226437462951986</v>
      </c>
      <c r="O71" s="144">
        <f t="shared" si="182"/>
        <v>1.2214342001576044</v>
      </c>
      <c r="P71" s="144">
        <f t="shared" si="182"/>
        <v>0.99492781896215376</v>
      </c>
      <c r="Q71" s="118">
        <f>((P71/G71)^(1/($H$2-$H$1) ))-1</f>
        <v>-0.11383775659176021</v>
      </c>
      <c r="R71" s="128"/>
      <c r="S71" s="146">
        <f t="shared" ref="S71:AB71" si="183">S23/S40</f>
        <v>0.74287943815840818</v>
      </c>
      <c r="T71" s="146">
        <f t="shared" si="183"/>
        <v>0.79240473403563549</v>
      </c>
      <c r="U71" s="146">
        <f t="shared" si="183"/>
        <v>0.84523171630467786</v>
      </c>
      <c r="V71" s="146">
        <f t="shared" si="183"/>
        <v>0.90158049739165647</v>
      </c>
      <c r="W71" s="146">
        <f t="shared" si="183"/>
        <v>0.96168586388443356</v>
      </c>
      <c r="X71" s="146">
        <f t="shared" si="183"/>
        <v>1.0257982548100624</v>
      </c>
      <c r="Y71" s="146">
        <f t="shared" si="183"/>
        <v>1.0941848051307335</v>
      </c>
      <c r="Z71" s="146">
        <f t="shared" si="183"/>
        <v>1.1671304588061158</v>
      </c>
      <c r="AA71" s="146">
        <f t="shared" si="183"/>
        <v>1.2449391560598568</v>
      </c>
      <c r="AB71" s="146">
        <f t="shared" si="183"/>
        <v>1.3279350997971806</v>
      </c>
      <c r="AC71" s="138">
        <f t="shared" ref="AC71" si="184">((AB71/G71)^(1/($AB$3-$H$1) ))-1</f>
        <v>-4.1180017192690599E-2</v>
      </c>
      <c r="AD71" s="31">
        <f t="shared" si="17"/>
        <v>0.08</v>
      </c>
      <c r="AE71" s="146">
        <f t="shared" si="140"/>
        <v>20.488141539727931</v>
      </c>
    </row>
    <row r="72" spans="2:31">
      <c r="B72" s="20"/>
      <c r="C72" s="127"/>
      <c r="D72" s="127"/>
      <c r="E72" s="127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28"/>
      <c r="R72" s="128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39"/>
      <c r="AD72" s="137"/>
      <c r="AE72" s="154"/>
    </row>
    <row r="73" spans="2:31">
      <c r="B73" s="20" t="s">
        <v>312</v>
      </c>
      <c r="C73" s="144">
        <f t="shared" ref="C73:P73" si="185">C36/C40</f>
        <v>0</v>
      </c>
      <c r="D73" s="144">
        <f t="shared" si="185"/>
        <v>0</v>
      </c>
      <c r="E73" s="144">
        <f t="shared" si="185"/>
        <v>0</v>
      </c>
      <c r="F73" s="144">
        <f t="shared" si="185"/>
        <v>0</v>
      </c>
      <c r="G73" s="144">
        <f t="shared" si="185"/>
        <v>42.857142857142854</v>
      </c>
      <c r="H73" s="144">
        <f t="shared" si="185"/>
        <v>50.793650793650791</v>
      </c>
      <c r="I73" s="144">
        <f t="shared" si="185"/>
        <v>5.7471264367816088</v>
      </c>
      <c r="J73" s="144">
        <f t="shared" si="185"/>
        <v>6.8172810146650811</v>
      </c>
      <c r="K73" s="144">
        <f t="shared" si="185"/>
        <v>9.920948616600791</v>
      </c>
      <c r="L73" s="144">
        <f t="shared" si="185"/>
        <v>9.5652173913043477</v>
      </c>
      <c r="M73" s="144">
        <f t="shared" si="185"/>
        <v>7.864058486465126</v>
      </c>
      <c r="N73" s="144">
        <f t="shared" si="185"/>
        <v>9.1681485872357236</v>
      </c>
      <c r="O73" s="144">
        <f t="shared" si="185"/>
        <v>9.7320724980299449</v>
      </c>
      <c r="P73" s="144">
        <f t="shared" si="185"/>
        <v>11.685524775653532</v>
      </c>
      <c r="Q73" s="118">
        <f>((P73/G73)^(1/($H$2-$H$1) ))-1</f>
        <v>-0.13445098333990746</v>
      </c>
      <c r="R73" s="128"/>
      <c r="S73" s="144">
        <f t="shared" ref="S73:AB73" si="186">S36/S40</f>
        <v>8.7251918324879707</v>
      </c>
      <c r="T73" s="144">
        <f t="shared" si="186"/>
        <v>9.3068712879871711</v>
      </c>
      <c r="U73" s="144">
        <f t="shared" si="186"/>
        <v>9.9273293738529809</v>
      </c>
      <c r="V73" s="144">
        <f t="shared" si="186"/>
        <v>10.589151332109848</v>
      </c>
      <c r="W73" s="144">
        <f t="shared" si="186"/>
        <v>11.295094754250504</v>
      </c>
      <c r="X73" s="144">
        <f t="shared" si="186"/>
        <v>12.048101071200538</v>
      </c>
      <c r="Y73" s="144">
        <f t="shared" si="186"/>
        <v>12.851307809280575</v>
      </c>
      <c r="Z73" s="144">
        <f t="shared" si="186"/>
        <v>13.708061663232614</v>
      </c>
      <c r="AA73" s="144">
        <f t="shared" si="186"/>
        <v>14.621932440781457</v>
      </c>
      <c r="AB73" s="144">
        <f t="shared" si="186"/>
        <v>15.596727936833556</v>
      </c>
      <c r="AC73" s="138">
        <f t="shared" ref="AC73:AC75" si="187">((AB73/G73)^(1/($AB$3-$H$1) ))-1</f>
        <v>-5.1810202537990735E-2</v>
      </c>
      <c r="AD73" s="31">
        <f t="shared" si="17"/>
        <v>0.08</v>
      </c>
      <c r="AE73" s="146">
        <f t="shared" si="140"/>
        <v>240.63523102543203</v>
      </c>
    </row>
    <row r="74" spans="2:31">
      <c r="B74" s="20" t="s">
        <v>313</v>
      </c>
      <c r="C74" s="144">
        <f t="shared" ref="C74:P74" si="188">C38/C40</f>
        <v>0</v>
      </c>
      <c r="D74" s="144">
        <f t="shared" si="188"/>
        <v>0</v>
      </c>
      <c r="E74" s="144">
        <f t="shared" si="188"/>
        <v>0</v>
      </c>
      <c r="F74" s="144">
        <f t="shared" si="188"/>
        <v>0</v>
      </c>
      <c r="G74" s="144">
        <f t="shared" si="188"/>
        <v>24.206349206349206</v>
      </c>
      <c r="H74" s="144">
        <f t="shared" si="188"/>
        <v>28.571428571428573</v>
      </c>
      <c r="I74" s="144">
        <f t="shared" si="188"/>
        <v>3.4086405073325405</v>
      </c>
      <c r="J74" s="144">
        <f t="shared" si="188"/>
        <v>4.3995243757431632</v>
      </c>
      <c r="K74" s="144">
        <f t="shared" si="188"/>
        <v>6.7588932806324111</v>
      </c>
      <c r="L74" s="144">
        <f t="shared" si="188"/>
        <v>4.3478260869565215</v>
      </c>
      <c r="M74" s="144">
        <f t="shared" si="188"/>
        <v>5.4337087532108281</v>
      </c>
      <c r="N74" s="144">
        <f t="shared" si="188"/>
        <v>6.0857538035961269</v>
      </c>
      <c r="O74" s="144">
        <f t="shared" si="188"/>
        <v>6.3435776201733649</v>
      </c>
      <c r="P74" s="144">
        <f t="shared" si="188"/>
        <v>8.2130316035895436</v>
      </c>
      <c r="Q74" s="118">
        <f>((P74/G74)^(1/($H$2-$H$1) ))-1</f>
        <v>-0.11316754634371717</v>
      </c>
      <c r="R74" s="128"/>
      <c r="S74" s="144">
        <f t="shared" ref="S74:AB74" si="189">S38/S40</f>
        <v>6.1323969306801933</v>
      </c>
      <c r="T74" s="144">
        <f t="shared" si="189"/>
        <v>6.5412233927255405</v>
      </c>
      <c r="U74" s="144">
        <f t="shared" si="189"/>
        <v>6.9773049522405763</v>
      </c>
      <c r="V74" s="144">
        <f t="shared" si="189"/>
        <v>7.4424586157232815</v>
      </c>
      <c r="W74" s="144">
        <f t="shared" si="189"/>
        <v>7.9386225234381662</v>
      </c>
      <c r="X74" s="144">
        <f t="shared" si="189"/>
        <v>8.4678640250007113</v>
      </c>
      <c r="Y74" s="144">
        <f t="shared" si="189"/>
        <v>9.0323882933340904</v>
      </c>
      <c r="Z74" s="144">
        <f t="shared" si="189"/>
        <v>9.6345475128896982</v>
      </c>
      <c r="AA74" s="144">
        <f t="shared" si="189"/>
        <v>10.276850680415677</v>
      </c>
      <c r="AB74" s="144">
        <f t="shared" si="189"/>
        <v>10.961974059110057</v>
      </c>
      <c r="AC74" s="138">
        <f t="shared" si="187"/>
        <v>-4.0836587852833617E-2</v>
      </c>
      <c r="AD74" s="31">
        <f t="shared" si="17"/>
        <v>0.08</v>
      </c>
      <c r="AE74" s="146">
        <f t="shared" si="140"/>
        <v>169.12759976912662</v>
      </c>
    </row>
    <row r="75" spans="2:31">
      <c r="B75" s="20" t="s">
        <v>314</v>
      </c>
      <c r="C75" s="144">
        <f t="shared" ref="C75:P75" si="190">C6/C40</f>
        <v>0</v>
      </c>
      <c r="D75" s="144">
        <f t="shared" si="190"/>
        <v>0</v>
      </c>
      <c r="E75" s="144">
        <f t="shared" si="190"/>
        <v>0</v>
      </c>
      <c r="F75" s="144">
        <f t="shared" si="190"/>
        <v>0</v>
      </c>
      <c r="G75" s="144">
        <f t="shared" si="190"/>
        <v>114.68253968253968</v>
      </c>
      <c r="H75" s="144">
        <f t="shared" si="190"/>
        <v>133.33333333333334</v>
      </c>
      <c r="I75" s="144">
        <f t="shared" si="190"/>
        <v>15.378517637732857</v>
      </c>
      <c r="J75" s="144">
        <f t="shared" si="190"/>
        <v>18.034086405073324</v>
      </c>
      <c r="K75" s="144">
        <f t="shared" si="190"/>
        <v>23.359683794466402</v>
      </c>
      <c r="L75" s="144">
        <f t="shared" si="190"/>
        <v>26.442687747035574</v>
      </c>
      <c r="M75" s="144">
        <f t="shared" si="190"/>
        <v>16.222090495949416</v>
      </c>
      <c r="N75" s="144">
        <f t="shared" si="190"/>
        <v>20.430744912072711</v>
      </c>
      <c r="O75" s="144">
        <f t="shared" si="190"/>
        <v>25.118203309692671</v>
      </c>
      <c r="P75" s="144">
        <f t="shared" si="190"/>
        <v>31.213421771361688</v>
      </c>
      <c r="Q75" s="118">
        <f>((P75/G75)^(1/($H$2-$H$1) ))-1</f>
        <v>-0.1346238980347757</v>
      </c>
      <c r="R75" s="128"/>
      <c r="S75" s="144">
        <f t="shared" ref="S75:AB75" si="191">S6/S40</f>
        <v>23.306021589283393</v>
      </c>
      <c r="T75" s="144">
        <f t="shared" si="191"/>
        <v>24.859756361902292</v>
      </c>
      <c r="U75" s="144">
        <f t="shared" si="191"/>
        <v>26.517073452695779</v>
      </c>
      <c r="V75" s="144">
        <f t="shared" si="191"/>
        <v>28.284878349542161</v>
      </c>
      <c r="W75" s="144">
        <f t="shared" si="191"/>
        <v>30.170536906178306</v>
      </c>
      <c r="X75" s="144">
        <f t="shared" si="191"/>
        <v>32.181906033256858</v>
      </c>
      <c r="Y75" s="144">
        <f t="shared" si="191"/>
        <v>34.327366435473976</v>
      </c>
      <c r="Z75" s="144">
        <f t="shared" si="191"/>
        <v>36.615857531172246</v>
      </c>
      <c r="AA75" s="144">
        <f t="shared" si="191"/>
        <v>39.056914699917066</v>
      </c>
      <c r="AB75" s="144">
        <f t="shared" si="191"/>
        <v>41.660709013244876</v>
      </c>
      <c r="AC75" s="138">
        <f t="shared" si="187"/>
        <v>-5.1899934518918611E-2</v>
      </c>
      <c r="AD75" s="31">
        <f t="shared" ref="AD75" si="192">$L$1</f>
        <v>0.08</v>
      </c>
      <c r="AE75" s="146">
        <f t="shared" si="140"/>
        <v>642.76522477577817</v>
      </c>
    </row>
    <row r="76" spans="2:31">
      <c r="B76" s="20"/>
      <c r="C76" s="127"/>
      <c r="D76" s="127"/>
      <c r="E76" s="127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28"/>
      <c r="R76" s="128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39"/>
      <c r="AD76" s="20"/>
      <c r="AE76" s="154"/>
    </row>
    <row r="77" spans="2:31">
      <c r="B77" s="20"/>
      <c r="C77" s="127"/>
      <c r="D77" s="127"/>
      <c r="E77" s="127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28"/>
      <c r="R77" s="128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39"/>
      <c r="AD77" s="20"/>
      <c r="AE77" s="154"/>
    </row>
    <row r="78" spans="2:31">
      <c r="B78" s="108" t="s">
        <v>311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</row>
    <row r="79" spans="2:31">
      <c r="B79" s="20" t="s">
        <v>310</v>
      </c>
      <c r="C79" s="152"/>
      <c r="D79" s="152"/>
      <c r="E79" s="152" t="e">
        <f t="shared" ref="E79:P79" si="193">E36/E25</f>
        <v>#DIV/0!</v>
      </c>
      <c r="F79" s="152" t="e">
        <f t="shared" si="193"/>
        <v>#DIV/0!</v>
      </c>
      <c r="G79" s="152">
        <f t="shared" si="193"/>
        <v>0.16</v>
      </c>
      <c r="H79" s="152">
        <f t="shared" si="193"/>
        <v>0.16473616473616473</v>
      </c>
      <c r="I79" s="152">
        <f t="shared" si="193"/>
        <v>0.15279241306638566</v>
      </c>
      <c r="J79" s="152">
        <f t="shared" si="193"/>
        <v>0.13333333333333333</v>
      </c>
      <c r="K79" s="152">
        <f t="shared" si="193"/>
        <v>0.14204867006225241</v>
      </c>
      <c r="L79" s="152">
        <f t="shared" si="193"/>
        <v>0.12234580384226491</v>
      </c>
      <c r="M79" s="152">
        <f t="shared" si="193"/>
        <v>0.17712505562972852</v>
      </c>
      <c r="N79" s="152">
        <f t="shared" si="193"/>
        <v>0.16885007278020378</v>
      </c>
      <c r="O79" s="152">
        <f t="shared" si="193"/>
        <v>0.15466499686912963</v>
      </c>
      <c r="P79" s="152">
        <f t="shared" si="193"/>
        <v>0.15754865860073644</v>
      </c>
      <c r="Q79" s="118">
        <f t="shared" ref="Q79:Q122" si="194">((P79/G79)^(1/($H$2-$H$1) ))-1</f>
        <v>-1.7140250655216516E-3</v>
      </c>
      <c r="R79" s="152"/>
      <c r="S79" s="152">
        <f t="shared" ref="S79:AB79" si="195">S36/S25</f>
        <v>0.15754865860073644</v>
      </c>
      <c r="T79" s="152">
        <f t="shared" si="195"/>
        <v>0.15754865860073647</v>
      </c>
      <c r="U79" s="152">
        <f t="shared" si="195"/>
        <v>0.15754865860073647</v>
      </c>
      <c r="V79" s="152">
        <f t="shared" si="195"/>
        <v>0.15754865860073647</v>
      </c>
      <c r="W79" s="152">
        <f t="shared" si="195"/>
        <v>0.1575486586007365</v>
      </c>
      <c r="X79" s="152">
        <f t="shared" si="195"/>
        <v>0.1575486586007365</v>
      </c>
      <c r="Y79" s="152">
        <f t="shared" si="195"/>
        <v>0.1575486586007365</v>
      </c>
      <c r="Z79" s="152">
        <f t="shared" si="195"/>
        <v>0.1575486586007365</v>
      </c>
      <c r="AA79" s="152">
        <f t="shared" si="195"/>
        <v>0.1575486586007365</v>
      </c>
      <c r="AB79" s="152">
        <f t="shared" si="195"/>
        <v>0.1575486586007365</v>
      </c>
      <c r="AC79" s="138">
        <f t="shared" ref="AC79:AC109" si="196">((AB79/G79)^(1/($AB$3-$H$1) ))-1</f>
        <v>-8.1227314765819347E-4</v>
      </c>
      <c r="AD79" s="146"/>
      <c r="AE79" s="146"/>
    </row>
    <row r="80" spans="2:31">
      <c r="B80" s="20" t="s">
        <v>267</v>
      </c>
      <c r="C80" s="152"/>
      <c r="D80" s="152"/>
      <c r="E80" s="152" t="e">
        <f t="shared" ref="E80:P80" si="197">E38/E25</f>
        <v>#DIV/0!</v>
      </c>
      <c r="F80" s="152" t="e">
        <f t="shared" si="197"/>
        <v>#DIV/0!</v>
      </c>
      <c r="G80" s="152">
        <f t="shared" si="197"/>
        <v>9.0370370370370365E-2</v>
      </c>
      <c r="H80" s="152">
        <f t="shared" si="197"/>
        <v>9.2664092664092659E-2</v>
      </c>
      <c r="I80" s="152">
        <f t="shared" si="197"/>
        <v>9.0621707060063228E-2</v>
      </c>
      <c r="J80" s="152">
        <f t="shared" si="197"/>
        <v>8.6046511627906982E-2</v>
      </c>
      <c r="K80" s="152">
        <f t="shared" si="197"/>
        <v>9.6774193548387094E-2</v>
      </c>
      <c r="L80" s="152">
        <f t="shared" si="197"/>
        <v>5.5611729019211326E-2</v>
      </c>
      <c r="M80" s="152">
        <f t="shared" si="197"/>
        <v>0.12238540275923454</v>
      </c>
      <c r="N80" s="152">
        <f t="shared" si="197"/>
        <v>0.11208151382823872</v>
      </c>
      <c r="O80" s="152">
        <f t="shared" si="197"/>
        <v>0.1008140262993112</v>
      </c>
      <c r="P80" s="152">
        <f t="shared" si="197"/>
        <v>0.11073119410836402</v>
      </c>
      <c r="Q80" s="118">
        <f t="shared" si="194"/>
        <v>2.2833350349084292E-2</v>
      </c>
      <c r="R80" s="152"/>
      <c r="S80" s="152">
        <f t="shared" ref="S80:AB80" si="198">S38/S25</f>
        <v>0.110731194108364</v>
      </c>
      <c r="T80" s="152">
        <f t="shared" si="198"/>
        <v>0.11073119410836402</v>
      </c>
      <c r="U80" s="152">
        <f t="shared" si="198"/>
        <v>0.11073119410836402</v>
      </c>
      <c r="V80" s="152">
        <f t="shared" si="198"/>
        <v>0.11073119410836402</v>
      </c>
      <c r="W80" s="152">
        <f t="shared" si="198"/>
        <v>0.11073119410836402</v>
      </c>
      <c r="X80" s="152">
        <f t="shared" si="198"/>
        <v>0.11073119410836403</v>
      </c>
      <c r="Y80" s="152">
        <f t="shared" si="198"/>
        <v>0.11073119410836402</v>
      </c>
      <c r="Z80" s="152">
        <f t="shared" si="198"/>
        <v>0.11073119410836403</v>
      </c>
      <c r="AA80" s="152">
        <f t="shared" si="198"/>
        <v>0.11073119410836402</v>
      </c>
      <c r="AB80" s="152">
        <f t="shared" si="198"/>
        <v>0.11073119410836402</v>
      </c>
      <c r="AC80" s="138">
        <f t="shared" si="196"/>
        <v>1.075155209277856E-2</v>
      </c>
      <c r="AD80" s="146"/>
      <c r="AE80" s="146"/>
    </row>
    <row r="81" spans="2:31">
      <c r="B81" s="20" t="s">
        <v>360</v>
      </c>
      <c r="C81" s="152"/>
      <c r="D81" s="152"/>
      <c r="E81" s="152" t="e">
        <f t="shared" ref="E81:O81" si="199">E38/E7</f>
        <v>#DIV/0!</v>
      </c>
      <c r="F81" s="152" t="e">
        <f t="shared" si="199"/>
        <v>#DIV/0!</v>
      </c>
      <c r="G81" s="152">
        <f>G38/G7</f>
        <v>0.19365079365079366</v>
      </c>
      <c r="H81" s="152">
        <f t="shared" si="199"/>
        <v>0.1994459833795014</v>
      </c>
      <c r="I81" s="152">
        <f t="shared" si="199"/>
        <v>0.20823244552058112</v>
      </c>
      <c r="J81" s="152">
        <f t="shared" si="199"/>
        <v>0.23125000000000001</v>
      </c>
      <c r="K81" s="152">
        <f t="shared" si="199"/>
        <v>0.27580645161290324</v>
      </c>
      <c r="L81" s="152">
        <f t="shared" si="199"/>
        <v>0.17350157728706625</v>
      </c>
      <c r="M81" s="152">
        <f t="shared" si="199"/>
        <v>0.31536697247706424</v>
      </c>
      <c r="N81" s="152">
        <f t="shared" si="199"/>
        <v>0.28413284132841327</v>
      </c>
      <c r="O81" s="152">
        <f t="shared" si="199"/>
        <v>0.24283559577677225</v>
      </c>
      <c r="P81" s="152">
        <f t="shared" ref="P81" si="200">P38/P7</f>
        <v>0.25499697153240458</v>
      </c>
      <c r="Q81" s="118">
        <f t="shared" si="194"/>
        <v>3.1049525744297979E-2</v>
      </c>
      <c r="R81" s="20"/>
      <c r="S81" s="152">
        <f t="shared" ref="S81" si="201">S38/S7</f>
        <v>0.25499697153240458</v>
      </c>
      <c r="T81" s="152">
        <f t="shared" ref="T81:AB81" si="202">T38/T7</f>
        <v>0.25499697153240458</v>
      </c>
      <c r="U81" s="152">
        <f t="shared" si="202"/>
        <v>0.25499697153240458</v>
      </c>
      <c r="V81" s="152">
        <f t="shared" si="202"/>
        <v>0.25499697153240458</v>
      </c>
      <c r="W81" s="152">
        <f t="shared" si="202"/>
        <v>0.25499697153240458</v>
      </c>
      <c r="X81" s="152">
        <f t="shared" si="202"/>
        <v>0.25499697153240458</v>
      </c>
      <c r="Y81" s="152">
        <f t="shared" si="202"/>
        <v>0.25499697153240458</v>
      </c>
      <c r="Z81" s="152">
        <f t="shared" si="202"/>
        <v>0.25499697153240464</v>
      </c>
      <c r="AA81" s="152">
        <f t="shared" si="202"/>
        <v>0.25499697153240458</v>
      </c>
      <c r="AB81" s="152">
        <f t="shared" si="202"/>
        <v>0.25499697153240458</v>
      </c>
      <c r="AC81" s="138">
        <f t="shared" si="196"/>
        <v>1.4589356771313566E-2</v>
      </c>
      <c r="AD81" s="146"/>
      <c r="AE81" s="146"/>
    </row>
    <row r="82" spans="2:31">
      <c r="B82" s="20" t="s">
        <v>361</v>
      </c>
      <c r="C82" s="152"/>
      <c r="D82" s="152"/>
      <c r="E82" s="152" t="e">
        <f t="shared" ref="E82:F82" si="203">(E38)/(E7+E10)</f>
        <v>#DIV/0!</v>
      </c>
      <c r="F82" s="152" t="e">
        <f t="shared" si="203"/>
        <v>#DIV/0!</v>
      </c>
      <c r="G82" s="152">
        <f>(G38)/(G7+G10)</f>
        <v>0.16442048517520216</v>
      </c>
      <c r="H82" s="152">
        <f t="shared" ref="H82:O82" si="204">(H38)/(H7+H10)</f>
        <v>0.1702127659574468</v>
      </c>
      <c r="I82" s="152">
        <f t="shared" si="204"/>
        <v>0.18336886993603413</v>
      </c>
      <c r="J82" s="152">
        <f t="shared" si="204"/>
        <v>0.17760000000000001</v>
      </c>
      <c r="K82" s="152">
        <f t="shared" si="204"/>
        <v>0.14921465968586387</v>
      </c>
      <c r="L82" s="152">
        <f t="shared" si="204"/>
        <v>8.8495575221238937E-2</v>
      </c>
      <c r="M82" s="152">
        <f t="shared" si="204"/>
        <v>0.20522388059701493</v>
      </c>
      <c r="N82" s="152">
        <f t="shared" si="204"/>
        <v>0.21705426356589147</v>
      </c>
      <c r="O82" s="152">
        <f t="shared" si="204"/>
        <v>0.21845318860244234</v>
      </c>
      <c r="P82" s="152">
        <f t="shared" ref="P82" si="205">(P38)/(P7+P10)</f>
        <v>0.24735605170387778</v>
      </c>
      <c r="Q82" s="118">
        <f t="shared" si="194"/>
        <v>4.6423300970962478E-2</v>
      </c>
      <c r="R82" s="20"/>
      <c r="S82" s="152">
        <f t="shared" ref="S82:AB82" si="206">(S38)/(S7+S10)</f>
        <v>0.24735605170387778</v>
      </c>
      <c r="T82" s="152">
        <f t="shared" si="206"/>
        <v>0.24735605170387778</v>
      </c>
      <c r="U82" s="152">
        <f t="shared" si="206"/>
        <v>0.24735605170387778</v>
      </c>
      <c r="V82" s="152">
        <f t="shared" si="206"/>
        <v>0.24735605170387776</v>
      </c>
      <c r="W82" s="152">
        <f t="shared" si="206"/>
        <v>0.24735605170387776</v>
      </c>
      <c r="X82" s="152">
        <f t="shared" si="206"/>
        <v>0.24735605170387778</v>
      </c>
      <c r="Y82" s="152">
        <f t="shared" si="206"/>
        <v>0.24735605170387778</v>
      </c>
      <c r="Z82" s="152">
        <f t="shared" si="206"/>
        <v>0.24735605170387781</v>
      </c>
      <c r="AA82" s="152">
        <f t="shared" si="206"/>
        <v>0.24735605170387778</v>
      </c>
      <c r="AB82" s="152">
        <f t="shared" si="206"/>
        <v>0.24735605170387776</v>
      </c>
      <c r="AC82" s="138">
        <f t="shared" si="196"/>
        <v>2.1727505464175456E-2</v>
      </c>
      <c r="AD82" s="146"/>
      <c r="AE82" s="146"/>
    </row>
    <row r="83" spans="2:31">
      <c r="B83" s="20" t="s">
        <v>377</v>
      </c>
      <c r="C83" s="152"/>
      <c r="D83" s="152"/>
      <c r="E83" s="152"/>
      <c r="F83" s="152"/>
      <c r="G83" s="152">
        <f>G20/G25</f>
        <v>7.1111111111111111E-2</v>
      </c>
      <c r="H83" s="152">
        <f t="shared" ref="H83:P83" si="207">H20/H25</f>
        <v>0.11840411840411841</v>
      </c>
      <c r="I83" s="152">
        <f t="shared" si="207"/>
        <v>0.11801896733403583</v>
      </c>
      <c r="J83" s="152">
        <f t="shared" si="207"/>
        <v>6.899224806201551E-2</v>
      </c>
      <c r="K83" s="152">
        <f t="shared" si="207"/>
        <v>7.2439162422184497E-2</v>
      </c>
      <c r="L83" s="152">
        <f t="shared" si="207"/>
        <v>0.13144590495449948</v>
      </c>
      <c r="M83" s="152">
        <f t="shared" si="207"/>
        <v>0.1833555852247441</v>
      </c>
      <c r="N83" s="152">
        <f t="shared" si="207"/>
        <v>0.11717612809315867</v>
      </c>
      <c r="O83" s="152">
        <f t="shared" si="207"/>
        <v>0.15873512836568565</v>
      </c>
      <c r="P83" s="152">
        <f t="shared" si="207"/>
        <v>0.13492898474487111</v>
      </c>
      <c r="Q83" s="118">
        <f t="shared" si="194"/>
        <v>7.376076776693874E-2</v>
      </c>
      <c r="R83" s="20"/>
      <c r="S83" s="152">
        <f t="shared" ref="S83:AB83" si="208">S20/S25</f>
        <v>0.13492898474487111</v>
      </c>
      <c r="T83" s="152">
        <f t="shared" si="208"/>
        <v>0.13492898474487111</v>
      </c>
      <c r="U83" s="152">
        <f t="shared" si="208"/>
        <v>0.13492898474487114</v>
      </c>
      <c r="V83" s="152">
        <f t="shared" si="208"/>
        <v>0.13492898474487114</v>
      </c>
      <c r="W83" s="152">
        <f t="shared" si="208"/>
        <v>0.13492898474487117</v>
      </c>
      <c r="X83" s="152">
        <f t="shared" si="208"/>
        <v>0.13492898474487117</v>
      </c>
      <c r="Y83" s="152">
        <f t="shared" si="208"/>
        <v>0.13492898474487114</v>
      </c>
      <c r="Z83" s="152">
        <f t="shared" si="208"/>
        <v>0.13492898474487114</v>
      </c>
      <c r="AA83" s="152">
        <f t="shared" si="208"/>
        <v>0.13492898474487114</v>
      </c>
      <c r="AB83" s="152">
        <f t="shared" si="208"/>
        <v>0.13492898474487114</v>
      </c>
      <c r="AC83" s="138">
        <f t="shared" si="196"/>
        <v>3.4285437346666559E-2</v>
      </c>
      <c r="AD83" s="146"/>
      <c r="AE83" s="146"/>
    </row>
    <row r="84" spans="2:31">
      <c r="B84" s="20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20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3"/>
      <c r="AD84" s="146"/>
      <c r="AE84" s="146"/>
    </row>
    <row r="85" spans="2:31">
      <c r="B85" s="20" t="s">
        <v>324</v>
      </c>
      <c r="C85" s="152"/>
      <c r="D85" s="152"/>
      <c r="E85" s="152"/>
      <c r="F85" s="152"/>
      <c r="G85" s="152">
        <f>G29/G25</f>
        <v>1.4814814814814815E-6</v>
      </c>
      <c r="H85" s="152">
        <f t="shared" ref="H85:P85" si="209">H29/H25</f>
        <v>5.1480051480051478E-3</v>
      </c>
      <c r="I85" s="152">
        <f t="shared" si="209"/>
        <v>4.0042149631190722E-3</v>
      </c>
      <c r="J85" s="152">
        <f t="shared" si="209"/>
        <v>7.4341085271317827E-3</v>
      </c>
      <c r="K85" s="152">
        <f t="shared" si="209"/>
        <v>1.3582342954159592E-2</v>
      </c>
      <c r="L85" s="152">
        <f t="shared" si="209"/>
        <v>2.2244691607684528E-2</v>
      </c>
      <c r="M85" s="152">
        <f t="shared" si="209"/>
        <v>1.6911437472185136E-2</v>
      </c>
      <c r="N85" s="152">
        <f t="shared" si="209"/>
        <v>1.3100436681222707E-2</v>
      </c>
      <c r="O85" s="152">
        <f t="shared" si="209"/>
        <v>9.7056981840951788E-3</v>
      </c>
      <c r="P85" s="152">
        <f t="shared" si="209"/>
        <v>5.7864281956864806E-3</v>
      </c>
      <c r="Q85" s="118">
        <f t="shared" si="194"/>
        <v>1.5065673089708351</v>
      </c>
      <c r="R85" s="20"/>
      <c r="S85" s="152">
        <f t="shared" ref="S85:AB85" si="210">S29/S25</f>
        <v>5.7864281956864798E-3</v>
      </c>
      <c r="T85" s="152">
        <f t="shared" si="210"/>
        <v>5.7864281956864806E-3</v>
      </c>
      <c r="U85" s="152">
        <f t="shared" si="210"/>
        <v>5.7864281956864806E-3</v>
      </c>
      <c r="V85" s="152">
        <f t="shared" si="210"/>
        <v>5.7864281956864806E-3</v>
      </c>
      <c r="W85" s="152">
        <f t="shared" si="210"/>
        <v>5.7864281956864806E-3</v>
      </c>
      <c r="X85" s="152">
        <f t="shared" si="210"/>
        <v>5.7864281956864806E-3</v>
      </c>
      <c r="Y85" s="152">
        <f t="shared" si="210"/>
        <v>5.7864281956864806E-3</v>
      </c>
      <c r="Z85" s="152">
        <f t="shared" si="210"/>
        <v>5.7864281956864806E-3</v>
      </c>
      <c r="AA85" s="152">
        <f t="shared" si="210"/>
        <v>5.7864281956864806E-3</v>
      </c>
      <c r="AB85" s="152">
        <f t="shared" si="210"/>
        <v>5.7864281956864806E-3</v>
      </c>
      <c r="AC85" s="138">
        <f t="shared" si="196"/>
        <v>0.54538821810523541</v>
      </c>
      <c r="AD85" s="146"/>
      <c r="AE85" s="146"/>
    </row>
    <row r="86" spans="2:31">
      <c r="B86" s="20" t="s">
        <v>370</v>
      </c>
      <c r="C86" s="152"/>
      <c r="D86" s="152"/>
      <c r="E86" s="152"/>
      <c r="F86" s="152"/>
      <c r="G86" s="152">
        <f>G29/G36</f>
        <v>9.2592592592592591E-6</v>
      </c>
      <c r="H86" s="152">
        <f t="shared" ref="H86:P86" si="211">H29/H36</f>
        <v>3.125E-2</v>
      </c>
      <c r="I86" s="152">
        <f t="shared" si="211"/>
        <v>2.6206896551724135E-2</v>
      </c>
      <c r="J86" s="152">
        <f t="shared" si="211"/>
        <v>5.5755813953488373E-2</v>
      </c>
      <c r="K86" s="152">
        <f t="shared" si="211"/>
        <v>9.5617529880478086E-2</v>
      </c>
      <c r="L86" s="152">
        <f t="shared" si="211"/>
        <v>0.18181818181818182</v>
      </c>
      <c r="M86" s="152">
        <f t="shared" si="211"/>
        <v>9.5477386934673364E-2</v>
      </c>
      <c r="N86" s="152">
        <f t="shared" si="211"/>
        <v>7.7586206896551727E-2</v>
      </c>
      <c r="O86" s="152">
        <f t="shared" si="211"/>
        <v>6.2753036437246959E-2</v>
      </c>
      <c r="P86" s="152">
        <f t="shared" si="211"/>
        <v>3.6727879799666109E-2</v>
      </c>
      <c r="Q86" s="118">
        <f t="shared" ref="Q86" si="212">((P86/G86)^(1/($H$2-$H$1) ))-1</f>
        <v>1.5108710048093696</v>
      </c>
      <c r="R86" s="20"/>
      <c r="S86" s="152">
        <f t="shared" ref="S86:AB86" si="213">S29/S36</f>
        <v>3.6727879799666102E-2</v>
      </c>
      <c r="T86" s="152">
        <f t="shared" si="213"/>
        <v>3.6727879799666102E-2</v>
      </c>
      <c r="U86" s="152">
        <f t="shared" si="213"/>
        <v>3.6727879799666109E-2</v>
      </c>
      <c r="V86" s="152">
        <f t="shared" si="213"/>
        <v>3.6727879799666102E-2</v>
      </c>
      <c r="W86" s="152">
        <f t="shared" si="213"/>
        <v>3.6727879799666102E-2</v>
      </c>
      <c r="X86" s="152">
        <f t="shared" si="213"/>
        <v>3.6727879799666102E-2</v>
      </c>
      <c r="Y86" s="152">
        <f t="shared" si="213"/>
        <v>3.6727879799666102E-2</v>
      </c>
      <c r="Z86" s="152">
        <f t="shared" si="213"/>
        <v>3.6727879799666095E-2</v>
      </c>
      <c r="AA86" s="152">
        <f t="shared" si="213"/>
        <v>3.6727879799666095E-2</v>
      </c>
      <c r="AB86" s="152">
        <f t="shared" si="213"/>
        <v>3.6727879799666095E-2</v>
      </c>
      <c r="AC86" s="138">
        <f t="shared" ref="AC86" si="214">((AB86/G86)^(1/($AB$3-$H$1) ))-1</f>
        <v>0.54664451591448548</v>
      </c>
      <c r="AD86" s="146"/>
      <c r="AE86" s="146"/>
    </row>
    <row r="87" spans="2:31" ht="12" customHeight="1">
      <c r="B87" s="20" t="s">
        <v>369</v>
      </c>
      <c r="C87" s="152"/>
      <c r="D87" s="152"/>
      <c r="E87" s="152"/>
      <c r="F87" s="152"/>
      <c r="G87" s="171">
        <f t="shared" ref="G87:P87" si="215">G29/G38</f>
        <v>1.6393442622950821E-5</v>
      </c>
      <c r="H87" s="171">
        <f t="shared" si="215"/>
        <v>5.5555555555555552E-2</v>
      </c>
      <c r="I87" s="171">
        <f t="shared" si="215"/>
        <v>4.4186046511627906E-2</v>
      </c>
      <c r="J87" s="171">
        <f t="shared" si="215"/>
        <v>8.6396396396396388E-2</v>
      </c>
      <c r="K87" s="171">
        <f t="shared" si="215"/>
        <v>0.14035087719298245</v>
      </c>
      <c r="L87" s="171">
        <f t="shared" si="215"/>
        <v>0.4</v>
      </c>
      <c r="M87" s="171">
        <f t="shared" si="215"/>
        <v>0.13818181818181818</v>
      </c>
      <c r="N87" s="171">
        <f t="shared" si="215"/>
        <v>0.11688311688311688</v>
      </c>
      <c r="O87" s="171">
        <f t="shared" si="215"/>
        <v>9.627329192546584E-2</v>
      </c>
      <c r="P87" s="171">
        <f t="shared" si="215"/>
        <v>5.2256532066508314E-2</v>
      </c>
      <c r="Q87" s="118">
        <f t="shared" ref="Q87" si="216">((P87/G87)^(1/($H$2-$H$1) ))-1</f>
        <v>1.4506116349406915</v>
      </c>
      <c r="R87" s="20"/>
      <c r="S87" s="171">
        <f t="shared" ref="S87:AB87" si="217">S29/S38</f>
        <v>5.2256532066508307E-2</v>
      </c>
      <c r="T87" s="171">
        <f t="shared" si="217"/>
        <v>5.2256532066508307E-2</v>
      </c>
      <c r="U87" s="171">
        <f t="shared" si="217"/>
        <v>5.2256532066508314E-2</v>
      </c>
      <c r="V87" s="171">
        <f t="shared" si="217"/>
        <v>5.2256532066508314E-2</v>
      </c>
      <c r="W87" s="171">
        <f t="shared" si="217"/>
        <v>5.2256532066508314E-2</v>
      </c>
      <c r="X87" s="171">
        <f t="shared" si="217"/>
        <v>5.2256532066508307E-2</v>
      </c>
      <c r="Y87" s="171">
        <f t="shared" si="217"/>
        <v>5.2256532066508314E-2</v>
      </c>
      <c r="Z87" s="171">
        <f t="shared" si="217"/>
        <v>5.2256532066508307E-2</v>
      </c>
      <c r="AA87" s="171">
        <f t="shared" si="217"/>
        <v>5.2256532066508314E-2</v>
      </c>
      <c r="AB87" s="171">
        <f t="shared" si="217"/>
        <v>5.2256532066508314E-2</v>
      </c>
      <c r="AC87" s="138">
        <f t="shared" ref="AC87" si="218">((AB87/G87)^(1/($AB$3-$H$1) ))-1</f>
        <v>0.52894963644179693</v>
      </c>
      <c r="AD87" s="146"/>
      <c r="AE87" s="146"/>
    </row>
    <row r="88" spans="2:31" ht="12" customHeight="1">
      <c r="B88" s="20" t="s">
        <v>326</v>
      </c>
      <c r="C88" s="152"/>
      <c r="D88" s="152"/>
      <c r="E88" s="152"/>
      <c r="F88" s="152"/>
      <c r="G88" s="171">
        <f t="shared" ref="G88:P88" si="219">G29/G12</f>
        <v>1.3333333333333334E-4</v>
      </c>
      <c r="H88" s="171">
        <f t="shared" si="219"/>
        <v>0.2857142857142857</v>
      </c>
      <c r="I88" s="171">
        <f t="shared" si="219"/>
        <v>0.23749999999999999</v>
      </c>
      <c r="J88" s="171">
        <f t="shared" si="219"/>
        <v>0.25236842105263158</v>
      </c>
      <c r="K88" s="171">
        <f t="shared" si="219"/>
        <v>0.13953488372093023</v>
      </c>
      <c r="L88" s="171">
        <f t="shared" si="219"/>
        <v>0.27672955974842767</v>
      </c>
      <c r="M88" s="171">
        <f t="shared" si="219"/>
        <v>0.84444444444444444</v>
      </c>
      <c r="N88" s="171">
        <f t="shared" si="219"/>
        <v>0.34951456310679613</v>
      </c>
      <c r="O88" s="171">
        <f t="shared" si="219"/>
        <v>0.11355311355311355</v>
      </c>
      <c r="P88" s="171">
        <f t="shared" si="219"/>
        <v>0.14569536423841059</v>
      </c>
      <c r="Q88" s="118">
        <f t="shared" si="194"/>
        <v>1.1757645103379764</v>
      </c>
      <c r="R88" s="20"/>
      <c r="S88" s="152">
        <f t="shared" ref="S88:AB88" si="220">S29/S12</f>
        <v>0.14569536423841059</v>
      </c>
      <c r="T88" s="152">
        <f t="shared" si="220"/>
        <v>0.14569536423841059</v>
      </c>
      <c r="U88" s="152">
        <f t="shared" si="220"/>
        <v>0.14569536423841059</v>
      </c>
      <c r="V88" s="152">
        <f t="shared" si="220"/>
        <v>0.14569536423841059</v>
      </c>
      <c r="W88" s="152">
        <f t="shared" si="220"/>
        <v>0.14569536423841059</v>
      </c>
      <c r="X88" s="152">
        <f t="shared" si="220"/>
        <v>0.14569536423841059</v>
      </c>
      <c r="Y88" s="152">
        <f t="shared" si="220"/>
        <v>0.14569536423841059</v>
      </c>
      <c r="Z88" s="152">
        <f t="shared" si="220"/>
        <v>0.14569536423841059</v>
      </c>
      <c r="AA88" s="152">
        <f t="shared" si="220"/>
        <v>0.14569536423841059</v>
      </c>
      <c r="AB88" s="152">
        <f t="shared" si="220"/>
        <v>0.14569536423841059</v>
      </c>
      <c r="AC88" s="138">
        <f t="shared" si="196"/>
        <v>0.44517826363531077</v>
      </c>
      <c r="AD88" s="146"/>
      <c r="AE88" s="146"/>
    </row>
    <row r="89" spans="2:31" ht="12" customHeight="1">
      <c r="B89" s="20" t="s">
        <v>371</v>
      </c>
      <c r="C89" s="152"/>
      <c r="D89" s="152"/>
      <c r="E89" s="152"/>
      <c r="F89" s="152"/>
      <c r="G89" s="171">
        <f>G29/G23</f>
        <v>1.3440860215053763E-4</v>
      </c>
      <c r="H89" s="171">
        <f t="shared" ref="H89:P89" si="221">H29/H23</f>
        <v>0.34305317324185247</v>
      </c>
      <c r="I89" s="171">
        <f t="shared" si="221"/>
        <v>0.31666666666666665</v>
      </c>
      <c r="J89" s="171">
        <f t="shared" si="221"/>
        <v>0.41695652173913045</v>
      </c>
      <c r="K89" s="171">
        <f t="shared" si="221"/>
        <v>0.16161616161616163</v>
      </c>
      <c r="L89" s="171">
        <f t="shared" si="221"/>
        <v>0.34645669291338582</v>
      </c>
      <c r="M89" s="171">
        <f t="shared" si="221"/>
        <v>1.1515151515151516</v>
      </c>
      <c r="N89" s="171">
        <f t="shared" si="221"/>
        <v>0.5</v>
      </c>
      <c r="O89" s="171">
        <f t="shared" si="221"/>
        <v>0.5</v>
      </c>
      <c r="P89" s="171">
        <f t="shared" si="221"/>
        <v>0.43137254901960786</v>
      </c>
      <c r="Q89" s="118">
        <f t="shared" ref="Q89" si="222">((P89/G89)^(1/($H$2-$H$1) ))-1</f>
        <v>1.4524650484029871</v>
      </c>
      <c r="R89" s="20"/>
      <c r="S89" s="171">
        <f t="shared" ref="S89:AB89" si="223">S29/S23</f>
        <v>0.43137254901960781</v>
      </c>
      <c r="T89" s="171">
        <f t="shared" si="223"/>
        <v>0.43137254901960781</v>
      </c>
      <c r="U89" s="171">
        <f t="shared" si="223"/>
        <v>0.43137254901960781</v>
      </c>
      <c r="V89" s="171">
        <f t="shared" si="223"/>
        <v>0.43137254901960781</v>
      </c>
      <c r="W89" s="171">
        <f t="shared" si="223"/>
        <v>0.43137254901960781</v>
      </c>
      <c r="X89" s="171">
        <f t="shared" si="223"/>
        <v>0.43137254901960775</v>
      </c>
      <c r="Y89" s="171">
        <f t="shared" si="223"/>
        <v>0.43137254901960775</v>
      </c>
      <c r="Z89" s="171">
        <f t="shared" si="223"/>
        <v>0.43137254901960775</v>
      </c>
      <c r="AA89" s="171">
        <f t="shared" si="223"/>
        <v>0.4313725490196077</v>
      </c>
      <c r="AB89" s="171">
        <f t="shared" si="223"/>
        <v>0.43137254901960775</v>
      </c>
      <c r="AC89" s="138">
        <f t="shared" ref="AC89" si="224">((AB89/G89)^(1/($AB$3-$H$1) ))-1</f>
        <v>0.52949727434435756</v>
      </c>
      <c r="AD89" s="146"/>
      <c r="AE89" s="146"/>
    </row>
    <row r="90" spans="2:31" ht="12" customHeight="1">
      <c r="B90" s="20"/>
      <c r="C90" s="152"/>
      <c r="D90" s="152"/>
      <c r="E90" s="152"/>
      <c r="F90" s="152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20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38"/>
      <c r="AD90" s="146"/>
      <c r="AE90" s="146"/>
    </row>
    <row r="91" spans="2:31">
      <c r="B91" s="20" t="s">
        <v>327</v>
      </c>
      <c r="C91" s="152"/>
      <c r="D91" s="152"/>
      <c r="E91" s="152"/>
      <c r="F91" s="163">
        <f t="shared" ref="F91:O91" si="225">F10-(F12+F13)</f>
        <v>0</v>
      </c>
      <c r="G91" s="163">
        <f t="shared" si="225"/>
        <v>29.5</v>
      </c>
      <c r="H91" s="163">
        <f t="shared" si="225"/>
        <v>29</v>
      </c>
      <c r="I91" s="163">
        <f t="shared" si="225"/>
        <v>24</v>
      </c>
      <c r="J91" s="163">
        <f t="shared" si="225"/>
        <v>91</v>
      </c>
      <c r="K91" s="163">
        <f t="shared" si="225"/>
        <v>350.76</v>
      </c>
      <c r="L91" s="163">
        <f t="shared" si="225"/>
        <v>424</v>
      </c>
      <c r="M91" s="163">
        <f t="shared" si="225"/>
        <v>155</v>
      </c>
      <c r="N91" s="163">
        <f t="shared" si="225"/>
        <v>62</v>
      </c>
      <c r="O91" s="163">
        <f t="shared" si="225"/>
        <v>-223</v>
      </c>
      <c r="P91" s="163">
        <f>P10-(P12+P13)</f>
        <v>-393</v>
      </c>
      <c r="Q91" s="118">
        <f t="shared" si="194"/>
        <v>-2.3333749186421855</v>
      </c>
      <c r="R91" s="20"/>
      <c r="S91" s="163">
        <f>S10-(S12+S13)</f>
        <v>-440.16</v>
      </c>
      <c r="T91" s="163">
        <f t="shared" ref="T91:AB91" si="226">T10-(T12+T13)</f>
        <v>-492.97920000000005</v>
      </c>
      <c r="U91" s="163">
        <f t="shared" si="226"/>
        <v>-552.13670400000012</v>
      </c>
      <c r="V91" s="163">
        <f t="shared" si="226"/>
        <v>-618.39310848000025</v>
      </c>
      <c r="W91" s="163">
        <f t="shared" si="226"/>
        <v>-692.60028149760024</v>
      </c>
      <c r="X91" s="163">
        <f t="shared" si="226"/>
        <v>-775.71231527731231</v>
      </c>
      <c r="Y91" s="163">
        <f t="shared" si="226"/>
        <v>-868.79779311058985</v>
      </c>
      <c r="Z91" s="163">
        <f t="shared" si="226"/>
        <v>-973.05352828386071</v>
      </c>
      <c r="AA91" s="163">
        <f t="shared" si="226"/>
        <v>-1089.8199516779241</v>
      </c>
      <c r="AB91" s="163">
        <f t="shared" si="226"/>
        <v>-1220.5983458792753</v>
      </c>
      <c r="AC91" s="138">
        <f t="shared" si="196"/>
        <v>-2.2164440691772471</v>
      </c>
      <c r="AD91" s="146"/>
      <c r="AE91" s="146"/>
    </row>
    <row r="92" spans="2:31" ht="12" customHeight="1">
      <c r="B92" s="20" t="s">
        <v>322</v>
      </c>
      <c r="C92" s="20"/>
      <c r="D92" s="20"/>
      <c r="E92" s="20"/>
      <c r="F92" s="20"/>
      <c r="G92" s="152">
        <f t="shared" ref="G92:P92" si="227">G38/G18</f>
        <v>0.29901960784313725</v>
      </c>
      <c r="H92" s="152">
        <f t="shared" si="227"/>
        <v>0.32142857142857145</v>
      </c>
      <c r="I92" s="152">
        <f t="shared" si="227"/>
        <v>0.30935251798561153</v>
      </c>
      <c r="J92" s="152">
        <f t="shared" si="227"/>
        <v>0.31714285714285712</v>
      </c>
      <c r="K92" s="152">
        <f t="shared" si="227"/>
        <v>0.34406438631790742</v>
      </c>
      <c r="L92" s="152">
        <f t="shared" si="227"/>
        <v>0.19963702359346641</v>
      </c>
      <c r="M92" s="152">
        <f t="shared" si="227"/>
        <v>0.5092592592592593</v>
      </c>
      <c r="N92" s="152">
        <f t="shared" si="227"/>
        <v>0.54706927175843689</v>
      </c>
      <c r="O92" s="152">
        <f t="shared" si="227"/>
        <v>0.52103559870550165</v>
      </c>
      <c r="P92" s="152">
        <f t="shared" si="227"/>
        <v>0.65170278637770895</v>
      </c>
      <c r="Q92" s="118">
        <f t="shared" si="194"/>
        <v>9.0421571592820271E-2</v>
      </c>
      <c r="R92" s="20"/>
      <c r="S92" s="152">
        <f t="shared" ref="S92:AB92" si="228">S38/S18</f>
        <v>0.65170278637770895</v>
      </c>
      <c r="T92" s="152">
        <f t="shared" si="228"/>
        <v>0.65170278637770895</v>
      </c>
      <c r="U92" s="152">
        <f t="shared" si="228"/>
        <v>0.65170278637770884</v>
      </c>
      <c r="V92" s="152">
        <f t="shared" si="228"/>
        <v>0.65170278637770884</v>
      </c>
      <c r="W92" s="152">
        <f t="shared" si="228"/>
        <v>0.65170278637770884</v>
      </c>
      <c r="X92" s="152">
        <f t="shared" si="228"/>
        <v>0.65170278637770884</v>
      </c>
      <c r="Y92" s="152">
        <f t="shared" si="228"/>
        <v>0.65170278637770884</v>
      </c>
      <c r="Z92" s="152">
        <f t="shared" si="228"/>
        <v>0.65170278637770884</v>
      </c>
      <c r="AA92" s="152">
        <f t="shared" si="228"/>
        <v>0.65170278637770884</v>
      </c>
      <c r="AB92" s="152">
        <f t="shared" si="228"/>
        <v>0.65170278637770884</v>
      </c>
      <c r="AC92" s="138">
        <f t="shared" si="196"/>
        <v>4.1856462666223226E-2</v>
      </c>
      <c r="AD92" s="20"/>
      <c r="AE92" s="20"/>
    </row>
    <row r="93" spans="2:31">
      <c r="B93" s="20" t="s">
        <v>323</v>
      </c>
      <c r="C93" s="20"/>
      <c r="D93" s="20"/>
      <c r="E93" s="20"/>
      <c r="F93" s="20"/>
      <c r="G93" s="152">
        <f t="shared" ref="G93:P93" si="229">G38/G25</f>
        <v>9.0370370370370365E-2</v>
      </c>
      <c r="H93" s="152">
        <f t="shared" si="229"/>
        <v>9.2664092664092659E-2</v>
      </c>
      <c r="I93" s="152">
        <f t="shared" si="229"/>
        <v>9.0621707060063228E-2</v>
      </c>
      <c r="J93" s="152">
        <f t="shared" si="229"/>
        <v>8.6046511627906982E-2</v>
      </c>
      <c r="K93" s="152">
        <f t="shared" si="229"/>
        <v>9.6774193548387094E-2</v>
      </c>
      <c r="L93" s="152">
        <f t="shared" si="229"/>
        <v>5.5611729019211326E-2</v>
      </c>
      <c r="M93" s="152">
        <f t="shared" si="229"/>
        <v>0.12238540275923454</v>
      </c>
      <c r="N93" s="152">
        <f t="shared" si="229"/>
        <v>0.11208151382823872</v>
      </c>
      <c r="O93" s="152">
        <f t="shared" si="229"/>
        <v>0.1008140262993112</v>
      </c>
      <c r="P93" s="152">
        <f t="shared" si="229"/>
        <v>0.11073119410836402</v>
      </c>
      <c r="Q93" s="118">
        <f t="shared" si="194"/>
        <v>2.2833350349084292E-2</v>
      </c>
      <c r="R93" s="20"/>
      <c r="S93" s="152">
        <f t="shared" ref="S93:AB93" si="230">S38/S25</f>
        <v>0.110731194108364</v>
      </c>
      <c r="T93" s="152">
        <f t="shared" si="230"/>
        <v>0.11073119410836402</v>
      </c>
      <c r="U93" s="152">
        <f t="shared" si="230"/>
        <v>0.11073119410836402</v>
      </c>
      <c r="V93" s="152">
        <f t="shared" si="230"/>
        <v>0.11073119410836402</v>
      </c>
      <c r="W93" s="152">
        <f t="shared" si="230"/>
        <v>0.11073119410836402</v>
      </c>
      <c r="X93" s="152">
        <f t="shared" si="230"/>
        <v>0.11073119410836403</v>
      </c>
      <c r="Y93" s="152">
        <f t="shared" si="230"/>
        <v>0.11073119410836402</v>
      </c>
      <c r="Z93" s="152">
        <f t="shared" si="230"/>
        <v>0.11073119410836403</v>
      </c>
      <c r="AA93" s="152">
        <f t="shared" si="230"/>
        <v>0.11073119410836402</v>
      </c>
      <c r="AB93" s="152">
        <f t="shared" si="230"/>
        <v>0.11073119410836402</v>
      </c>
      <c r="AC93" s="138">
        <f t="shared" si="196"/>
        <v>1.075155209277856E-2</v>
      </c>
      <c r="AD93" s="20"/>
      <c r="AE93" s="20"/>
    </row>
    <row r="94" spans="2:31">
      <c r="B94" s="20" t="s">
        <v>349</v>
      </c>
      <c r="C94" s="20"/>
      <c r="D94" s="20"/>
      <c r="E94" s="152"/>
      <c r="F94" s="152"/>
      <c r="G94" s="152">
        <f t="shared" ref="G94:O94" si="231">G25/G18</f>
        <v>3.3088235294117645</v>
      </c>
      <c r="H94" s="152">
        <f t="shared" si="231"/>
        <v>3.46875</v>
      </c>
      <c r="I94" s="152">
        <f t="shared" si="231"/>
        <v>3.4136690647482015</v>
      </c>
      <c r="J94" s="152">
        <f t="shared" si="231"/>
        <v>3.6857142857142855</v>
      </c>
      <c r="K94" s="152">
        <f t="shared" si="231"/>
        <v>3.5553319919517103</v>
      </c>
      <c r="L94" s="152">
        <f t="shared" si="231"/>
        <v>3.5898366606170597</v>
      </c>
      <c r="M94" s="152">
        <f t="shared" si="231"/>
        <v>4.1611111111111114</v>
      </c>
      <c r="N94" s="152">
        <f t="shared" si="231"/>
        <v>4.8809946714031973</v>
      </c>
      <c r="O94" s="152">
        <f t="shared" si="231"/>
        <v>5.1682847896440132</v>
      </c>
      <c r="P94" s="152">
        <f>P25/P18</f>
        <v>5.8854489164086683</v>
      </c>
      <c r="Q94" s="118">
        <f t="shared" si="194"/>
        <v>6.6079406993005074E-2</v>
      </c>
      <c r="R94" s="20"/>
      <c r="S94" s="152">
        <f>S25/S18</f>
        <v>5.8854489164086692</v>
      </c>
      <c r="T94" s="152">
        <f t="shared" ref="T94:AB94" si="232">T25/T18</f>
        <v>5.8854489164086683</v>
      </c>
      <c r="U94" s="152">
        <f t="shared" si="232"/>
        <v>5.8854489164086683</v>
      </c>
      <c r="V94" s="152">
        <f t="shared" si="232"/>
        <v>5.8854489164086674</v>
      </c>
      <c r="W94" s="152">
        <f t="shared" si="232"/>
        <v>5.8854489164086674</v>
      </c>
      <c r="X94" s="152">
        <f t="shared" si="232"/>
        <v>5.8854489164086674</v>
      </c>
      <c r="Y94" s="152">
        <f t="shared" si="232"/>
        <v>5.8854489164086674</v>
      </c>
      <c r="Z94" s="152">
        <f t="shared" si="232"/>
        <v>5.8854489164086674</v>
      </c>
      <c r="AA94" s="152">
        <f t="shared" si="232"/>
        <v>5.8854489164086674</v>
      </c>
      <c r="AB94" s="152">
        <f t="shared" si="232"/>
        <v>5.8854489164086674</v>
      </c>
      <c r="AC94" s="138">
        <f t="shared" si="196"/>
        <v>3.0774041859289225E-2</v>
      </c>
      <c r="AD94" s="20"/>
      <c r="AE94" s="20"/>
    </row>
    <row r="95" spans="2:31">
      <c r="B95" s="20"/>
      <c r="C95" s="20"/>
      <c r="D95" s="20"/>
      <c r="E95" s="20"/>
      <c r="F95" s="20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28"/>
      <c r="R95" s="20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28"/>
      <c r="AD95" s="20"/>
      <c r="AE95" s="20"/>
    </row>
    <row r="96" spans="2:31">
      <c r="B96" s="20" t="s">
        <v>335</v>
      </c>
      <c r="C96" s="20"/>
      <c r="D96" s="20"/>
      <c r="E96" s="165">
        <f t="shared" ref="E96:F96" si="233">E63*E40</f>
        <v>0</v>
      </c>
      <c r="F96" s="165">
        <f t="shared" si="233"/>
        <v>0</v>
      </c>
      <c r="G96" s="165">
        <f>G63*G40</f>
        <v>20.16</v>
      </c>
      <c r="H96" s="165">
        <f t="shared" ref="H96:P96" si="234">H63*H40</f>
        <v>20.16</v>
      </c>
      <c r="I96" s="165">
        <f t="shared" si="234"/>
        <v>31.537500000000001</v>
      </c>
      <c r="J96" s="165">
        <f t="shared" si="234"/>
        <v>37.844999999999999</v>
      </c>
      <c r="K96" s="165">
        <f t="shared" si="234"/>
        <v>44.274999999999999</v>
      </c>
      <c r="L96" s="165">
        <f t="shared" si="234"/>
        <v>44.274999999999999</v>
      </c>
      <c r="M96" s="165">
        <f t="shared" si="234"/>
        <v>75.914999999999992</v>
      </c>
      <c r="N96" s="165">
        <f t="shared" si="234"/>
        <v>88.567499999999995</v>
      </c>
      <c r="O96" s="165">
        <f t="shared" si="234"/>
        <v>96.443999999999988</v>
      </c>
      <c r="P96" s="165">
        <f t="shared" si="234"/>
        <v>133.27600000000001</v>
      </c>
      <c r="Q96" s="118">
        <f t="shared" si="194"/>
        <v>0.23350285211223865</v>
      </c>
      <c r="R96" s="20"/>
      <c r="S96" s="165">
        <f t="shared" ref="S96:AB96" si="235">S63*S40</f>
        <v>209.90970000000004</v>
      </c>
      <c r="T96" s="165">
        <f t="shared" si="235"/>
        <v>231.42544425000006</v>
      </c>
      <c r="U96" s="165">
        <f t="shared" si="235"/>
        <v>255.14655228562509</v>
      </c>
      <c r="V96" s="165">
        <f t="shared" si="235"/>
        <v>281.29907389490171</v>
      </c>
      <c r="W96" s="165">
        <f t="shared" si="235"/>
        <v>310.13222896912919</v>
      </c>
      <c r="X96" s="165">
        <f t="shared" si="235"/>
        <v>341.92078243846498</v>
      </c>
      <c r="Y96" s="165">
        <f t="shared" si="235"/>
        <v>376.96766263840772</v>
      </c>
      <c r="Z96" s="165">
        <f t="shared" si="235"/>
        <v>415.60684805884455</v>
      </c>
      <c r="AA96" s="165">
        <f t="shared" si="235"/>
        <v>458.20654998487618</v>
      </c>
      <c r="AB96" s="165">
        <f t="shared" si="235"/>
        <v>505.17272135832599</v>
      </c>
      <c r="AC96" s="138">
        <f t="shared" si="196"/>
        <v>0.18475599202183735</v>
      </c>
      <c r="AD96" s="20"/>
      <c r="AE96" s="20"/>
    </row>
    <row r="97" spans="2:31">
      <c r="B97" s="20" t="s">
        <v>336</v>
      </c>
      <c r="C97" s="20"/>
      <c r="D97" s="20"/>
      <c r="E97" s="165">
        <f>(E96*0.17)+E96</f>
        <v>0</v>
      </c>
      <c r="F97" s="165">
        <f>(F96*0.17)+F96</f>
        <v>0</v>
      </c>
      <c r="G97" s="165">
        <f t="shared" ref="G97:P97" si="236">(G96*0.17)+G96</f>
        <v>23.587199999999999</v>
      </c>
      <c r="H97" s="165">
        <f t="shared" si="236"/>
        <v>23.587199999999999</v>
      </c>
      <c r="I97" s="165">
        <f t="shared" si="236"/>
        <v>36.898875000000004</v>
      </c>
      <c r="J97" s="165">
        <f t="shared" si="236"/>
        <v>44.278649999999999</v>
      </c>
      <c r="K97" s="165">
        <f t="shared" si="236"/>
        <v>51.801749999999998</v>
      </c>
      <c r="L97" s="165">
        <f t="shared" si="236"/>
        <v>51.801749999999998</v>
      </c>
      <c r="M97" s="165">
        <f t="shared" si="236"/>
        <v>88.820549999999997</v>
      </c>
      <c r="N97" s="165">
        <f t="shared" si="236"/>
        <v>103.623975</v>
      </c>
      <c r="O97" s="165">
        <f t="shared" si="236"/>
        <v>112.83947999999998</v>
      </c>
      <c r="P97" s="165">
        <f t="shared" si="236"/>
        <v>155.93292000000002</v>
      </c>
      <c r="Q97" s="118">
        <f t="shared" si="194"/>
        <v>0.23350285211223887</v>
      </c>
      <c r="R97" s="20"/>
      <c r="S97" s="165">
        <f t="shared" ref="S97:AB97" si="237">(S96*0.17)+S96</f>
        <v>245.59434900000005</v>
      </c>
      <c r="T97" s="165">
        <f t="shared" si="237"/>
        <v>270.76776977250006</v>
      </c>
      <c r="U97" s="165">
        <f t="shared" si="237"/>
        <v>298.52146617418134</v>
      </c>
      <c r="V97" s="165">
        <f t="shared" si="237"/>
        <v>329.119916457035</v>
      </c>
      <c r="W97" s="165">
        <f t="shared" si="237"/>
        <v>362.85470789388114</v>
      </c>
      <c r="X97" s="165">
        <f t="shared" si="237"/>
        <v>400.04731545300405</v>
      </c>
      <c r="Y97" s="165">
        <f t="shared" si="237"/>
        <v>441.05216528693705</v>
      </c>
      <c r="Z97" s="165">
        <f t="shared" si="237"/>
        <v>486.26001222884815</v>
      </c>
      <c r="AA97" s="165">
        <f t="shared" si="237"/>
        <v>536.10166348230518</v>
      </c>
      <c r="AB97" s="165">
        <f t="shared" si="237"/>
        <v>591.0520839892414</v>
      </c>
      <c r="AC97" s="138">
        <f t="shared" si="196"/>
        <v>0.18475599202183735</v>
      </c>
      <c r="AD97" s="20"/>
      <c r="AE97" s="20"/>
    </row>
    <row r="98" spans="2:31">
      <c r="B98" s="20" t="s">
        <v>337</v>
      </c>
      <c r="C98" s="20"/>
      <c r="D98" s="20"/>
      <c r="E98" s="20"/>
      <c r="F98" s="152" t="e">
        <f t="shared" ref="F98:P98" si="238">F97/F38</f>
        <v>#DIV/0!</v>
      </c>
      <c r="G98" s="152">
        <f t="shared" si="238"/>
        <v>0.38667540983606558</v>
      </c>
      <c r="H98" s="152">
        <f t="shared" si="238"/>
        <v>0.3276</v>
      </c>
      <c r="I98" s="152">
        <f t="shared" si="238"/>
        <v>0.42905668604651165</v>
      </c>
      <c r="J98" s="152">
        <f t="shared" si="238"/>
        <v>0.39890675675675674</v>
      </c>
      <c r="K98" s="152">
        <f t="shared" si="238"/>
        <v>0.30293421052631581</v>
      </c>
      <c r="L98" s="152">
        <f t="shared" si="238"/>
        <v>0.47092499999999998</v>
      </c>
      <c r="M98" s="152">
        <f t="shared" si="238"/>
        <v>0.32298381818181815</v>
      </c>
      <c r="N98" s="152">
        <f t="shared" si="238"/>
        <v>0.33644147727272727</v>
      </c>
      <c r="O98" s="152">
        <f t="shared" si="238"/>
        <v>0.35043316770186328</v>
      </c>
      <c r="P98" s="152">
        <f t="shared" si="238"/>
        <v>0.3703869833729217</v>
      </c>
      <c r="Q98" s="118">
        <f t="shared" si="194"/>
        <v>-4.7705011463482494E-3</v>
      </c>
      <c r="R98" s="20"/>
      <c r="S98" s="152">
        <f t="shared" ref="S98:AB98" si="239">S97/S38</f>
        <v>0.52085669536817114</v>
      </c>
      <c r="T98" s="152">
        <f t="shared" si="239"/>
        <v>0.51271830950304331</v>
      </c>
      <c r="U98" s="152">
        <f t="shared" si="239"/>
        <v>0.50470708591705837</v>
      </c>
      <c r="V98" s="152">
        <f t="shared" si="239"/>
        <v>0.4968210376996044</v>
      </c>
      <c r="W98" s="152">
        <f t="shared" si="239"/>
        <v>0.48905820898554814</v>
      </c>
      <c r="X98" s="152">
        <f t="shared" si="239"/>
        <v>0.48141667447014896</v>
      </c>
      <c r="Y98" s="152">
        <f t="shared" si="239"/>
        <v>0.47389453893155298</v>
      </c>
      <c r="Z98" s="152">
        <f t="shared" si="239"/>
        <v>0.4664899367607474</v>
      </c>
      <c r="AA98" s="152">
        <f t="shared" si="239"/>
        <v>0.45920103149886082</v>
      </c>
      <c r="AB98" s="152">
        <f t="shared" si="239"/>
        <v>0.45202601538169102</v>
      </c>
      <c r="AC98" s="138">
        <f t="shared" si="196"/>
        <v>8.2525040107164216E-3</v>
      </c>
      <c r="AD98" s="20"/>
      <c r="AE98" s="20"/>
    </row>
    <row r="99" spans="2:31">
      <c r="B99" s="20" t="s">
        <v>330</v>
      </c>
      <c r="C99" s="20"/>
      <c r="D99" s="20"/>
      <c r="E99" s="20"/>
      <c r="F99" s="152" t="e">
        <f>1-F98</f>
        <v>#DIV/0!</v>
      </c>
      <c r="G99" s="152">
        <f>1-G98</f>
        <v>0.61332459016393437</v>
      </c>
      <c r="H99" s="152">
        <f t="shared" ref="H99:P99" si="240">1-H98</f>
        <v>0.6724</v>
      </c>
      <c r="I99" s="152">
        <f t="shared" si="240"/>
        <v>0.5709433139534883</v>
      </c>
      <c r="J99" s="152">
        <f t="shared" si="240"/>
        <v>0.6010932432432432</v>
      </c>
      <c r="K99" s="152">
        <f t="shared" si="240"/>
        <v>0.69706578947368425</v>
      </c>
      <c r="L99" s="152">
        <f t="shared" si="240"/>
        <v>0.52907499999999996</v>
      </c>
      <c r="M99" s="152">
        <f t="shared" si="240"/>
        <v>0.67701618181818191</v>
      </c>
      <c r="N99" s="152">
        <f t="shared" si="240"/>
        <v>0.66355852272727267</v>
      </c>
      <c r="O99" s="152">
        <f t="shared" si="240"/>
        <v>0.64956683229813672</v>
      </c>
      <c r="P99" s="152">
        <f t="shared" si="240"/>
        <v>0.62961301662707836</v>
      </c>
      <c r="Q99" s="118">
        <f t="shared" si="194"/>
        <v>2.9165855017161402E-3</v>
      </c>
      <c r="R99" s="20"/>
      <c r="S99" s="152">
        <f t="shared" ref="S99:AB99" si="241">1-S98</f>
        <v>0.47914330463182886</v>
      </c>
      <c r="T99" s="152">
        <f t="shared" si="241"/>
        <v>0.48728169049695669</v>
      </c>
      <c r="U99" s="152">
        <f t="shared" si="241"/>
        <v>0.49529291408294163</v>
      </c>
      <c r="V99" s="152">
        <f t="shared" si="241"/>
        <v>0.5031789623003956</v>
      </c>
      <c r="W99" s="152">
        <f t="shared" si="241"/>
        <v>0.51094179101445181</v>
      </c>
      <c r="X99" s="152">
        <f t="shared" si="241"/>
        <v>0.51858332552985109</v>
      </c>
      <c r="Y99" s="152">
        <f t="shared" si="241"/>
        <v>0.52610546106844702</v>
      </c>
      <c r="Z99" s="152">
        <f t="shared" si="241"/>
        <v>0.53351006323925265</v>
      </c>
      <c r="AA99" s="152">
        <f t="shared" si="241"/>
        <v>0.54079896850113918</v>
      </c>
      <c r="AB99" s="152">
        <f t="shared" si="241"/>
        <v>0.54797398461830893</v>
      </c>
      <c r="AC99" s="138">
        <f t="shared" si="196"/>
        <v>-5.912268826689937E-3</v>
      </c>
      <c r="AD99" s="20"/>
      <c r="AE99" s="20"/>
    </row>
    <row r="100" spans="2:31">
      <c r="B100" s="20"/>
      <c r="C100" s="20"/>
      <c r="D100" s="20"/>
      <c r="E100" s="20"/>
      <c r="F100" s="20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28"/>
      <c r="R100" s="20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28"/>
      <c r="AD100" s="20"/>
      <c r="AE100" s="20"/>
    </row>
    <row r="101" spans="2:31">
      <c r="B101" s="20" t="s">
        <v>334</v>
      </c>
      <c r="C101" s="152"/>
      <c r="D101" s="152"/>
      <c r="E101" s="152"/>
      <c r="F101" s="152" t="e">
        <f>F31/F25</f>
        <v>#DIV/0!</v>
      </c>
      <c r="G101" s="152">
        <f>G31/G25</f>
        <v>0</v>
      </c>
      <c r="H101" s="152">
        <f t="shared" ref="H101:P101" si="242">H31/H25</f>
        <v>0</v>
      </c>
      <c r="I101" s="152">
        <f t="shared" si="242"/>
        <v>0</v>
      </c>
      <c r="J101" s="152">
        <f t="shared" si="242"/>
        <v>0</v>
      </c>
      <c r="K101" s="152">
        <f t="shared" si="242"/>
        <v>0</v>
      </c>
      <c r="L101" s="152">
        <f t="shared" si="242"/>
        <v>0</v>
      </c>
      <c r="M101" s="152">
        <f t="shared" si="242"/>
        <v>0</v>
      </c>
      <c r="N101" s="152">
        <f t="shared" si="242"/>
        <v>0</v>
      </c>
      <c r="O101" s="152">
        <f t="shared" si="242"/>
        <v>0</v>
      </c>
      <c r="P101" s="152">
        <f t="shared" si="242"/>
        <v>0</v>
      </c>
      <c r="Q101" s="118" t="e">
        <f t="shared" si="194"/>
        <v>#DIV/0!</v>
      </c>
      <c r="R101" s="20"/>
      <c r="S101" s="152">
        <f t="shared" ref="S101:AB101" si="243">S31/S25</f>
        <v>0</v>
      </c>
      <c r="T101" s="152">
        <f t="shared" si="243"/>
        <v>0</v>
      </c>
      <c r="U101" s="152">
        <f t="shared" si="243"/>
        <v>0</v>
      </c>
      <c r="V101" s="152">
        <f t="shared" si="243"/>
        <v>0</v>
      </c>
      <c r="W101" s="152">
        <f t="shared" si="243"/>
        <v>0</v>
      </c>
      <c r="X101" s="152">
        <f t="shared" si="243"/>
        <v>0</v>
      </c>
      <c r="Y101" s="152">
        <f t="shared" si="243"/>
        <v>0</v>
      </c>
      <c r="Z101" s="152">
        <f t="shared" si="243"/>
        <v>0</v>
      </c>
      <c r="AA101" s="152">
        <f t="shared" si="243"/>
        <v>0</v>
      </c>
      <c r="AB101" s="152">
        <f t="shared" si="243"/>
        <v>0</v>
      </c>
      <c r="AC101" s="138" t="e">
        <f t="shared" si="196"/>
        <v>#DIV/0!</v>
      </c>
      <c r="AD101" s="20"/>
      <c r="AE101" s="20"/>
    </row>
    <row r="102" spans="2:31">
      <c r="B102" s="20" t="s">
        <v>331</v>
      </c>
      <c r="C102" s="152"/>
      <c r="D102" s="152"/>
      <c r="E102" s="152"/>
      <c r="F102" s="152" t="e">
        <f>F32/F25</f>
        <v>#DIV/0!</v>
      </c>
      <c r="G102" s="152">
        <f>G32/G25</f>
        <v>0</v>
      </c>
      <c r="H102" s="152">
        <f t="shared" ref="H102:P102" si="244">H32/H25</f>
        <v>0</v>
      </c>
      <c r="I102" s="152">
        <f t="shared" si="244"/>
        <v>0</v>
      </c>
      <c r="J102" s="152">
        <f t="shared" si="244"/>
        <v>0</v>
      </c>
      <c r="K102" s="152">
        <f t="shared" si="244"/>
        <v>0</v>
      </c>
      <c r="L102" s="152">
        <f t="shared" si="244"/>
        <v>0</v>
      </c>
      <c r="M102" s="152">
        <f t="shared" si="244"/>
        <v>0</v>
      </c>
      <c r="N102" s="152">
        <f t="shared" si="244"/>
        <v>0</v>
      </c>
      <c r="O102" s="152">
        <f t="shared" si="244"/>
        <v>0</v>
      </c>
      <c r="P102" s="152">
        <f t="shared" si="244"/>
        <v>0</v>
      </c>
      <c r="Q102" s="118" t="e">
        <f t="shared" si="194"/>
        <v>#DIV/0!</v>
      </c>
      <c r="R102" s="20"/>
      <c r="S102" s="152">
        <f t="shared" ref="S102:AB102" si="245">S32/S25</f>
        <v>0</v>
      </c>
      <c r="T102" s="152">
        <f t="shared" si="245"/>
        <v>0</v>
      </c>
      <c r="U102" s="152">
        <f t="shared" si="245"/>
        <v>0</v>
      </c>
      <c r="V102" s="152">
        <f t="shared" si="245"/>
        <v>0</v>
      </c>
      <c r="W102" s="152">
        <f t="shared" si="245"/>
        <v>0</v>
      </c>
      <c r="X102" s="152">
        <f t="shared" si="245"/>
        <v>0</v>
      </c>
      <c r="Y102" s="152">
        <f t="shared" si="245"/>
        <v>0</v>
      </c>
      <c r="Z102" s="152">
        <f t="shared" si="245"/>
        <v>0</v>
      </c>
      <c r="AA102" s="152">
        <f t="shared" si="245"/>
        <v>0</v>
      </c>
      <c r="AB102" s="152">
        <f t="shared" si="245"/>
        <v>0</v>
      </c>
      <c r="AC102" s="138" t="e">
        <f t="shared" si="196"/>
        <v>#DIV/0!</v>
      </c>
      <c r="AD102" s="20"/>
      <c r="AE102" s="20"/>
    </row>
    <row r="103" spans="2:31">
      <c r="B103" s="20"/>
      <c r="C103" s="20"/>
      <c r="D103" s="20"/>
      <c r="E103" s="20"/>
      <c r="F103" s="20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28"/>
      <c r="R103" s="20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28"/>
      <c r="AD103" s="20"/>
      <c r="AE103" s="20"/>
    </row>
    <row r="104" spans="2:31">
      <c r="B104" s="20" t="s">
        <v>355</v>
      </c>
      <c r="C104" s="20"/>
      <c r="D104" s="20"/>
      <c r="E104" s="20"/>
      <c r="F104" s="20"/>
      <c r="G104" s="152">
        <f>G27/G25</f>
        <v>0.82666666666666666</v>
      </c>
      <c r="H104" s="152">
        <f t="shared" ref="H104:P104" si="246">H27/H25</f>
        <v>0.82368082368082363</v>
      </c>
      <c r="I104" s="152">
        <f t="shared" si="246"/>
        <v>0.83140147523709163</v>
      </c>
      <c r="J104" s="152">
        <f t="shared" si="246"/>
        <v>0.8542635658914729</v>
      </c>
      <c r="K104" s="152">
        <f t="shared" si="246"/>
        <v>0.84267119411431801</v>
      </c>
      <c r="L104" s="152">
        <f t="shared" si="246"/>
        <v>0.88372093023255816</v>
      </c>
      <c r="M104" s="152">
        <f t="shared" si="246"/>
        <v>0.81486426346239427</v>
      </c>
      <c r="N104" s="152">
        <f t="shared" si="246"/>
        <v>0.81841339155749637</v>
      </c>
      <c r="O104" s="152">
        <f t="shared" si="246"/>
        <v>0.83469004383218537</v>
      </c>
      <c r="P104" s="152">
        <f t="shared" si="246"/>
        <v>0.82325092056812199</v>
      </c>
      <c r="Q104" s="118">
        <f t="shared" si="194"/>
        <v>-4.5995097043471933E-4</v>
      </c>
      <c r="R104" s="20"/>
      <c r="S104" s="152">
        <f t="shared" ref="S104:AB104" si="247">S27/S25</f>
        <v>0.82325092056812199</v>
      </c>
      <c r="T104" s="152">
        <f t="shared" si="247"/>
        <v>0.8232509205681221</v>
      </c>
      <c r="U104" s="152">
        <f t="shared" si="247"/>
        <v>0.8232509205681221</v>
      </c>
      <c r="V104" s="152">
        <f t="shared" si="247"/>
        <v>0.82325092056812221</v>
      </c>
      <c r="W104" s="152">
        <f t="shared" si="247"/>
        <v>0.82325092056812221</v>
      </c>
      <c r="X104" s="152">
        <f t="shared" si="247"/>
        <v>0.82325092056812232</v>
      </c>
      <c r="Y104" s="152">
        <f t="shared" si="247"/>
        <v>0.82325092056812232</v>
      </c>
      <c r="Z104" s="152">
        <f t="shared" si="247"/>
        <v>0.82325092056812232</v>
      </c>
      <c r="AA104" s="152">
        <f t="shared" si="247"/>
        <v>0.82325092056812221</v>
      </c>
      <c r="AB104" s="152">
        <f t="shared" si="247"/>
        <v>0.82325092056812221</v>
      </c>
      <c r="AC104" s="138">
        <f t="shared" si="196"/>
        <v>-2.1789788959292178E-4</v>
      </c>
      <c r="AD104" s="20"/>
      <c r="AE104" s="20"/>
    </row>
    <row r="105" spans="2:31">
      <c r="B105" s="20" t="str">
        <f>B33</f>
        <v>Top Expenses ( Raw material )</v>
      </c>
      <c r="C105" s="20"/>
      <c r="D105" s="20"/>
      <c r="E105" s="20"/>
      <c r="F105" s="20"/>
      <c r="G105" s="152">
        <f>G33/G25</f>
        <v>0.53481481481481485</v>
      </c>
      <c r="H105" s="152">
        <f t="shared" ref="H105:P105" si="248">H33/H25</f>
        <v>0.60617760617760619</v>
      </c>
      <c r="I105" s="152">
        <f t="shared" si="248"/>
        <v>0.59009483667017915</v>
      </c>
      <c r="J105" s="152">
        <f t="shared" si="248"/>
        <v>0.61240310077519378</v>
      </c>
      <c r="K105" s="152">
        <f t="shared" si="248"/>
        <v>0.59988681380871534</v>
      </c>
      <c r="L105" s="152">
        <f t="shared" si="248"/>
        <v>0.63801820020222444</v>
      </c>
      <c r="M105" s="152">
        <f t="shared" si="248"/>
        <v>0.56608811748998666</v>
      </c>
      <c r="N105" s="152">
        <f t="shared" si="248"/>
        <v>0.58406113537117899</v>
      </c>
      <c r="O105" s="152">
        <f t="shared" si="248"/>
        <v>0.55948653725735753</v>
      </c>
      <c r="P105" s="152">
        <f t="shared" si="248"/>
        <v>0.54497632824829034</v>
      </c>
      <c r="Q105" s="118">
        <f t="shared" si="194"/>
        <v>2.0935008604761052E-3</v>
      </c>
      <c r="R105" s="20"/>
      <c r="S105" s="152">
        <f t="shared" ref="S105:AB105" si="249">S33/S25</f>
        <v>0.54497632824829034</v>
      </c>
      <c r="T105" s="152">
        <f t="shared" si="249"/>
        <v>0.54497632824829045</v>
      </c>
      <c r="U105" s="152">
        <f t="shared" si="249"/>
        <v>0.54497632824829045</v>
      </c>
      <c r="V105" s="152">
        <f t="shared" si="249"/>
        <v>0.54497632824829045</v>
      </c>
      <c r="W105" s="152">
        <f t="shared" si="249"/>
        <v>0.54497632824829045</v>
      </c>
      <c r="X105" s="152">
        <f t="shared" si="249"/>
        <v>0.54497632824829045</v>
      </c>
      <c r="Y105" s="152">
        <f t="shared" si="249"/>
        <v>0.54497632824829045</v>
      </c>
      <c r="Z105" s="152">
        <f t="shared" si="249"/>
        <v>0.54497632824829045</v>
      </c>
      <c r="AA105" s="152">
        <f t="shared" si="249"/>
        <v>0.54497632824829045</v>
      </c>
      <c r="AB105" s="152">
        <f t="shared" si="249"/>
        <v>0.54497632824829045</v>
      </c>
      <c r="AC105" s="138">
        <f t="shared" si="196"/>
        <v>9.9111255780170993E-4</v>
      </c>
      <c r="AD105" s="20"/>
      <c r="AE105" s="20"/>
    </row>
    <row r="106" spans="2:31">
      <c r="B106" s="20" t="str">
        <f>B34</f>
        <v>2nd highest Expenses Comp. ( Empl )</v>
      </c>
      <c r="C106" s="20"/>
      <c r="D106" s="20"/>
      <c r="E106" s="20"/>
      <c r="F106" s="20"/>
      <c r="G106" s="152">
        <f>G34/G25</f>
        <v>8.2962962962962961E-2</v>
      </c>
      <c r="H106" s="152">
        <f t="shared" ref="H106:P106" si="250">H34/H25</f>
        <v>8.6229086229086233E-2</v>
      </c>
      <c r="I106" s="152">
        <f t="shared" si="250"/>
        <v>8.956796628029505E-2</v>
      </c>
      <c r="J106" s="152">
        <f t="shared" si="250"/>
        <v>8.4496124031007758E-2</v>
      </c>
      <c r="K106" s="152">
        <f t="shared" si="250"/>
        <v>9.2812676853423884E-2</v>
      </c>
      <c r="L106" s="152">
        <f t="shared" si="250"/>
        <v>0.11172901921132457</v>
      </c>
      <c r="M106" s="152">
        <f t="shared" si="250"/>
        <v>0.11214953271028037</v>
      </c>
      <c r="N106" s="152">
        <f t="shared" si="250"/>
        <v>0.10553129548762737</v>
      </c>
      <c r="O106" s="152">
        <f t="shared" si="250"/>
        <v>0.10206637445209768</v>
      </c>
      <c r="P106" s="152">
        <f t="shared" si="250"/>
        <v>9.863229879011047E-2</v>
      </c>
      <c r="Q106" s="118">
        <f t="shared" si="194"/>
        <v>1.9408668645794602E-2</v>
      </c>
      <c r="R106" s="20"/>
      <c r="S106" s="152">
        <f t="shared" ref="S106:AB106" si="251">S34/S25</f>
        <v>9.863229879011047E-2</v>
      </c>
      <c r="T106" s="152">
        <f t="shared" si="251"/>
        <v>9.863229879011047E-2</v>
      </c>
      <c r="U106" s="152">
        <f t="shared" si="251"/>
        <v>9.8632298790110484E-2</v>
      </c>
      <c r="V106" s="152">
        <f t="shared" si="251"/>
        <v>9.8632298790110498E-2</v>
      </c>
      <c r="W106" s="152">
        <f t="shared" si="251"/>
        <v>9.8632298790110498E-2</v>
      </c>
      <c r="X106" s="152">
        <f t="shared" si="251"/>
        <v>9.8632298790110498E-2</v>
      </c>
      <c r="Y106" s="152">
        <f t="shared" si="251"/>
        <v>9.8632298790110498E-2</v>
      </c>
      <c r="Z106" s="152">
        <f t="shared" si="251"/>
        <v>9.8632298790110512E-2</v>
      </c>
      <c r="AA106" s="152">
        <f t="shared" si="251"/>
        <v>9.8632298790110484E-2</v>
      </c>
      <c r="AB106" s="152">
        <f t="shared" si="251"/>
        <v>9.8632298790110484E-2</v>
      </c>
      <c r="AC106" s="138">
        <f t="shared" si="196"/>
        <v>9.1470813375944537E-3</v>
      </c>
      <c r="AD106" s="20"/>
      <c r="AE106" s="20"/>
    </row>
    <row r="107" spans="2:31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128"/>
      <c r="R107" s="128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39"/>
      <c r="AD107" s="20"/>
      <c r="AE107" s="20"/>
    </row>
    <row r="108" spans="2:31">
      <c r="B108" s="108" t="s">
        <v>363</v>
      </c>
      <c r="C108" s="20"/>
      <c r="D108" s="20"/>
      <c r="E108" s="20"/>
      <c r="F108" s="20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118"/>
      <c r="R108" s="128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138"/>
      <c r="AD108" s="20"/>
      <c r="AE108" s="20"/>
    </row>
    <row r="109" spans="2:31">
      <c r="B109" s="20" t="s">
        <v>366</v>
      </c>
      <c r="C109" s="20"/>
      <c r="D109" s="20"/>
      <c r="E109" s="20"/>
      <c r="F109" s="20"/>
      <c r="G109" s="25">
        <f>G15/G9</f>
        <v>2.4647058823529413</v>
      </c>
      <c r="H109" s="25">
        <f t="shared" ref="H109:AB109" si="252">H15/H9</f>
        <v>2.2678571428571428</v>
      </c>
      <c r="I109" s="25">
        <f t="shared" si="252"/>
        <v>2.1353383458646618</v>
      </c>
      <c r="J109" s="25">
        <f t="shared" si="252"/>
        <v>2.1167512690355328</v>
      </c>
      <c r="K109" s="25">
        <f t="shared" si="252"/>
        <v>2.6920152091254752</v>
      </c>
      <c r="L109" s="25">
        <f t="shared" si="252"/>
        <v>2.2160493827160495</v>
      </c>
      <c r="M109" s="25">
        <f t="shared" si="252"/>
        <v>1.5523114355231145</v>
      </c>
      <c r="N109" s="25">
        <f t="shared" si="252"/>
        <v>1.5549019607843138</v>
      </c>
      <c r="O109" s="25">
        <f t="shared" si="252"/>
        <v>1.5</v>
      </c>
      <c r="P109" s="25">
        <f t="shared" si="252"/>
        <v>1.5930735930735931</v>
      </c>
      <c r="Q109" s="118">
        <f t="shared" si="194"/>
        <v>-4.7332843533489655E-2</v>
      </c>
      <c r="R109" s="20"/>
      <c r="S109" s="20">
        <f t="shared" si="252"/>
        <v>1.5930735930735929</v>
      </c>
      <c r="T109" s="20">
        <f t="shared" si="252"/>
        <v>1.5930735930735929</v>
      </c>
      <c r="U109" s="20">
        <f t="shared" si="252"/>
        <v>1.5930735930735929</v>
      </c>
      <c r="V109" s="20">
        <f t="shared" si="252"/>
        <v>1.5930735930735929</v>
      </c>
      <c r="W109" s="20">
        <f t="shared" si="252"/>
        <v>1.5930735930735926</v>
      </c>
      <c r="X109" s="20">
        <f t="shared" si="252"/>
        <v>1.5930735930735926</v>
      </c>
      <c r="Y109" s="20">
        <f t="shared" si="252"/>
        <v>1.5930735930735926</v>
      </c>
      <c r="Z109" s="20">
        <f t="shared" si="252"/>
        <v>1.5930735930735924</v>
      </c>
      <c r="AA109" s="20">
        <f t="shared" si="252"/>
        <v>1.5930735930735924</v>
      </c>
      <c r="AB109" s="20">
        <f t="shared" si="252"/>
        <v>1.5930735930735922</v>
      </c>
      <c r="AC109" s="138">
        <f t="shared" si="196"/>
        <v>-2.2707028002136864E-2</v>
      </c>
      <c r="AD109" s="20"/>
      <c r="AE109" s="20"/>
    </row>
    <row r="110" spans="2:31">
      <c r="B110" s="20" t="s">
        <v>356</v>
      </c>
      <c r="C110" s="20"/>
      <c r="D110" s="20"/>
      <c r="E110" s="20"/>
      <c r="F110" s="20"/>
      <c r="G110" s="25">
        <f>G12/G9</f>
        <v>8.8235294117647065E-2</v>
      </c>
      <c r="H110" s="25">
        <f t="shared" ref="H110:P110" si="253">H12/H9</f>
        <v>0.125</v>
      </c>
      <c r="I110" s="25">
        <f t="shared" si="253"/>
        <v>0.12030075187969924</v>
      </c>
      <c r="J110" s="25">
        <f t="shared" si="253"/>
        <v>0.19289340101522842</v>
      </c>
      <c r="K110" s="25">
        <f t="shared" si="253"/>
        <v>0.6539923954372624</v>
      </c>
      <c r="L110" s="25">
        <f t="shared" si="253"/>
        <v>0.49074074074074076</v>
      </c>
      <c r="M110" s="25">
        <f t="shared" si="253"/>
        <v>0.10948905109489052</v>
      </c>
      <c r="N110" s="25">
        <f t="shared" si="253"/>
        <v>0.20196078431372549</v>
      </c>
      <c r="O110" s="25">
        <f t="shared" si="253"/>
        <v>0.36497326203208558</v>
      </c>
      <c r="P110" s="25">
        <f t="shared" si="253"/>
        <v>0.21789321789321789</v>
      </c>
      <c r="Q110" s="118">
        <f t="shared" si="194"/>
        <v>0.10566197765506669</v>
      </c>
      <c r="R110" s="128"/>
      <c r="S110" s="20">
        <f t="shared" ref="S110:AB110" si="254">S12/S9</f>
        <v>0.21789321789321789</v>
      </c>
      <c r="T110" s="20">
        <f t="shared" si="254"/>
        <v>0.21789321789321789</v>
      </c>
      <c r="U110" s="20">
        <f t="shared" si="254"/>
        <v>0.21789321789321789</v>
      </c>
      <c r="V110" s="20">
        <f t="shared" si="254"/>
        <v>0.21789321789321786</v>
      </c>
      <c r="W110" s="20">
        <f t="shared" si="254"/>
        <v>0.21789321789321786</v>
      </c>
      <c r="X110" s="20">
        <f t="shared" si="254"/>
        <v>0.21789321789321783</v>
      </c>
      <c r="Y110" s="20">
        <f t="shared" si="254"/>
        <v>0.21789321789321786</v>
      </c>
      <c r="Z110" s="20">
        <f t="shared" si="254"/>
        <v>0.21789321789321783</v>
      </c>
      <c r="AA110" s="20">
        <f t="shared" si="254"/>
        <v>0.21789321789321786</v>
      </c>
      <c r="AB110" s="20">
        <f t="shared" si="254"/>
        <v>0.21789321789321783</v>
      </c>
      <c r="AC110" s="118">
        <f t="shared" ref="AC110" si="255">((AB110/S110)^(1/($H$2-$H$1) ))-1</f>
        <v>0</v>
      </c>
      <c r="AD110" s="20"/>
      <c r="AE110" s="20"/>
    </row>
    <row r="111" spans="2:31">
      <c r="B111" s="20" t="s">
        <v>358</v>
      </c>
      <c r="C111" s="20"/>
      <c r="D111" s="20"/>
      <c r="E111" s="20"/>
      <c r="F111" s="20"/>
      <c r="G111" s="25">
        <f>G25/360</f>
        <v>1.875</v>
      </c>
      <c r="H111" s="25">
        <f t="shared" ref="H111:P111" si="256">H25/360</f>
        <v>2.1583333333333332</v>
      </c>
      <c r="I111" s="25">
        <f t="shared" si="256"/>
        <v>2.6361111111111111</v>
      </c>
      <c r="J111" s="25">
        <f t="shared" si="256"/>
        <v>3.5833333333333335</v>
      </c>
      <c r="K111" s="25">
        <f t="shared" si="256"/>
        <v>4.9083333333333332</v>
      </c>
      <c r="L111" s="25">
        <f t="shared" si="256"/>
        <v>5.4944444444444445</v>
      </c>
      <c r="M111" s="25">
        <f t="shared" si="256"/>
        <v>6.2416666666666663</v>
      </c>
      <c r="N111" s="25">
        <f t="shared" si="256"/>
        <v>7.6333333333333337</v>
      </c>
      <c r="O111" s="25">
        <f t="shared" si="256"/>
        <v>8.8722222222222218</v>
      </c>
      <c r="P111" s="25">
        <f t="shared" si="256"/>
        <v>10.561111111111112</v>
      </c>
      <c r="Q111" s="118">
        <f t="shared" si="194"/>
        <v>0.21174723593215905</v>
      </c>
      <c r="R111" s="128"/>
      <c r="S111" s="25">
        <f t="shared" ref="S111:AB111" si="257">S25/360</f>
        <v>11.828444444444447</v>
      </c>
      <c r="T111" s="25">
        <f t="shared" si="257"/>
        <v>13.24785777777778</v>
      </c>
      <c r="U111" s="25">
        <f t="shared" si="257"/>
        <v>14.837600711111115</v>
      </c>
      <c r="V111" s="25">
        <f t="shared" si="257"/>
        <v>16.61811279644445</v>
      </c>
      <c r="W111" s="25">
        <f t="shared" si="257"/>
        <v>18.612286332017785</v>
      </c>
      <c r="X111" s="25">
        <f t="shared" si="257"/>
        <v>20.845760691859919</v>
      </c>
      <c r="Y111" s="25">
        <f t="shared" si="257"/>
        <v>23.347251974883111</v>
      </c>
      <c r="Z111" s="25">
        <f t="shared" si="257"/>
        <v>26.148922211869088</v>
      </c>
      <c r="AA111" s="25">
        <f t="shared" si="257"/>
        <v>29.286792877293383</v>
      </c>
      <c r="AB111" s="25">
        <f t="shared" si="257"/>
        <v>32.801208022568595</v>
      </c>
      <c r="AC111" s="118">
        <f t="shared" ref="AC111:AC122" si="258">((AB111/S111)^(1/($H$2-$H$1) ))-1</f>
        <v>0.12000000000000011</v>
      </c>
      <c r="AD111" s="20"/>
      <c r="AE111" s="20"/>
    </row>
    <row r="112" spans="2:31">
      <c r="B112" s="20" t="s">
        <v>357</v>
      </c>
      <c r="C112" s="20"/>
      <c r="D112" s="20"/>
      <c r="E112" s="20"/>
      <c r="F112" s="20"/>
      <c r="G112" s="25">
        <f>G27/360</f>
        <v>1.55</v>
      </c>
      <c r="H112" s="25">
        <f t="shared" ref="H112:P112" si="259">H27/360</f>
        <v>1.7777777777777777</v>
      </c>
      <c r="I112" s="25">
        <f t="shared" si="259"/>
        <v>2.1916666666666669</v>
      </c>
      <c r="J112" s="25">
        <f t="shared" si="259"/>
        <v>3.0611111111111109</v>
      </c>
      <c r="K112" s="25">
        <f t="shared" si="259"/>
        <v>4.1361111111111111</v>
      </c>
      <c r="L112" s="25">
        <f t="shared" si="259"/>
        <v>4.8555555555555552</v>
      </c>
      <c r="M112" s="25">
        <f t="shared" si="259"/>
        <v>5.0861111111111112</v>
      </c>
      <c r="N112" s="25">
        <f t="shared" si="259"/>
        <v>6.2472222222222218</v>
      </c>
      <c r="O112" s="25">
        <f t="shared" si="259"/>
        <v>7.4055555555555559</v>
      </c>
      <c r="P112" s="25">
        <f t="shared" si="259"/>
        <v>8.6944444444444446</v>
      </c>
      <c r="Q112" s="118">
        <f t="shared" si="194"/>
        <v>0.21118989161507029</v>
      </c>
      <c r="R112" s="128"/>
      <c r="S112" s="25">
        <f t="shared" ref="S112:AB112" si="260">S27/360</f>
        <v>9.7377777777777794</v>
      </c>
      <c r="T112" s="25">
        <f t="shared" si="260"/>
        <v>10.906311111111114</v>
      </c>
      <c r="U112" s="25">
        <f t="shared" si="260"/>
        <v>12.215068444444448</v>
      </c>
      <c r="V112" s="25">
        <f t="shared" si="260"/>
        <v>13.680876657777784</v>
      </c>
      <c r="W112" s="25">
        <f t="shared" si="260"/>
        <v>15.322581856711119</v>
      </c>
      <c r="X112" s="25">
        <f t="shared" si="260"/>
        <v>17.161291679516456</v>
      </c>
      <c r="Y112" s="25">
        <f t="shared" si="260"/>
        <v>19.220646681058433</v>
      </c>
      <c r="Z112" s="25">
        <f t="shared" si="260"/>
        <v>21.527124282785447</v>
      </c>
      <c r="AA112" s="25">
        <f t="shared" si="260"/>
        <v>24.110379196719705</v>
      </c>
      <c r="AB112" s="25">
        <f t="shared" si="260"/>
        <v>27.003624700326068</v>
      </c>
      <c r="AC112" s="118">
        <f t="shared" si="258"/>
        <v>0.12000000000000011</v>
      </c>
      <c r="AD112" s="20"/>
      <c r="AE112" s="20"/>
    </row>
    <row r="113" spans="2:31">
      <c r="B113" s="20"/>
      <c r="C113" s="20"/>
      <c r="D113" s="20"/>
      <c r="E113" s="20"/>
      <c r="F113" s="20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128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128"/>
      <c r="AD113" s="20"/>
      <c r="AE113" s="20"/>
    </row>
    <row r="114" spans="2:31">
      <c r="B114" s="20" t="s">
        <v>367</v>
      </c>
      <c r="C114" s="20"/>
      <c r="D114" s="20"/>
      <c r="E114" s="20"/>
      <c r="F114" s="20"/>
      <c r="G114" s="25">
        <f>G10/G7</f>
        <v>0.17777777777777778</v>
      </c>
      <c r="H114" s="25">
        <f t="shared" ref="H114:P114" si="261">H10/H7</f>
        <v>0.17174515235457063</v>
      </c>
      <c r="I114" s="25">
        <f t="shared" si="261"/>
        <v>0.13559322033898305</v>
      </c>
      <c r="J114" s="25">
        <f t="shared" si="261"/>
        <v>0.30208333333333331</v>
      </c>
      <c r="K114" s="25">
        <f t="shared" si="261"/>
        <v>0.84838709677419355</v>
      </c>
      <c r="L114" s="25">
        <f t="shared" si="261"/>
        <v>0.9605678233438486</v>
      </c>
      <c r="M114" s="25">
        <f t="shared" si="261"/>
        <v>0.53669724770642202</v>
      </c>
      <c r="N114" s="25">
        <f t="shared" si="261"/>
        <v>0.30904059040590404</v>
      </c>
      <c r="O114" s="25">
        <f t="shared" si="261"/>
        <v>0.11161387631975868</v>
      </c>
      <c r="P114" s="25">
        <f t="shared" si="261"/>
        <v>3.0890369473046637E-2</v>
      </c>
      <c r="Q114" s="118">
        <f t="shared" si="194"/>
        <v>-0.1767163049296363</v>
      </c>
      <c r="R114" s="128"/>
      <c r="S114" s="25">
        <f t="shared" ref="S114:AB114" si="262">S10/S7</f>
        <v>3.0890369473046637E-2</v>
      </c>
      <c r="T114" s="25">
        <f t="shared" si="262"/>
        <v>3.0890369473046637E-2</v>
      </c>
      <c r="U114" s="25">
        <f t="shared" si="262"/>
        <v>3.0890369473046637E-2</v>
      </c>
      <c r="V114" s="25">
        <f t="shared" si="262"/>
        <v>3.0890369473046637E-2</v>
      </c>
      <c r="W114" s="25">
        <f t="shared" si="262"/>
        <v>3.0890369473046637E-2</v>
      </c>
      <c r="X114" s="25">
        <f t="shared" si="262"/>
        <v>3.0890369473046641E-2</v>
      </c>
      <c r="Y114" s="25">
        <f t="shared" si="262"/>
        <v>3.0890369473046644E-2</v>
      </c>
      <c r="Z114" s="25">
        <f t="shared" si="262"/>
        <v>3.0890369473046644E-2</v>
      </c>
      <c r="AA114" s="25">
        <f t="shared" si="262"/>
        <v>3.0890369473046644E-2</v>
      </c>
      <c r="AB114" s="25">
        <f t="shared" si="262"/>
        <v>3.0890369473046641E-2</v>
      </c>
      <c r="AC114" s="118">
        <f t="shared" si="258"/>
        <v>0</v>
      </c>
      <c r="AD114" s="20"/>
      <c r="AE114" s="20"/>
    </row>
    <row r="115" spans="2:31">
      <c r="B115" s="20" t="s">
        <v>359</v>
      </c>
      <c r="C115" s="20"/>
      <c r="D115" s="20"/>
      <c r="E115" s="20"/>
      <c r="F115" s="20"/>
      <c r="G115" s="25">
        <f>G10/(G10+G7)</f>
        <v>0.15094339622641509</v>
      </c>
      <c r="H115" s="25">
        <f t="shared" ref="H115:P115" si="263">H10/(H10+H7)</f>
        <v>0.14657210401891252</v>
      </c>
      <c r="I115" s="25">
        <f t="shared" si="263"/>
        <v>0.11940298507462686</v>
      </c>
      <c r="J115" s="25">
        <f t="shared" si="263"/>
        <v>0.23200000000000001</v>
      </c>
      <c r="K115" s="25">
        <f t="shared" si="263"/>
        <v>0.45898778359511344</v>
      </c>
      <c r="L115" s="25">
        <f t="shared" si="263"/>
        <v>0.48994368463395011</v>
      </c>
      <c r="M115" s="25">
        <f t="shared" si="263"/>
        <v>0.34925373134328358</v>
      </c>
      <c r="N115" s="25">
        <f t="shared" si="263"/>
        <v>0.23608174770965468</v>
      </c>
      <c r="O115" s="25">
        <f t="shared" si="263"/>
        <v>0.10040705563093623</v>
      </c>
      <c r="P115" s="25">
        <f t="shared" si="263"/>
        <v>2.9964747356051705E-2</v>
      </c>
      <c r="Q115" s="118">
        <f t="shared" si="194"/>
        <v>-0.16444048484557905</v>
      </c>
      <c r="R115" s="128"/>
      <c r="S115" s="25">
        <f t="shared" ref="S115:AB115" si="264">S10/(S10+S7)</f>
        <v>2.9964747356051702E-2</v>
      </c>
      <c r="T115" s="25">
        <f t="shared" si="264"/>
        <v>2.9964747356051702E-2</v>
      </c>
      <c r="U115" s="25">
        <f t="shared" si="264"/>
        <v>2.9964747356051705E-2</v>
      </c>
      <c r="V115" s="25">
        <f t="shared" si="264"/>
        <v>2.9964747356051705E-2</v>
      </c>
      <c r="W115" s="25">
        <f t="shared" si="264"/>
        <v>2.9964747356051705E-2</v>
      </c>
      <c r="X115" s="25">
        <f t="shared" si="264"/>
        <v>2.9964747356051709E-2</v>
      </c>
      <c r="Y115" s="25">
        <f t="shared" si="264"/>
        <v>2.9964747356051712E-2</v>
      </c>
      <c r="Z115" s="25">
        <f t="shared" si="264"/>
        <v>2.9964747356051712E-2</v>
      </c>
      <c r="AA115" s="25">
        <f t="shared" si="264"/>
        <v>2.9964747356051712E-2</v>
      </c>
      <c r="AB115" s="25">
        <f t="shared" si="264"/>
        <v>2.9964747356051705E-2</v>
      </c>
      <c r="AC115" s="118">
        <f t="shared" si="258"/>
        <v>0</v>
      </c>
      <c r="AD115" s="20"/>
      <c r="AE115" s="20"/>
    </row>
    <row r="116" spans="2:31">
      <c r="B116" s="20"/>
      <c r="C116" s="20"/>
      <c r="D116" s="20"/>
      <c r="E116" s="20"/>
      <c r="F116" s="20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128"/>
      <c r="R116" s="128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137"/>
      <c r="AD116" s="20"/>
      <c r="AE116" s="20"/>
    </row>
    <row r="117" spans="2:31">
      <c r="B117" s="20" t="s">
        <v>364</v>
      </c>
      <c r="C117" s="20"/>
      <c r="D117" s="20"/>
      <c r="E117" s="20"/>
      <c r="F117" s="20"/>
      <c r="G117" s="25">
        <f>G16</f>
        <v>132</v>
      </c>
      <c r="H117" s="25">
        <f t="shared" ref="H117:P117" si="265">H16</f>
        <v>145</v>
      </c>
      <c r="I117" s="25">
        <f t="shared" si="265"/>
        <v>147</v>
      </c>
      <c r="J117" s="25">
        <f t="shared" si="265"/>
        <v>224</v>
      </c>
      <c r="K117" s="25">
        <f t="shared" si="265"/>
        <v>477</v>
      </c>
      <c r="L117" s="25">
        <f t="shared" si="265"/>
        <v>445</v>
      </c>
      <c r="M117" s="25">
        <f t="shared" si="265"/>
        <v>234</v>
      </c>
      <c r="N117" s="25">
        <f t="shared" si="265"/>
        <v>336</v>
      </c>
      <c r="O117" s="25">
        <f t="shared" si="265"/>
        <v>365</v>
      </c>
      <c r="P117" s="25">
        <f t="shared" si="265"/>
        <v>335</v>
      </c>
      <c r="Q117" s="118">
        <f t="shared" si="194"/>
        <v>0.10902467354362688</v>
      </c>
      <c r="R117" s="128"/>
      <c r="S117" s="25">
        <f t="shared" ref="S117:AB117" si="266">S16</f>
        <v>375.20000000000005</v>
      </c>
      <c r="T117" s="25">
        <f t="shared" si="266"/>
        <v>420.2240000000001</v>
      </c>
      <c r="U117" s="25">
        <f t="shared" si="266"/>
        <v>470.65088000000014</v>
      </c>
      <c r="V117" s="25">
        <f t="shared" si="266"/>
        <v>527.12898560000019</v>
      </c>
      <c r="W117" s="25">
        <f t="shared" si="266"/>
        <v>590.38446387200031</v>
      </c>
      <c r="X117" s="25">
        <f t="shared" si="266"/>
        <v>661.2305995366404</v>
      </c>
      <c r="Y117" s="25">
        <f t="shared" si="266"/>
        <v>740.57827148103729</v>
      </c>
      <c r="Z117" s="25">
        <f t="shared" si="266"/>
        <v>829.4476640587618</v>
      </c>
      <c r="AA117" s="25">
        <f t="shared" si="266"/>
        <v>928.98138374581333</v>
      </c>
      <c r="AB117" s="25">
        <f t="shared" si="266"/>
        <v>1040.4591497953111</v>
      </c>
      <c r="AC117" s="118">
        <f t="shared" si="258"/>
        <v>0.12000000000000011</v>
      </c>
      <c r="AD117" s="20"/>
      <c r="AE117" s="20"/>
    </row>
    <row r="118" spans="2:31">
      <c r="B118" s="20" t="s">
        <v>365</v>
      </c>
      <c r="C118" s="20"/>
      <c r="D118" s="20"/>
      <c r="E118" s="20"/>
      <c r="F118" s="20"/>
      <c r="G118" s="119">
        <f t="shared" ref="G118:P118" si="267">G117*365/G25</f>
        <v>71.37777777777778</v>
      </c>
      <c r="H118" s="119">
        <f t="shared" si="267"/>
        <v>68.11454311454311</v>
      </c>
      <c r="I118" s="119">
        <f t="shared" si="267"/>
        <v>56.53846153846154</v>
      </c>
      <c r="J118" s="119">
        <f t="shared" si="267"/>
        <v>63.379844961240309</v>
      </c>
      <c r="K118" s="119">
        <f t="shared" si="267"/>
        <v>98.531409168081495</v>
      </c>
      <c r="L118" s="119">
        <f t="shared" si="267"/>
        <v>82.115773508594543</v>
      </c>
      <c r="M118" s="119">
        <f t="shared" si="267"/>
        <v>38.010680907877166</v>
      </c>
      <c r="N118" s="119">
        <f t="shared" si="267"/>
        <v>44.62882096069869</v>
      </c>
      <c r="O118" s="119">
        <f t="shared" si="267"/>
        <v>41.71102066374452</v>
      </c>
      <c r="P118" s="119">
        <f t="shared" si="267"/>
        <v>32.160704892162023</v>
      </c>
      <c r="Q118" s="118">
        <f t="shared" si="194"/>
        <v>-8.4772268788804728E-2</v>
      </c>
      <c r="R118" s="128"/>
      <c r="S118" s="119">
        <f t="shared" ref="S118:AB118" si="268">S117*365/S25</f>
        <v>32.160704892162023</v>
      </c>
      <c r="T118" s="119">
        <f t="shared" si="268"/>
        <v>32.160704892162023</v>
      </c>
      <c r="U118" s="119">
        <f t="shared" si="268"/>
        <v>32.160704892162023</v>
      </c>
      <c r="V118" s="119">
        <f t="shared" si="268"/>
        <v>32.160704892162023</v>
      </c>
      <c r="W118" s="119">
        <f t="shared" si="268"/>
        <v>32.16070489216203</v>
      </c>
      <c r="X118" s="119">
        <f t="shared" si="268"/>
        <v>32.160704892162023</v>
      </c>
      <c r="Y118" s="119">
        <f t="shared" si="268"/>
        <v>32.160704892162023</v>
      </c>
      <c r="Z118" s="119">
        <f t="shared" si="268"/>
        <v>32.160704892162023</v>
      </c>
      <c r="AA118" s="119">
        <f t="shared" si="268"/>
        <v>32.160704892162023</v>
      </c>
      <c r="AB118" s="119">
        <f t="shared" si="268"/>
        <v>32.160704892162023</v>
      </c>
      <c r="AC118" s="118">
        <f t="shared" si="258"/>
        <v>0</v>
      </c>
      <c r="AD118" s="20"/>
      <c r="AE118" s="20"/>
    </row>
    <row r="119" spans="2:31">
      <c r="B119" s="20" t="s">
        <v>368</v>
      </c>
      <c r="C119" s="20"/>
      <c r="D119" s="20"/>
      <c r="E119" s="20"/>
      <c r="F119" s="20"/>
      <c r="G119" s="133">
        <f>G73/G29</f>
        <v>42857.142857142855</v>
      </c>
      <c r="H119" s="133">
        <f t="shared" ref="H119:P119" si="269">H73/H29</f>
        <v>12.698412698412698</v>
      </c>
      <c r="I119" s="133">
        <f t="shared" si="269"/>
        <v>1.5124016938898972</v>
      </c>
      <c r="J119" s="133">
        <f t="shared" si="269"/>
        <v>0.71087393270751631</v>
      </c>
      <c r="K119" s="133">
        <f t="shared" si="269"/>
        <v>0.41337285902503296</v>
      </c>
      <c r="L119" s="133">
        <f t="shared" si="269"/>
        <v>0.21739130434782608</v>
      </c>
      <c r="M119" s="133">
        <f t="shared" si="269"/>
        <v>0.20694890753855594</v>
      </c>
      <c r="N119" s="133">
        <f t="shared" si="269"/>
        <v>0.25467079408988119</v>
      </c>
      <c r="O119" s="133">
        <f t="shared" si="269"/>
        <v>0.31393782251709501</v>
      </c>
      <c r="P119" s="133">
        <f t="shared" si="269"/>
        <v>0.53116021707516048</v>
      </c>
      <c r="Q119" s="118">
        <f t="shared" si="194"/>
        <v>-0.71502926775453468</v>
      </c>
      <c r="R119" s="128"/>
      <c r="S119" s="133">
        <f t="shared" ref="S119:AB119" si="270">S73/S29</f>
        <v>0.35410681138344036</v>
      </c>
      <c r="T119" s="133">
        <f t="shared" si="270"/>
        <v>0.33724458226994325</v>
      </c>
      <c r="U119" s="133">
        <f t="shared" si="270"/>
        <v>0.32118531644756493</v>
      </c>
      <c r="V119" s="133">
        <f t="shared" si="270"/>
        <v>0.30589077756910948</v>
      </c>
      <c r="W119" s="133">
        <f t="shared" si="270"/>
        <v>0.29132455006581853</v>
      </c>
      <c r="X119" s="133">
        <f t="shared" si="270"/>
        <v>0.27745195244363668</v>
      </c>
      <c r="Y119" s="133">
        <f t="shared" si="270"/>
        <v>0.26423995470822542</v>
      </c>
      <c r="Z119" s="133">
        <f t="shared" si="270"/>
        <v>0.25165709972211942</v>
      </c>
      <c r="AA119" s="133">
        <f t="shared" si="270"/>
        <v>0.2396734283067804</v>
      </c>
      <c r="AB119" s="133">
        <f t="shared" si="270"/>
        <v>0.22826040791121943</v>
      </c>
      <c r="AC119" s="118">
        <f t="shared" si="258"/>
        <v>-4.7619047619047672E-2</v>
      </c>
      <c r="AD119" s="20"/>
      <c r="AE119" s="20"/>
    </row>
    <row r="120" spans="2:31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128"/>
      <c r="R120" s="128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137"/>
      <c r="AD120" s="20"/>
      <c r="AE120" s="20"/>
    </row>
    <row r="121" spans="2:31">
      <c r="B121" s="20" t="s">
        <v>375</v>
      </c>
      <c r="C121" s="20"/>
      <c r="D121" s="20"/>
      <c r="E121" s="20"/>
      <c r="F121" s="20"/>
      <c r="G121" s="180" t="e">
        <f>G25/G14</f>
        <v>#DIV/0!</v>
      </c>
      <c r="H121" s="180" t="e">
        <f t="shared" ref="H121:P121" si="271">H25/H14</f>
        <v>#DIV/0!</v>
      </c>
      <c r="I121" s="180" t="e">
        <f t="shared" si="271"/>
        <v>#DIV/0!</v>
      </c>
      <c r="J121" s="180" t="e">
        <f t="shared" si="271"/>
        <v>#DIV/0!</v>
      </c>
      <c r="K121" s="180" t="e">
        <f t="shared" si="271"/>
        <v>#DIV/0!</v>
      </c>
      <c r="L121" s="180" t="e">
        <f t="shared" si="271"/>
        <v>#DIV/0!</v>
      </c>
      <c r="M121" s="180" t="e">
        <f t="shared" si="271"/>
        <v>#DIV/0!</v>
      </c>
      <c r="N121" s="180" t="e">
        <f t="shared" si="271"/>
        <v>#DIV/0!</v>
      </c>
      <c r="O121" s="180" t="e">
        <f t="shared" si="271"/>
        <v>#DIV/0!</v>
      </c>
      <c r="P121" s="180" t="e">
        <f t="shared" si="271"/>
        <v>#DIV/0!</v>
      </c>
      <c r="Q121" s="118" t="e">
        <f t="shared" si="194"/>
        <v>#DIV/0!</v>
      </c>
      <c r="R121" s="128"/>
      <c r="S121" s="20" t="e">
        <f t="shared" ref="S121" si="272">S25/S14</f>
        <v>#DIV/0!</v>
      </c>
      <c r="T121" s="20" t="e">
        <f t="shared" ref="T121:AB121" si="273">T25/T14</f>
        <v>#DIV/0!</v>
      </c>
      <c r="U121" s="20" t="e">
        <f t="shared" si="273"/>
        <v>#DIV/0!</v>
      </c>
      <c r="V121" s="20" t="e">
        <f t="shared" si="273"/>
        <v>#DIV/0!</v>
      </c>
      <c r="W121" s="20" t="e">
        <f t="shared" si="273"/>
        <v>#DIV/0!</v>
      </c>
      <c r="X121" s="20" t="e">
        <f t="shared" si="273"/>
        <v>#DIV/0!</v>
      </c>
      <c r="Y121" s="20" t="e">
        <f t="shared" si="273"/>
        <v>#DIV/0!</v>
      </c>
      <c r="Z121" s="20" t="e">
        <f t="shared" si="273"/>
        <v>#DIV/0!</v>
      </c>
      <c r="AA121" s="20" t="e">
        <f t="shared" si="273"/>
        <v>#DIV/0!</v>
      </c>
      <c r="AB121" s="20" t="e">
        <f t="shared" si="273"/>
        <v>#DIV/0!</v>
      </c>
      <c r="AC121" s="118" t="e">
        <f t="shared" si="258"/>
        <v>#DIV/0!</v>
      </c>
      <c r="AD121" s="20"/>
      <c r="AE121" s="20"/>
    </row>
    <row r="122" spans="2:31">
      <c r="B122" s="20" t="s">
        <v>376</v>
      </c>
      <c r="C122" s="20"/>
      <c r="D122" s="20"/>
      <c r="E122" s="20"/>
      <c r="F122" s="20"/>
      <c r="G122" s="180" t="e">
        <f>G27/G14</f>
        <v>#DIV/0!</v>
      </c>
      <c r="H122" s="180" t="e">
        <f t="shared" ref="H122:P122" si="274">H27/H14</f>
        <v>#DIV/0!</v>
      </c>
      <c r="I122" s="180" t="e">
        <f t="shared" si="274"/>
        <v>#DIV/0!</v>
      </c>
      <c r="J122" s="180" t="e">
        <f t="shared" si="274"/>
        <v>#DIV/0!</v>
      </c>
      <c r="K122" s="180" t="e">
        <f t="shared" si="274"/>
        <v>#DIV/0!</v>
      </c>
      <c r="L122" s="180" t="e">
        <f t="shared" si="274"/>
        <v>#DIV/0!</v>
      </c>
      <c r="M122" s="180" t="e">
        <f t="shared" si="274"/>
        <v>#DIV/0!</v>
      </c>
      <c r="N122" s="180" t="e">
        <f t="shared" si="274"/>
        <v>#DIV/0!</v>
      </c>
      <c r="O122" s="180" t="e">
        <f t="shared" si="274"/>
        <v>#DIV/0!</v>
      </c>
      <c r="P122" s="180" t="e">
        <f t="shared" si="274"/>
        <v>#DIV/0!</v>
      </c>
      <c r="Q122" s="118" t="e">
        <f t="shared" si="194"/>
        <v>#DIV/0!</v>
      </c>
      <c r="R122" s="128"/>
      <c r="S122" s="20" t="e">
        <f t="shared" ref="S122:AB122" si="275">S27/S14</f>
        <v>#DIV/0!</v>
      </c>
      <c r="T122" s="20" t="e">
        <f t="shared" si="275"/>
        <v>#DIV/0!</v>
      </c>
      <c r="U122" s="20" t="e">
        <f t="shared" si="275"/>
        <v>#DIV/0!</v>
      </c>
      <c r="V122" s="20" t="e">
        <f t="shared" si="275"/>
        <v>#DIV/0!</v>
      </c>
      <c r="W122" s="20" t="e">
        <f t="shared" si="275"/>
        <v>#DIV/0!</v>
      </c>
      <c r="X122" s="20" t="e">
        <f t="shared" si="275"/>
        <v>#DIV/0!</v>
      </c>
      <c r="Y122" s="20" t="e">
        <f t="shared" si="275"/>
        <v>#DIV/0!</v>
      </c>
      <c r="Z122" s="20" t="e">
        <f t="shared" si="275"/>
        <v>#DIV/0!</v>
      </c>
      <c r="AA122" s="20" t="e">
        <f t="shared" si="275"/>
        <v>#DIV/0!</v>
      </c>
      <c r="AB122" s="20" t="e">
        <f t="shared" si="275"/>
        <v>#DIV/0!</v>
      </c>
      <c r="AC122" s="118" t="e">
        <f t="shared" si="258"/>
        <v>#DIV/0!</v>
      </c>
      <c r="AD122" s="20"/>
      <c r="AE122" s="20"/>
    </row>
    <row r="123" spans="2:31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128"/>
      <c r="R123" s="128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37"/>
      <c r="AD123" s="20"/>
      <c r="AE123" s="20"/>
    </row>
    <row r="124" spans="2:31">
      <c r="B124" s="108" t="s">
        <v>244</v>
      </c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3"/>
      <c r="R124" s="23"/>
      <c r="S124" s="122" t="s">
        <v>66</v>
      </c>
      <c r="T124" s="20"/>
      <c r="U124" s="20"/>
      <c r="V124" s="20"/>
      <c r="W124" s="20"/>
      <c r="X124" s="20"/>
      <c r="Y124" s="20"/>
      <c r="Z124" s="20"/>
      <c r="AA124" s="20"/>
      <c r="AB124" s="20"/>
      <c r="AC124" s="137"/>
      <c r="AD124" s="20"/>
      <c r="AE124" s="20"/>
    </row>
    <row r="125" spans="2:31">
      <c r="B125" s="23" t="s">
        <v>281</v>
      </c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5"/>
      <c r="Q125" s="160">
        <f>AVERAGE(G47:P47)</f>
        <v>9.7768733809012272</v>
      </c>
      <c r="R125" s="23"/>
      <c r="S125" s="134"/>
      <c r="T125" s="20"/>
      <c r="U125" s="20"/>
      <c r="V125" s="20"/>
      <c r="W125" s="20"/>
      <c r="X125" s="20"/>
      <c r="Y125" s="20"/>
      <c r="Z125" s="20"/>
      <c r="AA125" s="20"/>
      <c r="AB125" s="20"/>
      <c r="AC125" s="137"/>
      <c r="AD125" s="20"/>
      <c r="AE125" s="20"/>
    </row>
    <row r="126" spans="2:31">
      <c r="B126" s="20" t="s">
        <v>25</v>
      </c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140">
        <f>S126+T126</f>
        <v>51.192696639696457</v>
      </c>
      <c r="S126" s="133">
        <f>PV($C$1, ($AB$3-$S$3), 0, -AB47)</f>
        <v>3.1160771867641319</v>
      </c>
      <c r="T126" s="133">
        <f>PV($C$1, ($AB$3-$S$3), 0, -AE47)</f>
        <v>48.076619452932327</v>
      </c>
      <c r="U126" s="20"/>
      <c r="V126" s="20"/>
      <c r="W126" s="20"/>
      <c r="X126" s="20"/>
      <c r="Y126" s="20"/>
      <c r="Z126" s="20"/>
      <c r="AA126" s="20"/>
      <c r="AB126" s="20"/>
      <c r="AC126" s="137"/>
      <c r="AD126" s="20"/>
      <c r="AE126" s="20"/>
    </row>
    <row r="127" spans="2:31">
      <c r="B127" s="20" t="s">
        <v>273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140">
        <f t="shared" ref="R127:R145" si="276">S127+T127</f>
        <v>200.75805736850086</v>
      </c>
      <c r="S127" s="133">
        <f>PV($C$1, ($AB$3-$S$3), 0, -AB49)</f>
        <v>12.220055665908745</v>
      </c>
      <c r="T127" s="133">
        <f>PV($C$1, ($AB$3-$S$3), 0, -AE49)</f>
        <v>188.53800170259211</v>
      </c>
      <c r="U127" s="20"/>
      <c r="V127" s="20"/>
      <c r="W127" s="20"/>
      <c r="X127" s="20"/>
      <c r="Y127" s="20"/>
      <c r="Z127" s="20"/>
      <c r="AA127" s="20"/>
      <c r="AB127" s="20"/>
      <c r="AC127" s="137"/>
      <c r="AD127" s="20"/>
      <c r="AE127" s="20"/>
    </row>
    <row r="128" spans="2:31">
      <c r="B128" s="20" t="s">
        <v>274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140">
        <f t="shared" si="276"/>
        <v>194.55656680169676</v>
      </c>
      <c r="S128" s="133">
        <f>PV($C$1, ($AB$3-$S$3), 0, -AB50)</f>
        <v>11.842573631407628</v>
      </c>
      <c r="T128" s="133">
        <f>PV($C$1, ($AB$3-$S$3), 0, -AE50)</f>
        <v>182.71399317028914</v>
      </c>
      <c r="U128" s="20"/>
      <c r="V128" s="20"/>
      <c r="W128" s="20"/>
      <c r="X128" s="20"/>
      <c r="Y128" s="20"/>
      <c r="Z128" s="20"/>
      <c r="AA128" s="20"/>
      <c r="AB128" s="20"/>
      <c r="AC128" s="137"/>
      <c r="AD128" s="20"/>
      <c r="AE128" s="20"/>
    </row>
    <row r="129" spans="2:31">
      <c r="B129" s="20" t="s">
        <v>275</v>
      </c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140">
        <f t="shared" si="276"/>
        <v>6.2014905668040843</v>
      </c>
      <c r="S129" s="133">
        <f>PV($C$1, ($AB$3-$S$3), 0, -AB51)</f>
        <v>0.37748203450111817</v>
      </c>
      <c r="T129" s="133">
        <f>PV($C$1, ($AB$3-$S$3), 0, -AE51)</f>
        <v>5.8240085323029662</v>
      </c>
      <c r="U129" s="20"/>
      <c r="V129" s="20"/>
      <c r="W129" s="20"/>
      <c r="X129" s="20"/>
      <c r="Y129" s="20"/>
      <c r="Z129" s="20"/>
      <c r="AA129" s="20"/>
      <c r="AB129" s="20"/>
      <c r="AC129" s="137"/>
      <c r="AD129" s="20"/>
      <c r="AE129" s="20"/>
    </row>
    <row r="130" spans="2:31">
      <c r="B130" s="20" t="s">
        <v>276</v>
      </c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140">
        <f t="shared" si="276"/>
        <v>18.36127599191013</v>
      </c>
      <c r="S130" s="133">
        <f>PV($C$1, ($AB$3-$S$3), 0, -AB57)</f>
        <v>1.1176428864640948</v>
      </c>
      <c r="T130" s="133">
        <f>PV($C$1, ($AB$3-$S$3), 0, -AE57)</f>
        <v>17.243633105446037</v>
      </c>
      <c r="U130" s="20"/>
      <c r="V130" s="20"/>
      <c r="W130" s="20"/>
      <c r="X130" s="20"/>
      <c r="Y130" s="20"/>
      <c r="Z130" s="20"/>
      <c r="AA130" s="20"/>
      <c r="AB130" s="20"/>
      <c r="AC130" s="137"/>
      <c r="AD130" s="20"/>
      <c r="AE130" s="20"/>
    </row>
    <row r="131" spans="2:31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140"/>
      <c r="S131" s="133"/>
      <c r="T131" s="20"/>
      <c r="U131" s="20"/>
      <c r="V131" s="20"/>
      <c r="W131" s="20"/>
      <c r="X131" s="20"/>
      <c r="Y131" s="20"/>
      <c r="Z131" s="20"/>
      <c r="AA131" s="20"/>
      <c r="AB131" s="20"/>
      <c r="AC131" s="137"/>
      <c r="AD131" s="20"/>
      <c r="AE131" s="20"/>
    </row>
    <row r="132" spans="2:31">
      <c r="B132" s="20" t="s">
        <v>271</v>
      </c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140">
        <f t="shared" si="276"/>
        <v>194.55656680169676</v>
      </c>
      <c r="S132" s="133">
        <f>PV($C$1, ($AB$3-$S$3), 0, -AB53)</f>
        <v>11.842573631407628</v>
      </c>
      <c r="T132" s="133">
        <f>PV($C$1, ($AB$3-$S$3), 0, -$AE$53)</f>
        <v>182.71399317028914</v>
      </c>
      <c r="U132" s="20"/>
      <c r="V132" s="20"/>
      <c r="W132" s="20"/>
      <c r="X132" s="20"/>
      <c r="Y132" s="20"/>
      <c r="Z132" s="20"/>
      <c r="AA132" s="20"/>
      <c r="AB132" s="20"/>
      <c r="AC132" s="137"/>
      <c r="AD132" s="20"/>
      <c r="AE132" s="20"/>
    </row>
    <row r="133" spans="2:31">
      <c r="B133" s="20" t="s">
        <v>272</v>
      </c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140">
        <f t="shared" si="276"/>
        <v>110.28925380571182</v>
      </c>
      <c r="S133" s="133">
        <f>PV($C$1, ($AB$3-$S$3), 0, -AB54)</f>
        <v>6.7132589273041967</v>
      </c>
      <c r="T133" s="133">
        <f>PV($C$1, ($AB$3-$S$3), 0, -$AE$54)</f>
        <v>103.57599487840763</v>
      </c>
      <c r="U133" s="20"/>
      <c r="V133" s="20"/>
      <c r="W133" s="20"/>
      <c r="X133" s="20"/>
      <c r="Y133" s="20"/>
      <c r="Z133" s="20"/>
      <c r="AA133" s="20"/>
      <c r="AB133" s="20"/>
      <c r="AC133" s="137"/>
      <c r="AD133" s="20"/>
      <c r="AE133" s="20"/>
    </row>
    <row r="134" spans="2:31">
      <c r="B134" s="20" t="s">
        <v>277</v>
      </c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140">
        <f t="shared" si="276"/>
        <v>244.53328489888258</v>
      </c>
      <c r="S134" s="133">
        <f>PV($C$1, ($AB$3-$S$3), 0, -AB55)</f>
        <v>14.88463473297546</v>
      </c>
      <c r="T134" s="133">
        <f>PV($C$1, ($AB$3-$S$3), 0, -$AE$55)</f>
        <v>229.64865016590713</v>
      </c>
      <c r="U134" s="20"/>
      <c r="V134" s="20"/>
      <c r="W134" s="20"/>
      <c r="X134" s="20"/>
      <c r="Y134" s="20"/>
      <c r="Z134" s="20"/>
      <c r="AA134" s="20"/>
      <c r="AB134" s="20"/>
      <c r="AC134" s="137"/>
      <c r="AD134" s="20"/>
      <c r="AE134" s="20"/>
    </row>
    <row r="135" spans="2:31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140"/>
      <c r="S135" s="133"/>
      <c r="T135" s="20"/>
      <c r="U135" s="20"/>
      <c r="V135" s="20"/>
      <c r="W135" s="20"/>
      <c r="X135" s="20"/>
      <c r="Y135" s="20"/>
      <c r="Z135" s="20"/>
      <c r="AA135" s="20"/>
      <c r="AB135" s="20"/>
      <c r="AC135" s="137"/>
      <c r="AD135" s="20"/>
      <c r="AE135" s="20"/>
    </row>
    <row r="136" spans="2:31">
      <c r="B136" s="20" t="s">
        <v>249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40">
        <f t="shared" si="276"/>
        <v>134.24403109317075</v>
      </c>
      <c r="S136" s="133">
        <f>PV($C$1, ($AB$3-$S$3), 0, -AB60)</f>
        <v>8.1713758056712624</v>
      </c>
      <c r="T136" s="133">
        <f>PV($C$1, ($AB$3-$S$3), 0, -AE60)</f>
        <v>126.07265528749949</v>
      </c>
      <c r="U136" s="20"/>
      <c r="V136" s="20"/>
      <c r="W136" s="20"/>
      <c r="X136" s="20"/>
      <c r="Y136" s="20"/>
      <c r="Z136" s="20"/>
      <c r="AA136" s="20"/>
      <c r="AB136" s="20"/>
      <c r="AC136" s="137"/>
      <c r="AD136" s="20"/>
      <c r="AE136" s="20"/>
    </row>
    <row r="137" spans="2:31">
      <c r="B137" s="20" t="s">
        <v>250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140">
        <f t="shared" si="276"/>
        <v>19.009797881249121</v>
      </c>
      <c r="S137" s="133">
        <f>PV($C$1, ($AB$3-$S$3), 0, -AB61)</f>
        <v>2.479538854075972</v>
      </c>
      <c r="T137" s="133">
        <f>PV($C$1, ($AB$3-$S$3), 0, -AE61)</f>
        <v>16.530259027173148</v>
      </c>
      <c r="U137" s="20"/>
      <c r="V137" s="20"/>
      <c r="W137" s="20"/>
      <c r="X137" s="20"/>
      <c r="Y137" s="20"/>
      <c r="Z137" s="20"/>
      <c r="AA137" s="20"/>
      <c r="AB137" s="20"/>
      <c r="AC137" s="137"/>
      <c r="AD137" s="20"/>
      <c r="AE137" s="20"/>
    </row>
    <row r="138" spans="2:31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40"/>
      <c r="S138" s="133"/>
      <c r="T138" s="133"/>
      <c r="U138" s="20"/>
      <c r="V138" s="20"/>
      <c r="W138" s="20"/>
      <c r="X138" s="20"/>
      <c r="Y138" s="20"/>
      <c r="Z138" s="20"/>
      <c r="AA138" s="20"/>
      <c r="AB138" s="20"/>
      <c r="AC138" s="137"/>
      <c r="AD138" s="20"/>
      <c r="AE138" s="20"/>
    </row>
    <row r="139" spans="2:31">
      <c r="B139" s="20" t="s">
        <v>294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40">
        <f t="shared" ref="R139" si="277">S139+T139</f>
        <v>2190.1628654186334</v>
      </c>
      <c r="S139" s="133">
        <f>PV($C$1, ($AB$3-$S$3), 0, -AB12)</f>
        <v>133.31426137330811</v>
      </c>
      <c r="T139" s="133">
        <f>PV($C$1, ($AB$3-$S$3), 0, -AE12)</f>
        <v>2056.8486040453254</v>
      </c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>
      <c r="B140" s="20" t="s">
        <v>295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40">
        <f>S140+T140</f>
        <v>42.726548291428671</v>
      </c>
      <c r="S140" s="140">
        <f>S139/P40</f>
        <v>2.6007464177391362</v>
      </c>
      <c r="T140" s="140">
        <f>T139/P40</f>
        <v>40.125801873689532</v>
      </c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40"/>
      <c r="S141" s="140"/>
      <c r="T141" s="140"/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>
      <c r="B142" s="108" t="s">
        <v>298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40"/>
      <c r="S142" s="133"/>
      <c r="T142" s="133"/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>
      <c r="B143" s="20" t="s">
        <v>283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0">
        <f t="shared" ref="R143" si="278">S143+T143</f>
        <v>43.017644029346918</v>
      </c>
      <c r="S143" s="133">
        <f>PV($C$1, ($AB$3-$S$3), 0, -AB63)+PV($C$1, ($AA$3-$S$3), 0, -AB63)+PV($C$1, ($Z$3-$S$3), 0, -AB63)+PV($C$1, ($Y$3-$S$3), 0, -AB63)+PV($C$1, ($X$3-$S$3), 0, -AB63)+PV($C$1, ($W$3-$S$3), 0, -AB63)+PV($C$1, ($V$3-$S$3), 0, -AB63)+PV($C$1, ($U$3-$S$3), 0, -AB63)+PV($C$1, ($T$3-$S$3), 0, -AB63)+PV($C$1, ($S$3-$S$3), 0, -AB63)</f>
        <v>24.443385290602567</v>
      </c>
      <c r="T143" s="133">
        <f>PV($C$1, ($AB$3-$S$3), 0, -AE63)</f>
        <v>18.574258738744351</v>
      </c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>
      <c r="B144" s="23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0"/>
      <c r="S144" s="133"/>
      <c r="T144" s="133"/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>
      <c r="B145" s="20" t="s">
        <v>291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0">
        <f t="shared" si="276"/>
        <v>9968.9080933129553</v>
      </c>
      <c r="S145" s="133">
        <f>PV($C$1, ($AB$3-$S$3), 0, -AB65)+PV($C$1, ($AA$3-$S$3), 0, -AB65)+PV($C$1, ($Z$3-$S$3), 0, -AB65)+PV($C$1, ($Y$3-$S$3), 0, -AB65)+PV($C$1, ($X$3-$S$3), 0, -AB65)+PV($C$1, ($W$3-$S$3), 0, -AB65)+PV($C$1, ($V$3-$S$3), 0, -AB65)+PV($C$1, ($U$3-$S$3), 0, -AB65)+PV($C$1, ($T$3-$S$3), 0, -AB65)+PV($C$1, ($S$3-$S$3), 0, -AB65)</f>
        <v>5664.5096901452544</v>
      </c>
      <c r="T145" s="133">
        <f>PV($C$1, ($AB$3-$S$3), 0, -AE65)</f>
        <v>4304.3984031677019</v>
      </c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0"/>
      <c r="S146" s="133"/>
      <c r="T146" s="133"/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>
      <c r="B147" s="20" t="s">
        <v>287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40">
        <f t="shared" ref="R147:R150" si="279">S147+T147</f>
        <v>83.574548600667057</v>
      </c>
      <c r="S147" s="133">
        <f>PV($C$1, ($AB$3-$S$3), 0, -AB67)+PV($C$1, ($AA$3-$S$3), 0, -AB67)+PV($C$1, ($Z$3-$S$3), 0, -AB67)+PV($C$1, ($Y$3-$S$3), 0, -AB67)+PV($C$1, ($X$3-$S$3), 0, -AB67)+PV($C$1, ($W$3-$S$3), 0, -AB67)+PV($C$1, ($V$3-$S$3), 0, -AB67)+PV($C$1, ($U$3-$S$3), 0, -AB67)+PV($C$1, ($T$3-$S$3), 0, -AB67)+PV($C$1, ($S$3-$S$3), 0, -AB67)</f>
        <v>47.488534949534937</v>
      </c>
      <c r="T147" s="133">
        <f>PV($C$1, ($AB$3-$S$3), 0, -AE67)</f>
        <v>36.08601365113212</v>
      </c>
      <c r="U147" s="20"/>
      <c r="V147" s="20"/>
      <c r="W147" s="20"/>
      <c r="X147" s="20"/>
      <c r="Y147" s="20"/>
      <c r="Z147" s="20"/>
      <c r="AA147" s="20"/>
      <c r="AB147" s="20"/>
      <c r="AC147" s="137"/>
      <c r="AD147" s="20"/>
      <c r="AE147" s="20"/>
    </row>
    <row r="148" spans="2:31">
      <c r="B148" s="20" t="s">
        <v>288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40">
        <f t="shared" si="279"/>
        <v>135.67640326627279</v>
      </c>
      <c r="S148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77.09372920604882</v>
      </c>
      <c r="T148" s="133">
        <f>PV($C$1, ($AB$3-$S$3), 0, -AE68)</f>
        <v>58.582674060223972</v>
      </c>
      <c r="U148" s="20"/>
      <c r="V148" s="20"/>
      <c r="W148" s="20"/>
      <c r="X148" s="20"/>
      <c r="Y148" s="20"/>
      <c r="Z148" s="20"/>
      <c r="AA148" s="20"/>
      <c r="AB148" s="20"/>
      <c r="AC148" s="137"/>
      <c r="AD148" s="20"/>
      <c r="AE148" s="20"/>
    </row>
    <row r="149" spans="2:31">
      <c r="B149" s="20" t="s">
        <v>289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40">
        <f t="shared" si="279"/>
        <v>-52.101854665605714</v>
      </c>
      <c r="S149" s="133">
        <f>PV($C$1, ($AB$3-$S$3), 0, -AB69)+PV($C$1, ($AA$3-$S$3), 0, -AB69)+PV($C$1, ($Z$3-$S$3), 0, -AB69)+PV($C$1, ($Y$3-$S$3), 0, -AB69)+PV($C$1, ($X$3-$S$3), 0, -AB69)+PV($C$1, ($W$3-$S$3), 0, -AB69)+PV($C$1, ($V$3-$S$3), 0, -AB69)+PV($C$1, ($U$3-$S$3), 0, -AB69)+PV($C$1, ($T$3-$S$3), 0, -AB69)+PV($C$1, ($S$3-$S$3), 0, -AB69)</f>
        <v>-29.605194256513862</v>
      </c>
      <c r="T149" s="133">
        <f>PV($C$1, ($AB$3-$S$3), 0, -AE69)</f>
        <v>-22.496660409091852</v>
      </c>
      <c r="U149" s="20"/>
      <c r="V149" s="20"/>
      <c r="W149" s="20"/>
      <c r="X149" s="20"/>
      <c r="Y149" s="20"/>
      <c r="Z149" s="20"/>
      <c r="AA149" s="20"/>
      <c r="AB149" s="20"/>
      <c r="AC149" s="137"/>
      <c r="AD149" s="20"/>
      <c r="AE149" s="20"/>
    </row>
    <row r="150" spans="2:31">
      <c r="B150" s="20" t="s">
        <v>290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0">
        <f t="shared" si="279"/>
        <v>-165.29776226397755</v>
      </c>
      <c r="S150" s="133">
        <f>PV($C$1, ($AB$3-$S$3), 0, -AB70)+PV($C$1, ($AA$3-$S$3), 0, -AB70)+PV($C$1, ($Z$3-$S$3), 0, -AB70)+PV($C$1, ($Y$3-$S$3), 0, -AB70)+PV($C$1, ($X$3-$S$3), 0, -AB70)+PV($C$1, ($W$3-$S$3), 0, -AB70)+PV($C$1, ($V$3-$S$3), 0, -AB70)+PV($C$1, ($U$3-$S$3), 0, -AB70)+PV($C$1, ($T$3-$S$3), 0, -AB70)+PV($C$1, ($S$3-$S$3), 0, -AB70)</f>
        <v>-93.925108681833336</v>
      </c>
      <c r="T150" s="133">
        <f>PV($C$1, ($AB$3-$S$3), 0, -AE70)</f>
        <v>-71.37265358214421</v>
      </c>
      <c r="U150" s="20"/>
      <c r="V150" s="20"/>
      <c r="W150" s="20"/>
      <c r="X150" s="20"/>
      <c r="Y150" s="20"/>
      <c r="Z150" s="20"/>
      <c r="AA150" s="20"/>
      <c r="AB150" s="20"/>
      <c r="AC150" s="137"/>
      <c r="AD150" s="20"/>
      <c r="AE150" s="20"/>
    </row>
    <row r="151" spans="2:31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40"/>
      <c r="S151" s="133"/>
      <c r="T151" s="133"/>
      <c r="U151" s="20"/>
      <c r="V151" s="20"/>
      <c r="W151" s="20"/>
      <c r="X151" s="20"/>
      <c r="Y151" s="20"/>
      <c r="Z151" s="20"/>
      <c r="AA151" s="20"/>
      <c r="AB151" s="20"/>
      <c r="AC151" s="137"/>
      <c r="AD151" s="20"/>
      <c r="AE151" s="20"/>
    </row>
    <row r="152" spans="2:31">
      <c r="B152" s="20" t="s">
        <v>299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40">
        <f>S152+T152</f>
        <v>13.488297400740567</v>
      </c>
      <c r="S152" s="133">
        <f>PV($C$1, ($AB$3-$S$3), 0, -AB71)+PV($C$1, ($AA$3-$S$3), 0, -AB71)+PV($C$1, ($Z$3-$S$3), 0, -AB71)+PV($C$1, ($Y$3-$S$3), 0, -AB71)+PV($C$1, ($X$3-$S$3), 0, -AB71)+PV($C$1, ($W$3-$S$3), 0, -AB71)+PV($C$1, ($V$3-$S$3), 0, -AB71)+PV($C$1, ($U$3-$S$3), 0, -AB71)+PV($C$1, ($T$3-$S$3), 0, -AB71)+PV($C$1, ($S$3-$S$3), 0, -AB71)</f>
        <v>7.6642888684376</v>
      </c>
      <c r="T152" s="133">
        <f>PV($C$1, ($AB$3-$S$3), 0, -AE71)</f>
        <v>5.8240085323029662</v>
      </c>
      <c r="U152" s="20"/>
      <c r="V152" s="20"/>
      <c r="W152" s="20"/>
      <c r="X152" s="20"/>
      <c r="Y152" s="20"/>
      <c r="Z152" s="20"/>
      <c r="AA152" s="20"/>
      <c r="AB152" s="20"/>
      <c r="AC152" s="137"/>
      <c r="AD152" s="20"/>
      <c r="AE152" s="20"/>
    </row>
    <row r="153" spans="2:31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183">
        <v>41729</v>
      </c>
      <c r="P153" s="20">
        <v>250</v>
      </c>
      <c r="Q153" s="20"/>
      <c r="R153" s="20"/>
      <c r="S153" s="121"/>
      <c r="T153" s="20"/>
      <c r="U153" s="20"/>
      <c r="V153" s="20"/>
      <c r="W153" s="20"/>
      <c r="X153" s="20"/>
      <c r="Y153" s="20"/>
      <c r="Z153" s="20"/>
      <c r="AA153" s="20"/>
      <c r="AB153" s="20"/>
      <c r="AC153" s="137"/>
      <c r="AD153" s="20"/>
      <c r="AE153" s="20"/>
    </row>
    <row r="154" spans="2:31">
      <c r="B154" s="108" t="s">
        <v>251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3" t="s">
        <v>391</v>
      </c>
      <c r="P154" s="20">
        <v>280</v>
      </c>
      <c r="Q154" s="20">
        <v>140</v>
      </c>
      <c r="R154" s="23" t="s">
        <v>392</v>
      </c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137"/>
      <c r="AD154" s="20"/>
      <c r="AE154" s="20"/>
    </row>
    <row r="155" spans="2:31">
      <c r="B155" s="20" t="s">
        <v>204</v>
      </c>
      <c r="C155" s="22">
        <v>0</v>
      </c>
      <c r="D155" s="22">
        <v>0</v>
      </c>
      <c r="E155" s="22">
        <v>0</v>
      </c>
      <c r="F155" s="22">
        <v>0</v>
      </c>
      <c r="G155" s="22">
        <v>310</v>
      </c>
      <c r="H155" s="22">
        <v>450</v>
      </c>
      <c r="I155" s="22">
        <v>120</v>
      </c>
      <c r="J155" s="22">
        <v>190</v>
      </c>
      <c r="K155" s="22">
        <v>200</v>
      </c>
      <c r="L155" s="22">
        <v>140</v>
      </c>
      <c r="M155" s="22">
        <v>150</v>
      </c>
      <c r="N155" s="22">
        <v>150</v>
      </c>
      <c r="O155" s="22">
        <v>210</v>
      </c>
      <c r="P155" s="22">
        <v>200</v>
      </c>
      <c r="Q155" s="118">
        <f t="shared" ref="Q155:Q160" si="280">((P155/G155)^(1/($H$2-$H$1) ))-1</f>
        <v>-4.7528403454541235E-2</v>
      </c>
      <c r="R155" s="31">
        <f>L2-3%</f>
        <v>0.09</v>
      </c>
      <c r="S155" s="119">
        <f t="shared" ref="S155" si="281">P155*(1+$R155)</f>
        <v>218.00000000000003</v>
      </c>
      <c r="T155" s="119">
        <f t="shared" ref="T155:AB155" si="282">S155*(1+$R155)</f>
        <v>237.62000000000006</v>
      </c>
      <c r="U155" s="119">
        <f t="shared" si="282"/>
        <v>259.00580000000008</v>
      </c>
      <c r="V155" s="119">
        <f t="shared" si="282"/>
        <v>282.31632200000013</v>
      </c>
      <c r="W155" s="119">
        <f t="shared" si="282"/>
        <v>307.72479098000014</v>
      </c>
      <c r="X155" s="119">
        <f t="shared" si="282"/>
        <v>335.42002216820015</v>
      </c>
      <c r="Y155" s="119">
        <f t="shared" si="282"/>
        <v>365.60782416333819</v>
      </c>
      <c r="Z155" s="119">
        <f t="shared" si="282"/>
        <v>398.51252833803863</v>
      </c>
      <c r="AA155" s="119">
        <f t="shared" si="282"/>
        <v>434.37865588846216</v>
      </c>
      <c r="AB155" s="119">
        <f t="shared" si="282"/>
        <v>473.47273491842378</v>
      </c>
      <c r="AC155" s="138">
        <f t="shared" ref="AC155:AC160" si="283">((AB155/G155)^(1/($AB$3-$H$1) ))-1</f>
        <v>2.2540925666712619E-2</v>
      </c>
      <c r="AD155" s="31">
        <v>0.08</v>
      </c>
      <c r="AE155" s="127">
        <f t="shared" ref="AE155:AE163" si="284">(AB155*(1+AC155))/($C$1-AD155)</f>
        <v>6916.3606948776451</v>
      </c>
    </row>
    <row r="156" spans="2:31">
      <c r="B156" s="20" t="s">
        <v>362</v>
      </c>
      <c r="C156" s="25" t="e">
        <f t="shared" ref="C156:P156" si="285">C155/C44</f>
        <v>#DIV/0!</v>
      </c>
      <c r="D156" s="25" t="e">
        <f t="shared" si="285"/>
        <v>#DIV/0!</v>
      </c>
      <c r="E156" s="25" t="e">
        <f t="shared" si="285"/>
        <v>#DIV/0!</v>
      </c>
      <c r="F156" s="25" t="e">
        <f t="shared" si="285"/>
        <v>#DIV/0!</v>
      </c>
      <c r="G156" s="25">
        <f t="shared" si="285"/>
        <v>1.1573333333333335</v>
      </c>
      <c r="H156" s="25">
        <f t="shared" si="285"/>
        <v>1.4594594594594597</v>
      </c>
      <c r="I156" s="25">
        <f t="shared" si="285"/>
        <v>3.1903055848261328</v>
      </c>
      <c r="J156" s="25">
        <f t="shared" si="285"/>
        <v>3.7160465116279071</v>
      </c>
      <c r="K156" s="25">
        <f t="shared" si="285"/>
        <v>2.8636106395019807</v>
      </c>
      <c r="L156" s="25">
        <f t="shared" si="285"/>
        <v>1.7906976744186049</v>
      </c>
      <c r="M156" s="25">
        <f t="shared" si="285"/>
        <v>3.3785046728971966</v>
      </c>
      <c r="N156" s="25">
        <f t="shared" si="285"/>
        <v>2.7625545851528384</v>
      </c>
      <c r="O156" s="25">
        <f t="shared" si="285"/>
        <v>3.3373825923606759</v>
      </c>
      <c r="P156" s="25">
        <f t="shared" si="285"/>
        <v>2.6964755391899002</v>
      </c>
      <c r="Q156" s="118">
        <f t="shared" ref="Q156" si="286">((P156/G156)^(1/($H$2-$H$1) ))-1</f>
        <v>9.8538636233219679E-2</v>
      </c>
      <c r="R156" s="128"/>
      <c r="S156" s="25">
        <f t="shared" ref="S156:AB156" si="287">S155/S44</f>
        <v>3.9363727737281131</v>
      </c>
      <c r="T156" s="25">
        <f t="shared" si="287"/>
        <v>4.0224809281534153</v>
      </c>
      <c r="U156" s="25">
        <f t="shared" si="287"/>
        <v>4.1104726984567712</v>
      </c>
      <c r="V156" s="25">
        <f t="shared" si="287"/>
        <v>4.2003892887355141</v>
      </c>
      <c r="W156" s="25">
        <f t="shared" si="287"/>
        <v>4.2922728044266041</v>
      </c>
      <c r="X156" s="25">
        <f t="shared" si="287"/>
        <v>4.386166272023436</v>
      </c>
      <c r="Y156" s="25">
        <f t="shared" si="287"/>
        <v>4.4821136592239492</v>
      </c>
      <c r="Z156" s="25">
        <f t="shared" si="287"/>
        <v>4.580159895519472</v>
      </c>
      <c r="AA156" s="25">
        <f t="shared" si="287"/>
        <v>4.6803508932339613</v>
      </c>
      <c r="AB156" s="25">
        <f t="shared" si="287"/>
        <v>4.7827335690234536</v>
      </c>
      <c r="AC156" s="138">
        <f t="shared" ref="AC156" si="288">((AB156/G156)^(1/($AB$3-$H$1) ))-1</f>
        <v>7.7537794506113755E-2</v>
      </c>
      <c r="AD156" s="31">
        <v>0.08</v>
      </c>
      <c r="AE156" s="127">
        <f t="shared" ref="AE156" si="289">(AB156*(1+AC156))/($C$1-AD156)</f>
        <v>73.622516881084096</v>
      </c>
    </row>
    <row r="157" spans="2:31">
      <c r="B157" s="20" t="s">
        <v>390</v>
      </c>
      <c r="C157" s="25" t="e">
        <f t="shared" ref="C157:P157" si="290">C155/C47</f>
        <v>#DIV/0!</v>
      </c>
      <c r="D157" s="25" t="e">
        <f t="shared" si="290"/>
        <v>#DIV/0!</v>
      </c>
      <c r="E157" s="25" t="e">
        <f t="shared" si="290"/>
        <v>#DIV/0!</v>
      </c>
      <c r="F157" s="25" t="e">
        <f t="shared" si="290"/>
        <v>#DIV/0!</v>
      </c>
      <c r="G157" s="25">
        <f t="shared" si="290"/>
        <v>12.806557377049181</v>
      </c>
      <c r="H157" s="25">
        <f t="shared" si="290"/>
        <v>15.75</v>
      </c>
      <c r="I157" s="25">
        <f t="shared" si="290"/>
        <v>35.204651162790697</v>
      </c>
      <c r="J157" s="25">
        <f t="shared" si="290"/>
        <v>43.18648648648648</v>
      </c>
      <c r="K157" s="25">
        <f t="shared" si="290"/>
        <v>29.5906432748538</v>
      </c>
      <c r="L157" s="25">
        <f t="shared" si="290"/>
        <v>32.200000000000003</v>
      </c>
      <c r="M157" s="25">
        <f t="shared" si="290"/>
        <v>27.605454545454545</v>
      </c>
      <c r="N157" s="25">
        <f t="shared" si="290"/>
        <v>24.647727272727273</v>
      </c>
      <c r="O157" s="25">
        <f t="shared" si="290"/>
        <v>33.104347826086958</v>
      </c>
      <c r="P157" s="25">
        <f t="shared" si="290"/>
        <v>24.351543942992873</v>
      </c>
      <c r="Q157" s="118">
        <f t="shared" si="280"/>
        <v>7.4015269308825182E-2</v>
      </c>
      <c r="R157" s="128"/>
      <c r="S157" s="119">
        <f t="shared" ref="S157:AB157" si="291">S155/S47</f>
        <v>35.548905666779774</v>
      </c>
      <c r="T157" s="119">
        <f t="shared" si="291"/>
        <v>36.32653797824058</v>
      </c>
      <c r="U157" s="119">
        <f t="shared" si="291"/>
        <v>37.121180996514596</v>
      </c>
      <c r="V157" s="119">
        <f t="shared" si="291"/>
        <v>37.933206830813361</v>
      </c>
      <c r="W157" s="119">
        <f t="shared" si="291"/>
        <v>38.762995730237407</v>
      </c>
      <c r="X157" s="119">
        <f t="shared" si="291"/>
        <v>39.610936261836343</v>
      </c>
      <c r="Y157" s="119">
        <f t="shared" si="291"/>
        <v>40.477425492564024</v>
      </c>
      <c r="Z157" s="119">
        <f t="shared" si="291"/>
        <v>41.362869175213859</v>
      </c>
      <c r="AA157" s="119">
        <f t="shared" si="291"/>
        <v>42.267681938421667</v>
      </c>
      <c r="AB157" s="119">
        <f t="shared" si="291"/>
        <v>43.192287480824639</v>
      </c>
      <c r="AC157" s="138">
        <f t="shared" si="283"/>
        <v>6.6075824741553157E-2</v>
      </c>
      <c r="AD157" s="31">
        <v>0.08</v>
      </c>
      <c r="AE157" s="127">
        <f t="shared" si="284"/>
        <v>657.80362140849138</v>
      </c>
    </row>
    <row r="158" spans="2:31">
      <c r="B158" s="20" t="s">
        <v>259</v>
      </c>
      <c r="C158" s="25" t="e">
        <f t="shared" ref="C158:P158" si="292">C155/C50</f>
        <v>#DIV/0!</v>
      </c>
      <c r="D158" s="25" t="e">
        <f t="shared" si="292"/>
        <v>#DIV/0!</v>
      </c>
      <c r="E158" s="25" t="e">
        <f t="shared" si="292"/>
        <v>#DIV/0!</v>
      </c>
      <c r="F158" s="25" t="e">
        <f t="shared" si="292"/>
        <v>#DIV/0!</v>
      </c>
      <c r="G158" s="25">
        <f t="shared" si="292"/>
        <v>2.7031141868512112</v>
      </c>
      <c r="H158" s="25">
        <f t="shared" si="292"/>
        <v>3.3749999999999996</v>
      </c>
      <c r="I158" s="25">
        <f t="shared" si="292"/>
        <v>7.8030927835051553</v>
      </c>
      <c r="J158" s="25">
        <f t="shared" si="292"/>
        <v>10.535604395604397</v>
      </c>
      <c r="K158" s="25">
        <f t="shared" si="292"/>
        <v>8.5617597292724206</v>
      </c>
      <c r="L158" s="25">
        <f t="shared" si="292"/>
        <v>5.2944693572496258</v>
      </c>
      <c r="M158" s="25">
        <f t="shared" si="292"/>
        <v>9.2466504263093796</v>
      </c>
      <c r="N158" s="25">
        <f t="shared" si="292"/>
        <v>7.341876208897486</v>
      </c>
      <c r="O158" s="25">
        <f t="shared" si="292"/>
        <v>8.3604705882352945</v>
      </c>
      <c r="P158" s="25">
        <f t="shared" si="292"/>
        <v>6.4074999999999998</v>
      </c>
      <c r="Q158" s="118">
        <f t="shared" si="280"/>
        <v>0.10064467274107192</v>
      </c>
      <c r="R158" s="128"/>
      <c r="S158" s="119">
        <f t="shared" ref="S158:AB158" si="293">S155/S50</f>
        <v>9.3538058035714293</v>
      </c>
      <c r="T158" s="119">
        <f t="shared" si="293"/>
        <v>9.5584203055245531</v>
      </c>
      <c r="U158" s="119">
        <f t="shared" si="293"/>
        <v>9.7675107497079026</v>
      </c>
      <c r="V158" s="119">
        <f t="shared" si="293"/>
        <v>9.9811750473577661</v>
      </c>
      <c r="W158" s="119">
        <f t="shared" si="293"/>
        <v>10.199513251518717</v>
      </c>
      <c r="X158" s="119">
        <f t="shared" si="293"/>
        <v>10.422627603895689</v>
      </c>
      <c r="Y158" s="119">
        <f t="shared" si="293"/>
        <v>10.650622582730909</v>
      </c>
      <c r="Z158" s="119">
        <f t="shared" si="293"/>
        <v>10.883604951728147</v>
      </c>
      <c r="AA158" s="119">
        <f t="shared" si="293"/>
        <v>11.121683810047202</v>
      </c>
      <c r="AB158" s="119">
        <f t="shared" si="293"/>
        <v>11.364970643391983</v>
      </c>
      <c r="AC158" s="138">
        <f t="shared" si="283"/>
        <v>7.8515826436378111E-2</v>
      </c>
      <c r="AD158" s="31">
        <v>0.08</v>
      </c>
      <c r="AE158" s="127">
        <f t="shared" si="284"/>
        <v>175.10429579832973</v>
      </c>
    </row>
    <row r="159" spans="2:31">
      <c r="B159" s="20" t="s">
        <v>260</v>
      </c>
      <c r="C159" s="25" t="e">
        <f t="shared" ref="C159:P159" si="294">C155/C59</f>
        <v>#DIV/0!</v>
      </c>
      <c r="D159" s="25" t="e">
        <f t="shared" si="294"/>
        <v>#DIV/0!</v>
      </c>
      <c r="E159" s="25" t="e">
        <f t="shared" si="294"/>
        <v>#DIV/0!</v>
      </c>
      <c r="F159" s="25" t="e">
        <f t="shared" si="294"/>
        <v>#DIV/0!</v>
      </c>
      <c r="G159" s="25">
        <f t="shared" si="294"/>
        <v>29.479245283018869</v>
      </c>
      <c r="H159" s="25">
        <f t="shared" si="294"/>
        <v>34.363636363636367</v>
      </c>
      <c r="I159" s="25">
        <f t="shared" si="294"/>
        <v>94.612499999999997</v>
      </c>
      <c r="J159" s="25">
        <f t="shared" si="294"/>
        <v>88.772222222222226</v>
      </c>
      <c r="K159" s="25">
        <f t="shared" si="294"/>
        <v>28.874686144715817</v>
      </c>
      <c r="L159" s="25">
        <f t="shared" si="294"/>
        <v>19.145945945945943</v>
      </c>
      <c r="M159" s="25">
        <f t="shared" si="294"/>
        <v>24.253993610223642</v>
      </c>
      <c r="N159" s="25">
        <f t="shared" si="294"/>
        <v>27.807692307692307</v>
      </c>
      <c r="O159" s="25">
        <f t="shared" si="294"/>
        <v>28.73207547169811</v>
      </c>
      <c r="P159" s="25">
        <f t="shared" si="294"/>
        <v>23.09009009009009</v>
      </c>
      <c r="Q159" s="118">
        <f t="shared" si="280"/>
        <v>-2.677750025381942E-2</v>
      </c>
      <c r="R159" s="128"/>
      <c r="S159" s="119">
        <f t="shared" ref="S159:AB159" si="295">S155/S59</f>
        <v>33.707408301158303</v>
      </c>
      <c r="T159" s="119">
        <f t="shared" si="295"/>
        <v>34.44475785774614</v>
      </c>
      <c r="U159" s="119">
        <f t="shared" si="295"/>
        <v>35.198236935884346</v>
      </c>
      <c r="V159" s="119">
        <f t="shared" si="295"/>
        <v>35.968198368856811</v>
      </c>
      <c r="W159" s="119">
        <f t="shared" si="295"/>
        <v>36.75500270817556</v>
      </c>
      <c r="X159" s="119">
        <f t="shared" si="295"/>
        <v>37.559018392416895</v>
      </c>
      <c r="Y159" s="119">
        <f t="shared" si="295"/>
        <v>38.380621919751022</v>
      </c>
      <c r="Z159" s="119">
        <f t="shared" si="295"/>
        <v>39.220198024245569</v>
      </c>
      <c r="AA159" s="119">
        <f t="shared" si="295"/>
        <v>40.078139856025949</v>
      </c>
      <c r="AB159" s="119">
        <f t="shared" si="295"/>
        <v>40.954849165376515</v>
      </c>
      <c r="AC159" s="138">
        <f t="shared" si="283"/>
        <v>1.7454996737696016E-2</v>
      </c>
      <c r="AD159" s="31">
        <v>0.08</v>
      </c>
      <c r="AE159" s="127">
        <f t="shared" si="284"/>
        <v>595.2816560564429</v>
      </c>
    </row>
    <row r="160" spans="2:31">
      <c r="B160" s="20" t="s">
        <v>261</v>
      </c>
      <c r="C160" s="25" t="e">
        <f t="shared" ref="C160:P160" si="296">C155/C61</f>
        <v>#DIV/0!</v>
      </c>
      <c r="D160" s="25" t="e">
        <f t="shared" si="296"/>
        <v>#DIV/0!</v>
      </c>
      <c r="E160" s="25" t="e">
        <f t="shared" si="296"/>
        <v>#DIV/0!</v>
      </c>
      <c r="F160" s="25" t="e">
        <f t="shared" si="296"/>
        <v>#DIV/0!</v>
      </c>
      <c r="G160" s="25">
        <f t="shared" si="296"/>
        <v>5.918181818181818</v>
      </c>
      <c r="H160" s="25">
        <f t="shared" si="296"/>
        <v>7.8206896551724139</v>
      </c>
      <c r="I160" s="25">
        <f t="shared" si="296"/>
        <v>20.595918367346936</v>
      </c>
      <c r="J160" s="25">
        <f t="shared" si="296"/>
        <v>21.400446428571428</v>
      </c>
      <c r="K160" s="25">
        <f t="shared" si="296"/>
        <v>10.607966457023062</v>
      </c>
      <c r="L160" s="25">
        <f t="shared" si="296"/>
        <v>7.9595505617977533</v>
      </c>
      <c r="M160" s="25">
        <f t="shared" si="296"/>
        <v>32.442307692307686</v>
      </c>
      <c r="N160" s="25">
        <f t="shared" si="296"/>
        <v>22.59375</v>
      </c>
      <c r="O160" s="25">
        <f t="shared" si="296"/>
        <v>29.204383561643834</v>
      </c>
      <c r="P160" s="25">
        <f t="shared" si="296"/>
        <v>30.602985074626865</v>
      </c>
      <c r="Q160" s="118">
        <f t="shared" si="280"/>
        <v>0.2002899374338607</v>
      </c>
      <c r="R160" s="128"/>
      <c r="S160" s="119">
        <f t="shared" ref="S160:AB160" si="297">S155/S61</f>
        <v>44.674893390191897</v>
      </c>
      <c r="T160" s="119">
        <f t="shared" si="297"/>
        <v>45.652156683102341</v>
      </c>
      <c r="U160" s="119">
        <f t="shared" si="297"/>
        <v>46.650797610545212</v>
      </c>
      <c r="V160" s="119">
        <f t="shared" si="297"/>
        <v>47.671283808275895</v>
      </c>
      <c r="W160" s="119">
        <f t="shared" si="297"/>
        <v>48.714093141581927</v>
      </c>
      <c r="X160" s="119">
        <f t="shared" si="297"/>
        <v>49.779713929054033</v>
      </c>
      <c r="Y160" s="119">
        <f t="shared" si="297"/>
        <v>50.868645171252098</v>
      </c>
      <c r="Z160" s="119">
        <f t="shared" si="297"/>
        <v>51.981396784373231</v>
      </c>
      <c r="AA160" s="119">
        <f t="shared" si="297"/>
        <v>53.118489839031405</v>
      </c>
      <c r="AB160" s="119">
        <f t="shared" si="297"/>
        <v>54.280456804260211</v>
      </c>
      <c r="AC160" s="138">
        <f t="shared" si="283"/>
        <v>0.12371333943396756</v>
      </c>
      <c r="AD160" s="31">
        <v>0.08</v>
      </c>
      <c r="AE160" s="127">
        <f t="shared" si="284"/>
        <v>871.36676259309252</v>
      </c>
    </row>
    <row r="161" spans="2:31">
      <c r="B161" s="20" t="s">
        <v>282</v>
      </c>
      <c r="C161" s="25" t="e">
        <f>C157/C107</f>
        <v>#DIV/0!</v>
      </c>
      <c r="D161" s="25" t="e">
        <f>D157/D107</f>
        <v>#DIV/0!</v>
      </c>
      <c r="E161" s="25" t="e">
        <f>E157/E107</f>
        <v>#DIV/0!</v>
      </c>
      <c r="F161" s="25" t="e">
        <f>F157/F107</f>
        <v>#DIV/0!</v>
      </c>
      <c r="G161" s="182">
        <f t="shared" ref="G161:P161" si="298">G155/G55</f>
        <v>2.0370273794002611</v>
      </c>
      <c r="H161" s="182">
        <f t="shared" si="298"/>
        <v>2.5714285714285716</v>
      </c>
      <c r="I161" s="182">
        <f t="shared" si="298"/>
        <v>5.9598425196850391</v>
      </c>
      <c r="J161" s="182">
        <f t="shared" si="298"/>
        <v>8.6372972972972963</v>
      </c>
      <c r="K161" s="182">
        <f t="shared" si="298"/>
        <v>9.387755102040817</v>
      </c>
      <c r="L161" s="182">
        <f t="shared" si="298"/>
        <v>8.4534606205250604</v>
      </c>
      <c r="M161" s="182">
        <f t="shared" si="298"/>
        <v>12.030903328050712</v>
      </c>
      <c r="N161" s="182">
        <f t="shared" si="298"/>
        <v>7.3561046511627914</v>
      </c>
      <c r="O161" s="182">
        <f t="shared" si="298"/>
        <v>6.868298969072165</v>
      </c>
      <c r="P161" s="182">
        <f t="shared" si="298"/>
        <v>5.0979612133267027</v>
      </c>
      <c r="Q161" s="118">
        <f t="shared" ref="Q161:Q163" si="299">((P161/G161)^(1/($H$2-$H$1) ))-1</f>
        <v>0.10730338859156041</v>
      </c>
      <c r="R161" s="128"/>
      <c r="S161" s="135">
        <f t="shared" ref="S161:AB161" si="300">S155/S55</f>
        <v>7.4421130212403206</v>
      </c>
      <c r="T161" s="135">
        <f t="shared" si="300"/>
        <v>7.6049092435799555</v>
      </c>
      <c r="U161" s="135">
        <f t="shared" si="300"/>
        <v>7.7712666332832656</v>
      </c>
      <c r="V161" s="135">
        <f t="shared" si="300"/>
        <v>7.9412630908863377</v>
      </c>
      <c r="W161" s="135">
        <f t="shared" si="300"/>
        <v>8.1149782209994772</v>
      </c>
      <c r="X161" s="135">
        <f t="shared" si="300"/>
        <v>8.2924933695838394</v>
      </c>
      <c r="Y161" s="135">
        <f t="shared" si="300"/>
        <v>8.4738916620434885</v>
      </c>
      <c r="Z161" s="135">
        <f t="shared" si="300"/>
        <v>8.6592580421506895</v>
      </c>
      <c r="AA161" s="135">
        <f t="shared" si="300"/>
        <v>8.8486793118227354</v>
      </c>
      <c r="AB161" s="135">
        <f t="shared" si="300"/>
        <v>9.0422441717688589</v>
      </c>
      <c r="AC161" s="138">
        <f t="shared" ref="AC161" si="301">((AB161/G161)^(1/($AB$3-$H$1) ))-1</f>
        <v>8.1601634621319974E-2</v>
      </c>
      <c r="AD161" s="31">
        <v>0.08</v>
      </c>
      <c r="AE161" s="127">
        <f t="shared" si="284"/>
        <v>139.71580109757576</v>
      </c>
    </row>
    <row r="162" spans="2:31">
      <c r="B162" s="20" t="s">
        <v>372</v>
      </c>
      <c r="C162" s="161" t="e">
        <f t="shared" ref="C162:P162" si="302">C47/C155</f>
        <v>#DIV/0!</v>
      </c>
      <c r="D162" s="161" t="e">
        <f t="shared" si="302"/>
        <v>#DIV/0!</v>
      </c>
      <c r="E162" s="161" t="e">
        <f t="shared" si="302"/>
        <v>#DIV/0!</v>
      </c>
      <c r="F162" s="161" t="e">
        <f t="shared" si="302"/>
        <v>#DIV/0!</v>
      </c>
      <c r="G162" s="161">
        <f t="shared" si="302"/>
        <v>7.8084997439836143E-2</v>
      </c>
      <c r="H162" s="161">
        <f t="shared" si="302"/>
        <v>6.3492063492063489E-2</v>
      </c>
      <c r="I162" s="161">
        <f t="shared" si="302"/>
        <v>2.8405337561104506E-2</v>
      </c>
      <c r="J162" s="161">
        <f t="shared" si="302"/>
        <v>2.3155391451279806E-2</v>
      </c>
      <c r="K162" s="161">
        <f t="shared" si="302"/>
        <v>3.3794466403162055E-2</v>
      </c>
      <c r="L162" s="161">
        <f t="shared" si="302"/>
        <v>3.1055900621118012E-2</v>
      </c>
      <c r="M162" s="161">
        <f t="shared" si="302"/>
        <v>3.6224725021405522E-2</v>
      </c>
      <c r="N162" s="161">
        <f t="shared" si="302"/>
        <v>4.0571692023974176E-2</v>
      </c>
      <c r="O162" s="161">
        <f t="shared" si="302"/>
        <v>3.0207512477016023E-2</v>
      </c>
      <c r="P162" s="161">
        <f t="shared" si="302"/>
        <v>4.1065158017947717E-2</v>
      </c>
      <c r="Q162" s="118">
        <f t="shared" si="299"/>
        <v>-6.8914540997594087E-2</v>
      </c>
      <c r="R162" s="128"/>
      <c r="S162" s="161">
        <f t="shared" ref="S162:AB162" si="303">S47/S155</f>
        <v>2.8130261149909141E-2</v>
      </c>
      <c r="T162" s="161">
        <f t="shared" si="303"/>
        <v>2.7528084305721484E-2</v>
      </c>
      <c r="U162" s="161">
        <f t="shared" si="303"/>
        <v>2.6938798097342124E-2</v>
      </c>
      <c r="V162" s="161">
        <f t="shared" si="303"/>
        <v>2.6362126578438769E-2</v>
      </c>
      <c r="W162" s="161">
        <f t="shared" si="303"/>
        <v>2.5797799709787173E-2</v>
      </c>
      <c r="X162" s="161">
        <f t="shared" si="303"/>
        <v>2.5245553232819254E-2</v>
      </c>
      <c r="Y162" s="161">
        <f t="shared" si="303"/>
        <v>2.4705128545878162E-2</v>
      </c>
      <c r="Z162" s="161">
        <f t="shared" si="303"/>
        <v>2.4176272583122365E-2</v>
      </c>
      <c r="AA162" s="161">
        <f t="shared" si="303"/>
        <v>2.3658737696021882E-2</v>
      </c>
      <c r="AB162" s="161">
        <f t="shared" si="303"/>
        <v>2.3152281537391444E-2</v>
      </c>
      <c r="AC162" s="138">
        <f t="shared" ref="AC162:AC163" si="304">((AB162/G162)^(1/($AB$3-$H$1) ))-1</f>
        <v>-6.1980417535095866E-2</v>
      </c>
      <c r="AD162" s="31">
        <v>0.08</v>
      </c>
      <c r="AE162" s="127">
        <f t="shared" si="284"/>
        <v>0.3102470494401976</v>
      </c>
    </row>
    <row r="163" spans="2:31">
      <c r="B163" s="20" t="s">
        <v>321</v>
      </c>
      <c r="C163" s="152" t="e">
        <f t="shared" ref="C163:P163" si="305">C41/C155</f>
        <v>#DIV/0!</v>
      </c>
      <c r="D163" s="152" t="e">
        <f t="shared" si="305"/>
        <v>#DIV/0!</v>
      </c>
      <c r="E163" s="152" t="e">
        <f t="shared" si="305"/>
        <v>#DIV/0!</v>
      </c>
      <c r="F163" s="152" t="e">
        <f t="shared" si="305"/>
        <v>#DIV/0!</v>
      </c>
      <c r="G163" s="152">
        <f t="shared" si="305"/>
        <v>2.5806451612903226E-2</v>
      </c>
      <c r="H163" s="152">
        <f t="shared" si="305"/>
        <v>1.7777777777777778E-2</v>
      </c>
      <c r="I163" s="152">
        <f t="shared" si="305"/>
        <v>1.0416666666666666E-2</v>
      </c>
      <c r="J163" s="152">
        <f t="shared" si="305"/>
        <v>7.8947368421052634E-3</v>
      </c>
      <c r="K163" s="152">
        <f t="shared" si="305"/>
        <v>8.7500000000000008E-3</v>
      </c>
      <c r="L163" s="152">
        <f t="shared" si="305"/>
        <v>1.2500000000000001E-2</v>
      </c>
      <c r="M163" s="152">
        <f t="shared" si="305"/>
        <v>0.01</v>
      </c>
      <c r="N163" s="152">
        <f t="shared" si="305"/>
        <v>1.1666666666666667E-2</v>
      </c>
      <c r="O163" s="152">
        <f t="shared" si="305"/>
        <v>9.0476190476190474E-3</v>
      </c>
      <c r="P163" s="152">
        <f t="shared" si="305"/>
        <v>1.3000000000000001E-2</v>
      </c>
      <c r="Q163" s="118">
        <f t="shared" si="299"/>
        <v>-7.335628524711324E-2</v>
      </c>
      <c r="R163" s="128"/>
      <c r="S163" s="152">
        <f t="shared" ref="S163:AB163" si="306">S41/S155</f>
        <v>1.2522935779816514E-2</v>
      </c>
      <c r="T163" s="152">
        <f t="shared" si="306"/>
        <v>1.2063378503492973E-2</v>
      </c>
      <c r="U163" s="152">
        <f t="shared" si="306"/>
        <v>1.1620685714373965E-2</v>
      </c>
      <c r="V163" s="152">
        <f t="shared" si="306"/>
        <v>1.1194238532195103E-2</v>
      </c>
      <c r="W163" s="152">
        <f t="shared" si="306"/>
        <v>1.0783440787894366E-2</v>
      </c>
      <c r="X163" s="152">
        <f t="shared" si="306"/>
        <v>1.0387718190173473E-2</v>
      </c>
      <c r="Y163" s="152">
        <f t="shared" si="306"/>
        <v>1.000651752264417E-2</v>
      </c>
      <c r="Z163" s="152">
        <f t="shared" si="306"/>
        <v>9.6393058704370461E-3</v>
      </c>
      <c r="AA163" s="152">
        <f t="shared" si="306"/>
        <v>9.2855698751916488E-3</v>
      </c>
      <c r="AB163" s="152">
        <f t="shared" si="306"/>
        <v>8.94481501738645E-3</v>
      </c>
      <c r="AC163" s="138">
        <f t="shared" si="304"/>
        <v>-5.4239407168673814E-2</v>
      </c>
      <c r="AD163" s="31">
        <v>0.08</v>
      </c>
      <c r="AE163" s="127">
        <f t="shared" si="284"/>
        <v>0.1208521936229994</v>
      </c>
    </row>
    <row r="164" spans="2:31">
      <c r="B164" s="20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28"/>
      <c r="R164" s="128"/>
      <c r="S164" s="135"/>
      <c r="T164" s="135"/>
      <c r="U164" s="135"/>
      <c r="V164" s="135"/>
      <c r="W164" s="135"/>
      <c r="X164" s="135"/>
      <c r="Y164" s="135"/>
      <c r="Z164" s="135"/>
      <c r="AA164" s="135"/>
      <c r="AB164" s="135"/>
      <c r="AC164" s="137"/>
      <c r="AD164" s="20"/>
      <c r="AE164" s="127"/>
    </row>
    <row r="165" spans="2:31">
      <c r="B165" s="20"/>
      <c r="C165" s="129"/>
      <c r="D165" s="129"/>
      <c r="E165" s="129"/>
      <c r="F165" s="129"/>
      <c r="G165" s="135"/>
      <c r="H165" s="135"/>
      <c r="I165" s="135"/>
      <c r="J165" s="135"/>
      <c r="K165" s="135"/>
      <c r="L165" s="135"/>
      <c r="M165" s="135"/>
      <c r="N165" s="135"/>
      <c r="O165" s="135"/>
      <c r="P165" s="135"/>
      <c r="Q165" s="128"/>
      <c r="R165" s="128"/>
      <c r="S165" s="135"/>
      <c r="T165" s="135"/>
      <c r="U165" s="135"/>
      <c r="V165" s="135"/>
      <c r="W165" s="135"/>
      <c r="X165" s="135"/>
      <c r="Y165" s="135"/>
      <c r="Z165" s="135"/>
      <c r="AA165" s="135"/>
      <c r="AB165" s="135"/>
      <c r="AC165" s="137"/>
      <c r="AD165" s="20"/>
      <c r="AE165" s="20"/>
    </row>
    <row r="166" spans="2:31">
      <c r="B166" s="108" t="s">
        <v>302</v>
      </c>
      <c r="C166" s="20"/>
      <c r="D166" s="20"/>
      <c r="E166" s="20"/>
      <c r="F166" s="20"/>
      <c r="G166" s="20"/>
      <c r="H166" s="20"/>
      <c r="I166" s="20"/>
      <c r="J166" s="20"/>
      <c r="K166" s="197" t="s">
        <v>352</v>
      </c>
      <c r="L166" s="198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137"/>
      <c r="AD166" s="20"/>
      <c r="AE166" s="20"/>
    </row>
    <row r="167" spans="2:31">
      <c r="B167" s="20" t="s">
        <v>300</v>
      </c>
      <c r="C167" s="20" t="s">
        <v>315</v>
      </c>
      <c r="D167" s="20"/>
      <c r="E167" s="20"/>
      <c r="F167" s="20"/>
      <c r="G167" s="20"/>
      <c r="H167" s="20"/>
      <c r="I167" s="20"/>
      <c r="J167" s="20"/>
      <c r="K167" s="20" t="s">
        <v>353</v>
      </c>
      <c r="L167" s="22">
        <v>1</v>
      </c>
      <c r="M167" s="20"/>
      <c r="N167" s="20"/>
      <c r="O167" s="20"/>
      <c r="P167" s="128">
        <f>(P155-R143)/P155</f>
        <v>0.78491177985326543</v>
      </c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137"/>
      <c r="AD167" s="20"/>
      <c r="AE167" s="20"/>
    </row>
    <row r="168" spans="2:31">
      <c r="B168" s="20" t="s">
        <v>350</v>
      </c>
      <c r="C168" s="20" t="s">
        <v>315</v>
      </c>
      <c r="D168" s="20"/>
      <c r="E168" s="20"/>
      <c r="F168" s="20"/>
      <c r="G168" s="20"/>
      <c r="H168" s="20"/>
      <c r="I168" s="20"/>
      <c r="J168" s="20"/>
      <c r="K168" s="172">
        <f>L167</f>
        <v>1</v>
      </c>
      <c r="L168" s="20"/>
      <c r="M168" s="128">
        <f>(P155-(K168*R134))/P155</f>
        <v>-0.22266642449441293</v>
      </c>
      <c r="N168" s="20"/>
      <c r="O168" s="20"/>
      <c r="P168" s="128">
        <f>(P155-R134)/P155</f>
        <v>-0.22266642449441293</v>
      </c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137"/>
      <c r="AD168" s="20"/>
      <c r="AE168" s="20"/>
    </row>
    <row r="169" spans="2:31">
      <c r="B169" s="20" t="s">
        <v>351</v>
      </c>
      <c r="C169" s="20" t="s">
        <v>315</v>
      </c>
      <c r="D169" s="20"/>
      <c r="E169" s="20"/>
      <c r="F169" s="20"/>
      <c r="G169" s="20"/>
      <c r="H169" s="20"/>
      <c r="I169" s="20"/>
      <c r="J169" s="20"/>
      <c r="K169" s="172">
        <f>L167</f>
        <v>1</v>
      </c>
      <c r="L169" s="20"/>
      <c r="M169" s="128">
        <f>(P155-(K168*R127))/P155</f>
        <v>-3.7902868425042867E-3</v>
      </c>
      <c r="N169" s="20"/>
      <c r="O169" s="20"/>
      <c r="P169" s="128">
        <f>(P155-R127)/P155</f>
        <v>-3.7902868425042867E-3</v>
      </c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137"/>
      <c r="AD169" s="20"/>
      <c r="AE169" s="20"/>
    </row>
    <row r="170" spans="2:31">
      <c r="B170" s="20" t="s">
        <v>354</v>
      </c>
      <c r="C170" s="20" t="s">
        <v>315</v>
      </c>
      <c r="D170" s="20"/>
      <c r="E170" s="20"/>
      <c r="F170" s="20"/>
      <c r="G170" s="20"/>
      <c r="H170" s="20"/>
      <c r="I170" s="20"/>
      <c r="J170" s="20"/>
      <c r="K170" s="172">
        <f>L167</f>
        <v>1</v>
      </c>
      <c r="L170" s="20"/>
      <c r="M170" s="128">
        <f>(P155-(K168*R140))/P155</f>
        <v>0.78636725854285661</v>
      </c>
      <c r="N170" s="20"/>
      <c r="O170" s="20"/>
      <c r="P170" s="128">
        <f>(P155-R140)/P155</f>
        <v>0.78636725854285661</v>
      </c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137"/>
      <c r="AD170" s="20"/>
      <c r="AE170" s="20"/>
    </row>
    <row r="171" spans="2:31">
      <c r="B171" s="20" t="s">
        <v>400</v>
      </c>
      <c r="C171" s="20" t="s">
        <v>315</v>
      </c>
      <c r="D171" s="20"/>
      <c r="E171" s="20"/>
      <c r="F171" s="20"/>
      <c r="G171" s="20"/>
      <c r="H171" s="20"/>
      <c r="I171" s="20"/>
      <c r="J171" s="20"/>
      <c r="K171" s="172">
        <v>1</v>
      </c>
      <c r="L171" s="20"/>
      <c r="M171" s="128">
        <f>(P156-(K169*R141))/P156</f>
        <v>1</v>
      </c>
      <c r="N171" s="20"/>
      <c r="O171" s="20"/>
      <c r="P171" s="128">
        <f>(P155-R152)/P155</f>
        <v>0.93255851299629711</v>
      </c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137"/>
      <c r="AD171" s="20"/>
      <c r="AE171" s="20"/>
    </row>
    <row r="172" spans="2:31">
      <c r="B172" s="20" t="s">
        <v>301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5">
        <f>P155/R126</f>
        <v>3.9068072816643458</v>
      </c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137"/>
      <c r="AD172" s="20"/>
      <c r="AE172" s="20"/>
    </row>
    <row r="173" spans="2:31">
      <c r="B173" s="20" t="s">
        <v>372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152">
        <f>1/P172</f>
        <v>0.25596348319848228</v>
      </c>
      <c r="Q173" s="20"/>
      <c r="R173" s="20"/>
      <c r="S173" s="185">
        <f>P155-S174</f>
        <v>189.73428295005371</v>
      </c>
      <c r="T173" s="185">
        <f>S173-T174</f>
        <v>178.9552800476101</v>
      </c>
      <c r="U173" s="185">
        <f>T173-U174</f>
        <v>167.63732700004431</v>
      </c>
      <c r="V173" s="185">
        <f>U173-V174</f>
        <v>155.75347630010023</v>
      </c>
      <c r="W173" s="185">
        <f>V173-W174</f>
        <v>143.27543306515895</v>
      </c>
      <c r="X173" s="185">
        <f>W173-X174</f>
        <v>130.17348766847061</v>
      </c>
      <c r="Y173" s="185">
        <f>X173-Y174</f>
        <v>116.41644500194785</v>
      </c>
      <c r="Z173" s="185">
        <f>Y173-Z174</f>
        <v>101.97155020209895</v>
      </c>
      <c r="AA173" s="185">
        <f>Z173-AA174</f>
        <v>86.804410662257609</v>
      </c>
      <c r="AB173" s="185">
        <f>AA173-AB174</f>
        <v>70.87891414542419</v>
      </c>
      <c r="AC173" s="185">
        <f>AB173-AC174</f>
        <v>54.157142802749107</v>
      </c>
      <c r="AD173" s="185">
        <f>AC173-AD174</f>
        <v>36.599282892940266</v>
      </c>
      <c r="AE173" s="185">
        <f>AD173-AE174</f>
        <v>18.163529987640985</v>
      </c>
    </row>
    <row r="174" spans="2:31">
      <c r="B174" s="20" t="s">
        <v>397</v>
      </c>
      <c r="C174" s="20"/>
      <c r="D174" s="20"/>
      <c r="E174" s="20"/>
      <c r="F174" s="20"/>
      <c r="G174" s="20"/>
      <c r="H174" s="20"/>
      <c r="I174" s="20"/>
      <c r="J174" s="20"/>
      <c r="K174" s="184">
        <v>0.05</v>
      </c>
      <c r="L174" s="20"/>
      <c r="M174" s="181">
        <f>P155/(Q125*(1+K174)^L174)</f>
        <v>20.456437575502701</v>
      </c>
      <c r="N174" s="20"/>
      <c r="O174" s="20"/>
      <c r="P174" s="181">
        <f>P155/Q125</f>
        <v>20.456437575502701</v>
      </c>
      <c r="Q174" s="20"/>
      <c r="R174" s="20"/>
      <c r="S174" s="186">
        <f>Q125*(1+$K$174)</f>
        <v>10.265717049946289</v>
      </c>
      <c r="T174" s="186">
        <f>S174*(1+$K$174)</f>
        <v>10.779002902443604</v>
      </c>
      <c r="U174" s="186">
        <f t="shared" ref="U174:AB174" si="307">T174*(1+$K$174)</f>
        <v>11.317953047565785</v>
      </c>
      <c r="V174" s="186">
        <f t="shared" si="307"/>
        <v>11.883850699944075</v>
      </c>
      <c r="W174" s="186">
        <f t="shared" si="307"/>
        <v>12.478043234941278</v>
      </c>
      <c r="X174" s="186">
        <f t="shared" si="307"/>
        <v>13.101945396688343</v>
      </c>
      <c r="Y174" s="186">
        <f t="shared" si="307"/>
        <v>13.757042666522761</v>
      </c>
      <c r="Z174" s="186">
        <f t="shared" si="307"/>
        <v>14.4448947998489</v>
      </c>
      <c r="AA174" s="186">
        <f t="shared" si="307"/>
        <v>15.167139539841346</v>
      </c>
      <c r="AB174" s="186">
        <f t="shared" si="307"/>
        <v>15.925496516833414</v>
      </c>
      <c r="AC174" s="186">
        <f t="shared" ref="AC174" si="308">AB174*(1+$K$174)</f>
        <v>16.721771342675087</v>
      </c>
      <c r="AD174" s="186">
        <f t="shared" ref="AD174" si="309">AC174*(1+$K$174)</f>
        <v>17.55785990980884</v>
      </c>
      <c r="AE174" s="186">
        <f t="shared" ref="AE174" si="310">AD174*(1+$K$174)</f>
        <v>18.435752905299282</v>
      </c>
    </row>
    <row r="175" spans="2:31">
      <c r="B175" s="20" t="s">
        <v>396</v>
      </c>
      <c r="C175" s="20"/>
      <c r="D175" s="20"/>
      <c r="E175" s="20"/>
      <c r="F175" s="20"/>
      <c r="G175" s="20"/>
      <c r="H175" s="20"/>
      <c r="I175" s="20"/>
      <c r="J175" s="20"/>
      <c r="K175" s="184">
        <v>0.05</v>
      </c>
      <c r="L175" s="20"/>
      <c r="M175" s="181">
        <f>P155/(P47*(1+K175)^L175)</f>
        <v>24.351543942992873</v>
      </c>
      <c r="N175" s="20"/>
      <c r="O175" s="20"/>
      <c r="P175" s="181">
        <f>P155/P47</f>
        <v>24.351543942992873</v>
      </c>
      <c r="Q175" s="20"/>
      <c r="R175" s="20"/>
      <c r="S175" s="186">
        <f>P47*(1+$K$175)</f>
        <v>8.6236831837690211</v>
      </c>
      <c r="T175" s="186">
        <f>S175*(1+$K$175)</f>
        <v>9.054867342957472</v>
      </c>
      <c r="U175" s="186">
        <f t="shared" ref="U175:AB175" si="311">T175*(1+$K$175)</f>
        <v>9.5076107101053466</v>
      </c>
      <c r="V175" s="186">
        <f t="shared" si="311"/>
        <v>9.9829912456106147</v>
      </c>
      <c r="W175" s="186">
        <f t="shared" si="311"/>
        <v>10.482140807891145</v>
      </c>
      <c r="X175" s="186">
        <f t="shared" si="311"/>
        <v>11.006247848285703</v>
      </c>
      <c r="Y175" s="186">
        <f t="shared" si="311"/>
        <v>11.556560240699989</v>
      </c>
      <c r="Z175" s="186">
        <f t="shared" si="311"/>
        <v>12.13438825273499</v>
      </c>
      <c r="AA175" s="186">
        <f t="shared" si="311"/>
        <v>12.741107665371739</v>
      </c>
      <c r="AB175" s="186">
        <f t="shared" si="311"/>
        <v>13.378163048640326</v>
      </c>
      <c r="AC175" s="186">
        <f t="shared" ref="AC175" si="312">AB175*(1+$K$175)</f>
        <v>14.047071201072344</v>
      </c>
      <c r="AD175" s="186">
        <f t="shared" ref="AD175" si="313">AC175*(1+$K$175)</f>
        <v>14.749424761125962</v>
      </c>
      <c r="AE175" s="186">
        <f t="shared" ref="AE175" si="314">AD175*(1+$K$175)</f>
        <v>15.486895999182261</v>
      </c>
    </row>
    <row r="176" spans="2:31"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185">
        <f>P155-S175</f>
        <v>191.37631681623097</v>
      </c>
      <c r="T176" s="185">
        <f>S176-T175</f>
        <v>182.3214494732735</v>
      </c>
      <c r="U176" s="185">
        <f t="shared" ref="U176:Z176" si="315">T176-U175</f>
        <v>172.81383876316815</v>
      </c>
      <c r="V176" s="185">
        <f t="shared" si="315"/>
        <v>162.83084751755754</v>
      </c>
      <c r="W176" s="185">
        <f t="shared" si="315"/>
        <v>152.3487067096664</v>
      </c>
      <c r="X176" s="185">
        <f t="shared" si="315"/>
        <v>141.34245886138069</v>
      </c>
      <c r="Y176" s="185">
        <f t="shared" si="315"/>
        <v>129.78589862068071</v>
      </c>
      <c r="Z176" s="185">
        <f t="shared" si="315"/>
        <v>117.65151036794572</v>
      </c>
      <c r="AA176" s="185">
        <f>Z176-AA175</f>
        <v>104.91040270257398</v>
      </c>
      <c r="AB176" s="185">
        <f t="shared" ref="AB176" si="316">AA176-AB175</f>
        <v>91.532239653933644</v>
      </c>
      <c r="AC176" s="185">
        <f t="shared" ref="AC176" si="317">AB176-AC175</f>
        <v>77.485168452861302</v>
      </c>
      <c r="AD176" s="185">
        <f t="shared" ref="AD176" si="318">AC176-AD175</f>
        <v>62.735743691735337</v>
      </c>
      <c r="AE176" s="185">
        <f t="shared" ref="AE176" si="319">AD176-AE175</f>
        <v>47.248847692553078</v>
      </c>
    </row>
    <row r="177" spans="2:31">
      <c r="B177" s="108" t="s">
        <v>303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</row>
    <row r="178" spans="2:31">
      <c r="B178" s="20" t="s">
        <v>306</v>
      </c>
      <c r="C178" s="25" t="e">
        <f t="shared" ref="C178:P178" si="320">C10/C7</f>
        <v>#DIV/0!</v>
      </c>
      <c r="D178" s="25" t="e">
        <f t="shared" si="320"/>
        <v>#DIV/0!</v>
      </c>
      <c r="E178" s="25" t="e">
        <f t="shared" si="320"/>
        <v>#DIV/0!</v>
      </c>
      <c r="F178" s="25" t="e">
        <f t="shared" si="320"/>
        <v>#DIV/0!</v>
      </c>
      <c r="G178" s="25">
        <f t="shared" si="320"/>
        <v>0.17777777777777778</v>
      </c>
      <c r="H178" s="25">
        <f t="shared" si="320"/>
        <v>0.17174515235457063</v>
      </c>
      <c r="I178" s="25">
        <f t="shared" si="320"/>
        <v>0.13559322033898305</v>
      </c>
      <c r="J178" s="25">
        <f t="shared" si="320"/>
        <v>0.30208333333333331</v>
      </c>
      <c r="K178" s="25">
        <f t="shared" si="320"/>
        <v>0.84838709677419355</v>
      </c>
      <c r="L178" s="25">
        <f t="shared" si="320"/>
        <v>0.9605678233438486</v>
      </c>
      <c r="M178" s="25">
        <f t="shared" si="320"/>
        <v>0.53669724770642202</v>
      </c>
      <c r="N178" s="25">
        <f t="shared" si="320"/>
        <v>0.30904059040590404</v>
      </c>
      <c r="O178" s="25">
        <f t="shared" si="320"/>
        <v>0.11161387631975868</v>
      </c>
      <c r="P178" s="25">
        <f t="shared" si="320"/>
        <v>3.0890369473046637E-2</v>
      </c>
      <c r="Q178" s="118">
        <f t="shared" ref="Q178:Q180" si="321">((P178/G178)^(1/($H$2-$H$1) ))-1</f>
        <v>-0.1767163049296363</v>
      </c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</row>
    <row r="179" spans="2:31">
      <c r="B179" s="20" t="s">
        <v>307</v>
      </c>
      <c r="C179" s="112" t="e">
        <f>C10/C12</f>
        <v>#DIV/0!</v>
      </c>
      <c r="D179" s="112" t="e">
        <f>D10/D12</f>
        <v>#DIV/0!</v>
      </c>
      <c r="E179" s="112" t="e">
        <f>E10/E12</f>
        <v>#DIV/0!</v>
      </c>
      <c r="F179" s="112" t="e">
        <f>F10/F12</f>
        <v>#DIV/0!</v>
      </c>
      <c r="G179" s="112">
        <f>G10/G12</f>
        <v>7.4666666666666668</v>
      </c>
      <c r="H179" s="112">
        <f t="shared" ref="H179:P179" si="322">H10/H12</f>
        <v>4.4285714285714288</v>
      </c>
      <c r="I179" s="112">
        <f t="shared" si="322"/>
        <v>3.5</v>
      </c>
      <c r="J179" s="112">
        <f t="shared" si="322"/>
        <v>3.8157894736842106</v>
      </c>
      <c r="K179" s="112">
        <f t="shared" si="322"/>
        <v>3.058139534883721</v>
      </c>
      <c r="L179" s="112">
        <f t="shared" si="322"/>
        <v>3.8301886792452828</v>
      </c>
      <c r="M179" s="112">
        <f t="shared" si="322"/>
        <v>10.4</v>
      </c>
      <c r="N179" s="112">
        <f t="shared" si="322"/>
        <v>3.2524271844660193</v>
      </c>
      <c r="O179" s="112">
        <f t="shared" si="322"/>
        <v>0.54212454212454209</v>
      </c>
      <c r="P179" s="112">
        <f t="shared" si="322"/>
        <v>0.33774834437086093</v>
      </c>
      <c r="Q179" s="118">
        <f t="shared" si="321"/>
        <v>-0.29106342132808571</v>
      </c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</row>
    <row r="180" spans="2:31">
      <c r="B180" s="20" t="s">
        <v>308</v>
      </c>
      <c r="C180" s="25" t="e">
        <f>C10/(C12+C13)</f>
        <v>#DIV/0!</v>
      </c>
      <c r="D180" s="25" t="e">
        <f>D10/(D12+D13)</f>
        <v>#DIV/0!</v>
      </c>
      <c r="E180" s="25" t="e">
        <f>E10/(E12+E13)</f>
        <v>#DIV/0!</v>
      </c>
      <c r="F180" s="25" t="e">
        <f>F10/(F12+F13)</f>
        <v>#DIV/0!</v>
      </c>
      <c r="G180" s="25">
        <f>G10/(G12+G13)</f>
        <v>2.1132075471698113</v>
      </c>
      <c r="H180" s="25">
        <f t="shared" ref="H180:P180" si="323">H10/(H12+H13)</f>
        <v>1.8787878787878789</v>
      </c>
      <c r="I180" s="25">
        <f t="shared" si="323"/>
        <v>1.75</v>
      </c>
      <c r="J180" s="25">
        <f t="shared" si="323"/>
        <v>2.6851851851851851</v>
      </c>
      <c r="K180" s="25">
        <f t="shared" si="323"/>
        <v>3.0015978087194704</v>
      </c>
      <c r="L180" s="25">
        <f t="shared" si="323"/>
        <v>3.291891891891892</v>
      </c>
      <c r="M180" s="25">
        <f t="shared" si="323"/>
        <v>1.4952076677316295</v>
      </c>
      <c r="N180" s="25">
        <f t="shared" si="323"/>
        <v>1.2271062271062272</v>
      </c>
      <c r="O180" s="25">
        <f t="shared" si="323"/>
        <v>0.39892183288409705</v>
      </c>
      <c r="P180" s="25">
        <f t="shared" si="323"/>
        <v>0.11486486486486487</v>
      </c>
      <c r="Q180" s="118">
        <f t="shared" si="321"/>
        <v>-0.27644479414093459</v>
      </c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</row>
    <row r="181" spans="2:31"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</row>
    <row r="182" spans="2:31"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</row>
    <row r="183" spans="2:31">
      <c r="B183" s="20"/>
      <c r="C183" s="174" t="s">
        <v>378</v>
      </c>
      <c r="D183" s="175"/>
      <c r="E183" s="175"/>
      <c r="F183" s="175"/>
      <c r="G183" s="175"/>
      <c r="H183" s="175"/>
      <c r="I183" s="175"/>
      <c r="J183" s="175"/>
      <c r="K183" s="20"/>
      <c r="L183" s="194" t="s">
        <v>338</v>
      </c>
      <c r="M183" s="195"/>
      <c r="N183" s="196"/>
      <c r="O183" s="23" t="s">
        <v>341</v>
      </c>
      <c r="P183" s="20"/>
      <c r="Q183" s="194" t="s">
        <v>339</v>
      </c>
      <c r="R183" s="195"/>
      <c r="S183" s="196"/>
      <c r="T183" s="23" t="s">
        <v>341</v>
      </c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</row>
    <row r="184" spans="2:31">
      <c r="B184" s="20"/>
      <c r="C184" s="166" t="s">
        <v>340</v>
      </c>
      <c r="D184" s="166" t="s">
        <v>0</v>
      </c>
      <c r="E184" s="166" t="s">
        <v>379</v>
      </c>
      <c r="F184" s="166" t="s">
        <v>380</v>
      </c>
      <c r="G184" s="166" t="s">
        <v>381</v>
      </c>
      <c r="H184" s="166" t="s">
        <v>382</v>
      </c>
      <c r="I184" s="166" t="s">
        <v>383</v>
      </c>
      <c r="J184" s="166" t="s">
        <v>384</v>
      </c>
      <c r="K184" s="20"/>
      <c r="L184" s="166" t="s">
        <v>340</v>
      </c>
      <c r="M184" s="166"/>
      <c r="N184" s="166" t="s">
        <v>0</v>
      </c>
      <c r="O184" s="166" t="s">
        <v>373</v>
      </c>
      <c r="P184" s="20"/>
      <c r="Q184" s="166" t="s">
        <v>340</v>
      </c>
      <c r="R184" s="166"/>
      <c r="S184" s="166" t="s">
        <v>0</v>
      </c>
      <c r="T184" s="166" t="s">
        <v>373</v>
      </c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</row>
    <row r="185" spans="2:31">
      <c r="B185" s="20"/>
      <c r="C185" s="167" t="s">
        <v>342</v>
      </c>
      <c r="D185" s="21">
        <v>1</v>
      </c>
      <c r="E185" s="176" t="s">
        <v>385</v>
      </c>
      <c r="F185" s="22">
        <v>1</v>
      </c>
      <c r="G185" s="22">
        <v>1</v>
      </c>
      <c r="H185" s="167">
        <f>F185/G185</f>
        <v>1</v>
      </c>
      <c r="I185" s="167">
        <f>H185*D186</f>
        <v>1</v>
      </c>
      <c r="J185" s="177">
        <f>I185+D186</f>
        <v>2</v>
      </c>
      <c r="K185" s="20"/>
      <c r="L185" s="167" t="s">
        <v>342</v>
      </c>
      <c r="M185" s="167"/>
      <c r="N185" s="21">
        <v>15</v>
      </c>
      <c r="O185" s="173">
        <f>N185</f>
        <v>15</v>
      </c>
      <c r="P185" s="20"/>
      <c r="Q185" s="167" t="s">
        <v>342</v>
      </c>
      <c r="R185" s="167"/>
      <c r="S185" s="21">
        <v>320</v>
      </c>
      <c r="T185" s="173">
        <f>S185</f>
        <v>320</v>
      </c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</row>
    <row r="186" spans="2:31">
      <c r="B186" s="20"/>
      <c r="C186" s="167" t="s">
        <v>343</v>
      </c>
      <c r="D186" s="21">
        <v>1</v>
      </c>
      <c r="E186" s="176" t="s">
        <v>386</v>
      </c>
      <c r="F186" s="22">
        <v>1</v>
      </c>
      <c r="G186" s="22">
        <v>1</v>
      </c>
      <c r="H186" s="167">
        <f>F186/G186</f>
        <v>1</v>
      </c>
      <c r="I186" s="167">
        <f>H186*J185</f>
        <v>2</v>
      </c>
      <c r="J186" s="167">
        <f>I186+J185</f>
        <v>4</v>
      </c>
      <c r="K186" s="20"/>
      <c r="L186" s="167" t="s">
        <v>343</v>
      </c>
      <c r="M186" s="167"/>
      <c r="N186" s="21">
        <v>1</v>
      </c>
      <c r="O186" s="173">
        <f>N186</f>
        <v>1</v>
      </c>
      <c r="P186" s="20"/>
      <c r="Q186" s="167" t="s">
        <v>343</v>
      </c>
      <c r="R186" s="167"/>
      <c r="S186" s="21">
        <v>1</v>
      </c>
      <c r="T186" s="173">
        <f>S186</f>
        <v>1</v>
      </c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</row>
    <row r="187" spans="2:31">
      <c r="B187" s="20"/>
      <c r="C187" s="167" t="s">
        <v>345</v>
      </c>
      <c r="D187" s="168">
        <f>D185*D186</f>
        <v>1</v>
      </c>
      <c r="E187" s="176" t="s">
        <v>398</v>
      </c>
      <c r="F187" s="22">
        <v>0</v>
      </c>
      <c r="G187" s="22">
        <v>2</v>
      </c>
      <c r="H187" s="167">
        <f>F187/G187</f>
        <v>0</v>
      </c>
      <c r="I187" s="167">
        <f>H187*J186</f>
        <v>0</v>
      </c>
      <c r="J187" s="167">
        <f>I187+J186</f>
        <v>4</v>
      </c>
      <c r="K187" s="20"/>
      <c r="L187" s="167" t="s">
        <v>344</v>
      </c>
      <c r="M187" s="167"/>
      <c r="N187" s="168">
        <f>N185*N186</f>
        <v>15</v>
      </c>
      <c r="O187" s="173">
        <f>N187</f>
        <v>15</v>
      </c>
      <c r="P187" s="20"/>
      <c r="Q187" s="167" t="s">
        <v>345</v>
      </c>
      <c r="R187" s="167"/>
      <c r="S187" s="168">
        <f>S185*S186</f>
        <v>320</v>
      </c>
      <c r="T187" s="173">
        <f>S187</f>
        <v>320</v>
      </c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</row>
    <row r="188" spans="2:31">
      <c r="B188" s="20"/>
      <c r="C188" s="167"/>
      <c r="D188" s="168"/>
      <c r="E188" s="176" t="s">
        <v>387</v>
      </c>
      <c r="F188" s="22">
        <v>10</v>
      </c>
      <c r="G188" s="22">
        <v>2</v>
      </c>
      <c r="H188" s="167">
        <f>F188/G188</f>
        <v>5</v>
      </c>
      <c r="I188" s="167">
        <f>H188*J187</f>
        <v>20</v>
      </c>
      <c r="J188" s="167">
        <f>I188</f>
        <v>20</v>
      </c>
      <c r="K188" s="20"/>
      <c r="L188" s="167" t="s">
        <v>346</v>
      </c>
      <c r="M188" s="167"/>
      <c r="N188" s="21">
        <v>300</v>
      </c>
      <c r="O188" s="21">
        <v>315</v>
      </c>
      <c r="P188" s="20"/>
      <c r="Q188" s="167" t="s">
        <v>346</v>
      </c>
      <c r="R188" s="167"/>
      <c r="S188" s="21">
        <v>320</v>
      </c>
      <c r="T188" s="21">
        <v>315</v>
      </c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</row>
    <row r="189" spans="2:31">
      <c r="B189" s="20"/>
      <c r="C189" s="167" t="s">
        <v>346</v>
      </c>
      <c r="D189" s="21">
        <v>1</v>
      </c>
      <c r="E189" s="176"/>
      <c r="F189" s="167"/>
      <c r="G189" s="167"/>
      <c r="H189" s="169" t="s">
        <v>388</v>
      </c>
      <c r="I189" s="167"/>
      <c r="J189" s="167">
        <f>J188</f>
        <v>20</v>
      </c>
      <c r="K189" s="20"/>
      <c r="L189" s="167" t="s">
        <v>347</v>
      </c>
      <c r="M189" s="167"/>
      <c r="N189" s="168">
        <f>N188*N186</f>
        <v>300</v>
      </c>
      <c r="O189" s="168">
        <f>O188*O186</f>
        <v>315</v>
      </c>
      <c r="P189" s="20"/>
      <c r="Q189" s="167" t="s">
        <v>343</v>
      </c>
      <c r="R189" s="167"/>
      <c r="S189" s="21">
        <v>20</v>
      </c>
      <c r="T189" s="127">
        <f>S189</f>
        <v>20</v>
      </c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</row>
    <row r="190" spans="2:31">
      <c r="B190" s="20"/>
      <c r="C190" s="167" t="s">
        <v>343</v>
      </c>
      <c r="D190" s="21">
        <v>1</v>
      </c>
      <c r="E190" s="176" t="s">
        <v>387</v>
      </c>
      <c r="F190" s="22">
        <v>10</v>
      </c>
      <c r="G190" s="22">
        <v>2</v>
      </c>
      <c r="H190" s="167">
        <f>F190/G190</f>
        <v>5</v>
      </c>
      <c r="I190" s="177">
        <f>H190*D186</f>
        <v>5</v>
      </c>
      <c r="J190" s="177">
        <f>I190</f>
        <v>5</v>
      </c>
      <c r="K190" s="20"/>
      <c r="L190" s="167"/>
      <c r="M190" s="167"/>
      <c r="N190" s="168"/>
      <c r="O190" s="168"/>
      <c r="P190" s="20"/>
      <c r="Q190" s="167" t="s">
        <v>345</v>
      </c>
      <c r="R190" s="167"/>
      <c r="S190" s="168">
        <f>S189*S188</f>
        <v>6400</v>
      </c>
      <c r="T190" s="168">
        <f>T189*T188</f>
        <v>6300</v>
      </c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 spans="2:31">
      <c r="B191" s="20"/>
      <c r="C191" s="167" t="s">
        <v>345</v>
      </c>
      <c r="D191" s="168">
        <f>D190*D189</f>
        <v>1</v>
      </c>
      <c r="E191" s="167"/>
      <c r="F191" s="167"/>
      <c r="G191" s="167"/>
      <c r="H191" s="169" t="s">
        <v>388</v>
      </c>
      <c r="I191" s="167"/>
      <c r="J191" s="167">
        <f>J190</f>
        <v>5</v>
      </c>
      <c r="K191" s="20"/>
      <c r="L191" s="167"/>
      <c r="M191" s="167"/>
      <c r="N191" s="168"/>
      <c r="O191" s="168"/>
      <c r="P191" s="20"/>
      <c r="Q191" s="167"/>
      <c r="R191" s="167"/>
      <c r="S191" s="168"/>
      <c r="T191" s="168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 spans="2:31">
      <c r="B192" s="20"/>
      <c r="C192" s="167"/>
      <c r="D192" s="168"/>
      <c r="E192" s="176" t="s">
        <v>387</v>
      </c>
      <c r="F192" s="22">
        <v>10</v>
      </c>
      <c r="G192" s="22">
        <v>2</v>
      </c>
      <c r="H192" s="167">
        <f>F192/G192</f>
        <v>5</v>
      </c>
      <c r="I192" s="167">
        <f>H192*J191</f>
        <v>25</v>
      </c>
      <c r="J192" s="167">
        <f>I192</f>
        <v>25</v>
      </c>
      <c r="K192" s="20"/>
      <c r="L192" s="169" t="s">
        <v>348</v>
      </c>
      <c r="M192" s="169"/>
      <c r="N192" s="170">
        <f>N189/N187</f>
        <v>20</v>
      </c>
      <c r="O192" s="170">
        <f>O189/O187</f>
        <v>21</v>
      </c>
      <c r="P192" s="20"/>
      <c r="Q192" s="169" t="s">
        <v>348</v>
      </c>
      <c r="R192" s="169"/>
      <c r="S192" s="170">
        <f>S190/S187</f>
        <v>20</v>
      </c>
      <c r="T192" s="170">
        <f>T190/T187</f>
        <v>19.6875</v>
      </c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spans="2:31">
      <c r="B193" s="20"/>
      <c r="C193" s="169" t="s">
        <v>348</v>
      </c>
      <c r="D193" s="170">
        <f>D191/D187</f>
        <v>1</v>
      </c>
      <c r="E193" s="176"/>
      <c r="F193" s="167"/>
      <c r="G193" s="167"/>
      <c r="H193" s="169" t="s">
        <v>388</v>
      </c>
      <c r="I193" s="167"/>
      <c r="J193" s="167">
        <f>J192</f>
        <v>25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spans="2:31"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spans="2:31">
      <c r="B195" s="20"/>
      <c r="C195" s="20"/>
      <c r="D195" s="137"/>
      <c r="E195" s="178"/>
      <c r="F195" s="178"/>
      <c r="G195" s="179"/>
      <c r="H195" s="20"/>
      <c r="I195" s="137"/>
      <c r="J195" s="178"/>
      <c r="K195" s="179"/>
      <c r="L195" s="20"/>
      <c r="M195" s="20">
        <v>8</v>
      </c>
      <c r="N195" s="20">
        <v>12</v>
      </c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spans="2:31" ht="14.25">
      <c r="B196" s="20"/>
      <c r="C196" s="20"/>
      <c r="D196" s="187" t="s">
        <v>27</v>
      </c>
      <c r="E196" s="188"/>
      <c r="F196" s="188"/>
      <c r="G196" s="189"/>
      <c r="H196" s="20"/>
      <c r="I196" s="187" t="s">
        <v>393</v>
      </c>
      <c r="J196" s="188"/>
      <c r="K196" s="189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spans="2:31">
      <c r="B197" s="20"/>
      <c r="C197" s="20"/>
      <c r="D197" s="20" t="s">
        <v>28</v>
      </c>
      <c r="E197" s="127"/>
      <c r="F197" s="127"/>
      <c r="G197" s="21">
        <v>1</v>
      </c>
      <c r="H197" s="20"/>
      <c r="I197" s="20" t="s">
        <v>28</v>
      </c>
      <c r="J197" s="127"/>
      <c r="K197" s="21">
        <f>G197</f>
        <v>1</v>
      </c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spans="2:31">
      <c r="B198" s="20"/>
      <c r="C198" s="20"/>
      <c r="D198" s="20" t="s">
        <v>29</v>
      </c>
      <c r="E198" s="127"/>
      <c r="F198" s="127"/>
      <c r="G198" s="21">
        <v>1</v>
      </c>
      <c r="H198" s="20"/>
      <c r="I198" s="20" t="s">
        <v>29</v>
      </c>
      <c r="J198" s="20"/>
      <c r="K198" s="21">
        <f>G198</f>
        <v>1</v>
      </c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spans="2:31">
      <c r="B199" s="20"/>
      <c r="C199" s="20"/>
      <c r="D199" s="20" t="s">
        <v>30</v>
      </c>
      <c r="E199" s="20"/>
      <c r="F199" s="20"/>
      <c r="G199" s="22">
        <v>1</v>
      </c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pans="2:31">
      <c r="B200" s="20"/>
      <c r="C200" s="20"/>
      <c r="D200" s="23" t="s">
        <v>31</v>
      </c>
      <c r="E200" s="3"/>
      <c r="F200" s="3"/>
      <c r="G200" s="3">
        <f>((G198/G197)^(1/G199))-1</f>
        <v>0</v>
      </c>
      <c r="H200" s="20"/>
      <c r="I200" s="23" t="s">
        <v>394</v>
      </c>
      <c r="J200" s="23"/>
      <c r="K200" s="23">
        <f>(K198-K197)/K197</f>
        <v>0</v>
      </c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spans="2:31">
      <c r="B201" s="20"/>
      <c r="C201" s="20"/>
      <c r="D201" s="23" t="s">
        <v>32</v>
      </c>
      <c r="E201" s="165"/>
      <c r="F201" s="165"/>
      <c r="G201" s="24">
        <f>G199*12</f>
        <v>12</v>
      </c>
      <c r="H201" s="20"/>
      <c r="I201" s="23" t="s">
        <v>395</v>
      </c>
      <c r="J201" s="23"/>
      <c r="K201" s="23">
        <f>K198/K197</f>
        <v>1</v>
      </c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 spans="2:31">
      <c r="B202" s="20"/>
      <c r="C202" s="20"/>
      <c r="D202" s="20" t="s">
        <v>30</v>
      </c>
      <c r="E202" s="25"/>
      <c r="F202" s="25"/>
      <c r="G202" s="25">
        <f>G201/12</f>
        <v>1</v>
      </c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  <row r="203" spans="2:31">
      <c r="B203" s="20"/>
      <c r="C203" s="20"/>
      <c r="D203" s="23" t="s">
        <v>33</v>
      </c>
      <c r="E203" s="3"/>
      <c r="F203" s="3"/>
      <c r="G203" s="3">
        <f>((G198/G197)^(1/G202))-1</f>
        <v>0</v>
      </c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</row>
    <row r="204" spans="2:31"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</row>
    <row r="205" spans="2:31">
      <c r="C205" s="20"/>
      <c r="D205" s="20"/>
      <c r="E205" s="20"/>
      <c r="F205" s="20"/>
      <c r="G205" s="20"/>
      <c r="H205" s="20"/>
      <c r="I205" s="20"/>
      <c r="J205" s="20"/>
      <c r="K205" s="20"/>
    </row>
  </sheetData>
  <mergeCells count="7">
    <mergeCell ref="D196:G196"/>
    <mergeCell ref="I196:K196"/>
    <mergeCell ref="AD2:AE2"/>
    <mergeCell ref="AD3:AE3"/>
    <mergeCell ref="L183:N183"/>
    <mergeCell ref="Q183:S183"/>
    <mergeCell ref="K166:L166"/>
  </mergeCells>
  <pageMargins left="0.7" right="0.7" top="0.75" bottom="0.75" header="0.3" footer="0.3"/>
  <pageSetup orientation="portrait" r:id="rId1"/>
  <ignoredErrors>
    <ignoredError sqref="C157" evalError="1"/>
    <ignoredError sqref="T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C3:J36"/>
  <sheetViews>
    <sheetView topLeftCell="A5" zoomScale="80" zoomScaleNormal="80" workbookViewId="0">
      <selection activeCell="F26" sqref="F26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99" t="s">
        <v>27</v>
      </c>
      <c r="K5" s="199"/>
      <c r="M5" s="199" t="s">
        <v>65</v>
      </c>
      <c r="N5" s="199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99" t="s">
        <v>36</v>
      </c>
      <c r="K14" s="199"/>
      <c r="L14" s="199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/>
      <c r="E5" s="1"/>
      <c r="F5" s="1"/>
      <c r="G5" s="1">
        <v>115.93</v>
      </c>
      <c r="R5" s="199" t="s">
        <v>27</v>
      </c>
      <c r="S5" s="199"/>
    </row>
    <row r="6" spans="2:20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99" t="s">
        <v>36</v>
      </c>
      <c r="S14" s="199"/>
      <c r="T14" s="199"/>
    </row>
    <row r="15" spans="2:20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199" t="s">
        <v>27</v>
      </c>
      <c r="C2" s="199"/>
      <c r="E2" s="199" t="s">
        <v>65</v>
      </c>
      <c r="F2" s="199"/>
      <c r="H2" s="203" t="s">
        <v>36</v>
      </c>
      <c r="I2" s="204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200" t="s">
        <v>68</v>
      </c>
      <c r="E10" s="201"/>
      <c r="F10" s="201"/>
      <c r="G10" s="201"/>
      <c r="H10" s="202"/>
      <c r="I10" s="200" t="s">
        <v>72</v>
      </c>
      <c r="J10" s="201"/>
      <c r="K10" s="201"/>
      <c r="L10" s="202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2014-02-02T05:04:28Z</dcterms:modified>
</cp:coreProperties>
</file>
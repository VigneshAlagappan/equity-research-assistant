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25725"/>
</workbook>
</file>

<file path=xl/calcChain.xml><?xml version="1.0" encoding="utf-8"?>
<calcChain xmlns="http://schemas.openxmlformats.org/spreadsheetml/2006/main">
  <c r="AC98" i="18"/>
  <c r="AC97"/>
  <c r="AC96"/>
  <c r="T96"/>
  <c r="U96"/>
  <c r="V96"/>
  <c r="W96"/>
  <c r="X96"/>
  <c r="Y96"/>
  <c r="Z96"/>
  <c r="AA96"/>
  <c r="AB96"/>
  <c r="T97"/>
  <c r="U97"/>
  <c r="V97"/>
  <c r="W97"/>
  <c r="X97"/>
  <c r="Y97"/>
  <c r="Z97"/>
  <c r="AA97"/>
  <c r="AB97"/>
  <c r="T98"/>
  <c r="U98"/>
  <c r="V98"/>
  <c r="W98"/>
  <c r="X98"/>
  <c r="Y98"/>
  <c r="Z98"/>
  <c r="AA98"/>
  <c r="AB98"/>
  <c r="S98"/>
  <c r="S97"/>
  <c r="S96"/>
  <c r="Q98"/>
  <c r="Q97"/>
  <c r="Q96"/>
  <c r="H98"/>
  <c r="I98"/>
  <c r="J98"/>
  <c r="K98"/>
  <c r="L98"/>
  <c r="M98"/>
  <c r="N98"/>
  <c r="O98"/>
  <c r="P98"/>
  <c r="G98"/>
  <c r="H97"/>
  <c r="I97"/>
  <c r="J97"/>
  <c r="K97"/>
  <c r="L97"/>
  <c r="M97"/>
  <c r="N97"/>
  <c r="O97"/>
  <c r="P97"/>
  <c r="G97"/>
  <c r="H96"/>
  <c r="I96"/>
  <c r="J96"/>
  <c r="K96"/>
  <c r="L96"/>
  <c r="M96"/>
  <c r="N96"/>
  <c r="O96"/>
  <c r="P96"/>
  <c r="G96"/>
  <c r="B98"/>
  <c r="B97"/>
  <c r="H132"/>
  <c r="K145"/>
  <c r="K144"/>
  <c r="K143"/>
  <c r="M145" s="1"/>
  <c r="P145"/>
  <c r="P144"/>
  <c r="S39"/>
  <c r="AD31"/>
  <c r="R31"/>
  <c r="S31" s="1"/>
  <c r="T31" s="1"/>
  <c r="U31" s="1"/>
  <c r="V31" s="1"/>
  <c r="W31" s="1"/>
  <c r="X31" s="1"/>
  <c r="Y31" s="1"/>
  <c r="Z31" s="1"/>
  <c r="AA31" s="1"/>
  <c r="AB31" s="1"/>
  <c r="Q31"/>
  <c r="G86"/>
  <c r="H86"/>
  <c r="I86"/>
  <c r="J86"/>
  <c r="K86"/>
  <c r="L86"/>
  <c r="M86"/>
  <c r="N86"/>
  <c r="O86"/>
  <c r="P86"/>
  <c r="Q161"/>
  <c r="K160"/>
  <c r="Q158"/>
  <c r="K158"/>
  <c r="F94"/>
  <c r="H94"/>
  <c r="I94"/>
  <c r="J94"/>
  <c r="K94"/>
  <c r="L94"/>
  <c r="M94"/>
  <c r="N94"/>
  <c r="O94"/>
  <c r="P94"/>
  <c r="G94"/>
  <c r="F93"/>
  <c r="H93"/>
  <c r="I93"/>
  <c r="J93"/>
  <c r="K93"/>
  <c r="L93"/>
  <c r="M93"/>
  <c r="N93"/>
  <c r="O93"/>
  <c r="P93"/>
  <c r="G93"/>
  <c r="M144" l="1"/>
  <c r="Q86"/>
  <c r="AC31"/>
  <c r="AE31"/>
  <c r="K163"/>
  <c r="Q163"/>
  <c r="Q94"/>
  <c r="Q93"/>
  <c r="R9"/>
  <c r="R10"/>
  <c r="R12"/>
  <c r="R13"/>
  <c r="R14"/>
  <c r="R15"/>
  <c r="R17"/>
  <c r="R19"/>
  <c r="R20"/>
  <c r="R21"/>
  <c r="R22"/>
  <c r="R24"/>
  <c r="R26"/>
  <c r="R28"/>
  <c r="R30"/>
  <c r="S30" s="1"/>
  <c r="T30" s="1"/>
  <c r="U30" s="1"/>
  <c r="V30" s="1"/>
  <c r="W30" s="1"/>
  <c r="X30" s="1"/>
  <c r="Y30" s="1"/>
  <c r="Z30" s="1"/>
  <c r="AA30" s="1"/>
  <c r="AB30" s="1"/>
  <c r="R32"/>
  <c r="R33"/>
  <c r="R35"/>
  <c r="R37"/>
  <c r="R7"/>
  <c r="R6"/>
  <c r="AD9"/>
  <c r="AD10"/>
  <c r="AD11"/>
  <c r="AD12"/>
  <c r="AD13"/>
  <c r="AD14"/>
  <c r="AD15"/>
  <c r="AD17"/>
  <c r="AD19"/>
  <c r="AD20"/>
  <c r="AD21"/>
  <c r="AD22"/>
  <c r="AD24"/>
  <c r="AD26"/>
  <c r="AD28"/>
  <c r="AD30"/>
  <c r="AD32"/>
  <c r="AD33"/>
  <c r="AD35"/>
  <c r="AD37"/>
  <c r="AD39"/>
  <c r="AD40"/>
  <c r="AD43"/>
  <c r="AD44"/>
  <c r="AD46"/>
  <c r="AD47"/>
  <c r="AD48"/>
  <c r="AD49"/>
  <c r="AD51"/>
  <c r="AD52"/>
  <c r="AD53"/>
  <c r="AD55"/>
  <c r="AD56"/>
  <c r="AD57"/>
  <c r="AD58"/>
  <c r="AD60"/>
  <c r="AD61"/>
  <c r="AD63"/>
  <c r="AD65"/>
  <c r="AD66"/>
  <c r="AD67"/>
  <c r="AD68"/>
  <c r="AD69"/>
  <c r="AD71"/>
  <c r="AD72"/>
  <c r="AD73"/>
  <c r="AD7"/>
  <c r="AD6"/>
  <c r="G83" l="1"/>
  <c r="F83"/>
  <c r="H83"/>
  <c r="I83"/>
  <c r="J83"/>
  <c r="K83"/>
  <c r="L83"/>
  <c r="M83"/>
  <c r="N83"/>
  <c r="O83"/>
  <c r="P83"/>
  <c r="Q83" l="1"/>
  <c r="H81"/>
  <c r="I81"/>
  <c r="J81"/>
  <c r="K81"/>
  <c r="L81"/>
  <c r="M81"/>
  <c r="N81"/>
  <c r="O81"/>
  <c r="P81"/>
  <c r="H82"/>
  <c r="I82"/>
  <c r="J82"/>
  <c r="K82"/>
  <c r="L82"/>
  <c r="M82"/>
  <c r="N82"/>
  <c r="O82"/>
  <c r="P82"/>
  <c r="G82"/>
  <c r="G81"/>
  <c r="S28"/>
  <c r="T28" s="1"/>
  <c r="U28" s="1"/>
  <c r="V28" s="1"/>
  <c r="W28" s="1"/>
  <c r="X28" s="1"/>
  <c r="Y28" s="1"/>
  <c r="Z28" s="1"/>
  <c r="AA28" s="1"/>
  <c r="AB28" s="1"/>
  <c r="Q28"/>
  <c r="P29"/>
  <c r="O29"/>
  <c r="N29"/>
  <c r="M29"/>
  <c r="L29"/>
  <c r="K29"/>
  <c r="J29"/>
  <c r="I29"/>
  <c r="H29"/>
  <c r="G29"/>
  <c r="Q80"/>
  <c r="Q82" l="1"/>
  <c r="Q81"/>
  <c r="AE28"/>
  <c r="AC28"/>
  <c r="H85"/>
  <c r="I85"/>
  <c r="J85"/>
  <c r="K85"/>
  <c r="L85"/>
  <c r="M85"/>
  <c r="N85"/>
  <c r="O85"/>
  <c r="P85"/>
  <c r="G85"/>
  <c r="H84"/>
  <c r="I84"/>
  <c r="J84"/>
  <c r="K84"/>
  <c r="L84"/>
  <c r="M84"/>
  <c r="N84"/>
  <c r="O84"/>
  <c r="P84"/>
  <c r="G84"/>
  <c r="Q84" l="1"/>
  <c r="Q85"/>
  <c r="AE60"/>
  <c r="C138" l="1"/>
  <c r="D138"/>
  <c r="E138"/>
  <c r="F138"/>
  <c r="G138"/>
  <c r="H138"/>
  <c r="I138"/>
  <c r="J138"/>
  <c r="K138"/>
  <c r="L138"/>
  <c r="M138"/>
  <c r="N138"/>
  <c r="O138"/>
  <c r="P138"/>
  <c r="C9" i="15"/>
  <c r="D61" i="18"/>
  <c r="E61"/>
  <c r="E88" s="1"/>
  <c r="E89" s="1"/>
  <c r="F61"/>
  <c r="F88" s="1"/>
  <c r="F89" s="1"/>
  <c r="G61"/>
  <c r="G88" s="1"/>
  <c r="G89" s="1"/>
  <c r="H61"/>
  <c r="H88" s="1"/>
  <c r="H89" s="1"/>
  <c r="I61"/>
  <c r="I88" s="1"/>
  <c r="I89" s="1"/>
  <c r="J61"/>
  <c r="J88" s="1"/>
  <c r="J89" s="1"/>
  <c r="K61"/>
  <c r="K88" s="1"/>
  <c r="K89" s="1"/>
  <c r="L61"/>
  <c r="L88" s="1"/>
  <c r="L89" s="1"/>
  <c r="M61"/>
  <c r="M88" s="1"/>
  <c r="M89" s="1"/>
  <c r="N61"/>
  <c r="N88" s="1"/>
  <c r="N89" s="1"/>
  <c r="O61"/>
  <c r="O88" s="1"/>
  <c r="O89" s="1"/>
  <c r="P61"/>
  <c r="P88" s="1"/>
  <c r="C61"/>
  <c r="S40"/>
  <c r="S61" s="1"/>
  <c r="S88" s="1"/>
  <c r="S89" s="1"/>
  <c r="Q40"/>
  <c r="N90" l="1"/>
  <c r="N91" s="1"/>
  <c r="J90"/>
  <c r="J91" s="1"/>
  <c r="L90"/>
  <c r="L91" s="1"/>
  <c r="H90"/>
  <c r="H91" s="1"/>
  <c r="M90"/>
  <c r="M91" s="1"/>
  <c r="I90"/>
  <c r="I91" s="1"/>
  <c r="F90"/>
  <c r="F91" s="1"/>
  <c r="O90"/>
  <c r="O91" s="1"/>
  <c r="K90"/>
  <c r="K91" s="1"/>
  <c r="G90"/>
  <c r="G91" s="1"/>
  <c r="P89"/>
  <c r="Q88"/>
  <c r="T40"/>
  <c r="U40" s="1"/>
  <c r="V40" s="1"/>
  <c r="W40" s="1"/>
  <c r="P90" l="1"/>
  <c r="Q89"/>
  <c r="U61"/>
  <c r="X40"/>
  <c r="W61"/>
  <c r="V61"/>
  <c r="T61"/>
  <c r="C71"/>
  <c r="D71"/>
  <c r="E71"/>
  <c r="F71"/>
  <c r="G71"/>
  <c r="H71"/>
  <c r="I71"/>
  <c r="J71"/>
  <c r="K71"/>
  <c r="L71"/>
  <c r="M71"/>
  <c r="N71"/>
  <c r="O71"/>
  <c r="C72"/>
  <c r="D72"/>
  <c r="E72"/>
  <c r="F72"/>
  <c r="G72"/>
  <c r="H72"/>
  <c r="I72"/>
  <c r="J72"/>
  <c r="K72"/>
  <c r="L72"/>
  <c r="M72"/>
  <c r="N72"/>
  <c r="O72"/>
  <c r="C73"/>
  <c r="D73"/>
  <c r="E73"/>
  <c r="F73"/>
  <c r="G73"/>
  <c r="H73"/>
  <c r="I73"/>
  <c r="J73"/>
  <c r="K73"/>
  <c r="L73"/>
  <c r="M73"/>
  <c r="N73"/>
  <c r="O73"/>
  <c r="P73"/>
  <c r="P72"/>
  <c r="P71"/>
  <c r="C79"/>
  <c r="D79"/>
  <c r="E79"/>
  <c r="F79"/>
  <c r="G79"/>
  <c r="H79"/>
  <c r="I79"/>
  <c r="J79"/>
  <c r="K79"/>
  <c r="L79"/>
  <c r="M79"/>
  <c r="N79"/>
  <c r="O79"/>
  <c r="P79"/>
  <c r="C77"/>
  <c r="D77"/>
  <c r="E77"/>
  <c r="C78"/>
  <c r="D78"/>
  <c r="E78"/>
  <c r="F78"/>
  <c r="G78"/>
  <c r="H78"/>
  <c r="I78"/>
  <c r="J78"/>
  <c r="K78"/>
  <c r="L78"/>
  <c r="M78"/>
  <c r="N78"/>
  <c r="O78"/>
  <c r="F77"/>
  <c r="G77"/>
  <c r="H77"/>
  <c r="I77"/>
  <c r="J77"/>
  <c r="K77"/>
  <c r="L77"/>
  <c r="M77"/>
  <c r="N77"/>
  <c r="O77"/>
  <c r="P78"/>
  <c r="G38"/>
  <c r="G36"/>
  <c r="G27"/>
  <c r="G11"/>
  <c r="G8"/>
  <c r="G25"/>
  <c r="Q73" l="1"/>
  <c r="Y40"/>
  <c r="X61"/>
  <c r="Q71"/>
  <c r="Q72"/>
  <c r="Q78"/>
  <c r="Q79"/>
  <c r="P77"/>
  <c r="Q77" s="1"/>
  <c r="C149"/>
  <c r="D149"/>
  <c r="E149"/>
  <c r="F149"/>
  <c r="C150"/>
  <c r="D150"/>
  <c r="E150"/>
  <c r="F150"/>
  <c r="C151"/>
  <c r="D151"/>
  <c r="E151"/>
  <c r="F151"/>
  <c r="H151"/>
  <c r="I151"/>
  <c r="J151"/>
  <c r="K151"/>
  <c r="L151"/>
  <c r="M151"/>
  <c r="N151"/>
  <c r="O151"/>
  <c r="P151"/>
  <c r="G151"/>
  <c r="H150"/>
  <c r="I150"/>
  <c r="J150"/>
  <c r="K150"/>
  <c r="L150"/>
  <c r="M150"/>
  <c r="N150"/>
  <c r="O150"/>
  <c r="P150"/>
  <c r="G150"/>
  <c r="H149"/>
  <c r="I149"/>
  <c r="J149"/>
  <c r="K149"/>
  <c r="L149"/>
  <c r="M149"/>
  <c r="N149"/>
  <c r="O149"/>
  <c r="P149"/>
  <c r="G149"/>
  <c r="H44"/>
  <c r="I44"/>
  <c r="J44"/>
  <c r="K44"/>
  <c r="L44"/>
  <c r="M44"/>
  <c r="N44"/>
  <c r="O44"/>
  <c r="P44"/>
  <c r="C44"/>
  <c r="D44"/>
  <c r="E44"/>
  <c r="F44"/>
  <c r="G44"/>
  <c r="G46"/>
  <c r="G137" s="1"/>
  <c r="H43"/>
  <c r="I43"/>
  <c r="J43"/>
  <c r="K43"/>
  <c r="L43"/>
  <c r="M43"/>
  <c r="N43"/>
  <c r="O43"/>
  <c r="P43"/>
  <c r="C43"/>
  <c r="D43"/>
  <c r="E43"/>
  <c r="F43"/>
  <c r="G43"/>
  <c r="P38"/>
  <c r="O38"/>
  <c r="N38"/>
  <c r="M38"/>
  <c r="L38"/>
  <c r="K38"/>
  <c r="J38"/>
  <c r="I38"/>
  <c r="H38"/>
  <c r="P36"/>
  <c r="O36"/>
  <c r="N36"/>
  <c r="M36"/>
  <c r="L36"/>
  <c r="K36"/>
  <c r="J36"/>
  <c r="I36"/>
  <c r="H36"/>
  <c r="P27"/>
  <c r="O27"/>
  <c r="N27"/>
  <c r="M27"/>
  <c r="L27"/>
  <c r="K27"/>
  <c r="J27"/>
  <c r="I27"/>
  <c r="H27"/>
  <c r="P25"/>
  <c r="O25"/>
  <c r="N25"/>
  <c r="M25"/>
  <c r="L25"/>
  <c r="K25"/>
  <c r="J25"/>
  <c r="I25"/>
  <c r="H25"/>
  <c r="P11"/>
  <c r="O11"/>
  <c r="N11"/>
  <c r="M11"/>
  <c r="L11"/>
  <c r="K11"/>
  <c r="J11"/>
  <c r="I11"/>
  <c r="H11"/>
  <c r="I8"/>
  <c r="J8"/>
  <c r="K8"/>
  <c r="L8"/>
  <c r="M8"/>
  <c r="N8"/>
  <c r="O8"/>
  <c r="P8"/>
  <c r="H8"/>
  <c r="Q39"/>
  <c r="S35"/>
  <c r="Q35"/>
  <c r="Z40" l="1"/>
  <c r="Y61"/>
  <c r="T35"/>
  <c r="Q151"/>
  <c r="Q44"/>
  <c r="Q43"/>
  <c r="Q150"/>
  <c r="Q149"/>
  <c r="Q30"/>
  <c r="Q33"/>
  <c r="AA40" l="1"/>
  <c r="Z61"/>
  <c r="U35"/>
  <c r="I68"/>
  <c r="J68"/>
  <c r="K68"/>
  <c r="L68"/>
  <c r="M68"/>
  <c r="N68"/>
  <c r="O68"/>
  <c r="P68"/>
  <c r="I69"/>
  <c r="J69"/>
  <c r="K69"/>
  <c r="L69"/>
  <c r="M69"/>
  <c r="N69"/>
  <c r="O69"/>
  <c r="P69"/>
  <c r="I63"/>
  <c r="I65" s="1"/>
  <c r="J63"/>
  <c r="J65" s="1"/>
  <c r="K63"/>
  <c r="K65" s="1"/>
  <c r="L63"/>
  <c r="L65" s="1"/>
  <c r="M63"/>
  <c r="M65" s="1"/>
  <c r="N63"/>
  <c r="N65" s="1"/>
  <c r="O63"/>
  <c r="O65" s="1"/>
  <c r="P63"/>
  <c r="P65" s="1"/>
  <c r="I66"/>
  <c r="J66"/>
  <c r="K66"/>
  <c r="L66"/>
  <c r="M66"/>
  <c r="N66"/>
  <c r="O66"/>
  <c r="P66"/>
  <c r="I67"/>
  <c r="J67"/>
  <c r="K67"/>
  <c r="L67"/>
  <c r="M67"/>
  <c r="N67"/>
  <c r="O67"/>
  <c r="P67"/>
  <c r="C66"/>
  <c r="D66"/>
  <c r="E66"/>
  <c r="F66"/>
  <c r="G66"/>
  <c r="C67"/>
  <c r="D67"/>
  <c r="E67"/>
  <c r="F67"/>
  <c r="G67"/>
  <c r="C68"/>
  <c r="D68"/>
  <c r="E68"/>
  <c r="F68"/>
  <c r="G68"/>
  <c r="C69"/>
  <c r="D69"/>
  <c r="E69"/>
  <c r="F69"/>
  <c r="G69"/>
  <c r="H69"/>
  <c r="H68"/>
  <c r="S22"/>
  <c r="T22" s="1"/>
  <c r="U22" s="1"/>
  <c r="V22" s="1"/>
  <c r="W22" s="1"/>
  <c r="X22" s="1"/>
  <c r="Y22" s="1"/>
  <c r="Z22" s="1"/>
  <c r="AA22" s="1"/>
  <c r="AB22" s="1"/>
  <c r="AE22" s="1"/>
  <c r="Q22"/>
  <c r="S21"/>
  <c r="T21" s="1"/>
  <c r="U21" s="1"/>
  <c r="V21" s="1"/>
  <c r="W21" s="1"/>
  <c r="X21" s="1"/>
  <c r="Y21" s="1"/>
  <c r="Z21" s="1"/>
  <c r="AA21" s="1"/>
  <c r="AB21" s="1"/>
  <c r="S20"/>
  <c r="Q19"/>
  <c r="C63"/>
  <c r="C65" s="1"/>
  <c r="D63"/>
  <c r="D65" s="1"/>
  <c r="E63"/>
  <c r="E65" s="1"/>
  <c r="F63"/>
  <c r="F65" s="1"/>
  <c r="G63"/>
  <c r="G65" s="1"/>
  <c r="H63"/>
  <c r="H65" s="1"/>
  <c r="H67"/>
  <c r="H66"/>
  <c r="AE30" l="1"/>
  <c r="AC30"/>
  <c r="AC21"/>
  <c r="AE21"/>
  <c r="AB40"/>
  <c r="AE40" s="1"/>
  <c r="AA61"/>
  <c r="V35"/>
  <c r="Q68"/>
  <c r="Q69"/>
  <c r="Q67"/>
  <c r="Q65"/>
  <c r="Q66"/>
  <c r="AC22"/>
  <c r="Q21"/>
  <c r="Q20"/>
  <c r="Q63"/>
  <c r="S19"/>
  <c r="T20"/>
  <c r="Q61"/>
  <c r="Q131"/>
  <c r="T19" l="1"/>
  <c r="T63" s="1"/>
  <c r="S63"/>
  <c r="AB61"/>
  <c r="AC40"/>
  <c r="U20"/>
  <c r="C19" i="15"/>
  <c r="S9" i="18"/>
  <c r="T9" s="1"/>
  <c r="U9" s="1"/>
  <c r="V9" s="1"/>
  <c r="W9" s="1"/>
  <c r="X9" s="1"/>
  <c r="Y9" s="1"/>
  <c r="Z9" s="1"/>
  <c r="AA9" s="1"/>
  <c r="AB9" s="1"/>
  <c r="AE9" s="1"/>
  <c r="Q37"/>
  <c r="Q32"/>
  <c r="Q26"/>
  <c r="Q24"/>
  <c r="Q17"/>
  <c r="Q15"/>
  <c r="Q14"/>
  <c r="Q13"/>
  <c r="Q12"/>
  <c r="Q10"/>
  <c r="Q9"/>
  <c r="Q7"/>
  <c r="Q6"/>
  <c r="S17"/>
  <c r="S24"/>
  <c r="S26"/>
  <c r="S32"/>
  <c r="T32" s="1"/>
  <c r="U32" s="1"/>
  <c r="V32" s="1"/>
  <c r="W32" s="1"/>
  <c r="X32" s="1"/>
  <c r="Y32" s="1"/>
  <c r="Z32" s="1"/>
  <c r="AA32" s="1"/>
  <c r="AB32" s="1"/>
  <c r="AE32" s="1"/>
  <c r="S33"/>
  <c r="T33" s="1"/>
  <c r="U33" s="1"/>
  <c r="V33" s="1"/>
  <c r="W33" s="1"/>
  <c r="X33" s="1"/>
  <c r="Y33" s="1"/>
  <c r="Z33" s="1"/>
  <c r="AA33" s="1"/>
  <c r="AB33" s="1"/>
  <c r="AE33" s="1"/>
  <c r="W35"/>
  <c r="O59"/>
  <c r="O135" s="1"/>
  <c r="O58"/>
  <c r="O56"/>
  <c r="O55"/>
  <c r="O53"/>
  <c r="O136" s="1"/>
  <c r="O52"/>
  <c r="O51"/>
  <c r="O49"/>
  <c r="O48"/>
  <c r="O133" s="1"/>
  <c r="O47"/>
  <c r="O46"/>
  <c r="S86" l="1"/>
  <c r="P91"/>
  <c r="Q91" s="1"/>
  <c r="Q90"/>
  <c r="S81"/>
  <c r="S94"/>
  <c r="S93"/>
  <c r="T17"/>
  <c r="S119"/>
  <c r="AE61"/>
  <c r="O132"/>
  <c r="O137"/>
  <c r="U19"/>
  <c r="AC61"/>
  <c r="T119" s="1"/>
  <c r="T26"/>
  <c r="X35"/>
  <c r="T24"/>
  <c r="S77"/>
  <c r="V20"/>
  <c r="AC32"/>
  <c r="AC33"/>
  <c r="AC9"/>
  <c r="O57"/>
  <c r="O134" s="1"/>
  <c r="D53"/>
  <c r="E53"/>
  <c r="F53"/>
  <c r="G53"/>
  <c r="G136" s="1"/>
  <c r="H53"/>
  <c r="H136" s="1"/>
  <c r="I53"/>
  <c r="I136" s="1"/>
  <c r="J53"/>
  <c r="J136" s="1"/>
  <c r="K53"/>
  <c r="K136" s="1"/>
  <c r="L53"/>
  <c r="L136" s="1"/>
  <c r="M53"/>
  <c r="M136" s="1"/>
  <c r="N53"/>
  <c r="N136" s="1"/>
  <c r="P53"/>
  <c r="C53"/>
  <c r="C52"/>
  <c r="T86" l="1"/>
  <c r="T81"/>
  <c r="T94"/>
  <c r="T93"/>
  <c r="U17"/>
  <c r="R119"/>
  <c r="P142" s="1"/>
  <c r="V19"/>
  <c r="U63"/>
  <c r="U26"/>
  <c r="U24"/>
  <c r="T77"/>
  <c r="Y35"/>
  <c r="W20"/>
  <c r="P136"/>
  <c r="Q136" s="1"/>
  <c r="Q53"/>
  <c r="D52"/>
  <c r="E52"/>
  <c r="F52"/>
  <c r="G52"/>
  <c r="H52"/>
  <c r="I52"/>
  <c r="J52"/>
  <c r="K52"/>
  <c r="L52"/>
  <c r="M52"/>
  <c r="N52"/>
  <c r="P52"/>
  <c r="D51"/>
  <c r="E51"/>
  <c r="F51"/>
  <c r="G51"/>
  <c r="H51"/>
  <c r="I51"/>
  <c r="J51"/>
  <c r="K51"/>
  <c r="L51"/>
  <c r="M51"/>
  <c r="N51"/>
  <c r="P51"/>
  <c r="C51"/>
  <c r="U86" l="1"/>
  <c r="U81"/>
  <c r="U94"/>
  <c r="U93"/>
  <c r="V17"/>
  <c r="W19"/>
  <c r="V63"/>
  <c r="V26"/>
  <c r="V24"/>
  <c r="V86" s="1"/>
  <c r="U77"/>
  <c r="Z35"/>
  <c r="X20"/>
  <c r="Q51"/>
  <c r="Q52"/>
  <c r="C46" i="15"/>
  <c r="V81" i="18" l="1"/>
  <c r="V94"/>
  <c r="V93"/>
  <c r="W17"/>
  <c r="X19"/>
  <c r="W63"/>
  <c r="W26"/>
  <c r="W24"/>
  <c r="W86" s="1"/>
  <c r="V77"/>
  <c r="AA35"/>
  <c r="Y20"/>
  <c r="S131"/>
  <c r="C46"/>
  <c r="D46"/>
  <c r="E46"/>
  <c r="F46"/>
  <c r="H46"/>
  <c r="H137" s="1"/>
  <c r="I46"/>
  <c r="J46"/>
  <c r="K46"/>
  <c r="L46"/>
  <c r="L137" s="1"/>
  <c r="M46"/>
  <c r="N46"/>
  <c r="N137" s="1"/>
  <c r="P46"/>
  <c r="D59"/>
  <c r="D135" s="1"/>
  <c r="E59"/>
  <c r="E135" s="1"/>
  <c r="F59"/>
  <c r="F135" s="1"/>
  <c r="G59"/>
  <c r="H59"/>
  <c r="H135" s="1"/>
  <c r="I59"/>
  <c r="I135" s="1"/>
  <c r="J59"/>
  <c r="J135" s="1"/>
  <c r="K59"/>
  <c r="K135" s="1"/>
  <c r="L59"/>
  <c r="L135" s="1"/>
  <c r="M59"/>
  <c r="M135" s="1"/>
  <c r="N59"/>
  <c r="P59"/>
  <c r="D58"/>
  <c r="E58"/>
  <c r="F58"/>
  <c r="G58"/>
  <c r="H58"/>
  <c r="I58"/>
  <c r="J58"/>
  <c r="K58"/>
  <c r="L58"/>
  <c r="M58"/>
  <c r="N58"/>
  <c r="P58"/>
  <c r="D56"/>
  <c r="E56"/>
  <c r="F56"/>
  <c r="G56"/>
  <c r="H56"/>
  <c r="I56"/>
  <c r="J56"/>
  <c r="K56"/>
  <c r="L56"/>
  <c r="M56"/>
  <c r="N56"/>
  <c r="P56"/>
  <c r="D55"/>
  <c r="D57" s="1"/>
  <c r="D134" s="1"/>
  <c r="E55"/>
  <c r="E57" s="1"/>
  <c r="E134" s="1"/>
  <c r="F55"/>
  <c r="G55"/>
  <c r="H55"/>
  <c r="I55"/>
  <c r="J55"/>
  <c r="K55"/>
  <c r="L55"/>
  <c r="M55"/>
  <c r="N55"/>
  <c r="P55"/>
  <c r="D49"/>
  <c r="E49"/>
  <c r="F49"/>
  <c r="G49"/>
  <c r="H49"/>
  <c r="I49"/>
  <c r="J49"/>
  <c r="K49"/>
  <c r="L49"/>
  <c r="M49"/>
  <c r="N49"/>
  <c r="P49"/>
  <c r="D48"/>
  <c r="D133" s="1"/>
  <c r="E48"/>
  <c r="E133" s="1"/>
  <c r="F48"/>
  <c r="F133" s="1"/>
  <c r="G48"/>
  <c r="H48"/>
  <c r="H133" s="1"/>
  <c r="I48"/>
  <c r="I133" s="1"/>
  <c r="J48"/>
  <c r="J133" s="1"/>
  <c r="K48"/>
  <c r="K133" s="1"/>
  <c r="L48"/>
  <c r="L133" s="1"/>
  <c r="M48"/>
  <c r="M133" s="1"/>
  <c r="N48"/>
  <c r="P48"/>
  <c r="C59"/>
  <c r="C135" s="1"/>
  <c r="C58"/>
  <c r="C56"/>
  <c r="C55"/>
  <c r="C49"/>
  <c r="C48"/>
  <c r="C133" s="1"/>
  <c r="D47"/>
  <c r="E47"/>
  <c r="F47"/>
  <c r="G47"/>
  <c r="H47"/>
  <c r="I47"/>
  <c r="J47"/>
  <c r="K47"/>
  <c r="L47"/>
  <c r="M47"/>
  <c r="N47"/>
  <c r="P47"/>
  <c r="C47"/>
  <c r="S14"/>
  <c r="S15"/>
  <c r="S37"/>
  <c r="S10"/>
  <c r="S12"/>
  <c r="S82" s="1"/>
  <c r="S13"/>
  <c r="S7"/>
  <c r="S6"/>
  <c r="S85" l="1"/>
  <c r="S90"/>
  <c r="S91" s="1"/>
  <c r="W81"/>
  <c r="W94"/>
  <c r="W93"/>
  <c r="S83"/>
  <c r="S84"/>
  <c r="X17"/>
  <c r="D132"/>
  <c r="D136" s="1"/>
  <c r="D137"/>
  <c r="E132"/>
  <c r="E136" s="1"/>
  <c r="E137"/>
  <c r="C132"/>
  <c r="C136" s="1"/>
  <c r="C137"/>
  <c r="P132"/>
  <c r="P137"/>
  <c r="K132"/>
  <c r="K137"/>
  <c r="F132"/>
  <c r="F136" s="1"/>
  <c r="F137"/>
  <c r="J132"/>
  <c r="J137"/>
  <c r="M132"/>
  <c r="M137"/>
  <c r="I132"/>
  <c r="I137"/>
  <c r="Q101"/>
  <c r="Y19"/>
  <c r="X63"/>
  <c r="H57"/>
  <c r="H134" s="1"/>
  <c r="X26"/>
  <c r="T12"/>
  <c r="T82" s="1"/>
  <c r="T14"/>
  <c r="T13"/>
  <c r="T10"/>
  <c r="T15"/>
  <c r="T6"/>
  <c r="T7"/>
  <c r="X24"/>
  <c r="W77"/>
  <c r="T37"/>
  <c r="S79"/>
  <c r="S78"/>
  <c r="AB35"/>
  <c r="AE35" s="1"/>
  <c r="F57"/>
  <c r="F134" s="1"/>
  <c r="L57"/>
  <c r="L134" s="1"/>
  <c r="K57"/>
  <c r="K134" s="1"/>
  <c r="J57"/>
  <c r="J134" s="1"/>
  <c r="Z20"/>
  <c r="C57"/>
  <c r="C134" s="1"/>
  <c r="T131"/>
  <c r="I57"/>
  <c r="I134" s="1"/>
  <c r="Q47"/>
  <c r="G133"/>
  <c r="Q48"/>
  <c r="Q49"/>
  <c r="Q56"/>
  <c r="Q58"/>
  <c r="G132"/>
  <c r="Q46"/>
  <c r="G135"/>
  <c r="Q59"/>
  <c r="G57"/>
  <c r="Q55"/>
  <c r="N133"/>
  <c r="N132"/>
  <c r="N135"/>
  <c r="P133"/>
  <c r="L132"/>
  <c r="N57"/>
  <c r="M57"/>
  <c r="M134" s="1"/>
  <c r="P135"/>
  <c r="P57"/>
  <c r="S56"/>
  <c r="C6" i="12"/>
  <c r="C26" i="15"/>
  <c r="C58"/>
  <c r="C57"/>
  <c r="C54"/>
  <c r="C53"/>
  <c r="C50"/>
  <c r="C49"/>
  <c r="C45"/>
  <c r="X86" i="18" l="1"/>
  <c r="X81"/>
  <c r="X94"/>
  <c r="X93"/>
  <c r="T83"/>
  <c r="T84"/>
  <c r="T85"/>
  <c r="Y17"/>
  <c r="Z19"/>
  <c r="Y63"/>
  <c r="S55"/>
  <c r="S72"/>
  <c r="S51"/>
  <c r="S53"/>
  <c r="S136" s="1"/>
  <c r="S59"/>
  <c r="S135" s="1"/>
  <c r="S69"/>
  <c r="S71"/>
  <c r="S44"/>
  <c r="S43"/>
  <c r="S52"/>
  <c r="S48"/>
  <c r="S49"/>
  <c r="S58"/>
  <c r="S47"/>
  <c r="S73"/>
  <c r="S46"/>
  <c r="Y26"/>
  <c r="U14"/>
  <c r="U13"/>
  <c r="U12"/>
  <c r="U82" s="1"/>
  <c r="S57"/>
  <c r="U15"/>
  <c r="U10"/>
  <c r="U7"/>
  <c r="U6"/>
  <c r="AC35"/>
  <c r="Y24"/>
  <c r="X77"/>
  <c r="U37"/>
  <c r="T79"/>
  <c r="T78"/>
  <c r="T39"/>
  <c r="T88" s="1"/>
  <c r="T89" s="1"/>
  <c r="T90" s="1"/>
  <c r="T91" s="1"/>
  <c r="S66"/>
  <c r="S67"/>
  <c r="S68"/>
  <c r="S65"/>
  <c r="AA20"/>
  <c r="U131"/>
  <c r="Q133"/>
  <c r="Q132"/>
  <c r="Q135"/>
  <c r="G134"/>
  <c r="Q57"/>
  <c r="N134"/>
  <c r="P134"/>
  <c r="C16" i="15"/>
  <c r="C21"/>
  <c r="C10"/>
  <c r="Y86" i="18" l="1"/>
  <c r="T55"/>
  <c r="Y81"/>
  <c r="Y94"/>
  <c r="Y93"/>
  <c r="U83"/>
  <c r="U84"/>
  <c r="U85"/>
  <c r="T51"/>
  <c r="Z17"/>
  <c r="AA19"/>
  <c r="Z63"/>
  <c r="T53"/>
  <c r="T136" s="1"/>
  <c r="T59"/>
  <c r="T135" s="1"/>
  <c r="T69"/>
  <c r="T71"/>
  <c r="T43"/>
  <c r="T44"/>
  <c r="T48"/>
  <c r="T47"/>
  <c r="T58"/>
  <c r="T73"/>
  <c r="T52"/>
  <c r="T49"/>
  <c r="T46"/>
  <c r="T56"/>
  <c r="T72"/>
  <c r="Z26"/>
  <c r="V13"/>
  <c r="V12"/>
  <c r="V82" s="1"/>
  <c r="V14"/>
  <c r="V10"/>
  <c r="V15"/>
  <c r="V6"/>
  <c r="V7"/>
  <c r="V37"/>
  <c r="U79"/>
  <c r="U78"/>
  <c r="Z24"/>
  <c r="Y77"/>
  <c r="U39"/>
  <c r="U88" s="1"/>
  <c r="U89" s="1"/>
  <c r="U90" s="1"/>
  <c r="U91" s="1"/>
  <c r="T68"/>
  <c r="T67"/>
  <c r="T66"/>
  <c r="T65"/>
  <c r="AB20"/>
  <c r="AE20" s="1"/>
  <c r="S134"/>
  <c r="V131"/>
  <c r="S132"/>
  <c r="S133"/>
  <c r="Q134"/>
  <c r="D31" i="8"/>
  <c r="D29"/>
  <c r="D28"/>
  <c r="D13"/>
  <c r="D30" s="1"/>
  <c r="E14"/>
  <c r="F14" s="1"/>
  <c r="G14" s="1"/>
  <c r="H14" s="1"/>
  <c r="I14" s="1"/>
  <c r="Z86" i="18" l="1"/>
  <c r="U55"/>
  <c r="T57"/>
  <c r="T134" s="1"/>
  <c r="Z81"/>
  <c r="Z94"/>
  <c r="Z93"/>
  <c r="V83"/>
  <c r="V85"/>
  <c r="V84"/>
  <c r="AA17"/>
  <c r="AB19"/>
  <c r="AE19" s="1"/>
  <c r="AA63"/>
  <c r="U73"/>
  <c r="U72"/>
  <c r="U51"/>
  <c r="U59"/>
  <c r="U135" s="1"/>
  <c r="U58"/>
  <c r="U53"/>
  <c r="U136" s="1"/>
  <c r="U56"/>
  <c r="U47"/>
  <c r="U69"/>
  <c r="U71"/>
  <c r="U44"/>
  <c r="U43"/>
  <c r="U52"/>
  <c r="U48"/>
  <c r="U49"/>
  <c r="U46"/>
  <c r="AA26"/>
  <c r="W12"/>
  <c r="W82" s="1"/>
  <c r="W14"/>
  <c r="W13"/>
  <c r="W15"/>
  <c r="W10"/>
  <c r="W7"/>
  <c r="W6"/>
  <c r="AA24"/>
  <c r="Z77"/>
  <c r="W37"/>
  <c r="V78"/>
  <c r="V79"/>
  <c r="V39"/>
  <c r="V88" s="1"/>
  <c r="V89" s="1"/>
  <c r="V90" s="1"/>
  <c r="V91" s="1"/>
  <c r="U68"/>
  <c r="U66"/>
  <c r="U67"/>
  <c r="U65"/>
  <c r="AC20"/>
  <c r="W131"/>
  <c r="T132"/>
  <c r="T133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A86" i="18" l="1"/>
  <c r="U57"/>
  <c r="U134" s="1"/>
  <c r="AA81"/>
  <c r="AA94"/>
  <c r="AA93"/>
  <c r="V58"/>
  <c r="W83"/>
  <c r="W85"/>
  <c r="W84"/>
  <c r="AB17"/>
  <c r="V73"/>
  <c r="V49"/>
  <c r="V56"/>
  <c r="AC19"/>
  <c r="AB63"/>
  <c r="V47"/>
  <c r="V55"/>
  <c r="V52"/>
  <c r="V72"/>
  <c r="V48"/>
  <c r="V53"/>
  <c r="V136" s="1"/>
  <c r="V69"/>
  <c r="V71"/>
  <c r="V43"/>
  <c r="V44"/>
  <c r="V51"/>
  <c r="V59"/>
  <c r="V135" s="1"/>
  <c r="V46"/>
  <c r="AB26"/>
  <c r="AE26" s="1"/>
  <c r="X14"/>
  <c r="X13"/>
  <c r="X12"/>
  <c r="X82" s="1"/>
  <c r="X10"/>
  <c r="X15"/>
  <c r="X6"/>
  <c r="X7"/>
  <c r="X37"/>
  <c r="W79"/>
  <c r="W78"/>
  <c r="AB24"/>
  <c r="AA77"/>
  <c r="W39"/>
  <c r="W88" s="1"/>
  <c r="W89" s="1"/>
  <c r="W90" s="1"/>
  <c r="W91" s="1"/>
  <c r="V68"/>
  <c r="V66"/>
  <c r="V67"/>
  <c r="V65"/>
  <c r="X131"/>
  <c r="U132"/>
  <c r="U133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N32" l="1"/>
  <c r="N33" s="1"/>
  <c r="N34" s="1"/>
  <c r="N35" s="1"/>
  <c r="N36" s="1"/>
  <c r="N37" s="1"/>
  <c r="N38" s="1"/>
  <c r="N39" s="1"/>
  <c r="N40" s="1"/>
  <c r="N41" s="1"/>
  <c r="N42" s="1"/>
  <c r="M45"/>
  <c r="AB86" i="18"/>
  <c r="AC86" s="1"/>
  <c r="V57"/>
  <c r="V134" s="1"/>
  <c r="W56"/>
  <c r="AB81"/>
  <c r="AC81" s="1"/>
  <c r="AB94"/>
  <c r="AC94" s="1"/>
  <c r="AB93"/>
  <c r="AC93" s="1"/>
  <c r="X83"/>
  <c r="X85"/>
  <c r="X84"/>
  <c r="AE24"/>
  <c r="AE17"/>
  <c r="AC17"/>
  <c r="S121"/>
  <c r="AE63"/>
  <c r="AC63"/>
  <c r="M32" i="9"/>
  <c r="M33" s="1"/>
  <c r="M34" s="1"/>
  <c r="M35" s="1"/>
  <c r="M36" s="1"/>
  <c r="M37" s="1"/>
  <c r="M38" s="1"/>
  <c r="M39" s="1"/>
  <c r="M40" s="1"/>
  <c r="M41" s="1"/>
  <c r="P32"/>
  <c r="W59" i="18"/>
  <c r="W135" s="1"/>
  <c r="W58"/>
  <c r="W53"/>
  <c r="W136" s="1"/>
  <c r="W55"/>
  <c r="W52"/>
  <c r="W72"/>
  <c r="W51"/>
  <c r="W73"/>
  <c r="W69"/>
  <c r="W71"/>
  <c r="W44"/>
  <c r="W43"/>
  <c r="W47"/>
  <c r="W48"/>
  <c r="W49"/>
  <c r="W46"/>
  <c r="AC26"/>
  <c r="Y12"/>
  <c r="Y82" s="1"/>
  <c r="Y14"/>
  <c r="Y13"/>
  <c r="Y10"/>
  <c r="Y15"/>
  <c r="Y7"/>
  <c r="Y6"/>
  <c r="AC24"/>
  <c r="AB77"/>
  <c r="AC77" s="1"/>
  <c r="Y37"/>
  <c r="X79"/>
  <c r="X78"/>
  <c r="O31" i="9"/>
  <c r="O32" s="1"/>
  <c r="X39" i="18"/>
  <c r="X88" s="1"/>
  <c r="X89" s="1"/>
  <c r="X90" s="1"/>
  <c r="X91" s="1"/>
  <c r="W68"/>
  <c r="W66"/>
  <c r="W67"/>
  <c r="W65"/>
  <c r="Y131"/>
  <c r="V132"/>
  <c r="V133"/>
  <c r="P31" i="11"/>
  <c r="N32"/>
  <c r="T19" i="9"/>
  <c r="D22"/>
  <c r="W57" i="18" l="1"/>
  <c r="W134" s="1"/>
  <c r="X49"/>
  <c r="Y83"/>
  <c r="Y84"/>
  <c r="Y85"/>
  <c r="T121"/>
  <c r="R121" s="1"/>
  <c r="X51"/>
  <c r="X58"/>
  <c r="X46"/>
  <c r="X53"/>
  <c r="X136" s="1"/>
  <c r="X48"/>
  <c r="X47"/>
  <c r="X69"/>
  <c r="X71"/>
  <c r="X44"/>
  <c r="X43"/>
  <c r="X73"/>
  <c r="X52"/>
  <c r="X59"/>
  <c r="X135" s="1"/>
  <c r="X56"/>
  <c r="X55"/>
  <c r="X72"/>
  <c r="Z13"/>
  <c r="Z12"/>
  <c r="Z82" s="1"/>
  <c r="Z14"/>
  <c r="Z10"/>
  <c r="Z15"/>
  <c r="Z6"/>
  <c r="Z7"/>
  <c r="Z37"/>
  <c r="Y79"/>
  <c r="Y78"/>
  <c r="Y39"/>
  <c r="Y88" s="1"/>
  <c r="Y89" s="1"/>
  <c r="Y90" s="1"/>
  <c r="Y91" s="1"/>
  <c r="X68"/>
  <c r="X66"/>
  <c r="X67"/>
  <c r="X65"/>
  <c r="Z131"/>
  <c r="W132"/>
  <c r="W133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Z83" i="18" l="1"/>
  <c r="Z84"/>
  <c r="Z85"/>
  <c r="X57"/>
  <c r="X134" s="1"/>
  <c r="Y69"/>
  <c r="Y71"/>
  <c r="Y43"/>
  <c r="Y44"/>
  <c r="Y53"/>
  <c r="Y136" s="1"/>
  <c r="Y59"/>
  <c r="Y135" s="1"/>
  <c r="Y58"/>
  <c r="Y56"/>
  <c r="Y47"/>
  <c r="Y46"/>
  <c r="Y52"/>
  <c r="Y48"/>
  <c r="Y49"/>
  <c r="Y55"/>
  <c r="Y72"/>
  <c r="Y51"/>
  <c r="Y73"/>
  <c r="AA12"/>
  <c r="AA82" s="1"/>
  <c r="AA14"/>
  <c r="AA13"/>
  <c r="AA10"/>
  <c r="AA15"/>
  <c r="AA7"/>
  <c r="AA6"/>
  <c r="AA37"/>
  <c r="Z78"/>
  <c r="Z79"/>
  <c r="Z39"/>
  <c r="Z88" s="1"/>
  <c r="Z89" s="1"/>
  <c r="Z90" s="1"/>
  <c r="Z91" s="1"/>
  <c r="Y68"/>
  <c r="Y66"/>
  <c r="Y67"/>
  <c r="Y65"/>
  <c r="AA131"/>
  <c r="X132"/>
  <c r="X133"/>
  <c r="N34" i="11"/>
  <c r="O33"/>
  <c r="D25" i="8"/>
  <c r="D23"/>
  <c r="AA83" i="18" l="1"/>
  <c r="AA84"/>
  <c r="AA85"/>
  <c r="Y57"/>
  <c r="Y134" s="1"/>
  <c r="Z69"/>
  <c r="Z71"/>
  <c r="Z44"/>
  <c r="Z43"/>
  <c r="Z47"/>
  <c r="Z58"/>
  <c r="Z48"/>
  <c r="Z53"/>
  <c r="Z136" s="1"/>
  <c r="Z56"/>
  <c r="Z55"/>
  <c r="Z73"/>
  <c r="Z59"/>
  <c r="Z135" s="1"/>
  <c r="Z46"/>
  <c r="Z52"/>
  <c r="Z72"/>
  <c r="Z51"/>
  <c r="Z49"/>
  <c r="AB14"/>
  <c r="AE14" s="1"/>
  <c r="AB13"/>
  <c r="AE13" s="1"/>
  <c r="AB12"/>
  <c r="AB10"/>
  <c r="AB15"/>
  <c r="AE15" s="1"/>
  <c r="AB6"/>
  <c r="AE6" s="1"/>
  <c r="AB7"/>
  <c r="AE7" s="1"/>
  <c r="AB37"/>
  <c r="AA79"/>
  <c r="AA78"/>
  <c r="AA39"/>
  <c r="AA88" s="1"/>
  <c r="AA89" s="1"/>
  <c r="AA90" s="1"/>
  <c r="AA91" s="1"/>
  <c r="Z68"/>
  <c r="Z66"/>
  <c r="Z67"/>
  <c r="Z65"/>
  <c r="AB131"/>
  <c r="Y132"/>
  <c r="Y133"/>
  <c r="N35" i="11"/>
  <c r="O34"/>
  <c r="D35" i="8"/>
  <c r="E5"/>
  <c r="E18" s="1"/>
  <c r="D18"/>
  <c r="D19"/>
  <c r="D21"/>
  <c r="D20"/>
  <c r="AE10" i="18" l="1"/>
  <c r="AB83"/>
  <c r="AC83" s="1"/>
  <c r="AE12"/>
  <c r="AB82"/>
  <c r="AC82" s="1"/>
  <c r="AE37"/>
  <c r="AB84"/>
  <c r="AC84" s="1"/>
  <c r="AB85"/>
  <c r="AC85" s="1"/>
  <c r="Z57"/>
  <c r="Z134" s="1"/>
  <c r="AA69"/>
  <c r="AA71"/>
  <c r="AA43"/>
  <c r="AA44"/>
  <c r="AA51"/>
  <c r="AA59"/>
  <c r="AA135" s="1"/>
  <c r="AA46"/>
  <c r="AA53"/>
  <c r="AA136" s="1"/>
  <c r="AA56"/>
  <c r="AA72"/>
  <c r="AA47"/>
  <c r="AA48"/>
  <c r="AA49"/>
  <c r="AA52"/>
  <c r="AA73"/>
  <c r="AA55"/>
  <c r="AA58"/>
  <c r="AC14"/>
  <c r="AC13"/>
  <c r="S115"/>
  <c r="AC12"/>
  <c r="AC10"/>
  <c r="AC15"/>
  <c r="AC7"/>
  <c r="AC6"/>
  <c r="AB79"/>
  <c r="AC79" s="1"/>
  <c r="AB78"/>
  <c r="AC78" s="1"/>
  <c r="AC37"/>
  <c r="AB39"/>
  <c r="AB88" s="1"/>
  <c r="AB89" s="1"/>
  <c r="AB90" s="1"/>
  <c r="AB91" s="1"/>
  <c r="AA68"/>
  <c r="AA66"/>
  <c r="AA67"/>
  <c r="AA65"/>
  <c r="AC131"/>
  <c r="AE131" s="1"/>
  <c r="Z132"/>
  <c r="Z133"/>
  <c r="N36" i="11"/>
  <c r="O35"/>
  <c r="F5" i="8"/>
  <c r="G5" s="1"/>
  <c r="H5" s="1"/>
  <c r="I5" s="1"/>
  <c r="AE39" i="18" l="1"/>
  <c r="T115"/>
  <c r="T116" s="1"/>
  <c r="AA57"/>
  <c r="AA134" s="1"/>
  <c r="AB69"/>
  <c r="AB71"/>
  <c r="AE71" s="1"/>
  <c r="AB43"/>
  <c r="AB44"/>
  <c r="AB51"/>
  <c r="AB56"/>
  <c r="AB46"/>
  <c r="AE46" s="1"/>
  <c r="AB53"/>
  <c r="AB49"/>
  <c r="AB72"/>
  <c r="AB48"/>
  <c r="AE48" s="1"/>
  <c r="AB47"/>
  <c r="AB58"/>
  <c r="AB73"/>
  <c r="AB52"/>
  <c r="AB59"/>
  <c r="AB55"/>
  <c r="S116"/>
  <c r="AB68"/>
  <c r="AB66"/>
  <c r="AC39"/>
  <c r="AB67"/>
  <c r="AB65"/>
  <c r="AA132"/>
  <c r="AA133"/>
  <c r="N37" i="11"/>
  <c r="O36"/>
  <c r="F18" i="8"/>
  <c r="G18"/>
  <c r="AC88" i="18" l="1"/>
  <c r="R115"/>
  <c r="R116"/>
  <c r="AC72"/>
  <c r="AE72"/>
  <c r="AC44"/>
  <c r="AE44"/>
  <c r="S112"/>
  <c r="AE58"/>
  <c r="AB135"/>
  <c r="AC135" s="1"/>
  <c r="AE135" s="1"/>
  <c r="AE59"/>
  <c r="AC43"/>
  <c r="AE43"/>
  <c r="AC56"/>
  <c r="AE56"/>
  <c r="S106"/>
  <c r="AE55"/>
  <c r="S105"/>
  <c r="AE49"/>
  <c r="AB136"/>
  <c r="AC136" s="1"/>
  <c r="AE136" s="1"/>
  <c r="AE53"/>
  <c r="AC52"/>
  <c r="AE52"/>
  <c r="S103"/>
  <c r="AE47"/>
  <c r="S108"/>
  <c r="AE51"/>
  <c r="AC73"/>
  <c r="AE73"/>
  <c r="S128"/>
  <c r="AE69"/>
  <c r="S126"/>
  <c r="AE68"/>
  <c r="S125"/>
  <c r="AE67"/>
  <c r="S123"/>
  <c r="AE65"/>
  <c r="S124"/>
  <c r="AE66"/>
  <c r="AC58"/>
  <c r="S109"/>
  <c r="AC47"/>
  <c r="AC49"/>
  <c r="T105" s="1"/>
  <c r="AC51"/>
  <c r="S110"/>
  <c r="AC69"/>
  <c r="AC55"/>
  <c r="S113"/>
  <c r="AB57"/>
  <c r="AC53"/>
  <c r="AC59"/>
  <c r="AC71"/>
  <c r="AC67"/>
  <c r="AC66"/>
  <c r="AC65"/>
  <c r="AC68"/>
  <c r="S102"/>
  <c r="AC46"/>
  <c r="T102" s="1"/>
  <c r="AB132"/>
  <c r="AC48"/>
  <c r="T104" s="1"/>
  <c r="AB133"/>
  <c r="S104"/>
  <c r="N38" i="11"/>
  <c r="O37"/>
  <c r="H18" i="8"/>
  <c r="AC89" i="18" l="1"/>
  <c r="T113"/>
  <c r="R113" s="1"/>
  <c r="T103"/>
  <c r="R103" s="1"/>
  <c r="T112"/>
  <c r="R112" s="1"/>
  <c r="T108"/>
  <c r="R108" s="1"/>
  <c r="T110"/>
  <c r="R110" s="1"/>
  <c r="T128"/>
  <c r="R128" s="1"/>
  <c r="T125"/>
  <c r="R125" s="1"/>
  <c r="AC57"/>
  <c r="AE57"/>
  <c r="T106"/>
  <c r="R106" s="1"/>
  <c r="R105"/>
  <c r="T109"/>
  <c r="R109" s="1"/>
  <c r="T123"/>
  <c r="R123" s="1"/>
  <c r="AB134"/>
  <c r="AC134" s="1"/>
  <c r="AE134" s="1"/>
  <c r="T126"/>
  <c r="R126" s="1"/>
  <c r="T124"/>
  <c r="R124" s="1"/>
  <c r="R102"/>
  <c r="P146" s="1"/>
  <c r="AC133"/>
  <c r="AE133" s="1"/>
  <c r="AC132"/>
  <c r="AE132" s="1"/>
  <c r="R104"/>
  <c r="N39" i="11"/>
  <c r="O38"/>
  <c r="I18" i="8"/>
  <c r="P143" i="18" l="1"/>
  <c r="M143"/>
  <c r="AC91"/>
  <c r="AC90"/>
  <c r="N40" i="11"/>
  <c r="O39"/>
  <c r="N41" l="1"/>
  <c r="O40"/>
  <c r="N42" l="1"/>
  <c r="O41"/>
</calcChain>
</file>

<file path=xl/sharedStrings.xml><?xml version="1.0" encoding="utf-8"?>
<sst xmlns="http://schemas.openxmlformats.org/spreadsheetml/2006/main" count="512" uniqueCount="359">
  <si>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</si>
  <si>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</si>
  <si>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</si>
  <si>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</si>
  <si>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</si>
  <si>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</si>
  <si>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</si>
  <si>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</si>
  <si>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</si>
  <si>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</si>
  <si>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</si>
  <si>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</si>
  <si>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</si>
  <si>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</si>
  <si>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</si>
  <si>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</si>
  <si>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</si>
  <si>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</si>
  <si>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</si>
  <si>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</si>
  <si>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</si>
  <si>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</si>
  <si>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</si>
  <si>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</si>
  <si>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</si>
  <si>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</si>
  <si>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</si>
  <si>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</si>
  <si>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</si>
  <si>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</si>
  <si>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</si>
  <si>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</si>
  <si>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</si>
  <si>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</si>
  <si>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</si>
  <si>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</si>
  <si>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</si>
  <si>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</si>
  <si>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</si>
  <si>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</si>
  <si>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</si>
  <si>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</si>
  <si>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</si>
  <si>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</si>
  <si>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</si>
  <si>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</si>
  <si>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</si>
  <si>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</si>
  <si>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</si>
  <si>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</si>
  <si>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</si>
  <si>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</si>
  <si>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</si>
  <si>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</si>
  <si>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</si>
  <si>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</si>
  <si>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</si>
  <si>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</si>
  <si>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</si>
  <si>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</si>
  <si>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</si>
  <si>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</si>
  <si>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</si>
  <si>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</si>
  <si>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</si>
  <si>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</si>
  <si>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</si>
  <si>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</si>
  <si>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</si>
  <si>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</si>
  <si>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</si>
  <si>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</si>
  <si>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</si>
  <si>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</si>
  <si>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</si>
  <si>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</si>
  <si>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</si>
  <si>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</si>
  <si>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</si>
  <si>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</si>
  <si>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</si>
  <si>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</si>
  <si>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</si>
  <si>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</si>
  <si>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</si>
  <si>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</si>
  <si>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</si>
  <si>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</si>
  <si>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</si>
  <si>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</si>
  <si>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</si>
  <si>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</si>
  <si>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</si>
  <si>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</si>
  <si>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</si>
  <si>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</si>
  <si>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</si>
  <si>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</si>
  <si>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</si>
  <si>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</si>
  <si>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</si>
  <si>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</si>
  <si>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</si>
  <si>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</si>
  <si>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</si>
  <si>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</si>
  <si>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</si>
  <si>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</si>
  <si>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</si>
  <si>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</si>
  <si>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</si>
  <si>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</si>
  <si>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</si>
  <si>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</si>
  <si>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</si>
  <si>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</si>
  <si>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</si>
  <si>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</si>
  <si>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</si>
  <si>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</si>
  <si>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</si>
  <si>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</si>
  <si>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</si>
  <si>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</si>
  <si>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</si>
  <si>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</si>
  <si>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</si>
  <si>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</si>
  <si>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</si>
  <si>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</si>
  <si>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</si>
  <si>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</si>
  <si>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</si>
  <si>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</si>
  <si>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</si>
  <si>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</si>
  <si>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</si>
  <si>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</si>
  <si>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</si>
  <si>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</si>
  <si>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</si>
  <si>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</si>
  <si>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</si>
  <si>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</si>
  <si>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</si>
  <si>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</si>
  <si>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</si>
  <si>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</si>
  <si>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</si>
  <si>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</si>
  <si>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</si>
  <si>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</si>
  <si>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</si>
  <si>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</si>
  <si>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</si>
  <si>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</si>
  <si>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</si>
  <si>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</si>
  <si>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</si>
  <si>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</si>
  <si>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</si>
  <si>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</si>
  <si>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</si>
  <si>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</si>
  <si>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</si>
  <si>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</si>
  <si>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</si>
  <si>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</si>
  <si>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</si>
  <si>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</si>
  <si>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</si>
  <si>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</si>
  <si>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</si>
  <si>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</si>
  <si>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</si>
  <si>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</si>
  <si>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</si>
  <si>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</si>
  <si>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</si>
  <si>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</si>
  <si>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</si>
  <si>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</si>
  <si>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</si>
  <si>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</si>
  <si>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</si>
  <si>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</si>
  <si>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</si>
  <si>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</si>
  <si>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</si>
  <si>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</si>
  <si>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</si>
  <si>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</si>
  <si>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</si>
  <si>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</si>
  <si>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</si>
  <si>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</si>
  <si>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</si>
  <si>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</si>
  <si>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</si>
  <si>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</si>
  <si>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</si>
  <si>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</si>
  <si>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</si>
  <si>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</si>
  <si>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</si>
  <si>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</si>
  <si>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</si>
  <si>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</si>
  <si>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</si>
  <si>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</si>
  <si>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</si>
  <si>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</si>
  <si>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</si>
  <si>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</si>
  <si>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</si>
  <si>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</si>
  <si>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</si>
  <si>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</si>
  <si>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</si>
  <si>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</si>
  <si>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</si>
  <si>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</si>
  <si>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</si>
  <si>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</si>
  <si>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</si>
  <si>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</si>
  <si>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</si>
  <si>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</si>
  <si>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</si>
  <si>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</si>
  <si>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</si>
  <si>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</si>
  <si>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</si>
  <si>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</si>
  <si>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</si>
  <si>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</si>
  <si>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</si>
  <si>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</si>
  <si>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</si>
  <si>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</si>
  <si>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</si>
  <si>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</si>
  <si>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</si>
  <si>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</si>
  <si>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</si>
  <si>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</si>
  <si>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</si>
  <si>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</si>
  <si>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</si>
  <si>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</si>
  <si>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</si>
  <si>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</si>
  <si>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</si>
  <si>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</si>
  <si>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</si>
  <si>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</si>
  <si>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</si>
  <si>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</si>
  <si>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</si>
  <si>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</si>
  <si>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</si>
  <si>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</si>
  <si>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</si>
  <si>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</si>
  <si>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</si>
  <si>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</si>
  <si>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</si>
  <si>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</si>
  <si>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</si>
  <si>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</si>
  <si>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</si>
  <si>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</si>
  <si>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</si>
  <si>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</si>
  <si>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</si>
  <si>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</si>
  <si>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</si>
  <si>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</si>
  <si>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</si>
  <si>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</si>
  <si>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</si>
  <si>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</si>
  <si>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</si>
  <si>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</si>
  <si>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</si>
  <si>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</si>
  <si>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</si>
  <si>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</si>
  <si>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</si>
  <si>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</si>
  <si>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</si>
  <si>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</si>
  <si>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</si>
  <si>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</si>
  <si>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</si>
  <si>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</si>
  <si>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</si>
  <si>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</si>
  <si>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</si>
  <si>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</si>
  <si>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</si>
  <si>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</si>
  <si>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</si>
  <si>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</si>
  <si>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</si>
  <si>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</si>
  <si>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</si>
  <si>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</si>
  <si>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</si>
  <si>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</si>
  <si>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</si>
  <si>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RONW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</si>
  <si>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</si>
  <si>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</si>
  <si>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</si>
  <si>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</si>
  <si>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</si>
  <si>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</si>
  <si>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</si>
  <si>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</si>
  <si>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</si>
  <si>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</si>
  <si>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Earning ratio / earnings yield</t>
  </si>
  <si>
    <t>Earnings yield/ratio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</si>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</sst>
</file>

<file path=xl/styles.xml><?xml version="1.0" encoding="utf-8"?>
<styleSheet xmlns="http://schemas.openxmlformats.org/spreadsheetml/2006/main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  <numFmt numFmtId="176" formatCode="#,##0.00_ ;[Red]\-#,##0.00\ "/>
    <numFmt numFmtId="177" formatCode="#,##0_ ;[Red]\-#,##0\ "/>
    <numFmt numFmtId="178" formatCode="0_);[Red]\(0\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0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6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165" fontId="8" fillId="5" borderId="1" xfId="2" applyNumberFormat="1" applyFont="1" applyFill="1" applyBorder="1"/>
    <xf numFmtId="177" fontId="4" fillId="5" borderId="1" xfId="2" applyNumberFormat="1" applyFont="1" applyFill="1" applyBorder="1"/>
    <xf numFmtId="177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7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7" fontId="4" fillId="5" borderId="1" xfId="0" applyNumberFormat="1" applyFont="1" applyFill="1" applyBorder="1"/>
    <xf numFmtId="177" fontId="5" fillId="5" borderId="1" xfId="0" applyNumberFormat="1" applyFont="1" applyFill="1" applyBorder="1"/>
    <xf numFmtId="177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165" fontId="12" fillId="5" borderId="1" xfId="2" applyNumberFormat="1" applyFont="1" applyFill="1" applyBorder="1"/>
    <xf numFmtId="40" fontId="5" fillId="5" borderId="1" xfId="0" applyNumberFormat="1" applyFont="1" applyFill="1" applyBorder="1"/>
    <xf numFmtId="170" fontId="4" fillId="5" borderId="1" xfId="1" applyNumberFormat="1" applyFont="1" applyFill="1" applyBorder="1"/>
    <xf numFmtId="1" fontId="4" fillId="5" borderId="4" xfId="0" applyNumberFormat="1" applyFont="1" applyFill="1" applyBorder="1"/>
    <xf numFmtId="178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6" fontId="4" fillId="0" borderId="1" xfId="2" applyNumberFormat="1" applyFont="1" applyBorder="1"/>
    <xf numFmtId="0" fontId="5" fillId="0" borderId="1" xfId="0" applyFont="1" applyBorder="1"/>
    <xf numFmtId="165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76" fontId="8" fillId="5" borderId="1" xfId="2" applyNumberFormat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51477504"/>
        <c:axId val="51487488"/>
      </c:lineChart>
      <c:catAx>
        <c:axId val="51477504"/>
        <c:scaling>
          <c:orientation val="minMax"/>
        </c:scaling>
        <c:axPos val="b"/>
        <c:tickLblPos val="nextTo"/>
        <c:crossAx val="51487488"/>
        <c:crosses val="autoZero"/>
        <c:auto val="1"/>
        <c:lblAlgn val="ctr"/>
        <c:lblOffset val="100"/>
      </c:catAx>
      <c:valAx>
        <c:axId val="51487488"/>
        <c:scaling>
          <c:orientation val="minMax"/>
        </c:scaling>
        <c:axPos val="l"/>
        <c:majorGridlines/>
        <c:numFmt formatCode="General" sourceLinked="1"/>
        <c:tickLblPos val="nextTo"/>
        <c:crossAx val="51477504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280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321</v>
      </c>
      <c r="C9" s="153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268</v>
      </c>
      <c r="C33" s="132">
        <v>3.44E-2</v>
      </c>
      <c r="D33" s="20"/>
      <c r="E33" s="20"/>
      <c r="F33" s="20"/>
      <c r="G33" s="20"/>
    </row>
    <row r="34" spans="2:7">
      <c r="B34" s="20" t="s">
        <v>267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E164"/>
  <sheetViews>
    <sheetView tabSelected="1" zoomScale="80" zoomScaleNormal="80" workbookViewId="0">
      <pane xSplit="2" ySplit="3" topLeftCell="C138" activePane="bottomRight" state="frozen"/>
      <selection pane="topRight" activeCell="C1" sqref="C1"/>
      <selection pane="bottomLeft" activeCell="A5" sqref="A5"/>
      <selection pane="bottomRight" activeCell="Q159" sqref="Q159"/>
    </sheetView>
  </sheetViews>
  <sheetFormatPr defaultRowHeight="12.75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2" width="8.7109375" style="104" bestFit="1" customWidth="1"/>
    <col min="13" max="13" width="9.85546875" style="104" bestFit="1" customWidth="1"/>
    <col min="14" max="15" width="8.7109375" style="104" bestFit="1" customWidth="1"/>
    <col min="16" max="16" width="10.570312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331</v>
      </c>
      <c r="L1" s="165">
        <v>0.08</v>
      </c>
    </row>
    <row r="2" spans="2:31">
      <c r="B2" s="154" t="s">
        <v>317</v>
      </c>
      <c r="C2" s="120"/>
      <c r="F2" s="104" t="s">
        <v>253</v>
      </c>
      <c r="H2" s="126">
        <v>2013</v>
      </c>
      <c r="J2" s="104" t="s">
        <v>332</v>
      </c>
      <c r="L2" s="165">
        <v>0.15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75" t="s">
        <v>292</v>
      </c>
      <c r="AE2" s="176"/>
    </row>
    <row r="3" spans="2:31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77" t="s">
        <v>293</v>
      </c>
      <c r="AE3" s="178"/>
    </row>
    <row r="4" spans="2:3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37"/>
      <c r="AD5" s="20"/>
      <c r="AE5" s="155"/>
    </row>
    <row r="6" spans="2:31">
      <c r="B6" s="20" t="s">
        <v>16</v>
      </c>
      <c r="C6" s="141"/>
      <c r="D6" s="141"/>
      <c r="E6" s="147"/>
      <c r="F6" s="147"/>
      <c r="G6" s="147">
        <v>289</v>
      </c>
      <c r="H6" s="147">
        <v>336</v>
      </c>
      <c r="I6" s="147">
        <v>388</v>
      </c>
      <c r="J6" s="147">
        <v>455</v>
      </c>
      <c r="K6" s="147">
        <v>591</v>
      </c>
      <c r="L6" s="147">
        <v>669</v>
      </c>
      <c r="M6" s="147">
        <v>821</v>
      </c>
      <c r="N6" s="147">
        <v>1034</v>
      </c>
      <c r="O6" s="147">
        <v>1275</v>
      </c>
      <c r="P6" s="147">
        <v>1600</v>
      </c>
      <c r="Q6" s="118">
        <f>((P6/G6)^(1/($H$2-$H$1) ))-1</f>
        <v>0.20942860942138286</v>
      </c>
      <c r="R6" s="31">
        <f>$L$2</f>
        <v>0.15</v>
      </c>
      <c r="S6" s="155">
        <f>P6*(1+$R6)</f>
        <v>1839.9999999999998</v>
      </c>
      <c r="T6" s="155">
        <f>S6*(1+$R6)</f>
        <v>2115.9999999999995</v>
      </c>
      <c r="U6" s="155">
        <f t="shared" ref="U6:AB6" si="0">T6*(1+$R6)</f>
        <v>2433.3999999999992</v>
      </c>
      <c r="V6" s="155">
        <f t="shared" si="0"/>
        <v>2798.4099999999989</v>
      </c>
      <c r="W6" s="155">
        <f t="shared" si="0"/>
        <v>3218.1714999999986</v>
      </c>
      <c r="X6" s="155">
        <f t="shared" si="0"/>
        <v>3700.8972249999979</v>
      </c>
      <c r="Y6" s="155">
        <f t="shared" si="0"/>
        <v>4256.0318087499973</v>
      </c>
      <c r="Z6" s="155">
        <f t="shared" si="0"/>
        <v>4894.4365800624964</v>
      </c>
      <c r="AA6" s="155">
        <f t="shared" si="0"/>
        <v>5628.6020670718708</v>
      </c>
      <c r="AB6" s="155">
        <f t="shared" si="0"/>
        <v>6472.8923771326508</v>
      </c>
      <c r="AC6" s="138">
        <f>((AB6/G6)^(1/($AB$3-$H$1) ))-1</f>
        <v>0.17777731856930323</v>
      </c>
      <c r="AD6" s="31">
        <f>$L$1</f>
        <v>0.08</v>
      </c>
      <c r="AE6" s="146">
        <f t="shared" ref="AE6:AE40" si="1">(AB6*(1+AD6))/($C$1-AD6)</f>
        <v>49933.741195023307</v>
      </c>
    </row>
    <row r="7" spans="2:31">
      <c r="B7" s="20" t="s">
        <v>240</v>
      </c>
      <c r="C7" s="141"/>
      <c r="D7" s="141"/>
      <c r="E7" s="147"/>
      <c r="F7" s="147"/>
      <c r="G7" s="147">
        <v>315</v>
      </c>
      <c r="H7" s="147">
        <v>361</v>
      </c>
      <c r="I7" s="147">
        <v>413</v>
      </c>
      <c r="J7" s="147">
        <v>480</v>
      </c>
      <c r="K7" s="147">
        <v>620</v>
      </c>
      <c r="L7" s="147">
        <v>634</v>
      </c>
      <c r="M7" s="147">
        <v>872</v>
      </c>
      <c r="N7" s="147">
        <v>1084</v>
      </c>
      <c r="O7" s="147">
        <v>1326</v>
      </c>
      <c r="P7" s="147">
        <v>1651</v>
      </c>
      <c r="Q7" s="118">
        <f>((P7/G7)^(1/($H$2-$H$1) ))-1</f>
        <v>0.20209112574880295</v>
      </c>
      <c r="R7" s="31">
        <f>$L$2</f>
        <v>0.15</v>
      </c>
      <c r="S7" s="155">
        <f t="shared" ref="S7:S15" si="2">P7*(1+$R7)</f>
        <v>1898.6499999999999</v>
      </c>
      <c r="T7" s="155">
        <f t="shared" ref="T7:AB7" si="3">S7*(1+$R7)</f>
        <v>2183.4474999999998</v>
      </c>
      <c r="U7" s="155">
        <f t="shared" si="3"/>
        <v>2510.9646249999996</v>
      </c>
      <c r="V7" s="155">
        <f t="shared" si="3"/>
        <v>2887.6093187499991</v>
      </c>
      <c r="W7" s="155">
        <f t="shared" si="3"/>
        <v>3320.7507165624988</v>
      </c>
      <c r="X7" s="155">
        <f t="shared" si="3"/>
        <v>3818.8633240468735</v>
      </c>
      <c r="Y7" s="155">
        <f t="shared" si="3"/>
        <v>4391.6928226539039</v>
      </c>
      <c r="Z7" s="155">
        <f t="shared" si="3"/>
        <v>5050.4467460519891</v>
      </c>
      <c r="AA7" s="155">
        <f t="shared" si="3"/>
        <v>5808.0137579597867</v>
      </c>
      <c r="AB7" s="155">
        <f t="shared" si="3"/>
        <v>6679.2158216537546</v>
      </c>
      <c r="AC7" s="138">
        <f>((AB7/G7)^(1/($AB$3-$H$1) ))-1</f>
        <v>0.17438720715505363</v>
      </c>
      <c r="AD7" s="31">
        <f>$L$1</f>
        <v>0.08</v>
      </c>
      <c r="AE7" s="146">
        <f t="shared" si="1"/>
        <v>51525.379195614674</v>
      </c>
    </row>
    <row r="8" spans="2:31">
      <c r="B8" s="20"/>
      <c r="C8" s="141"/>
      <c r="D8" s="141"/>
      <c r="E8" s="147"/>
      <c r="F8" s="147"/>
      <c r="G8" s="149">
        <f>(G7-F7)/G7</f>
        <v>1</v>
      </c>
      <c r="H8" s="152">
        <f>(H7-G7)/H7</f>
        <v>0.12742382271468145</v>
      </c>
      <c r="I8" s="152">
        <f t="shared" ref="I8:P8" si="4">(I7-H7)/I7</f>
        <v>0.12590799031476999</v>
      </c>
      <c r="J8" s="152">
        <f t="shared" si="4"/>
        <v>0.13958333333333334</v>
      </c>
      <c r="K8" s="152">
        <f t="shared" si="4"/>
        <v>0.22580645161290322</v>
      </c>
      <c r="L8" s="152">
        <f t="shared" si="4"/>
        <v>2.2082018927444796E-2</v>
      </c>
      <c r="M8" s="152">
        <f t="shared" si="4"/>
        <v>0.27293577981651373</v>
      </c>
      <c r="N8" s="152">
        <f t="shared" si="4"/>
        <v>0.19557195571955718</v>
      </c>
      <c r="O8" s="152">
        <f t="shared" si="4"/>
        <v>0.18250377073906485</v>
      </c>
      <c r="P8" s="152">
        <f t="shared" si="4"/>
        <v>0.19685039370078741</v>
      </c>
      <c r="Q8" s="128"/>
      <c r="R8" s="20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37"/>
      <c r="AD8" s="137"/>
      <c r="AE8" s="146"/>
    </row>
    <row r="9" spans="2:31">
      <c r="B9" s="20" t="s">
        <v>270</v>
      </c>
      <c r="C9" s="141"/>
      <c r="D9" s="141"/>
      <c r="E9" s="147"/>
      <c r="F9" s="147"/>
      <c r="G9" s="147">
        <v>85</v>
      </c>
      <c r="H9" s="147">
        <v>112</v>
      </c>
      <c r="I9" s="147">
        <v>133</v>
      </c>
      <c r="J9" s="147">
        <v>197</v>
      </c>
      <c r="K9" s="147">
        <v>263</v>
      </c>
      <c r="L9" s="147">
        <v>324</v>
      </c>
      <c r="M9" s="147">
        <v>411</v>
      </c>
      <c r="N9" s="147">
        <v>510</v>
      </c>
      <c r="O9" s="147">
        <v>748</v>
      </c>
      <c r="P9" s="147">
        <v>693</v>
      </c>
      <c r="Q9" s="118">
        <f t="shared" ref="Q9:Q15" si="5">((P9/G9)^(1/($H$2-$H$1) ))-1</f>
        <v>0.26257488294639741</v>
      </c>
      <c r="R9" s="31">
        <f t="shared" ref="R9:R37" si="6">$L$2</f>
        <v>0.15</v>
      </c>
      <c r="S9" s="155">
        <f t="shared" ref="S9" si="7">P9*(1+$R9)</f>
        <v>796.94999999999993</v>
      </c>
      <c r="T9" s="155">
        <f t="shared" ref="T9" si="8">S9*(1+$R9)</f>
        <v>916.49249999999984</v>
      </c>
      <c r="U9" s="155">
        <f t="shared" ref="U9" si="9">T9*(1+$R9)</f>
        <v>1053.9663749999997</v>
      </c>
      <c r="V9" s="155">
        <f t="shared" ref="V9" si="10">U9*(1+$R9)</f>
        <v>1212.0613312499995</v>
      </c>
      <c r="W9" s="155">
        <f t="shared" ref="W9" si="11">V9*(1+$R9)</f>
        <v>1393.8705309374993</v>
      </c>
      <c r="X9" s="155">
        <f t="shared" ref="X9" si="12">W9*(1+$R9)</f>
        <v>1602.9511105781241</v>
      </c>
      <c r="Y9" s="155">
        <f t="shared" ref="Y9" si="13">X9*(1+$R9)</f>
        <v>1843.3937771648427</v>
      </c>
      <c r="Z9" s="155">
        <f t="shared" ref="Z9" si="14">Y9*(1+$R9)</f>
        <v>2119.9028437395691</v>
      </c>
      <c r="AA9" s="155">
        <f t="shared" ref="AA9" si="15">Z9*(1+$R9)</f>
        <v>2437.8882703005042</v>
      </c>
      <c r="AB9" s="155">
        <f t="shared" ref="AB9" si="16">AA9*(1+$R9)</f>
        <v>2803.5715108455797</v>
      </c>
      <c r="AC9" s="138">
        <f>((AB9/G9)^(1/($AB$3-$H$1) ))-1</f>
        <v>0.20201570709869121</v>
      </c>
      <c r="AD9" s="31">
        <f t="shared" ref="AD9:AD72" si="17">$L$1</f>
        <v>0.08</v>
      </c>
      <c r="AE9" s="146">
        <f t="shared" si="1"/>
        <v>21627.55165509447</v>
      </c>
    </row>
    <row r="10" spans="2:31">
      <c r="B10" s="20" t="s">
        <v>4</v>
      </c>
      <c r="C10" s="141"/>
      <c r="D10" s="141"/>
      <c r="E10" s="147"/>
      <c r="F10" s="147"/>
      <c r="G10" s="147">
        <v>56</v>
      </c>
      <c r="H10" s="147">
        <v>62</v>
      </c>
      <c r="I10" s="147">
        <v>56</v>
      </c>
      <c r="J10" s="147">
        <v>145</v>
      </c>
      <c r="K10" s="147">
        <v>526</v>
      </c>
      <c r="L10" s="147">
        <v>609</v>
      </c>
      <c r="M10" s="147">
        <v>468</v>
      </c>
      <c r="N10" s="147">
        <v>335</v>
      </c>
      <c r="O10" s="147">
        <v>148</v>
      </c>
      <c r="P10" s="147">
        <v>51</v>
      </c>
      <c r="Q10" s="118">
        <f t="shared" si="5"/>
        <v>-1.0337976182232311E-2</v>
      </c>
      <c r="R10" s="31">
        <f t="shared" si="6"/>
        <v>0.15</v>
      </c>
      <c r="S10" s="155">
        <f t="shared" si="2"/>
        <v>58.65</v>
      </c>
      <c r="T10" s="155">
        <f t="shared" ref="T10:AB10" si="18">S10*(1+$R10)</f>
        <v>67.447499999999991</v>
      </c>
      <c r="U10" s="155">
        <f t="shared" si="18"/>
        <v>77.564624999999978</v>
      </c>
      <c r="V10" s="155">
        <f t="shared" si="18"/>
        <v>89.199318749999975</v>
      </c>
      <c r="W10" s="155">
        <f t="shared" si="18"/>
        <v>102.57921656249997</v>
      </c>
      <c r="X10" s="155">
        <f t="shared" si="18"/>
        <v>117.96609904687494</v>
      </c>
      <c r="Y10" s="155">
        <f t="shared" si="18"/>
        <v>135.66101390390617</v>
      </c>
      <c r="Z10" s="155">
        <f t="shared" si="18"/>
        <v>156.01016598949207</v>
      </c>
      <c r="AA10" s="155">
        <f t="shared" si="18"/>
        <v>179.41169088791585</v>
      </c>
      <c r="AB10" s="155">
        <f t="shared" si="18"/>
        <v>206.32344452110323</v>
      </c>
      <c r="AC10" s="138">
        <f t="shared" ref="AC10:AC39" si="19">((AB10/G10)^(1/($AB$3-$H$1) ))-1</f>
        <v>7.1046805295071236E-2</v>
      </c>
      <c r="AD10" s="31">
        <f t="shared" si="17"/>
        <v>0.08</v>
      </c>
      <c r="AE10" s="146">
        <f t="shared" si="1"/>
        <v>1591.6380005913677</v>
      </c>
    </row>
    <row r="11" spans="2:31">
      <c r="B11" s="20"/>
      <c r="C11" s="141"/>
      <c r="D11" s="141"/>
      <c r="E11" s="147"/>
      <c r="F11" s="147"/>
      <c r="G11" s="149">
        <f>(G10-F10)/G10</f>
        <v>1</v>
      </c>
      <c r="H11" s="148">
        <f>(H10-G10)/H10</f>
        <v>9.6774193548387094E-2</v>
      </c>
      <c r="I11" s="148">
        <f t="shared" ref="I11" si="20">(I10-H10)/I10</f>
        <v>-0.10714285714285714</v>
      </c>
      <c r="J11" s="148">
        <f t="shared" ref="J11" si="21">(J10-I10)/J10</f>
        <v>0.61379310344827587</v>
      </c>
      <c r="K11" s="148">
        <f t="shared" ref="K11" si="22">(K10-J10)/K10</f>
        <v>0.7243346007604563</v>
      </c>
      <c r="L11" s="148">
        <f t="shared" ref="L11" si="23">(L10-K10)/L10</f>
        <v>0.13628899835796388</v>
      </c>
      <c r="M11" s="148">
        <f t="shared" ref="M11" si="24">(M10-L10)/M10</f>
        <v>-0.30128205128205127</v>
      </c>
      <c r="N11" s="148">
        <f t="shared" ref="N11" si="25">(N10-M10)/N10</f>
        <v>-0.39701492537313432</v>
      </c>
      <c r="O11" s="148">
        <f t="shared" ref="O11" si="26">(O10-N10)/O10</f>
        <v>-1.2635135135135136</v>
      </c>
      <c r="P11" s="148">
        <f t="shared" ref="P11" si="27">(P10-O10)/P10</f>
        <v>-1.9019607843137254</v>
      </c>
      <c r="Q11" s="128"/>
      <c r="R11" s="20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19"/>
      <c r="AD11" s="31">
        <f t="shared" si="17"/>
        <v>0.08</v>
      </c>
      <c r="AE11" s="155"/>
    </row>
    <row r="12" spans="2:31">
      <c r="B12" s="20" t="s">
        <v>2</v>
      </c>
      <c r="C12" s="141"/>
      <c r="D12" s="141"/>
      <c r="E12" s="147"/>
      <c r="F12" s="147"/>
      <c r="G12" s="147">
        <v>7.5</v>
      </c>
      <c r="H12" s="147">
        <v>14</v>
      </c>
      <c r="I12" s="147">
        <v>16</v>
      </c>
      <c r="J12" s="147">
        <v>38</v>
      </c>
      <c r="K12" s="147">
        <v>172</v>
      </c>
      <c r="L12" s="147">
        <v>159</v>
      </c>
      <c r="M12" s="147">
        <v>45</v>
      </c>
      <c r="N12" s="147">
        <v>103</v>
      </c>
      <c r="O12" s="147">
        <v>273</v>
      </c>
      <c r="P12" s="147">
        <v>151</v>
      </c>
      <c r="Q12" s="118">
        <f t="shared" si="5"/>
        <v>0.39598104201612827</v>
      </c>
      <c r="R12" s="31">
        <f t="shared" si="6"/>
        <v>0.15</v>
      </c>
      <c r="S12" s="155">
        <f t="shared" si="2"/>
        <v>173.64999999999998</v>
      </c>
      <c r="T12" s="155">
        <f t="shared" ref="T12:AB12" si="28">S12*(1+$R12)</f>
        <v>199.69749999999996</v>
      </c>
      <c r="U12" s="155">
        <f t="shared" si="28"/>
        <v>229.65212499999993</v>
      </c>
      <c r="V12" s="155">
        <f t="shared" si="28"/>
        <v>264.09994374999991</v>
      </c>
      <c r="W12" s="155">
        <f t="shared" si="28"/>
        <v>303.71493531249985</v>
      </c>
      <c r="X12" s="155">
        <f t="shared" si="28"/>
        <v>349.27217560937481</v>
      </c>
      <c r="Y12" s="155">
        <f t="shared" si="28"/>
        <v>401.66300195078099</v>
      </c>
      <c r="Z12" s="155">
        <f t="shared" si="28"/>
        <v>461.91245224339809</v>
      </c>
      <c r="AA12" s="155">
        <f t="shared" si="28"/>
        <v>531.19932007990781</v>
      </c>
      <c r="AB12" s="155">
        <f t="shared" si="28"/>
        <v>610.8792180918939</v>
      </c>
      <c r="AC12" s="138">
        <f t="shared" si="19"/>
        <v>0.26058859335882456</v>
      </c>
      <c r="AD12" s="31">
        <f t="shared" si="17"/>
        <v>0.08</v>
      </c>
      <c r="AE12" s="146">
        <f t="shared" si="1"/>
        <v>4712.4968252803237</v>
      </c>
    </row>
    <row r="13" spans="2:31">
      <c r="B13" s="20" t="s">
        <v>218</v>
      </c>
      <c r="C13" s="141"/>
      <c r="D13" s="141"/>
      <c r="E13" s="147"/>
      <c r="F13" s="147"/>
      <c r="G13" s="147">
        <v>19</v>
      </c>
      <c r="H13" s="147">
        <v>19</v>
      </c>
      <c r="I13" s="147">
        <v>16</v>
      </c>
      <c r="J13" s="147">
        <v>16</v>
      </c>
      <c r="K13" s="147">
        <v>3.24</v>
      </c>
      <c r="L13" s="147">
        <v>26</v>
      </c>
      <c r="M13" s="147">
        <v>268</v>
      </c>
      <c r="N13" s="147">
        <v>170</v>
      </c>
      <c r="O13" s="147">
        <v>98</v>
      </c>
      <c r="P13" s="147">
        <v>293</v>
      </c>
      <c r="Q13" s="118">
        <f t="shared" si="5"/>
        <v>0.35522894521425896</v>
      </c>
      <c r="R13" s="31">
        <f t="shared" si="6"/>
        <v>0.15</v>
      </c>
      <c r="S13" s="155">
        <f t="shared" si="2"/>
        <v>336.95</v>
      </c>
      <c r="T13" s="155">
        <f t="shared" ref="T13:AB13" si="29">S13*(1+$R13)</f>
        <v>387.49249999999995</v>
      </c>
      <c r="U13" s="155">
        <f t="shared" si="29"/>
        <v>445.61637499999989</v>
      </c>
      <c r="V13" s="155">
        <f t="shared" si="29"/>
        <v>512.45883124999989</v>
      </c>
      <c r="W13" s="155">
        <f t="shared" si="29"/>
        <v>589.3276559374998</v>
      </c>
      <c r="X13" s="155">
        <f t="shared" si="29"/>
        <v>677.72680432812467</v>
      </c>
      <c r="Y13" s="155">
        <f t="shared" si="29"/>
        <v>779.3858249773433</v>
      </c>
      <c r="Z13" s="155">
        <f t="shared" si="29"/>
        <v>896.29369872394477</v>
      </c>
      <c r="AA13" s="155">
        <f t="shared" si="29"/>
        <v>1030.7377535325363</v>
      </c>
      <c r="AB13" s="155">
        <f t="shared" si="29"/>
        <v>1185.3484165624166</v>
      </c>
      <c r="AC13" s="138">
        <f t="shared" si="19"/>
        <v>0.24302123687300625</v>
      </c>
      <c r="AD13" s="31">
        <f t="shared" si="17"/>
        <v>0.08</v>
      </c>
      <c r="AE13" s="146">
        <f t="shared" si="1"/>
        <v>9144.1163563386417</v>
      </c>
    </row>
    <row r="14" spans="2:31">
      <c r="B14" s="20" t="s">
        <v>19</v>
      </c>
      <c r="C14" s="141"/>
      <c r="D14" s="141"/>
      <c r="E14" s="147"/>
      <c r="F14" s="147"/>
      <c r="G14" s="147">
        <v>209.5</v>
      </c>
      <c r="H14" s="147">
        <v>254</v>
      </c>
      <c r="I14" s="147">
        <v>284</v>
      </c>
      <c r="J14" s="147">
        <v>417</v>
      </c>
      <c r="K14" s="147">
        <v>708</v>
      </c>
      <c r="L14" s="147">
        <v>718</v>
      </c>
      <c r="M14" s="147">
        <v>638</v>
      </c>
      <c r="N14" s="147">
        <v>793</v>
      </c>
      <c r="O14" s="147">
        <v>1122</v>
      </c>
      <c r="P14" s="147">
        <v>1104</v>
      </c>
      <c r="Q14" s="118">
        <f t="shared" si="5"/>
        <v>0.2028136235625817</v>
      </c>
      <c r="R14" s="31">
        <f t="shared" si="6"/>
        <v>0.15</v>
      </c>
      <c r="S14" s="155">
        <f t="shared" si="2"/>
        <v>1269.5999999999999</v>
      </c>
      <c r="T14" s="155">
        <f t="shared" ref="T14:AB14" si="30">S14*(1+$R14)</f>
        <v>1460.0399999999997</v>
      </c>
      <c r="U14" s="155">
        <f t="shared" si="30"/>
        <v>1679.0459999999996</v>
      </c>
      <c r="V14" s="155">
        <f t="shared" si="30"/>
        <v>1930.9028999999994</v>
      </c>
      <c r="W14" s="155">
        <f t="shared" si="30"/>
        <v>2220.5383349999993</v>
      </c>
      <c r="X14" s="155">
        <f t="shared" si="30"/>
        <v>2553.619085249999</v>
      </c>
      <c r="Y14" s="155">
        <f t="shared" si="30"/>
        <v>2936.6619480374984</v>
      </c>
      <c r="Z14" s="155">
        <f t="shared" si="30"/>
        <v>3377.1612402431228</v>
      </c>
      <c r="AA14" s="155">
        <f t="shared" si="30"/>
        <v>3883.7354262795911</v>
      </c>
      <c r="AB14" s="155">
        <f t="shared" si="30"/>
        <v>4466.2957402215297</v>
      </c>
      <c r="AC14" s="138">
        <f t="shared" si="19"/>
        <v>0.17472150277859289</v>
      </c>
      <c r="AD14" s="31">
        <f t="shared" si="17"/>
        <v>0.08</v>
      </c>
      <c r="AE14" s="146">
        <f t="shared" si="1"/>
        <v>34454.281424566085</v>
      </c>
    </row>
    <row r="15" spans="2:31">
      <c r="B15" s="20" t="s">
        <v>23</v>
      </c>
      <c r="C15" s="141"/>
      <c r="D15" s="141"/>
      <c r="E15" s="147"/>
      <c r="F15" s="147"/>
      <c r="G15" s="147">
        <v>132</v>
      </c>
      <c r="H15" s="147">
        <v>145</v>
      </c>
      <c r="I15" s="147">
        <v>147</v>
      </c>
      <c r="J15" s="147">
        <v>224</v>
      </c>
      <c r="K15" s="147">
        <v>477</v>
      </c>
      <c r="L15" s="147">
        <v>445</v>
      </c>
      <c r="M15" s="147">
        <v>234</v>
      </c>
      <c r="N15" s="147">
        <v>336</v>
      </c>
      <c r="O15" s="147">
        <v>365</v>
      </c>
      <c r="P15" s="147">
        <v>335</v>
      </c>
      <c r="Q15" s="118">
        <f t="shared" si="5"/>
        <v>0.10902467354362688</v>
      </c>
      <c r="R15" s="31">
        <f t="shared" si="6"/>
        <v>0.15</v>
      </c>
      <c r="S15" s="155">
        <f t="shared" si="2"/>
        <v>385.24999999999994</v>
      </c>
      <c r="T15" s="155">
        <f t="shared" ref="T15:AB15" si="31">S15*(1+$R15)</f>
        <v>443.03749999999991</v>
      </c>
      <c r="U15" s="155">
        <f t="shared" si="31"/>
        <v>509.49312499999985</v>
      </c>
      <c r="V15" s="155">
        <f t="shared" si="31"/>
        <v>585.91709374999982</v>
      </c>
      <c r="W15" s="155">
        <f t="shared" si="31"/>
        <v>673.80465781249973</v>
      </c>
      <c r="X15" s="155">
        <f t="shared" si="31"/>
        <v>774.87535648437461</v>
      </c>
      <c r="Y15" s="155">
        <f t="shared" si="31"/>
        <v>891.10665995703073</v>
      </c>
      <c r="Z15" s="155">
        <f t="shared" si="31"/>
        <v>1024.7726589505853</v>
      </c>
      <c r="AA15" s="155">
        <f t="shared" si="31"/>
        <v>1178.488557793173</v>
      </c>
      <c r="AB15" s="155">
        <f t="shared" si="31"/>
        <v>1355.2618414621488</v>
      </c>
      <c r="AC15" s="138">
        <f t="shared" si="19"/>
        <v>0.13040526753436921</v>
      </c>
      <c r="AD15" s="31">
        <f t="shared" si="17"/>
        <v>0.08</v>
      </c>
      <c r="AE15" s="146">
        <f t="shared" si="1"/>
        <v>10454.877062708005</v>
      </c>
    </row>
    <row r="16" spans="2:31">
      <c r="B16" s="20"/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28"/>
      <c r="R16" s="20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39"/>
      <c r="AD16" s="137"/>
      <c r="AE16" s="155"/>
    </row>
    <row r="17" spans="2:31">
      <c r="B17" s="20" t="s">
        <v>278</v>
      </c>
      <c r="C17" s="141"/>
      <c r="D17" s="141"/>
      <c r="E17" s="147"/>
      <c r="F17" s="147"/>
      <c r="G17" s="147">
        <v>204</v>
      </c>
      <c r="H17" s="147">
        <v>224</v>
      </c>
      <c r="I17" s="147">
        <v>278</v>
      </c>
      <c r="J17" s="147">
        <v>350</v>
      </c>
      <c r="K17" s="147">
        <v>497</v>
      </c>
      <c r="L17" s="147">
        <v>551</v>
      </c>
      <c r="M17" s="147">
        <v>540</v>
      </c>
      <c r="N17" s="147">
        <v>563</v>
      </c>
      <c r="O17" s="147">
        <v>618</v>
      </c>
      <c r="P17" s="147">
        <v>646</v>
      </c>
      <c r="Q17" s="118">
        <f>((P17/G17)^(1/($H$2-$H$1) ))-1</f>
        <v>0.13663881694331415</v>
      </c>
      <c r="R17" s="31">
        <f t="shared" si="6"/>
        <v>0.15</v>
      </c>
      <c r="S17" s="155">
        <f t="shared" ref="S17:S33" si="32">P17*(1+$R17)</f>
        <v>742.9</v>
      </c>
      <c r="T17" s="155">
        <f t="shared" ref="T17:T33" si="33">S17*(1+$R17)</f>
        <v>854.33499999999992</v>
      </c>
      <c r="U17" s="155">
        <f t="shared" ref="U17:U33" si="34">T17*(1+$R17)</f>
        <v>982.48524999999984</v>
      </c>
      <c r="V17" s="155">
        <f t="shared" ref="V17:V33" si="35">U17*(1+$R17)</f>
        <v>1129.8580374999997</v>
      </c>
      <c r="W17" s="155">
        <f t="shared" ref="W17:W35" si="36">V17*(1+$R17)</f>
        <v>1299.3367431249994</v>
      </c>
      <c r="X17" s="155">
        <f t="shared" ref="X17:X35" si="37">W17*(1+$R17)</f>
        <v>1494.2372545937492</v>
      </c>
      <c r="Y17" s="155">
        <f t="shared" ref="Y17:Y35" si="38">X17*(1+$R17)</f>
        <v>1718.3728427828114</v>
      </c>
      <c r="Z17" s="155">
        <f t="shared" ref="Z17:Z35" si="39">Y17*(1+$R17)</f>
        <v>1976.1287692002329</v>
      </c>
      <c r="AA17" s="155">
        <f t="shared" ref="AA17:AA35" si="40">Z17*(1+$R17)</f>
        <v>2272.5480845802676</v>
      </c>
      <c r="AB17" s="155">
        <f t="shared" ref="AB17:AB35" si="41">AA17*(1+$R17)</f>
        <v>2613.4302972673077</v>
      </c>
      <c r="AC17" s="138">
        <f t="shared" si="19"/>
        <v>0.14365155259360307</v>
      </c>
      <c r="AD17" s="31">
        <f t="shared" si="17"/>
        <v>0.08</v>
      </c>
      <c r="AE17" s="146">
        <f t="shared" si="1"/>
        <v>20160.748007490656</v>
      </c>
    </row>
    <row r="18" spans="2:31">
      <c r="B18" s="20"/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28"/>
      <c r="R18" s="20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39"/>
      <c r="AD18" s="137"/>
      <c r="AE18" s="155"/>
    </row>
    <row r="19" spans="2:31">
      <c r="B19" s="20" t="s">
        <v>284</v>
      </c>
      <c r="C19" s="141"/>
      <c r="D19" s="141"/>
      <c r="E19" s="147"/>
      <c r="F19" s="147"/>
      <c r="G19" s="147">
        <v>48</v>
      </c>
      <c r="H19" s="147">
        <v>92</v>
      </c>
      <c r="I19" s="147">
        <v>112</v>
      </c>
      <c r="J19" s="147">
        <v>89</v>
      </c>
      <c r="K19" s="147">
        <v>128</v>
      </c>
      <c r="L19" s="147">
        <v>260</v>
      </c>
      <c r="M19" s="147">
        <v>412</v>
      </c>
      <c r="N19" s="147">
        <v>322</v>
      </c>
      <c r="O19" s="147">
        <v>507</v>
      </c>
      <c r="P19" s="147">
        <v>513</v>
      </c>
      <c r="Q19" s="118">
        <f>((P19/G19)^(1/($H$2-$H$1) ))-1</f>
        <v>0.30112664239398113</v>
      </c>
      <c r="R19" s="31">
        <f t="shared" si="6"/>
        <v>0.15</v>
      </c>
      <c r="S19" s="155">
        <f t="shared" ref="S19:S21" si="42">P19*(1+$R19)</f>
        <v>589.94999999999993</v>
      </c>
      <c r="T19" s="155">
        <f t="shared" ref="T19:T21" si="43">S19*(1+$R19)</f>
        <v>678.44249999999988</v>
      </c>
      <c r="U19" s="155">
        <f t="shared" ref="U19:U21" si="44">T19*(1+$R19)</f>
        <v>780.20887499999981</v>
      </c>
      <c r="V19" s="155">
        <f t="shared" ref="V19:V21" si="45">U19*(1+$R19)</f>
        <v>897.24020624999969</v>
      </c>
      <c r="W19" s="155">
        <f t="shared" ref="W19:W21" si="46">V19*(1+$R19)</f>
        <v>1031.8262371874996</v>
      </c>
      <c r="X19" s="155">
        <f t="shared" ref="X19:X21" si="47">W19*(1+$R19)</f>
        <v>1186.6001727656244</v>
      </c>
      <c r="Y19" s="155">
        <f t="shared" ref="Y19:Y21" si="48">X19*(1+$R19)</f>
        <v>1364.5901986804679</v>
      </c>
      <c r="Z19" s="155">
        <f t="shared" ref="Z19:Z21" si="49">Y19*(1+$R19)</f>
        <v>1569.2787284825379</v>
      </c>
      <c r="AA19" s="155">
        <f t="shared" ref="AA19:AA21" si="50">Z19*(1+$R19)</f>
        <v>1804.6705377549183</v>
      </c>
      <c r="AB19" s="155">
        <f t="shared" ref="AB19:AB21" si="51">AA19*(1+$R19)</f>
        <v>2075.3711184181557</v>
      </c>
      <c r="AC19" s="138">
        <f t="shared" ref="AC19:AC21" si="52">((AB19/G19)^(1/($AB$3-$H$1) ))-1</f>
        <v>0.21926359544882668</v>
      </c>
      <c r="AD19" s="31">
        <f t="shared" si="17"/>
        <v>0.08</v>
      </c>
      <c r="AE19" s="146">
        <f t="shared" si="1"/>
        <v>16010.005770654343</v>
      </c>
    </row>
    <row r="20" spans="2:31">
      <c r="B20" s="20" t="s">
        <v>285</v>
      </c>
      <c r="C20" s="141"/>
      <c r="D20" s="141"/>
      <c r="E20" s="147"/>
      <c r="F20" s="147"/>
      <c r="G20" s="147">
        <v>-41</v>
      </c>
      <c r="H20" s="147">
        <v>-70</v>
      </c>
      <c r="I20" s="147">
        <v>-77</v>
      </c>
      <c r="J20" s="147">
        <v>-125</v>
      </c>
      <c r="K20" s="147">
        <v>-290</v>
      </c>
      <c r="L20" s="147">
        <v>-228</v>
      </c>
      <c r="M20" s="147">
        <v>-345</v>
      </c>
      <c r="N20" s="147">
        <v>-37</v>
      </c>
      <c r="O20" s="147">
        <v>-231</v>
      </c>
      <c r="P20" s="147">
        <v>-197</v>
      </c>
      <c r="Q20" s="118">
        <f>((P20/G20)^(1/($H$2-$H$1) ))-1</f>
        <v>0.19053587156611562</v>
      </c>
      <c r="R20" s="31">
        <f t="shared" si="6"/>
        <v>0.15</v>
      </c>
      <c r="S20" s="155">
        <f t="shared" si="42"/>
        <v>-226.54999999999998</v>
      </c>
      <c r="T20" s="155">
        <f t="shared" si="43"/>
        <v>-260.53249999999997</v>
      </c>
      <c r="U20" s="155">
        <f t="shared" si="44"/>
        <v>-299.61237499999993</v>
      </c>
      <c r="V20" s="155">
        <f t="shared" si="45"/>
        <v>-344.55423124999987</v>
      </c>
      <c r="W20" s="155">
        <f t="shared" si="46"/>
        <v>-396.23736593749982</v>
      </c>
      <c r="X20" s="155">
        <f t="shared" si="47"/>
        <v>-455.67297082812473</v>
      </c>
      <c r="Y20" s="155">
        <f t="shared" si="48"/>
        <v>-524.02391645234343</v>
      </c>
      <c r="Z20" s="155">
        <f t="shared" si="49"/>
        <v>-602.62750392019484</v>
      </c>
      <c r="AA20" s="155">
        <f t="shared" si="50"/>
        <v>-693.02162950822401</v>
      </c>
      <c r="AB20" s="155">
        <f t="shared" si="51"/>
        <v>-796.97487393445761</v>
      </c>
      <c r="AC20" s="138">
        <f t="shared" si="52"/>
        <v>0.16902621779394922</v>
      </c>
      <c r="AD20" s="31">
        <f t="shared" si="17"/>
        <v>0.08</v>
      </c>
      <c r="AE20" s="146">
        <f t="shared" si="1"/>
        <v>-6148.0918846372442</v>
      </c>
    </row>
    <row r="21" spans="2:31">
      <c r="B21" s="20" t="s">
        <v>286</v>
      </c>
      <c r="C21" s="141"/>
      <c r="D21" s="141"/>
      <c r="E21" s="147"/>
      <c r="F21" s="147"/>
      <c r="G21" s="147">
        <v>-7</v>
      </c>
      <c r="H21" s="147">
        <v>-18</v>
      </c>
      <c r="I21" s="147">
        <v>-35</v>
      </c>
      <c r="J21" s="147">
        <v>47</v>
      </c>
      <c r="K21" s="147">
        <v>288</v>
      </c>
      <c r="L21" s="147">
        <v>-54</v>
      </c>
      <c r="M21" s="147">
        <v>-160</v>
      </c>
      <c r="N21" s="147">
        <v>-246</v>
      </c>
      <c r="O21" s="147">
        <v>-285</v>
      </c>
      <c r="P21" s="147">
        <v>-625</v>
      </c>
      <c r="Q21" s="118">
        <f>((P21/G21)^(1/($H$2-$H$1) ))-1</f>
        <v>0.64722738220021325</v>
      </c>
      <c r="R21" s="31">
        <f t="shared" si="6"/>
        <v>0.15</v>
      </c>
      <c r="S21" s="155">
        <f t="shared" si="42"/>
        <v>-718.75</v>
      </c>
      <c r="T21" s="155">
        <f t="shared" si="43"/>
        <v>-826.56249999999989</v>
      </c>
      <c r="U21" s="155">
        <f t="shared" si="44"/>
        <v>-950.54687499999977</v>
      </c>
      <c r="V21" s="155">
        <f t="shared" si="45"/>
        <v>-1093.1289062499995</v>
      </c>
      <c r="W21" s="155">
        <f t="shared" si="46"/>
        <v>-1257.0982421874994</v>
      </c>
      <c r="X21" s="155">
        <f t="shared" si="47"/>
        <v>-1445.6629785156242</v>
      </c>
      <c r="Y21" s="155">
        <f t="shared" si="48"/>
        <v>-1662.5124252929677</v>
      </c>
      <c r="Z21" s="155">
        <f t="shared" si="49"/>
        <v>-1911.8892890869126</v>
      </c>
      <c r="AA21" s="155">
        <f t="shared" si="50"/>
        <v>-2198.6726824499492</v>
      </c>
      <c r="AB21" s="155">
        <f t="shared" si="51"/>
        <v>-2528.4735848174414</v>
      </c>
      <c r="AC21" s="138">
        <f t="shared" si="52"/>
        <v>0.36338643104058277</v>
      </c>
      <c r="AD21" s="31">
        <f t="shared" si="17"/>
        <v>0.08</v>
      </c>
      <c r="AE21" s="146">
        <f t="shared" si="1"/>
        <v>-19505.367654305974</v>
      </c>
    </row>
    <row r="22" spans="2:31">
      <c r="B22" s="20" t="s">
        <v>296</v>
      </c>
      <c r="C22" s="141"/>
      <c r="D22" s="141"/>
      <c r="E22" s="147"/>
      <c r="F22" s="147"/>
      <c r="G22" s="147">
        <v>7.44</v>
      </c>
      <c r="H22" s="147">
        <v>11.66</v>
      </c>
      <c r="I22" s="147">
        <v>12</v>
      </c>
      <c r="J22" s="147">
        <v>23</v>
      </c>
      <c r="K22" s="147">
        <v>148.5</v>
      </c>
      <c r="L22" s="147">
        <v>127</v>
      </c>
      <c r="M22" s="147">
        <v>33</v>
      </c>
      <c r="N22" s="147">
        <v>72</v>
      </c>
      <c r="O22" s="147">
        <v>62</v>
      </c>
      <c r="P22" s="147">
        <v>51</v>
      </c>
      <c r="Q22" s="118">
        <f>((P22/G22)^(1/($H$2-$H$1) ))-1</f>
        <v>0.23847881554976125</v>
      </c>
      <c r="R22" s="31">
        <f t="shared" si="6"/>
        <v>0.15</v>
      </c>
      <c r="S22" s="155">
        <f t="shared" ref="S22" si="53">P22*(1+$R22)</f>
        <v>58.65</v>
      </c>
      <c r="T22" s="155">
        <f t="shared" ref="T22" si="54">S22*(1+$R22)</f>
        <v>67.447499999999991</v>
      </c>
      <c r="U22" s="155">
        <f t="shared" ref="U22" si="55">T22*(1+$R22)</f>
        <v>77.564624999999978</v>
      </c>
      <c r="V22" s="155">
        <f t="shared" ref="V22" si="56">U22*(1+$R22)</f>
        <v>89.199318749999975</v>
      </c>
      <c r="W22" s="155">
        <f t="shared" ref="W22" si="57">V22*(1+$R22)</f>
        <v>102.57921656249997</v>
      </c>
      <c r="X22" s="155">
        <f t="shared" ref="X22" si="58">W22*(1+$R22)</f>
        <v>117.96609904687494</v>
      </c>
      <c r="Y22" s="155">
        <f t="shared" ref="Y22" si="59">X22*(1+$R22)</f>
        <v>135.66101390390617</v>
      </c>
      <c r="Z22" s="155">
        <f t="shared" ref="Z22" si="60">Y22*(1+$R22)</f>
        <v>156.01016598949207</v>
      </c>
      <c r="AA22" s="155">
        <f t="shared" ref="AA22" si="61">Z22*(1+$R22)</f>
        <v>179.41169088791585</v>
      </c>
      <c r="AB22" s="155">
        <f t="shared" ref="AB22" si="62">AA22*(1+$R22)</f>
        <v>206.32344452110323</v>
      </c>
      <c r="AC22" s="138">
        <f t="shared" ref="AC22" si="63">((AB22/G22)^(1/($AB$3-$H$1) ))-1</f>
        <v>0.19109413600603964</v>
      </c>
      <c r="AD22" s="31">
        <f t="shared" si="17"/>
        <v>0.08</v>
      </c>
      <c r="AE22" s="146">
        <f t="shared" si="1"/>
        <v>1591.6380005913677</v>
      </c>
    </row>
    <row r="23" spans="2:31">
      <c r="B23" s="20"/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28"/>
      <c r="R23" s="20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19"/>
      <c r="AD23" s="137"/>
      <c r="AE23" s="155"/>
    </row>
    <row r="24" spans="2:31">
      <c r="B24" s="20" t="s">
        <v>89</v>
      </c>
      <c r="C24" s="141"/>
      <c r="D24" s="141"/>
      <c r="E24" s="147"/>
      <c r="F24" s="147"/>
      <c r="G24" s="147">
        <v>675</v>
      </c>
      <c r="H24" s="147">
        <v>777</v>
      </c>
      <c r="I24" s="147">
        <v>949</v>
      </c>
      <c r="J24" s="147">
        <v>1290</v>
      </c>
      <c r="K24" s="147">
        <v>1767</v>
      </c>
      <c r="L24" s="147">
        <v>1978</v>
      </c>
      <c r="M24" s="147">
        <v>2247</v>
      </c>
      <c r="N24" s="147">
        <v>2748</v>
      </c>
      <c r="O24" s="147">
        <v>3194</v>
      </c>
      <c r="P24" s="147">
        <v>3802</v>
      </c>
      <c r="Q24" s="118">
        <f>((P24/G24)^(1/($H$2-$H$1) ))-1</f>
        <v>0.21174723593215905</v>
      </c>
      <c r="R24" s="31">
        <f t="shared" si="6"/>
        <v>0.15</v>
      </c>
      <c r="S24" s="155">
        <f t="shared" si="32"/>
        <v>4372.2999999999993</v>
      </c>
      <c r="T24" s="155">
        <f t="shared" si="33"/>
        <v>5028.1449999999986</v>
      </c>
      <c r="U24" s="155">
        <f t="shared" si="34"/>
        <v>5782.3667499999983</v>
      </c>
      <c r="V24" s="155">
        <f t="shared" si="35"/>
        <v>6649.7217624999976</v>
      </c>
      <c r="W24" s="155">
        <f t="shared" si="36"/>
        <v>7647.1800268749967</v>
      </c>
      <c r="X24" s="155">
        <f t="shared" si="37"/>
        <v>8794.2570309062448</v>
      </c>
      <c r="Y24" s="155">
        <f t="shared" si="38"/>
        <v>10113.395585542181</v>
      </c>
      <c r="Z24" s="155">
        <f t="shared" si="39"/>
        <v>11630.404923373508</v>
      </c>
      <c r="AA24" s="155">
        <f t="shared" si="40"/>
        <v>13374.965661879532</v>
      </c>
      <c r="AB24" s="155">
        <f t="shared" si="41"/>
        <v>15381.210511161462</v>
      </c>
      <c r="AC24" s="138">
        <f t="shared" si="19"/>
        <v>0.17884633334555966</v>
      </c>
      <c r="AD24" s="31">
        <f t="shared" si="17"/>
        <v>0.08</v>
      </c>
      <c r="AE24" s="146">
        <f t="shared" si="1"/>
        <v>118655.05251467414</v>
      </c>
    </row>
    <row r="25" spans="2:31" s="123" customFormat="1">
      <c r="B25" s="23"/>
      <c r="C25" s="150"/>
      <c r="D25" s="150"/>
      <c r="E25" s="151"/>
      <c r="F25" s="151"/>
      <c r="G25" s="149">
        <f>(G24-F24)/G24</f>
        <v>1</v>
      </c>
      <c r="H25" s="149">
        <f>(H24-G24)/H24</f>
        <v>0.13127413127413126</v>
      </c>
      <c r="I25" s="149">
        <f t="shared" ref="I25" si="64">(I24-H24)/I24</f>
        <v>0.18124341412012646</v>
      </c>
      <c r="J25" s="149">
        <f t="shared" ref="J25" si="65">(J24-I24)/J24</f>
        <v>0.26434108527131783</v>
      </c>
      <c r="K25" s="149">
        <f t="shared" ref="K25" si="66">(K24-J24)/K24</f>
        <v>0.2699490662139219</v>
      </c>
      <c r="L25" s="149">
        <f t="shared" ref="L25" si="67">(L24-K24)/L24</f>
        <v>0.10667340748230536</v>
      </c>
      <c r="M25" s="149">
        <f t="shared" ref="M25" si="68">(M24-L24)/M24</f>
        <v>0.11971517578994215</v>
      </c>
      <c r="N25" s="149">
        <f t="shared" ref="N25" si="69">(N24-M24)/N24</f>
        <v>0.18231441048034935</v>
      </c>
      <c r="O25" s="149">
        <f t="shared" ref="O25" si="70">(O24-N24)/O24</f>
        <v>0.13963681903569192</v>
      </c>
      <c r="P25" s="149">
        <f t="shared" ref="P25" si="71">(P24-O24)/P24</f>
        <v>0.1599158337716991</v>
      </c>
      <c r="Q25" s="128"/>
      <c r="R25" s="20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19"/>
      <c r="AD25" s="137"/>
      <c r="AE25" s="155"/>
    </row>
    <row r="26" spans="2:31">
      <c r="B26" s="20" t="s">
        <v>262</v>
      </c>
      <c r="C26" s="141"/>
      <c r="D26" s="141"/>
      <c r="E26" s="147"/>
      <c r="F26" s="147"/>
      <c r="G26" s="147">
        <v>558</v>
      </c>
      <c r="H26" s="147">
        <v>640</v>
      </c>
      <c r="I26" s="147">
        <v>789</v>
      </c>
      <c r="J26" s="147">
        <v>1102</v>
      </c>
      <c r="K26" s="147">
        <v>1489</v>
      </c>
      <c r="L26" s="147">
        <v>1748</v>
      </c>
      <c r="M26" s="147">
        <v>1831</v>
      </c>
      <c r="N26" s="147">
        <v>2249</v>
      </c>
      <c r="O26" s="147">
        <v>2666</v>
      </c>
      <c r="P26" s="147">
        <v>3130</v>
      </c>
      <c r="Q26" s="118">
        <f>((P26/G26)^(1/($H$2-$H$1) ))-1</f>
        <v>0.21118989161507029</v>
      </c>
      <c r="R26" s="31">
        <f t="shared" si="6"/>
        <v>0.15</v>
      </c>
      <c r="S26" s="155">
        <f t="shared" si="32"/>
        <v>3599.4999999999995</v>
      </c>
      <c r="T26" s="155">
        <f t="shared" si="33"/>
        <v>4139.4249999999993</v>
      </c>
      <c r="U26" s="155">
        <f t="shared" si="34"/>
        <v>4760.338749999999</v>
      </c>
      <c r="V26" s="155">
        <f t="shared" si="35"/>
        <v>5474.3895624999986</v>
      </c>
      <c r="W26" s="155">
        <f t="shared" si="36"/>
        <v>6295.5479968749978</v>
      </c>
      <c r="X26" s="155">
        <f t="shared" si="37"/>
        <v>7239.8801964062468</v>
      </c>
      <c r="Y26" s="155">
        <f t="shared" si="38"/>
        <v>8325.862225867184</v>
      </c>
      <c r="Z26" s="155">
        <f t="shared" si="39"/>
        <v>9574.7415597472609</v>
      </c>
      <c r="AA26" s="155">
        <f t="shared" si="40"/>
        <v>11010.95279370935</v>
      </c>
      <c r="AB26" s="155">
        <f t="shared" si="41"/>
        <v>12662.595712765751</v>
      </c>
      <c r="AC26" s="138">
        <f t="shared" si="19"/>
        <v>0.1785894652173694</v>
      </c>
      <c r="AD26" s="31">
        <f t="shared" si="17"/>
        <v>0.08</v>
      </c>
      <c r="AE26" s="146">
        <f t="shared" si="1"/>
        <v>97682.881212764361</v>
      </c>
    </row>
    <row r="27" spans="2:31" s="123" customFormat="1">
      <c r="B27" s="23"/>
      <c r="C27" s="150"/>
      <c r="D27" s="150"/>
      <c r="E27" s="151"/>
      <c r="F27" s="151"/>
      <c r="G27" s="149">
        <f t="shared" ref="G27:P27" si="72">(G26-F26)/G26</f>
        <v>1</v>
      </c>
      <c r="H27" s="149">
        <f t="shared" si="72"/>
        <v>0.12812499999999999</v>
      </c>
      <c r="I27" s="149">
        <f t="shared" si="72"/>
        <v>0.1888466413181242</v>
      </c>
      <c r="J27" s="149">
        <f t="shared" si="72"/>
        <v>0.28402903811252267</v>
      </c>
      <c r="K27" s="149">
        <f t="shared" si="72"/>
        <v>0.25990597716588315</v>
      </c>
      <c r="L27" s="149">
        <f t="shared" si="72"/>
        <v>0.14816933638443935</v>
      </c>
      <c r="M27" s="149">
        <f t="shared" si="72"/>
        <v>4.5330420535226651E-2</v>
      </c>
      <c r="N27" s="149">
        <f t="shared" si="72"/>
        <v>0.18586038239217431</v>
      </c>
      <c r="O27" s="149">
        <f t="shared" si="72"/>
        <v>0.15641410352588148</v>
      </c>
      <c r="P27" s="149">
        <f t="shared" si="72"/>
        <v>0.14824281150159743</v>
      </c>
      <c r="Q27" s="128"/>
      <c r="R27" s="20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19"/>
      <c r="AD27" s="137"/>
      <c r="AE27" s="155"/>
    </row>
    <row r="28" spans="2:31" s="123" customFormat="1">
      <c r="B28" s="20" t="s">
        <v>328</v>
      </c>
      <c r="C28" s="150"/>
      <c r="D28" s="150"/>
      <c r="E28" s="151"/>
      <c r="F28" s="147"/>
      <c r="G28" s="147">
        <v>1E-3</v>
      </c>
      <c r="H28" s="147">
        <v>4</v>
      </c>
      <c r="I28" s="147">
        <v>3.8</v>
      </c>
      <c r="J28" s="147">
        <v>9.59</v>
      </c>
      <c r="K28" s="147">
        <v>24</v>
      </c>
      <c r="L28" s="147">
        <v>44</v>
      </c>
      <c r="M28" s="147">
        <v>38</v>
      </c>
      <c r="N28" s="147">
        <v>36</v>
      </c>
      <c r="O28" s="147">
        <v>31</v>
      </c>
      <c r="P28" s="147">
        <v>22</v>
      </c>
      <c r="Q28" s="118">
        <f>((P28/G28)^(1/($H$2-$H$1) ))-1</f>
        <v>2.0373260083233196</v>
      </c>
      <c r="R28" s="31">
        <f t="shared" si="6"/>
        <v>0.15</v>
      </c>
      <c r="S28" s="155">
        <f t="shared" ref="S28" si="73">P28*(1+$R28)</f>
        <v>25.299999999999997</v>
      </c>
      <c r="T28" s="155">
        <f t="shared" ref="T28" si="74">S28*(1+$R28)</f>
        <v>29.094999999999995</v>
      </c>
      <c r="U28" s="155">
        <f t="shared" ref="U28" si="75">T28*(1+$R28)</f>
        <v>33.45924999999999</v>
      </c>
      <c r="V28" s="155">
        <f t="shared" ref="V28" si="76">U28*(1+$R28)</f>
        <v>38.478137499999988</v>
      </c>
      <c r="W28" s="155">
        <f t="shared" ref="W28" si="77">V28*(1+$R28)</f>
        <v>44.249858124999982</v>
      </c>
      <c r="X28" s="155">
        <f t="shared" ref="X28" si="78">W28*(1+$R28)</f>
        <v>50.887336843749978</v>
      </c>
      <c r="Y28" s="155">
        <f t="shared" ref="Y28" si="79">X28*(1+$R28)</f>
        <v>58.520437370312472</v>
      </c>
      <c r="Z28" s="155">
        <f t="shared" ref="Z28" si="80">Y28*(1+$R28)</f>
        <v>67.298502975859336</v>
      </c>
      <c r="AA28" s="155">
        <f t="shared" ref="AA28" si="81">Z28*(1+$R28)</f>
        <v>77.393278422238225</v>
      </c>
      <c r="AB28" s="155">
        <f t="shared" ref="AB28" si="82">AA28*(1+$R28)</f>
        <v>89.002270185573948</v>
      </c>
      <c r="AC28" s="138">
        <f t="shared" ref="AC28" si="83">((AB28/G28)^(1/($AB$3-$H$1) ))-1</f>
        <v>0.82177523450878498</v>
      </c>
      <c r="AD28" s="31">
        <f t="shared" si="17"/>
        <v>0.08</v>
      </c>
      <c r="AE28" s="146">
        <f t="shared" ref="AE28" si="84">(AB28*(1+AD28))/($C$1-AD28)</f>
        <v>686.58894143157045</v>
      </c>
    </row>
    <row r="29" spans="2:31" s="123" customFormat="1">
      <c r="B29" s="23"/>
      <c r="C29" s="150"/>
      <c r="D29" s="150"/>
      <c r="E29" s="151"/>
      <c r="F29" s="151"/>
      <c r="G29" s="149">
        <f t="shared" ref="G29:P29" si="85">(G28-F28)/G28</f>
        <v>1</v>
      </c>
      <c r="H29" s="149">
        <f t="shared" si="85"/>
        <v>0.99975000000000003</v>
      </c>
      <c r="I29" s="149">
        <f t="shared" si="85"/>
        <v>-5.2631578947368474E-2</v>
      </c>
      <c r="J29" s="149">
        <f t="shared" si="85"/>
        <v>0.60375391032325343</v>
      </c>
      <c r="K29" s="149">
        <f t="shared" si="85"/>
        <v>0.60041666666666671</v>
      </c>
      <c r="L29" s="149">
        <f t="shared" si="85"/>
        <v>0.45454545454545453</v>
      </c>
      <c r="M29" s="149">
        <f t="shared" si="85"/>
        <v>-0.15789473684210525</v>
      </c>
      <c r="N29" s="149">
        <f t="shared" si="85"/>
        <v>-5.5555555555555552E-2</v>
      </c>
      <c r="O29" s="149">
        <f t="shared" si="85"/>
        <v>-0.16129032258064516</v>
      </c>
      <c r="P29" s="149">
        <f t="shared" si="85"/>
        <v>-0.40909090909090912</v>
      </c>
      <c r="Q29" s="128"/>
      <c r="R29" s="20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63"/>
      <c r="AD29" s="137"/>
      <c r="AE29" s="155"/>
    </row>
    <row r="30" spans="2:31">
      <c r="B30" s="20" t="s">
        <v>336</v>
      </c>
      <c r="C30" s="141"/>
      <c r="D30" s="141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18" t="e">
        <f>((P30/G30)^(1/($H$2-$H$1) ))-1</f>
        <v>#DIV/0!</v>
      </c>
      <c r="R30" s="31">
        <f t="shared" si="6"/>
        <v>0.15</v>
      </c>
      <c r="S30" s="155">
        <f>P30*(1+$R30)</f>
        <v>0</v>
      </c>
      <c r="T30" s="155">
        <f>S30*(1+$R30)</f>
        <v>0</v>
      </c>
      <c r="U30" s="155">
        <f t="shared" ref="U30:AB31" si="86">T30*(1+$R30)</f>
        <v>0</v>
      </c>
      <c r="V30" s="155">
        <f t="shared" si="86"/>
        <v>0</v>
      </c>
      <c r="W30" s="155">
        <f t="shared" si="86"/>
        <v>0</v>
      </c>
      <c r="X30" s="155">
        <f t="shared" si="86"/>
        <v>0</v>
      </c>
      <c r="Y30" s="155">
        <f t="shared" si="86"/>
        <v>0</v>
      </c>
      <c r="Z30" s="155">
        <f t="shared" si="86"/>
        <v>0</v>
      </c>
      <c r="AA30" s="155">
        <f t="shared" si="86"/>
        <v>0</v>
      </c>
      <c r="AB30" s="155">
        <f t="shared" si="86"/>
        <v>0</v>
      </c>
      <c r="AC30" s="138" t="e">
        <f t="shared" ref="AC30" si="87">((AB30/G30)^(1/($AB$3-$H$1) ))-1</f>
        <v>#DIV/0!</v>
      </c>
      <c r="AD30" s="31">
        <f t="shared" si="17"/>
        <v>0.08</v>
      </c>
      <c r="AE30" s="146">
        <f t="shared" si="1"/>
        <v>0</v>
      </c>
    </row>
    <row r="31" spans="2:31">
      <c r="B31" s="20" t="s">
        <v>335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0.15</v>
      </c>
      <c r="S31" s="155">
        <f>P31*(1+$R31)</f>
        <v>0</v>
      </c>
      <c r="T31" s="155">
        <f>S31*(1+$R31)</f>
        <v>0</v>
      </c>
      <c r="U31" s="155">
        <f t="shared" si="86"/>
        <v>0</v>
      </c>
      <c r="V31" s="155">
        <f t="shared" si="86"/>
        <v>0</v>
      </c>
      <c r="W31" s="155">
        <f t="shared" si="86"/>
        <v>0</v>
      </c>
      <c r="X31" s="155">
        <f t="shared" si="86"/>
        <v>0</v>
      </c>
      <c r="Y31" s="155">
        <f t="shared" si="86"/>
        <v>0</v>
      </c>
      <c r="Z31" s="155">
        <f t="shared" si="86"/>
        <v>0</v>
      </c>
      <c r="AA31" s="155">
        <f t="shared" si="86"/>
        <v>0</v>
      </c>
      <c r="AB31" s="155">
        <f t="shared" si="86"/>
        <v>0</v>
      </c>
      <c r="AC31" s="138" t="e">
        <f t="shared" ref="AC31" si="88">((AB31/G31)^(1/($AB$3-$H$1) ))-1</f>
        <v>#DIV/0!</v>
      </c>
      <c r="AD31" s="31">
        <f t="shared" si="17"/>
        <v>0.08</v>
      </c>
      <c r="AE31" s="146">
        <f t="shared" si="1"/>
        <v>0</v>
      </c>
    </row>
    <row r="32" spans="2:31">
      <c r="B32" s="20" t="s">
        <v>318</v>
      </c>
      <c r="C32" s="141"/>
      <c r="D32" s="141"/>
      <c r="E32" s="147"/>
      <c r="F32" s="147"/>
      <c r="G32" s="147">
        <v>361</v>
      </c>
      <c r="H32" s="147">
        <v>471</v>
      </c>
      <c r="I32" s="147">
        <v>560</v>
      </c>
      <c r="J32" s="147">
        <v>790</v>
      </c>
      <c r="K32" s="147">
        <v>1060</v>
      </c>
      <c r="L32" s="147">
        <v>1262</v>
      </c>
      <c r="M32" s="147">
        <v>1272</v>
      </c>
      <c r="N32" s="147">
        <v>1605</v>
      </c>
      <c r="O32" s="147">
        <v>1787</v>
      </c>
      <c r="P32" s="147">
        <v>2072</v>
      </c>
      <c r="Q32" s="118">
        <f>((P32/G32)^(1/($H$2-$H$1) ))-1</f>
        <v>0.21428402981326267</v>
      </c>
      <c r="R32" s="31">
        <f t="shared" si="6"/>
        <v>0.15</v>
      </c>
      <c r="S32" s="155">
        <f t="shared" si="32"/>
        <v>2382.7999999999997</v>
      </c>
      <c r="T32" s="155">
        <f t="shared" si="33"/>
        <v>2740.2199999999993</v>
      </c>
      <c r="U32" s="155">
        <f t="shared" si="34"/>
        <v>3151.2529999999988</v>
      </c>
      <c r="V32" s="155">
        <f t="shared" si="35"/>
        <v>3623.9409499999983</v>
      </c>
      <c r="W32" s="155">
        <f t="shared" si="36"/>
        <v>4167.5320924999978</v>
      </c>
      <c r="X32" s="155">
        <f t="shared" si="37"/>
        <v>4792.6619063749968</v>
      </c>
      <c r="Y32" s="155">
        <f t="shared" si="38"/>
        <v>5511.5611923312463</v>
      </c>
      <c r="Z32" s="155">
        <f t="shared" si="39"/>
        <v>6338.2953711809323</v>
      </c>
      <c r="AA32" s="155">
        <f t="shared" si="40"/>
        <v>7289.0396768580713</v>
      </c>
      <c r="AB32" s="155">
        <f t="shared" si="41"/>
        <v>8382.395628386781</v>
      </c>
      <c r="AC32" s="138">
        <f t="shared" si="19"/>
        <v>0.18001470275025699</v>
      </c>
      <c r="AD32" s="31">
        <f t="shared" si="17"/>
        <v>0.08</v>
      </c>
      <c r="AE32" s="146">
        <f t="shared" si="1"/>
        <v>64664.194847555162</v>
      </c>
    </row>
    <row r="33" spans="2:31">
      <c r="B33" s="20" t="s">
        <v>309</v>
      </c>
      <c r="C33" s="141"/>
      <c r="D33" s="141"/>
      <c r="E33" s="147"/>
      <c r="F33" s="147"/>
      <c r="G33" s="147">
        <v>56</v>
      </c>
      <c r="H33" s="147">
        <v>67</v>
      </c>
      <c r="I33" s="147">
        <v>85</v>
      </c>
      <c r="J33" s="147">
        <v>109</v>
      </c>
      <c r="K33" s="147">
        <v>164</v>
      </c>
      <c r="L33" s="147">
        <v>221</v>
      </c>
      <c r="M33" s="147">
        <v>252</v>
      </c>
      <c r="N33" s="147">
        <v>290</v>
      </c>
      <c r="O33" s="147">
        <v>326</v>
      </c>
      <c r="P33" s="147">
        <v>375</v>
      </c>
      <c r="Q33" s="118">
        <f>((P33/G33)^(1/($H$2-$H$1) ))-1</f>
        <v>0.23526563651682397</v>
      </c>
      <c r="R33" s="31">
        <f t="shared" si="6"/>
        <v>0.15</v>
      </c>
      <c r="S33" s="155">
        <f t="shared" si="32"/>
        <v>431.24999999999994</v>
      </c>
      <c r="T33" s="155">
        <f t="shared" si="33"/>
        <v>495.93749999999989</v>
      </c>
      <c r="U33" s="155">
        <f t="shared" si="34"/>
        <v>570.32812499999977</v>
      </c>
      <c r="V33" s="155">
        <f t="shared" si="35"/>
        <v>655.87734374999968</v>
      </c>
      <c r="W33" s="155">
        <f t="shared" si="36"/>
        <v>754.25894531249958</v>
      </c>
      <c r="X33" s="155">
        <f t="shared" si="37"/>
        <v>867.39778710937446</v>
      </c>
      <c r="Y33" s="155">
        <f t="shared" si="38"/>
        <v>997.50745517578059</v>
      </c>
      <c r="Z33" s="155">
        <f t="shared" si="39"/>
        <v>1147.1335734521476</v>
      </c>
      <c r="AA33" s="155">
        <f t="shared" si="40"/>
        <v>1319.2036094699697</v>
      </c>
      <c r="AB33" s="155">
        <f t="shared" si="41"/>
        <v>1517.084150890465</v>
      </c>
      <c r="AC33" s="138">
        <f t="shared" si="19"/>
        <v>0.18962933664119652</v>
      </c>
      <c r="AD33" s="31">
        <f t="shared" si="17"/>
        <v>0.08</v>
      </c>
      <c r="AE33" s="146">
        <f t="shared" si="1"/>
        <v>11703.220592583586</v>
      </c>
    </row>
    <row r="34" spans="2:31">
      <c r="B34" s="20"/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28"/>
      <c r="R34" s="20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39"/>
      <c r="AD34" s="137"/>
      <c r="AE34" s="155"/>
    </row>
    <row r="35" spans="2:31">
      <c r="B35" s="20" t="s">
        <v>279</v>
      </c>
      <c r="C35" s="141"/>
      <c r="D35" s="141"/>
      <c r="E35" s="147"/>
      <c r="F35" s="147"/>
      <c r="G35" s="147">
        <v>108</v>
      </c>
      <c r="H35" s="147">
        <v>128</v>
      </c>
      <c r="I35" s="147">
        <v>145</v>
      </c>
      <c r="J35" s="147">
        <v>172</v>
      </c>
      <c r="K35" s="147">
        <v>251</v>
      </c>
      <c r="L35" s="147">
        <v>242</v>
      </c>
      <c r="M35" s="147">
        <v>398</v>
      </c>
      <c r="N35" s="147">
        <v>464</v>
      </c>
      <c r="O35" s="147">
        <v>494</v>
      </c>
      <c r="P35" s="147">
        <v>599</v>
      </c>
      <c r="Q35" s="118">
        <f>((P35/G35)^(1/($H$2-$H$1) ))-1</f>
        <v>0.20967027079669465</v>
      </c>
      <c r="R35" s="31">
        <f t="shared" si="6"/>
        <v>0.15</v>
      </c>
      <c r="S35" s="155">
        <f t="shared" ref="S35" si="89">P35*(1+$R35)</f>
        <v>688.84999999999991</v>
      </c>
      <c r="T35" s="155">
        <f t="shared" ref="T35" si="90">S35*(1+$R35)</f>
        <v>792.17749999999978</v>
      </c>
      <c r="U35" s="155">
        <f t="shared" ref="U35" si="91">T35*(1+$R35)</f>
        <v>911.0041249999997</v>
      </c>
      <c r="V35" s="155">
        <f t="shared" ref="V35" si="92">U35*(1+$R35)</f>
        <v>1047.6547437499996</v>
      </c>
      <c r="W35" s="155">
        <f t="shared" si="36"/>
        <v>1204.8029553124995</v>
      </c>
      <c r="X35" s="155">
        <f t="shared" si="37"/>
        <v>1385.5233986093745</v>
      </c>
      <c r="Y35" s="155">
        <f t="shared" si="38"/>
        <v>1593.3519084007805</v>
      </c>
      <c r="Z35" s="155">
        <f t="shared" si="39"/>
        <v>1832.3546946608974</v>
      </c>
      <c r="AA35" s="155">
        <f t="shared" si="40"/>
        <v>2107.2078988600319</v>
      </c>
      <c r="AB35" s="155">
        <f t="shared" si="41"/>
        <v>2423.2890836890365</v>
      </c>
      <c r="AC35" s="138">
        <f t="shared" si="19"/>
        <v>0.17788878812376785</v>
      </c>
      <c r="AD35" s="31">
        <f t="shared" si="17"/>
        <v>0.08</v>
      </c>
      <c r="AE35" s="146">
        <f t="shared" si="1"/>
        <v>18693.944359886849</v>
      </c>
    </row>
    <row r="36" spans="2:31" s="123" customFormat="1">
      <c r="B36" s="23"/>
      <c r="C36" s="150"/>
      <c r="D36" s="150"/>
      <c r="E36" s="151"/>
      <c r="F36" s="151"/>
      <c r="G36" s="149">
        <f>(G35-F35)/G35</f>
        <v>1</v>
      </c>
      <c r="H36" s="149">
        <f>(H35-G35)/H35</f>
        <v>0.15625</v>
      </c>
      <c r="I36" s="149">
        <f t="shared" ref="I36" si="93">(I35-H35)/I35</f>
        <v>0.11724137931034483</v>
      </c>
      <c r="J36" s="149">
        <f t="shared" ref="J36" si="94">(J35-I35)/J35</f>
        <v>0.15697674418604651</v>
      </c>
      <c r="K36" s="149">
        <f t="shared" ref="K36" si="95">(K35-J35)/K35</f>
        <v>0.3147410358565737</v>
      </c>
      <c r="L36" s="149">
        <f t="shared" ref="L36" si="96">(L35-K35)/L35</f>
        <v>-3.71900826446281E-2</v>
      </c>
      <c r="M36" s="149">
        <f t="shared" ref="M36" si="97">(M35-L35)/M35</f>
        <v>0.39195979899497485</v>
      </c>
      <c r="N36" s="149">
        <f t="shared" ref="N36" si="98">(N35-M35)/N35</f>
        <v>0.14224137931034483</v>
      </c>
      <c r="O36" s="149">
        <f t="shared" ref="O36" si="99">(O35-N35)/O35</f>
        <v>6.0728744939271252E-2</v>
      </c>
      <c r="P36" s="149">
        <f t="shared" ref="P36" si="100">(P35-O35)/P35</f>
        <v>0.17529215358931552</v>
      </c>
      <c r="Q36" s="128"/>
      <c r="R36" s="20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39"/>
      <c r="AD36" s="137"/>
      <c r="AE36" s="157"/>
    </row>
    <row r="37" spans="2:31">
      <c r="B37" s="20" t="s">
        <v>257</v>
      </c>
      <c r="C37" s="141"/>
      <c r="D37" s="141"/>
      <c r="E37" s="147"/>
      <c r="F37" s="147"/>
      <c r="G37" s="147">
        <v>61</v>
      </c>
      <c r="H37" s="147">
        <v>72</v>
      </c>
      <c r="I37" s="147">
        <v>86</v>
      </c>
      <c r="J37" s="147">
        <v>111</v>
      </c>
      <c r="K37" s="147">
        <v>171</v>
      </c>
      <c r="L37" s="147">
        <v>110</v>
      </c>
      <c r="M37" s="147">
        <v>275</v>
      </c>
      <c r="N37" s="147">
        <v>308</v>
      </c>
      <c r="O37" s="147">
        <v>322</v>
      </c>
      <c r="P37" s="147">
        <v>421</v>
      </c>
      <c r="Q37" s="118">
        <f>((P37/G37)^(1/($H$2-$H$1) ))-1</f>
        <v>0.23941548510473254</v>
      </c>
      <c r="R37" s="31">
        <f t="shared" si="6"/>
        <v>0.15</v>
      </c>
      <c r="S37" s="155">
        <f>P37*(1+$R37)</f>
        <v>484.15</v>
      </c>
      <c r="T37" s="155">
        <f t="shared" ref="T37:AB37" si="101">S37*(1+$R37)</f>
        <v>556.77249999999992</v>
      </c>
      <c r="U37" s="155">
        <f t="shared" si="101"/>
        <v>640.28837499999986</v>
      </c>
      <c r="V37" s="155">
        <f t="shared" si="101"/>
        <v>736.33163124999976</v>
      </c>
      <c r="W37" s="155">
        <f t="shared" si="101"/>
        <v>846.78137593749966</v>
      </c>
      <c r="X37" s="155">
        <f t="shared" si="101"/>
        <v>973.79858232812455</v>
      </c>
      <c r="Y37" s="155">
        <f t="shared" si="101"/>
        <v>1119.8683696773433</v>
      </c>
      <c r="Z37" s="155">
        <f t="shared" si="101"/>
        <v>1287.8486251289446</v>
      </c>
      <c r="AA37" s="155">
        <f t="shared" si="101"/>
        <v>1481.0259188982861</v>
      </c>
      <c r="AB37" s="155">
        <f t="shared" si="101"/>
        <v>1703.179806733029</v>
      </c>
      <c r="AC37" s="138">
        <f t="shared" si="19"/>
        <v>0.1915207611079055</v>
      </c>
      <c r="AD37" s="31">
        <f t="shared" si="17"/>
        <v>0.08</v>
      </c>
      <c r="AE37" s="146">
        <f t="shared" si="1"/>
        <v>13138.815651940509</v>
      </c>
    </row>
    <row r="38" spans="2:31" s="123" customFormat="1">
      <c r="B38" s="23"/>
      <c r="C38" s="150"/>
      <c r="D38" s="150"/>
      <c r="E38" s="151"/>
      <c r="F38" s="151"/>
      <c r="G38" s="149">
        <f>(G37-F37)/G37</f>
        <v>1</v>
      </c>
      <c r="H38" s="149">
        <f>(H37-G37)/H37</f>
        <v>0.15277777777777779</v>
      </c>
      <c r="I38" s="149">
        <f t="shared" ref="I38" si="102">(I37-H37)/I37</f>
        <v>0.16279069767441862</v>
      </c>
      <c r="J38" s="149">
        <f t="shared" ref="J38" si="103">(J37-I37)/J37</f>
        <v>0.22522522522522523</v>
      </c>
      <c r="K38" s="149">
        <f t="shared" ref="K38" si="104">(K37-J37)/K37</f>
        <v>0.35087719298245612</v>
      </c>
      <c r="L38" s="149">
        <f t="shared" ref="L38" si="105">(L37-K37)/L37</f>
        <v>-0.55454545454545456</v>
      </c>
      <c r="M38" s="149">
        <f t="shared" ref="M38" si="106">(M37-L37)/M37</f>
        <v>0.6</v>
      </c>
      <c r="N38" s="149">
        <f t="shared" ref="N38" si="107">(N37-M37)/N37</f>
        <v>0.10714285714285714</v>
      </c>
      <c r="O38" s="149">
        <f t="shared" ref="O38" si="108">(O37-N37)/O37</f>
        <v>4.3478260869565216E-2</v>
      </c>
      <c r="P38" s="149">
        <f t="shared" ref="P38" si="109">(P37-O37)/P37</f>
        <v>0.23515439429928742</v>
      </c>
      <c r="Q38" s="128"/>
      <c r="R38" s="20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39"/>
      <c r="AD38" s="137"/>
      <c r="AE38" s="157"/>
    </row>
    <row r="39" spans="2:31">
      <c r="B39" s="20" t="s">
        <v>239</v>
      </c>
      <c r="C39" s="142">
        <v>1</v>
      </c>
      <c r="D39" s="142">
        <v>1</v>
      </c>
      <c r="E39" s="143">
        <v>1</v>
      </c>
      <c r="F39" s="174">
        <v>0.73</v>
      </c>
      <c r="G39" s="147">
        <v>2.52</v>
      </c>
      <c r="H39" s="147">
        <v>2.52</v>
      </c>
      <c r="I39" s="147">
        <v>25.23</v>
      </c>
      <c r="J39" s="147">
        <v>25.23</v>
      </c>
      <c r="K39" s="147">
        <v>25.3</v>
      </c>
      <c r="L39" s="147">
        <v>25.3</v>
      </c>
      <c r="M39" s="147">
        <v>50.61</v>
      </c>
      <c r="N39" s="147">
        <v>50.61</v>
      </c>
      <c r="O39" s="147">
        <v>50.76</v>
      </c>
      <c r="P39" s="147">
        <v>51.26</v>
      </c>
      <c r="Q39" s="118">
        <f>((P39/G39)^(1/($H$2-$H$1) ))-1</f>
        <v>0.39757569763578293</v>
      </c>
      <c r="R39" s="31">
        <v>0.15</v>
      </c>
      <c r="S39" s="155">
        <f>P39*(1+$R39)</f>
        <v>58.948999999999991</v>
      </c>
      <c r="T39" s="155">
        <f t="shared" ref="T39:AB39" si="110">S39*(1+$R39)</f>
        <v>67.79134999999998</v>
      </c>
      <c r="U39" s="155">
        <f t="shared" si="110"/>
        <v>77.960052499999975</v>
      </c>
      <c r="V39" s="155">
        <f t="shared" si="110"/>
        <v>89.654060374999958</v>
      </c>
      <c r="W39" s="155">
        <f t="shared" si="110"/>
        <v>103.10216943124995</v>
      </c>
      <c r="X39" s="155">
        <f t="shared" si="110"/>
        <v>118.56749484593743</v>
      </c>
      <c r="Y39" s="155">
        <f t="shared" si="110"/>
        <v>136.35261907282805</v>
      </c>
      <c r="Z39" s="155">
        <f t="shared" si="110"/>
        <v>156.80551193375226</v>
      </c>
      <c r="AA39" s="155">
        <f t="shared" si="110"/>
        <v>180.32633872381507</v>
      </c>
      <c r="AB39" s="155">
        <f t="shared" si="110"/>
        <v>207.37528953238731</v>
      </c>
      <c r="AC39" s="138">
        <f t="shared" si="19"/>
        <v>0.26127049097404775</v>
      </c>
      <c r="AD39" s="31">
        <f t="shared" si="17"/>
        <v>0.08</v>
      </c>
      <c r="AE39" s="146">
        <f t="shared" si="1"/>
        <v>1599.7522335355593</v>
      </c>
    </row>
    <row r="40" spans="2:31">
      <c r="B40" s="20" t="s">
        <v>283</v>
      </c>
      <c r="C40" s="145">
        <v>1</v>
      </c>
      <c r="D40" s="145">
        <v>1</v>
      </c>
      <c r="E40" s="145">
        <v>1</v>
      </c>
      <c r="F40" s="147">
        <v>8</v>
      </c>
      <c r="G40" s="147">
        <v>8</v>
      </c>
      <c r="H40" s="147">
        <v>8</v>
      </c>
      <c r="I40" s="147">
        <v>1.25</v>
      </c>
      <c r="J40" s="147">
        <v>1.5</v>
      </c>
      <c r="K40" s="147">
        <v>1.75</v>
      </c>
      <c r="L40" s="147">
        <v>1.75</v>
      </c>
      <c r="M40" s="147">
        <v>1.5</v>
      </c>
      <c r="N40" s="147">
        <v>1.75</v>
      </c>
      <c r="O40" s="147">
        <v>1.9</v>
      </c>
      <c r="P40" s="147">
        <v>2.6</v>
      </c>
      <c r="Q40" s="118">
        <f>((P40/G40)^(1/($H$2-$H$1) ))-1</f>
        <v>-0.1173981815805033</v>
      </c>
      <c r="R40" s="31">
        <v>0.05</v>
      </c>
      <c r="S40" s="155">
        <f t="shared" ref="S40" si="111">P40*(1+$R40)</f>
        <v>2.7300000000000004</v>
      </c>
      <c r="T40" s="155">
        <f t="shared" ref="T40" si="112">S40*(1+$R40)</f>
        <v>2.8665000000000007</v>
      </c>
      <c r="U40" s="155">
        <f t="shared" ref="U40" si="113">T40*(1+$R40)</f>
        <v>3.0098250000000011</v>
      </c>
      <c r="V40" s="155">
        <f t="shared" ref="V40" si="114">U40*(1+$R40)</f>
        <v>3.1603162500000015</v>
      </c>
      <c r="W40" s="155">
        <f t="shared" ref="W40" si="115">V40*(1+$R40)</f>
        <v>3.3183320625000019</v>
      </c>
      <c r="X40" s="155">
        <f t="shared" ref="X40" si="116">W40*(1+$R40)</f>
        <v>3.4842486656250022</v>
      </c>
      <c r="Y40" s="155">
        <f t="shared" ref="Y40" si="117">X40*(1+$R40)</f>
        <v>3.6584610989062525</v>
      </c>
      <c r="Z40" s="155">
        <f t="shared" ref="Z40" si="118">Y40*(1+$R40)</f>
        <v>3.8413841538515654</v>
      </c>
      <c r="AA40" s="155">
        <f t="shared" ref="AA40" si="119">Z40*(1+$R40)</f>
        <v>4.0334533615441437</v>
      </c>
      <c r="AB40" s="155">
        <f t="shared" ref="AB40" si="120">AA40*(1+$R40)</f>
        <v>4.2351260296213509</v>
      </c>
      <c r="AC40" s="138">
        <f t="shared" ref="AC40" si="121">((AB40/G40)^(1/($AB$3-$H$1) ))-1</f>
        <v>-3.2921087947156646E-2</v>
      </c>
      <c r="AD40" s="31">
        <f t="shared" si="17"/>
        <v>0.08</v>
      </c>
      <c r="AE40" s="146">
        <f t="shared" si="1"/>
        <v>32.670972228507559</v>
      </c>
    </row>
    <row r="41" spans="2:31">
      <c r="B41" s="20"/>
      <c r="C41" s="20"/>
      <c r="D41" s="20"/>
      <c r="E41" s="127"/>
      <c r="F41" s="127"/>
      <c r="G41" s="127"/>
      <c r="H41" s="20"/>
      <c r="I41" s="20"/>
      <c r="J41" s="20"/>
      <c r="K41" s="20"/>
      <c r="L41" s="20"/>
      <c r="M41" s="20"/>
      <c r="N41" s="20"/>
      <c r="O41" s="20"/>
      <c r="P41" s="20"/>
      <c r="Q41" s="128"/>
      <c r="R41" s="128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5"/>
    </row>
    <row r="42" spans="2:31">
      <c r="B42" s="108" t="s">
        <v>243</v>
      </c>
      <c r="C42" s="20"/>
      <c r="D42" s="20"/>
      <c r="E42" s="127"/>
      <c r="F42" s="127"/>
      <c r="G42" s="127"/>
      <c r="H42" s="20"/>
      <c r="I42" s="20"/>
      <c r="J42" s="20"/>
      <c r="K42" s="20"/>
      <c r="L42" s="20"/>
      <c r="M42" s="20"/>
      <c r="N42" s="20"/>
      <c r="O42" s="20"/>
      <c r="P42" s="20"/>
      <c r="Q42" s="128"/>
      <c r="R42" s="128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39"/>
      <c r="AD42" s="137"/>
      <c r="AE42" s="155"/>
    </row>
    <row r="43" spans="2:31">
      <c r="B43" s="20" t="s">
        <v>304</v>
      </c>
      <c r="C43" s="133">
        <f t="shared" ref="C43:P43" si="122">C24/C39</f>
        <v>0</v>
      </c>
      <c r="D43" s="133">
        <f t="shared" si="122"/>
        <v>0</v>
      </c>
      <c r="E43" s="133">
        <f t="shared" si="122"/>
        <v>0</v>
      </c>
      <c r="F43" s="133">
        <f t="shared" si="122"/>
        <v>0</v>
      </c>
      <c r="G43" s="133">
        <f t="shared" si="122"/>
        <v>267.85714285714283</v>
      </c>
      <c r="H43" s="133">
        <f t="shared" si="122"/>
        <v>308.33333333333331</v>
      </c>
      <c r="I43" s="133">
        <f t="shared" si="122"/>
        <v>37.613951644867221</v>
      </c>
      <c r="J43" s="133">
        <f t="shared" si="122"/>
        <v>51.129607609988106</v>
      </c>
      <c r="K43" s="133">
        <f t="shared" si="122"/>
        <v>69.841897233201578</v>
      </c>
      <c r="L43" s="133">
        <f t="shared" si="122"/>
        <v>78.181818181818173</v>
      </c>
      <c r="M43" s="133">
        <f t="shared" si="122"/>
        <v>44.398340248962654</v>
      </c>
      <c r="N43" s="133">
        <f t="shared" si="122"/>
        <v>54.297569650266745</v>
      </c>
      <c r="O43" s="133">
        <f t="shared" si="122"/>
        <v>62.923561859732075</v>
      </c>
      <c r="P43" s="133">
        <f t="shared" si="122"/>
        <v>74.170893484198203</v>
      </c>
      <c r="Q43" s="118">
        <f>((P43/G43)^(1/($H$2-$H$1) ))-1</f>
        <v>-0.13296486338305802</v>
      </c>
      <c r="R43" s="128"/>
      <c r="S43" s="159">
        <f t="shared" ref="S43:AB43" si="123">S24/S39</f>
        <v>74.170893484198203</v>
      </c>
      <c r="T43" s="159">
        <f t="shared" si="123"/>
        <v>74.170893484198203</v>
      </c>
      <c r="U43" s="159">
        <f t="shared" si="123"/>
        <v>74.170893484198203</v>
      </c>
      <c r="V43" s="159">
        <f t="shared" si="123"/>
        <v>74.170893484198217</v>
      </c>
      <c r="W43" s="159">
        <f t="shared" si="123"/>
        <v>74.170893484198217</v>
      </c>
      <c r="X43" s="159">
        <f t="shared" si="123"/>
        <v>74.170893484198203</v>
      </c>
      <c r="Y43" s="159">
        <f t="shared" si="123"/>
        <v>74.170893484198203</v>
      </c>
      <c r="Z43" s="159">
        <f t="shared" si="123"/>
        <v>74.170893484198203</v>
      </c>
      <c r="AA43" s="159">
        <f t="shared" si="123"/>
        <v>74.170893484198203</v>
      </c>
      <c r="AB43" s="159">
        <f t="shared" si="123"/>
        <v>74.170893484198203</v>
      </c>
      <c r="AC43" s="138">
        <f t="shared" ref="AC43" si="124">((AB43/G43)^(1/($AB$3-$H$1) ))-1</f>
        <v>-6.5350103897883094E-2</v>
      </c>
      <c r="AD43" s="31">
        <f t="shared" si="17"/>
        <v>0.08</v>
      </c>
      <c r="AE43" s="146">
        <f t="shared" ref="AE43:AE44" si="125">(AB43*(1+AD43))/($C$1-AD43)</f>
        <v>572.17546402095752</v>
      </c>
    </row>
    <row r="44" spans="2:31">
      <c r="B44" s="20" t="s">
        <v>305</v>
      </c>
      <c r="C44" s="133">
        <f t="shared" ref="C44:P44" si="126">C26/C39</f>
        <v>0</v>
      </c>
      <c r="D44" s="133">
        <f t="shared" si="126"/>
        <v>0</v>
      </c>
      <c r="E44" s="133">
        <f t="shared" si="126"/>
        <v>0</v>
      </c>
      <c r="F44" s="133">
        <f t="shared" si="126"/>
        <v>0</v>
      </c>
      <c r="G44" s="133">
        <f t="shared" si="126"/>
        <v>221.42857142857142</v>
      </c>
      <c r="H44" s="133">
        <f t="shared" si="126"/>
        <v>253.96825396825398</v>
      </c>
      <c r="I44" s="133">
        <f t="shared" si="126"/>
        <v>31.272294887039237</v>
      </c>
      <c r="J44" s="133">
        <f t="shared" si="126"/>
        <v>43.678160919540232</v>
      </c>
      <c r="K44" s="133">
        <f t="shared" si="126"/>
        <v>58.853754940711461</v>
      </c>
      <c r="L44" s="133">
        <f t="shared" si="126"/>
        <v>69.090909090909093</v>
      </c>
      <c r="M44" s="133">
        <f t="shared" si="126"/>
        <v>36.17862082592373</v>
      </c>
      <c r="N44" s="133">
        <f t="shared" si="126"/>
        <v>44.437858130804187</v>
      </c>
      <c r="O44" s="133">
        <f t="shared" si="126"/>
        <v>52.521670606776993</v>
      </c>
      <c r="P44" s="133">
        <f t="shared" si="126"/>
        <v>61.061256340226301</v>
      </c>
      <c r="Q44" s="118">
        <f>((P44/G44)^(1/($H$2-$H$1) ))-1</f>
        <v>-0.13336365703554598</v>
      </c>
      <c r="R44" s="128"/>
      <c r="S44" s="159">
        <f t="shared" ref="S44:AB44" si="127">S26/S39</f>
        <v>61.061256340226301</v>
      </c>
      <c r="T44" s="159">
        <f t="shared" si="127"/>
        <v>61.061256340226308</v>
      </c>
      <c r="U44" s="159">
        <f t="shared" si="127"/>
        <v>61.061256340226301</v>
      </c>
      <c r="V44" s="159">
        <f t="shared" si="127"/>
        <v>61.061256340226308</v>
      </c>
      <c r="W44" s="159">
        <f t="shared" si="127"/>
        <v>61.061256340226308</v>
      </c>
      <c r="X44" s="159">
        <f t="shared" si="127"/>
        <v>61.061256340226308</v>
      </c>
      <c r="Y44" s="159">
        <f t="shared" si="127"/>
        <v>61.061256340226308</v>
      </c>
      <c r="Z44" s="159">
        <f t="shared" si="127"/>
        <v>61.061256340226301</v>
      </c>
      <c r="AA44" s="159">
        <f t="shared" si="127"/>
        <v>61.061256340226308</v>
      </c>
      <c r="AB44" s="159">
        <f t="shared" si="127"/>
        <v>61.061256340226308</v>
      </c>
      <c r="AC44" s="138">
        <f t="shared" ref="AC44" si="128">((AB44/G44)^(1/($AB$3-$H$1) ))-1</f>
        <v>-6.5553762137751881E-2</v>
      </c>
      <c r="AD44" s="31">
        <f t="shared" si="17"/>
        <v>0.08</v>
      </c>
      <c r="AE44" s="146">
        <f t="shared" si="125"/>
        <v>471.04397748174574</v>
      </c>
    </row>
    <row r="45" spans="2:31">
      <c r="B45" s="20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28"/>
      <c r="R45" s="128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19"/>
      <c r="AD45" s="137"/>
      <c r="AE45" s="146"/>
    </row>
    <row r="46" spans="2:31">
      <c r="B46" s="20" t="s">
        <v>258</v>
      </c>
      <c r="C46" s="25">
        <f t="shared" ref="C46:P46" si="129">C37/C39</f>
        <v>0</v>
      </c>
      <c r="D46" s="25">
        <f t="shared" si="129"/>
        <v>0</v>
      </c>
      <c r="E46" s="25">
        <f t="shared" si="129"/>
        <v>0</v>
      </c>
      <c r="F46" s="133">
        <f t="shared" si="129"/>
        <v>0</v>
      </c>
      <c r="G46" s="133">
        <f t="shared" si="129"/>
        <v>24.206349206349206</v>
      </c>
      <c r="H46" s="133">
        <f t="shared" si="129"/>
        <v>28.571428571428573</v>
      </c>
      <c r="I46" s="133">
        <f t="shared" si="129"/>
        <v>3.4086405073325405</v>
      </c>
      <c r="J46" s="133">
        <f t="shared" si="129"/>
        <v>4.3995243757431632</v>
      </c>
      <c r="K46" s="133">
        <f t="shared" si="129"/>
        <v>6.7588932806324111</v>
      </c>
      <c r="L46" s="133">
        <f t="shared" si="129"/>
        <v>4.3478260869565215</v>
      </c>
      <c r="M46" s="133">
        <f t="shared" si="129"/>
        <v>5.4337087532108281</v>
      </c>
      <c r="N46" s="133">
        <f t="shared" si="129"/>
        <v>6.0857538035961269</v>
      </c>
      <c r="O46" s="133">
        <f t="shared" si="129"/>
        <v>6.3435776201733649</v>
      </c>
      <c r="P46" s="133">
        <f t="shared" si="129"/>
        <v>8.2130316035895436</v>
      </c>
      <c r="Q46" s="118">
        <f>((P46/G46)^(1/($H$2-$H$1) ))-1</f>
        <v>-0.11316754634371717</v>
      </c>
      <c r="R46" s="128"/>
      <c r="S46" s="159">
        <f t="shared" ref="S46:AB46" si="130">S37/S39</f>
        <v>8.2130316035895436</v>
      </c>
      <c r="T46" s="159">
        <f t="shared" si="130"/>
        <v>8.2130316035895454</v>
      </c>
      <c r="U46" s="159">
        <f t="shared" si="130"/>
        <v>8.2130316035895436</v>
      </c>
      <c r="V46" s="159">
        <f t="shared" si="130"/>
        <v>8.2130316035895454</v>
      </c>
      <c r="W46" s="159">
        <f t="shared" si="130"/>
        <v>8.2130316035895436</v>
      </c>
      <c r="X46" s="159">
        <f t="shared" si="130"/>
        <v>8.2130316035895436</v>
      </c>
      <c r="Y46" s="159">
        <f t="shared" si="130"/>
        <v>8.2130316035895436</v>
      </c>
      <c r="Z46" s="159">
        <f t="shared" si="130"/>
        <v>8.2130316035895436</v>
      </c>
      <c r="AA46" s="159">
        <f t="shared" si="130"/>
        <v>8.2130316035895436</v>
      </c>
      <c r="AB46" s="159">
        <f t="shared" si="130"/>
        <v>8.2130316035895436</v>
      </c>
      <c r="AC46" s="138">
        <f t="shared" ref="AC46:AC59" si="131">((AB46/G46)^(1/($AB$3-$H$1) ))-1</f>
        <v>-5.5301166851431161E-2</v>
      </c>
      <c r="AD46" s="31">
        <f t="shared" si="17"/>
        <v>0.08</v>
      </c>
      <c r="AE46" s="146">
        <f t="shared" ref="AE46:AE73" si="132">(AB46*(1+AD46))/($C$1-AD46)</f>
        <v>63.357672370547903</v>
      </c>
    </row>
    <row r="47" spans="2:31">
      <c r="B47" s="20" t="s">
        <v>245</v>
      </c>
      <c r="C47" s="25">
        <f t="shared" ref="C47:P47" si="133">C7/C39</f>
        <v>0</v>
      </c>
      <c r="D47" s="25">
        <f t="shared" si="133"/>
        <v>0</v>
      </c>
      <c r="E47" s="25">
        <f t="shared" si="133"/>
        <v>0</v>
      </c>
      <c r="F47" s="133">
        <f t="shared" si="133"/>
        <v>0</v>
      </c>
      <c r="G47" s="133">
        <f t="shared" si="133"/>
        <v>125</v>
      </c>
      <c r="H47" s="133">
        <f t="shared" si="133"/>
        <v>143.25396825396825</v>
      </c>
      <c r="I47" s="133">
        <f t="shared" si="133"/>
        <v>16.369401506143479</v>
      </c>
      <c r="J47" s="133">
        <f t="shared" si="133"/>
        <v>19.024970273483948</v>
      </c>
      <c r="K47" s="133">
        <f t="shared" si="133"/>
        <v>24.505928853754941</v>
      </c>
      <c r="L47" s="133">
        <f t="shared" si="133"/>
        <v>25.059288537549406</v>
      </c>
      <c r="M47" s="133">
        <f t="shared" si="133"/>
        <v>17.229796482908515</v>
      </c>
      <c r="N47" s="133">
        <f t="shared" si="133"/>
        <v>21.418691958111044</v>
      </c>
      <c r="O47" s="133">
        <f t="shared" si="133"/>
        <v>26.122931442080379</v>
      </c>
      <c r="P47" s="133">
        <f t="shared" si="133"/>
        <v>32.208349590323841</v>
      </c>
      <c r="Q47" s="118">
        <f>((P47/G47)^(1/($H$2-$H$1) ))-1</f>
        <v>-0.13987404919652835</v>
      </c>
      <c r="R47" s="128"/>
      <c r="S47" s="159">
        <f t="shared" ref="S47:AB47" si="134">S7/S39</f>
        <v>32.208349590323841</v>
      </c>
      <c r="T47" s="159">
        <f t="shared" si="134"/>
        <v>32.208349590323849</v>
      </c>
      <c r="U47" s="159">
        <f t="shared" si="134"/>
        <v>32.208349590323841</v>
      </c>
      <c r="V47" s="159">
        <f t="shared" si="134"/>
        <v>32.208349590323841</v>
      </c>
      <c r="W47" s="159">
        <f t="shared" si="134"/>
        <v>32.208349590323841</v>
      </c>
      <c r="X47" s="159">
        <f t="shared" si="134"/>
        <v>32.208349590323841</v>
      </c>
      <c r="Y47" s="159">
        <f t="shared" si="134"/>
        <v>32.208349590323841</v>
      </c>
      <c r="Z47" s="159">
        <f t="shared" si="134"/>
        <v>32.208349590323834</v>
      </c>
      <c r="AA47" s="159">
        <f t="shared" si="134"/>
        <v>32.208349590323841</v>
      </c>
      <c r="AB47" s="159">
        <f t="shared" si="134"/>
        <v>32.208349590323841</v>
      </c>
      <c r="AC47" s="138">
        <f t="shared" si="131"/>
        <v>-6.8885528077245572E-2</v>
      </c>
      <c r="AD47" s="31">
        <f t="shared" si="17"/>
        <v>0.08</v>
      </c>
      <c r="AE47" s="146">
        <f t="shared" si="132"/>
        <v>248.46441112535533</v>
      </c>
    </row>
    <row r="48" spans="2:31">
      <c r="B48" s="20" t="s">
        <v>246</v>
      </c>
      <c r="C48" s="127">
        <f t="shared" ref="C48:P48" si="135">C6/C39</f>
        <v>0</v>
      </c>
      <c r="D48" s="127">
        <f t="shared" si="135"/>
        <v>0</v>
      </c>
      <c r="E48" s="127">
        <f t="shared" si="135"/>
        <v>0</v>
      </c>
      <c r="F48" s="144">
        <f t="shared" si="135"/>
        <v>0</v>
      </c>
      <c r="G48" s="144">
        <f t="shared" si="135"/>
        <v>114.68253968253968</v>
      </c>
      <c r="H48" s="144">
        <f t="shared" si="135"/>
        <v>133.33333333333334</v>
      </c>
      <c r="I48" s="144">
        <f t="shared" si="135"/>
        <v>15.378517637732857</v>
      </c>
      <c r="J48" s="144">
        <f t="shared" si="135"/>
        <v>18.034086405073324</v>
      </c>
      <c r="K48" s="144">
        <f t="shared" si="135"/>
        <v>23.359683794466402</v>
      </c>
      <c r="L48" s="144">
        <f t="shared" si="135"/>
        <v>26.442687747035574</v>
      </c>
      <c r="M48" s="144">
        <f t="shared" si="135"/>
        <v>16.222090495949416</v>
      </c>
      <c r="N48" s="144">
        <f t="shared" si="135"/>
        <v>20.430744912072711</v>
      </c>
      <c r="O48" s="144">
        <f t="shared" si="135"/>
        <v>25.118203309692671</v>
      </c>
      <c r="P48" s="144">
        <f t="shared" si="135"/>
        <v>31.213421771361688</v>
      </c>
      <c r="Q48" s="118">
        <f>((P48/G48)^(1/($H$2-$H$1) ))-1</f>
        <v>-0.1346238980347757</v>
      </c>
      <c r="R48" s="128"/>
      <c r="S48" s="158">
        <f t="shared" ref="S48:AB48" si="136">S6/S39</f>
        <v>31.213421771361688</v>
      </c>
      <c r="T48" s="158">
        <f t="shared" si="136"/>
        <v>31.213421771361688</v>
      </c>
      <c r="U48" s="158">
        <f t="shared" si="136"/>
        <v>31.213421771361684</v>
      </c>
      <c r="V48" s="158">
        <f t="shared" si="136"/>
        <v>31.213421771361688</v>
      </c>
      <c r="W48" s="158">
        <f t="shared" si="136"/>
        <v>31.213421771361688</v>
      </c>
      <c r="X48" s="158">
        <f t="shared" si="136"/>
        <v>31.213421771361684</v>
      </c>
      <c r="Y48" s="158">
        <f t="shared" si="136"/>
        <v>31.213421771361684</v>
      </c>
      <c r="Z48" s="158">
        <f t="shared" si="136"/>
        <v>31.213421771361681</v>
      </c>
      <c r="AA48" s="158">
        <f t="shared" si="136"/>
        <v>31.213421771361684</v>
      </c>
      <c r="AB48" s="158">
        <f t="shared" si="136"/>
        <v>31.213421771361684</v>
      </c>
      <c r="AC48" s="138">
        <f t="shared" si="131"/>
        <v>-6.6197673696674508E-2</v>
      </c>
      <c r="AD48" s="31">
        <f t="shared" si="17"/>
        <v>0.08</v>
      </c>
      <c r="AE48" s="146">
        <f t="shared" si="132"/>
        <v>240.78925366479012</v>
      </c>
    </row>
    <row r="49" spans="2:31">
      <c r="B49" s="20" t="s">
        <v>247</v>
      </c>
      <c r="C49" s="127">
        <f t="shared" ref="C49:P49" si="137">C10/C39</f>
        <v>0</v>
      </c>
      <c r="D49" s="127">
        <f t="shared" si="137"/>
        <v>0</v>
      </c>
      <c r="E49" s="127">
        <f t="shared" si="137"/>
        <v>0</v>
      </c>
      <c r="F49" s="144">
        <f t="shared" si="137"/>
        <v>0</v>
      </c>
      <c r="G49" s="144">
        <f t="shared" si="137"/>
        <v>22.222222222222221</v>
      </c>
      <c r="H49" s="144">
        <f t="shared" si="137"/>
        <v>24.603174603174605</v>
      </c>
      <c r="I49" s="144">
        <f t="shared" si="137"/>
        <v>2.219579865239794</v>
      </c>
      <c r="J49" s="144">
        <f t="shared" si="137"/>
        <v>5.7471264367816088</v>
      </c>
      <c r="K49" s="144">
        <f t="shared" si="137"/>
        <v>20.790513833992094</v>
      </c>
      <c r="L49" s="144">
        <f t="shared" si="137"/>
        <v>24.071146245059289</v>
      </c>
      <c r="M49" s="144">
        <f t="shared" si="137"/>
        <v>9.2471843509187917</v>
      </c>
      <c r="N49" s="144">
        <f t="shared" si="137"/>
        <v>6.6192452084568272</v>
      </c>
      <c r="O49" s="144">
        <f t="shared" si="137"/>
        <v>2.9156816390858946</v>
      </c>
      <c r="P49" s="144">
        <f t="shared" si="137"/>
        <v>0.99492781896215376</v>
      </c>
      <c r="Q49" s="118">
        <f>((P49/G49)^(1/($H$2-$H$1) ))-1</f>
        <v>-0.29187232899660798</v>
      </c>
      <c r="R49" s="128"/>
      <c r="S49" s="158">
        <f t="shared" ref="S49:AB49" si="138">S10/S39</f>
        <v>0.99492781896215388</v>
      </c>
      <c r="T49" s="158">
        <f t="shared" si="138"/>
        <v>0.99492781896215388</v>
      </c>
      <c r="U49" s="158">
        <f t="shared" si="138"/>
        <v>0.99492781896215376</v>
      </c>
      <c r="V49" s="158">
        <f t="shared" si="138"/>
        <v>0.99492781896215388</v>
      </c>
      <c r="W49" s="158">
        <f t="shared" si="138"/>
        <v>0.99492781896215388</v>
      </c>
      <c r="X49" s="158">
        <f t="shared" si="138"/>
        <v>0.99492781896215388</v>
      </c>
      <c r="Y49" s="158">
        <f t="shared" si="138"/>
        <v>0.99492781896215365</v>
      </c>
      <c r="Z49" s="158">
        <f t="shared" si="138"/>
        <v>0.99492781896215354</v>
      </c>
      <c r="AA49" s="158">
        <f t="shared" si="138"/>
        <v>0.99492781896215354</v>
      </c>
      <c r="AB49" s="158">
        <f t="shared" si="138"/>
        <v>0.99492781896215354</v>
      </c>
      <c r="AC49" s="138">
        <f t="shared" si="131"/>
        <v>-0.15081910426055511</v>
      </c>
      <c r="AD49" s="31">
        <f t="shared" si="17"/>
        <v>0.08</v>
      </c>
      <c r="AE49" s="146">
        <f t="shared" si="132"/>
        <v>7.6751574605651847</v>
      </c>
    </row>
    <row r="50" spans="2:31">
      <c r="B50" s="20"/>
      <c r="C50" s="127"/>
      <c r="D50" s="127"/>
      <c r="E50" s="127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28"/>
      <c r="R50" s="12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39"/>
      <c r="AD50" s="137"/>
      <c r="AE50" s="146"/>
    </row>
    <row r="51" spans="2:31">
      <c r="B51" s="20" t="s">
        <v>271</v>
      </c>
      <c r="C51" s="127">
        <f t="shared" ref="C51:P51" si="139">(C7-C10)/C39</f>
        <v>0</v>
      </c>
      <c r="D51" s="127">
        <f t="shared" si="139"/>
        <v>0</v>
      </c>
      <c r="E51" s="127">
        <f t="shared" si="139"/>
        <v>0</v>
      </c>
      <c r="F51" s="144">
        <f t="shared" si="139"/>
        <v>0</v>
      </c>
      <c r="G51" s="144">
        <f t="shared" si="139"/>
        <v>102.77777777777777</v>
      </c>
      <c r="H51" s="144">
        <f t="shared" si="139"/>
        <v>118.65079365079364</v>
      </c>
      <c r="I51" s="144">
        <f t="shared" si="139"/>
        <v>14.149821640903685</v>
      </c>
      <c r="J51" s="144">
        <f t="shared" si="139"/>
        <v>13.277843836702338</v>
      </c>
      <c r="K51" s="144">
        <f t="shared" si="139"/>
        <v>3.7154150197628457</v>
      </c>
      <c r="L51" s="144">
        <f t="shared" si="139"/>
        <v>0.98814229249011853</v>
      </c>
      <c r="M51" s="144">
        <f t="shared" si="139"/>
        <v>7.9826121319897254</v>
      </c>
      <c r="N51" s="144">
        <f t="shared" si="139"/>
        <v>14.799446749654219</v>
      </c>
      <c r="O51" s="144">
        <f t="shared" si="139"/>
        <v>23.207249802994486</v>
      </c>
      <c r="P51" s="144">
        <f t="shared" si="139"/>
        <v>31.213421771361688</v>
      </c>
      <c r="Q51" s="118">
        <f>((P51/G51)^(1/($H$2-$H$1) ))-1</f>
        <v>-0.12402124570835338</v>
      </c>
      <c r="R51" s="128"/>
      <c r="S51" s="158">
        <f t="shared" ref="S51:AB51" si="140">(S7-S10)/S39</f>
        <v>31.213421771361688</v>
      </c>
      <c r="T51" s="158">
        <f t="shared" si="140"/>
        <v>31.213421771361695</v>
      </c>
      <c r="U51" s="158">
        <f t="shared" si="140"/>
        <v>31.213421771361691</v>
      </c>
      <c r="V51" s="158">
        <f t="shared" si="140"/>
        <v>31.213421771361688</v>
      </c>
      <c r="W51" s="158">
        <f t="shared" si="140"/>
        <v>31.213421771361691</v>
      </c>
      <c r="X51" s="158">
        <f t="shared" si="140"/>
        <v>31.213421771361688</v>
      </c>
      <c r="Y51" s="158">
        <f t="shared" si="140"/>
        <v>31.213421771361691</v>
      </c>
      <c r="Z51" s="158">
        <f t="shared" si="140"/>
        <v>31.213421771361684</v>
      </c>
      <c r="AA51" s="158">
        <f t="shared" si="140"/>
        <v>31.213421771361684</v>
      </c>
      <c r="AB51" s="158">
        <f t="shared" si="140"/>
        <v>31.213421771361688</v>
      </c>
      <c r="AC51" s="138">
        <f t="shared" si="131"/>
        <v>-6.0795610694226232E-2</v>
      </c>
      <c r="AD51" s="31">
        <f t="shared" si="17"/>
        <v>0.08</v>
      </c>
      <c r="AE51" s="146">
        <f t="shared" si="132"/>
        <v>240.78925366479015</v>
      </c>
    </row>
    <row r="52" spans="2:31">
      <c r="B52" s="20" t="s">
        <v>272</v>
      </c>
      <c r="C52" s="127">
        <f t="shared" ref="C52:P52" si="141">(C7-C10-C9)/C39</f>
        <v>0</v>
      </c>
      <c r="D52" s="127">
        <f t="shared" si="141"/>
        <v>0</v>
      </c>
      <c r="E52" s="127">
        <f t="shared" si="141"/>
        <v>0</v>
      </c>
      <c r="F52" s="144">
        <f t="shared" si="141"/>
        <v>0</v>
      </c>
      <c r="G52" s="144">
        <f t="shared" si="141"/>
        <v>69.047619047619051</v>
      </c>
      <c r="H52" s="144">
        <f t="shared" si="141"/>
        <v>74.206349206349202</v>
      </c>
      <c r="I52" s="144">
        <f t="shared" si="141"/>
        <v>8.878319460959176</v>
      </c>
      <c r="J52" s="144">
        <f t="shared" si="141"/>
        <v>5.4696789536266346</v>
      </c>
      <c r="K52" s="144">
        <f t="shared" si="141"/>
        <v>-6.6798418972332012</v>
      </c>
      <c r="L52" s="144">
        <f t="shared" si="141"/>
        <v>-11.818181818181818</v>
      </c>
      <c r="M52" s="144">
        <f t="shared" si="141"/>
        <v>-0.13831258644536654</v>
      </c>
      <c r="N52" s="144">
        <f t="shared" si="141"/>
        <v>4.7223868800632287</v>
      </c>
      <c r="O52" s="144">
        <f t="shared" si="141"/>
        <v>8.47123719464145</v>
      </c>
      <c r="P52" s="144">
        <f t="shared" si="141"/>
        <v>17.694108466640657</v>
      </c>
      <c r="Q52" s="118">
        <f>((P52/G52)^(1/($H$2-$H$1) ))-1</f>
        <v>-0.14039729135677714</v>
      </c>
      <c r="R52" s="128"/>
      <c r="S52" s="158">
        <f t="shared" ref="S52:AB52" si="142">(S7-S10-S9)/S39</f>
        <v>17.694108466640653</v>
      </c>
      <c r="T52" s="158">
        <f t="shared" si="142"/>
        <v>17.694108466640664</v>
      </c>
      <c r="U52" s="158">
        <f t="shared" si="142"/>
        <v>17.69410846664066</v>
      </c>
      <c r="V52" s="158">
        <f t="shared" si="142"/>
        <v>17.694108466640657</v>
      </c>
      <c r="W52" s="158">
        <f t="shared" si="142"/>
        <v>17.69410846664066</v>
      </c>
      <c r="X52" s="158">
        <f t="shared" si="142"/>
        <v>17.694108466640657</v>
      </c>
      <c r="Y52" s="158">
        <f t="shared" si="142"/>
        <v>17.69410846664066</v>
      </c>
      <c r="Z52" s="158">
        <f t="shared" si="142"/>
        <v>17.694108466640657</v>
      </c>
      <c r="AA52" s="158">
        <f t="shared" si="142"/>
        <v>17.694108466640653</v>
      </c>
      <c r="AB52" s="158">
        <f t="shared" si="142"/>
        <v>17.694108466640657</v>
      </c>
      <c r="AC52" s="138">
        <f t="shared" si="131"/>
        <v>-6.9153878451521433E-2</v>
      </c>
      <c r="AD52" s="31">
        <f t="shared" si="17"/>
        <v>0.08</v>
      </c>
      <c r="AE52" s="146">
        <f t="shared" si="132"/>
        <v>136.4974081712279</v>
      </c>
    </row>
    <row r="53" spans="2:31">
      <c r="B53" s="20" t="s">
        <v>277</v>
      </c>
      <c r="C53" s="127">
        <f t="shared" ref="C53:P53" si="143">(C7+C14-C10-C9)/C39</f>
        <v>0</v>
      </c>
      <c r="D53" s="127">
        <f t="shared" si="143"/>
        <v>0</v>
      </c>
      <c r="E53" s="127">
        <f t="shared" si="143"/>
        <v>0</v>
      </c>
      <c r="F53" s="144">
        <f t="shared" si="143"/>
        <v>0</v>
      </c>
      <c r="G53" s="144">
        <f t="shared" si="143"/>
        <v>152.18253968253967</v>
      </c>
      <c r="H53" s="144">
        <f t="shared" si="143"/>
        <v>175</v>
      </c>
      <c r="I53" s="144">
        <f t="shared" si="143"/>
        <v>20.134760206103845</v>
      </c>
      <c r="J53" s="144">
        <f t="shared" si="143"/>
        <v>21.997621878715815</v>
      </c>
      <c r="K53" s="144">
        <f t="shared" si="143"/>
        <v>21.304347826086957</v>
      </c>
      <c r="L53" s="144">
        <f t="shared" si="143"/>
        <v>16.561264822134387</v>
      </c>
      <c r="M53" s="144">
        <f t="shared" si="143"/>
        <v>12.467891721003754</v>
      </c>
      <c r="N53" s="144">
        <f t="shared" si="143"/>
        <v>20.391227030231178</v>
      </c>
      <c r="O53" s="144">
        <f t="shared" si="143"/>
        <v>30.575256107171001</v>
      </c>
      <c r="P53" s="144">
        <f t="shared" si="143"/>
        <v>39.231369488880219</v>
      </c>
      <c r="Q53" s="118">
        <f>((P53/G53)^(1/($H$2-$H$1) ))-1</f>
        <v>-0.13982779574353221</v>
      </c>
      <c r="R53" s="128"/>
      <c r="S53" s="158">
        <f t="shared" ref="S53:AB53" si="144">(S7+S14-S10-S9)/S39</f>
        <v>39.231369488880226</v>
      </c>
      <c r="T53" s="158">
        <f t="shared" si="144"/>
        <v>39.231369488880219</v>
      </c>
      <c r="U53" s="158">
        <f t="shared" si="144"/>
        <v>39.231369488880219</v>
      </c>
      <c r="V53" s="158">
        <f t="shared" si="144"/>
        <v>39.231369488880219</v>
      </c>
      <c r="W53" s="158">
        <f t="shared" si="144"/>
        <v>39.231369488880233</v>
      </c>
      <c r="X53" s="158">
        <f t="shared" si="144"/>
        <v>39.231369488880226</v>
      </c>
      <c r="Y53" s="158">
        <f t="shared" si="144"/>
        <v>39.231369488880226</v>
      </c>
      <c r="Z53" s="158">
        <f t="shared" si="144"/>
        <v>39.231369488880219</v>
      </c>
      <c r="AA53" s="158">
        <f t="shared" si="144"/>
        <v>39.231369488880219</v>
      </c>
      <c r="AB53" s="158">
        <f t="shared" si="144"/>
        <v>39.231369488880219</v>
      </c>
      <c r="AC53" s="138">
        <f t="shared" si="131"/>
        <v>-6.8861810629708642E-2</v>
      </c>
      <c r="AD53" s="31">
        <f t="shared" si="17"/>
        <v>0.08</v>
      </c>
      <c r="AE53" s="146">
        <f t="shared" si="132"/>
        <v>302.6419931999331</v>
      </c>
    </row>
    <row r="54" spans="2:31">
      <c r="B54" s="20"/>
      <c r="C54" s="127"/>
      <c r="D54" s="127"/>
      <c r="E54" s="127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28"/>
      <c r="R54" s="128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  <c r="AC54" s="139"/>
      <c r="AD54" s="137"/>
      <c r="AE54" s="155"/>
    </row>
    <row r="55" spans="2:31">
      <c r="B55" s="20" t="s">
        <v>248</v>
      </c>
      <c r="C55" s="127">
        <f t="shared" ref="C55:P55" si="145">C12/C39</f>
        <v>0</v>
      </c>
      <c r="D55" s="127">
        <f t="shared" si="145"/>
        <v>0</v>
      </c>
      <c r="E55" s="127">
        <f t="shared" si="145"/>
        <v>0</v>
      </c>
      <c r="F55" s="144">
        <f t="shared" si="145"/>
        <v>0</v>
      </c>
      <c r="G55" s="144">
        <f t="shared" si="145"/>
        <v>2.9761904761904763</v>
      </c>
      <c r="H55" s="144">
        <f t="shared" si="145"/>
        <v>5.5555555555555554</v>
      </c>
      <c r="I55" s="144">
        <f t="shared" si="145"/>
        <v>0.63416567578279825</v>
      </c>
      <c r="J55" s="144">
        <f t="shared" si="145"/>
        <v>1.5061434799841458</v>
      </c>
      <c r="K55" s="144">
        <f t="shared" si="145"/>
        <v>6.7984189723320156</v>
      </c>
      <c r="L55" s="144">
        <f t="shared" si="145"/>
        <v>6.2845849802371543</v>
      </c>
      <c r="M55" s="144">
        <f t="shared" si="145"/>
        <v>0.88915234143449917</v>
      </c>
      <c r="N55" s="144">
        <f t="shared" si="145"/>
        <v>2.0351709148389645</v>
      </c>
      <c r="O55" s="144">
        <f t="shared" si="145"/>
        <v>5.378250591016549</v>
      </c>
      <c r="P55" s="144">
        <f t="shared" si="145"/>
        <v>2.9457666796722592</v>
      </c>
      <c r="Q55" s="118">
        <f>((P55/G55)^(1/($H$2-$H$1) ))-1</f>
        <v>-1.1410155616989881E-3</v>
      </c>
      <c r="R55" s="128"/>
      <c r="S55" s="158">
        <f t="shared" ref="S55:AB55" si="146">S12/S39</f>
        <v>2.9457666796722592</v>
      </c>
      <c r="T55" s="158">
        <f t="shared" si="146"/>
        <v>2.9457666796722592</v>
      </c>
      <c r="U55" s="158">
        <f t="shared" si="146"/>
        <v>2.9457666796722592</v>
      </c>
      <c r="V55" s="158">
        <f t="shared" si="146"/>
        <v>2.9457666796722592</v>
      </c>
      <c r="W55" s="158">
        <f t="shared" si="146"/>
        <v>2.9457666796722592</v>
      </c>
      <c r="X55" s="158">
        <f t="shared" si="146"/>
        <v>2.9457666796722592</v>
      </c>
      <c r="Y55" s="158">
        <f t="shared" si="146"/>
        <v>2.9457666796722588</v>
      </c>
      <c r="Z55" s="158">
        <f t="shared" si="146"/>
        <v>2.9457666796722584</v>
      </c>
      <c r="AA55" s="158">
        <f t="shared" si="146"/>
        <v>2.9457666796722588</v>
      </c>
      <c r="AB55" s="158">
        <f t="shared" si="146"/>
        <v>2.9457666796722588</v>
      </c>
      <c r="AC55" s="138">
        <f t="shared" si="131"/>
        <v>-5.4064343858284403E-4</v>
      </c>
      <c r="AD55" s="31">
        <f t="shared" si="17"/>
        <v>0.08</v>
      </c>
      <c r="AE55" s="146">
        <f t="shared" si="132"/>
        <v>22.724485814614567</v>
      </c>
    </row>
    <row r="56" spans="2:31">
      <c r="B56" s="20" t="s">
        <v>255</v>
      </c>
      <c r="C56" s="127">
        <f t="shared" ref="C56:P56" si="147">C13/C39</f>
        <v>0</v>
      </c>
      <c r="D56" s="127">
        <f t="shared" si="147"/>
        <v>0</v>
      </c>
      <c r="E56" s="127">
        <f t="shared" si="147"/>
        <v>0</v>
      </c>
      <c r="F56" s="144">
        <f t="shared" si="147"/>
        <v>0</v>
      </c>
      <c r="G56" s="144">
        <f t="shared" si="147"/>
        <v>7.5396825396825395</v>
      </c>
      <c r="H56" s="144">
        <f t="shared" si="147"/>
        <v>7.5396825396825395</v>
      </c>
      <c r="I56" s="144">
        <f t="shared" si="147"/>
        <v>0.63416567578279825</v>
      </c>
      <c r="J56" s="144">
        <f t="shared" si="147"/>
        <v>0.63416567578279825</v>
      </c>
      <c r="K56" s="144">
        <f t="shared" si="147"/>
        <v>0.12806324110671938</v>
      </c>
      <c r="L56" s="144">
        <f t="shared" si="147"/>
        <v>1.0276679841897234</v>
      </c>
      <c r="M56" s="144">
        <f t="shared" si="147"/>
        <v>5.2953961667654612</v>
      </c>
      <c r="N56" s="144">
        <f t="shared" si="147"/>
        <v>3.35901995653033</v>
      </c>
      <c r="O56" s="144">
        <f t="shared" si="147"/>
        <v>1.9306540583136329</v>
      </c>
      <c r="P56" s="144">
        <f t="shared" si="147"/>
        <v>5.7159578618806091</v>
      </c>
      <c r="Q56" s="118">
        <f>((P56/G56)^(1/($H$2-$H$1) ))-1</f>
        <v>-3.0300149389517972E-2</v>
      </c>
      <c r="R56" s="128"/>
      <c r="S56" s="158">
        <f t="shared" ref="S56:AB56" si="148">S13/S39</f>
        <v>5.7159578618806091</v>
      </c>
      <c r="T56" s="158">
        <f t="shared" si="148"/>
        <v>5.7159578618806099</v>
      </c>
      <c r="U56" s="158">
        <f t="shared" si="148"/>
        <v>5.7159578618806091</v>
      </c>
      <c r="V56" s="158">
        <f t="shared" si="148"/>
        <v>5.7159578618806099</v>
      </c>
      <c r="W56" s="158">
        <f t="shared" si="148"/>
        <v>5.7159578618806099</v>
      </c>
      <c r="X56" s="158">
        <f t="shared" si="148"/>
        <v>5.7159578618806091</v>
      </c>
      <c r="Y56" s="158">
        <f t="shared" si="148"/>
        <v>5.7159578618806082</v>
      </c>
      <c r="Z56" s="158">
        <f t="shared" si="148"/>
        <v>5.7159578618806082</v>
      </c>
      <c r="AA56" s="158">
        <f t="shared" si="148"/>
        <v>5.7159578618806082</v>
      </c>
      <c r="AB56" s="158">
        <f t="shared" si="148"/>
        <v>5.7159578618806073</v>
      </c>
      <c r="AC56" s="138">
        <f t="shared" si="131"/>
        <v>-1.4468945584343418E-2</v>
      </c>
      <c r="AD56" s="31">
        <f t="shared" si="17"/>
        <v>0.08</v>
      </c>
      <c r="AE56" s="146">
        <f t="shared" si="132"/>
        <v>44.094532077364683</v>
      </c>
    </row>
    <row r="57" spans="2:31">
      <c r="B57" s="20" t="s">
        <v>256</v>
      </c>
      <c r="C57" s="127">
        <f>(C55+C56)</f>
        <v>0</v>
      </c>
      <c r="D57" s="127">
        <f t="shared" ref="D57:P57" si="149">(D55+D56)</f>
        <v>0</v>
      </c>
      <c r="E57" s="127">
        <f t="shared" si="149"/>
        <v>0</v>
      </c>
      <c r="F57" s="144">
        <f t="shared" si="149"/>
        <v>0</v>
      </c>
      <c r="G57" s="144">
        <f t="shared" si="149"/>
        <v>10.515873015873016</v>
      </c>
      <c r="H57" s="144">
        <f t="shared" si="149"/>
        <v>13.095238095238095</v>
      </c>
      <c r="I57" s="144">
        <f t="shared" si="149"/>
        <v>1.2683313515655965</v>
      </c>
      <c r="J57" s="144">
        <f t="shared" si="149"/>
        <v>2.140309155766944</v>
      </c>
      <c r="K57" s="144">
        <f t="shared" si="149"/>
        <v>6.9264822134387352</v>
      </c>
      <c r="L57" s="144">
        <f t="shared" si="149"/>
        <v>7.3122529644268779</v>
      </c>
      <c r="M57" s="144">
        <f t="shared" si="149"/>
        <v>6.1845485081999607</v>
      </c>
      <c r="N57" s="144">
        <f t="shared" si="149"/>
        <v>5.394190871369295</v>
      </c>
      <c r="O57" s="144">
        <f t="shared" ref="O57" si="150">(O55+O56)</f>
        <v>7.3089046493301817</v>
      </c>
      <c r="P57" s="144">
        <f t="shared" si="149"/>
        <v>8.6617245415528679</v>
      </c>
      <c r="Q57" s="118">
        <f>((P57/G57)^(1/($H$2-$H$1) ))-1</f>
        <v>-2.1321849018219097E-2</v>
      </c>
      <c r="R57" s="128"/>
      <c r="S57" s="158">
        <f t="shared" ref="S57:AB57" si="151">(S55+S56)</f>
        <v>8.6617245415528679</v>
      </c>
      <c r="T57" s="158">
        <f t="shared" si="151"/>
        <v>8.6617245415528696</v>
      </c>
      <c r="U57" s="158">
        <f t="shared" si="151"/>
        <v>8.6617245415528679</v>
      </c>
      <c r="V57" s="158">
        <f t="shared" si="151"/>
        <v>8.6617245415528696</v>
      </c>
      <c r="W57" s="158">
        <f t="shared" si="151"/>
        <v>8.6617245415528696</v>
      </c>
      <c r="X57" s="158">
        <f t="shared" si="151"/>
        <v>8.6617245415528679</v>
      </c>
      <c r="Y57" s="158">
        <f t="shared" si="151"/>
        <v>8.6617245415528679</v>
      </c>
      <c r="Z57" s="158">
        <f t="shared" si="151"/>
        <v>8.6617245415528661</v>
      </c>
      <c r="AA57" s="158">
        <f t="shared" si="151"/>
        <v>8.6617245415528679</v>
      </c>
      <c r="AB57" s="158">
        <f t="shared" si="151"/>
        <v>8.6617245415528661</v>
      </c>
      <c r="AC57" s="138">
        <f t="shared" si="131"/>
        <v>-1.0157116619003426E-2</v>
      </c>
      <c r="AD57" s="31">
        <f t="shared" si="17"/>
        <v>0.08</v>
      </c>
      <c r="AE57" s="146">
        <f t="shared" si="132"/>
        <v>66.819017891979257</v>
      </c>
    </row>
    <row r="58" spans="2:31">
      <c r="B58" s="20" t="s">
        <v>249</v>
      </c>
      <c r="C58" s="127">
        <f t="shared" ref="C58:P58" si="152">C14/C39</f>
        <v>0</v>
      </c>
      <c r="D58" s="127">
        <f t="shared" si="152"/>
        <v>0</v>
      </c>
      <c r="E58" s="127">
        <f t="shared" si="152"/>
        <v>0</v>
      </c>
      <c r="F58" s="144">
        <f t="shared" si="152"/>
        <v>0</v>
      </c>
      <c r="G58" s="144">
        <f t="shared" si="152"/>
        <v>83.134920634920633</v>
      </c>
      <c r="H58" s="144">
        <f t="shared" si="152"/>
        <v>100.7936507936508</v>
      </c>
      <c r="I58" s="144">
        <f t="shared" si="152"/>
        <v>11.256440745144669</v>
      </c>
      <c r="J58" s="144">
        <f t="shared" si="152"/>
        <v>16.527942925089178</v>
      </c>
      <c r="K58" s="144">
        <f t="shared" si="152"/>
        <v>27.984189723320156</v>
      </c>
      <c r="L58" s="144">
        <f t="shared" si="152"/>
        <v>28.379446640316203</v>
      </c>
      <c r="M58" s="144">
        <f t="shared" si="152"/>
        <v>12.60620430744912</v>
      </c>
      <c r="N58" s="144">
        <f t="shared" si="152"/>
        <v>15.66884015016795</v>
      </c>
      <c r="O58" s="144">
        <f t="shared" si="152"/>
        <v>22.104018912529551</v>
      </c>
      <c r="P58" s="144">
        <f t="shared" si="152"/>
        <v>21.537261022239562</v>
      </c>
      <c r="Q58" s="118">
        <f>((P58/G58)^(1/($H$2-$H$1) ))-1</f>
        <v>-0.1393570841298053</v>
      </c>
      <c r="R58" s="128"/>
      <c r="S58" s="158">
        <f t="shared" ref="S58:AB58" si="153">S14/S39</f>
        <v>21.537261022239566</v>
      </c>
      <c r="T58" s="158">
        <f t="shared" si="153"/>
        <v>21.537261022239566</v>
      </c>
      <c r="U58" s="158">
        <f t="shared" si="153"/>
        <v>21.537261022239566</v>
      </c>
      <c r="V58" s="158">
        <f t="shared" si="153"/>
        <v>21.537261022239566</v>
      </c>
      <c r="W58" s="158">
        <f t="shared" si="153"/>
        <v>21.537261022239566</v>
      </c>
      <c r="X58" s="158">
        <f t="shared" si="153"/>
        <v>21.537261022239566</v>
      </c>
      <c r="Y58" s="158">
        <f t="shared" si="153"/>
        <v>21.537261022239562</v>
      </c>
      <c r="Z58" s="158">
        <f t="shared" si="153"/>
        <v>21.537261022239562</v>
      </c>
      <c r="AA58" s="158">
        <f t="shared" si="153"/>
        <v>21.537261022239562</v>
      </c>
      <c r="AB58" s="158">
        <f t="shared" si="153"/>
        <v>21.537261022239566</v>
      </c>
      <c r="AC58" s="138">
        <f t="shared" si="131"/>
        <v>-6.8620481343867223E-2</v>
      </c>
      <c r="AD58" s="31">
        <f t="shared" si="17"/>
        <v>0.08</v>
      </c>
      <c r="AE58" s="146">
        <f t="shared" si="132"/>
        <v>166.14458502870522</v>
      </c>
    </row>
    <row r="59" spans="2:31">
      <c r="B59" s="20" t="s">
        <v>250</v>
      </c>
      <c r="C59" s="127">
        <f t="shared" ref="C59:P59" si="154">C15/C39</f>
        <v>0</v>
      </c>
      <c r="D59" s="127">
        <f t="shared" si="154"/>
        <v>0</v>
      </c>
      <c r="E59" s="127">
        <f t="shared" si="154"/>
        <v>0</v>
      </c>
      <c r="F59" s="144">
        <f t="shared" si="154"/>
        <v>0</v>
      </c>
      <c r="G59" s="144">
        <f t="shared" si="154"/>
        <v>52.38095238095238</v>
      </c>
      <c r="H59" s="144">
        <f t="shared" si="154"/>
        <v>57.539682539682538</v>
      </c>
      <c r="I59" s="144">
        <f t="shared" si="154"/>
        <v>5.8263971462544593</v>
      </c>
      <c r="J59" s="144">
        <f t="shared" si="154"/>
        <v>8.878319460959176</v>
      </c>
      <c r="K59" s="144">
        <f t="shared" si="154"/>
        <v>18.853754940711461</v>
      </c>
      <c r="L59" s="144">
        <f t="shared" si="154"/>
        <v>17.588932806324109</v>
      </c>
      <c r="M59" s="144">
        <f t="shared" si="154"/>
        <v>4.6235921754593958</v>
      </c>
      <c r="N59" s="144">
        <f t="shared" si="154"/>
        <v>6.6390041493775938</v>
      </c>
      <c r="O59" s="144">
        <f t="shared" si="154"/>
        <v>7.1907013396375099</v>
      </c>
      <c r="P59" s="144">
        <f t="shared" si="154"/>
        <v>6.5353101833788534</v>
      </c>
      <c r="Q59" s="118">
        <f>((P59/G59)^(1/($H$2-$H$1) ))-1</f>
        <v>-0.20646539903368755</v>
      </c>
      <c r="R59" s="128"/>
      <c r="S59" s="158">
        <f t="shared" ref="S59:AB59" si="155">S15/S39</f>
        <v>6.5353101833788534</v>
      </c>
      <c r="T59" s="158">
        <f t="shared" si="155"/>
        <v>6.5353101833788534</v>
      </c>
      <c r="U59" s="158">
        <f t="shared" si="155"/>
        <v>6.5353101833788534</v>
      </c>
      <c r="V59" s="158">
        <f t="shared" si="155"/>
        <v>6.5353101833788543</v>
      </c>
      <c r="W59" s="158">
        <f t="shared" si="155"/>
        <v>6.5353101833788534</v>
      </c>
      <c r="X59" s="158">
        <f t="shared" si="155"/>
        <v>6.5353101833788534</v>
      </c>
      <c r="Y59" s="158">
        <f t="shared" si="155"/>
        <v>6.5353101833788525</v>
      </c>
      <c r="Z59" s="158">
        <f t="shared" si="155"/>
        <v>6.5353101833788525</v>
      </c>
      <c r="AA59" s="158">
        <f t="shared" si="155"/>
        <v>6.5353101833788525</v>
      </c>
      <c r="AB59" s="158">
        <f t="shared" si="155"/>
        <v>6.5353101833788525</v>
      </c>
      <c r="AC59" s="138">
        <f t="shared" si="131"/>
        <v>-0.10375666788066584</v>
      </c>
      <c r="AD59" s="137"/>
      <c r="AE59" s="146">
        <f t="shared" si="132"/>
        <v>29.705955378994783</v>
      </c>
    </row>
    <row r="60" spans="2:31">
      <c r="B60" s="20"/>
      <c r="C60" s="127"/>
      <c r="D60" s="127"/>
      <c r="E60" s="127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28"/>
      <c r="R60" s="128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39"/>
      <c r="AD60" s="31">
        <f t="shared" si="17"/>
        <v>0.08</v>
      </c>
      <c r="AE60" s="146">
        <f t="shared" si="132"/>
        <v>0</v>
      </c>
    </row>
    <row r="61" spans="2:31">
      <c r="B61" s="20" t="s">
        <v>283</v>
      </c>
      <c r="C61" s="160">
        <f>C40</f>
        <v>1</v>
      </c>
      <c r="D61" s="160">
        <f t="shared" ref="D61:P61" si="156">D40</f>
        <v>1</v>
      </c>
      <c r="E61" s="160">
        <f t="shared" si="156"/>
        <v>1</v>
      </c>
      <c r="F61" s="160">
        <f t="shared" si="156"/>
        <v>8</v>
      </c>
      <c r="G61" s="160">
        <f t="shared" si="156"/>
        <v>8</v>
      </c>
      <c r="H61" s="160">
        <f t="shared" si="156"/>
        <v>8</v>
      </c>
      <c r="I61" s="160">
        <f t="shared" si="156"/>
        <v>1.25</v>
      </c>
      <c r="J61" s="160">
        <f t="shared" si="156"/>
        <v>1.5</v>
      </c>
      <c r="K61" s="160">
        <f t="shared" si="156"/>
        <v>1.75</v>
      </c>
      <c r="L61" s="160">
        <f t="shared" si="156"/>
        <v>1.75</v>
      </c>
      <c r="M61" s="160">
        <f t="shared" si="156"/>
        <v>1.5</v>
      </c>
      <c r="N61" s="160">
        <f t="shared" si="156"/>
        <v>1.75</v>
      </c>
      <c r="O61" s="160">
        <f t="shared" si="156"/>
        <v>1.9</v>
      </c>
      <c r="P61" s="160">
        <f t="shared" si="156"/>
        <v>2.6</v>
      </c>
      <c r="Q61" s="118">
        <f>((P61/G61)^(1/($H$2-$H$1) ))-1</f>
        <v>-0.1173981815805033</v>
      </c>
      <c r="R61" s="128"/>
      <c r="S61" s="160">
        <f t="shared" ref="S61:AB61" si="157">S40</f>
        <v>2.7300000000000004</v>
      </c>
      <c r="T61" s="160">
        <f t="shared" si="157"/>
        <v>2.8665000000000007</v>
      </c>
      <c r="U61" s="160">
        <f t="shared" si="157"/>
        <v>3.0098250000000011</v>
      </c>
      <c r="V61" s="160">
        <f t="shared" si="157"/>
        <v>3.1603162500000015</v>
      </c>
      <c r="W61" s="160">
        <f t="shared" si="157"/>
        <v>3.3183320625000019</v>
      </c>
      <c r="X61" s="160">
        <f t="shared" si="157"/>
        <v>3.4842486656250022</v>
      </c>
      <c r="Y61" s="160">
        <f t="shared" si="157"/>
        <v>3.6584610989062525</v>
      </c>
      <c r="Z61" s="160">
        <f t="shared" si="157"/>
        <v>3.8413841538515654</v>
      </c>
      <c r="AA61" s="160">
        <f t="shared" si="157"/>
        <v>4.0334533615441437</v>
      </c>
      <c r="AB61" s="160">
        <f t="shared" si="157"/>
        <v>4.2351260296213509</v>
      </c>
      <c r="AC61" s="138">
        <f t="shared" ref="AC61" si="158">((AB61/G61)^(1/($AB$3-$H$1) ))-1</f>
        <v>-3.2921087947156646E-2</v>
      </c>
      <c r="AD61" s="31">
        <f t="shared" si="17"/>
        <v>0.08</v>
      </c>
      <c r="AE61" s="146">
        <f t="shared" si="132"/>
        <v>32.670972228507559</v>
      </c>
    </row>
    <row r="62" spans="2:31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39"/>
      <c r="AD62" s="137"/>
      <c r="AE62" s="155"/>
    </row>
    <row r="63" spans="2:31">
      <c r="B63" s="20" t="s">
        <v>319</v>
      </c>
      <c r="C63" s="127">
        <f t="shared" ref="C63:P63" si="159">C19+C20</f>
        <v>0</v>
      </c>
      <c r="D63" s="127">
        <f t="shared" si="159"/>
        <v>0</v>
      </c>
      <c r="E63" s="127">
        <f t="shared" si="159"/>
        <v>0</v>
      </c>
      <c r="F63" s="144">
        <f t="shared" si="159"/>
        <v>0</v>
      </c>
      <c r="G63" s="144">
        <f t="shared" si="159"/>
        <v>7</v>
      </c>
      <c r="H63" s="144">
        <f t="shared" si="159"/>
        <v>22</v>
      </c>
      <c r="I63" s="144">
        <f t="shared" si="159"/>
        <v>35</v>
      </c>
      <c r="J63" s="144">
        <f t="shared" si="159"/>
        <v>-36</v>
      </c>
      <c r="K63" s="144">
        <f t="shared" si="159"/>
        <v>-162</v>
      </c>
      <c r="L63" s="144">
        <f t="shared" si="159"/>
        <v>32</v>
      </c>
      <c r="M63" s="144">
        <f t="shared" si="159"/>
        <v>67</v>
      </c>
      <c r="N63" s="144">
        <f t="shared" si="159"/>
        <v>285</v>
      </c>
      <c r="O63" s="144">
        <f t="shared" si="159"/>
        <v>276</v>
      </c>
      <c r="P63" s="144">
        <f t="shared" si="159"/>
        <v>316</v>
      </c>
      <c r="Q63" s="118">
        <f>((P63/G63)^(1/($H$2-$H$1) ))-1</f>
        <v>0.5270147319567966</v>
      </c>
      <c r="R63" s="128"/>
      <c r="S63" s="144">
        <f t="shared" ref="S63:AB63" si="160">S19+S20</f>
        <v>363.4</v>
      </c>
      <c r="T63" s="144">
        <f t="shared" si="160"/>
        <v>417.90999999999991</v>
      </c>
      <c r="U63" s="144">
        <f t="shared" si="160"/>
        <v>480.59649999999988</v>
      </c>
      <c r="V63" s="144">
        <f t="shared" si="160"/>
        <v>552.68597499999987</v>
      </c>
      <c r="W63" s="144">
        <f t="shared" si="160"/>
        <v>635.58887124999978</v>
      </c>
      <c r="X63" s="144">
        <f t="shared" si="160"/>
        <v>730.9272019374996</v>
      </c>
      <c r="Y63" s="144">
        <f t="shared" si="160"/>
        <v>840.56628222812446</v>
      </c>
      <c r="Z63" s="144">
        <f t="shared" si="160"/>
        <v>966.65122456234303</v>
      </c>
      <c r="AA63" s="144">
        <f t="shared" si="160"/>
        <v>1111.6489082466942</v>
      </c>
      <c r="AB63" s="144">
        <f t="shared" si="160"/>
        <v>1278.396244483698</v>
      </c>
      <c r="AC63" s="138">
        <f t="shared" ref="AC63:AC68" si="161">((AB63/G63)^(1/($AB$3-$H$1) ))-1</f>
        <v>0.31531528075430804</v>
      </c>
      <c r="AD63" s="31">
        <f t="shared" si="17"/>
        <v>0.08</v>
      </c>
      <c r="AE63" s="146">
        <f t="shared" si="132"/>
        <v>9861.9138860170988</v>
      </c>
    </row>
    <row r="64" spans="2:31">
      <c r="B64" s="20"/>
      <c r="C64" s="127"/>
      <c r="D64" s="127"/>
      <c r="E64" s="12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28"/>
      <c r="R64" s="128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39"/>
      <c r="AD64" s="137"/>
      <c r="AE64" s="146"/>
    </row>
    <row r="65" spans="2:31">
      <c r="B65" s="20" t="s">
        <v>320</v>
      </c>
      <c r="C65" s="127">
        <f t="shared" ref="C65:P65" si="162">C63/C39</f>
        <v>0</v>
      </c>
      <c r="D65" s="127">
        <f t="shared" si="162"/>
        <v>0</v>
      </c>
      <c r="E65" s="127">
        <f t="shared" si="162"/>
        <v>0</v>
      </c>
      <c r="F65" s="144">
        <f t="shared" si="162"/>
        <v>0</v>
      </c>
      <c r="G65" s="144">
        <f t="shared" si="162"/>
        <v>2.7777777777777777</v>
      </c>
      <c r="H65" s="144">
        <f t="shared" si="162"/>
        <v>8.7301587301587293</v>
      </c>
      <c r="I65" s="144">
        <f t="shared" si="162"/>
        <v>1.3872374157748713</v>
      </c>
      <c r="J65" s="144">
        <f t="shared" si="162"/>
        <v>-1.426872770511296</v>
      </c>
      <c r="K65" s="144">
        <f t="shared" si="162"/>
        <v>-6.4031620553359678</v>
      </c>
      <c r="L65" s="144">
        <f t="shared" si="162"/>
        <v>1.2648221343873518</v>
      </c>
      <c r="M65" s="144">
        <f t="shared" si="162"/>
        <v>1.3238490416913653</v>
      </c>
      <c r="N65" s="144">
        <f t="shared" si="162"/>
        <v>5.6312981624184948</v>
      </c>
      <c r="O65" s="144">
        <f t="shared" si="162"/>
        <v>5.4373522458628845</v>
      </c>
      <c r="P65" s="144">
        <f t="shared" si="162"/>
        <v>6.1646507998439333</v>
      </c>
      <c r="Q65" s="118">
        <f>((P65/G65)^(1/($H$2-$H$1) ))-1</f>
        <v>9.2616832519326175E-2</v>
      </c>
      <c r="R65" s="128"/>
      <c r="S65" s="146">
        <f t="shared" ref="S65:AB65" si="163">S63/S39</f>
        <v>6.1646507998439333</v>
      </c>
      <c r="T65" s="146">
        <f t="shared" si="163"/>
        <v>6.1646507998439333</v>
      </c>
      <c r="U65" s="146">
        <f t="shared" si="163"/>
        <v>6.1646507998439333</v>
      </c>
      <c r="V65" s="146">
        <f t="shared" si="163"/>
        <v>6.1646507998439342</v>
      </c>
      <c r="W65" s="146">
        <f t="shared" si="163"/>
        <v>6.1646507998439342</v>
      </c>
      <c r="X65" s="146">
        <f t="shared" si="163"/>
        <v>6.1646507998439333</v>
      </c>
      <c r="Y65" s="146">
        <f t="shared" si="163"/>
        <v>6.1646507998439324</v>
      </c>
      <c r="Z65" s="146">
        <f t="shared" si="163"/>
        <v>6.1646507998439315</v>
      </c>
      <c r="AA65" s="146">
        <f t="shared" si="163"/>
        <v>6.1646507998439306</v>
      </c>
      <c r="AB65" s="146">
        <f t="shared" si="163"/>
        <v>6.1646507998439297</v>
      </c>
      <c r="AC65" s="138">
        <f t="shared" si="161"/>
        <v>4.2849484045664799E-2</v>
      </c>
      <c r="AD65" s="31">
        <f t="shared" si="17"/>
        <v>0.08</v>
      </c>
      <c r="AE65" s="146">
        <f t="shared" si="132"/>
        <v>47.55587759879603</v>
      </c>
    </row>
    <row r="66" spans="2:31">
      <c r="B66" s="20" t="s">
        <v>288</v>
      </c>
      <c r="C66" s="127">
        <f t="shared" ref="C66:P66" si="164">C19/C39</f>
        <v>0</v>
      </c>
      <c r="D66" s="127">
        <f t="shared" si="164"/>
        <v>0</v>
      </c>
      <c r="E66" s="127">
        <f t="shared" si="164"/>
        <v>0</v>
      </c>
      <c r="F66" s="144">
        <f t="shared" si="164"/>
        <v>0</v>
      </c>
      <c r="G66" s="144">
        <f t="shared" si="164"/>
        <v>19.047619047619047</v>
      </c>
      <c r="H66" s="144">
        <f t="shared" si="164"/>
        <v>36.507936507936506</v>
      </c>
      <c r="I66" s="144">
        <f t="shared" si="164"/>
        <v>4.439159730479588</v>
      </c>
      <c r="J66" s="144">
        <f t="shared" si="164"/>
        <v>3.5275465715418153</v>
      </c>
      <c r="K66" s="144">
        <f t="shared" si="164"/>
        <v>5.0592885375494072</v>
      </c>
      <c r="L66" s="144">
        <f t="shared" si="164"/>
        <v>10.276679841897232</v>
      </c>
      <c r="M66" s="144">
        <f t="shared" si="164"/>
        <v>8.140683659355858</v>
      </c>
      <c r="N66" s="144">
        <f t="shared" si="164"/>
        <v>6.3623789764868608</v>
      </c>
      <c r="O66" s="144">
        <f t="shared" si="164"/>
        <v>9.9881796690307336</v>
      </c>
      <c r="P66" s="144">
        <f t="shared" si="164"/>
        <v>10.00780335544284</v>
      </c>
      <c r="Q66" s="118">
        <f>((P66/G66)^(1/($H$2-$H$1) ))-1</f>
        <v>-6.9011686025279739E-2</v>
      </c>
      <c r="R66" s="128"/>
      <c r="S66" s="146">
        <f t="shared" ref="S66:AB66" si="165">S19/S39</f>
        <v>10.00780335544284</v>
      </c>
      <c r="T66" s="146">
        <f t="shared" si="165"/>
        <v>10.007803355442842</v>
      </c>
      <c r="U66" s="146">
        <f t="shared" si="165"/>
        <v>10.00780335544284</v>
      </c>
      <c r="V66" s="146">
        <f t="shared" si="165"/>
        <v>10.007803355442842</v>
      </c>
      <c r="W66" s="146">
        <f t="shared" si="165"/>
        <v>10.007803355442842</v>
      </c>
      <c r="X66" s="146">
        <f t="shared" si="165"/>
        <v>10.00780335544284</v>
      </c>
      <c r="Y66" s="146">
        <f t="shared" si="165"/>
        <v>10.00780335544284</v>
      </c>
      <c r="Z66" s="146">
        <f t="shared" si="165"/>
        <v>10.007803355442839</v>
      </c>
      <c r="AA66" s="146">
        <f t="shared" si="165"/>
        <v>10.007803355442839</v>
      </c>
      <c r="AB66" s="146">
        <f t="shared" si="165"/>
        <v>10.007803355442837</v>
      </c>
      <c r="AC66" s="138">
        <f t="shared" si="161"/>
        <v>-3.3305223444005438E-2</v>
      </c>
      <c r="AD66" s="31">
        <f t="shared" si="17"/>
        <v>0.08</v>
      </c>
      <c r="AE66" s="146">
        <f t="shared" si="132"/>
        <v>77.203054456273307</v>
      </c>
    </row>
    <row r="67" spans="2:31">
      <c r="B67" s="20" t="s">
        <v>289</v>
      </c>
      <c r="C67" s="127">
        <f t="shared" ref="C67:P67" si="166">C20/C39</f>
        <v>0</v>
      </c>
      <c r="D67" s="127">
        <f t="shared" si="166"/>
        <v>0</v>
      </c>
      <c r="E67" s="127">
        <f t="shared" si="166"/>
        <v>0</v>
      </c>
      <c r="F67" s="144">
        <f t="shared" si="166"/>
        <v>0</v>
      </c>
      <c r="G67" s="144">
        <f t="shared" si="166"/>
        <v>-16.269841269841269</v>
      </c>
      <c r="H67" s="144">
        <f t="shared" si="166"/>
        <v>-27.777777777777779</v>
      </c>
      <c r="I67" s="144">
        <f t="shared" si="166"/>
        <v>-3.0519223147047168</v>
      </c>
      <c r="J67" s="144">
        <f t="shared" si="166"/>
        <v>-4.9544193420531109</v>
      </c>
      <c r="K67" s="144">
        <f t="shared" si="166"/>
        <v>-11.462450592885375</v>
      </c>
      <c r="L67" s="144">
        <f t="shared" si="166"/>
        <v>-9.0118577075098809</v>
      </c>
      <c r="M67" s="144">
        <f t="shared" si="166"/>
        <v>-6.8168346176644929</v>
      </c>
      <c r="N67" s="144">
        <f t="shared" si="166"/>
        <v>-0.73108081406836589</v>
      </c>
      <c r="O67" s="144">
        <f t="shared" si="166"/>
        <v>-4.5508274231678492</v>
      </c>
      <c r="P67" s="144">
        <f t="shared" si="166"/>
        <v>-3.8431525555989077</v>
      </c>
      <c r="Q67" s="118">
        <f>((P67/G67)^(1/($H$2-$H$1) ))-1</f>
        <v>-0.14814211954308276</v>
      </c>
      <c r="R67" s="128"/>
      <c r="S67" s="146">
        <f t="shared" ref="S67:AB67" si="167">S20/S39</f>
        <v>-3.8431525555989077</v>
      </c>
      <c r="T67" s="146">
        <f t="shared" si="167"/>
        <v>-3.8431525555989081</v>
      </c>
      <c r="U67" s="146">
        <f t="shared" si="167"/>
        <v>-3.8431525555989077</v>
      </c>
      <c r="V67" s="146">
        <f t="shared" si="167"/>
        <v>-3.8431525555989081</v>
      </c>
      <c r="W67" s="146">
        <f t="shared" si="167"/>
        <v>-3.8431525555989077</v>
      </c>
      <c r="X67" s="146">
        <f t="shared" si="167"/>
        <v>-3.8431525555989077</v>
      </c>
      <c r="Y67" s="146">
        <f t="shared" si="167"/>
        <v>-3.8431525555989072</v>
      </c>
      <c r="Z67" s="146">
        <f t="shared" si="167"/>
        <v>-3.8431525555989068</v>
      </c>
      <c r="AA67" s="146">
        <f t="shared" si="167"/>
        <v>-3.8431525555989068</v>
      </c>
      <c r="AB67" s="146">
        <f t="shared" si="167"/>
        <v>-3.8431525555989072</v>
      </c>
      <c r="AC67" s="138">
        <f t="shared" si="161"/>
        <v>-7.3135995680720822E-2</v>
      </c>
      <c r="AD67" s="31">
        <f t="shared" si="17"/>
        <v>0.08</v>
      </c>
      <c r="AE67" s="146">
        <f t="shared" si="132"/>
        <v>-29.64717685747728</v>
      </c>
    </row>
    <row r="68" spans="2:31">
      <c r="B68" s="20" t="s">
        <v>290</v>
      </c>
      <c r="C68" s="127">
        <f t="shared" ref="C68:P68" si="168">C21/C39</f>
        <v>0</v>
      </c>
      <c r="D68" s="127">
        <f t="shared" si="168"/>
        <v>0</v>
      </c>
      <c r="E68" s="127">
        <f t="shared" si="168"/>
        <v>0</v>
      </c>
      <c r="F68" s="144">
        <f t="shared" si="168"/>
        <v>0</v>
      </c>
      <c r="G68" s="144">
        <f t="shared" si="168"/>
        <v>-2.7777777777777777</v>
      </c>
      <c r="H68" s="144">
        <f t="shared" si="168"/>
        <v>-7.1428571428571432</v>
      </c>
      <c r="I68" s="144">
        <f t="shared" si="168"/>
        <v>-1.3872374157748713</v>
      </c>
      <c r="J68" s="144">
        <f t="shared" si="168"/>
        <v>1.8628616726119698</v>
      </c>
      <c r="K68" s="144">
        <f t="shared" si="168"/>
        <v>11.383399209486166</v>
      </c>
      <c r="L68" s="144">
        <f t="shared" si="168"/>
        <v>-2.1343873517786562</v>
      </c>
      <c r="M68" s="144">
        <f t="shared" si="168"/>
        <v>-3.1614305473226634</v>
      </c>
      <c r="N68" s="144">
        <f t="shared" si="168"/>
        <v>-4.8606994665085956</v>
      </c>
      <c r="O68" s="144">
        <f t="shared" si="168"/>
        <v>-5.6146572104018917</v>
      </c>
      <c r="P68" s="144">
        <f t="shared" si="168"/>
        <v>-12.192742879438159</v>
      </c>
      <c r="Q68" s="118">
        <f>((P68/G68)^(1/($H$2-$H$1) ))-1</f>
        <v>0.17863195888906414</v>
      </c>
      <c r="R68" s="128"/>
      <c r="S68" s="146">
        <f t="shared" ref="S68:AB68" si="169">S21/S39</f>
        <v>-12.19274287943816</v>
      </c>
      <c r="T68" s="146">
        <f t="shared" si="169"/>
        <v>-12.19274287943816</v>
      </c>
      <c r="U68" s="146">
        <f t="shared" si="169"/>
        <v>-12.192742879438159</v>
      </c>
      <c r="V68" s="146">
        <f t="shared" si="169"/>
        <v>-12.192742879438159</v>
      </c>
      <c r="W68" s="146">
        <f t="shared" si="169"/>
        <v>-12.192742879438159</v>
      </c>
      <c r="X68" s="146">
        <f t="shared" si="169"/>
        <v>-12.192742879438159</v>
      </c>
      <c r="Y68" s="146">
        <f t="shared" si="169"/>
        <v>-12.192742879438157</v>
      </c>
      <c r="Z68" s="146">
        <f t="shared" si="169"/>
        <v>-12.192742879438157</v>
      </c>
      <c r="AA68" s="146">
        <f t="shared" si="169"/>
        <v>-12.192742879438155</v>
      </c>
      <c r="AB68" s="146">
        <f t="shared" si="169"/>
        <v>-12.192742879438157</v>
      </c>
      <c r="AC68" s="138">
        <f t="shared" si="161"/>
        <v>8.0962760008500334E-2</v>
      </c>
      <c r="AD68" s="31">
        <f t="shared" si="17"/>
        <v>0.08</v>
      </c>
      <c r="AE68" s="146">
        <f t="shared" si="132"/>
        <v>-94.058302212808641</v>
      </c>
    </row>
    <row r="69" spans="2:31">
      <c r="B69" s="20" t="s">
        <v>297</v>
      </c>
      <c r="C69" s="127">
        <f t="shared" ref="C69:P69" si="170">C22/C39</f>
        <v>0</v>
      </c>
      <c r="D69" s="127">
        <f t="shared" si="170"/>
        <v>0</v>
      </c>
      <c r="E69" s="127">
        <f t="shared" si="170"/>
        <v>0</v>
      </c>
      <c r="F69" s="144">
        <f t="shared" si="170"/>
        <v>0</v>
      </c>
      <c r="G69" s="144">
        <f t="shared" si="170"/>
        <v>2.9523809523809526</v>
      </c>
      <c r="H69" s="144">
        <f t="shared" si="170"/>
        <v>4.6269841269841274</v>
      </c>
      <c r="I69" s="144">
        <f t="shared" si="170"/>
        <v>0.47562425683709869</v>
      </c>
      <c r="J69" s="144">
        <f t="shared" si="170"/>
        <v>0.91161315893777251</v>
      </c>
      <c r="K69" s="144">
        <f t="shared" si="170"/>
        <v>5.8695652173913038</v>
      </c>
      <c r="L69" s="144">
        <f t="shared" si="170"/>
        <v>5.0197628458498018</v>
      </c>
      <c r="M69" s="144">
        <f t="shared" si="170"/>
        <v>0.65204505038529936</v>
      </c>
      <c r="N69" s="144">
        <f t="shared" si="170"/>
        <v>1.4226437462951986</v>
      </c>
      <c r="O69" s="144">
        <f t="shared" si="170"/>
        <v>1.2214342001576044</v>
      </c>
      <c r="P69" s="144">
        <f t="shared" si="170"/>
        <v>0.99492781896215376</v>
      </c>
      <c r="Q69" s="118">
        <f>((P69/G69)^(1/($H$2-$H$1) ))-1</f>
        <v>-0.11383775659176021</v>
      </c>
      <c r="R69" s="128"/>
      <c r="S69" s="146">
        <f t="shared" ref="S69:AB69" si="171">S22/S39</f>
        <v>0.99492781896215388</v>
      </c>
      <c r="T69" s="146">
        <f t="shared" si="171"/>
        <v>0.99492781896215388</v>
      </c>
      <c r="U69" s="146">
        <f t="shared" si="171"/>
        <v>0.99492781896215376</v>
      </c>
      <c r="V69" s="146">
        <f t="shared" si="171"/>
        <v>0.99492781896215388</v>
      </c>
      <c r="W69" s="146">
        <f t="shared" si="171"/>
        <v>0.99492781896215388</v>
      </c>
      <c r="X69" s="146">
        <f t="shared" si="171"/>
        <v>0.99492781896215388</v>
      </c>
      <c r="Y69" s="146">
        <f t="shared" si="171"/>
        <v>0.99492781896215365</v>
      </c>
      <c r="Z69" s="146">
        <f t="shared" si="171"/>
        <v>0.99492781896215354</v>
      </c>
      <c r="AA69" s="146">
        <f t="shared" si="171"/>
        <v>0.99492781896215354</v>
      </c>
      <c r="AB69" s="146">
        <f t="shared" si="171"/>
        <v>0.99492781896215354</v>
      </c>
      <c r="AC69" s="138">
        <f t="shared" ref="AC69" si="172">((AB69/G69)^(1/($AB$3-$H$1) ))-1</f>
        <v>-5.5639417135504909E-2</v>
      </c>
      <c r="AD69" s="31">
        <f t="shared" si="17"/>
        <v>0.08</v>
      </c>
      <c r="AE69" s="146">
        <f t="shared" si="132"/>
        <v>7.6751574605651847</v>
      </c>
    </row>
    <row r="70" spans="2:31">
      <c r="B70" s="20"/>
      <c r="C70" s="127"/>
      <c r="D70" s="127"/>
      <c r="E70" s="127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28"/>
      <c r="R70" s="128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39"/>
      <c r="AD70" s="137"/>
      <c r="AE70" s="155"/>
    </row>
    <row r="71" spans="2:31">
      <c r="B71" s="20" t="s">
        <v>313</v>
      </c>
      <c r="C71" s="144">
        <f t="shared" ref="C71:P71" si="173">C35/C39</f>
        <v>0</v>
      </c>
      <c r="D71" s="144">
        <f t="shared" si="173"/>
        <v>0</v>
      </c>
      <c r="E71" s="144">
        <f t="shared" si="173"/>
        <v>0</v>
      </c>
      <c r="F71" s="144">
        <f t="shared" si="173"/>
        <v>0</v>
      </c>
      <c r="G71" s="144">
        <f t="shared" si="173"/>
        <v>42.857142857142854</v>
      </c>
      <c r="H71" s="144">
        <f t="shared" si="173"/>
        <v>50.793650793650791</v>
      </c>
      <c r="I71" s="144">
        <f t="shared" si="173"/>
        <v>5.7471264367816088</v>
      </c>
      <c r="J71" s="144">
        <f t="shared" si="173"/>
        <v>6.8172810146650811</v>
      </c>
      <c r="K71" s="144">
        <f t="shared" si="173"/>
        <v>9.920948616600791</v>
      </c>
      <c r="L71" s="144">
        <f t="shared" si="173"/>
        <v>9.5652173913043477</v>
      </c>
      <c r="M71" s="144">
        <f t="shared" si="173"/>
        <v>7.864058486465126</v>
      </c>
      <c r="N71" s="144">
        <f t="shared" si="173"/>
        <v>9.1681485872357236</v>
      </c>
      <c r="O71" s="144">
        <f t="shared" si="173"/>
        <v>9.7320724980299449</v>
      </c>
      <c r="P71" s="144">
        <f t="shared" si="173"/>
        <v>11.685524775653532</v>
      </c>
      <c r="Q71" s="118">
        <f>((P71/G71)^(1/($H$2-$H$1) ))-1</f>
        <v>-0.13445098333990746</v>
      </c>
      <c r="R71" s="128"/>
      <c r="S71" s="144">
        <f t="shared" ref="S71:AB71" si="174">S35/S39</f>
        <v>11.685524775653532</v>
      </c>
      <c r="T71" s="144">
        <f t="shared" si="174"/>
        <v>11.685524775653532</v>
      </c>
      <c r="U71" s="144">
        <f t="shared" si="174"/>
        <v>11.685524775653532</v>
      </c>
      <c r="V71" s="144">
        <f t="shared" si="174"/>
        <v>11.685524775653532</v>
      </c>
      <c r="W71" s="144">
        <f t="shared" si="174"/>
        <v>11.685524775653532</v>
      </c>
      <c r="X71" s="144">
        <f t="shared" si="174"/>
        <v>11.685524775653533</v>
      </c>
      <c r="Y71" s="144">
        <f t="shared" si="174"/>
        <v>11.685524775653532</v>
      </c>
      <c r="Z71" s="144">
        <f t="shared" si="174"/>
        <v>11.685524775653532</v>
      </c>
      <c r="AA71" s="144">
        <f t="shared" si="174"/>
        <v>11.685524775653532</v>
      </c>
      <c r="AB71" s="144">
        <f t="shared" si="174"/>
        <v>11.685524775653532</v>
      </c>
      <c r="AC71" s="138">
        <f t="shared" ref="AC71:AC73" si="175">((AB71/G71)^(1/($AB$3-$H$1) ))-1</f>
        <v>-6.6109294910948302E-2</v>
      </c>
      <c r="AD71" s="31">
        <f t="shared" si="17"/>
        <v>0.08</v>
      </c>
      <c r="AE71" s="146">
        <f t="shared" si="132"/>
        <v>90.145476840755819</v>
      </c>
    </row>
    <row r="72" spans="2:31">
      <c r="B72" s="20" t="s">
        <v>314</v>
      </c>
      <c r="C72" s="144">
        <f t="shared" ref="C72:P72" si="176">C37/C39</f>
        <v>0</v>
      </c>
      <c r="D72" s="144">
        <f t="shared" si="176"/>
        <v>0</v>
      </c>
      <c r="E72" s="144">
        <f t="shared" si="176"/>
        <v>0</v>
      </c>
      <c r="F72" s="144">
        <f t="shared" si="176"/>
        <v>0</v>
      </c>
      <c r="G72" s="144">
        <f t="shared" si="176"/>
        <v>24.206349206349206</v>
      </c>
      <c r="H72" s="144">
        <f t="shared" si="176"/>
        <v>28.571428571428573</v>
      </c>
      <c r="I72" s="144">
        <f t="shared" si="176"/>
        <v>3.4086405073325405</v>
      </c>
      <c r="J72" s="144">
        <f t="shared" si="176"/>
        <v>4.3995243757431632</v>
      </c>
      <c r="K72" s="144">
        <f t="shared" si="176"/>
        <v>6.7588932806324111</v>
      </c>
      <c r="L72" s="144">
        <f t="shared" si="176"/>
        <v>4.3478260869565215</v>
      </c>
      <c r="M72" s="144">
        <f t="shared" si="176"/>
        <v>5.4337087532108281</v>
      </c>
      <c r="N72" s="144">
        <f t="shared" si="176"/>
        <v>6.0857538035961269</v>
      </c>
      <c r="O72" s="144">
        <f t="shared" si="176"/>
        <v>6.3435776201733649</v>
      </c>
      <c r="P72" s="144">
        <f t="shared" si="176"/>
        <v>8.2130316035895436</v>
      </c>
      <c r="Q72" s="118">
        <f>((P72/G72)^(1/($H$2-$H$1) ))-1</f>
        <v>-0.11316754634371717</v>
      </c>
      <c r="R72" s="128"/>
      <c r="S72" s="144">
        <f t="shared" ref="S72:AB72" si="177">S37/S39</f>
        <v>8.2130316035895436</v>
      </c>
      <c r="T72" s="144">
        <f t="shared" si="177"/>
        <v>8.2130316035895454</v>
      </c>
      <c r="U72" s="144">
        <f t="shared" si="177"/>
        <v>8.2130316035895436</v>
      </c>
      <c r="V72" s="144">
        <f t="shared" si="177"/>
        <v>8.2130316035895454</v>
      </c>
      <c r="W72" s="144">
        <f t="shared" si="177"/>
        <v>8.2130316035895436</v>
      </c>
      <c r="X72" s="144">
        <f t="shared" si="177"/>
        <v>8.2130316035895436</v>
      </c>
      <c r="Y72" s="144">
        <f t="shared" si="177"/>
        <v>8.2130316035895436</v>
      </c>
      <c r="Z72" s="144">
        <f t="shared" si="177"/>
        <v>8.2130316035895436</v>
      </c>
      <c r="AA72" s="144">
        <f t="shared" si="177"/>
        <v>8.2130316035895436</v>
      </c>
      <c r="AB72" s="144">
        <f t="shared" si="177"/>
        <v>8.2130316035895436</v>
      </c>
      <c r="AC72" s="138">
        <f t="shared" si="175"/>
        <v>-5.5301166851431161E-2</v>
      </c>
      <c r="AD72" s="31">
        <f t="shared" si="17"/>
        <v>0.08</v>
      </c>
      <c r="AE72" s="146">
        <f t="shared" si="132"/>
        <v>63.357672370547903</v>
      </c>
    </row>
    <row r="73" spans="2:31">
      <c r="B73" s="20" t="s">
        <v>315</v>
      </c>
      <c r="C73" s="144">
        <f t="shared" ref="C73:P73" si="178">C6/C39</f>
        <v>0</v>
      </c>
      <c r="D73" s="144">
        <f t="shared" si="178"/>
        <v>0</v>
      </c>
      <c r="E73" s="144">
        <f t="shared" si="178"/>
        <v>0</v>
      </c>
      <c r="F73" s="144">
        <f t="shared" si="178"/>
        <v>0</v>
      </c>
      <c r="G73" s="144">
        <f t="shared" si="178"/>
        <v>114.68253968253968</v>
      </c>
      <c r="H73" s="144">
        <f t="shared" si="178"/>
        <v>133.33333333333334</v>
      </c>
      <c r="I73" s="144">
        <f t="shared" si="178"/>
        <v>15.378517637732857</v>
      </c>
      <c r="J73" s="144">
        <f t="shared" si="178"/>
        <v>18.034086405073324</v>
      </c>
      <c r="K73" s="144">
        <f t="shared" si="178"/>
        <v>23.359683794466402</v>
      </c>
      <c r="L73" s="144">
        <f t="shared" si="178"/>
        <v>26.442687747035574</v>
      </c>
      <c r="M73" s="144">
        <f t="shared" si="178"/>
        <v>16.222090495949416</v>
      </c>
      <c r="N73" s="144">
        <f t="shared" si="178"/>
        <v>20.430744912072711</v>
      </c>
      <c r="O73" s="144">
        <f t="shared" si="178"/>
        <v>25.118203309692671</v>
      </c>
      <c r="P73" s="144">
        <f t="shared" si="178"/>
        <v>31.213421771361688</v>
      </c>
      <c r="Q73" s="118">
        <f>((P73/G73)^(1/($H$2-$H$1) ))-1</f>
        <v>-0.1346238980347757</v>
      </c>
      <c r="R73" s="128"/>
      <c r="S73" s="144">
        <f t="shared" ref="S73:AB73" si="179">S6/S39</f>
        <v>31.213421771361688</v>
      </c>
      <c r="T73" s="144">
        <f t="shared" si="179"/>
        <v>31.213421771361688</v>
      </c>
      <c r="U73" s="144">
        <f t="shared" si="179"/>
        <v>31.213421771361684</v>
      </c>
      <c r="V73" s="144">
        <f t="shared" si="179"/>
        <v>31.213421771361688</v>
      </c>
      <c r="W73" s="144">
        <f t="shared" si="179"/>
        <v>31.213421771361688</v>
      </c>
      <c r="X73" s="144">
        <f t="shared" si="179"/>
        <v>31.213421771361684</v>
      </c>
      <c r="Y73" s="144">
        <f t="shared" si="179"/>
        <v>31.213421771361684</v>
      </c>
      <c r="Z73" s="144">
        <f t="shared" si="179"/>
        <v>31.213421771361681</v>
      </c>
      <c r="AA73" s="144">
        <f t="shared" si="179"/>
        <v>31.213421771361684</v>
      </c>
      <c r="AB73" s="144">
        <f t="shared" si="179"/>
        <v>31.213421771361684</v>
      </c>
      <c r="AC73" s="138">
        <f t="shared" si="175"/>
        <v>-6.6197673696674508E-2</v>
      </c>
      <c r="AD73" s="31">
        <f t="shared" ref="AD73" si="180">$L$1</f>
        <v>0.08</v>
      </c>
      <c r="AE73" s="146">
        <f t="shared" si="132"/>
        <v>240.78925366479012</v>
      </c>
    </row>
    <row r="74" spans="2:31">
      <c r="B74" s="20"/>
      <c r="C74" s="127"/>
      <c r="D74" s="127"/>
      <c r="E74" s="127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28"/>
      <c r="R74" s="128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39"/>
      <c r="AD74" s="20"/>
      <c r="AE74" s="155"/>
    </row>
    <row r="75" spans="2:31">
      <c r="B75" s="20"/>
      <c r="C75" s="127"/>
      <c r="D75" s="127"/>
      <c r="E75" s="127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28"/>
      <c r="R75" s="128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39"/>
      <c r="AD75" s="20"/>
      <c r="AE75" s="155"/>
    </row>
    <row r="76" spans="2:31">
      <c r="B76" s="108" t="s">
        <v>312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</row>
    <row r="77" spans="2:31">
      <c r="B77" s="20" t="s">
        <v>310</v>
      </c>
      <c r="C77" s="153" t="e">
        <f t="shared" ref="C77:P77" si="181">C35/C24</f>
        <v>#DIV/0!</v>
      </c>
      <c r="D77" s="153" t="e">
        <f t="shared" si="181"/>
        <v>#DIV/0!</v>
      </c>
      <c r="E77" s="153" t="e">
        <f t="shared" si="181"/>
        <v>#DIV/0!</v>
      </c>
      <c r="F77" s="153" t="e">
        <f t="shared" si="181"/>
        <v>#DIV/0!</v>
      </c>
      <c r="G77" s="153">
        <f t="shared" si="181"/>
        <v>0.16</v>
      </c>
      <c r="H77" s="153">
        <f t="shared" si="181"/>
        <v>0.16473616473616473</v>
      </c>
      <c r="I77" s="153">
        <f t="shared" si="181"/>
        <v>0.15279241306638566</v>
      </c>
      <c r="J77" s="153">
        <f t="shared" si="181"/>
        <v>0.13333333333333333</v>
      </c>
      <c r="K77" s="153">
        <f t="shared" si="181"/>
        <v>0.14204867006225241</v>
      </c>
      <c r="L77" s="153">
        <f t="shared" si="181"/>
        <v>0.12234580384226491</v>
      </c>
      <c r="M77" s="153">
        <f t="shared" si="181"/>
        <v>0.17712505562972852</v>
      </c>
      <c r="N77" s="153">
        <f t="shared" si="181"/>
        <v>0.16885007278020378</v>
      </c>
      <c r="O77" s="153">
        <f t="shared" si="181"/>
        <v>0.15466499686912963</v>
      </c>
      <c r="P77" s="153">
        <f t="shared" si="181"/>
        <v>0.15754865860073644</v>
      </c>
      <c r="Q77" s="118">
        <f t="shared" ref="Q77:Q98" si="182">((P77/G77)^(1/($H$2-$H$1) ))-1</f>
        <v>-1.7140250655216516E-3</v>
      </c>
      <c r="R77" s="153"/>
      <c r="S77" s="153">
        <f t="shared" ref="S77:AB77" si="183">S35/S24</f>
        <v>0.15754865860073647</v>
      </c>
      <c r="T77" s="153">
        <f t="shared" si="183"/>
        <v>0.15754865860073644</v>
      </c>
      <c r="U77" s="153">
        <f t="shared" si="183"/>
        <v>0.15754865860073644</v>
      </c>
      <c r="V77" s="153">
        <f t="shared" si="183"/>
        <v>0.15754865860073647</v>
      </c>
      <c r="W77" s="153">
        <f t="shared" si="183"/>
        <v>0.15754865860073647</v>
      </c>
      <c r="X77" s="153">
        <f t="shared" si="183"/>
        <v>0.1575486586007365</v>
      </c>
      <c r="Y77" s="153">
        <f t="shared" si="183"/>
        <v>0.1575486586007365</v>
      </c>
      <c r="Z77" s="153">
        <f t="shared" si="183"/>
        <v>0.15754865860073647</v>
      </c>
      <c r="AA77" s="153">
        <f t="shared" si="183"/>
        <v>0.1575486586007365</v>
      </c>
      <c r="AB77" s="153">
        <f t="shared" si="183"/>
        <v>0.15754865860073647</v>
      </c>
      <c r="AC77" s="138">
        <f t="shared" ref="AC77:AC98" si="184">((AB77/G77)^(1/($AB$3-$H$1) ))-1</f>
        <v>-8.1227314765819347E-4</v>
      </c>
      <c r="AD77" s="146"/>
      <c r="AE77" s="146"/>
    </row>
    <row r="78" spans="2:31">
      <c r="B78" s="20" t="s">
        <v>267</v>
      </c>
      <c r="C78" s="153" t="e">
        <f t="shared" ref="C78:P78" si="185">C37/C24</f>
        <v>#DIV/0!</v>
      </c>
      <c r="D78" s="153" t="e">
        <f t="shared" si="185"/>
        <v>#DIV/0!</v>
      </c>
      <c r="E78" s="153" t="e">
        <f t="shared" si="185"/>
        <v>#DIV/0!</v>
      </c>
      <c r="F78" s="153" t="e">
        <f t="shared" si="185"/>
        <v>#DIV/0!</v>
      </c>
      <c r="G78" s="153">
        <f t="shared" si="185"/>
        <v>9.0370370370370365E-2</v>
      </c>
      <c r="H78" s="153">
        <f t="shared" si="185"/>
        <v>9.2664092664092659E-2</v>
      </c>
      <c r="I78" s="153">
        <f t="shared" si="185"/>
        <v>9.0621707060063228E-2</v>
      </c>
      <c r="J78" s="153">
        <f t="shared" si="185"/>
        <v>8.6046511627906982E-2</v>
      </c>
      <c r="K78" s="153">
        <f t="shared" si="185"/>
        <v>9.6774193548387094E-2</v>
      </c>
      <c r="L78" s="153">
        <f t="shared" si="185"/>
        <v>5.5611729019211326E-2</v>
      </c>
      <c r="M78" s="153">
        <f t="shared" si="185"/>
        <v>0.12238540275923454</v>
      </c>
      <c r="N78" s="153">
        <f t="shared" si="185"/>
        <v>0.11208151382823872</v>
      </c>
      <c r="O78" s="153">
        <f t="shared" si="185"/>
        <v>0.1008140262993112</v>
      </c>
      <c r="P78" s="153">
        <f t="shared" si="185"/>
        <v>0.11073119410836402</v>
      </c>
      <c r="Q78" s="118">
        <f t="shared" si="182"/>
        <v>2.2833350349084292E-2</v>
      </c>
      <c r="R78" s="153"/>
      <c r="S78" s="153">
        <f t="shared" ref="S78:AB78" si="186">S37/S24</f>
        <v>0.11073119410836403</v>
      </c>
      <c r="T78" s="153">
        <f t="shared" si="186"/>
        <v>0.11073119410836403</v>
      </c>
      <c r="U78" s="153">
        <f t="shared" si="186"/>
        <v>0.11073119410836403</v>
      </c>
      <c r="V78" s="153">
        <f t="shared" si="186"/>
        <v>0.11073119410836402</v>
      </c>
      <c r="W78" s="153">
        <f t="shared" si="186"/>
        <v>0.11073119410836402</v>
      </c>
      <c r="X78" s="153">
        <f t="shared" si="186"/>
        <v>0.11073119410836403</v>
      </c>
      <c r="Y78" s="153">
        <f t="shared" si="186"/>
        <v>0.11073119410836404</v>
      </c>
      <c r="Z78" s="153">
        <f t="shared" si="186"/>
        <v>0.11073119410836403</v>
      </c>
      <c r="AA78" s="153">
        <f t="shared" si="186"/>
        <v>0.11073119410836403</v>
      </c>
      <c r="AB78" s="153">
        <f t="shared" si="186"/>
        <v>0.11073119410836403</v>
      </c>
      <c r="AC78" s="138">
        <f t="shared" si="184"/>
        <v>1.075155209277856E-2</v>
      </c>
      <c r="AD78" s="146"/>
      <c r="AE78" s="146"/>
    </row>
    <row r="79" spans="2:31">
      <c r="B79" s="20" t="s">
        <v>311</v>
      </c>
      <c r="C79" s="153" t="e">
        <f t="shared" ref="C79:P79" si="187">C37/C7</f>
        <v>#DIV/0!</v>
      </c>
      <c r="D79" s="153" t="e">
        <f t="shared" si="187"/>
        <v>#DIV/0!</v>
      </c>
      <c r="E79" s="153" t="e">
        <f t="shared" si="187"/>
        <v>#DIV/0!</v>
      </c>
      <c r="F79" s="153" t="e">
        <f t="shared" si="187"/>
        <v>#DIV/0!</v>
      </c>
      <c r="G79" s="153">
        <f t="shared" si="187"/>
        <v>0.19365079365079366</v>
      </c>
      <c r="H79" s="153">
        <f t="shared" si="187"/>
        <v>0.1994459833795014</v>
      </c>
      <c r="I79" s="153">
        <f t="shared" si="187"/>
        <v>0.20823244552058112</v>
      </c>
      <c r="J79" s="153">
        <f t="shared" si="187"/>
        <v>0.23125000000000001</v>
      </c>
      <c r="K79" s="153">
        <f t="shared" si="187"/>
        <v>0.27580645161290324</v>
      </c>
      <c r="L79" s="153">
        <f t="shared" si="187"/>
        <v>0.17350157728706625</v>
      </c>
      <c r="M79" s="153">
        <f t="shared" si="187"/>
        <v>0.31536697247706424</v>
      </c>
      <c r="N79" s="153">
        <f t="shared" si="187"/>
        <v>0.28413284132841327</v>
      </c>
      <c r="O79" s="153">
        <f t="shared" si="187"/>
        <v>0.24283559577677225</v>
      </c>
      <c r="P79" s="153">
        <f t="shared" si="187"/>
        <v>0.25499697153240458</v>
      </c>
      <c r="Q79" s="118">
        <f t="shared" si="182"/>
        <v>3.1049525744297979E-2</v>
      </c>
      <c r="R79" s="20"/>
      <c r="S79" s="153">
        <f t="shared" ref="S79:AB79" si="188">S37/S7</f>
        <v>0.25499697153240464</v>
      </c>
      <c r="T79" s="153">
        <f t="shared" si="188"/>
        <v>0.25499697153240458</v>
      </c>
      <c r="U79" s="153">
        <f t="shared" si="188"/>
        <v>0.25499697153240458</v>
      </c>
      <c r="V79" s="153">
        <f t="shared" si="188"/>
        <v>0.25499697153240458</v>
      </c>
      <c r="W79" s="153">
        <f t="shared" si="188"/>
        <v>0.25499697153240458</v>
      </c>
      <c r="X79" s="153">
        <f t="shared" si="188"/>
        <v>0.25499697153240458</v>
      </c>
      <c r="Y79" s="153">
        <f t="shared" si="188"/>
        <v>0.25499697153240464</v>
      </c>
      <c r="Z79" s="153">
        <f t="shared" si="188"/>
        <v>0.25499697153240464</v>
      </c>
      <c r="AA79" s="153">
        <f t="shared" si="188"/>
        <v>0.25499697153240464</v>
      </c>
      <c r="AB79" s="153">
        <f t="shared" si="188"/>
        <v>0.25499697153240464</v>
      </c>
      <c r="AC79" s="138">
        <f t="shared" si="184"/>
        <v>1.4589356771313566E-2</v>
      </c>
      <c r="AD79" s="146"/>
      <c r="AE79" s="146"/>
    </row>
    <row r="80" spans="2:31">
      <c r="B80" s="20" t="s">
        <v>322</v>
      </c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18" t="e">
        <f t="shared" si="182"/>
        <v>#DIV/0!</v>
      </c>
      <c r="R80" s="20"/>
      <c r="S80" s="153"/>
      <c r="T80" s="153"/>
      <c r="U80" s="153"/>
      <c r="V80" s="153"/>
      <c r="W80" s="153"/>
      <c r="X80" s="153"/>
      <c r="Y80" s="153"/>
      <c r="Z80" s="153"/>
      <c r="AA80" s="153"/>
      <c r="AB80" s="153"/>
      <c r="AC80" s="3"/>
      <c r="AD80" s="146"/>
      <c r="AE80" s="146"/>
    </row>
    <row r="81" spans="2:31">
      <c r="B81" s="20" t="s">
        <v>327</v>
      </c>
      <c r="C81" s="153"/>
      <c r="D81" s="153"/>
      <c r="E81" s="153"/>
      <c r="F81" s="153"/>
      <c r="G81" s="153">
        <f>G28/G24</f>
        <v>1.4814814814814815E-6</v>
      </c>
      <c r="H81" s="153">
        <f t="shared" ref="H81:P81" si="189">H28/H24</f>
        <v>5.1480051480051478E-3</v>
      </c>
      <c r="I81" s="153">
        <f t="shared" si="189"/>
        <v>4.0042149631190722E-3</v>
      </c>
      <c r="J81" s="153">
        <f t="shared" si="189"/>
        <v>7.4341085271317827E-3</v>
      </c>
      <c r="K81" s="153">
        <f t="shared" si="189"/>
        <v>1.3582342954159592E-2</v>
      </c>
      <c r="L81" s="153">
        <f t="shared" si="189"/>
        <v>2.2244691607684528E-2</v>
      </c>
      <c r="M81" s="153">
        <f t="shared" si="189"/>
        <v>1.6911437472185136E-2</v>
      </c>
      <c r="N81" s="153">
        <f t="shared" si="189"/>
        <v>1.3100436681222707E-2</v>
      </c>
      <c r="O81" s="153">
        <f t="shared" si="189"/>
        <v>9.7056981840951788E-3</v>
      </c>
      <c r="P81" s="153">
        <f t="shared" si="189"/>
        <v>5.7864281956864806E-3</v>
      </c>
      <c r="Q81" s="118">
        <f t="shared" si="182"/>
        <v>1.5065673089708351</v>
      </c>
      <c r="R81" s="20"/>
      <c r="S81" s="153">
        <f t="shared" ref="S81:AB81" si="190">S28/S24</f>
        <v>5.7864281956864815E-3</v>
      </c>
      <c r="T81" s="153">
        <f t="shared" si="190"/>
        <v>5.7864281956864815E-3</v>
      </c>
      <c r="U81" s="153">
        <f t="shared" si="190"/>
        <v>5.7864281956864806E-3</v>
      </c>
      <c r="V81" s="153">
        <f t="shared" si="190"/>
        <v>5.7864281956864815E-3</v>
      </c>
      <c r="W81" s="153">
        <f t="shared" si="190"/>
        <v>5.7864281956864806E-3</v>
      </c>
      <c r="X81" s="153">
        <f t="shared" si="190"/>
        <v>5.7864281956864815E-3</v>
      </c>
      <c r="Y81" s="153">
        <f t="shared" si="190"/>
        <v>5.7864281956864815E-3</v>
      </c>
      <c r="Z81" s="153">
        <f t="shared" si="190"/>
        <v>5.7864281956864815E-3</v>
      </c>
      <c r="AA81" s="153">
        <f t="shared" si="190"/>
        <v>5.7864281956864815E-3</v>
      </c>
      <c r="AB81" s="153">
        <f t="shared" si="190"/>
        <v>5.7864281956864806E-3</v>
      </c>
      <c r="AC81" s="138">
        <f t="shared" si="184"/>
        <v>0.54538821810523541</v>
      </c>
      <c r="AD81" s="146"/>
      <c r="AE81" s="146"/>
    </row>
    <row r="82" spans="2:31">
      <c r="B82" s="20" t="s">
        <v>329</v>
      </c>
      <c r="C82" s="153"/>
      <c r="D82" s="153"/>
      <c r="E82" s="153"/>
      <c r="F82" s="153"/>
      <c r="G82" s="172">
        <f>G28/G12</f>
        <v>1.3333333333333334E-4</v>
      </c>
      <c r="H82" s="172">
        <f t="shared" ref="H82:P82" si="191">H28/H12</f>
        <v>0.2857142857142857</v>
      </c>
      <c r="I82" s="172">
        <f t="shared" si="191"/>
        <v>0.23749999999999999</v>
      </c>
      <c r="J82" s="172">
        <f t="shared" si="191"/>
        <v>0.25236842105263158</v>
      </c>
      <c r="K82" s="172">
        <f t="shared" si="191"/>
        <v>0.13953488372093023</v>
      </c>
      <c r="L82" s="172">
        <f t="shared" si="191"/>
        <v>0.27672955974842767</v>
      </c>
      <c r="M82" s="172">
        <f t="shared" si="191"/>
        <v>0.84444444444444444</v>
      </c>
      <c r="N82" s="172">
        <f t="shared" si="191"/>
        <v>0.34951456310679613</v>
      </c>
      <c r="O82" s="172">
        <f t="shared" si="191"/>
        <v>0.11355311355311355</v>
      </c>
      <c r="P82" s="172">
        <f t="shared" si="191"/>
        <v>0.14569536423841059</v>
      </c>
      <c r="Q82" s="118">
        <f t="shared" si="182"/>
        <v>1.1757645103379764</v>
      </c>
      <c r="R82" s="20"/>
      <c r="S82" s="153">
        <f t="shared" ref="S82:AB82" si="192">S28/S12</f>
        <v>0.14569536423841059</v>
      </c>
      <c r="T82" s="153">
        <f t="shared" si="192"/>
        <v>0.14569536423841059</v>
      </c>
      <c r="U82" s="153">
        <f t="shared" si="192"/>
        <v>0.14569536423841059</v>
      </c>
      <c r="V82" s="153">
        <f t="shared" si="192"/>
        <v>0.14569536423841059</v>
      </c>
      <c r="W82" s="153">
        <f t="shared" si="192"/>
        <v>0.14569536423841062</v>
      </c>
      <c r="X82" s="153">
        <f t="shared" si="192"/>
        <v>0.14569536423841062</v>
      </c>
      <c r="Y82" s="153">
        <f t="shared" si="192"/>
        <v>0.14569536423841062</v>
      </c>
      <c r="Z82" s="153">
        <f t="shared" si="192"/>
        <v>0.14569536423841062</v>
      </c>
      <c r="AA82" s="153">
        <f t="shared" si="192"/>
        <v>0.14569536423841059</v>
      </c>
      <c r="AB82" s="153">
        <f t="shared" si="192"/>
        <v>0.14569536423841059</v>
      </c>
      <c r="AC82" s="138">
        <f t="shared" si="184"/>
        <v>0.44517826363531077</v>
      </c>
      <c r="AD82" s="146"/>
      <c r="AE82" s="146"/>
    </row>
    <row r="83" spans="2:31">
      <c r="B83" s="20" t="s">
        <v>330</v>
      </c>
      <c r="C83" s="153"/>
      <c r="D83" s="153"/>
      <c r="E83" s="153"/>
      <c r="F83" s="164">
        <f>F12+F13-F10</f>
        <v>0</v>
      </c>
      <c r="G83" s="164">
        <f>G12+G13-G10</f>
        <v>-29.5</v>
      </c>
      <c r="H83" s="164">
        <f t="shared" ref="H83:P83" si="193">H12+H13-H10</f>
        <v>-29</v>
      </c>
      <c r="I83" s="164">
        <f t="shared" si="193"/>
        <v>-24</v>
      </c>
      <c r="J83" s="164">
        <f t="shared" si="193"/>
        <v>-91</v>
      </c>
      <c r="K83" s="164">
        <f t="shared" si="193"/>
        <v>-350.76</v>
      </c>
      <c r="L83" s="164">
        <f t="shared" si="193"/>
        <v>-424</v>
      </c>
      <c r="M83" s="164">
        <f t="shared" si="193"/>
        <v>-155</v>
      </c>
      <c r="N83" s="164">
        <f t="shared" si="193"/>
        <v>-62</v>
      </c>
      <c r="O83" s="164">
        <f t="shared" si="193"/>
        <v>223</v>
      </c>
      <c r="P83" s="164">
        <f t="shared" si="193"/>
        <v>393</v>
      </c>
      <c r="Q83" s="118">
        <f t="shared" si="182"/>
        <v>-2.3333749186421855</v>
      </c>
      <c r="R83" s="20"/>
      <c r="S83" s="164">
        <f t="shared" ref="S83:AB83" si="194">S12+S13-S10</f>
        <v>451.95</v>
      </c>
      <c r="T83" s="164">
        <f t="shared" si="194"/>
        <v>519.74249999999995</v>
      </c>
      <c r="U83" s="164">
        <f t="shared" si="194"/>
        <v>597.70387499999981</v>
      </c>
      <c r="V83" s="164">
        <f t="shared" si="194"/>
        <v>687.35945624999977</v>
      </c>
      <c r="W83" s="164">
        <f t="shared" si="194"/>
        <v>790.46337468749971</v>
      </c>
      <c r="X83" s="164">
        <f t="shared" si="194"/>
        <v>909.03288089062448</v>
      </c>
      <c r="Y83" s="164">
        <f t="shared" si="194"/>
        <v>1045.3878130242181</v>
      </c>
      <c r="Z83" s="164">
        <f t="shared" si="194"/>
        <v>1202.1959849778509</v>
      </c>
      <c r="AA83" s="164">
        <f t="shared" si="194"/>
        <v>1382.5253827245283</v>
      </c>
      <c r="AB83" s="164">
        <f t="shared" si="194"/>
        <v>1589.9041901332071</v>
      </c>
      <c r="AC83" s="138">
        <f t="shared" si="184"/>
        <v>-2.2334858011669354</v>
      </c>
      <c r="AD83" s="146"/>
      <c r="AE83" s="146"/>
    </row>
    <row r="84" spans="2:31" ht="12" customHeight="1">
      <c r="B84" s="20" t="s">
        <v>325</v>
      </c>
      <c r="C84" s="20"/>
      <c r="D84" s="20"/>
      <c r="E84" s="20"/>
      <c r="F84" s="20"/>
      <c r="G84" s="153">
        <f t="shared" ref="G84:P84" si="195">G37/G17</f>
        <v>0.29901960784313725</v>
      </c>
      <c r="H84" s="153">
        <f t="shared" si="195"/>
        <v>0.32142857142857145</v>
      </c>
      <c r="I84" s="153">
        <f t="shared" si="195"/>
        <v>0.30935251798561153</v>
      </c>
      <c r="J84" s="153">
        <f t="shared" si="195"/>
        <v>0.31714285714285712</v>
      </c>
      <c r="K84" s="153">
        <f t="shared" si="195"/>
        <v>0.34406438631790742</v>
      </c>
      <c r="L84" s="153">
        <f t="shared" si="195"/>
        <v>0.19963702359346641</v>
      </c>
      <c r="M84" s="153">
        <f t="shared" si="195"/>
        <v>0.5092592592592593</v>
      </c>
      <c r="N84" s="153">
        <f t="shared" si="195"/>
        <v>0.54706927175843689</v>
      </c>
      <c r="O84" s="153">
        <f t="shared" si="195"/>
        <v>0.52103559870550165</v>
      </c>
      <c r="P84" s="153">
        <f t="shared" si="195"/>
        <v>0.65170278637770895</v>
      </c>
      <c r="Q84" s="118">
        <f t="shared" si="182"/>
        <v>9.0421571592820271E-2</v>
      </c>
      <c r="R84" s="20"/>
      <c r="S84" s="153">
        <f t="shared" ref="S84:AB84" si="196">S37/S17</f>
        <v>0.65170278637770895</v>
      </c>
      <c r="T84" s="153">
        <f t="shared" si="196"/>
        <v>0.65170278637770895</v>
      </c>
      <c r="U84" s="153">
        <f t="shared" si="196"/>
        <v>0.65170278637770895</v>
      </c>
      <c r="V84" s="153">
        <f t="shared" si="196"/>
        <v>0.65170278637770895</v>
      </c>
      <c r="W84" s="153">
        <f t="shared" si="196"/>
        <v>0.65170278637770895</v>
      </c>
      <c r="X84" s="153">
        <f t="shared" si="196"/>
        <v>0.65170278637770906</v>
      </c>
      <c r="Y84" s="153">
        <f t="shared" si="196"/>
        <v>0.65170278637770906</v>
      </c>
      <c r="Z84" s="153">
        <f t="shared" si="196"/>
        <v>0.65170278637770906</v>
      </c>
      <c r="AA84" s="153">
        <f t="shared" si="196"/>
        <v>0.65170278637770906</v>
      </c>
      <c r="AB84" s="153">
        <f t="shared" si="196"/>
        <v>0.65170278637770906</v>
      </c>
      <c r="AC84" s="138">
        <f t="shared" si="184"/>
        <v>4.1856462666223226E-2</v>
      </c>
      <c r="AD84" s="20"/>
      <c r="AE84" s="20"/>
    </row>
    <row r="85" spans="2:31">
      <c r="B85" s="20" t="s">
        <v>326</v>
      </c>
      <c r="C85" s="20"/>
      <c r="D85" s="20"/>
      <c r="E85" s="20"/>
      <c r="F85" s="20"/>
      <c r="G85" s="153">
        <f t="shared" ref="G85:P85" si="197">G37/G24</f>
        <v>9.0370370370370365E-2</v>
      </c>
      <c r="H85" s="153">
        <f t="shared" si="197"/>
        <v>9.2664092664092659E-2</v>
      </c>
      <c r="I85" s="153">
        <f t="shared" si="197"/>
        <v>9.0621707060063228E-2</v>
      </c>
      <c r="J85" s="153">
        <f t="shared" si="197"/>
        <v>8.6046511627906982E-2</v>
      </c>
      <c r="K85" s="153">
        <f t="shared" si="197"/>
        <v>9.6774193548387094E-2</v>
      </c>
      <c r="L85" s="153">
        <f t="shared" si="197"/>
        <v>5.5611729019211326E-2</v>
      </c>
      <c r="M85" s="153">
        <f t="shared" si="197"/>
        <v>0.12238540275923454</v>
      </c>
      <c r="N85" s="153">
        <f t="shared" si="197"/>
        <v>0.11208151382823872</v>
      </c>
      <c r="O85" s="153">
        <f t="shared" si="197"/>
        <v>0.1008140262993112</v>
      </c>
      <c r="P85" s="153">
        <f t="shared" si="197"/>
        <v>0.11073119410836402</v>
      </c>
      <c r="Q85" s="118">
        <f t="shared" si="182"/>
        <v>2.2833350349084292E-2</v>
      </c>
      <c r="R85" s="20"/>
      <c r="S85" s="153">
        <f t="shared" ref="S85:AB85" si="198">S37/S24</f>
        <v>0.11073119410836403</v>
      </c>
      <c r="T85" s="153">
        <f t="shared" si="198"/>
        <v>0.11073119410836403</v>
      </c>
      <c r="U85" s="153">
        <f t="shared" si="198"/>
        <v>0.11073119410836403</v>
      </c>
      <c r="V85" s="153">
        <f t="shared" si="198"/>
        <v>0.11073119410836402</v>
      </c>
      <c r="W85" s="153">
        <f t="shared" si="198"/>
        <v>0.11073119410836402</v>
      </c>
      <c r="X85" s="153">
        <f t="shared" si="198"/>
        <v>0.11073119410836403</v>
      </c>
      <c r="Y85" s="153">
        <f t="shared" si="198"/>
        <v>0.11073119410836404</v>
      </c>
      <c r="Z85" s="153">
        <f t="shared" si="198"/>
        <v>0.11073119410836403</v>
      </c>
      <c r="AA85" s="153">
        <f t="shared" si="198"/>
        <v>0.11073119410836403</v>
      </c>
      <c r="AB85" s="153">
        <f t="shared" si="198"/>
        <v>0.11073119410836403</v>
      </c>
      <c r="AC85" s="138">
        <f t="shared" si="184"/>
        <v>1.075155209277856E-2</v>
      </c>
      <c r="AD85" s="20"/>
      <c r="AE85" s="20"/>
    </row>
    <row r="86" spans="2:31">
      <c r="B86" s="20" t="s">
        <v>352</v>
      </c>
      <c r="C86" s="20"/>
      <c r="D86" s="20"/>
      <c r="E86" s="153"/>
      <c r="F86" s="153"/>
      <c r="G86" s="153">
        <f t="shared" ref="G86:O86" si="199">G24/G17</f>
        <v>3.3088235294117645</v>
      </c>
      <c r="H86" s="153">
        <f t="shared" si="199"/>
        <v>3.46875</v>
      </c>
      <c r="I86" s="153">
        <f t="shared" si="199"/>
        <v>3.4136690647482015</v>
      </c>
      <c r="J86" s="153">
        <f t="shared" si="199"/>
        <v>3.6857142857142855</v>
      </c>
      <c r="K86" s="153">
        <f t="shared" si="199"/>
        <v>3.5553319919517103</v>
      </c>
      <c r="L86" s="153">
        <f t="shared" si="199"/>
        <v>3.5898366606170597</v>
      </c>
      <c r="M86" s="153">
        <f t="shared" si="199"/>
        <v>4.1611111111111114</v>
      </c>
      <c r="N86" s="153">
        <f t="shared" si="199"/>
        <v>4.8809946714031973</v>
      </c>
      <c r="O86" s="153">
        <f t="shared" si="199"/>
        <v>5.1682847896440132</v>
      </c>
      <c r="P86" s="153">
        <f>P24/P17</f>
        <v>5.8854489164086683</v>
      </c>
      <c r="Q86" s="118">
        <f t="shared" si="182"/>
        <v>6.6079406993005074E-2</v>
      </c>
      <c r="R86" s="20"/>
      <c r="S86" s="153">
        <f>S24/S17</f>
        <v>5.8854489164086683</v>
      </c>
      <c r="T86" s="153">
        <f t="shared" ref="T86:AB86" si="200">T24/T17</f>
        <v>5.8854489164086674</v>
      </c>
      <c r="U86" s="153">
        <f t="shared" si="200"/>
        <v>5.8854489164086683</v>
      </c>
      <c r="V86" s="153">
        <f t="shared" si="200"/>
        <v>5.8854489164086683</v>
      </c>
      <c r="W86" s="153">
        <f t="shared" si="200"/>
        <v>5.8854489164086683</v>
      </c>
      <c r="X86" s="153">
        <f t="shared" si="200"/>
        <v>5.8854489164086683</v>
      </c>
      <c r="Y86" s="153">
        <f t="shared" si="200"/>
        <v>5.8854489164086683</v>
      </c>
      <c r="Z86" s="153">
        <f t="shared" si="200"/>
        <v>5.8854489164086692</v>
      </c>
      <c r="AA86" s="153">
        <f t="shared" si="200"/>
        <v>5.8854489164086692</v>
      </c>
      <c r="AB86" s="153">
        <f t="shared" si="200"/>
        <v>5.8854489164086692</v>
      </c>
      <c r="AC86" s="138">
        <f t="shared" si="184"/>
        <v>3.0774041859289447E-2</v>
      </c>
      <c r="AD86" s="20"/>
      <c r="AE86" s="20"/>
    </row>
    <row r="87" spans="2:31">
      <c r="B87" s="20"/>
      <c r="C87" s="20"/>
      <c r="D87" s="20"/>
      <c r="E87" s="20"/>
      <c r="F87" s="20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28"/>
      <c r="R87" s="20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28"/>
      <c r="AD87" s="20"/>
      <c r="AE87" s="20"/>
    </row>
    <row r="88" spans="2:31">
      <c r="B88" s="20" t="s">
        <v>338</v>
      </c>
      <c r="C88" s="20"/>
      <c r="D88" s="20"/>
      <c r="E88" s="166">
        <f t="shared" ref="E88:F88" si="201">E61*E39</f>
        <v>1</v>
      </c>
      <c r="F88" s="166">
        <f t="shared" si="201"/>
        <v>5.84</v>
      </c>
      <c r="G88" s="166">
        <f>G61*G39</f>
        <v>20.16</v>
      </c>
      <c r="H88" s="166">
        <f t="shared" ref="H88:P88" si="202">H61*H39</f>
        <v>20.16</v>
      </c>
      <c r="I88" s="166">
        <f t="shared" si="202"/>
        <v>31.537500000000001</v>
      </c>
      <c r="J88" s="166">
        <f t="shared" si="202"/>
        <v>37.844999999999999</v>
      </c>
      <c r="K88" s="166">
        <f t="shared" si="202"/>
        <v>44.274999999999999</v>
      </c>
      <c r="L88" s="166">
        <f t="shared" si="202"/>
        <v>44.274999999999999</v>
      </c>
      <c r="M88" s="166">
        <f t="shared" si="202"/>
        <v>75.914999999999992</v>
      </c>
      <c r="N88" s="166">
        <f t="shared" si="202"/>
        <v>88.567499999999995</v>
      </c>
      <c r="O88" s="166">
        <f t="shared" si="202"/>
        <v>96.443999999999988</v>
      </c>
      <c r="P88" s="166">
        <f t="shared" si="202"/>
        <v>133.27600000000001</v>
      </c>
      <c r="Q88" s="118">
        <f t="shared" si="182"/>
        <v>0.23350285211223865</v>
      </c>
      <c r="R88" s="20"/>
      <c r="S88" s="166">
        <f t="shared" ref="S88:AB88" si="203">S61*S39</f>
        <v>160.93077</v>
      </c>
      <c r="T88" s="166">
        <f t="shared" si="203"/>
        <v>194.32390477499999</v>
      </c>
      <c r="U88" s="166">
        <f t="shared" si="203"/>
        <v>234.64611501581251</v>
      </c>
      <c r="V88" s="166">
        <f t="shared" si="203"/>
        <v>283.33518388159359</v>
      </c>
      <c r="W88" s="166">
        <f t="shared" si="203"/>
        <v>342.12723453702426</v>
      </c>
      <c r="X88" s="166">
        <f t="shared" si="203"/>
        <v>413.11863570345685</v>
      </c>
      <c r="Y88" s="166">
        <f t="shared" si="203"/>
        <v>498.84075261192413</v>
      </c>
      <c r="Z88" s="166">
        <f t="shared" si="203"/>
        <v>602.35020877889849</v>
      </c>
      <c r="AA88" s="166">
        <f t="shared" si="203"/>
        <v>727.33787710051979</v>
      </c>
      <c r="AB88" s="166">
        <f t="shared" si="203"/>
        <v>878.26048659887761</v>
      </c>
      <c r="AC88" s="138">
        <f t="shared" si="184"/>
        <v>0.21974809421553765</v>
      </c>
      <c r="AD88" s="20"/>
      <c r="AE88" s="20"/>
    </row>
    <row r="89" spans="2:31">
      <c r="B89" s="20" t="s">
        <v>339</v>
      </c>
      <c r="C89" s="20"/>
      <c r="D89" s="20"/>
      <c r="E89" s="166">
        <f>(E88*0.17)+E88</f>
        <v>1.17</v>
      </c>
      <c r="F89" s="166">
        <f>(F88*0.17)+F88</f>
        <v>6.8327999999999998</v>
      </c>
      <c r="G89" s="166">
        <f t="shared" ref="G89:P89" si="204">(G88*0.17)+G88</f>
        <v>23.587199999999999</v>
      </c>
      <c r="H89" s="166">
        <f t="shared" si="204"/>
        <v>23.587199999999999</v>
      </c>
      <c r="I89" s="166">
        <f t="shared" si="204"/>
        <v>36.898875000000004</v>
      </c>
      <c r="J89" s="166">
        <f t="shared" si="204"/>
        <v>44.278649999999999</v>
      </c>
      <c r="K89" s="166">
        <f t="shared" si="204"/>
        <v>51.801749999999998</v>
      </c>
      <c r="L89" s="166">
        <f t="shared" si="204"/>
        <v>51.801749999999998</v>
      </c>
      <c r="M89" s="166">
        <f t="shared" si="204"/>
        <v>88.820549999999997</v>
      </c>
      <c r="N89" s="166">
        <f t="shared" si="204"/>
        <v>103.623975</v>
      </c>
      <c r="O89" s="166">
        <f t="shared" si="204"/>
        <v>112.83947999999998</v>
      </c>
      <c r="P89" s="166">
        <f t="shared" si="204"/>
        <v>155.93292000000002</v>
      </c>
      <c r="Q89" s="118">
        <f t="shared" si="182"/>
        <v>0.23350285211223887</v>
      </c>
      <c r="R89" s="20"/>
      <c r="S89" s="166">
        <f t="shared" ref="S89:AB89" si="205">(S88*0.17)+S88</f>
        <v>188.28900089999999</v>
      </c>
      <c r="T89" s="166">
        <f t="shared" si="205"/>
        <v>227.35896858675</v>
      </c>
      <c r="U89" s="166">
        <f t="shared" si="205"/>
        <v>274.53595456850064</v>
      </c>
      <c r="V89" s="166">
        <f t="shared" si="205"/>
        <v>331.5021651414645</v>
      </c>
      <c r="W89" s="166">
        <f t="shared" si="205"/>
        <v>400.28886440831837</v>
      </c>
      <c r="X89" s="166">
        <f t="shared" si="205"/>
        <v>483.34880377304449</v>
      </c>
      <c r="Y89" s="166">
        <f t="shared" si="205"/>
        <v>583.64368055595128</v>
      </c>
      <c r="Z89" s="166">
        <f t="shared" si="205"/>
        <v>704.74974427131122</v>
      </c>
      <c r="AA89" s="166">
        <f t="shared" si="205"/>
        <v>850.98531620760821</v>
      </c>
      <c r="AB89" s="166">
        <f t="shared" si="205"/>
        <v>1027.5647693206868</v>
      </c>
      <c r="AC89" s="138">
        <f t="shared" si="184"/>
        <v>0.21974809421553765</v>
      </c>
      <c r="AD89" s="20"/>
      <c r="AE89" s="20"/>
    </row>
    <row r="90" spans="2:31">
      <c r="B90" s="20" t="s">
        <v>340</v>
      </c>
      <c r="C90" s="20"/>
      <c r="D90" s="20"/>
      <c r="E90" s="20"/>
      <c r="F90" s="153" t="e">
        <f t="shared" ref="F90:M90" si="206">F89/F37</f>
        <v>#DIV/0!</v>
      </c>
      <c r="G90" s="153">
        <f t="shared" si="206"/>
        <v>0.38667540983606558</v>
      </c>
      <c r="H90" s="153">
        <f t="shared" si="206"/>
        <v>0.3276</v>
      </c>
      <c r="I90" s="153">
        <f t="shared" si="206"/>
        <v>0.42905668604651165</v>
      </c>
      <c r="J90" s="153">
        <f t="shared" si="206"/>
        <v>0.39890675675675674</v>
      </c>
      <c r="K90" s="153">
        <f t="shared" si="206"/>
        <v>0.30293421052631581</v>
      </c>
      <c r="L90" s="153">
        <f t="shared" si="206"/>
        <v>0.47092499999999998</v>
      </c>
      <c r="M90" s="153">
        <f t="shared" si="206"/>
        <v>0.32298381818181815</v>
      </c>
      <c r="N90" s="153">
        <f t="shared" ref="N90" si="207">N89/N37</f>
        <v>0.33644147727272727</v>
      </c>
      <c r="O90" s="153">
        <f t="shared" ref="O90" si="208">O89/O37</f>
        <v>0.35043316770186328</v>
      </c>
      <c r="P90" s="153">
        <f t="shared" ref="P90" si="209">P89/P37</f>
        <v>0.3703869833729217</v>
      </c>
      <c r="Q90" s="118">
        <f t="shared" si="182"/>
        <v>-4.7705011463482494E-3</v>
      </c>
      <c r="R90" s="20"/>
      <c r="S90" s="153">
        <f t="shared" ref="S90:AB90" si="210">S89/S37</f>
        <v>0.3889063325415677</v>
      </c>
      <c r="T90" s="153">
        <f t="shared" si="210"/>
        <v>0.40835164916864614</v>
      </c>
      <c r="U90" s="153">
        <f t="shared" si="210"/>
        <v>0.42876923162707853</v>
      </c>
      <c r="V90" s="153">
        <f t="shared" si="210"/>
        <v>0.45020769320843246</v>
      </c>
      <c r="W90" s="153">
        <f t="shared" si="210"/>
        <v>0.47271807786885411</v>
      </c>
      <c r="X90" s="153">
        <f t="shared" si="210"/>
        <v>0.49635398176229689</v>
      </c>
      <c r="Y90" s="153">
        <f t="shared" si="210"/>
        <v>0.52117168085041177</v>
      </c>
      <c r="Z90" s="153">
        <f t="shared" si="210"/>
        <v>0.54723026489293247</v>
      </c>
      <c r="AA90" s="153">
        <f t="shared" si="210"/>
        <v>0.57459177813757911</v>
      </c>
      <c r="AB90" s="153">
        <f t="shared" si="210"/>
        <v>0.60332136704445793</v>
      </c>
      <c r="AC90" s="138">
        <f t="shared" si="184"/>
        <v>2.3690173120765268E-2</v>
      </c>
      <c r="AD90" s="20"/>
      <c r="AE90" s="20"/>
    </row>
    <row r="91" spans="2:31">
      <c r="B91" s="20" t="s">
        <v>333</v>
      </c>
      <c r="C91" s="20"/>
      <c r="D91" s="20"/>
      <c r="E91" s="20"/>
      <c r="F91" s="153" t="e">
        <f>1-F90</f>
        <v>#DIV/0!</v>
      </c>
      <c r="G91" s="153">
        <f>1-G90</f>
        <v>0.61332459016393437</v>
      </c>
      <c r="H91" s="153">
        <f t="shared" ref="H91:P91" si="211">1-H90</f>
        <v>0.6724</v>
      </c>
      <c r="I91" s="153">
        <f t="shared" si="211"/>
        <v>0.5709433139534883</v>
      </c>
      <c r="J91" s="153">
        <f t="shared" si="211"/>
        <v>0.6010932432432432</v>
      </c>
      <c r="K91" s="153">
        <f t="shared" si="211"/>
        <v>0.69706578947368425</v>
      </c>
      <c r="L91" s="153">
        <f t="shared" si="211"/>
        <v>0.52907499999999996</v>
      </c>
      <c r="M91" s="153">
        <f t="shared" si="211"/>
        <v>0.67701618181818191</v>
      </c>
      <c r="N91" s="153">
        <f t="shared" si="211"/>
        <v>0.66355852272727267</v>
      </c>
      <c r="O91" s="153">
        <f t="shared" si="211"/>
        <v>0.64956683229813672</v>
      </c>
      <c r="P91" s="153">
        <f t="shared" si="211"/>
        <v>0.62961301662707836</v>
      </c>
      <c r="Q91" s="118">
        <f t="shared" si="182"/>
        <v>2.9165855017161402E-3</v>
      </c>
      <c r="R91" s="20"/>
      <c r="S91" s="153">
        <f t="shared" ref="S91:AB91" si="212">1-S90</f>
        <v>0.6110936674584323</v>
      </c>
      <c r="T91" s="153">
        <f t="shared" si="212"/>
        <v>0.59164835083135392</v>
      </c>
      <c r="U91" s="153">
        <f t="shared" si="212"/>
        <v>0.57123076837292142</v>
      </c>
      <c r="V91" s="153">
        <f t="shared" si="212"/>
        <v>0.54979230679156754</v>
      </c>
      <c r="W91" s="153">
        <f t="shared" si="212"/>
        <v>0.52728192213114589</v>
      </c>
      <c r="X91" s="153">
        <f t="shared" si="212"/>
        <v>0.50364601823770316</v>
      </c>
      <c r="Y91" s="153">
        <f t="shared" si="212"/>
        <v>0.47882831914958823</v>
      </c>
      <c r="Z91" s="153">
        <f t="shared" si="212"/>
        <v>0.45276973510706753</v>
      </c>
      <c r="AA91" s="153">
        <f t="shared" si="212"/>
        <v>0.42540822186242089</v>
      </c>
      <c r="AB91" s="153">
        <f t="shared" si="212"/>
        <v>0.39667863295554207</v>
      </c>
      <c r="AC91" s="138">
        <f t="shared" si="184"/>
        <v>-2.2674138317396064E-2</v>
      </c>
      <c r="AD91" s="20"/>
      <c r="AE91" s="20"/>
    </row>
    <row r="92" spans="2:31">
      <c r="B92" s="20"/>
      <c r="C92" s="20"/>
      <c r="D92" s="20"/>
      <c r="E92" s="20"/>
      <c r="F92" s="20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28"/>
      <c r="R92" s="20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28"/>
      <c r="AD92" s="20"/>
      <c r="AE92" s="20"/>
    </row>
    <row r="93" spans="2:31">
      <c r="B93" s="20" t="s">
        <v>337</v>
      </c>
      <c r="C93" s="153"/>
      <c r="D93" s="153"/>
      <c r="E93" s="153"/>
      <c r="F93" s="153" t="e">
        <f>F30/F24</f>
        <v>#DIV/0!</v>
      </c>
      <c r="G93" s="153">
        <f>G30/G24</f>
        <v>0</v>
      </c>
      <c r="H93" s="153">
        <f t="shared" ref="H93:P93" si="213">H30/H24</f>
        <v>0</v>
      </c>
      <c r="I93" s="153">
        <f t="shared" si="213"/>
        <v>0</v>
      </c>
      <c r="J93" s="153">
        <f t="shared" si="213"/>
        <v>0</v>
      </c>
      <c r="K93" s="153">
        <f t="shared" si="213"/>
        <v>0</v>
      </c>
      <c r="L93" s="153">
        <f t="shared" si="213"/>
        <v>0</v>
      </c>
      <c r="M93" s="153">
        <f t="shared" si="213"/>
        <v>0</v>
      </c>
      <c r="N93" s="153">
        <f t="shared" si="213"/>
        <v>0</v>
      </c>
      <c r="O93" s="153">
        <f t="shared" si="213"/>
        <v>0</v>
      </c>
      <c r="P93" s="153">
        <f t="shared" si="213"/>
        <v>0</v>
      </c>
      <c r="Q93" s="118" t="e">
        <f t="shared" si="182"/>
        <v>#DIV/0!</v>
      </c>
      <c r="R93" s="20"/>
      <c r="S93" s="153">
        <f t="shared" ref="S93:AB93" si="214">S30/S24</f>
        <v>0</v>
      </c>
      <c r="T93" s="153">
        <f t="shared" si="214"/>
        <v>0</v>
      </c>
      <c r="U93" s="153">
        <f t="shared" si="214"/>
        <v>0</v>
      </c>
      <c r="V93" s="153">
        <f t="shared" si="214"/>
        <v>0</v>
      </c>
      <c r="W93" s="153">
        <f t="shared" si="214"/>
        <v>0</v>
      </c>
      <c r="X93" s="153">
        <f t="shared" si="214"/>
        <v>0</v>
      </c>
      <c r="Y93" s="153">
        <f t="shared" si="214"/>
        <v>0</v>
      </c>
      <c r="Z93" s="153">
        <f t="shared" si="214"/>
        <v>0</v>
      </c>
      <c r="AA93" s="153">
        <f t="shared" si="214"/>
        <v>0</v>
      </c>
      <c r="AB93" s="153">
        <f t="shared" si="214"/>
        <v>0</v>
      </c>
      <c r="AC93" s="138" t="e">
        <f t="shared" si="184"/>
        <v>#DIV/0!</v>
      </c>
      <c r="AD93" s="20"/>
      <c r="AE93" s="20"/>
    </row>
    <row r="94" spans="2:31">
      <c r="B94" s="20" t="s">
        <v>334</v>
      </c>
      <c r="C94" s="153"/>
      <c r="D94" s="153"/>
      <c r="E94" s="153"/>
      <c r="F94" s="153" t="e">
        <f>F31/F24</f>
        <v>#DIV/0!</v>
      </c>
      <c r="G94" s="153">
        <f>G31/G24</f>
        <v>0</v>
      </c>
      <c r="H94" s="153">
        <f t="shared" ref="H94:P94" si="215">H31/H24</f>
        <v>0</v>
      </c>
      <c r="I94" s="153">
        <f t="shared" si="215"/>
        <v>0</v>
      </c>
      <c r="J94" s="153">
        <f t="shared" si="215"/>
        <v>0</v>
      </c>
      <c r="K94" s="153">
        <f t="shared" si="215"/>
        <v>0</v>
      </c>
      <c r="L94" s="153">
        <f t="shared" si="215"/>
        <v>0</v>
      </c>
      <c r="M94" s="153">
        <f t="shared" si="215"/>
        <v>0</v>
      </c>
      <c r="N94" s="153">
        <f t="shared" si="215"/>
        <v>0</v>
      </c>
      <c r="O94" s="153">
        <f t="shared" si="215"/>
        <v>0</v>
      </c>
      <c r="P94" s="153">
        <f t="shared" si="215"/>
        <v>0</v>
      </c>
      <c r="Q94" s="118" t="e">
        <f t="shared" si="182"/>
        <v>#DIV/0!</v>
      </c>
      <c r="R94" s="20"/>
      <c r="S94" s="153">
        <f t="shared" ref="S94:AB94" si="216">S31/S24</f>
        <v>0</v>
      </c>
      <c r="T94" s="153">
        <f t="shared" si="216"/>
        <v>0</v>
      </c>
      <c r="U94" s="153">
        <f t="shared" si="216"/>
        <v>0</v>
      </c>
      <c r="V94" s="153">
        <f t="shared" si="216"/>
        <v>0</v>
      </c>
      <c r="W94" s="153">
        <f t="shared" si="216"/>
        <v>0</v>
      </c>
      <c r="X94" s="153">
        <f t="shared" si="216"/>
        <v>0</v>
      </c>
      <c r="Y94" s="153">
        <f t="shared" si="216"/>
        <v>0</v>
      </c>
      <c r="Z94" s="153">
        <f t="shared" si="216"/>
        <v>0</v>
      </c>
      <c r="AA94" s="153">
        <f t="shared" si="216"/>
        <v>0</v>
      </c>
      <c r="AB94" s="153">
        <f t="shared" si="216"/>
        <v>0</v>
      </c>
      <c r="AC94" s="138" t="e">
        <f t="shared" si="184"/>
        <v>#DIV/0!</v>
      </c>
      <c r="AD94" s="20"/>
      <c r="AE94" s="20"/>
    </row>
    <row r="95" spans="2:31">
      <c r="B95" s="20"/>
      <c r="C95" s="20"/>
      <c r="D95" s="20"/>
      <c r="E95" s="20"/>
      <c r="F95" s="20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28"/>
      <c r="R95" s="20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28"/>
      <c r="AD95" s="20"/>
      <c r="AE95" s="20"/>
    </row>
    <row r="96" spans="2:31">
      <c r="B96" s="20" t="s">
        <v>358</v>
      </c>
      <c r="C96" s="20"/>
      <c r="D96" s="20"/>
      <c r="E96" s="20"/>
      <c r="F96" s="20"/>
      <c r="G96" s="153">
        <f>G26/G24</f>
        <v>0.82666666666666666</v>
      </c>
      <c r="H96" s="153">
        <f t="shared" ref="H96:P96" si="217">H26/H24</f>
        <v>0.82368082368082363</v>
      </c>
      <c r="I96" s="153">
        <f t="shared" si="217"/>
        <v>0.83140147523709163</v>
      </c>
      <c r="J96" s="153">
        <f t="shared" si="217"/>
        <v>0.8542635658914729</v>
      </c>
      <c r="K96" s="153">
        <f t="shared" si="217"/>
        <v>0.84267119411431801</v>
      </c>
      <c r="L96" s="153">
        <f t="shared" si="217"/>
        <v>0.88372093023255816</v>
      </c>
      <c r="M96" s="153">
        <f t="shared" si="217"/>
        <v>0.81486426346239427</v>
      </c>
      <c r="N96" s="153">
        <f t="shared" si="217"/>
        <v>0.81841339155749637</v>
      </c>
      <c r="O96" s="153">
        <f t="shared" si="217"/>
        <v>0.83469004383218537</v>
      </c>
      <c r="P96" s="153">
        <f t="shared" si="217"/>
        <v>0.82325092056812199</v>
      </c>
      <c r="Q96" s="118">
        <f t="shared" si="182"/>
        <v>-4.5995097043471933E-4</v>
      </c>
      <c r="R96" s="20"/>
      <c r="S96" s="153">
        <f t="shared" ref="S96:AB96" si="218">S26/S24</f>
        <v>0.8232509205681221</v>
      </c>
      <c r="T96" s="153">
        <f t="shared" si="218"/>
        <v>0.8232509205681221</v>
      </c>
      <c r="U96" s="153">
        <f t="shared" si="218"/>
        <v>0.8232509205681221</v>
      </c>
      <c r="V96" s="153">
        <f t="shared" si="218"/>
        <v>0.8232509205681221</v>
      </c>
      <c r="W96" s="153">
        <f t="shared" si="218"/>
        <v>0.8232509205681221</v>
      </c>
      <c r="X96" s="153">
        <f t="shared" si="218"/>
        <v>0.82325092056812221</v>
      </c>
      <c r="Y96" s="153">
        <f t="shared" si="218"/>
        <v>0.82325092056812221</v>
      </c>
      <c r="Z96" s="153">
        <f t="shared" si="218"/>
        <v>0.82325092056812221</v>
      </c>
      <c r="AA96" s="153">
        <f t="shared" si="218"/>
        <v>0.82325092056812221</v>
      </c>
      <c r="AB96" s="153">
        <f t="shared" si="218"/>
        <v>0.82325092056812221</v>
      </c>
      <c r="AC96" s="138">
        <f t="shared" si="184"/>
        <v>-2.1789788959292178E-4</v>
      </c>
      <c r="AD96" s="20"/>
      <c r="AE96" s="20"/>
    </row>
    <row r="97" spans="2:31">
      <c r="B97" s="20" t="str">
        <f>B32</f>
        <v>Top Expenses ( Raw material )</v>
      </c>
      <c r="C97" s="20"/>
      <c r="D97" s="20"/>
      <c r="E97" s="20"/>
      <c r="F97" s="20"/>
      <c r="G97" s="153">
        <f>G32/G24</f>
        <v>0.53481481481481485</v>
      </c>
      <c r="H97" s="153">
        <f t="shared" ref="H97:P97" si="219">H32/H24</f>
        <v>0.60617760617760619</v>
      </c>
      <c r="I97" s="153">
        <f t="shared" si="219"/>
        <v>0.59009483667017915</v>
      </c>
      <c r="J97" s="153">
        <f t="shared" si="219"/>
        <v>0.61240310077519378</v>
      </c>
      <c r="K97" s="153">
        <f t="shared" si="219"/>
        <v>0.59988681380871534</v>
      </c>
      <c r="L97" s="153">
        <f t="shared" si="219"/>
        <v>0.63801820020222444</v>
      </c>
      <c r="M97" s="153">
        <f t="shared" si="219"/>
        <v>0.56608811748998666</v>
      </c>
      <c r="N97" s="153">
        <f t="shared" si="219"/>
        <v>0.58406113537117899</v>
      </c>
      <c r="O97" s="153">
        <f t="shared" si="219"/>
        <v>0.55948653725735753</v>
      </c>
      <c r="P97" s="153">
        <f t="shared" si="219"/>
        <v>0.54497632824829034</v>
      </c>
      <c r="Q97" s="118">
        <f t="shared" si="182"/>
        <v>2.0935008604761052E-3</v>
      </c>
      <c r="R97" s="20"/>
      <c r="S97" s="153">
        <f t="shared" ref="S97:AB97" si="220">S32/S24</f>
        <v>0.54497632824829045</v>
      </c>
      <c r="T97" s="153">
        <f t="shared" si="220"/>
        <v>0.54497632824829034</v>
      </c>
      <c r="U97" s="153">
        <f t="shared" si="220"/>
        <v>0.54497632824829034</v>
      </c>
      <c r="V97" s="153">
        <f t="shared" si="220"/>
        <v>0.54497632824829034</v>
      </c>
      <c r="W97" s="153">
        <f t="shared" si="220"/>
        <v>0.54497632824829034</v>
      </c>
      <c r="X97" s="153">
        <f t="shared" si="220"/>
        <v>0.54497632824829034</v>
      </c>
      <c r="Y97" s="153">
        <f t="shared" si="220"/>
        <v>0.54497632824829034</v>
      </c>
      <c r="Z97" s="153">
        <f t="shared" si="220"/>
        <v>0.54497632824829034</v>
      </c>
      <c r="AA97" s="153">
        <f t="shared" si="220"/>
        <v>0.54497632824829034</v>
      </c>
      <c r="AB97" s="153">
        <f t="shared" si="220"/>
        <v>0.54497632824829023</v>
      </c>
      <c r="AC97" s="138">
        <f t="shared" si="184"/>
        <v>9.9111255780170993E-4</v>
      </c>
      <c r="AD97" s="20"/>
      <c r="AE97" s="20"/>
    </row>
    <row r="98" spans="2:31">
      <c r="B98" s="20" t="str">
        <f>B33</f>
        <v>2nd highest Expenses Comp. ( Empl )</v>
      </c>
      <c r="C98" s="20"/>
      <c r="D98" s="20"/>
      <c r="E98" s="20"/>
      <c r="F98" s="20"/>
      <c r="G98" s="153">
        <f>G33/G24</f>
        <v>8.2962962962962961E-2</v>
      </c>
      <c r="H98" s="153">
        <f t="shared" ref="H98:P98" si="221">H33/H24</f>
        <v>8.6229086229086233E-2</v>
      </c>
      <c r="I98" s="153">
        <f t="shared" si="221"/>
        <v>8.956796628029505E-2</v>
      </c>
      <c r="J98" s="153">
        <f t="shared" si="221"/>
        <v>8.4496124031007758E-2</v>
      </c>
      <c r="K98" s="153">
        <f t="shared" si="221"/>
        <v>9.2812676853423884E-2</v>
      </c>
      <c r="L98" s="153">
        <f t="shared" si="221"/>
        <v>0.11172901921132457</v>
      </c>
      <c r="M98" s="153">
        <f t="shared" si="221"/>
        <v>0.11214953271028037</v>
      </c>
      <c r="N98" s="153">
        <f t="shared" si="221"/>
        <v>0.10553129548762737</v>
      </c>
      <c r="O98" s="153">
        <f t="shared" si="221"/>
        <v>0.10206637445209768</v>
      </c>
      <c r="P98" s="153">
        <f t="shared" si="221"/>
        <v>9.863229879011047E-2</v>
      </c>
      <c r="Q98" s="118">
        <f t="shared" si="182"/>
        <v>1.9408668645794602E-2</v>
      </c>
      <c r="R98" s="20"/>
      <c r="S98" s="153">
        <f t="shared" ref="S98:AB98" si="222">S33/S24</f>
        <v>9.863229879011047E-2</v>
      </c>
      <c r="T98" s="153">
        <f t="shared" si="222"/>
        <v>9.863229879011047E-2</v>
      </c>
      <c r="U98" s="153">
        <f t="shared" si="222"/>
        <v>9.8632298790110456E-2</v>
      </c>
      <c r="V98" s="153">
        <f t="shared" si="222"/>
        <v>9.8632298790110456E-2</v>
      </c>
      <c r="W98" s="153">
        <f t="shared" si="222"/>
        <v>9.8632298790110456E-2</v>
      </c>
      <c r="X98" s="153">
        <f t="shared" si="222"/>
        <v>9.863229879011047E-2</v>
      </c>
      <c r="Y98" s="153">
        <f t="shared" si="222"/>
        <v>9.863229879011047E-2</v>
      </c>
      <c r="Z98" s="153">
        <f t="shared" si="222"/>
        <v>9.863229879011047E-2</v>
      </c>
      <c r="AA98" s="153">
        <f t="shared" si="222"/>
        <v>9.863229879011047E-2</v>
      </c>
      <c r="AB98" s="153">
        <f t="shared" si="222"/>
        <v>9.863229879011047E-2</v>
      </c>
      <c r="AC98" s="138">
        <f t="shared" si="184"/>
        <v>9.1470813375944537E-3</v>
      </c>
      <c r="AD98" s="20"/>
      <c r="AE98" s="20"/>
    </row>
    <row r="99" spans="2:31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128"/>
      <c r="R99" s="128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39"/>
      <c r="AD99" s="20"/>
      <c r="AE99" s="20"/>
    </row>
    <row r="100" spans="2:31">
      <c r="B100" s="108" t="s">
        <v>244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3"/>
      <c r="R100" s="23"/>
      <c r="S100" s="122" t="s">
        <v>66</v>
      </c>
      <c r="T100" s="20"/>
      <c r="U100" s="20"/>
      <c r="V100" s="20"/>
      <c r="W100" s="20"/>
      <c r="X100" s="20"/>
      <c r="Y100" s="20"/>
      <c r="Z100" s="20"/>
      <c r="AA100" s="20"/>
      <c r="AB100" s="20"/>
      <c r="AC100" s="137"/>
      <c r="AD100" s="20"/>
      <c r="AE100" s="20"/>
    </row>
    <row r="101" spans="2:31">
      <c r="B101" s="23" t="s">
        <v>281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5"/>
      <c r="Q101" s="161">
        <f>AVERAGE(G46:P46)</f>
        <v>9.7768733809012272</v>
      </c>
      <c r="R101" s="23"/>
      <c r="S101" s="134"/>
      <c r="T101" s="20"/>
      <c r="U101" s="20"/>
      <c r="V101" s="20"/>
      <c r="W101" s="20"/>
      <c r="X101" s="20"/>
      <c r="Y101" s="20"/>
      <c r="Z101" s="20"/>
      <c r="AA101" s="20"/>
      <c r="AB101" s="20"/>
      <c r="AC101" s="137"/>
      <c r="AD101" s="20"/>
      <c r="AE101" s="20"/>
    </row>
    <row r="102" spans="2:31">
      <c r="B102" s="20" t="s">
        <v>25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40">
        <f>S102+T102</f>
        <v>11.953547534791333</v>
      </c>
      <c r="S102" s="133">
        <f>PV($C$1, ($AB$3-$S$3), 0, -AB46)</f>
        <v>1.3717185695662186</v>
      </c>
      <c r="T102" s="133">
        <f>PV($C$1, ($AB$3-$S$3), 0, -AE46)</f>
        <v>10.581828965225114</v>
      </c>
      <c r="U102" s="20"/>
      <c r="V102" s="20"/>
      <c r="W102" s="20"/>
      <c r="X102" s="20"/>
      <c r="Y102" s="20"/>
      <c r="Z102" s="20"/>
      <c r="AA102" s="20"/>
      <c r="AB102" s="20"/>
      <c r="AC102" s="137"/>
      <c r="AD102" s="20"/>
      <c r="AE102" s="20"/>
    </row>
    <row r="103" spans="2:31">
      <c r="B103" s="20" t="s">
        <v>273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40">
        <f t="shared" ref="R103:R121" si="223">S103+T103</f>
        <v>46.877213729074803</v>
      </c>
      <c r="S103" s="133">
        <f>PV($C$1, ($AB$3-$S$3), 0, -AB47)</f>
        <v>5.3793523951397315</v>
      </c>
      <c r="T103" s="133">
        <f>PV($C$1, ($AB$3-$S$3), 0, -AE47)</f>
        <v>41.49786133393507</v>
      </c>
      <c r="U103" s="20"/>
      <c r="V103" s="20"/>
      <c r="W103" s="20"/>
      <c r="X103" s="20"/>
      <c r="Y103" s="20"/>
      <c r="Z103" s="20"/>
      <c r="AA103" s="20"/>
      <c r="AB103" s="20"/>
      <c r="AC103" s="137"/>
      <c r="AD103" s="20"/>
      <c r="AE103" s="20"/>
    </row>
    <row r="104" spans="2:31">
      <c r="B104" s="20" t="s">
        <v>274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40">
        <f t="shared" si="223"/>
        <v>45.429159277116703</v>
      </c>
      <c r="S104" s="133">
        <f>PV($C$1, ($AB$3-$S$3), 0, -AB48)</f>
        <v>5.2131822121281468</v>
      </c>
      <c r="T104" s="133">
        <f>PV($C$1, ($AB$3-$S$3), 0, -AE48)</f>
        <v>40.215977064988557</v>
      </c>
      <c r="U104" s="20"/>
      <c r="V104" s="20"/>
      <c r="W104" s="20"/>
      <c r="X104" s="20"/>
      <c r="Y104" s="20"/>
      <c r="Z104" s="20"/>
      <c r="AA104" s="20"/>
      <c r="AB104" s="20"/>
      <c r="AC104" s="137"/>
      <c r="AD104" s="20"/>
      <c r="AE104" s="20"/>
    </row>
    <row r="105" spans="2:31">
      <c r="B105" s="20" t="s">
        <v>275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40">
        <f t="shared" si="223"/>
        <v>1.4480544519580949</v>
      </c>
      <c r="S105" s="133">
        <f>PV($C$1, ($AB$3-$S$3), 0, -AB49)</f>
        <v>0.16617018301158465</v>
      </c>
      <c r="T105" s="133">
        <f>PV($C$1, ($AB$3-$S$3), 0, -AE49)</f>
        <v>1.2818842689465102</v>
      </c>
      <c r="U105" s="20"/>
      <c r="V105" s="20"/>
      <c r="W105" s="20"/>
      <c r="X105" s="20"/>
      <c r="Y105" s="20"/>
      <c r="Z105" s="20"/>
      <c r="AA105" s="20"/>
      <c r="AB105" s="20"/>
      <c r="AC105" s="137"/>
      <c r="AD105" s="20"/>
      <c r="AE105" s="20"/>
    </row>
    <row r="106" spans="2:31">
      <c r="B106" s="20" t="s">
        <v>276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40">
        <f t="shared" si="223"/>
        <v>4.2873769067778884</v>
      </c>
      <c r="S106" s="133">
        <f>PV($C$1, ($AB$3-$S$3), 0, -AB55)</f>
        <v>0.49199407126959382</v>
      </c>
      <c r="T106" s="133">
        <f>PV($C$1, ($AB$3-$S$3), 0, -AE55)</f>
        <v>3.795382835508295</v>
      </c>
      <c r="U106" s="20"/>
      <c r="V106" s="20"/>
      <c r="W106" s="20"/>
      <c r="X106" s="20"/>
      <c r="Y106" s="20"/>
      <c r="Z106" s="20"/>
      <c r="AA106" s="20"/>
      <c r="AB106" s="20"/>
      <c r="AC106" s="137"/>
      <c r="AD106" s="20"/>
      <c r="AE106" s="20"/>
    </row>
    <row r="107" spans="2:31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40"/>
      <c r="S107" s="133"/>
      <c r="T107" s="20"/>
      <c r="U107" s="20"/>
      <c r="V107" s="20"/>
      <c r="W107" s="20"/>
      <c r="X107" s="20"/>
      <c r="Y107" s="20"/>
      <c r="Z107" s="20"/>
      <c r="AA107" s="20"/>
      <c r="AB107" s="20"/>
      <c r="AC107" s="137"/>
      <c r="AD107" s="20"/>
      <c r="AE107" s="20"/>
    </row>
    <row r="108" spans="2:31">
      <c r="B108" s="20" t="s">
        <v>271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40">
        <f t="shared" si="223"/>
        <v>45.42915927711671</v>
      </c>
      <c r="S108" s="133">
        <f>PV($C$1, ($AB$3-$S$3), 0, -AB51)</f>
        <v>5.2131822121281477</v>
      </c>
      <c r="T108" s="133">
        <f>PV($C$1, ($AB$3-$S$3), 0, -$AE$51)</f>
        <v>40.215977064988564</v>
      </c>
      <c r="U108" s="20"/>
      <c r="V108" s="20"/>
      <c r="W108" s="20"/>
      <c r="X108" s="20"/>
      <c r="Y108" s="20"/>
      <c r="Z108" s="20"/>
      <c r="AA108" s="20"/>
      <c r="AB108" s="20"/>
      <c r="AC108" s="137"/>
      <c r="AD108" s="20"/>
      <c r="AE108" s="20"/>
    </row>
    <row r="109" spans="2:31">
      <c r="B109" s="20" t="s">
        <v>272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40">
        <f t="shared" si="223"/>
        <v>25.752654665215534</v>
      </c>
      <c r="S109" s="133">
        <f>PV($C$1, ($AB$3-$S$3), 0, -AB52)</f>
        <v>2.9552226665001435</v>
      </c>
      <c r="T109" s="133">
        <f>PV($C$1, ($AB$3-$S$3), 0, -$AE$52)</f>
        <v>22.797431998715389</v>
      </c>
      <c r="U109" s="20"/>
      <c r="V109" s="20"/>
      <c r="W109" s="20"/>
      <c r="X109" s="20"/>
      <c r="Y109" s="20"/>
      <c r="Z109" s="20"/>
      <c r="AA109" s="20"/>
      <c r="AB109" s="20"/>
      <c r="AC109" s="137"/>
      <c r="AD109" s="20"/>
      <c r="AE109" s="20"/>
    </row>
    <row r="110" spans="2:31">
      <c r="B110" s="20" t="s">
        <v>277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40">
        <f t="shared" si="223"/>
        <v>57.098774566426059</v>
      </c>
      <c r="S110" s="133">
        <f>PV($C$1, ($AB$3-$S$3), 0, -AB53)</f>
        <v>6.5523183928685649</v>
      </c>
      <c r="T110" s="133">
        <f>PV($C$1, ($AB$3-$S$3), 0, -$AE$53)</f>
        <v>50.546456173557495</v>
      </c>
      <c r="U110" s="20"/>
      <c r="V110" s="20"/>
      <c r="W110" s="20"/>
      <c r="X110" s="20"/>
      <c r="Y110" s="20"/>
      <c r="Z110" s="20"/>
      <c r="AA110" s="20"/>
      <c r="AB110" s="20"/>
      <c r="AC110" s="137"/>
      <c r="AD110" s="20"/>
      <c r="AE110" s="20"/>
    </row>
    <row r="111" spans="2:31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40"/>
      <c r="S111" s="133"/>
      <c r="T111" s="20"/>
      <c r="U111" s="20"/>
      <c r="V111" s="20"/>
      <c r="W111" s="20"/>
      <c r="X111" s="20"/>
      <c r="Y111" s="20"/>
      <c r="Z111" s="20"/>
      <c r="AA111" s="20"/>
      <c r="AB111" s="20"/>
      <c r="AC111" s="137"/>
      <c r="AD111" s="20"/>
      <c r="AE111" s="20"/>
    </row>
    <row r="112" spans="2:31">
      <c r="B112" s="20" t="s">
        <v>249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140">
        <f t="shared" si="223"/>
        <v>31.346119901210535</v>
      </c>
      <c r="S112" s="133">
        <f>PV($C$1, ($AB$3-$S$3), 0, -AB58)</f>
        <v>3.5970957263684218</v>
      </c>
      <c r="T112" s="133">
        <f>PV($C$1, ($AB$3-$S$3), 0, -AE58)</f>
        <v>27.749024174842113</v>
      </c>
      <c r="U112" s="20"/>
      <c r="V112" s="20"/>
      <c r="W112" s="20"/>
      <c r="X112" s="20"/>
      <c r="Y112" s="20"/>
      <c r="Z112" s="20"/>
      <c r="AA112" s="20"/>
      <c r="AB112" s="20"/>
      <c r="AC112" s="137"/>
      <c r="AD112" s="20"/>
      <c r="AE112" s="20"/>
    </row>
    <row r="113" spans="2:31">
      <c r="B113" s="20" t="s">
        <v>250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140">
        <f t="shared" si="223"/>
        <v>6.0529192332294697</v>
      </c>
      <c r="S113" s="133">
        <f>PV($C$1, ($AB$3-$S$3), 0, -AB59)</f>
        <v>1.0915100256643306</v>
      </c>
      <c r="T113" s="133">
        <f>PV($C$1, ($AB$3-$S$3), 0, -AE59)</f>
        <v>4.961409207565139</v>
      </c>
      <c r="U113" s="20"/>
      <c r="V113" s="20"/>
      <c r="W113" s="20"/>
      <c r="X113" s="20"/>
      <c r="Y113" s="20"/>
      <c r="Z113" s="20"/>
      <c r="AA113" s="20"/>
      <c r="AB113" s="20"/>
      <c r="AC113" s="137"/>
      <c r="AD113" s="20"/>
      <c r="AE113" s="20"/>
    </row>
    <row r="114" spans="2:31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40"/>
      <c r="S114" s="133"/>
      <c r="T114" s="133"/>
      <c r="U114" s="20"/>
      <c r="V114" s="20"/>
      <c r="W114" s="20"/>
      <c r="X114" s="20"/>
      <c r="Y114" s="20"/>
      <c r="Z114" s="20"/>
      <c r="AA114" s="20"/>
      <c r="AB114" s="20"/>
      <c r="AC114" s="137"/>
      <c r="AD114" s="20"/>
      <c r="AE114" s="20"/>
    </row>
    <row r="115" spans="2:31">
      <c r="B115" s="20" t="s">
        <v>294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140">
        <f t="shared" ref="R115" si="224">S115+T115</f>
        <v>889.09602737753573</v>
      </c>
      <c r="S115" s="133">
        <f>PV($C$1, ($AB$3-$S$3), 0, -AB12)</f>
        <v>102.02741297775002</v>
      </c>
      <c r="T115" s="133">
        <f>PV($C$1, ($AB$3-$S$3), 0, -AE12)</f>
        <v>787.0686143997857</v>
      </c>
      <c r="U115" s="20"/>
      <c r="V115" s="20"/>
      <c r="W115" s="20"/>
      <c r="X115" s="20"/>
      <c r="Y115" s="20"/>
      <c r="Z115" s="20"/>
      <c r="AA115" s="20"/>
      <c r="AB115" s="20"/>
      <c r="AC115" s="137"/>
      <c r="AD115" s="20"/>
      <c r="AE115" s="20"/>
    </row>
    <row r="116" spans="2:31">
      <c r="B116" s="20" t="s">
        <v>295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140">
        <f>S116+T116</f>
        <v>17.344830811110725</v>
      </c>
      <c r="S116" s="140">
        <f>S115/P39</f>
        <v>1.9903904209471326</v>
      </c>
      <c r="T116" s="140">
        <f>T115/P39</f>
        <v>15.354440390163592</v>
      </c>
      <c r="U116" s="20"/>
      <c r="V116" s="20"/>
      <c r="W116" s="20"/>
      <c r="X116" s="20"/>
      <c r="Y116" s="20"/>
      <c r="Z116" s="20"/>
      <c r="AA116" s="20"/>
      <c r="AB116" s="20"/>
      <c r="AC116" s="137"/>
      <c r="AD116" s="20"/>
      <c r="AE116" s="20"/>
    </row>
    <row r="117" spans="2:31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140"/>
      <c r="S117" s="140"/>
      <c r="T117" s="140"/>
      <c r="U117" s="20"/>
      <c r="V117" s="20"/>
      <c r="W117" s="20"/>
      <c r="X117" s="20"/>
      <c r="Y117" s="20"/>
      <c r="Z117" s="20"/>
      <c r="AA117" s="20"/>
      <c r="AB117" s="20"/>
      <c r="AC117" s="137"/>
      <c r="AD117" s="20"/>
      <c r="AE117" s="20"/>
    </row>
    <row r="118" spans="2:31">
      <c r="B118" s="108" t="s">
        <v>298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40"/>
      <c r="S118" s="133"/>
      <c r="T118" s="133"/>
      <c r="U118" s="20"/>
      <c r="V118" s="20"/>
      <c r="W118" s="20"/>
      <c r="X118" s="20"/>
      <c r="Y118" s="20"/>
      <c r="Z118" s="20"/>
      <c r="AA118" s="20"/>
      <c r="AB118" s="20"/>
      <c r="AC118" s="137"/>
      <c r="AD118" s="20"/>
      <c r="AE118" s="20"/>
    </row>
    <row r="119" spans="2:31">
      <c r="B119" s="20" t="s">
        <v>283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140">
        <f t="shared" ref="R119" si="225">S119+T119</f>
        <v>25.727138095801145</v>
      </c>
      <c r="S119" s="133">
        <f>PV($C$1, ($AB$3-$S$3), 0, -AB61)+PV($C$1, ($AA$3-$S$3), 0, -AB61)+PV($C$1, ($Z$3-$S$3), 0, -AB61)+PV($C$1, ($Y$3-$S$3), 0, -AB61)+PV($C$1, ($X$3-$S$3), 0, -AB61)+PV($C$1, ($W$3-$S$3), 0, -AB61)+PV($C$1, ($V$3-$S$3), 0, -AB61)+PV($C$1, ($U$3-$S$3), 0, -AB61)+PV($C$1, ($T$3-$S$3), 0, -AB61)+PV($C$1, ($S$3-$S$3), 0, -AB61)</f>
        <v>20.270519705091523</v>
      </c>
      <c r="T119" s="133">
        <f>PV($C$1, ($AB$3-$S$3), 0, -AE61)</f>
        <v>5.4566183907096226</v>
      </c>
      <c r="U119" s="20"/>
      <c r="V119" s="20"/>
      <c r="W119" s="20"/>
      <c r="X119" s="20"/>
      <c r="Y119" s="20"/>
      <c r="Z119" s="20"/>
      <c r="AA119" s="20"/>
      <c r="AB119" s="20"/>
      <c r="AC119" s="137"/>
      <c r="AD119" s="20"/>
      <c r="AE119" s="20"/>
    </row>
    <row r="120" spans="2:31">
      <c r="B120" s="23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140"/>
      <c r="S120" s="133"/>
      <c r="T120" s="133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>
      <c r="B121" s="20" t="s">
        <v>291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140">
        <f t="shared" si="223"/>
        <v>7765.8791008696862</v>
      </c>
      <c r="S121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6118.7686230529171</v>
      </c>
      <c r="T121" s="133">
        <f>PV($C$1, ($AB$3-$S$3), 0, -AE63)</f>
        <v>1647.1104778167696</v>
      </c>
      <c r="U121" s="20"/>
      <c r="V121" s="20"/>
      <c r="W121" s="20"/>
      <c r="X121" s="20"/>
      <c r="Y121" s="20"/>
      <c r="Z121" s="20"/>
      <c r="AA121" s="20"/>
      <c r="AB121" s="20"/>
      <c r="AC121" s="137"/>
      <c r="AD121" s="20"/>
      <c r="AE121" s="20"/>
    </row>
    <row r="122" spans="2:31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40"/>
      <c r="S122" s="133"/>
      <c r="T122" s="133"/>
      <c r="U122" s="20"/>
      <c r="V122" s="20"/>
      <c r="W122" s="20"/>
      <c r="X122" s="20"/>
      <c r="Y122" s="20"/>
      <c r="Z122" s="20"/>
      <c r="AA122" s="20"/>
      <c r="AB122" s="20"/>
      <c r="AC122" s="137"/>
      <c r="AD122" s="20"/>
      <c r="AE122" s="20"/>
    </row>
    <row r="123" spans="2:31">
      <c r="B123" s="20" t="s">
        <v>287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40">
        <f t="shared" ref="R123:R126" si="226">S123+T123</f>
        <v>37.44843041994563</v>
      </c>
      <c r="S123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29.505774949610394</v>
      </c>
      <c r="T123" s="133">
        <f>PV($C$1, ($AB$3-$S$3), 0, -AE65)</f>
        <v>7.9426554703352368</v>
      </c>
      <c r="U123" s="20"/>
      <c r="V123" s="20"/>
      <c r="W123" s="20"/>
      <c r="X123" s="20"/>
      <c r="Y123" s="20"/>
      <c r="Z123" s="20"/>
      <c r="AA123" s="20"/>
      <c r="AB123" s="20"/>
      <c r="AC123" s="137"/>
      <c r="AD123" s="20"/>
      <c r="AE123" s="20"/>
    </row>
    <row r="124" spans="2:31">
      <c r="B124" s="20" t="s">
        <v>288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140">
        <f t="shared" si="226"/>
        <v>60.794445586810482</v>
      </c>
      <c r="S124" s="133">
        <f>PV($C$1, ($AB$3-$S$3), 0, -AB66)+PV($C$1, ($AA$3-$S$3), 0, -AB66)+PV($C$1, ($Z$3-$S$3), 0, -AB66)+PV($C$1, ($Y$3-$S$3), 0, -AB66)+PV($C$1, ($X$3-$S$3), 0, -AB66)+PV($C$1, ($W$3-$S$3), 0, -AB66)+PV($C$1, ($V$3-$S$3), 0, -AB66)+PV($C$1, ($U$3-$S$3), 0, -AB66)+PV($C$1, ($T$3-$S$3), 0, -AB66)+PV($C$1, ($S$3-$S$3), 0, -AB66)</f>
        <v>47.900197940348534</v>
      </c>
      <c r="T124" s="133">
        <f>PV($C$1, ($AB$3-$S$3), 0, -AE66)</f>
        <v>12.894247646461952</v>
      </c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>
      <c r="B125" s="20" t="s">
        <v>289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140">
        <f t="shared" si="226"/>
        <v>-23.346015166864852</v>
      </c>
      <c r="S125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-18.394422990738136</v>
      </c>
      <c r="T125" s="133">
        <f>PV($C$1, ($AB$3-$S$3), 0, -AE67)</f>
        <v>-4.9515921761267156</v>
      </c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>
      <c r="B126" s="20" t="s">
        <v>290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0">
        <f t="shared" si="226"/>
        <v>-74.067307001474774</v>
      </c>
      <c r="S126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-58.357940960463623</v>
      </c>
      <c r="T126" s="133">
        <f>PV($C$1, ($AB$3-$S$3), 0, -AE68)</f>
        <v>-15.709366041011155</v>
      </c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40"/>
      <c r="S127" s="133"/>
      <c r="T127" s="133"/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>
      <c r="B128" s="20" t="s">
        <v>299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40">
        <f>S128+T128</f>
        <v>6.043892251320341</v>
      </c>
      <c r="S128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4.7620079823738308</v>
      </c>
      <c r="T128" s="133">
        <f>PV($C$1, ($AB$3-$S$3), 0, -AE69)</f>
        <v>1.2818842689465102</v>
      </c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121"/>
      <c r="T129" s="20"/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>
      <c r="B130" s="108" t="s">
        <v>251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>
      <c r="B131" s="20" t="s">
        <v>204</v>
      </c>
      <c r="C131" s="22">
        <v>0</v>
      </c>
      <c r="D131" s="22">
        <v>0</v>
      </c>
      <c r="E131" s="22">
        <v>0</v>
      </c>
      <c r="F131" s="22">
        <v>0</v>
      </c>
      <c r="G131" s="22">
        <v>310</v>
      </c>
      <c r="H131" s="22">
        <v>450</v>
      </c>
      <c r="I131" s="22">
        <v>120</v>
      </c>
      <c r="J131" s="22">
        <v>190</v>
      </c>
      <c r="K131" s="22">
        <v>200</v>
      </c>
      <c r="L131" s="22">
        <v>140</v>
      </c>
      <c r="M131" s="22">
        <v>150</v>
      </c>
      <c r="N131" s="22">
        <v>150</v>
      </c>
      <c r="O131" s="22">
        <v>210</v>
      </c>
      <c r="P131" s="22">
        <v>300</v>
      </c>
      <c r="Q131" s="118">
        <f t="shared" ref="Q131:Q135" si="227">((P131/G131)^(1/($H$2-$H$1) ))-1</f>
        <v>-3.6366848325607437E-3</v>
      </c>
      <c r="R131" s="31">
        <v>0.1</v>
      </c>
      <c r="S131" s="119">
        <f t="shared" ref="S131" si="228">P131*(1+$R131)</f>
        <v>330</v>
      </c>
      <c r="T131" s="119">
        <f t="shared" ref="T131:AB131" si="229">S131*(1+$R131)</f>
        <v>363.00000000000006</v>
      </c>
      <c r="U131" s="119">
        <f t="shared" si="229"/>
        <v>399.30000000000007</v>
      </c>
      <c r="V131" s="119">
        <f t="shared" si="229"/>
        <v>439.23000000000013</v>
      </c>
      <c r="W131" s="119">
        <f t="shared" si="229"/>
        <v>483.15300000000019</v>
      </c>
      <c r="X131" s="119">
        <f t="shared" si="229"/>
        <v>531.46830000000023</v>
      </c>
      <c r="Y131" s="119">
        <f t="shared" si="229"/>
        <v>584.61513000000025</v>
      </c>
      <c r="Z131" s="119">
        <f t="shared" si="229"/>
        <v>643.07664300000033</v>
      </c>
      <c r="AA131" s="119">
        <f t="shared" si="229"/>
        <v>707.38430730000039</v>
      </c>
      <c r="AB131" s="119">
        <f t="shared" si="229"/>
        <v>778.12273803000051</v>
      </c>
      <c r="AC131" s="138">
        <f t="shared" ref="AC131:AC135" si="230">((AB131/G131)^(1/($AB$3-$H$1) ))-1</f>
        <v>4.9629738918970379E-2</v>
      </c>
      <c r="AD131" s="31">
        <v>0.08</v>
      </c>
      <c r="AE131" s="127">
        <f t="shared" ref="AE131:AE136" si="231">(AB131*(1+AC131))/($C$1-AD131)</f>
        <v>5833.8626168953124</v>
      </c>
    </row>
    <row r="132" spans="2:31">
      <c r="B132" s="20" t="s">
        <v>42</v>
      </c>
      <c r="C132" s="25" t="e">
        <f t="shared" ref="C132:P132" si="232">C131/C46</f>
        <v>#DIV/0!</v>
      </c>
      <c r="D132" s="25" t="e">
        <f t="shared" si="232"/>
        <v>#DIV/0!</v>
      </c>
      <c r="E132" s="25" t="e">
        <f t="shared" si="232"/>
        <v>#DIV/0!</v>
      </c>
      <c r="F132" s="25" t="e">
        <f t="shared" si="232"/>
        <v>#DIV/0!</v>
      </c>
      <c r="G132" s="25">
        <f t="shared" si="232"/>
        <v>12.806557377049181</v>
      </c>
      <c r="H132" s="25">
        <f t="shared" si="232"/>
        <v>15.75</v>
      </c>
      <c r="I132" s="25">
        <f t="shared" si="232"/>
        <v>35.204651162790697</v>
      </c>
      <c r="J132" s="25">
        <f t="shared" si="232"/>
        <v>43.18648648648648</v>
      </c>
      <c r="K132" s="25">
        <f t="shared" si="232"/>
        <v>29.5906432748538</v>
      </c>
      <c r="L132" s="25">
        <f t="shared" si="232"/>
        <v>32.200000000000003</v>
      </c>
      <c r="M132" s="25">
        <f t="shared" si="232"/>
        <v>27.605454545454545</v>
      </c>
      <c r="N132" s="25">
        <f t="shared" si="232"/>
        <v>24.647727272727273</v>
      </c>
      <c r="O132" s="25">
        <f t="shared" si="232"/>
        <v>33.104347826086958</v>
      </c>
      <c r="P132" s="25">
        <f t="shared" si="232"/>
        <v>36.527315914489307</v>
      </c>
      <c r="Q132" s="118">
        <f t="shared" si="227"/>
        <v>0.12350795357068467</v>
      </c>
      <c r="R132" s="128"/>
      <c r="S132" s="119">
        <f t="shared" ref="S132:AB132" si="233">S131/S46</f>
        <v>40.180047505938241</v>
      </c>
      <c r="T132" s="119">
        <f t="shared" si="233"/>
        <v>44.198052256532065</v>
      </c>
      <c r="U132" s="119">
        <f t="shared" si="233"/>
        <v>48.617857482185279</v>
      </c>
      <c r="V132" s="119">
        <f t="shared" si="233"/>
        <v>53.479643230403802</v>
      </c>
      <c r="W132" s="119">
        <f t="shared" si="233"/>
        <v>58.827607553444203</v>
      </c>
      <c r="X132" s="119">
        <f t="shared" si="233"/>
        <v>64.710368308788631</v>
      </c>
      <c r="Y132" s="119">
        <f t="shared" si="233"/>
        <v>71.18140513966749</v>
      </c>
      <c r="Z132" s="119">
        <f t="shared" si="233"/>
        <v>78.29954565363424</v>
      </c>
      <c r="AA132" s="119">
        <f t="shared" si="233"/>
        <v>86.129500218997677</v>
      </c>
      <c r="AB132" s="119">
        <f t="shared" si="233"/>
        <v>94.74245024089744</v>
      </c>
      <c r="AC132" s="138">
        <f t="shared" si="230"/>
        <v>0.11107339406854067</v>
      </c>
      <c r="AD132" s="31">
        <v>0.08</v>
      </c>
      <c r="AE132" s="127">
        <f t="shared" si="231"/>
        <v>751.89868393945528</v>
      </c>
    </row>
    <row r="133" spans="2:31">
      <c r="B133" s="20" t="s">
        <v>259</v>
      </c>
      <c r="C133" s="25" t="e">
        <f t="shared" ref="C133:P133" si="234">C131/C48</f>
        <v>#DIV/0!</v>
      </c>
      <c r="D133" s="25" t="e">
        <f t="shared" si="234"/>
        <v>#DIV/0!</v>
      </c>
      <c r="E133" s="25" t="e">
        <f t="shared" si="234"/>
        <v>#DIV/0!</v>
      </c>
      <c r="F133" s="25" t="e">
        <f t="shared" si="234"/>
        <v>#DIV/0!</v>
      </c>
      <c r="G133" s="25">
        <f t="shared" si="234"/>
        <v>2.7031141868512112</v>
      </c>
      <c r="H133" s="25">
        <f t="shared" si="234"/>
        <v>3.3749999999999996</v>
      </c>
      <c r="I133" s="25">
        <f t="shared" si="234"/>
        <v>7.8030927835051553</v>
      </c>
      <c r="J133" s="25">
        <f t="shared" si="234"/>
        <v>10.535604395604397</v>
      </c>
      <c r="K133" s="25">
        <f t="shared" si="234"/>
        <v>8.5617597292724206</v>
      </c>
      <c r="L133" s="25">
        <f t="shared" si="234"/>
        <v>5.2944693572496258</v>
      </c>
      <c r="M133" s="25">
        <f t="shared" si="234"/>
        <v>9.2466504263093796</v>
      </c>
      <c r="N133" s="25">
        <f t="shared" si="234"/>
        <v>7.341876208897486</v>
      </c>
      <c r="O133" s="25">
        <f t="shared" si="234"/>
        <v>8.3604705882352945</v>
      </c>
      <c r="P133" s="25">
        <f t="shared" si="234"/>
        <v>9.6112500000000001</v>
      </c>
      <c r="Q133" s="118">
        <f t="shared" si="227"/>
        <v>0.15136449100541349</v>
      </c>
      <c r="R133" s="128"/>
      <c r="S133" s="119">
        <f t="shared" ref="S133:AB133" si="235">S131/S48</f>
        <v>10.572374999999999</v>
      </c>
      <c r="T133" s="119">
        <f t="shared" si="235"/>
        <v>11.6296125</v>
      </c>
      <c r="U133" s="119">
        <f t="shared" si="235"/>
        <v>12.792573750000003</v>
      </c>
      <c r="V133" s="119">
        <f t="shared" si="235"/>
        <v>14.071831125000003</v>
      </c>
      <c r="W133" s="119">
        <f t="shared" si="235"/>
        <v>15.479014237500005</v>
      </c>
      <c r="X133" s="119">
        <f t="shared" si="235"/>
        <v>17.026915661250008</v>
      </c>
      <c r="Y133" s="119">
        <f t="shared" si="235"/>
        <v>18.729607227375009</v>
      </c>
      <c r="Z133" s="119">
        <f t="shared" si="235"/>
        <v>20.602567950112515</v>
      </c>
      <c r="AA133" s="119">
        <f t="shared" si="235"/>
        <v>22.662824745123764</v>
      </c>
      <c r="AB133" s="119">
        <f t="shared" si="235"/>
        <v>24.929107219636141</v>
      </c>
      <c r="AC133" s="138">
        <f t="shared" si="230"/>
        <v>0.12403847083373076</v>
      </c>
      <c r="AD133" s="31">
        <v>0.08</v>
      </c>
      <c r="AE133" s="127">
        <f t="shared" si="231"/>
        <v>200.15196827435659</v>
      </c>
    </row>
    <row r="134" spans="2:31">
      <c r="B134" s="20" t="s">
        <v>260</v>
      </c>
      <c r="C134" s="25" t="e">
        <f t="shared" ref="C134:P134" si="236">C131/C57</f>
        <v>#DIV/0!</v>
      </c>
      <c r="D134" s="25" t="e">
        <f t="shared" si="236"/>
        <v>#DIV/0!</v>
      </c>
      <c r="E134" s="25" t="e">
        <f t="shared" si="236"/>
        <v>#DIV/0!</v>
      </c>
      <c r="F134" s="25" t="e">
        <f t="shared" si="236"/>
        <v>#DIV/0!</v>
      </c>
      <c r="G134" s="25">
        <f t="shared" si="236"/>
        <v>29.479245283018869</v>
      </c>
      <c r="H134" s="25">
        <f t="shared" si="236"/>
        <v>34.363636363636367</v>
      </c>
      <c r="I134" s="25">
        <f t="shared" si="236"/>
        <v>94.612499999999997</v>
      </c>
      <c r="J134" s="25">
        <f t="shared" si="236"/>
        <v>88.772222222222226</v>
      </c>
      <c r="K134" s="25">
        <f t="shared" si="236"/>
        <v>28.874686144715817</v>
      </c>
      <c r="L134" s="25">
        <f t="shared" si="236"/>
        <v>19.145945945945943</v>
      </c>
      <c r="M134" s="25">
        <f t="shared" si="236"/>
        <v>24.253993610223642</v>
      </c>
      <c r="N134" s="25">
        <f t="shared" si="236"/>
        <v>27.807692307692307</v>
      </c>
      <c r="O134" s="25">
        <f t="shared" si="236"/>
        <v>28.73207547169811</v>
      </c>
      <c r="P134" s="25">
        <f t="shared" si="236"/>
        <v>34.635135135135137</v>
      </c>
      <c r="Q134" s="118">
        <f t="shared" si="227"/>
        <v>1.807045980123001E-2</v>
      </c>
      <c r="R134" s="128"/>
      <c r="S134" s="119">
        <f t="shared" ref="S134:AB134" si="237">S131/S57</f>
        <v>38.098648648648648</v>
      </c>
      <c r="T134" s="119">
        <f t="shared" si="237"/>
        <v>41.908513513513512</v>
      </c>
      <c r="U134" s="119">
        <f t="shared" si="237"/>
        <v>46.099364864864874</v>
      </c>
      <c r="V134" s="119">
        <f t="shared" si="237"/>
        <v>50.709301351351357</v>
      </c>
      <c r="W134" s="119">
        <f t="shared" si="237"/>
        <v>55.7802314864865</v>
      </c>
      <c r="X134" s="119">
        <f t="shared" si="237"/>
        <v>61.358254635135161</v>
      </c>
      <c r="Y134" s="119">
        <f t="shared" si="237"/>
        <v>67.494080098648681</v>
      </c>
      <c r="Z134" s="119">
        <f t="shared" si="237"/>
        <v>74.24348810851356</v>
      </c>
      <c r="AA134" s="119">
        <f t="shared" si="237"/>
        <v>81.667836919364902</v>
      </c>
      <c r="AB134" s="119">
        <f t="shared" si="237"/>
        <v>89.834620611301432</v>
      </c>
      <c r="AC134" s="138">
        <f t="shared" si="230"/>
        <v>6.0400348925842007E-2</v>
      </c>
      <c r="AD134" s="31">
        <v>0.08</v>
      </c>
      <c r="AE134" s="127">
        <f t="shared" si="231"/>
        <v>680.43330744174762</v>
      </c>
    </row>
    <row r="135" spans="2:31">
      <c r="B135" s="20" t="s">
        <v>261</v>
      </c>
      <c r="C135" s="25" t="e">
        <f t="shared" ref="C135:P135" si="238">C131/C59</f>
        <v>#DIV/0!</v>
      </c>
      <c r="D135" s="25" t="e">
        <f t="shared" si="238"/>
        <v>#DIV/0!</v>
      </c>
      <c r="E135" s="25" t="e">
        <f t="shared" si="238"/>
        <v>#DIV/0!</v>
      </c>
      <c r="F135" s="25" t="e">
        <f t="shared" si="238"/>
        <v>#DIV/0!</v>
      </c>
      <c r="G135" s="25">
        <f t="shared" si="238"/>
        <v>5.918181818181818</v>
      </c>
      <c r="H135" s="25">
        <f t="shared" si="238"/>
        <v>7.8206896551724139</v>
      </c>
      <c r="I135" s="25">
        <f t="shared" si="238"/>
        <v>20.595918367346936</v>
      </c>
      <c r="J135" s="25">
        <f t="shared" si="238"/>
        <v>21.400446428571428</v>
      </c>
      <c r="K135" s="25">
        <f t="shared" si="238"/>
        <v>10.607966457023062</v>
      </c>
      <c r="L135" s="25">
        <f t="shared" si="238"/>
        <v>7.9595505617977533</v>
      </c>
      <c r="M135" s="25">
        <f t="shared" si="238"/>
        <v>32.442307692307686</v>
      </c>
      <c r="N135" s="25">
        <f t="shared" si="238"/>
        <v>22.59375</v>
      </c>
      <c r="O135" s="25">
        <f t="shared" si="238"/>
        <v>29.204383561643834</v>
      </c>
      <c r="P135" s="25">
        <f t="shared" si="238"/>
        <v>45.904477611940294</v>
      </c>
      <c r="Q135" s="118">
        <f t="shared" si="227"/>
        <v>0.25560160067895699</v>
      </c>
      <c r="R135" s="128"/>
      <c r="S135" s="119">
        <f t="shared" ref="S135:AB135" si="239">S131/S59</f>
        <v>50.494925373134322</v>
      </c>
      <c r="T135" s="119">
        <f t="shared" si="239"/>
        <v>55.544417910447763</v>
      </c>
      <c r="U135" s="119">
        <f t="shared" si="239"/>
        <v>61.098859701492543</v>
      </c>
      <c r="V135" s="119">
        <f t="shared" si="239"/>
        <v>67.208745671641793</v>
      </c>
      <c r="W135" s="119">
        <f t="shared" si="239"/>
        <v>73.929620238805995</v>
      </c>
      <c r="X135" s="119">
        <f t="shared" si="239"/>
        <v>81.322582262686595</v>
      </c>
      <c r="Y135" s="119">
        <f t="shared" si="239"/>
        <v>89.45484048895527</v>
      </c>
      <c r="Z135" s="119">
        <f t="shared" si="239"/>
        <v>98.400324537850807</v>
      </c>
      <c r="AA135" s="119">
        <f t="shared" si="239"/>
        <v>108.24035699163589</v>
      </c>
      <c r="AB135" s="119">
        <f t="shared" si="239"/>
        <v>119.06439269079949</v>
      </c>
      <c r="AC135" s="138">
        <f t="shared" si="230"/>
        <v>0.17114370763230724</v>
      </c>
      <c r="AD135" s="31">
        <v>0.08</v>
      </c>
      <c r="AE135" s="127">
        <f t="shared" si="231"/>
        <v>996.01081644922783</v>
      </c>
    </row>
    <row r="136" spans="2:31">
      <c r="B136" s="20" t="s">
        <v>282</v>
      </c>
      <c r="C136" s="25" t="e">
        <f>C132/C99</f>
        <v>#DIV/0!</v>
      </c>
      <c r="D136" s="25" t="e">
        <f>D132/D99</f>
        <v>#DIV/0!</v>
      </c>
      <c r="E136" s="25" t="e">
        <f>E132/E99</f>
        <v>#DIV/0!</v>
      </c>
      <c r="F136" s="25" t="e">
        <f>F132/F99</f>
        <v>#DIV/0!</v>
      </c>
      <c r="G136" s="25">
        <f t="shared" ref="G136:P136" si="240">G131/G53</f>
        <v>2.0370273794002611</v>
      </c>
      <c r="H136" s="25">
        <f t="shared" si="240"/>
        <v>2.5714285714285716</v>
      </c>
      <c r="I136" s="25">
        <f t="shared" si="240"/>
        <v>5.9598425196850391</v>
      </c>
      <c r="J136" s="25">
        <f t="shared" si="240"/>
        <v>8.6372972972972963</v>
      </c>
      <c r="K136" s="25">
        <f t="shared" si="240"/>
        <v>9.387755102040817</v>
      </c>
      <c r="L136" s="25">
        <f t="shared" si="240"/>
        <v>8.4534606205250604</v>
      </c>
      <c r="M136" s="25">
        <f t="shared" si="240"/>
        <v>12.030903328050712</v>
      </c>
      <c r="N136" s="25">
        <f t="shared" si="240"/>
        <v>7.3561046511627914</v>
      </c>
      <c r="O136" s="25">
        <f t="shared" si="240"/>
        <v>6.868298969072165</v>
      </c>
      <c r="P136" s="25">
        <f t="shared" si="240"/>
        <v>7.6469418199900545</v>
      </c>
      <c r="Q136" s="118">
        <f t="shared" ref="Q136" si="241">((P136/G136)^(1/($H$2-$H$1) ))-1</f>
        <v>0.15833005325799276</v>
      </c>
      <c r="R136" s="128"/>
      <c r="S136" s="135">
        <f t="shared" ref="S136:AB136" si="242">S131/S53</f>
        <v>8.4116360019890593</v>
      </c>
      <c r="T136" s="135">
        <f t="shared" si="242"/>
        <v>9.2527996021879684</v>
      </c>
      <c r="U136" s="135">
        <f t="shared" si="242"/>
        <v>10.178079562406765</v>
      </c>
      <c r="V136" s="135">
        <f t="shared" si="242"/>
        <v>11.195887518647442</v>
      </c>
      <c r="W136" s="135">
        <f t="shared" si="242"/>
        <v>12.315476270512184</v>
      </c>
      <c r="X136" s="135">
        <f t="shared" si="242"/>
        <v>13.547023897563404</v>
      </c>
      <c r="Y136" s="135">
        <f t="shared" si="242"/>
        <v>14.901726287319745</v>
      </c>
      <c r="Z136" s="135">
        <f t="shared" si="242"/>
        <v>16.391898916051723</v>
      </c>
      <c r="AA136" s="135">
        <f t="shared" si="242"/>
        <v>18.031088807656896</v>
      </c>
      <c r="AB136" s="135">
        <f t="shared" si="242"/>
        <v>19.834197688422588</v>
      </c>
      <c r="AC136" s="138">
        <f t="shared" ref="AC136" si="243">((AB136/G136)^(1/($AB$3-$H$1) ))-1</f>
        <v>0.12725452666570614</v>
      </c>
      <c r="AD136" s="31">
        <v>0.08</v>
      </c>
      <c r="AE136" s="127">
        <f t="shared" si="231"/>
        <v>159.70135090754889</v>
      </c>
    </row>
    <row r="137" spans="2:31">
      <c r="B137" s="20" t="s">
        <v>323</v>
      </c>
      <c r="C137" s="162" t="e">
        <f t="shared" ref="C137:P137" si="244">C46/C131</f>
        <v>#DIV/0!</v>
      </c>
      <c r="D137" s="162" t="e">
        <f t="shared" si="244"/>
        <v>#DIV/0!</v>
      </c>
      <c r="E137" s="162" t="e">
        <f t="shared" si="244"/>
        <v>#DIV/0!</v>
      </c>
      <c r="F137" s="162" t="e">
        <f t="shared" si="244"/>
        <v>#DIV/0!</v>
      </c>
      <c r="G137" s="162">
        <f t="shared" si="244"/>
        <v>7.8084997439836143E-2</v>
      </c>
      <c r="H137" s="162">
        <f t="shared" si="244"/>
        <v>6.3492063492063489E-2</v>
      </c>
      <c r="I137" s="162">
        <f t="shared" si="244"/>
        <v>2.8405337561104506E-2</v>
      </c>
      <c r="J137" s="162">
        <f t="shared" si="244"/>
        <v>2.3155391451279806E-2</v>
      </c>
      <c r="K137" s="162">
        <f t="shared" si="244"/>
        <v>3.3794466403162055E-2</v>
      </c>
      <c r="L137" s="162">
        <f t="shared" si="244"/>
        <v>3.1055900621118012E-2</v>
      </c>
      <c r="M137" s="162">
        <f t="shared" si="244"/>
        <v>3.6224725021405522E-2</v>
      </c>
      <c r="N137" s="162">
        <f t="shared" si="244"/>
        <v>4.0571692023974176E-2</v>
      </c>
      <c r="O137" s="162">
        <f t="shared" si="244"/>
        <v>3.0207512477016023E-2</v>
      </c>
      <c r="P137" s="162">
        <f t="shared" si="244"/>
        <v>2.7376772011965145E-2</v>
      </c>
      <c r="Q137" s="128"/>
      <c r="R137" s="128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8"/>
      <c r="AD137" s="31"/>
      <c r="AE137" s="127"/>
    </row>
    <row r="138" spans="2:31">
      <c r="B138" s="20" t="s">
        <v>324</v>
      </c>
      <c r="C138" s="153" t="e">
        <f t="shared" ref="C138:P138" si="245">C40/C131</f>
        <v>#DIV/0!</v>
      </c>
      <c r="D138" s="153" t="e">
        <f t="shared" si="245"/>
        <v>#DIV/0!</v>
      </c>
      <c r="E138" s="153" t="e">
        <f t="shared" si="245"/>
        <v>#DIV/0!</v>
      </c>
      <c r="F138" s="153" t="e">
        <f t="shared" si="245"/>
        <v>#DIV/0!</v>
      </c>
      <c r="G138" s="153">
        <f t="shared" si="245"/>
        <v>2.5806451612903226E-2</v>
      </c>
      <c r="H138" s="153">
        <f t="shared" si="245"/>
        <v>1.7777777777777778E-2</v>
      </c>
      <c r="I138" s="153">
        <f t="shared" si="245"/>
        <v>1.0416666666666666E-2</v>
      </c>
      <c r="J138" s="153">
        <f t="shared" si="245"/>
        <v>7.8947368421052634E-3</v>
      </c>
      <c r="K138" s="153">
        <f t="shared" si="245"/>
        <v>8.7500000000000008E-3</v>
      </c>
      <c r="L138" s="153">
        <f t="shared" si="245"/>
        <v>1.2500000000000001E-2</v>
      </c>
      <c r="M138" s="153">
        <f t="shared" si="245"/>
        <v>0.01</v>
      </c>
      <c r="N138" s="153">
        <f t="shared" si="245"/>
        <v>1.1666666666666667E-2</v>
      </c>
      <c r="O138" s="153">
        <f t="shared" si="245"/>
        <v>9.0476190476190474E-3</v>
      </c>
      <c r="P138" s="153">
        <f t="shared" si="245"/>
        <v>8.6666666666666663E-3</v>
      </c>
      <c r="Q138" s="128"/>
      <c r="R138" s="128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8"/>
      <c r="AD138" s="31"/>
      <c r="AE138" s="127"/>
    </row>
    <row r="139" spans="2:31">
      <c r="B139" s="20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28"/>
      <c r="R139" s="128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8"/>
      <c r="AD139" s="31"/>
      <c r="AE139" s="127"/>
    </row>
    <row r="140" spans="2:31">
      <c r="B140" s="20"/>
      <c r="C140" s="129"/>
      <c r="D140" s="129"/>
      <c r="E140" s="129"/>
      <c r="F140" s="129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28"/>
      <c r="R140" s="128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7"/>
      <c r="AD140" s="20"/>
      <c r="AE140" s="127"/>
    </row>
    <row r="141" spans="2:31">
      <c r="B141" s="108" t="s">
        <v>302</v>
      </c>
      <c r="C141" s="20"/>
      <c r="D141" s="20"/>
      <c r="E141" s="20"/>
      <c r="F141" s="20"/>
      <c r="G141" s="20"/>
      <c r="H141" s="20"/>
      <c r="I141" s="20"/>
      <c r="J141" s="20"/>
      <c r="K141" s="182" t="s">
        <v>355</v>
      </c>
      <c r="L141" s="183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>
      <c r="B142" s="20" t="s">
        <v>300</v>
      </c>
      <c r="C142" s="20" t="s">
        <v>316</v>
      </c>
      <c r="D142" s="20"/>
      <c r="E142" s="20"/>
      <c r="F142" s="20"/>
      <c r="G142" s="20"/>
      <c r="H142" s="20"/>
      <c r="I142" s="20"/>
      <c r="J142" s="20"/>
      <c r="K142" s="20" t="s">
        <v>356</v>
      </c>
      <c r="L142" s="22">
        <v>3</v>
      </c>
      <c r="M142" s="20"/>
      <c r="N142" s="20"/>
      <c r="O142" s="20"/>
      <c r="P142" s="128">
        <f>(P131-R119)/P131</f>
        <v>0.9142428730139962</v>
      </c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>
      <c r="B143" s="20" t="s">
        <v>353</v>
      </c>
      <c r="C143" s="20" t="s">
        <v>316</v>
      </c>
      <c r="D143" s="20"/>
      <c r="E143" s="20"/>
      <c r="F143" s="20"/>
      <c r="G143" s="20"/>
      <c r="H143" s="20"/>
      <c r="I143" s="20"/>
      <c r="J143" s="20"/>
      <c r="K143" s="173">
        <f>L142</f>
        <v>3</v>
      </c>
      <c r="L143" s="20"/>
      <c r="M143" s="128">
        <f>(P131-(K143*R110))/P131</f>
        <v>0.42901225433573947</v>
      </c>
      <c r="N143" s="20"/>
      <c r="O143" s="20"/>
      <c r="P143" s="128">
        <f>(P131-R110)/P131</f>
        <v>0.80967075144524647</v>
      </c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>
      <c r="B144" s="20" t="s">
        <v>354</v>
      </c>
      <c r="C144" s="20" t="s">
        <v>316</v>
      </c>
      <c r="D144" s="20"/>
      <c r="E144" s="20"/>
      <c r="F144" s="20"/>
      <c r="G144" s="20"/>
      <c r="H144" s="20"/>
      <c r="I144" s="20"/>
      <c r="J144" s="20"/>
      <c r="K144" s="173">
        <f>L142</f>
        <v>3</v>
      </c>
      <c r="L144" s="20"/>
      <c r="M144" s="128">
        <f>(P131-(K143*R103))/P131</f>
        <v>0.53122786270925204</v>
      </c>
      <c r="N144" s="20"/>
      <c r="O144" s="20"/>
      <c r="P144" s="128">
        <f>(P131-R103)/P131</f>
        <v>0.84374262090308394</v>
      </c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>
      <c r="B145" s="20" t="s">
        <v>357</v>
      </c>
      <c r="C145" s="20" t="s">
        <v>316</v>
      </c>
      <c r="D145" s="20"/>
      <c r="E145" s="20"/>
      <c r="F145" s="20"/>
      <c r="G145" s="20"/>
      <c r="H145" s="20"/>
      <c r="I145" s="20"/>
      <c r="J145" s="20"/>
      <c r="K145" s="173">
        <f>L142</f>
        <v>3</v>
      </c>
      <c r="L145" s="20"/>
      <c r="M145" s="128">
        <f>(P131-(K143*R116))/P131</f>
        <v>0.82655169188889277</v>
      </c>
      <c r="N145" s="20"/>
      <c r="O145" s="20"/>
      <c r="P145" s="128">
        <f>(P131-R116)/P131</f>
        <v>0.94218389729629759</v>
      </c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>
      <c r="B146" s="20" t="s">
        <v>301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5">
        <f>P131/R102</f>
        <v>25.097152048530916</v>
      </c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</row>
    <row r="148" spans="2:31">
      <c r="B148" s="108" t="s">
        <v>303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</row>
    <row r="149" spans="2:31">
      <c r="B149" s="20" t="s">
        <v>306</v>
      </c>
      <c r="C149" s="25" t="e">
        <f t="shared" ref="C149:P149" si="246">C10/C7</f>
        <v>#DIV/0!</v>
      </c>
      <c r="D149" s="25" t="e">
        <f t="shared" si="246"/>
        <v>#DIV/0!</v>
      </c>
      <c r="E149" s="25" t="e">
        <f t="shared" si="246"/>
        <v>#DIV/0!</v>
      </c>
      <c r="F149" s="25" t="e">
        <f t="shared" si="246"/>
        <v>#DIV/0!</v>
      </c>
      <c r="G149" s="25">
        <f t="shared" si="246"/>
        <v>0.17777777777777778</v>
      </c>
      <c r="H149" s="25">
        <f t="shared" si="246"/>
        <v>0.17174515235457063</v>
      </c>
      <c r="I149" s="25">
        <f t="shared" si="246"/>
        <v>0.13559322033898305</v>
      </c>
      <c r="J149" s="25">
        <f t="shared" si="246"/>
        <v>0.30208333333333331</v>
      </c>
      <c r="K149" s="25">
        <f t="shared" si="246"/>
        <v>0.84838709677419355</v>
      </c>
      <c r="L149" s="25">
        <f t="shared" si="246"/>
        <v>0.9605678233438486</v>
      </c>
      <c r="M149" s="25">
        <f t="shared" si="246"/>
        <v>0.53669724770642202</v>
      </c>
      <c r="N149" s="25">
        <f t="shared" si="246"/>
        <v>0.30904059040590404</v>
      </c>
      <c r="O149" s="25">
        <f t="shared" si="246"/>
        <v>0.11161387631975868</v>
      </c>
      <c r="P149" s="25">
        <f t="shared" si="246"/>
        <v>3.0890369473046637E-2</v>
      </c>
      <c r="Q149" s="118">
        <f t="shared" ref="Q149:Q151" si="247">((P149/G149)^(1/($H$2-$H$1) ))-1</f>
        <v>-0.1767163049296363</v>
      </c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</row>
    <row r="150" spans="2:31">
      <c r="B150" s="20" t="s">
        <v>307</v>
      </c>
      <c r="C150" s="112" t="e">
        <f>C10/C12</f>
        <v>#DIV/0!</v>
      </c>
      <c r="D150" s="112" t="e">
        <f>D10/D12</f>
        <v>#DIV/0!</v>
      </c>
      <c r="E150" s="112" t="e">
        <f>E10/E12</f>
        <v>#DIV/0!</v>
      </c>
      <c r="F150" s="112" t="e">
        <f>F10/F12</f>
        <v>#DIV/0!</v>
      </c>
      <c r="G150" s="112">
        <f>G10/G12</f>
        <v>7.4666666666666668</v>
      </c>
      <c r="H150" s="112">
        <f t="shared" ref="H150:P150" si="248">H10/H12</f>
        <v>4.4285714285714288</v>
      </c>
      <c r="I150" s="112">
        <f t="shared" si="248"/>
        <v>3.5</v>
      </c>
      <c r="J150" s="112">
        <f t="shared" si="248"/>
        <v>3.8157894736842106</v>
      </c>
      <c r="K150" s="112">
        <f t="shared" si="248"/>
        <v>3.058139534883721</v>
      </c>
      <c r="L150" s="112">
        <f t="shared" si="248"/>
        <v>3.8301886792452828</v>
      </c>
      <c r="M150" s="112">
        <f t="shared" si="248"/>
        <v>10.4</v>
      </c>
      <c r="N150" s="112">
        <f t="shared" si="248"/>
        <v>3.2524271844660193</v>
      </c>
      <c r="O150" s="112">
        <f t="shared" si="248"/>
        <v>0.54212454212454209</v>
      </c>
      <c r="P150" s="112">
        <f t="shared" si="248"/>
        <v>0.33774834437086093</v>
      </c>
      <c r="Q150" s="118">
        <f t="shared" si="247"/>
        <v>-0.29106342132808571</v>
      </c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</row>
    <row r="151" spans="2:31">
      <c r="B151" s="20" t="s">
        <v>308</v>
      </c>
      <c r="C151" s="25" t="e">
        <f>C10/(C12+C13)</f>
        <v>#DIV/0!</v>
      </c>
      <c r="D151" s="25" t="e">
        <f>D10/(D12+D13)</f>
        <v>#DIV/0!</v>
      </c>
      <c r="E151" s="25" t="e">
        <f>E10/(E12+E13)</f>
        <v>#DIV/0!</v>
      </c>
      <c r="F151" s="25" t="e">
        <f>F10/(F12+F13)</f>
        <v>#DIV/0!</v>
      </c>
      <c r="G151" s="25">
        <f>G10/(G12+G13)</f>
        <v>2.1132075471698113</v>
      </c>
      <c r="H151" s="25">
        <f t="shared" ref="H151:P151" si="249">H10/(H12+H13)</f>
        <v>1.8787878787878789</v>
      </c>
      <c r="I151" s="25">
        <f t="shared" si="249"/>
        <v>1.75</v>
      </c>
      <c r="J151" s="25">
        <f t="shared" si="249"/>
        <v>2.6851851851851851</v>
      </c>
      <c r="K151" s="25">
        <f t="shared" si="249"/>
        <v>3.0015978087194704</v>
      </c>
      <c r="L151" s="25">
        <f t="shared" si="249"/>
        <v>3.291891891891892</v>
      </c>
      <c r="M151" s="25">
        <f t="shared" si="249"/>
        <v>1.4952076677316295</v>
      </c>
      <c r="N151" s="25">
        <f t="shared" si="249"/>
        <v>1.2271062271062272</v>
      </c>
      <c r="O151" s="25">
        <f t="shared" si="249"/>
        <v>0.39892183288409705</v>
      </c>
      <c r="P151" s="25">
        <f t="shared" si="249"/>
        <v>0.11486486486486487</v>
      </c>
      <c r="Q151" s="118">
        <f t="shared" si="247"/>
        <v>-0.27644479414093459</v>
      </c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</row>
    <row r="152" spans="2:31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</row>
    <row r="153" spans="2:31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</row>
    <row r="154" spans="2:31">
      <c r="B154" s="20"/>
      <c r="C154" s="20"/>
      <c r="D154" s="20"/>
      <c r="E154" s="20"/>
      <c r="F154" s="20"/>
      <c r="G154" s="20"/>
      <c r="H154" s="20"/>
      <c r="I154" s="179" t="s">
        <v>341</v>
      </c>
      <c r="J154" s="180"/>
      <c r="K154" s="181"/>
      <c r="L154" s="20"/>
      <c r="M154" s="20"/>
      <c r="N154" s="20"/>
      <c r="O154" s="179" t="s">
        <v>342</v>
      </c>
      <c r="P154" s="180"/>
      <c r="Q154" s="181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</row>
    <row r="155" spans="2:31">
      <c r="B155" s="20"/>
      <c r="C155" s="20"/>
      <c r="D155" s="20"/>
      <c r="E155" s="20"/>
      <c r="F155" s="20"/>
      <c r="G155" s="20"/>
      <c r="H155" s="20"/>
      <c r="I155" s="167" t="s">
        <v>343</v>
      </c>
      <c r="J155" s="167"/>
      <c r="K155" s="167" t="s">
        <v>0</v>
      </c>
      <c r="L155" s="23" t="s">
        <v>344</v>
      </c>
      <c r="M155" s="20"/>
      <c r="N155" s="20"/>
      <c r="O155" s="167" t="s">
        <v>343</v>
      </c>
      <c r="P155" s="167"/>
      <c r="Q155" s="167" t="s">
        <v>0</v>
      </c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</row>
    <row r="156" spans="2:31">
      <c r="B156" s="20"/>
      <c r="C156" s="20"/>
      <c r="D156" s="20"/>
      <c r="E156" s="20"/>
      <c r="F156" s="20"/>
      <c r="G156" s="20"/>
      <c r="H156" s="20"/>
      <c r="I156" s="168" t="s">
        <v>345</v>
      </c>
      <c r="J156" s="168"/>
      <c r="K156" s="21">
        <v>15</v>
      </c>
      <c r="L156" s="20"/>
      <c r="M156" s="20"/>
      <c r="N156" s="20"/>
      <c r="O156" s="168" t="s">
        <v>345</v>
      </c>
      <c r="P156" s="168"/>
      <c r="Q156" s="21">
        <v>320</v>
      </c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</row>
    <row r="157" spans="2:31">
      <c r="B157" s="20"/>
      <c r="C157" s="20"/>
      <c r="D157" s="20"/>
      <c r="E157" s="20"/>
      <c r="F157" s="20"/>
      <c r="G157" s="20"/>
      <c r="H157" s="20"/>
      <c r="I157" s="168" t="s">
        <v>346</v>
      </c>
      <c r="J157" s="168"/>
      <c r="K157" s="21">
        <v>1</v>
      </c>
      <c r="L157" s="20"/>
      <c r="M157" s="20"/>
      <c r="N157" s="20"/>
      <c r="O157" s="168" t="s">
        <v>346</v>
      </c>
      <c r="P157" s="168"/>
      <c r="Q157" s="21">
        <v>1</v>
      </c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</row>
    <row r="158" spans="2:31">
      <c r="B158" s="20"/>
      <c r="C158" s="20"/>
      <c r="D158" s="20"/>
      <c r="E158" s="20"/>
      <c r="F158" s="20"/>
      <c r="G158" s="20"/>
      <c r="H158" s="20"/>
      <c r="I158" s="168" t="s">
        <v>347</v>
      </c>
      <c r="J158" s="168"/>
      <c r="K158" s="169">
        <f>K156*K157</f>
        <v>15</v>
      </c>
      <c r="L158" s="20"/>
      <c r="M158" s="20"/>
      <c r="N158" s="20"/>
      <c r="O158" s="168" t="s">
        <v>348</v>
      </c>
      <c r="P158" s="168"/>
      <c r="Q158" s="169">
        <f>Q156*Q157</f>
        <v>320</v>
      </c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</row>
    <row r="159" spans="2:31">
      <c r="B159" s="20"/>
      <c r="C159" s="20"/>
      <c r="D159" s="20"/>
      <c r="E159" s="20"/>
      <c r="F159" s="20"/>
      <c r="G159" s="20"/>
      <c r="H159" s="20"/>
      <c r="I159" s="168" t="s">
        <v>349</v>
      </c>
      <c r="J159" s="168"/>
      <c r="K159" s="21">
        <v>300</v>
      </c>
      <c r="L159" s="20"/>
      <c r="M159" s="20"/>
      <c r="N159" s="20"/>
      <c r="O159" s="168" t="s">
        <v>349</v>
      </c>
      <c r="P159" s="168"/>
      <c r="Q159" s="21">
        <v>320</v>
      </c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</row>
    <row r="160" spans="2:31">
      <c r="B160" s="20"/>
      <c r="C160" s="20"/>
      <c r="D160" s="20"/>
      <c r="E160" s="20"/>
      <c r="F160" s="20"/>
      <c r="G160" s="20"/>
      <c r="H160" s="20"/>
      <c r="I160" s="168" t="s">
        <v>350</v>
      </c>
      <c r="J160" s="168"/>
      <c r="K160" s="169">
        <f>K159*K157</f>
        <v>300</v>
      </c>
      <c r="L160" s="20"/>
      <c r="M160" s="20"/>
      <c r="N160" s="20"/>
      <c r="O160" s="168" t="s">
        <v>346</v>
      </c>
      <c r="P160" s="168"/>
      <c r="Q160" s="21">
        <v>20</v>
      </c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</row>
    <row r="161" spans="2:31">
      <c r="B161" s="20"/>
      <c r="C161" s="20"/>
      <c r="D161" s="20"/>
      <c r="E161" s="20"/>
      <c r="F161" s="20"/>
      <c r="G161" s="20"/>
      <c r="H161" s="20"/>
      <c r="I161" s="168"/>
      <c r="J161" s="168"/>
      <c r="K161" s="169"/>
      <c r="L161" s="20"/>
      <c r="M161" s="20"/>
      <c r="N161" s="20"/>
      <c r="O161" s="168" t="s">
        <v>348</v>
      </c>
      <c r="P161" s="168"/>
      <c r="Q161" s="169">
        <f>Q160*Q159</f>
        <v>6400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</row>
    <row r="162" spans="2:31">
      <c r="B162" s="20"/>
      <c r="C162" s="20"/>
      <c r="D162" s="20"/>
      <c r="E162" s="20"/>
      <c r="F162" s="20"/>
      <c r="G162" s="20"/>
      <c r="H162" s="20"/>
      <c r="I162" s="168"/>
      <c r="J162" s="168"/>
      <c r="K162" s="169"/>
      <c r="L162" s="20"/>
      <c r="M162" s="20"/>
      <c r="N162" s="20"/>
      <c r="O162" s="168"/>
      <c r="P162" s="168"/>
      <c r="Q162" s="169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</row>
    <row r="163" spans="2:31">
      <c r="B163" s="20"/>
      <c r="C163" s="20"/>
      <c r="D163" s="20"/>
      <c r="E163" s="20"/>
      <c r="F163" s="20"/>
      <c r="G163" s="20"/>
      <c r="H163" s="20"/>
      <c r="I163" s="170" t="s">
        <v>351</v>
      </c>
      <c r="J163" s="170"/>
      <c r="K163" s="171">
        <f>K160/K158</f>
        <v>20</v>
      </c>
      <c r="L163" s="20"/>
      <c r="M163" s="20"/>
      <c r="N163" s="20"/>
      <c r="O163" s="170" t="s">
        <v>351</v>
      </c>
      <c r="P163" s="170"/>
      <c r="Q163" s="171">
        <f>Q161/Q158</f>
        <v>20</v>
      </c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</row>
    <row r="164" spans="2:31"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</row>
  </sheetData>
  <mergeCells count="5">
    <mergeCell ref="AD2:AE2"/>
    <mergeCell ref="AD3:AE3"/>
    <mergeCell ref="I154:K154"/>
    <mergeCell ref="O154:Q154"/>
    <mergeCell ref="K141:L141"/>
  </mergeCells>
  <pageMargins left="0.7" right="0.7" top="0.75" bottom="0.75" header="0.3" footer="0.3"/>
  <pageSetup orientation="portrait" r:id="rId1"/>
  <ignoredErrors>
    <ignoredError sqref="C132" evalError="1"/>
    <ignoredError sqref="T3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D1" zoomScale="80" zoomScaleNormal="80" workbookViewId="0">
      <selection activeCell="F33" sqref="F33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84" t="s">
        <v>27</v>
      </c>
      <c r="K5" s="184"/>
      <c r="M5" s="184" t="s">
        <v>65</v>
      </c>
      <c r="N5" s="184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84" t="s">
        <v>36</v>
      </c>
      <c r="K14" s="184"/>
      <c r="L14" s="184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184" t="s">
        <v>27</v>
      </c>
      <c r="S5" s="184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84" t="s">
        <v>36</v>
      </c>
      <c r="S14" s="184"/>
      <c r="T14" s="184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184" t="s">
        <v>27</v>
      </c>
      <c r="C2" s="184"/>
      <c r="E2" s="184" t="s">
        <v>65</v>
      </c>
      <c r="F2" s="184"/>
      <c r="H2" s="188" t="s">
        <v>36</v>
      </c>
      <c r="I2" s="189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185" t="s">
        <v>68</v>
      </c>
      <c r="E10" s="186"/>
      <c r="F10" s="186"/>
      <c r="G10" s="186"/>
      <c r="H10" s="187"/>
      <c r="I10" s="185" t="s">
        <v>72</v>
      </c>
      <c r="J10" s="186"/>
      <c r="K10" s="186"/>
      <c r="L10" s="187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2013-12-03T16:30:17Z</dcterms:modified>
</cp:coreProperties>
</file>
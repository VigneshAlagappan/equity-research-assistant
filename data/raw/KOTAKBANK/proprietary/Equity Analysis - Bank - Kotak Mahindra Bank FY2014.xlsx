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D191" i="18" l="1"/>
  <c r="Q60" i="18" l="1"/>
  <c r="Q58" i="18"/>
  <c r="Q64" i="18"/>
  <c r="Q62" i="18"/>
  <c r="Q47" i="18"/>
  <c r="Q49" i="18"/>
  <c r="Q51" i="18"/>
  <c r="Q45" i="18"/>
  <c r="Q43" i="18"/>
  <c r="Q41" i="18"/>
  <c r="Q39" i="18"/>
  <c r="Q37" i="18"/>
  <c r="Q34" i="18"/>
  <c r="Q11" i="18"/>
  <c r="P64" i="18" l="1"/>
  <c r="O64" i="18"/>
  <c r="N64" i="18"/>
  <c r="M64" i="18"/>
  <c r="L64" i="18"/>
  <c r="K64" i="18"/>
  <c r="J64" i="18"/>
  <c r="I64" i="18"/>
  <c r="H64" i="18"/>
  <c r="G64" i="18"/>
  <c r="P62" i="18"/>
  <c r="O62" i="18"/>
  <c r="N62" i="18"/>
  <c r="M62" i="18"/>
  <c r="L62" i="18"/>
  <c r="K62" i="18"/>
  <c r="J62" i="18"/>
  <c r="I62" i="18"/>
  <c r="H62" i="18"/>
  <c r="G62" i="18"/>
  <c r="P51" i="18"/>
  <c r="O51" i="18"/>
  <c r="N51" i="18"/>
  <c r="M51" i="18"/>
  <c r="L51" i="18"/>
  <c r="K51" i="18"/>
  <c r="J51" i="18"/>
  <c r="I51" i="18"/>
  <c r="H51" i="18"/>
  <c r="G51" i="18"/>
  <c r="P49" i="18"/>
  <c r="O49" i="18"/>
  <c r="N49" i="18"/>
  <c r="M49" i="18"/>
  <c r="L49" i="18"/>
  <c r="K49" i="18"/>
  <c r="J49" i="18"/>
  <c r="I49" i="18"/>
  <c r="H49" i="18"/>
  <c r="G49" i="18"/>
  <c r="P47" i="18"/>
  <c r="O47" i="18"/>
  <c r="N47" i="18"/>
  <c r="M47" i="18"/>
  <c r="L47" i="18"/>
  <c r="K47" i="18"/>
  <c r="J47" i="18"/>
  <c r="I47" i="18"/>
  <c r="H47" i="18"/>
  <c r="G47" i="18"/>
  <c r="P45" i="18"/>
  <c r="O45" i="18"/>
  <c r="N45" i="18"/>
  <c r="M45" i="18"/>
  <c r="L45" i="18"/>
  <c r="K45" i="18"/>
  <c r="J45" i="18"/>
  <c r="I45" i="18"/>
  <c r="H45" i="18"/>
  <c r="G45" i="18"/>
  <c r="P43" i="18"/>
  <c r="O43" i="18"/>
  <c r="N43" i="18"/>
  <c r="M43" i="18"/>
  <c r="L43" i="18"/>
  <c r="K43" i="18"/>
  <c r="J43" i="18"/>
  <c r="I43" i="18"/>
  <c r="H43" i="18"/>
  <c r="G43" i="18"/>
  <c r="P41" i="18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05" i="18" l="1"/>
  <c r="G105" i="18"/>
  <c r="F106" i="18"/>
  <c r="G106" i="18"/>
  <c r="F107" i="18"/>
  <c r="G107" i="18"/>
  <c r="F108" i="18"/>
  <c r="G108" i="18"/>
  <c r="F109" i="18"/>
  <c r="G109" i="18"/>
  <c r="F111" i="18"/>
  <c r="G111" i="18"/>
  <c r="F112" i="18"/>
  <c r="G112" i="18"/>
  <c r="F118" i="18"/>
  <c r="G118" i="18"/>
  <c r="F119" i="18"/>
  <c r="G119" i="18"/>
  <c r="F120" i="18"/>
  <c r="G120" i="18"/>
  <c r="F121" i="18"/>
  <c r="G121" i="18"/>
  <c r="F128" i="18"/>
  <c r="G128" i="18"/>
  <c r="F129" i="18"/>
  <c r="G129" i="18"/>
  <c r="F131" i="18"/>
  <c r="G131" i="18"/>
  <c r="F132" i="18"/>
  <c r="G132" i="18"/>
  <c r="F133" i="18"/>
  <c r="G133" i="18"/>
  <c r="F136" i="18"/>
  <c r="G136" i="18"/>
  <c r="F137" i="18"/>
  <c r="G137" i="18"/>
  <c r="F138" i="18"/>
  <c r="G138" i="18"/>
  <c r="F139" i="18"/>
  <c r="G139" i="18"/>
  <c r="F141" i="18"/>
  <c r="G141" i="18"/>
  <c r="F142" i="18"/>
  <c r="G142" i="18"/>
  <c r="F144" i="18"/>
  <c r="F145" i="18" s="1"/>
  <c r="G144" i="18"/>
  <c r="G145" i="18" s="1"/>
  <c r="F148" i="18"/>
  <c r="G148" i="18"/>
  <c r="G60" i="18"/>
  <c r="G58" i="18"/>
  <c r="G34" i="18"/>
  <c r="H228" i="18" l="1"/>
  <c r="H229" i="18"/>
  <c r="H230" i="18" s="1"/>
  <c r="L229" i="18"/>
  <c r="L228" i="18"/>
  <c r="I220" i="18"/>
  <c r="I218" i="18"/>
  <c r="J218" i="18" s="1"/>
  <c r="K218" i="18" s="1"/>
  <c r="K219" i="18" s="1"/>
  <c r="I216" i="18"/>
  <c r="I215" i="18"/>
  <c r="I214" i="18"/>
  <c r="I213" i="18"/>
  <c r="J213" i="18" s="1"/>
  <c r="K213" i="18" s="1"/>
  <c r="E219" i="18"/>
  <c r="E215" i="18"/>
  <c r="AE59" i="18"/>
  <c r="S59" i="18"/>
  <c r="T59" i="18" s="1"/>
  <c r="U59" i="18" s="1"/>
  <c r="V59" i="18" s="1"/>
  <c r="W59" i="18" s="1"/>
  <c r="X59" i="18" s="1"/>
  <c r="Y59" i="18" s="1"/>
  <c r="Z59" i="18" s="1"/>
  <c r="AA59" i="18" s="1"/>
  <c r="AB59" i="18" s="1"/>
  <c r="AC59" i="18" s="1"/>
  <c r="AD59" i="18" s="1"/>
  <c r="R59" i="18"/>
  <c r="P60" i="18"/>
  <c r="O60" i="18"/>
  <c r="N60" i="18"/>
  <c r="M60" i="18"/>
  <c r="L60" i="18"/>
  <c r="K60" i="18"/>
  <c r="J60" i="18"/>
  <c r="I60" i="18"/>
  <c r="H60" i="18"/>
  <c r="AE16" i="18"/>
  <c r="S16" i="18"/>
  <c r="T16" i="18" s="1"/>
  <c r="U16" i="18" s="1"/>
  <c r="R16" i="18"/>
  <c r="J214" i="18" l="1"/>
  <c r="K214" i="18" s="1"/>
  <c r="J215" i="18" s="1"/>
  <c r="K215" i="18" s="1"/>
  <c r="J216" i="18" s="1"/>
  <c r="K216" i="18" s="1"/>
  <c r="K217" i="18" s="1"/>
  <c r="J220" i="18"/>
  <c r="K220" i="18" s="1"/>
  <c r="K221" i="18" s="1"/>
  <c r="AF59" i="18"/>
  <c r="V16" i="18"/>
  <c r="W16" i="18" s="1"/>
  <c r="X16" i="18" s="1"/>
  <c r="Y16" i="18" s="1"/>
  <c r="Z16" i="18" s="1"/>
  <c r="AA16" i="18" s="1"/>
  <c r="AB16" i="18" s="1"/>
  <c r="AC16" i="18" s="1"/>
  <c r="AD16" i="18" s="1"/>
  <c r="AD149" i="18"/>
  <c r="I148" i="18"/>
  <c r="J148" i="18"/>
  <c r="K148" i="18"/>
  <c r="L148" i="18"/>
  <c r="M148" i="18"/>
  <c r="N148" i="18"/>
  <c r="O148" i="18"/>
  <c r="P148" i="18"/>
  <c r="Q148" i="18"/>
  <c r="H148" i="18"/>
  <c r="I144" i="18"/>
  <c r="I145" i="18" s="1"/>
  <c r="J144" i="18"/>
  <c r="J145" i="18" s="1"/>
  <c r="K144" i="18"/>
  <c r="K145" i="18" s="1"/>
  <c r="L144" i="18"/>
  <c r="L145" i="18" s="1"/>
  <c r="M144" i="18"/>
  <c r="M145" i="18" s="1"/>
  <c r="N144" i="18"/>
  <c r="N145" i="18" s="1"/>
  <c r="O144" i="18"/>
  <c r="O145" i="18" s="1"/>
  <c r="P144" i="18"/>
  <c r="P145" i="18" s="1"/>
  <c r="Q144" i="18"/>
  <c r="H144" i="18"/>
  <c r="H145" i="18" s="1"/>
  <c r="R149" i="18"/>
  <c r="R146" i="18"/>
  <c r="I109" i="18"/>
  <c r="J109" i="18"/>
  <c r="K109" i="18"/>
  <c r="L109" i="18"/>
  <c r="M109" i="18"/>
  <c r="N109" i="18"/>
  <c r="O109" i="18"/>
  <c r="P109" i="18"/>
  <c r="Q109" i="18"/>
  <c r="H109" i="18"/>
  <c r="AE33" i="18"/>
  <c r="T33" i="18"/>
  <c r="U33" i="18" s="1"/>
  <c r="V33" i="18" s="1"/>
  <c r="W33" i="18" s="1"/>
  <c r="X33" i="18" s="1"/>
  <c r="Y33" i="18" s="1"/>
  <c r="Z33" i="18" s="1"/>
  <c r="AA33" i="18" s="1"/>
  <c r="AB33" i="18" s="1"/>
  <c r="AC33" i="18" s="1"/>
  <c r="AE32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E3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E30" i="18"/>
  <c r="T30" i="18"/>
  <c r="U30" i="18" s="1"/>
  <c r="V30" i="18" s="1"/>
  <c r="W30" i="18" s="1"/>
  <c r="X30" i="18" s="1"/>
  <c r="Y30" i="18" s="1"/>
  <c r="Z30" i="18" s="1"/>
  <c r="AA30" i="18" s="1"/>
  <c r="AB30" i="18" s="1"/>
  <c r="AC30" i="18" s="1"/>
  <c r="AE87" i="18"/>
  <c r="T20" i="18"/>
  <c r="U20" i="18" s="1"/>
  <c r="V20" i="18" s="1"/>
  <c r="W20" i="18" s="1"/>
  <c r="X20" i="18" s="1"/>
  <c r="Y20" i="18" s="1"/>
  <c r="Z20" i="18" s="1"/>
  <c r="AA20" i="18" s="1"/>
  <c r="AB20" i="18" s="1"/>
  <c r="AC20" i="18" s="1"/>
  <c r="AF20" i="18" s="1"/>
  <c r="R20" i="18"/>
  <c r="P34" i="18"/>
  <c r="O34" i="18"/>
  <c r="N34" i="18"/>
  <c r="M34" i="18"/>
  <c r="L34" i="18"/>
  <c r="K34" i="18"/>
  <c r="J34" i="18"/>
  <c r="I34" i="18"/>
  <c r="H34" i="18"/>
  <c r="R33" i="18"/>
  <c r="R32" i="18"/>
  <c r="R31" i="18"/>
  <c r="R30" i="18"/>
  <c r="T48" i="18"/>
  <c r="U48" i="18" s="1"/>
  <c r="V48" i="18" s="1"/>
  <c r="W48" i="18" s="1"/>
  <c r="X48" i="18" s="1"/>
  <c r="Y48" i="18" s="1"/>
  <c r="Z48" i="18" s="1"/>
  <c r="AA48" i="18" s="1"/>
  <c r="AB48" i="18" s="1"/>
  <c r="AC48" i="18" s="1"/>
  <c r="AF48" i="18" s="1"/>
  <c r="R48" i="18"/>
  <c r="T42" i="18"/>
  <c r="U42" i="18" s="1"/>
  <c r="V42" i="18" s="1"/>
  <c r="W42" i="18" s="1"/>
  <c r="X42" i="18" s="1"/>
  <c r="Y42" i="18" s="1"/>
  <c r="Z42" i="18" s="1"/>
  <c r="AA42" i="18" s="1"/>
  <c r="AB42" i="18" s="1"/>
  <c r="AC42" i="18" s="1"/>
  <c r="AF42" i="18" s="1"/>
  <c r="R42" i="18"/>
  <c r="T40" i="18"/>
  <c r="U40" i="18" s="1"/>
  <c r="V40" i="18" s="1"/>
  <c r="W40" i="18" s="1"/>
  <c r="X40" i="18" s="1"/>
  <c r="Y40" i="18" s="1"/>
  <c r="Z40" i="18" s="1"/>
  <c r="AA40" i="18" s="1"/>
  <c r="AB40" i="18" s="1"/>
  <c r="AC40" i="18" s="1"/>
  <c r="AF40" i="18" s="1"/>
  <c r="R40" i="18"/>
  <c r="T38" i="18"/>
  <c r="U38" i="18" s="1"/>
  <c r="V38" i="18" s="1"/>
  <c r="W38" i="18" s="1"/>
  <c r="X38" i="18" s="1"/>
  <c r="Y38" i="18" s="1"/>
  <c r="Z38" i="18" s="1"/>
  <c r="AA38" i="18" s="1"/>
  <c r="AB38" i="18" s="1"/>
  <c r="AC38" i="18" s="1"/>
  <c r="AF38" i="18" s="1"/>
  <c r="R38" i="18"/>
  <c r="T36" i="18"/>
  <c r="U36" i="18" s="1"/>
  <c r="V36" i="18" s="1"/>
  <c r="W36" i="18" s="1"/>
  <c r="X36" i="18" s="1"/>
  <c r="Y36" i="18" s="1"/>
  <c r="Z36" i="18" s="1"/>
  <c r="AA36" i="18" s="1"/>
  <c r="AB36" i="18" s="1"/>
  <c r="AC36" i="18" s="1"/>
  <c r="AF36" i="18" s="1"/>
  <c r="R36" i="18"/>
  <c r="T21" i="18"/>
  <c r="U21" i="18" s="1"/>
  <c r="V21" i="18" s="1"/>
  <c r="W21" i="18" s="1"/>
  <c r="X21" i="18" s="1"/>
  <c r="Y21" i="18" s="1"/>
  <c r="Z21" i="18" s="1"/>
  <c r="AA21" i="18" s="1"/>
  <c r="AB21" i="18" s="1"/>
  <c r="AC21" i="18" s="1"/>
  <c r="AF21" i="18" s="1"/>
  <c r="R21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AF14" i="18" s="1"/>
  <c r="R14" i="18"/>
  <c r="T13" i="18"/>
  <c r="U13" i="18" s="1"/>
  <c r="V13" i="18" s="1"/>
  <c r="W13" i="18" s="1"/>
  <c r="X13" i="18" s="1"/>
  <c r="Y13" i="18" s="1"/>
  <c r="Z13" i="18" s="1"/>
  <c r="AA13" i="18" s="1"/>
  <c r="AB13" i="18" s="1"/>
  <c r="AC13" i="18" s="1"/>
  <c r="AF13" i="18" s="1"/>
  <c r="R13" i="18"/>
  <c r="R144" i="18" l="1"/>
  <c r="AF16" i="18"/>
  <c r="Q145" i="18"/>
  <c r="R145" i="18" s="1"/>
  <c r="R109" i="18"/>
  <c r="R148" i="18"/>
  <c r="AD33" i="18"/>
  <c r="AF33" i="18"/>
  <c r="AD32" i="18"/>
  <c r="AF32" i="18"/>
  <c r="AF31" i="18"/>
  <c r="AD31" i="18"/>
  <c r="AF30" i="18"/>
  <c r="AD30" i="18"/>
  <c r="AD20" i="18"/>
  <c r="AD48" i="18"/>
  <c r="AD36" i="18"/>
  <c r="AD42" i="18"/>
  <c r="AD38" i="18"/>
  <c r="AD40" i="18"/>
  <c r="AD21" i="18"/>
  <c r="AD14" i="18"/>
  <c r="AD13" i="18"/>
  <c r="Q108" i="18" l="1"/>
  <c r="Q107" i="18"/>
  <c r="C108" i="18"/>
  <c r="E108" i="18"/>
  <c r="I108" i="18"/>
  <c r="J108" i="18"/>
  <c r="K108" i="18"/>
  <c r="L108" i="18"/>
  <c r="M108" i="18"/>
  <c r="N108" i="18"/>
  <c r="O108" i="18"/>
  <c r="P108" i="18"/>
  <c r="H108" i="18"/>
  <c r="H107" i="18"/>
  <c r="I142" i="18"/>
  <c r="J142" i="18"/>
  <c r="K142" i="18"/>
  <c r="L142" i="18"/>
  <c r="M142" i="18"/>
  <c r="N142" i="18"/>
  <c r="O142" i="18"/>
  <c r="P142" i="18"/>
  <c r="Q142" i="18"/>
  <c r="H142" i="18"/>
  <c r="I141" i="18"/>
  <c r="J141" i="18"/>
  <c r="K141" i="18"/>
  <c r="L141" i="18"/>
  <c r="M141" i="18"/>
  <c r="N141" i="18"/>
  <c r="O141" i="18"/>
  <c r="P141" i="18"/>
  <c r="Q141" i="18"/>
  <c r="H141" i="18"/>
  <c r="I138" i="18"/>
  <c r="J138" i="18"/>
  <c r="K138" i="18"/>
  <c r="L138" i="18"/>
  <c r="M138" i="18"/>
  <c r="N138" i="18"/>
  <c r="O138" i="18"/>
  <c r="P138" i="18"/>
  <c r="Q138" i="18"/>
  <c r="H138" i="18"/>
  <c r="I139" i="18"/>
  <c r="J139" i="18"/>
  <c r="K139" i="18"/>
  <c r="L139" i="18"/>
  <c r="M139" i="18"/>
  <c r="N139" i="18"/>
  <c r="O139" i="18"/>
  <c r="P139" i="18"/>
  <c r="Q139" i="18"/>
  <c r="H139" i="18"/>
  <c r="I137" i="18"/>
  <c r="J137" i="18"/>
  <c r="K137" i="18"/>
  <c r="L137" i="18"/>
  <c r="M137" i="18"/>
  <c r="N137" i="18"/>
  <c r="O137" i="18"/>
  <c r="P137" i="18"/>
  <c r="Q137" i="18"/>
  <c r="H137" i="18"/>
  <c r="I136" i="18"/>
  <c r="J136" i="18"/>
  <c r="K136" i="18"/>
  <c r="L136" i="18"/>
  <c r="M136" i="18"/>
  <c r="N136" i="18"/>
  <c r="O136" i="18"/>
  <c r="P136" i="18"/>
  <c r="Q136" i="18"/>
  <c r="H136" i="18"/>
  <c r="S182" i="18"/>
  <c r="I133" i="18"/>
  <c r="J133" i="18"/>
  <c r="K133" i="18"/>
  <c r="L133" i="18"/>
  <c r="M133" i="18"/>
  <c r="N133" i="18"/>
  <c r="O133" i="18"/>
  <c r="P133" i="18"/>
  <c r="Q133" i="18"/>
  <c r="H133" i="18"/>
  <c r="I132" i="18"/>
  <c r="J132" i="18"/>
  <c r="K132" i="18"/>
  <c r="L132" i="18"/>
  <c r="M132" i="18"/>
  <c r="N132" i="18"/>
  <c r="O132" i="18"/>
  <c r="P132" i="18"/>
  <c r="Q132" i="18"/>
  <c r="H132" i="18"/>
  <c r="I131" i="18"/>
  <c r="J131" i="18"/>
  <c r="K131" i="18"/>
  <c r="L131" i="18"/>
  <c r="M131" i="18"/>
  <c r="N131" i="18"/>
  <c r="O131" i="18"/>
  <c r="P131" i="18"/>
  <c r="Q131" i="18"/>
  <c r="H131" i="18"/>
  <c r="B133" i="18"/>
  <c r="B132" i="18"/>
  <c r="L198" i="18"/>
  <c r="L197" i="18"/>
  <c r="L196" i="18"/>
  <c r="T63" i="18"/>
  <c r="AE53" i="18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AC53" i="18" s="1"/>
  <c r="R53" i="18"/>
  <c r="H121" i="18"/>
  <c r="I121" i="18"/>
  <c r="J121" i="18"/>
  <c r="K121" i="18"/>
  <c r="L121" i="18"/>
  <c r="M121" i="18"/>
  <c r="N121" i="18"/>
  <c r="O121" i="18"/>
  <c r="P121" i="18"/>
  <c r="Q121" i="18"/>
  <c r="I129" i="18"/>
  <c r="J129" i="18"/>
  <c r="K129" i="18"/>
  <c r="L129" i="18"/>
  <c r="M129" i="18"/>
  <c r="N129" i="18"/>
  <c r="O129" i="18"/>
  <c r="P129" i="18"/>
  <c r="Q129" i="18"/>
  <c r="H129" i="18"/>
  <c r="I128" i="18"/>
  <c r="J128" i="18"/>
  <c r="K128" i="18"/>
  <c r="L128" i="18"/>
  <c r="M128" i="18"/>
  <c r="N128" i="18"/>
  <c r="O128" i="18"/>
  <c r="P128" i="18"/>
  <c r="Q128" i="18"/>
  <c r="H128" i="18"/>
  <c r="R136" i="18" l="1"/>
  <c r="R108" i="18"/>
  <c r="R141" i="18"/>
  <c r="R137" i="18"/>
  <c r="R138" i="18"/>
  <c r="R142" i="18"/>
  <c r="R139" i="18"/>
  <c r="R131" i="18"/>
  <c r="R132" i="18"/>
  <c r="R133" i="18"/>
  <c r="R121" i="18"/>
  <c r="AD53" i="18"/>
  <c r="AF53" i="18"/>
  <c r="R129" i="18"/>
  <c r="R128" i="18"/>
  <c r="S9" i="18"/>
  <c r="S10" i="18"/>
  <c r="S12" i="18"/>
  <c r="S15" i="18"/>
  <c r="S17" i="18"/>
  <c r="S18" i="18"/>
  <c r="S23" i="18"/>
  <c r="S25" i="18"/>
  <c r="S26" i="18"/>
  <c r="S27" i="18"/>
  <c r="S28" i="18"/>
  <c r="S44" i="18"/>
  <c r="S46" i="18"/>
  <c r="S50" i="18"/>
  <c r="S52" i="18"/>
  <c r="T52" i="18" s="1"/>
  <c r="U52" i="18" s="1"/>
  <c r="V52" i="18" s="1"/>
  <c r="W52" i="18" s="1"/>
  <c r="X52" i="18" s="1"/>
  <c r="Y52" i="18" s="1"/>
  <c r="Z52" i="18" s="1"/>
  <c r="AA52" i="18" s="1"/>
  <c r="AB52" i="18" s="1"/>
  <c r="AC52" i="18" s="1"/>
  <c r="S54" i="18"/>
  <c r="S55" i="18"/>
  <c r="S57" i="18"/>
  <c r="S61" i="18"/>
  <c r="S7" i="18"/>
  <c r="S6" i="18"/>
  <c r="AE9" i="18"/>
  <c r="AE10" i="18"/>
  <c r="AE11" i="18"/>
  <c r="AE12" i="18"/>
  <c r="AE15" i="18"/>
  <c r="AE17" i="18"/>
  <c r="AE18" i="18"/>
  <c r="AE23" i="18"/>
  <c r="AE25" i="18"/>
  <c r="AE26" i="18"/>
  <c r="AE27" i="18"/>
  <c r="AE28" i="18"/>
  <c r="AE44" i="18"/>
  <c r="AE46" i="18"/>
  <c r="AE50" i="18"/>
  <c r="AE52" i="18"/>
  <c r="AE54" i="18"/>
  <c r="AE55" i="18"/>
  <c r="AE57" i="18"/>
  <c r="AE61" i="18"/>
  <c r="AE63" i="18"/>
  <c r="AE65" i="18"/>
  <c r="AE71" i="18"/>
  <c r="AE72" i="18"/>
  <c r="AE74" i="18"/>
  <c r="AE75" i="18"/>
  <c r="AE76" i="18"/>
  <c r="AE77" i="18"/>
  <c r="AE79" i="18"/>
  <c r="AE80" i="18"/>
  <c r="AE81" i="18"/>
  <c r="AE83" i="18"/>
  <c r="AE84" i="18"/>
  <c r="AE85" i="18"/>
  <c r="AE86" i="18"/>
  <c r="AE89" i="18"/>
  <c r="AE91" i="18"/>
  <c r="AE93" i="18"/>
  <c r="AE94" i="18"/>
  <c r="AE95" i="18"/>
  <c r="AE96" i="18"/>
  <c r="AE97" i="18"/>
  <c r="AE99" i="18"/>
  <c r="AE100" i="18"/>
  <c r="AE101" i="18"/>
  <c r="AE7" i="18"/>
  <c r="AE6" i="18"/>
  <c r="H118" i="18" l="1"/>
  <c r="I118" i="18"/>
  <c r="J118" i="18"/>
  <c r="K118" i="18"/>
  <c r="L118" i="18"/>
  <c r="M118" i="18"/>
  <c r="N118" i="18"/>
  <c r="O118" i="18"/>
  <c r="P118" i="18"/>
  <c r="Q118" i="18"/>
  <c r="R118" i="18" l="1"/>
  <c r="I111" i="18"/>
  <c r="J111" i="18"/>
  <c r="K111" i="18"/>
  <c r="L111" i="18"/>
  <c r="M111" i="18"/>
  <c r="N111" i="18"/>
  <c r="O111" i="18"/>
  <c r="P111" i="18"/>
  <c r="Q111" i="18"/>
  <c r="I112" i="18"/>
  <c r="J112" i="18"/>
  <c r="K112" i="18"/>
  <c r="L112" i="18"/>
  <c r="M112" i="18"/>
  <c r="N112" i="18"/>
  <c r="O112" i="18"/>
  <c r="P112" i="18"/>
  <c r="Q112" i="18"/>
  <c r="H112" i="18"/>
  <c r="H111" i="18"/>
  <c r="T50" i="18"/>
  <c r="U50" i="18" s="1"/>
  <c r="V50" i="18" s="1"/>
  <c r="W50" i="18" s="1"/>
  <c r="X50" i="18" s="1"/>
  <c r="Y50" i="18" s="1"/>
  <c r="Z50" i="18" s="1"/>
  <c r="AA50" i="18" s="1"/>
  <c r="AB50" i="18" s="1"/>
  <c r="AC50" i="18" s="1"/>
  <c r="R50" i="18"/>
  <c r="R112" i="18" l="1"/>
  <c r="R111" i="18"/>
  <c r="AF50" i="18"/>
  <c r="AD50" i="18"/>
  <c r="I120" i="18"/>
  <c r="J120" i="18"/>
  <c r="K120" i="18"/>
  <c r="L120" i="18"/>
  <c r="M120" i="18"/>
  <c r="N120" i="18"/>
  <c r="O120" i="18"/>
  <c r="P120" i="18"/>
  <c r="Q120" i="18"/>
  <c r="H120" i="18"/>
  <c r="I119" i="18"/>
  <c r="J119" i="18"/>
  <c r="K119" i="18"/>
  <c r="L119" i="18"/>
  <c r="M119" i="18"/>
  <c r="N119" i="18"/>
  <c r="O119" i="18"/>
  <c r="P119" i="18"/>
  <c r="Q119" i="18"/>
  <c r="H119" i="18"/>
  <c r="R119" i="18" l="1"/>
  <c r="R120" i="18"/>
  <c r="AF88" i="18"/>
  <c r="C190" i="18" l="1"/>
  <c r="E190" i="18"/>
  <c r="F190" i="18"/>
  <c r="G190" i="18"/>
  <c r="H190" i="18"/>
  <c r="I190" i="18"/>
  <c r="J190" i="18"/>
  <c r="K190" i="18"/>
  <c r="L190" i="18"/>
  <c r="M190" i="18"/>
  <c r="N190" i="18"/>
  <c r="O190" i="18"/>
  <c r="P190" i="18"/>
  <c r="Q190" i="18"/>
  <c r="C9" i="15"/>
  <c r="E89" i="18"/>
  <c r="F89" i="18"/>
  <c r="F123" i="18" s="1"/>
  <c r="F124" i="18" s="1"/>
  <c r="F125" i="18" s="1"/>
  <c r="F126" i="18" s="1"/>
  <c r="G89" i="18"/>
  <c r="G123" i="18" s="1"/>
  <c r="G124" i="18" s="1"/>
  <c r="G125" i="18" s="1"/>
  <c r="G126" i="18" s="1"/>
  <c r="H89" i="18"/>
  <c r="H123" i="18" s="1"/>
  <c r="H124" i="18" s="1"/>
  <c r="I89" i="18"/>
  <c r="I123" i="18" s="1"/>
  <c r="I124" i="18" s="1"/>
  <c r="J89" i="18"/>
  <c r="J123" i="18" s="1"/>
  <c r="J124" i="18" s="1"/>
  <c r="K89" i="18"/>
  <c r="K123" i="18" s="1"/>
  <c r="K124" i="18" s="1"/>
  <c r="L89" i="18"/>
  <c r="L123" i="18" s="1"/>
  <c r="L124" i="18" s="1"/>
  <c r="M89" i="18"/>
  <c r="M123" i="18" s="1"/>
  <c r="M124" i="18" s="1"/>
  <c r="N89" i="18"/>
  <c r="N123" i="18" s="1"/>
  <c r="N124" i="18" s="1"/>
  <c r="O89" i="18"/>
  <c r="O123" i="18" s="1"/>
  <c r="O124" i="18" s="1"/>
  <c r="P89" i="18"/>
  <c r="P123" i="18" s="1"/>
  <c r="P124" i="18" s="1"/>
  <c r="Q89" i="18"/>
  <c r="Q123" i="18" s="1"/>
  <c r="C89" i="18"/>
  <c r="T65" i="18"/>
  <c r="T89" i="18" s="1"/>
  <c r="T123" i="18" s="1"/>
  <c r="T124" i="18" s="1"/>
  <c r="R65" i="18"/>
  <c r="O125" i="18" l="1"/>
  <c r="O126" i="18" s="1"/>
  <c r="K125" i="18"/>
  <c r="K126" i="18" s="1"/>
  <c r="M125" i="18"/>
  <c r="M126" i="18" s="1"/>
  <c r="I125" i="18"/>
  <c r="I126" i="18" s="1"/>
  <c r="N125" i="18"/>
  <c r="N126" i="18" s="1"/>
  <c r="J125" i="18"/>
  <c r="J126" i="18" s="1"/>
  <c r="P125" i="18"/>
  <c r="P126" i="18" s="1"/>
  <c r="L125" i="18"/>
  <c r="L126" i="18" s="1"/>
  <c r="H125" i="18"/>
  <c r="H126" i="18" s="1"/>
  <c r="Q124" i="18"/>
  <c r="R123" i="18"/>
  <c r="U65" i="18"/>
  <c r="V65" i="18" s="1"/>
  <c r="W65" i="18" s="1"/>
  <c r="X65" i="18" s="1"/>
  <c r="Q125" i="18" l="1"/>
  <c r="R124" i="18"/>
  <c r="V89" i="18"/>
  <c r="Y65" i="18"/>
  <c r="X89" i="18"/>
  <c r="W89" i="18"/>
  <c r="U89" i="18"/>
  <c r="C99" i="18"/>
  <c r="E99" i="18"/>
  <c r="F99" i="18"/>
  <c r="G99" i="18"/>
  <c r="H99" i="18"/>
  <c r="I99" i="18"/>
  <c r="J99" i="18"/>
  <c r="K99" i="18"/>
  <c r="L99" i="18"/>
  <c r="M99" i="18"/>
  <c r="N99" i="18"/>
  <c r="O99" i="18"/>
  <c r="P99" i="18"/>
  <c r="C100" i="18"/>
  <c r="E100" i="18"/>
  <c r="F100" i="18"/>
  <c r="G100" i="18"/>
  <c r="H100" i="18"/>
  <c r="I100" i="18"/>
  <c r="J100" i="18"/>
  <c r="K100" i="18"/>
  <c r="L100" i="18"/>
  <c r="M100" i="18"/>
  <c r="N100" i="18"/>
  <c r="O100" i="18"/>
  <c r="P100" i="18"/>
  <c r="C101" i="18"/>
  <c r="E101" i="18"/>
  <c r="F101" i="18"/>
  <c r="G101" i="18"/>
  <c r="H101" i="18"/>
  <c r="I101" i="18"/>
  <c r="J101" i="18"/>
  <c r="K101" i="18"/>
  <c r="L101" i="18"/>
  <c r="M101" i="18"/>
  <c r="N101" i="18"/>
  <c r="O101" i="18"/>
  <c r="P101" i="18"/>
  <c r="Q101" i="18"/>
  <c r="Q100" i="18"/>
  <c r="Q99" i="18"/>
  <c r="C107" i="18"/>
  <c r="E107" i="18"/>
  <c r="I107" i="18"/>
  <c r="J107" i="18"/>
  <c r="K107" i="18"/>
  <c r="L107" i="18"/>
  <c r="M107" i="18"/>
  <c r="N107" i="18"/>
  <c r="O107" i="18"/>
  <c r="P107" i="18"/>
  <c r="C105" i="18"/>
  <c r="E105" i="18"/>
  <c r="C106" i="18"/>
  <c r="E106" i="18"/>
  <c r="H106" i="18"/>
  <c r="I106" i="18"/>
  <c r="J106" i="18"/>
  <c r="K106" i="18"/>
  <c r="L106" i="18"/>
  <c r="M106" i="18"/>
  <c r="N106" i="18"/>
  <c r="O106" i="18"/>
  <c r="P106" i="18"/>
  <c r="H105" i="18"/>
  <c r="I105" i="18"/>
  <c r="J105" i="18"/>
  <c r="K105" i="18"/>
  <c r="L105" i="18"/>
  <c r="M105" i="18"/>
  <c r="N105" i="18"/>
  <c r="O105" i="18"/>
  <c r="P105" i="18"/>
  <c r="Q106" i="18"/>
  <c r="H58" i="18"/>
  <c r="R101" i="18" l="1"/>
  <c r="Z65" i="18"/>
  <c r="Y89" i="18"/>
  <c r="R99" i="18"/>
  <c r="R100" i="18"/>
  <c r="R106" i="18"/>
  <c r="R107" i="18"/>
  <c r="Q105" i="18"/>
  <c r="R105" i="18" s="1"/>
  <c r="C206" i="18"/>
  <c r="E206" i="18"/>
  <c r="F206" i="18"/>
  <c r="G206" i="18"/>
  <c r="C207" i="18"/>
  <c r="E207" i="18"/>
  <c r="F207" i="18"/>
  <c r="G207" i="18"/>
  <c r="C208" i="18"/>
  <c r="E208" i="18"/>
  <c r="F208" i="18"/>
  <c r="G208" i="18"/>
  <c r="I208" i="18"/>
  <c r="J208" i="18"/>
  <c r="K208" i="18"/>
  <c r="L208" i="18"/>
  <c r="M208" i="18"/>
  <c r="N208" i="18"/>
  <c r="O208" i="18"/>
  <c r="P208" i="18"/>
  <c r="Q208" i="18"/>
  <c r="H208" i="18"/>
  <c r="I207" i="18"/>
  <c r="J207" i="18"/>
  <c r="K207" i="18"/>
  <c r="L207" i="18"/>
  <c r="M207" i="18"/>
  <c r="N207" i="18"/>
  <c r="O207" i="18"/>
  <c r="P207" i="18"/>
  <c r="Q207" i="18"/>
  <c r="H207" i="18"/>
  <c r="I206" i="18"/>
  <c r="J206" i="18"/>
  <c r="K206" i="18"/>
  <c r="L206" i="18"/>
  <c r="M206" i="18"/>
  <c r="N206" i="18"/>
  <c r="O206" i="18"/>
  <c r="P206" i="18"/>
  <c r="Q206" i="18"/>
  <c r="H206" i="18"/>
  <c r="I72" i="18"/>
  <c r="J72" i="18"/>
  <c r="K72" i="18"/>
  <c r="L72" i="18"/>
  <c r="M72" i="18"/>
  <c r="N72" i="18"/>
  <c r="O72" i="18"/>
  <c r="P72" i="18"/>
  <c r="Q72" i="18"/>
  <c r="C72" i="18"/>
  <c r="E72" i="18"/>
  <c r="F72" i="18"/>
  <c r="G72" i="18"/>
  <c r="H72" i="18"/>
  <c r="H74" i="18"/>
  <c r="H189" i="18" s="1"/>
  <c r="I71" i="18"/>
  <c r="I183" i="18" s="1"/>
  <c r="J71" i="18"/>
  <c r="J183" i="18" s="1"/>
  <c r="K71" i="18"/>
  <c r="K183" i="18" s="1"/>
  <c r="L71" i="18"/>
  <c r="L183" i="18" s="1"/>
  <c r="M71" i="18"/>
  <c r="M183" i="18" s="1"/>
  <c r="N71" i="18"/>
  <c r="N183" i="18" s="1"/>
  <c r="O71" i="18"/>
  <c r="O183" i="18" s="1"/>
  <c r="P71" i="18"/>
  <c r="P183" i="18" s="1"/>
  <c r="Q71" i="18"/>
  <c r="C71" i="18"/>
  <c r="C183" i="18" s="1"/>
  <c r="E71" i="18"/>
  <c r="E183" i="18" s="1"/>
  <c r="F71" i="18"/>
  <c r="F183" i="18" s="1"/>
  <c r="G71" i="18"/>
  <c r="G183" i="18" s="1"/>
  <c r="H71" i="18"/>
  <c r="H183" i="18" s="1"/>
  <c r="P58" i="18"/>
  <c r="O58" i="18"/>
  <c r="N58" i="18"/>
  <c r="M58" i="18"/>
  <c r="L58" i="18"/>
  <c r="K58" i="18"/>
  <c r="J58" i="18"/>
  <c r="I58" i="18"/>
  <c r="Q8" i="18"/>
  <c r="R63" i="18"/>
  <c r="T57" i="18"/>
  <c r="R57" i="18"/>
  <c r="R183" i="18" l="1"/>
  <c r="AA65" i="18"/>
  <c r="Z89" i="18"/>
  <c r="U57" i="18"/>
  <c r="R208" i="18"/>
  <c r="R72" i="18"/>
  <c r="R71" i="18"/>
  <c r="R207" i="18"/>
  <c r="R206" i="18"/>
  <c r="R52" i="18"/>
  <c r="R55" i="18"/>
  <c r="AB65" i="18" l="1"/>
  <c r="AA89" i="18"/>
  <c r="V57" i="18"/>
  <c r="J96" i="18"/>
  <c r="K96" i="18"/>
  <c r="L96" i="18"/>
  <c r="M96" i="18"/>
  <c r="N96" i="18"/>
  <c r="O96" i="18"/>
  <c r="P96" i="18"/>
  <c r="Q96" i="18"/>
  <c r="J97" i="18"/>
  <c r="K97" i="18"/>
  <c r="L97" i="18"/>
  <c r="M97" i="18"/>
  <c r="N97" i="18"/>
  <c r="O97" i="18"/>
  <c r="P97" i="18"/>
  <c r="Q97" i="18"/>
  <c r="J91" i="18"/>
  <c r="J93" i="18" s="1"/>
  <c r="K91" i="18"/>
  <c r="K93" i="18" s="1"/>
  <c r="L91" i="18"/>
  <c r="L93" i="18" s="1"/>
  <c r="M91" i="18"/>
  <c r="M93" i="18" s="1"/>
  <c r="N91" i="18"/>
  <c r="N93" i="18" s="1"/>
  <c r="O91" i="18"/>
  <c r="O93" i="18" s="1"/>
  <c r="P91" i="18"/>
  <c r="P93" i="18" s="1"/>
  <c r="Q91" i="18"/>
  <c r="Q93" i="18" s="1"/>
  <c r="J94" i="18"/>
  <c r="K94" i="18"/>
  <c r="L94" i="18"/>
  <c r="M94" i="18"/>
  <c r="N94" i="18"/>
  <c r="O94" i="18"/>
  <c r="P94" i="18"/>
  <c r="Q94" i="18"/>
  <c r="J95" i="18"/>
  <c r="K95" i="18"/>
  <c r="L95" i="18"/>
  <c r="M95" i="18"/>
  <c r="N95" i="18"/>
  <c r="O95" i="18"/>
  <c r="P95" i="18"/>
  <c r="Q95" i="18"/>
  <c r="C94" i="18"/>
  <c r="E94" i="18"/>
  <c r="F94" i="18"/>
  <c r="G94" i="18"/>
  <c r="H94" i="18"/>
  <c r="C95" i="18"/>
  <c r="E95" i="18"/>
  <c r="F95" i="18"/>
  <c r="G95" i="18"/>
  <c r="H95" i="18"/>
  <c r="C96" i="18"/>
  <c r="E96" i="18"/>
  <c r="F96" i="18"/>
  <c r="G96" i="18"/>
  <c r="H96" i="18"/>
  <c r="C97" i="18"/>
  <c r="E97" i="18"/>
  <c r="F97" i="18"/>
  <c r="G97" i="18"/>
  <c r="H97" i="18"/>
  <c r="I97" i="18"/>
  <c r="I96" i="18"/>
  <c r="T28" i="18"/>
  <c r="U28" i="18" s="1"/>
  <c r="V28" i="18" s="1"/>
  <c r="W28" i="18" s="1"/>
  <c r="X28" i="18" s="1"/>
  <c r="Y28" i="18" s="1"/>
  <c r="Z28" i="18" s="1"/>
  <c r="AA28" i="18" s="1"/>
  <c r="AB28" i="18" s="1"/>
  <c r="AC28" i="18" s="1"/>
  <c r="AF28" i="18" s="1"/>
  <c r="R28" i="18"/>
  <c r="T27" i="18"/>
  <c r="U27" i="18" s="1"/>
  <c r="V27" i="18" s="1"/>
  <c r="W27" i="18" s="1"/>
  <c r="X27" i="18" s="1"/>
  <c r="Y27" i="18" s="1"/>
  <c r="Z27" i="18" s="1"/>
  <c r="AA27" i="18" s="1"/>
  <c r="AB27" i="18" s="1"/>
  <c r="AC27" i="18" s="1"/>
  <c r="T26" i="18"/>
  <c r="R25" i="18"/>
  <c r="C91" i="18"/>
  <c r="C93" i="18" s="1"/>
  <c r="E91" i="18"/>
  <c r="E93" i="18" s="1"/>
  <c r="F91" i="18"/>
  <c r="F93" i="18" s="1"/>
  <c r="G91" i="18"/>
  <c r="G93" i="18" s="1"/>
  <c r="H91" i="18"/>
  <c r="H93" i="18" s="1"/>
  <c r="I91" i="18"/>
  <c r="I93" i="18" s="1"/>
  <c r="I95" i="18"/>
  <c r="I94" i="18"/>
  <c r="AF52" i="18" l="1"/>
  <c r="AD52" i="18"/>
  <c r="AD27" i="18"/>
  <c r="AF27" i="18"/>
  <c r="AC65" i="18"/>
  <c r="AF65" i="18" s="1"/>
  <c r="AB89" i="18"/>
  <c r="W57" i="18"/>
  <c r="R96" i="18"/>
  <c r="R97" i="18"/>
  <c r="R95" i="18"/>
  <c r="R93" i="18"/>
  <c r="R94" i="18"/>
  <c r="AD28" i="18"/>
  <c r="R27" i="18"/>
  <c r="R26" i="18"/>
  <c r="R91" i="18"/>
  <c r="T25" i="18"/>
  <c r="U26" i="18"/>
  <c r="R89" i="18"/>
  <c r="R182" i="18"/>
  <c r="U25" i="18" l="1"/>
  <c r="T91" i="18"/>
  <c r="AC89" i="18"/>
  <c r="AD65" i="18"/>
  <c r="V26" i="18"/>
  <c r="C19" i="15"/>
  <c r="T9" i="18"/>
  <c r="U9" i="18" s="1"/>
  <c r="V9" i="18" s="1"/>
  <c r="W9" i="18" s="1"/>
  <c r="X9" i="18" s="1"/>
  <c r="Y9" i="18" s="1"/>
  <c r="Z9" i="18" s="1"/>
  <c r="AA9" i="18" s="1"/>
  <c r="AB9" i="18" s="1"/>
  <c r="AC9" i="18" s="1"/>
  <c r="AF9" i="18" s="1"/>
  <c r="R61" i="18"/>
  <c r="R54" i="18"/>
  <c r="R46" i="18"/>
  <c r="R44" i="18"/>
  <c r="R23" i="18"/>
  <c r="R18" i="18"/>
  <c r="R17" i="18"/>
  <c r="R15" i="18"/>
  <c r="R12" i="18"/>
  <c r="R10" i="18"/>
  <c r="R9" i="18"/>
  <c r="R7" i="18"/>
  <c r="R6" i="18"/>
  <c r="T23" i="18"/>
  <c r="T44" i="18"/>
  <c r="T46" i="18"/>
  <c r="T139" i="18" s="1"/>
  <c r="T54" i="18"/>
  <c r="U54" i="18" s="1"/>
  <c r="V54" i="18" s="1"/>
  <c r="W54" i="18" s="1"/>
  <c r="X54" i="18" s="1"/>
  <c r="Y54" i="18" s="1"/>
  <c r="Z54" i="18" s="1"/>
  <c r="AA54" i="18" s="1"/>
  <c r="AB54" i="18" s="1"/>
  <c r="AC54" i="18" s="1"/>
  <c r="AF54" i="18" s="1"/>
  <c r="T55" i="18"/>
  <c r="U55" i="18" s="1"/>
  <c r="V55" i="18" s="1"/>
  <c r="W55" i="18" s="1"/>
  <c r="X55" i="18" s="1"/>
  <c r="Y55" i="18" s="1"/>
  <c r="Z55" i="18" s="1"/>
  <c r="AA55" i="18" s="1"/>
  <c r="AB55" i="18" s="1"/>
  <c r="AC55" i="18" s="1"/>
  <c r="AF55" i="18" s="1"/>
  <c r="X57" i="18"/>
  <c r="P87" i="18"/>
  <c r="P187" i="18" s="1"/>
  <c r="P86" i="18"/>
  <c r="P84" i="18"/>
  <c r="P83" i="18"/>
  <c r="P81" i="18"/>
  <c r="P188" i="18" s="1"/>
  <c r="P80" i="18"/>
  <c r="P79" i="18"/>
  <c r="P77" i="18"/>
  <c r="P76" i="18"/>
  <c r="P185" i="18" s="1"/>
  <c r="P75" i="18"/>
  <c r="P74" i="18"/>
  <c r="T138" i="18" l="1"/>
  <c r="T148" i="18"/>
  <c r="T109" i="18"/>
  <c r="U91" i="18"/>
  <c r="T132" i="18"/>
  <c r="T133" i="18"/>
  <c r="T131" i="18"/>
  <c r="T121" i="18"/>
  <c r="Q126" i="18"/>
  <c r="R126" i="18" s="1"/>
  <c r="R125" i="18"/>
  <c r="T111" i="18"/>
  <c r="T129" i="18"/>
  <c r="T128" i="18"/>
  <c r="U23" i="18"/>
  <c r="T170" i="18"/>
  <c r="R195" i="18" s="1"/>
  <c r="AF89" i="18"/>
  <c r="P184" i="18"/>
  <c r="P191" i="18" s="1"/>
  <c r="P192" i="18" s="1"/>
  <c r="P189" i="18"/>
  <c r="V25" i="18"/>
  <c r="AD89" i="18"/>
  <c r="U170" i="18" s="1"/>
  <c r="U46" i="18"/>
  <c r="U139" i="18" s="1"/>
  <c r="Y57" i="18"/>
  <c r="U44" i="18"/>
  <c r="T105" i="18"/>
  <c r="W26" i="18"/>
  <c r="AD54" i="18"/>
  <c r="AD55" i="18"/>
  <c r="AD9" i="18"/>
  <c r="P85" i="18"/>
  <c r="P186" i="18" s="1"/>
  <c r="E81" i="18"/>
  <c r="F81" i="18"/>
  <c r="G81" i="18"/>
  <c r="H81" i="18"/>
  <c r="H188" i="18" s="1"/>
  <c r="I81" i="18"/>
  <c r="I188" i="18" s="1"/>
  <c r="J81" i="18"/>
  <c r="J188" i="18" s="1"/>
  <c r="K81" i="18"/>
  <c r="K188" i="18" s="1"/>
  <c r="L81" i="18"/>
  <c r="L188" i="18" s="1"/>
  <c r="M81" i="18"/>
  <c r="M188" i="18" s="1"/>
  <c r="N81" i="18"/>
  <c r="N188" i="18" s="1"/>
  <c r="O81" i="18"/>
  <c r="O188" i="18" s="1"/>
  <c r="Q81" i="18"/>
  <c r="C81" i="18"/>
  <c r="C80" i="18"/>
  <c r="U138" i="18" l="1"/>
  <c r="U148" i="18"/>
  <c r="U109" i="18"/>
  <c r="U131" i="18"/>
  <c r="U133" i="18"/>
  <c r="U132" i="18"/>
  <c r="U121" i="18"/>
  <c r="U111" i="18"/>
  <c r="U129" i="18"/>
  <c r="U128" i="18"/>
  <c r="V23" i="18"/>
  <c r="S170" i="18"/>
  <c r="Q195" i="18" s="1"/>
  <c r="W25" i="18"/>
  <c r="V91" i="18"/>
  <c r="V46" i="18"/>
  <c r="V139" i="18" s="1"/>
  <c r="V44" i="18"/>
  <c r="V109" i="18" s="1"/>
  <c r="U105" i="18"/>
  <c r="Z57" i="18"/>
  <c r="X26" i="18"/>
  <c r="Q188" i="18"/>
  <c r="R188" i="18" s="1"/>
  <c r="R81" i="18"/>
  <c r="E80" i="18"/>
  <c r="F80" i="18"/>
  <c r="G80" i="18"/>
  <c r="H80" i="18"/>
  <c r="I80" i="18"/>
  <c r="J80" i="18"/>
  <c r="K80" i="18"/>
  <c r="L80" i="18"/>
  <c r="M80" i="18"/>
  <c r="N80" i="18"/>
  <c r="O80" i="18"/>
  <c r="Q80" i="18"/>
  <c r="E79" i="18"/>
  <c r="F79" i="18"/>
  <c r="G79" i="18"/>
  <c r="H79" i="18"/>
  <c r="I79" i="18"/>
  <c r="J79" i="18"/>
  <c r="K79" i="18"/>
  <c r="L79" i="18"/>
  <c r="M79" i="18"/>
  <c r="N79" i="18"/>
  <c r="O79" i="18"/>
  <c r="Q79" i="18"/>
  <c r="C79" i="18"/>
  <c r="V138" i="18" l="1"/>
  <c r="V148" i="18"/>
  <c r="V133" i="18"/>
  <c r="V132" i="18"/>
  <c r="V131" i="18"/>
  <c r="V121" i="18"/>
  <c r="V111" i="18"/>
  <c r="V129" i="18"/>
  <c r="V128" i="18"/>
  <c r="W23" i="18"/>
  <c r="X25" i="18"/>
  <c r="W91" i="18"/>
  <c r="W46" i="18"/>
  <c r="W139" i="18" s="1"/>
  <c r="W44" i="18"/>
  <c r="V105" i="18"/>
  <c r="AA57" i="18"/>
  <c r="Y26" i="18"/>
  <c r="R79" i="18"/>
  <c r="R80" i="18"/>
  <c r="C46" i="15"/>
  <c r="W138" i="18" l="1"/>
  <c r="W148" i="18"/>
  <c r="W109" i="18"/>
  <c r="W121" i="18"/>
  <c r="W133" i="18"/>
  <c r="W132" i="18"/>
  <c r="W131" i="18"/>
  <c r="W111" i="18"/>
  <c r="W129" i="18"/>
  <c r="W128" i="18"/>
  <c r="X23" i="18"/>
  <c r="Y25" i="18"/>
  <c r="X91" i="18"/>
  <c r="X46" i="18"/>
  <c r="X139" i="18" s="1"/>
  <c r="X44" i="18"/>
  <c r="W105" i="18"/>
  <c r="AB57" i="18"/>
  <c r="Z26" i="18"/>
  <c r="T182" i="18"/>
  <c r="C74" i="18"/>
  <c r="E74" i="18"/>
  <c r="F74" i="18"/>
  <c r="G74" i="18"/>
  <c r="I74" i="18"/>
  <c r="J74" i="18"/>
  <c r="K74" i="18"/>
  <c r="L74" i="18"/>
  <c r="M74" i="18"/>
  <c r="M189" i="18" s="1"/>
  <c r="N74" i="18"/>
  <c r="O74" i="18"/>
  <c r="O189" i="18" s="1"/>
  <c r="Q74" i="18"/>
  <c r="T203" i="18" s="1"/>
  <c r="U203" i="18" s="1"/>
  <c r="V203" i="18" s="1"/>
  <c r="W203" i="18" s="1"/>
  <c r="X203" i="18" s="1"/>
  <c r="Y203" i="18" s="1"/>
  <c r="Z203" i="18" s="1"/>
  <c r="AA203" i="18" s="1"/>
  <c r="AB203" i="18" s="1"/>
  <c r="AC203" i="18" s="1"/>
  <c r="AD203" i="18" s="1"/>
  <c r="AE203" i="18" s="1"/>
  <c r="AF203" i="18" s="1"/>
  <c r="AG203" i="18" s="1"/>
  <c r="AH203" i="18" s="1"/>
  <c r="AI203" i="18" s="1"/>
  <c r="AJ203" i="18" s="1"/>
  <c r="AK203" i="18" s="1"/>
  <c r="AL203" i="18" s="1"/>
  <c r="AM203" i="18" s="1"/>
  <c r="AN203" i="18" s="1"/>
  <c r="AO203" i="18" s="1"/>
  <c r="AP203" i="18" s="1"/>
  <c r="AQ203" i="18" s="1"/>
  <c r="AR203" i="18" s="1"/>
  <c r="AS203" i="18" s="1"/>
  <c r="AT203" i="18" s="1"/>
  <c r="AU203" i="18" s="1"/>
  <c r="AV203" i="18" s="1"/>
  <c r="AW203" i="18" s="1"/>
  <c r="E87" i="18"/>
  <c r="E187" i="18" s="1"/>
  <c r="F87" i="18"/>
  <c r="F187" i="18" s="1"/>
  <c r="G87" i="18"/>
  <c r="G187" i="18" s="1"/>
  <c r="H87" i="18"/>
  <c r="I87" i="18"/>
  <c r="I187" i="18" s="1"/>
  <c r="J87" i="18"/>
  <c r="J187" i="18" s="1"/>
  <c r="K87" i="18"/>
  <c r="K187" i="18" s="1"/>
  <c r="L87" i="18"/>
  <c r="L187" i="18" s="1"/>
  <c r="M87" i="18"/>
  <c r="M187" i="18" s="1"/>
  <c r="N87" i="18"/>
  <c r="N187" i="18" s="1"/>
  <c r="O87" i="18"/>
  <c r="Q87" i="18"/>
  <c r="E86" i="18"/>
  <c r="F86" i="18"/>
  <c r="G86" i="18"/>
  <c r="H86" i="18"/>
  <c r="I86" i="18"/>
  <c r="J86" i="18"/>
  <c r="K86" i="18"/>
  <c r="L86" i="18"/>
  <c r="M86" i="18"/>
  <c r="N86" i="18"/>
  <c r="O86" i="18"/>
  <c r="Q86" i="18"/>
  <c r="E84" i="18"/>
  <c r="F84" i="18"/>
  <c r="G84" i="18"/>
  <c r="H84" i="18"/>
  <c r="I84" i="18"/>
  <c r="J84" i="18"/>
  <c r="K84" i="18"/>
  <c r="L84" i="18"/>
  <c r="M84" i="18"/>
  <c r="N84" i="18"/>
  <c r="O84" i="18"/>
  <c r="Q84" i="18"/>
  <c r="E83" i="18"/>
  <c r="E85" i="18" s="1"/>
  <c r="E186" i="18" s="1"/>
  <c r="F83" i="18"/>
  <c r="F85" i="18" s="1"/>
  <c r="F186" i="18" s="1"/>
  <c r="G83" i="18"/>
  <c r="H83" i="18"/>
  <c r="I83" i="18"/>
  <c r="J83" i="18"/>
  <c r="K83" i="18"/>
  <c r="L83" i="18"/>
  <c r="M83" i="18"/>
  <c r="N83" i="18"/>
  <c r="O83" i="18"/>
  <c r="Q83" i="18"/>
  <c r="E77" i="18"/>
  <c r="F77" i="18"/>
  <c r="G77" i="18"/>
  <c r="H77" i="18"/>
  <c r="I77" i="18"/>
  <c r="J77" i="18"/>
  <c r="K77" i="18"/>
  <c r="L77" i="18"/>
  <c r="M77" i="18"/>
  <c r="N77" i="18"/>
  <c r="O77" i="18"/>
  <c r="Q77" i="18"/>
  <c r="E76" i="18"/>
  <c r="E185" i="18" s="1"/>
  <c r="F76" i="18"/>
  <c r="F185" i="18" s="1"/>
  <c r="G76" i="18"/>
  <c r="G185" i="18" s="1"/>
  <c r="H76" i="18"/>
  <c r="I76" i="18"/>
  <c r="I185" i="18" s="1"/>
  <c r="J76" i="18"/>
  <c r="J185" i="18" s="1"/>
  <c r="K76" i="18"/>
  <c r="K185" i="18" s="1"/>
  <c r="L76" i="18"/>
  <c r="L185" i="18" s="1"/>
  <c r="M76" i="18"/>
  <c r="M185" i="18" s="1"/>
  <c r="N76" i="18"/>
  <c r="N185" i="18" s="1"/>
  <c r="O76" i="18"/>
  <c r="Q76" i="18"/>
  <c r="C87" i="18"/>
  <c r="C187" i="18" s="1"/>
  <c r="C86" i="18"/>
  <c r="C84" i="18"/>
  <c r="C83" i="18"/>
  <c r="C77" i="18"/>
  <c r="C76" i="18"/>
  <c r="C185" i="18" s="1"/>
  <c r="E75" i="18"/>
  <c r="F75" i="18"/>
  <c r="G75" i="18"/>
  <c r="H75" i="18"/>
  <c r="I75" i="18"/>
  <c r="J75" i="18"/>
  <c r="K75" i="18"/>
  <c r="L75" i="18"/>
  <c r="M75" i="18"/>
  <c r="N75" i="18"/>
  <c r="O75" i="18"/>
  <c r="Q75" i="18"/>
  <c r="C75" i="18"/>
  <c r="T17" i="18"/>
  <c r="T136" i="18" s="1"/>
  <c r="T18" i="18"/>
  <c r="T144" i="18" s="1"/>
  <c r="T145" i="18" s="1"/>
  <c r="T61" i="18"/>
  <c r="T10" i="18"/>
  <c r="T12" i="18"/>
  <c r="T15" i="18"/>
  <c r="T7" i="18"/>
  <c r="T6" i="18"/>
  <c r="Q203" i="18" l="1"/>
  <c r="X138" i="18"/>
  <c r="X148" i="18"/>
  <c r="X109" i="18"/>
  <c r="T107" i="18"/>
  <c r="T108" i="18"/>
  <c r="T142" i="18"/>
  <c r="T141" i="18"/>
  <c r="T112" i="18"/>
  <c r="T137" i="18"/>
  <c r="I189" i="18"/>
  <c r="I184" i="18"/>
  <c r="I191" i="18" s="1"/>
  <c r="I192" i="18" s="1"/>
  <c r="X121" i="18"/>
  <c r="X132" i="18"/>
  <c r="X131" i="18"/>
  <c r="X133" i="18"/>
  <c r="T120" i="18"/>
  <c r="T125" i="18"/>
  <c r="T126" i="18" s="1"/>
  <c r="X111" i="18"/>
  <c r="X129" i="18"/>
  <c r="X128" i="18"/>
  <c r="T118" i="18"/>
  <c r="T119" i="18"/>
  <c r="Y23" i="18"/>
  <c r="E184" i="18"/>
  <c r="E189" i="18"/>
  <c r="F184" i="18"/>
  <c r="F189" i="18"/>
  <c r="C184" i="18"/>
  <c r="C189" i="18"/>
  <c r="Q184" i="18"/>
  <c r="Q191" i="18" s="1"/>
  <c r="Q192" i="18" s="1"/>
  <c r="Q189" i="18"/>
  <c r="L184" i="18"/>
  <c r="L191" i="18" s="1"/>
  <c r="L192" i="18" s="1"/>
  <c r="L189" i="18"/>
  <c r="G184" i="18"/>
  <c r="G189" i="18"/>
  <c r="K184" i="18"/>
  <c r="K191" i="18" s="1"/>
  <c r="K192" i="18" s="1"/>
  <c r="K189" i="18"/>
  <c r="N184" i="18"/>
  <c r="N191" i="18" s="1"/>
  <c r="N192" i="18" s="1"/>
  <c r="N189" i="18"/>
  <c r="J184" i="18"/>
  <c r="J191" i="18" s="1"/>
  <c r="J192" i="18" s="1"/>
  <c r="J189" i="18"/>
  <c r="R152" i="18"/>
  <c r="T202" i="18" s="1"/>
  <c r="U202" i="18" s="1"/>
  <c r="V202" i="18" s="1"/>
  <c r="W202" i="18" s="1"/>
  <c r="X202" i="18" s="1"/>
  <c r="Y202" i="18" s="1"/>
  <c r="Z202" i="18" s="1"/>
  <c r="AA202" i="18" s="1"/>
  <c r="AB202" i="18" s="1"/>
  <c r="AC202" i="18" s="1"/>
  <c r="AD202" i="18" s="1"/>
  <c r="AE202" i="18" s="1"/>
  <c r="AF202" i="18" s="1"/>
  <c r="AG202" i="18" s="1"/>
  <c r="AH202" i="18" s="1"/>
  <c r="AI202" i="18" s="1"/>
  <c r="AJ202" i="18" s="1"/>
  <c r="AK202" i="18" s="1"/>
  <c r="AL202" i="18" s="1"/>
  <c r="AM202" i="18" s="1"/>
  <c r="AN202" i="18" s="1"/>
  <c r="AO202" i="18" s="1"/>
  <c r="AP202" i="18" s="1"/>
  <c r="AQ202" i="18" s="1"/>
  <c r="AR202" i="18" s="1"/>
  <c r="AS202" i="18" s="1"/>
  <c r="AT202" i="18" s="1"/>
  <c r="AU202" i="18" s="1"/>
  <c r="AV202" i="18" s="1"/>
  <c r="AW202" i="18" s="1"/>
  <c r="Z25" i="18"/>
  <c r="Y91" i="18"/>
  <c r="I85" i="18"/>
  <c r="I186" i="18" s="1"/>
  <c r="Y46" i="18"/>
  <c r="Y139" i="18" s="1"/>
  <c r="U12" i="18"/>
  <c r="U17" i="18"/>
  <c r="U136" i="18" s="1"/>
  <c r="U15" i="18"/>
  <c r="U10" i="18"/>
  <c r="U18" i="18"/>
  <c r="U144" i="18" s="1"/>
  <c r="U145" i="18" s="1"/>
  <c r="U6" i="18"/>
  <c r="U7" i="18"/>
  <c r="Y44" i="18"/>
  <c r="X105" i="18"/>
  <c r="U61" i="18"/>
  <c r="T106" i="18"/>
  <c r="AC57" i="18"/>
  <c r="AF57" i="18" s="1"/>
  <c r="G85" i="18"/>
  <c r="G186" i="18" s="1"/>
  <c r="M85" i="18"/>
  <c r="M186" i="18" s="1"/>
  <c r="L85" i="18"/>
  <c r="L186" i="18" s="1"/>
  <c r="K85" i="18"/>
  <c r="K186" i="18" s="1"/>
  <c r="AA26" i="18"/>
  <c r="C85" i="18"/>
  <c r="C186" i="18" s="1"/>
  <c r="U182" i="18"/>
  <c r="J85" i="18"/>
  <c r="J186" i="18" s="1"/>
  <c r="R75" i="18"/>
  <c r="H185" i="18"/>
  <c r="R76" i="18"/>
  <c r="R77" i="18"/>
  <c r="R84" i="18"/>
  <c r="R86" i="18"/>
  <c r="H184" i="18"/>
  <c r="H191" i="18" s="1"/>
  <c r="H192" i="18" s="1"/>
  <c r="R74" i="18"/>
  <c r="H187" i="18"/>
  <c r="R87" i="18"/>
  <c r="H85" i="18"/>
  <c r="R83" i="18"/>
  <c r="O185" i="18"/>
  <c r="O184" i="18"/>
  <c r="O191" i="18" s="1"/>
  <c r="O192" i="18" s="1"/>
  <c r="O187" i="18"/>
  <c r="Q185" i="18"/>
  <c r="M184" i="18"/>
  <c r="M191" i="18" s="1"/>
  <c r="M192" i="18" s="1"/>
  <c r="O85" i="18"/>
  <c r="N85" i="18"/>
  <c r="N186" i="18" s="1"/>
  <c r="Q187" i="18"/>
  <c r="Q85" i="18"/>
  <c r="T84" i="18"/>
  <c r="C6" i="12"/>
  <c r="C26" i="15"/>
  <c r="C58" i="15"/>
  <c r="C57" i="15"/>
  <c r="C54" i="15"/>
  <c r="C53" i="15"/>
  <c r="C50" i="15"/>
  <c r="C49" i="15"/>
  <c r="C45" i="15"/>
  <c r="G188" i="18" l="1"/>
  <c r="G191" i="18"/>
  <c r="G192" i="18" s="1"/>
  <c r="F188" i="18"/>
  <c r="F191" i="18"/>
  <c r="C188" i="18"/>
  <c r="C191" i="18"/>
  <c r="E188" i="18"/>
  <c r="E191" i="18"/>
  <c r="Q202" i="18"/>
  <c r="T204" i="18"/>
  <c r="Y138" i="18"/>
  <c r="Y148" i="18"/>
  <c r="Y109" i="18"/>
  <c r="U142" i="18"/>
  <c r="U141" i="18"/>
  <c r="U112" i="18"/>
  <c r="U137" i="18"/>
  <c r="U108" i="18"/>
  <c r="Y131" i="18"/>
  <c r="Y132" i="18"/>
  <c r="Y133" i="18"/>
  <c r="Y121" i="18"/>
  <c r="Y111" i="18"/>
  <c r="Y129" i="18"/>
  <c r="Y128" i="18"/>
  <c r="U118" i="18"/>
  <c r="U119" i="18"/>
  <c r="U120" i="18"/>
  <c r="Z23" i="18"/>
  <c r="AA25" i="18"/>
  <c r="Z91" i="18"/>
  <c r="T83" i="18"/>
  <c r="T100" i="18"/>
  <c r="T79" i="18"/>
  <c r="T81" i="18"/>
  <c r="T188" i="18" s="1"/>
  <c r="T87" i="18"/>
  <c r="T187" i="18" s="1"/>
  <c r="T97" i="18"/>
  <c r="T99" i="18"/>
  <c r="T72" i="18"/>
  <c r="T71" i="18"/>
  <c r="T183" i="18" s="1"/>
  <c r="T80" i="18"/>
  <c r="T76" i="18"/>
  <c r="T77" i="18"/>
  <c r="T86" i="18"/>
  <c r="T75" i="18"/>
  <c r="T101" i="18"/>
  <c r="T74" i="18"/>
  <c r="Z46" i="18"/>
  <c r="Z139" i="18" s="1"/>
  <c r="V17" i="18"/>
  <c r="V136" i="18" s="1"/>
  <c r="V15" i="18"/>
  <c r="V12" i="18"/>
  <c r="T85" i="18"/>
  <c r="V18" i="18"/>
  <c r="V144" i="18" s="1"/>
  <c r="V145" i="18" s="1"/>
  <c r="V10" i="18"/>
  <c r="V7" i="18"/>
  <c r="V6" i="18"/>
  <c r="AD57" i="18"/>
  <c r="Z44" i="18"/>
  <c r="Y105" i="18"/>
  <c r="V61" i="18"/>
  <c r="U107" i="18"/>
  <c r="U106" i="18"/>
  <c r="U63" i="18"/>
  <c r="U123" i="18" s="1"/>
  <c r="U124" i="18" s="1"/>
  <c r="U125" i="18" s="1"/>
  <c r="U126" i="18" s="1"/>
  <c r="T94" i="18"/>
  <c r="T95" i="18"/>
  <c r="T96" i="18"/>
  <c r="T93" i="18"/>
  <c r="AB26" i="18"/>
  <c r="V182" i="18"/>
  <c r="R185" i="18"/>
  <c r="R184" i="18"/>
  <c r="R187" i="18"/>
  <c r="H186" i="18"/>
  <c r="R85" i="18"/>
  <c r="O186" i="18"/>
  <c r="Q186" i="18"/>
  <c r="C16" i="15"/>
  <c r="C21" i="15"/>
  <c r="C10" i="15"/>
  <c r="U204" i="18" l="1"/>
  <c r="T201" i="18"/>
  <c r="U201" i="18" s="1"/>
  <c r="Z138" i="18"/>
  <c r="Z148" i="18"/>
  <c r="Z109" i="18"/>
  <c r="V112" i="18"/>
  <c r="V137" i="18"/>
  <c r="V142" i="18"/>
  <c r="V141" i="18"/>
  <c r="V108" i="18"/>
  <c r="Z133" i="18"/>
  <c r="Z132" i="18"/>
  <c r="Z131" i="18"/>
  <c r="Z121" i="18"/>
  <c r="U83" i="18"/>
  <c r="Z111" i="18"/>
  <c r="Z129" i="18"/>
  <c r="Z128" i="18"/>
  <c r="V118" i="18"/>
  <c r="V119" i="18"/>
  <c r="V120" i="18"/>
  <c r="U79" i="18"/>
  <c r="AA23" i="18"/>
  <c r="AB25" i="18"/>
  <c r="AA91" i="18"/>
  <c r="U81" i="18"/>
  <c r="U188" i="18" s="1"/>
  <c r="U87" i="18"/>
  <c r="U187" i="18" s="1"/>
  <c r="U97" i="18"/>
  <c r="U99" i="18"/>
  <c r="U71" i="18"/>
  <c r="U183" i="18" s="1"/>
  <c r="U72" i="18"/>
  <c r="U76" i="18"/>
  <c r="U75" i="18"/>
  <c r="U86" i="18"/>
  <c r="U101" i="18"/>
  <c r="U80" i="18"/>
  <c r="U77" i="18"/>
  <c r="U74" i="18"/>
  <c r="U84" i="18"/>
  <c r="U100" i="18"/>
  <c r="AA46" i="18"/>
  <c r="AA139" i="18" s="1"/>
  <c r="W15" i="18"/>
  <c r="W12" i="18"/>
  <c r="W17" i="18"/>
  <c r="W136" i="18" s="1"/>
  <c r="W10" i="18"/>
  <c r="W18" i="18"/>
  <c r="W144" i="18" s="1"/>
  <c r="W145" i="18" s="1"/>
  <c r="W6" i="18"/>
  <c r="W7" i="18"/>
  <c r="W61" i="18"/>
  <c r="V107" i="18"/>
  <c r="V106" i="18"/>
  <c r="AA44" i="18"/>
  <c r="Z105" i="18"/>
  <c r="V63" i="18"/>
  <c r="V123" i="18" s="1"/>
  <c r="V124" i="18" s="1"/>
  <c r="V125" i="18" s="1"/>
  <c r="V126" i="18" s="1"/>
  <c r="U96" i="18"/>
  <c r="U95" i="18"/>
  <c r="U94" i="18"/>
  <c r="U93" i="18"/>
  <c r="AC26" i="18"/>
  <c r="AF26" i="18" s="1"/>
  <c r="T186" i="18"/>
  <c r="W182" i="18"/>
  <c r="T184" i="18"/>
  <c r="T185" i="18"/>
  <c r="R186" i="18"/>
  <c r="D31" i="8"/>
  <c r="D29" i="8"/>
  <c r="D28" i="8"/>
  <c r="D13" i="8"/>
  <c r="D30" i="8" s="1"/>
  <c r="E14" i="8"/>
  <c r="F14" i="8" s="1"/>
  <c r="G14" i="8" s="1"/>
  <c r="H14" i="8" s="1"/>
  <c r="I14" i="8" s="1"/>
  <c r="V204" i="18" l="1"/>
  <c r="W204" i="18" s="1"/>
  <c r="V201" i="18"/>
  <c r="AA138" i="18"/>
  <c r="AA148" i="18"/>
  <c r="AA109" i="18"/>
  <c r="W108" i="18"/>
  <c r="W141" i="18"/>
  <c r="W142" i="18"/>
  <c r="W112" i="18"/>
  <c r="W137" i="18"/>
  <c r="AA133" i="18"/>
  <c r="AA132" i="18"/>
  <c r="AA131" i="18"/>
  <c r="AA121" i="18"/>
  <c r="V83" i="18"/>
  <c r="U85" i="18"/>
  <c r="U186" i="18" s="1"/>
  <c r="AA111" i="18"/>
  <c r="AA129" i="18"/>
  <c r="AA128" i="18"/>
  <c r="W118" i="18"/>
  <c r="W120" i="18"/>
  <c r="W119" i="18"/>
  <c r="AB23" i="18"/>
  <c r="AC25" i="18"/>
  <c r="AB91" i="18"/>
  <c r="V101" i="18"/>
  <c r="V100" i="18"/>
  <c r="V79" i="18"/>
  <c r="V87" i="18"/>
  <c r="V187" i="18" s="1"/>
  <c r="V86" i="18"/>
  <c r="V81" i="18"/>
  <c r="V188" i="18" s="1"/>
  <c r="V84" i="18"/>
  <c r="V75" i="18"/>
  <c r="V97" i="18"/>
  <c r="V99" i="18"/>
  <c r="V72" i="18"/>
  <c r="V71" i="18"/>
  <c r="V183" i="18" s="1"/>
  <c r="V80" i="18"/>
  <c r="V76" i="18"/>
  <c r="V77" i="18"/>
  <c r="V74" i="18"/>
  <c r="AB46" i="18"/>
  <c r="AB139" i="18" s="1"/>
  <c r="X12" i="18"/>
  <c r="X17" i="18"/>
  <c r="X136" i="18" s="1"/>
  <c r="X15" i="18"/>
  <c r="X18" i="18"/>
  <c r="X144" i="18" s="1"/>
  <c r="X145" i="18" s="1"/>
  <c r="X10" i="18"/>
  <c r="X7" i="18"/>
  <c r="X6" i="18"/>
  <c r="AB44" i="18"/>
  <c r="AB109" i="18" s="1"/>
  <c r="AA105" i="18"/>
  <c r="X61" i="18"/>
  <c r="W106" i="18"/>
  <c r="W107" i="18"/>
  <c r="W63" i="18"/>
  <c r="W123" i="18" s="1"/>
  <c r="W124" i="18" s="1"/>
  <c r="W125" i="18" s="1"/>
  <c r="W126" i="18" s="1"/>
  <c r="V96" i="18"/>
  <c r="V94" i="18"/>
  <c r="V95" i="18"/>
  <c r="V93" i="18"/>
  <c r="AD26" i="18"/>
  <c r="X182" i="18"/>
  <c r="U184" i="18"/>
  <c r="U18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204" i="18" l="1"/>
  <c r="W201" i="18"/>
  <c r="AB138" i="18"/>
  <c r="AB148" i="18"/>
  <c r="AF25" i="18"/>
  <c r="X142" i="18"/>
  <c r="X141" i="18"/>
  <c r="X112" i="18"/>
  <c r="X137" i="18"/>
  <c r="X108" i="18"/>
  <c r="AB132" i="18"/>
  <c r="AB131" i="18"/>
  <c r="AB133" i="18"/>
  <c r="AB121" i="18"/>
  <c r="V85" i="18"/>
  <c r="V186" i="18" s="1"/>
  <c r="AB111" i="18"/>
  <c r="AB129" i="18"/>
  <c r="AB128" i="18"/>
  <c r="W86" i="18"/>
  <c r="X118" i="18"/>
  <c r="X120" i="18"/>
  <c r="X119" i="18"/>
  <c r="AC23" i="18"/>
  <c r="W101" i="18"/>
  <c r="W77" i="18"/>
  <c r="W84" i="18"/>
  <c r="AD25" i="18"/>
  <c r="AC91" i="18"/>
  <c r="W75" i="18"/>
  <c r="W83" i="18"/>
  <c r="W80" i="18"/>
  <c r="W100" i="18"/>
  <c r="W76" i="18"/>
  <c r="W81" i="18"/>
  <c r="W188" i="18" s="1"/>
  <c r="W97" i="18"/>
  <c r="W99" i="18"/>
  <c r="W71" i="18"/>
  <c r="W183" i="18" s="1"/>
  <c r="W72" i="18"/>
  <c r="W79" i="18"/>
  <c r="W87" i="18"/>
  <c r="W187" i="18" s="1"/>
  <c r="W74" i="18"/>
  <c r="AC46" i="18"/>
  <c r="Y17" i="18"/>
  <c r="Y136" i="18" s="1"/>
  <c r="Y15" i="18"/>
  <c r="Y12" i="18"/>
  <c r="Y10" i="18"/>
  <c r="Y18" i="18"/>
  <c r="Y144" i="18" s="1"/>
  <c r="Y145" i="18" s="1"/>
  <c r="Y6" i="18"/>
  <c r="Y7" i="18"/>
  <c r="Y61" i="18"/>
  <c r="X107" i="18"/>
  <c r="X106" i="18"/>
  <c r="AC44" i="18"/>
  <c r="AB105" i="18"/>
  <c r="X63" i="18"/>
  <c r="X123" i="18" s="1"/>
  <c r="X124" i="18" s="1"/>
  <c r="X125" i="18" s="1"/>
  <c r="X126" i="18" s="1"/>
  <c r="W96" i="18"/>
  <c r="W94" i="18"/>
  <c r="W95" i="18"/>
  <c r="W93" i="18"/>
  <c r="Y182" i="18"/>
  <c r="V184" i="18"/>
  <c r="V18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201" i="18" l="1"/>
  <c r="Y204" i="18"/>
  <c r="AC138" i="18"/>
  <c r="AD138" i="18" s="1"/>
  <c r="AC148" i="18"/>
  <c r="AD148" i="18" s="1"/>
  <c r="AC109" i="18"/>
  <c r="AD109" i="18" s="1"/>
  <c r="Y112" i="18"/>
  <c r="Y137" i="18"/>
  <c r="Y142" i="18"/>
  <c r="Y141" i="18"/>
  <c r="AF46" i="18"/>
  <c r="AC139" i="18"/>
  <c r="AD139" i="18" s="1"/>
  <c r="Y108" i="18"/>
  <c r="AC131" i="18"/>
  <c r="AD131" i="18" s="1"/>
  <c r="AC133" i="18"/>
  <c r="AD133" i="18" s="1"/>
  <c r="AC132" i="18"/>
  <c r="AD132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21" i="18"/>
  <c r="AD121" i="18" s="1"/>
  <c r="W85" i="18"/>
  <c r="W186" i="18" s="1"/>
  <c r="X84" i="18"/>
  <c r="AC111" i="18"/>
  <c r="AD111" i="18" s="1"/>
  <c r="AC129" i="18"/>
  <c r="AD129" i="18" s="1"/>
  <c r="AC128" i="18"/>
  <c r="AD128" i="18" s="1"/>
  <c r="Y118" i="18"/>
  <c r="Y120" i="18"/>
  <c r="Y119" i="18"/>
  <c r="AF44" i="18"/>
  <c r="AF23" i="18"/>
  <c r="AD23" i="18"/>
  <c r="T172" i="18"/>
  <c r="AF91" i="18"/>
  <c r="AD91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87" i="18"/>
  <c r="X187" i="18" s="1"/>
  <c r="X86" i="18"/>
  <c r="X81" i="18"/>
  <c r="X188" i="18" s="1"/>
  <c r="X83" i="18"/>
  <c r="X80" i="18"/>
  <c r="X100" i="18"/>
  <c r="X79" i="18"/>
  <c r="X101" i="18"/>
  <c r="X97" i="18"/>
  <c r="X99" i="18"/>
  <c r="X72" i="18"/>
  <c r="X71" i="18"/>
  <c r="X183" i="18" s="1"/>
  <c r="X75" i="18"/>
  <c r="X76" i="18"/>
  <c r="X77" i="18"/>
  <c r="X74" i="18"/>
  <c r="AD46" i="18"/>
  <c r="Z12" i="18"/>
  <c r="Z17" i="18"/>
  <c r="Z136" i="18" s="1"/>
  <c r="Z15" i="18"/>
  <c r="Z10" i="18"/>
  <c r="Z18" i="18"/>
  <c r="Z144" i="18" s="1"/>
  <c r="Z145" i="18" s="1"/>
  <c r="Z7" i="18"/>
  <c r="Z6" i="18"/>
  <c r="AD44" i="18"/>
  <c r="AC105" i="18"/>
  <c r="AD105" i="18" s="1"/>
  <c r="Z61" i="18"/>
  <c r="Y107" i="18"/>
  <c r="Y106" i="18"/>
  <c r="O31" i="9"/>
  <c r="O32" i="9" s="1"/>
  <c r="Y63" i="18"/>
  <c r="Y123" i="18" s="1"/>
  <c r="Y124" i="18" s="1"/>
  <c r="Y125" i="18" s="1"/>
  <c r="Y126" i="18" s="1"/>
  <c r="X96" i="18"/>
  <c r="X94" i="18"/>
  <c r="X95" i="18"/>
  <c r="X93" i="18"/>
  <c r="Z182" i="18"/>
  <c r="W184" i="18"/>
  <c r="W185" i="18"/>
  <c r="P31" i="11"/>
  <c r="N32" i="11"/>
  <c r="T19" i="9"/>
  <c r="D22" i="9"/>
  <c r="Z204" i="18" l="1"/>
  <c r="Y201" i="18"/>
  <c r="Z142" i="18"/>
  <c r="Z141" i="18"/>
  <c r="Z112" i="18"/>
  <c r="Z137" i="18"/>
  <c r="Z108" i="18"/>
  <c r="X85" i="18"/>
  <c r="X186" i="18" s="1"/>
  <c r="Y77" i="18"/>
  <c r="Z118" i="18"/>
  <c r="Z119" i="18"/>
  <c r="Z120" i="18"/>
  <c r="U172" i="18"/>
  <c r="S172" i="18" s="1"/>
  <c r="Y79" i="18"/>
  <c r="Y86" i="18"/>
  <c r="Y74" i="18"/>
  <c r="Y81" i="18"/>
  <c r="Y188" i="18" s="1"/>
  <c r="Y76" i="18"/>
  <c r="Y75" i="18"/>
  <c r="Y97" i="18"/>
  <c r="Y99" i="18"/>
  <c r="Y72" i="18"/>
  <c r="Y71" i="18"/>
  <c r="Y183" i="18" s="1"/>
  <c r="Y101" i="18"/>
  <c r="Y80" i="18"/>
  <c r="Y87" i="18"/>
  <c r="Y187" i="18" s="1"/>
  <c r="Y84" i="18"/>
  <c r="Y83" i="18"/>
  <c r="Y100" i="18"/>
  <c r="AA15" i="18"/>
  <c r="AA12" i="18"/>
  <c r="AA17" i="18"/>
  <c r="AA136" i="18" s="1"/>
  <c r="AA10" i="18"/>
  <c r="AA18" i="18"/>
  <c r="AA144" i="18" s="1"/>
  <c r="AA145" i="18" s="1"/>
  <c r="AA6" i="18"/>
  <c r="AA7" i="18"/>
  <c r="AA61" i="18"/>
  <c r="Z107" i="18"/>
  <c r="Z106" i="18"/>
  <c r="Z63" i="18"/>
  <c r="Z123" i="18" s="1"/>
  <c r="Z124" i="18" s="1"/>
  <c r="Z125" i="18" s="1"/>
  <c r="Z126" i="18" s="1"/>
  <c r="Y96" i="18"/>
  <c r="Y94" i="18"/>
  <c r="Y95" i="18"/>
  <c r="Y93" i="18"/>
  <c r="AA182" i="18"/>
  <c r="X184" i="18"/>
  <c r="X18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1" i="18" l="1"/>
  <c r="AA204" i="18"/>
  <c r="AA112" i="18"/>
  <c r="AA137" i="18"/>
  <c r="AA141" i="18"/>
  <c r="AA142" i="18"/>
  <c r="AA108" i="18"/>
  <c r="AA118" i="18"/>
  <c r="AA119" i="18"/>
  <c r="AA120" i="18"/>
  <c r="Y85" i="18"/>
  <c r="Y186" i="18" s="1"/>
  <c r="Z97" i="18"/>
  <c r="Z99" i="18"/>
  <c r="Z71" i="18"/>
  <c r="Z183" i="18" s="1"/>
  <c r="Z72" i="18"/>
  <c r="Z81" i="18"/>
  <c r="Z188" i="18" s="1"/>
  <c r="Z87" i="18"/>
  <c r="Z187" i="18" s="1"/>
  <c r="Z86" i="18"/>
  <c r="Z84" i="18"/>
  <c r="Z75" i="18"/>
  <c r="Z74" i="18"/>
  <c r="Z80" i="18"/>
  <c r="Z76" i="18"/>
  <c r="Z77" i="18"/>
  <c r="Z83" i="18"/>
  <c r="Z100" i="18"/>
  <c r="Z79" i="18"/>
  <c r="Z101" i="18"/>
  <c r="AB12" i="18"/>
  <c r="AB17" i="18"/>
  <c r="AB136" i="18" s="1"/>
  <c r="AB15" i="18"/>
  <c r="AB10" i="18"/>
  <c r="AB18" i="18"/>
  <c r="AB144" i="18" s="1"/>
  <c r="AB145" i="18" s="1"/>
  <c r="AB7" i="18"/>
  <c r="AB6" i="18"/>
  <c r="AB61" i="18"/>
  <c r="AA106" i="18"/>
  <c r="AA107" i="18"/>
  <c r="AA63" i="18"/>
  <c r="AA123" i="18" s="1"/>
  <c r="AA124" i="18" s="1"/>
  <c r="AA125" i="18" s="1"/>
  <c r="AA126" i="18" s="1"/>
  <c r="Z96" i="18"/>
  <c r="Z94" i="18"/>
  <c r="Z95" i="18"/>
  <c r="Z93" i="18"/>
  <c r="AB182" i="18"/>
  <c r="Y184" i="18"/>
  <c r="Y185" i="18"/>
  <c r="N34" i="11"/>
  <c r="O33" i="11"/>
  <c r="D25" i="8"/>
  <c r="D23" i="8"/>
  <c r="AB204" i="18" l="1"/>
  <c r="AA201" i="18"/>
  <c r="AB108" i="18"/>
  <c r="AB141" i="18"/>
  <c r="AB142" i="18"/>
  <c r="AB112" i="18"/>
  <c r="AB137" i="18"/>
  <c r="AB118" i="18"/>
  <c r="AB119" i="18"/>
  <c r="AB120" i="18"/>
  <c r="Z85" i="18"/>
  <c r="Z186" i="18" s="1"/>
  <c r="AA97" i="18"/>
  <c r="AA99" i="18"/>
  <c r="AA72" i="18"/>
  <c r="AA71" i="18"/>
  <c r="AA183" i="18" s="1"/>
  <c r="AA75" i="18"/>
  <c r="AA86" i="18"/>
  <c r="AA76" i="18"/>
  <c r="AA81" i="18"/>
  <c r="AA188" i="18" s="1"/>
  <c r="AA84" i="18"/>
  <c r="AA83" i="18"/>
  <c r="AA101" i="18"/>
  <c r="AA87" i="18"/>
  <c r="AA187" i="18" s="1"/>
  <c r="AA74" i="18"/>
  <c r="AA80" i="18"/>
  <c r="AA100" i="18"/>
  <c r="AA79" i="18"/>
  <c r="AA77" i="18"/>
  <c r="AC17" i="18"/>
  <c r="AF17" i="18" s="1"/>
  <c r="AC15" i="18"/>
  <c r="AF15" i="18" s="1"/>
  <c r="AC12" i="18"/>
  <c r="AC137" i="18" s="1"/>
  <c r="AD137" i="18" s="1"/>
  <c r="AC10" i="18"/>
  <c r="AC18" i="18"/>
  <c r="AC6" i="18"/>
  <c r="AF6" i="18" s="1"/>
  <c r="AC7" i="18"/>
  <c r="AF7" i="18" s="1"/>
  <c r="AC61" i="18"/>
  <c r="AB107" i="18"/>
  <c r="AB106" i="18"/>
  <c r="AB63" i="18"/>
  <c r="AB123" i="18" s="1"/>
  <c r="AB124" i="18" s="1"/>
  <c r="AB125" i="18" s="1"/>
  <c r="AB126" i="18" s="1"/>
  <c r="AA96" i="18"/>
  <c r="AA94" i="18"/>
  <c r="AA95" i="18"/>
  <c r="AA93" i="18"/>
  <c r="AC182" i="18"/>
  <c r="Z184" i="18"/>
  <c r="Z185" i="18"/>
  <c r="N35" i="11"/>
  <c r="O34" i="11"/>
  <c r="D35" i="8"/>
  <c r="E5" i="8"/>
  <c r="E18" i="8" s="1"/>
  <c r="D18" i="8"/>
  <c r="D19" i="8"/>
  <c r="D21" i="8"/>
  <c r="D20" i="8"/>
  <c r="AB201" i="18" l="1"/>
  <c r="AC204" i="18"/>
  <c r="AF18" i="18"/>
  <c r="AC144" i="18"/>
  <c r="AC142" i="18"/>
  <c r="AD142" i="18" s="1"/>
  <c r="AC141" i="18"/>
  <c r="AD141" i="18" s="1"/>
  <c r="AC136" i="18"/>
  <c r="AD136" i="18" s="1"/>
  <c r="AC108" i="18"/>
  <c r="AD108" i="18" s="1"/>
  <c r="AF10" i="18"/>
  <c r="AC118" i="18"/>
  <c r="AD118" i="18" s="1"/>
  <c r="AF12" i="18"/>
  <c r="AC112" i="18"/>
  <c r="AD112" i="18" s="1"/>
  <c r="AF61" i="18"/>
  <c r="AC119" i="18"/>
  <c r="AD119" i="18" s="1"/>
  <c r="AC120" i="18"/>
  <c r="AD120" i="18" s="1"/>
  <c r="AA85" i="18"/>
  <c r="AA186" i="18" s="1"/>
  <c r="AB97" i="18"/>
  <c r="AB99" i="18"/>
  <c r="AB71" i="18"/>
  <c r="AB183" i="18" s="1"/>
  <c r="AB72" i="18"/>
  <c r="AB79" i="18"/>
  <c r="AB87" i="18"/>
  <c r="AB187" i="18" s="1"/>
  <c r="AB74" i="18"/>
  <c r="AB81" i="18"/>
  <c r="AB188" i="18" s="1"/>
  <c r="AB84" i="18"/>
  <c r="AB100" i="18"/>
  <c r="AB75" i="18"/>
  <c r="AB76" i="18"/>
  <c r="AB77" i="18"/>
  <c r="AB80" i="18"/>
  <c r="AB101" i="18"/>
  <c r="AB83" i="18"/>
  <c r="AB86" i="18"/>
  <c r="AD17" i="18"/>
  <c r="AD15" i="18"/>
  <c r="T166" i="18"/>
  <c r="AD12" i="18"/>
  <c r="AD10" i="18"/>
  <c r="AD18" i="18"/>
  <c r="AD7" i="18"/>
  <c r="AD6" i="18"/>
  <c r="AC107" i="18"/>
  <c r="AD107" i="18" s="1"/>
  <c r="AC106" i="18"/>
  <c r="AD106" i="18" s="1"/>
  <c r="AD61" i="18"/>
  <c r="AC63" i="18"/>
  <c r="AC123" i="18" s="1"/>
  <c r="AC124" i="18" s="1"/>
  <c r="AC125" i="18" s="1"/>
  <c r="AC126" i="18" s="1"/>
  <c r="AB96" i="18"/>
  <c r="AB94" i="18"/>
  <c r="AB95" i="18"/>
  <c r="AB93" i="18"/>
  <c r="AD182" i="18"/>
  <c r="AF182" i="18" s="1"/>
  <c r="AA184" i="18"/>
  <c r="AA185" i="18"/>
  <c r="N36" i="11"/>
  <c r="O35" i="11"/>
  <c r="F5" i="8"/>
  <c r="G5" i="8" s="1"/>
  <c r="H5" i="8" s="1"/>
  <c r="I5" i="8" s="1"/>
  <c r="AD204" i="18" l="1"/>
  <c r="AC201" i="18"/>
  <c r="AC145" i="18"/>
  <c r="AD145" i="18" s="1"/>
  <c r="AD144" i="18"/>
  <c r="AF63" i="18"/>
  <c r="U166" i="18"/>
  <c r="U167" i="18" s="1"/>
  <c r="AB85" i="18"/>
  <c r="AB186" i="18" s="1"/>
  <c r="AC97" i="18"/>
  <c r="AC99" i="18"/>
  <c r="AF99" i="18" s="1"/>
  <c r="AC71" i="18"/>
  <c r="AC72" i="18"/>
  <c r="AC79" i="18"/>
  <c r="AC84" i="18"/>
  <c r="AC74" i="18"/>
  <c r="AF74" i="18" s="1"/>
  <c r="AC81" i="18"/>
  <c r="AC77" i="18"/>
  <c r="AC100" i="18"/>
  <c r="AC76" i="18"/>
  <c r="AF76" i="18" s="1"/>
  <c r="AC75" i="18"/>
  <c r="AC86" i="18"/>
  <c r="AC101" i="18"/>
  <c r="AC80" i="18"/>
  <c r="AC87" i="18"/>
  <c r="AC83" i="18"/>
  <c r="T167" i="18"/>
  <c r="R198" i="18" s="1"/>
  <c r="AC96" i="18"/>
  <c r="AC94" i="18"/>
  <c r="AD63" i="18"/>
  <c r="AC95" i="18"/>
  <c r="AC93" i="18"/>
  <c r="AB184" i="18"/>
  <c r="AB185" i="18"/>
  <c r="N37" i="11"/>
  <c r="O36" i="11"/>
  <c r="F18" i="8"/>
  <c r="G18" i="8"/>
  <c r="AD201" i="18" l="1"/>
  <c r="AE204" i="18"/>
  <c r="AC183" i="18"/>
  <c r="AD183" i="18" s="1"/>
  <c r="AF183" i="18" s="1"/>
  <c r="AF71" i="18"/>
  <c r="AD123" i="18"/>
  <c r="S166" i="18"/>
  <c r="S167" i="18"/>
  <c r="AD100" i="18"/>
  <c r="AF100" i="18"/>
  <c r="AD72" i="18"/>
  <c r="AF72" i="18"/>
  <c r="T163" i="18"/>
  <c r="AF86" i="18"/>
  <c r="AC187" i="18"/>
  <c r="AD187" i="18" s="1"/>
  <c r="AF187" i="18" s="1"/>
  <c r="AF87" i="18"/>
  <c r="AD71" i="18"/>
  <c r="AD84" i="18"/>
  <c r="AF84" i="18"/>
  <c r="T157" i="18"/>
  <c r="AF83" i="18"/>
  <c r="T156" i="18"/>
  <c r="AF77" i="18"/>
  <c r="AC188" i="18"/>
  <c r="AD188" i="18" s="1"/>
  <c r="AF188" i="18" s="1"/>
  <c r="AF81" i="18"/>
  <c r="AD80" i="18"/>
  <c r="AF80" i="18"/>
  <c r="T154" i="18"/>
  <c r="R197" i="18" s="1"/>
  <c r="AF75" i="18"/>
  <c r="T159" i="18"/>
  <c r="AF79" i="18"/>
  <c r="AD101" i="18"/>
  <c r="AF101" i="18"/>
  <c r="T179" i="18"/>
  <c r="AF97" i="18"/>
  <c r="T177" i="18"/>
  <c r="AF96" i="18"/>
  <c r="T176" i="18"/>
  <c r="AF95" i="18"/>
  <c r="T174" i="18"/>
  <c r="AF93" i="18"/>
  <c r="T175" i="18"/>
  <c r="AF94" i="18"/>
  <c r="AD86" i="18"/>
  <c r="T160" i="18"/>
  <c r="AD75" i="18"/>
  <c r="AD77" i="18"/>
  <c r="U156" i="18" s="1"/>
  <c r="AD79" i="18"/>
  <c r="T161" i="18"/>
  <c r="R196" i="18" s="1"/>
  <c r="AD97" i="18"/>
  <c r="AD83" i="18"/>
  <c r="T164" i="18"/>
  <c r="AC85" i="18"/>
  <c r="AD81" i="18"/>
  <c r="AD87" i="18"/>
  <c r="AD99" i="18"/>
  <c r="AD95" i="18"/>
  <c r="AD94" i="18"/>
  <c r="AD93" i="18"/>
  <c r="AD96" i="18"/>
  <c r="T153" i="18"/>
  <c r="R199" i="18" s="1"/>
  <c r="R200" i="18" s="1"/>
  <c r="AD74" i="18"/>
  <c r="U153" i="18" s="1"/>
  <c r="AC184" i="18"/>
  <c r="AD76" i="18"/>
  <c r="U155" i="18" s="1"/>
  <c r="AC185" i="18"/>
  <c r="T155" i="18"/>
  <c r="N38" i="11"/>
  <c r="O37" i="11"/>
  <c r="H18" i="8"/>
  <c r="AF204" i="18" l="1"/>
  <c r="AE201" i="18"/>
  <c r="Q198" i="18"/>
  <c r="N198" i="18"/>
  <c r="AD124" i="18"/>
  <c r="U164" i="18"/>
  <c r="S164" i="18" s="1"/>
  <c r="U154" i="18"/>
  <c r="S154" i="18" s="1"/>
  <c r="U163" i="18"/>
  <c r="S163" i="18" s="1"/>
  <c r="U159" i="18"/>
  <c r="S159" i="18" s="1"/>
  <c r="U161" i="18"/>
  <c r="S161" i="18" s="1"/>
  <c r="U179" i="18"/>
  <c r="S179" i="18" s="1"/>
  <c r="U176" i="18"/>
  <c r="S176" i="18" s="1"/>
  <c r="AD85" i="18"/>
  <c r="AF85" i="18"/>
  <c r="U157" i="18"/>
  <c r="S157" i="18" s="1"/>
  <c r="S156" i="18"/>
  <c r="U160" i="18"/>
  <c r="S160" i="18" s="1"/>
  <c r="U174" i="18"/>
  <c r="S174" i="18" s="1"/>
  <c r="AC186" i="18"/>
  <c r="AD186" i="18" s="1"/>
  <c r="AF186" i="18" s="1"/>
  <c r="U177" i="18"/>
  <c r="S177" i="18" s="1"/>
  <c r="U175" i="18"/>
  <c r="S175" i="18" s="1"/>
  <c r="S153" i="18"/>
  <c r="Q199" i="18" s="1"/>
  <c r="Q200" i="18" s="1"/>
  <c r="AD185" i="18"/>
  <c r="AF185" i="18" s="1"/>
  <c r="AD184" i="18"/>
  <c r="AF184" i="18" s="1"/>
  <c r="S155" i="18"/>
  <c r="N39" i="11"/>
  <c r="O38" i="11"/>
  <c r="I18" i="8"/>
  <c r="AF201" i="18" l="1"/>
  <c r="AG204" i="18"/>
  <c r="Q197" i="18"/>
  <c r="N197" i="18"/>
  <c r="Q196" i="18"/>
  <c r="N196" i="18"/>
  <c r="AD126" i="18"/>
  <c r="AD125" i="18"/>
  <c r="N40" i="11"/>
  <c r="O39" i="11"/>
  <c r="AH204" i="18" l="1"/>
  <c r="AG201" i="18"/>
  <c r="N41" i="11"/>
  <c r="O40" i="11"/>
  <c r="AH201" i="18" l="1"/>
  <c r="AI204" i="18"/>
  <c r="N42" i="11"/>
  <c r="O41" i="11"/>
  <c r="AJ204" i="18" l="1"/>
  <c r="AI201" i="18"/>
  <c r="AJ201" i="18" l="1"/>
  <c r="AK204" i="18"/>
  <c r="AL204" i="18" l="1"/>
  <c r="AK201" i="18"/>
  <c r="AL201" i="18" l="1"/>
  <c r="AM204" i="18"/>
  <c r="AN204" i="18" l="1"/>
  <c r="AM201" i="18"/>
  <c r="AN201" i="18" l="1"/>
  <c r="AO204" i="18"/>
  <c r="AP204" i="18" l="1"/>
  <c r="AO201" i="18"/>
  <c r="AP201" i="18" l="1"/>
  <c r="AQ204" i="18"/>
  <c r="AR204" i="18" l="1"/>
  <c r="AQ201" i="18"/>
  <c r="AR201" i="18" l="1"/>
  <c r="AS204" i="18"/>
  <c r="AT204" i="18" l="1"/>
  <c r="AS201" i="18"/>
  <c r="AT201" i="18" l="1"/>
  <c r="AU204" i="18"/>
  <c r="AV204" i="18" l="1"/>
  <c r="AU201" i="18"/>
  <c r="AV201" i="18" l="1"/>
  <c r="AW204" i="18"/>
  <c r="AW201" i="18" l="1"/>
</calcChain>
</file>

<file path=xl/comments1.xml><?xml version="1.0" encoding="utf-8"?>
<comments xmlns="http://schemas.openxmlformats.org/spreadsheetml/2006/main">
  <authors>
    <author>Author</author>
  </authors>
  <commentList>
    <comment ref="B1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9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<sst xmlns="http://schemas.openxmlformats.org/spreadsheetml/2006/main" count="629" uniqueCount="440">
  <si>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</si>
  <si>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</si>
  <si>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</si>
  <si>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</si>
  <si>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</si>
  <si>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</si>
  <si>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</si>
  <si>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</si>
  <si>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</si>
  <si>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</si>
  <si>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</si>
  <si>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</si>
  <si>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</si>
  <si>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</si>
  <si>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</si>
  <si>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</si>
  <si>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</si>
  <si>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</si>
  <si>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</si>
  <si>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</si>
  <si>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</si>
  <si>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</si>
  <si>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</si>
  <si>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</si>
  <si>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</si>
  <si>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</si>
  <si>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</si>
  <si>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</si>
  <si>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</si>
  <si>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</si>
  <si>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</si>
  <si>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</si>
  <si>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</si>
  <si>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</si>
  <si>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</si>
  <si>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</si>
  <si>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</si>
  <si>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</si>
  <si>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</si>
  <si>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</si>
  <si>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</si>
  <si>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</si>
  <si>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</si>
  <si>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</si>
  <si>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</si>
  <si>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</si>
  <si>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</si>
  <si>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</si>
  <si>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</si>
  <si>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</si>
  <si>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</si>
  <si>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</si>
  <si>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</si>
  <si>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</si>
  <si>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</si>
  <si>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</si>
  <si>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</si>
  <si>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</si>
  <si>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</si>
  <si>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</si>
  <si>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</si>
  <si>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</si>
  <si>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</si>
  <si>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</si>
  <si>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</si>
  <si>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</si>
  <si>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</si>
  <si>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</si>
  <si>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</si>
  <si>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</si>
  <si>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</si>
  <si>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</si>
  <si>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</si>
  <si>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</si>
  <si>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</si>
  <si>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</si>
  <si>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</si>
  <si>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</si>
  <si>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</si>
  <si>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</si>
  <si>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</si>
  <si>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</si>
  <si>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</si>
  <si>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</si>
  <si>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</si>
  <si>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</si>
  <si>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</si>
  <si>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</si>
  <si>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</si>
  <si>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</si>
  <si>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</si>
  <si>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</si>
  <si>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</si>
  <si>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</si>
  <si>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</si>
  <si>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</si>
  <si>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</si>
  <si>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</si>
  <si>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</si>
  <si>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</si>
  <si>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</si>
  <si>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</si>
  <si>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</si>
  <si>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</si>
  <si>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</si>
  <si>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</si>
  <si>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</si>
  <si>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</si>
  <si>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</si>
  <si>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</si>
  <si>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</si>
  <si>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</si>
  <si>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</si>
  <si>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</si>
  <si>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</si>
  <si>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</si>
  <si>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</si>
  <si>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</si>
  <si>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</si>
  <si>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</si>
  <si>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</si>
  <si>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</si>
  <si>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</si>
  <si>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</si>
  <si>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</si>
  <si>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</si>
  <si>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</si>
  <si>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</si>
  <si>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</si>
  <si>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</si>
  <si>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</si>
  <si>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</si>
  <si>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</si>
  <si>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</si>
  <si>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</si>
  <si>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</si>
  <si>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</si>
  <si>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</si>
  <si>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</si>
  <si>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</si>
  <si>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</si>
  <si>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</si>
  <si>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</si>
  <si>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</si>
  <si>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</si>
  <si>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</si>
  <si>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</si>
  <si>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</si>
  <si>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</si>
  <si>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</si>
  <si>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</si>
  <si>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</si>
  <si>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</si>
  <si>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</si>
  <si>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</si>
  <si>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</si>
  <si>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</si>
  <si>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</si>
  <si>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</si>
  <si>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</si>
  <si>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</si>
  <si>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</si>
  <si>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</si>
  <si>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</si>
  <si>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</si>
  <si>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</si>
  <si>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</si>
  <si>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</si>
  <si>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</si>
  <si>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</si>
  <si>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</si>
  <si>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</si>
  <si>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</si>
  <si>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</si>
  <si>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</si>
  <si>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</si>
  <si>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</si>
  <si>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</si>
  <si>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</si>
  <si>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</si>
  <si>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</si>
  <si>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</si>
  <si>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</si>
  <si>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</si>
  <si>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</si>
  <si>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</si>
  <si>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</si>
  <si>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</si>
  <si>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</si>
  <si>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</si>
  <si>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</si>
  <si>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</si>
  <si>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</si>
  <si>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</si>
  <si>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</si>
  <si>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</si>
  <si>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</si>
  <si>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</si>
  <si>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</si>
  <si>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</si>
  <si>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</si>
  <si>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</si>
  <si>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</si>
  <si>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</si>
  <si>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</si>
  <si>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</si>
  <si>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</si>
  <si>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</si>
  <si>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</si>
  <si>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</si>
  <si>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</si>
  <si>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</si>
  <si>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</si>
  <si>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</si>
  <si>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</si>
  <si>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</si>
  <si>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</si>
  <si>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</si>
  <si>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</si>
  <si>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</si>
  <si>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</si>
  <si>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</si>
  <si>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</si>
  <si>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</si>
  <si>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</si>
  <si>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</si>
  <si>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</si>
  <si>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</si>
  <si>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</si>
  <si>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</si>
  <si>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</si>
  <si>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</si>
  <si>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</si>
  <si>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</si>
  <si>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</si>
  <si>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</si>
  <si>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</si>
  <si>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</si>
  <si>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</si>
  <si>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</si>
  <si>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</si>
  <si>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</si>
  <si>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</si>
  <si>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</si>
  <si>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</si>
  <si>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</si>
  <si>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</si>
  <si>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</si>
  <si>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</si>
  <si>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</si>
  <si>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</si>
  <si>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</si>
  <si>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</si>
  <si>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</si>
  <si>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</si>
  <si>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</si>
  <si>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</si>
  <si>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</si>
  <si>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</si>
  <si>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</si>
  <si>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</si>
  <si>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</si>
  <si>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</si>
  <si>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</si>
  <si>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</si>
  <si>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</si>
  <si>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</si>
  <si>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</si>
  <si>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</si>
  <si>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</si>
  <si>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</si>
  <si>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</si>
  <si>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</si>
  <si>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</si>
  <si>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</si>
  <si>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</si>
  <si>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</si>
  <si>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</si>
  <si>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</si>
  <si>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</si>
  <si>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</si>
  <si>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</si>
  <si>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</si>
  <si>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</si>
  <si>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</si>
  <si>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</si>
  <si>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</si>
  <si>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</si>
  <si>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</si>
  <si>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</si>
  <si>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</si>
  <si>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</si>
  <si>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</si>
  <si>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</si>
  <si>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</si>
  <si>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</si>
  <si>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</si>
  <si>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</si>
  <si>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</si>
  <si>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</si>
  <si>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</si>
  <si>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</si>
  <si>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</si>
  <si>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</si>
  <si>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</si>
  <si>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</si>
  <si>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</si>
  <si>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</si>
  <si>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</si>
  <si>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</si>
  <si>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</si>
  <si>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</si>
  <si>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</si>
  <si>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</si>
  <si>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</si>
  <si>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</si>
  <si>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</si>
  <si>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</si>
  <si>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</si>
  <si>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</si>
  <si>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</si>
  <si>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</si>
  <si>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</si>
  <si>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</si>
  <si>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</si>
  <si>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</si>
  <si>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</si>
  <si>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</si>
  <si>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</si>
  <si>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</si>
  <si>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</si>
  <si>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</si>
  <si>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</si>
  <si>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</si>
  <si>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</si>
  <si>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</si>
  <si>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</si>
  <si>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</si>
  <si>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</si>
  <si>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</si>
  <si>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</si>
  <si>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</si>
  <si>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</si>
  <si>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</si>
  <si>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</si>
  <si>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</si>
  <si>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</si>
  <si>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</si>
  <si>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</si>
  <si>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</si>
  <si>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</si>
  <si>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</si>
  <si>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</si>
  <si>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</si>
  <si>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</si>
  <si>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</si>
  <si>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</si>
  <si>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</si>
  <si>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</si>
  <si>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</si>
  <si>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</si>
  <si>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</si>
  <si>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</si>
  <si>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</si>
  <si>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</si>
  <si>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</si>
  <si>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</si>
  <si>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</si>
  <si>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</si>
  <si>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</si>
  <si>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</si>
  <si>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</si>
  <si>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</si>
  <si>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</si>
  <si>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</si>
  <si>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</si>
  <si>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</si>
  <si>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</si>
  <si>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</si>
  <si>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</si>
  <si>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</si>
  <si>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</si>
  <si>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</si>
  <si>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</si>
  <si>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</si>
  <si>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Inventories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</si>
  <si>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</si>
  <si>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</si>
  <si>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</si>
  <si>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</si>
  <si>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</si>
  <si>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xxxx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</si>
  <si>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</si>
  <si>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</si>
  <si>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</si>
  <si>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</si>
  <si>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</si>
  <si>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</si>
  <si>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</si>
  <si>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</si>
  <si>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</si>
  <si>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</si>
  <si>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</si>
  <si>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</si>
  <si>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</si>
  <si>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</si>
  <si>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</si>
  <si>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</si>
  <si>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</si>
  <si>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</si>
  <si>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</si>
  <si>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</si>
  <si>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</si>
  <si>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</si>
  <si>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</si>
  <si>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</si>
  <si>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</si>
  <si>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</si>
  <si>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</si>
  <si>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</si>
  <si>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</si>
  <si>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</si>
  <si>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</si>
  <si>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</si>
  <si>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</si>
  <si>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</si>
  <si>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</si>
  <si>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</si>
  <si>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</si>
  <si>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</si>
  <si>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</si>
  <si>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</si>
  <si>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</si>
  <si>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Going Concern</t>
  </si>
  <si>
    <t>10 yrs</t>
  </si>
  <si>
    <t>10x5</t>
  </si>
  <si>
    <t>1x1</t>
  </si>
  <si>
    <t>3x2</t>
  </si>
  <si>
    <t>PEG</t>
  </si>
  <si>
    <t>Discount/Prem to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</si>
</sst>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sz val="10"/>
      <color theme="3" tint="0.39997558519241921"/>
      <name val="Cambria"/>
      <family val="1"/>
      <scheme val="major"/>
    </font>
    <font>
      <b/>
      <sz val="10"/>
      <color theme="3" tint="0.39997558519241921"/>
      <name val="Cambria"/>
      <family val="1"/>
      <scheme val="major"/>
    </font>
    <font>
      <b/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4" fontId="5" fillId="5" borderId="1" xfId="0" applyNumberFormat="1" applyFont="1" applyFill="1" applyBorder="1"/>
    <xf numFmtId="40" fontId="4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0" fontId="5" fillId="14" borderId="1" xfId="0" applyFont="1" applyFill="1" applyBorder="1"/>
    <xf numFmtId="177" fontId="4" fillId="5" borderId="1" xfId="0" applyNumberFormat="1" applyFont="1" applyFill="1" applyBorder="1"/>
    <xf numFmtId="175" fontId="16" fillId="5" borderId="1" xfId="2" applyNumberFormat="1" applyFont="1" applyFill="1" applyBorder="1"/>
    <xf numFmtId="0" fontId="16" fillId="5" borderId="1" xfId="0" applyFont="1" applyFill="1" applyBorder="1"/>
    <xf numFmtId="0" fontId="17" fillId="5" borderId="1" xfId="2" applyNumberFormat="1" applyFont="1" applyFill="1" applyBorder="1"/>
    <xf numFmtId="9" fontId="17" fillId="5" borderId="1" xfId="1" applyFont="1" applyFill="1" applyBorder="1"/>
    <xf numFmtId="175" fontId="17" fillId="5" borderId="1" xfId="2" applyNumberFormat="1" applyFont="1" applyFill="1" applyBorder="1"/>
    <xf numFmtId="9" fontId="18" fillId="5" borderId="1" xfId="1" applyFont="1" applyFill="1" applyBorder="1"/>
    <xf numFmtId="172" fontId="17" fillId="5" borderId="1" xfId="2" applyNumberFormat="1" applyFont="1" applyFill="1" applyBorder="1"/>
    <xf numFmtId="174" fontId="17" fillId="5" borderId="1" xfId="2" applyNumberFormat="1" applyFont="1" applyFill="1" applyBorder="1"/>
    <xf numFmtId="9" fontId="19" fillId="5" borderId="1" xfId="1" applyNumberFormat="1" applyFont="1" applyFill="1" applyBorder="1"/>
    <xf numFmtId="2" fontId="4" fillId="5" borderId="1" xfId="1" applyNumberFormat="1" applyFont="1" applyFill="1" applyBorder="1"/>
    <xf numFmtId="9" fontId="4" fillId="5" borderId="4" xfId="1" applyFont="1" applyFill="1" applyBorder="1"/>
    <xf numFmtId="9" fontId="4" fillId="5" borderId="6" xfId="1" applyFont="1" applyFill="1" applyBorder="1"/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25408"/>
        <c:axId val="98626944"/>
      </c:lineChart>
      <c:catAx>
        <c:axId val="98625408"/>
        <c:scaling>
          <c:orientation val="minMax"/>
        </c:scaling>
        <c:delete val="0"/>
        <c:axPos val="b"/>
        <c:majorTickMark val="out"/>
        <c:minorTickMark val="none"/>
        <c:tickLblPos val="nextTo"/>
        <c:crossAx val="98626944"/>
        <c:crosses val="autoZero"/>
        <c:auto val="1"/>
        <c:lblAlgn val="ctr"/>
        <c:lblOffset val="100"/>
        <c:noMultiLvlLbl val="0"/>
      </c:catAx>
      <c:valAx>
        <c:axId val="9862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6254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8">
        <v>14</v>
      </c>
      <c r="D7" s="20"/>
      <c r="E7" s="20"/>
      <c r="F7" s="20"/>
      <c r="G7" s="20"/>
    </row>
    <row r="8" spans="2:7" x14ac:dyDescent="0.2">
      <c r="B8" s="20" t="s">
        <v>25</v>
      </c>
      <c r="C8" s="128">
        <v>5</v>
      </c>
      <c r="D8" s="20"/>
      <c r="E8" s="20"/>
      <c r="F8" s="20"/>
      <c r="G8" s="20"/>
    </row>
    <row r="9" spans="2:7" x14ac:dyDescent="0.2">
      <c r="B9" s="20" t="s">
        <v>320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8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8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8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8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8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8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8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29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0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0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0"/>
      <c r="D32" s="20"/>
      <c r="E32" s="20"/>
      <c r="F32" s="20"/>
      <c r="G32" s="20"/>
    </row>
    <row r="33" spans="2:7" x14ac:dyDescent="0.2">
      <c r="B33" s="20" t="s">
        <v>268</v>
      </c>
      <c r="C33" s="130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0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8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8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8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8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8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8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8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8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8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W233"/>
  <sheetViews>
    <sheetView tabSelected="1" zoomScale="80" zoomScaleNormal="80" workbookViewId="0">
      <pane xSplit="2" ySplit="3" topLeftCell="C40" activePane="bottomRight" state="frozen"/>
      <selection pane="topRight" activeCell="C1" sqref="C1"/>
      <selection pane="bottomLeft" activeCell="A5" sqref="A5"/>
      <selection pane="bottomRight" activeCell="B58" sqref="B58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7.85546875" style="186" customWidth="1"/>
    <col min="5" max="5" width="8.140625" style="104" customWidth="1"/>
    <col min="6" max="6" width="8.42578125" style="104" bestFit="1" customWidth="1"/>
    <col min="7" max="7" width="9" style="104" bestFit="1" customWidth="1"/>
    <col min="8" max="8" width="11.7109375" style="104" bestFit="1" customWidth="1"/>
    <col min="9" max="10" width="9" style="104" bestFit="1" customWidth="1"/>
    <col min="11" max="11" width="9.28515625" style="104" bestFit="1" customWidth="1"/>
    <col min="12" max="12" width="8.85546875" style="104" bestFit="1" customWidth="1"/>
    <col min="13" max="13" width="8.7109375" style="104" bestFit="1" customWidth="1"/>
    <col min="14" max="14" width="9.85546875" style="104" bestFit="1" customWidth="1"/>
    <col min="15" max="16" width="8.7109375" style="104" bestFit="1" customWidth="1"/>
    <col min="17" max="17" width="10.5703125" style="104" bestFit="1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ht="15" x14ac:dyDescent="0.25">
      <c r="B1" s="122" t="s">
        <v>241</v>
      </c>
      <c r="C1" s="123">
        <v>0.22</v>
      </c>
      <c r="D1" s="123"/>
      <c r="G1" s="104" t="s">
        <v>252</v>
      </c>
      <c r="I1" s="125">
        <v>2004</v>
      </c>
      <c r="K1" s="104" t="s">
        <v>328</v>
      </c>
      <c r="M1" s="163">
        <v>0.05</v>
      </c>
      <c r="O1" s="173" t="s">
        <v>387</v>
      </c>
      <c r="P1" s="171"/>
      <c r="Q1" s="174">
        <v>0.05</v>
      </c>
    </row>
    <row r="2" spans="2:32" x14ac:dyDescent="0.2">
      <c r="B2" s="152" t="s">
        <v>316</v>
      </c>
      <c r="C2" s="120"/>
      <c r="D2" s="120"/>
      <c r="G2" s="104" t="s">
        <v>253</v>
      </c>
      <c r="I2" s="125">
        <v>2013</v>
      </c>
      <c r="K2" s="104" t="s">
        <v>329</v>
      </c>
      <c r="M2" s="163">
        <v>0.2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40" t="s">
        <v>292</v>
      </c>
      <c r="AF2" s="241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218">
        <v>2015</v>
      </c>
      <c r="U3" s="218">
        <v>2016</v>
      </c>
      <c r="V3" s="218">
        <v>2017</v>
      </c>
      <c r="W3" s="218">
        <v>2018</v>
      </c>
      <c r="X3" s="218">
        <v>2019</v>
      </c>
      <c r="Y3" s="218">
        <v>2020</v>
      </c>
      <c r="Z3" s="218">
        <v>2021</v>
      </c>
      <c r="AA3" s="218">
        <v>2022</v>
      </c>
      <c r="AB3" s="218">
        <v>2023</v>
      </c>
      <c r="AC3" s="115">
        <v>2024</v>
      </c>
      <c r="AD3" s="134" t="s">
        <v>1</v>
      </c>
      <c r="AE3" s="242" t="s">
        <v>293</v>
      </c>
      <c r="AF3" s="243"/>
    </row>
    <row r="4" spans="2:32" x14ac:dyDescent="0.2">
      <c r="B4" s="20"/>
      <c r="C4" s="20"/>
      <c r="D4" s="217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5"/>
      <c r="AE4" s="20"/>
      <c r="AF4" s="20"/>
    </row>
    <row r="5" spans="2:32" x14ac:dyDescent="0.2">
      <c r="B5" s="108" t="s">
        <v>242</v>
      </c>
      <c r="C5" s="20"/>
      <c r="D5" s="217"/>
      <c r="E5" s="20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222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5"/>
      <c r="AE5" s="20"/>
      <c r="AF5" s="153"/>
    </row>
    <row r="6" spans="2:32" x14ac:dyDescent="0.2">
      <c r="B6" s="20" t="s">
        <v>16</v>
      </c>
      <c r="C6" s="139"/>
      <c r="D6" s="139"/>
      <c r="E6" s="139"/>
      <c r="F6" s="145"/>
      <c r="G6" s="168">
        <v>1176</v>
      </c>
      <c r="H6" s="168">
        <v>1343</v>
      </c>
      <c r="I6" s="168">
        <v>1949</v>
      </c>
      <c r="J6" s="168">
        <v>2935</v>
      </c>
      <c r="K6" s="168">
        <v>5479</v>
      </c>
      <c r="L6" s="168">
        <v>6268</v>
      </c>
      <c r="M6" s="168">
        <v>7617</v>
      </c>
      <c r="N6" s="168">
        <v>10594</v>
      </c>
      <c r="O6" s="168">
        <v>12530</v>
      </c>
      <c r="P6" s="168">
        <v>14876</v>
      </c>
      <c r="Q6" s="224">
        <v>18690</v>
      </c>
      <c r="R6" s="118">
        <f>((Q6/H6)^(1/($I$2-$I$1) ))-1</f>
        <v>0.33985948279805345</v>
      </c>
      <c r="S6" s="31">
        <f>$M$2</f>
        <v>0.2</v>
      </c>
      <c r="T6" s="153">
        <f>Q6*(1+$S6)</f>
        <v>22428</v>
      </c>
      <c r="U6" s="153">
        <f>T6*(1+$S6)</f>
        <v>26913.599999999999</v>
      </c>
      <c r="V6" s="153">
        <f t="shared" ref="V6:AC6" si="0">U6*(1+$S6)</f>
        <v>32296.319999999996</v>
      </c>
      <c r="W6" s="153">
        <f t="shared" si="0"/>
        <v>38755.583999999995</v>
      </c>
      <c r="X6" s="153">
        <f t="shared" si="0"/>
        <v>46506.700799999991</v>
      </c>
      <c r="Y6" s="153">
        <f t="shared" si="0"/>
        <v>55808.040959999991</v>
      </c>
      <c r="Z6" s="153">
        <f t="shared" si="0"/>
        <v>66969.649151999984</v>
      </c>
      <c r="AA6" s="153">
        <f t="shared" si="0"/>
        <v>80363.57898239998</v>
      </c>
      <c r="AB6" s="153">
        <f t="shared" si="0"/>
        <v>96436.294778879979</v>
      </c>
      <c r="AC6" s="153">
        <f t="shared" si="0"/>
        <v>115723.55373465597</v>
      </c>
      <c r="AD6" s="136">
        <f>((AC6/H6)^(1/($AC$3-$I$1) ))-1</f>
        <v>0.24958927034318346</v>
      </c>
      <c r="AE6" s="31">
        <f>$M$1</f>
        <v>0.05</v>
      </c>
      <c r="AF6" s="144">
        <f t="shared" ref="AF6:AF65" si="1">(AC6*(1+AE6))/($C$1-AE6)</f>
        <v>714763.12600816938</v>
      </c>
    </row>
    <row r="7" spans="2:32" x14ac:dyDescent="0.2">
      <c r="B7" s="20" t="s">
        <v>240</v>
      </c>
      <c r="C7" s="139"/>
      <c r="D7" s="139"/>
      <c r="E7" s="139"/>
      <c r="F7" s="145"/>
      <c r="G7" s="168">
        <v>1236</v>
      </c>
      <c r="H7" s="168">
        <v>1472</v>
      </c>
      <c r="I7" s="168">
        <v>2258</v>
      </c>
      <c r="J7" s="168">
        <v>3261</v>
      </c>
      <c r="K7" s="168">
        <v>5882</v>
      </c>
      <c r="L7" s="168">
        <v>6614</v>
      </c>
      <c r="M7" s="168">
        <v>7965</v>
      </c>
      <c r="N7" s="168">
        <v>10999</v>
      </c>
      <c r="O7" s="168">
        <v>12935</v>
      </c>
      <c r="P7" s="168">
        <v>15267</v>
      </c>
      <c r="Q7" s="224">
        <v>19084</v>
      </c>
      <c r="R7" s="118">
        <f>((Q7/H7)^(1/($I$2-$I$1) ))-1</f>
        <v>0.32935256397234847</v>
      </c>
      <c r="S7" s="31">
        <f>$M$2</f>
        <v>0.2</v>
      </c>
      <c r="T7" s="153">
        <f>Q7*(1+$S7)</f>
        <v>22900.799999999999</v>
      </c>
      <c r="U7" s="153">
        <f t="shared" ref="U7:AC7" si="2">T7*(1+$S7)</f>
        <v>27480.959999999999</v>
      </c>
      <c r="V7" s="153">
        <f t="shared" si="2"/>
        <v>32977.151999999995</v>
      </c>
      <c r="W7" s="153">
        <f t="shared" si="2"/>
        <v>39572.582399999992</v>
      </c>
      <c r="X7" s="153">
        <f t="shared" si="2"/>
        <v>47487.09887999999</v>
      </c>
      <c r="Y7" s="153">
        <f t="shared" si="2"/>
        <v>56984.518655999986</v>
      </c>
      <c r="Z7" s="153">
        <f t="shared" si="2"/>
        <v>68381.422387199986</v>
      </c>
      <c r="AA7" s="153">
        <f t="shared" si="2"/>
        <v>82057.706864639986</v>
      </c>
      <c r="AB7" s="153">
        <f t="shared" si="2"/>
        <v>98469.248237567983</v>
      </c>
      <c r="AC7" s="153">
        <f t="shared" si="2"/>
        <v>118163.09788508157</v>
      </c>
      <c r="AD7" s="136">
        <f>((AC7/H7)^(1/($AC$3-$I$1) ))-1</f>
        <v>0.24517015562696942</v>
      </c>
      <c r="AE7" s="31">
        <f>$M$1</f>
        <v>0.05</v>
      </c>
      <c r="AF7" s="144">
        <f t="shared" si="1"/>
        <v>729830.89870197454</v>
      </c>
    </row>
    <row r="8" spans="2:32" x14ac:dyDescent="0.2">
      <c r="B8" s="20"/>
      <c r="C8" s="139"/>
      <c r="D8" s="139"/>
      <c r="E8" s="139"/>
      <c r="F8" s="145"/>
      <c r="G8" s="147">
        <f>(G7-F7)/G7</f>
        <v>1</v>
      </c>
      <c r="H8" s="150">
        <f>(H7-G7)/H7</f>
        <v>0.16032608695652173</v>
      </c>
      <c r="I8" s="150">
        <f t="shared" ref="I8:P8" si="3">(I7-H7)/I7</f>
        <v>0.34809565987599644</v>
      </c>
      <c r="J8" s="150">
        <f t="shared" si="3"/>
        <v>0.30757436369211899</v>
      </c>
      <c r="K8" s="150">
        <f t="shared" si="3"/>
        <v>0.44559673580414827</v>
      </c>
      <c r="L8" s="150">
        <f t="shared" si="3"/>
        <v>0.1106743271847596</v>
      </c>
      <c r="M8" s="150">
        <f t="shared" si="3"/>
        <v>0.16961707470182047</v>
      </c>
      <c r="N8" s="150">
        <f t="shared" si="3"/>
        <v>0.27584325847804347</v>
      </c>
      <c r="O8" s="150">
        <f t="shared" si="3"/>
        <v>0.14967143409354464</v>
      </c>
      <c r="P8" s="150">
        <f t="shared" si="3"/>
        <v>0.1527477565992009</v>
      </c>
      <c r="Q8" s="230">
        <f t="shared" ref="Q8" si="4">(Q7-P7)/Q7</f>
        <v>0.20001047998323201</v>
      </c>
      <c r="R8" s="127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5"/>
      <c r="AE8" s="135"/>
      <c r="AF8" s="144"/>
    </row>
    <row r="9" spans="2:32" x14ac:dyDescent="0.2">
      <c r="B9" s="20" t="s">
        <v>270</v>
      </c>
      <c r="C9" s="139"/>
      <c r="D9" s="139"/>
      <c r="E9" s="139"/>
      <c r="F9" s="145"/>
      <c r="G9" s="168">
        <v>0</v>
      </c>
      <c r="H9" s="168">
        <v>0</v>
      </c>
      <c r="I9" s="168">
        <v>0</v>
      </c>
      <c r="J9" s="168">
        <v>0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168">
        <v>0</v>
      </c>
      <c r="Q9" s="224"/>
      <c r="R9" s="118" t="e">
        <f>((Q9/H9)^(1/($I$2-$I$1) ))-1</f>
        <v>#DIV/0!</v>
      </c>
      <c r="S9" s="31">
        <f t="shared" ref="S9:S61" si="5">$M$2</f>
        <v>0.2</v>
      </c>
      <c r="T9" s="153">
        <f>Q9*(1+$S9)</f>
        <v>0</v>
      </c>
      <c r="U9" s="153">
        <f t="shared" ref="U9" si="6">T9*(1+$S9)</f>
        <v>0</v>
      </c>
      <c r="V9" s="153">
        <f t="shared" ref="V9" si="7">U9*(1+$S9)</f>
        <v>0</v>
      </c>
      <c r="W9" s="153">
        <f t="shared" ref="W9" si="8">V9*(1+$S9)</f>
        <v>0</v>
      </c>
      <c r="X9" s="153">
        <f t="shared" ref="X9" si="9">W9*(1+$S9)</f>
        <v>0</v>
      </c>
      <c r="Y9" s="153">
        <f t="shared" ref="Y9" si="10">X9*(1+$S9)</f>
        <v>0</v>
      </c>
      <c r="Z9" s="153">
        <f t="shared" ref="Z9" si="11">Y9*(1+$S9)</f>
        <v>0</v>
      </c>
      <c r="AA9" s="153">
        <f t="shared" ref="AA9" si="12">Z9*(1+$S9)</f>
        <v>0</v>
      </c>
      <c r="AB9" s="153">
        <f t="shared" ref="AB9" si="13">AA9*(1+$S9)</f>
        <v>0</v>
      </c>
      <c r="AC9" s="153">
        <f t="shared" ref="AC9" si="14">AB9*(1+$S9)</f>
        <v>0</v>
      </c>
      <c r="AD9" s="136" t="e">
        <f>((AC9/H9)^(1/($AC$3-$I$1) ))-1</f>
        <v>#DIV/0!</v>
      </c>
      <c r="AE9" s="31">
        <f t="shared" ref="AE9:AE100" si="15">$M$1</f>
        <v>0.05</v>
      </c>
      <c r="AF9" s="144">
        <f t="shared" si="1"/>
        <v>0</v>
      </c>
    </row>
    <row r="10" spans="2:32" x14ac:dyDescent="0.2">
      <c r="B10" s="20" t="s">
        <v>4</v>
      </c>
      <c r="C10" s="139"/>
      <c r="D10" s="139"/>
      <c r="E10" s="139"/>
      <c r="F10" s="145"/>
      <c r="G10" s="168">
        <v>7324</v>
      </c>
      <c r="H10" s="168">
        <v>7556</v>
      </c>
      <c r="I10" s="168">
        <v>11414</v>
      </c>
      <c r="J10" s="168">
        <v>19646</v>
      </c>
      <c r="K10" s="168">
        <v>26464</v>
      </c>
      <c r="L10" s="168">
        <v>24882</v>
      </c>
      <c r="M10" s="168">
        <v>35704</v>
      </c>
      <c r="N10" s="168">
        <v>49386</v>
      </c>
      <c r="O10" s="168">
        <v>65655</v>
      </c>
      <c r="P10" s="168">
        <v>86561</v>
      </c>
      <c r="Q10" s="224">
        <v>85396</v>
      </c>
      <c r="R10" s="118">
        <f>((Q10/H10)^(1/($I$2-$I$1) ))-1</f>
        <v>0.30923068493050709</v>
      </c>
      <c r="S10" s="31">
        <f t="shared" si="5"/>
        <v>0.2</v>
      </c>
      <c r="T10" s="153">
        <f>Q10*(1+$S10)</f>
        <v>102475.2</v>
      </c>
      <c r="U10" s="153">
        <f t="shared" ref="U10:AC10" si="16">T10*(1+$S10)</f>
        <v>122970.23999999999</v>
      </c>
      <c r="V10" s="153">
        <f t="shared" si="16"/>
        <v>147564.28799999997</v>
      </c>
      <c r="W10" s="153">
        <f t="shared" si="16"/>
        <v>177077.14559999996</v>
      </c>
      <c r="X10" s="153">
        <f t="shared" si="16"/>
        <v>212492.57471999995</v>
      </c>
      <c r="Y10" s="153">
        <f t="shared" si="16"/>
        <v>254991.08966399991</v>
      </c>
      <c r="Z10" s="153">
        <f t="shared" si="16"/>
        <v>305989.30759679986</v>
      </c>
      <c r="AA10" s="153">
        <f t="shared" si="16"/>
        <v>367187.16911615984</v>
      </c>
      <c r="AB10" s="153">
        <f t="shared" si="16"/>
        <v>440624.6029393918</v>
      </c>
      <c r="AC10" s="153">
        <f t="shared" si="16"/>
        <v>528749.52352727018</v>
      </c>
      <c r="AD10" s="136">
        <f>((AC10/H10)^(1/($AC$3-$I$1) ))-1</f>
        <v>0.23665313269570221</v>
      </c>
      <c r="AE10" s="31">
        <f t="shared" si="15"/>
        <v>0.05</v>
      </c>
      <c r="AF10" s="144">
        <f t="shared" si="1"/>
        <v>3265805.8806096106</v>
      </c>
    </row>
    <row r="11" spans="2:32" x14ac:dyDescent="0.2">
      <c r="B11" s="20"/>
      <c r="C11" s="139"/>
      <c r="D11" s="139"/>
      <c r="E11" s="139"/>
      <c r="F11" s="145"/>
      <c r="G11" s="147">
        <f>(G10-F10)/G10</f>
        <v>1</v>
      </c>
      <c r="H11" s="146">
        <f>(H10-G10)/H10</f>
        <v>3.0704076230809951E-2</v>
      </c>
      <c r="I11" s="146">
        <f t="shared" ref="I11:Q11" si="17">(I10-H10)/I10</f>
        <v>0.33800595759593483</v>
      </c>
      <c r="J11" s="146">
        <f t="shared" si="17"/>
        <v>0.41901659370864297</v>
      </c>
      <c r="K11" s="146">
        <f t="shared" si="17"/>
        <v>0.25763301088270857</v>
      </c>
      <c r="L11" s="146">
        <f t="shared" si="17"/>
        <v>-6.358009806285668E-2</v>
      </c>
      <c r="M11" s="146">
        <f t="shared" si="17"/>
        <v>0.30310329374859962</v>
      </c>
      <c r="N11" s="146">
        <f t="shared" si="17"/>
        <v>0.27704207670189934</v>
      </c>
      <c r="O11" s="146">
        <f t="shared" si="17"/>
        <v>0.24779529358007768</v>
      </c>
      <c r="P11" s="146">
        <f t="shared" si="17"/>
        <v>0.24151754254225344</v>
      </c>
      <c r="Q11" s="230">
        <f t="shared" si="17"/>
        <v>-1.3642325167455151E-2</v>
      </c>
      <c r="R11" s="127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39"/>
      <c r="D12" s="139"/>
      <c r="E12" s="139"/>
      <c r="F12" s="145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224"/>
      <c r="R12" s="118" t="e">
        <f t="shared" ref="R12:R18" si="18">((Q12/H12)^(1/($I$2-$I$1) ))-1</f>
        <v>#DIV/0!</v>
      </c>
      <c r="S12" s="31">
        <f t="shared" si="5"/>
        <v>0.2</v>
      </c>
      <c r="T12" s="153">
        <f t="shared" ref="T12:T18" si="19">Q12*(1+$S12)</f>
        <v>0</v>
      </c>
      <c r="U12" s="153">
        <f t="shared" ref="U12:AC14" si="20">T12*(1+$S12)</f>
        <v>0</v>
      </c>
      <c r="V12" s="153">
        <f t="shared" si="20"/>
        <v>0</v>
      </c>
      <c r="W12" s="153">
        <f t="shared" si="20"/>
        <v>0</v>
      </c>
      <c r="X12" s="153">
        <f t="shared" si="20"/>
        <v>0</v>
      </c>
      <c r="Y12" s="153">
        <f t="shared" si="20"/>
        <v>0</v>
      </c>
      <c r="Z12" s="153">
        <f t="shared" si="20"/>
        <v>0</v>
      </c>
      <c r="AA12" s="153">
        <f t="shared" si="20"/>
        <v>0</v>
      </c>
      <c r="AB12" s="153">
        <f t="shared" si="20"/>
        <v>0</v>
      </c>
      <c r="AC12" s="153">
        <f t="shared" si="20"/>
        <v>0</v>
      </c>
      <c r="AD12" s="136" t="e">
        <f t="shared" ref="AD12:AD18" si="21">((AC12/H12)^(1/($AC$3-$I$1) ))-1</f>
        <v>#DIV/0!</v>
      </c>
      <c r="AE12" s="31">
        <f t="shared" si="15"/>
        <v>0.05</v>
      </c>
      <c r="AF12" s="144">
        <f t="shared" si="1"/>
        <v>0</v>
      </c>
    </row>
    <row r="13" spans="2:32" x14ac:dyDescent="0.2">
      <c r="B13" s="20" t="s">
        <v>362</v>
      </c>
      <c r="C13" s="139"/>
      <c r="D13" s="139"/>
      <c r="E13" s="139"/>
      <c r="F13" s="145"/>
      <c r="G13" s="145">
        <v>127</v>
      </c>
      <c r="H13" s="145">
        <v>239</v>
      </c>
      <c r="I13" s="145">
        <v>449</v>
      </c>
      <c r="J13" s="145">
        <v>791</v>
      </c>
      <c r="K13" s="145">
        <v>1764</v>
      </c>
      <c r="L13" s="145">
        <v>1007</v>
      </c>
      <c r="M13" s="145">
        <v>2094</v>
      </c>
      <c r="N13" s="145">
        <v>2114</v>
      </c>
      <c r="O13" s="145">
        <v>2030</v>
      </c>
      <c r="P13" s="145">
        <v>2220</v>
      </c>
      <c r="Q13" s="226">
        <v>2960</v>
      </c>
      <c r="R13" s="118">
        <f t="shared" si="18"/>
        <v>0.32261256903036473</v>
      </c>
      <c r="S13" s="31">
        <v>0.1</v>
      </c>
      <c r="T13" s="153">
        <f t="shared" si="19"/>
        <v>3256.0000000000005</v>
      </c>
      <c r="U13" s="153">
        <f t="shared" si="20"/>
        <v>3581.6000000000008</v>
      </c>
      <c r="V13" s="153">
        <f t="shared" si="20"/>
        <v>3939.7600000000011</v>
      </c>
      <c r="W13" s="153">
        <f t="shared" si="20"/>
        <v>4333.7360000000017</v>
      </c>
      <c r="X13" s="153">
        <f t="shared" si="20"/>
        <v>4767.1096000000025</v>
      </c>
      <c r="Y13" s="153">
        <f t="shared" si="20"/>
        <v>5243.8205600000028</v>
      </c>
      <c r="Z13" s="153">
        <f t="shared" si="20"/>
        <v>5768.2026160000032</v>
      </c>
      <c r="AA13" s="153">
        <f t="shared" si="20"/>
        <v>6345.022877600004</v>
      </c>
      <c r="AB13" s="153">
        <f t="shared" si="20"/>
        <v>6979.5251653600053</v>
      </c>
      <c r="AC13" s="153">
        <f t="shared" si="20"/>
        <v>7677.4776818960063</v>
      </c>
      <c r="AD13" s="136">
        <f t="shared" si="21"/>
        <v>0.18943587448773247</v>
      </c>
      <c r="AE13" s="31">
        <v>0.08</v>
      </c>
      <c r="AF13" s="144">
        <f t="shared" si="1"/>
        <v>59226.25640319776</v>
      </c>
    </row>
    <row r="14" spans="2:32" x14ac:dyDescent="0.2">
      <c r="B14" s="20" t="s">
        <v>363</v>
      </c>
      <c r="C14" s="139"/>
      <c r="D14" s="139"/>
      <c r="E14" s="139"/>
      <c r="F14" s="145"/>
      <c r="G14" s="145">
        <v>777</v>
      </c>
      <c r="H14" s="145">
        <v>494</v>
      </c>
      <c r="I14" s="145">
        <v>617</v>
      </c>
      <c r="J14" s="145">
        <v>1350</v>
      </c>
      <c r="K14" s="145">
        <v>1605</v>
      </c>
      <c r="L14" s="145">
        <v>430</v>
      </c>
      <c r="M14" s="145">
        <v>412</v>
      </c>
      <c r="N14" s="145">
        <v>879</v>
      </c>
      <c r="O14" s="145">
        <v>1545</v>
      </c>
      <c r="P14" s="145">
        <v>2297</v>
      </c>
      <c r="Q14" s="226">
        <v>3682</v>
      </c>
      <c r="R14" s="118">
        <f t="shared" si="18"/>
        <v>0.25005331818949017</v>
      </c>
      <c r="S14" s="31">
        <v>0.1</v>
      </c>
      <c r="T14" s="153">
        <f t="shared" si="19"/>
        <v>4050.2000000000003</v>
      </c>
      <c r="U14" s="153">
        <f t="shared" si="20"/>
        <v>4455.22</v>
      </c>
      <c r="V14" s="153">
        <f t="shared" si="20"/>
        <v>4900.7420000000011</v>
      </c>
      <c r="W14" s="153">
        <f t="shared" si="20"/>
        <v>5390.816200000002</v>
      </c>
      <c r="X14" s="153">
        <f t="shared" si="20"/>
        <v>5929.8978200000029</v>
      </c>
      <c r="Y14" s="153">
        <f t="shared" si="20"/>
        <v>6522.8876020000034</v>
      </c>
      <c r="Z14" s="153">
        <f t="shared" si="20"/>
        <v>7175.1763622000044</v>
      </c>
      <c r="AA14" s="153">
        <f t="shared" si="20"/>
        <v>7892.6939984200053</v>
      </c>
      <c r="AB14" s="153">
        <f t="shared" si="20"/>
        <v>8681.9633982620071</v>
      </c>
      <c r="AC14" s="153">
        <f t="shared" si="20"/>
        <v>9550.1597380882085</v>
      </c>
      <c r="AD14" s="136">
        <f t="shared" si="21"/>
        <v>0.15961596092199937</v>
      </c>
      <c r="AE14" s="31">
        <v>0.08</v>
      </c>
      <c r="AF14" s="144">
        <f t="shared" si="1"/>
        <v>73672.660836680472</v>
      </c>
    </row>
    <row r="15" spans="2:32" x14ac:dyDescent="0.2">
      <c r="B15" s="20" t="s">
        <v>218</v>
      </c>
      <c r="C15" s="139"/>
      <c r="D15" s="139"/>
      <c r="E15" s="139"/>
      <c r="F15" s="145"/>
      <c r="G15" s="168">
        <v>3609</v>
      </c>
      <c r="H15" s="168">
        <v>2705</v>
      </c>
      <c r="I15" s="168">
        <v>5048</v>
      </c>
      <c r="J15" s="168">
        <v>9128</v>
      </c>
      <c r="K15" s="168">
        <v>12569</v>
      </c>
      <c r="L15" s="168">
        <v>13313</v>
      </c>
      <c r="M15" s="168">
        <v>19484</v>
      </c>
      <c r="N15" s="168">
        <v>26048</v>
      </c>
      <c r="O15" s="168">
        <v>31658</v>
      </c>
      <c r="P15" s="168">
        <v>40907</v>
      </c>
      <c r="Q15" s="224">
        <v>38791</v>
      </c>
      <c r="R15" s="118">
        <f t="shared" si="18"/>
        <v>0.34433367743091048</v>
      </c>
      <c r="S15" s="31">
        <f t="shared" si="5"/>
        <v>0.2</v>
      </c>
      <c r="T15" s="153">
        <f t="shared" si="19"/>
        <v>46549.2</v>
      </c>
      <c r="U15" s="153">
        <f t="shared" ref="U15:AC16" si="22">T15*(1+$S15)</f>
        <v>55859.039999999994</v>
      </c>
      <c r="V15" s="153">
        <f t="shared" si="22"/>
        <v>67030.847999999984</v>
      </c>
      <c r="W15" s="153">
        <f t="shared" si="22"/>
        <v>80437.017599999977</v>
      </c>
      <c r="X15" s="153">
        <f t="shared" si="22"/>
        <v>96524.42111999997</v>
      </c>
      <c r="Y15" s="153">
        <f t="shared" si="22"/>
        <v>115829.30534399996</v>
      </c>
      <c r="Z15" s="153">
        <f t="shared" si="22"/>
        <v>138995.16641279994</v>
      </c>
      <c r="AA15" s="153">
        <f t="shared" si="22"/>
        <v>166794.19969535992</v>
      </c>
      <c r="AB15" s="153">
        <f t="shared" si="22"/>
        <v>200153.03963443189</v>
      </c>
      <c r="AC15" s="153">
        <f t="shared" si="22"/>
        <v>240183.64756131824</v>
      </c>
      <c r="AD15" s="136">
        <f t="shared" si="21"/>
        <v>0.25146528880272689</v>
      </c>
      <c r="AE15" s="31">
        <f t="shared" si="15"/>
        <v>0.05</v>
      </c>
      <c r="AF15" s="144">
        <f t="shared" si="1"/>
        <v>1483487.234937554</v>
      </c>
    </row>
    <row r="16" spans="2:32" x14ac:dyDescent="0.2">
      <c r="B16" s="20" t="s">
        <v>385</v>
      </c>
      <c r="C16" s="139"/>
      <c r="D16" s="139"/>
      <c r="E16" s="139"/>
      <c r="F16" s="145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224"/>
      <c r="R16" s="118" t="e">
        <f t="shared" si="18"/>
        <v>#DIV/0!</v>
      </c>
      <c r="S16" s="31">
        <f t="shared" si="5"/>
        <v>0.2</v>
      </c>
      <c r="T16" s="153">
        <f t="shared" si="19"/>
        <v>0</v>
      </c>
      <c r="U16" s="153">
        <f t="shared" ref="U16" si="23">T16*(1+$S16)</f>
        <v>0</v>
      </c>
      <c r="V16" s="153">
        <f t="shared" ref="V16" si="24">U16*(1+$S16)</f>
        <v>0</v>
      </c>
      <c r="W16" s="153">
        <f t="shared" si="22"/>
        <v>0</v>
      </c>
      <c r="X16" s="153">
        <f t="shared" si="22"/>
        <v>0</v>
      </c>
      <c r="Y16" s="153">
        <f t="shared" si="22"/>
        <v>0</v>
      </c>
      <c r="Z16" s="153">
        <f t="shared" si="22"/>
        <v>0</v>
      </c>
      <c r="AA16" s="153">
        <f t="shared" si="22"/>
        <v>0</v>
      </c>
      <c r="AB16" s="153">
        <f t="shared" si="22"/>
        <v>0</v>
      </c>
      <c r="AC16" s="153">
        <f t="shared" si="22"/>
        <v>0</v>
      </c>
      <c r="AD16" s="136" t="e">
        <f t="shared" si="21"/>
        <v>#DIV/0!</v>
      </c>
      <c r="AE16" s="31">
        <f t="shared" si="15"/>
        <v>0.05</v>
      </c>
      <c r="AF16" s="144">
        <f t="shared" ref="AF16" si="25">(AC16*(1+AE16))/($C$1-AE16)</f>
        <v>0</v>
      </c>
    </row>
    <row r="17" spans="2:32" x14ac:dyDescent="0.2">
      <c r="B17" s="20" t="s">
        <v>19</v>
      </c>
      <c r="C17" s="139"/>
      <c r="D17" s="139"/>
      <c r="E17" s="139"/>
      <c r="F17" s="145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224"/>
      <c r="R17" s="118" t="e">
        <f t="shared" si="18"/>
        <v>#DIV/0!</v>
      </c>
      <c r="S17" s="31">
        <f t="shared" si="5"/>
        <v>0.2</v>
      </c>
      <c r="T17" s="153">
        <f t="shared" si="19"/>
        <v>0</v>
      </c>
      <c r="U17" s="153">
        <f t="shared" ref="U17:AC17" si="26">T17*(1+$S17)</f>
        <v>0</v>
      </c>
      <c r="V17" s="153">
        <f t="shared" si="26"/>
        <v>0</v>
      </c>
      <c r="W17" s="153">
        <f t="shared" si="26"/>
        <v>0</v>
      </c>
      <c r="X17" s="153">
        <f t="shared" si="26"/>
        <v>0</v>
      </c>
      <c r="Y17" s="153">
        <f t="shared" si="26"/>
        <v>0</v>
      </c>
      <c r="Z17" s="153">
        <f t="shared" si="26"/>
        <v>0</v>
      </c>
      <c r="AA17" s="153">
        <f t="shared" si="26"/>
        <v>0</v>
      </c>
      <c r="AB17" s="153">
        <f t="shared" si="26"/>
        <v>0</v>
      </c>
      <c r="AC17" s="153">
        <f t="shared" si="26"/>
        <v>0</v>
      </c>
      <c r="AD17" s="136" t="e">
        <f t="shared" si="21"/>
        <v>#DIV/0!</v>
      </c>
      <c r="AE17" s="31">
        <f t="shared" si="15"/>
        <v>0.05</v>
      </c>
      <c r="AF17" s="144">
        <f t="shared" si="1"/>
        <v>0</v>
      </c>
    </row>
    <row r="18" spans="2:32" x14ac:dyDescent="0.2">
      <c r="B18" s="20" t="s">
        <v>23</v>
      </c>
      <c r="C18" s="139"/>
      <c r="D18" s="139"/>
      <c r="E18" s="139"/>
      <c r="F18" s="145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224"/>
      <c r="R18" s="118" t="e">
        <f t="shared" si="18"/>
        <v>#DIV/0!</v>
      </c>
      <c r="S18" s="31">
        <f t="shared" si="5"/>
        <v>0.2</v>
      </c>
      <c r="T18" s="153">
        <f t="shared" si="19"/>
        <v>0</v>
      </c>
      <c r="U18" s="153">
        <f t="shared" ref="U18:AC18" si="27">T18*(1+$S18)</f>
        <v>0</v>
      </c>
      <c r="V18" s="153">
        <f t="shared" si="27"/>
        <v>0</v>
      </c>
      <c r="W18" s="153">
        <f t="shared" si="27"/>
        <v>0</v>
      </c>
      <c r="X18" s="153">
        <f t="shared" si="27"/>
        <v>0</v>
      </c>
      <c r="Y18" s="153">
        <f t="shared" si="27"/>
        <v>0</v>
      </c>
      <c r="Z18" s="153">
        <f t="shared" si="27"/>
        <v>0</v>
      </c>
      <c r="AA18" s="153">
        <f t="shared" si="27"/>
        <v>0</v>
      </c>
      <c r="AB18" s="153">
        <f t="shared" si="27"/>
        <v>0</v>
      </c>
      <c r="AC18" s="153">
        <f t="shared" si="27"/>
        <v>0</v>
      </c>
      <c r="AD18" s="136" t="e">
        <f t="shared" si="21"/>
        <v>#DIV/0!</v>
      </c>
      <c r="AE18" s="31">
        <f t="shared" si="15"/>
        <v>0.05</v>
      </c>
      <c r="AF18" s="144">
        <f t="shared" si="1"/>
        <v>0</v>
      </c>
    </row>
    <row r="19" spans="2:32" x14ac:dyDescent="0.2">
      <c r="B19" s="20"/>
      <c r="C19" s="139"/>
      <c r="D19" s="139"/>
      <c r="E19" s="139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226"/>
      <c r="R19" s="127"/>
      <c r="S19" s="20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37"/>
      <c r="AE19" s="135"/>
      <c r="AF19" s="153"/>
    </row>
    <row r="20" spans="2:32" x14ac:dyDescent="0.2">
      <c r="B20" s="20" t="s">
        <v>364</v>
      </c>
      <c r="C20" s="139"/>
      <c r="D20" s="139"/>
      <c r="E20" s="139"/>
      <c r="F20" s="145"/>
      <c r="G20" s="145">
        <v>2429</v>
      </c>
      <c r="H20" s="145">
        <v>4599</v>
      </c>
      <c r="I20" s="145">
        <v>12901</v>
      </c>
      <c r="J20" s="145">
        <v>18613</v>
      </c>
      <c r="K20" s="145">
        <v>133182</v>
      </c>
      <c r="L20" s="145">
        <v>59590</v>
      </c>
      <c r="M20" s="145">
        <v>35690</v>
      </c>
      <c r="N20" s="145">
        <v>37693</v>
      </c>
      <c r="O20" s="145">
        <v>42221</v>
      </c>
      <c r="P20" s="145">
        <v>43980</v>
      </c>
      <c r="Q20" s="226">
        <v>48822</v>
      </c>
      <c r="R20" s="118">
        <f>((Q20/H20)^(1/($I$2-$I$1) ))-1</f>
        <v>0.30015366361774909</v>
      </c>
      <c r="S20" s="31">
        <v>0.1</v>
      </c>
      <c r="T20" s="153">
        <f>Q20*(1+$S20)</f>
        <v>53704.200000000004</v>
      </c>
      <c r="U20" s="153">
        <f t="shared" ref="U20" si="28">T20*(1+$S20)</f>
        <v>59074.62000000001</v>
      </c>
      <c r="V20" s="153">
        <f t="shared" ref="V20" si="29">U20*(1+$S20)</f>
        <v>64982.082000000017</v>
      </c>
      <c r="W20" s="153">
        <f t="shared" ref="W20" si="30">V20*(1+$S20)</f>
        <v>71480.290200000018</v>
      </c>
      <c r="X20" s="153">
        <f t="shared" ref="X20" si="31">W20*(1+$S20)</f>
        <v>78628.319220000019</v>
      </c>
      <c r="Y20" s="153">
        <f t="shared" ref="Y20" si="32">X20*(1+$S20)</f>
        <v>86491.151142000032</v>
      </c>
      <c r="Z20" s="153">
        <f t="shared" ref="Z20" si="33">Y20*(1+$S20)</f>
        <v>95140.266256200048</v>
      </c>
      <c r="AA20" s="153">
        <f t="shared" ref="AA20" si="34">Z20*(1+$S20)</f>
        <v>104654.29288182006</v>
      </c>
      <c r="AB20" s="153">
        <f t="shared" ref="AB20" si="35">AA20*(1+$S20)</f>
        <v>115119.72217000207</v>
      </c>
      <c r="AC20" s="153">
        <f t="shared" ref="AC20" si="36">AB20*(1+$S20)</f>
        <v>126631.6943870023</v>
      </c>
      <c r="AD20" s="136">
        <f>((AC20/H20)^(1/($AC$3-$I$1) ))-1</f>
        <v>0.18030419428437128</v>
      </c>
      <c r="AE20" s="31">
        <v>0.08</v>
      </c>
      <c r="AF20" s="144">
        <f t="shared" si="1"/>
        <v>976873.07098544622</v>
      </c>
    </row>
    <row r="21" spans="2:32" x14ac:dyDescent="0.2">
      <c r="B21" s="20" t="s">
        <v>365</v>
      </c>
      <c r="C21" s="139"/>
      <c r="D21" s="139"/>
      <c r="E21" s="139"/>
      <c r="F21" s="145"/>
      <c r="G21" s="145">
        <v>6.66</v>
      </c>
      <c r="H21" s="145">
        <v>49.7</v>
      </c>
      <c r="I21" s="145">
        <v>303</v>
      </c>
      <c r="J21" s="145">
        <v>512</v>
      </c>
      <c r="K21" s="145">
        <v>843</v>
      </c>
      <c r="L21" s="145">
        <v>1205</v>
      </c>
      <c r="M21" s="145">
        <v>3063</v>
      </c>
      <c r="N21" s="145">
        <v>0</v>
      </c>
      <c r="O21" s="145">
        <v>0</v>
      </c>
      <c r="P21" s="145">
        <v>0</v>
      </c>
      <c r="Q21" s="226">
        <v>0</v>
      </c>
      <c r="R21" s="118">
        <f>((Q21/H21)^(1/($I$2-$I$1) ))-1</f>
        <v>-1</v>
      </c>
      <c r="S21" s="31">
        <v>0.1</v>
      </c>
      <c r="T21" s="153">
        <f>Q21*(1+$S21)</f>
        <v>0</v>
      </c>
      <c r="U21" s="153">
        <f t="shared" ref="U21:AC21" si="37">T21*(1+$S21)</f>
        <v>0</v>
      </c>
      <c r="V21" s="153">
        <f t="shared" si="37"/>
        <v>0</v>
      </c>
      <c r="W21" s="153">
        <f t="shared" si="37"/>
        <v>0</v>
      </c>
      <c r="X21" s="153">
        <f t="shared" si="37"/>
        <v>0</v>
      </c>
      <c r="Y21" s="153">
        <f t="shared" si="37"/>
        <v>0</v>
      </c>
      <c r="Z21" s="153">
        <f t="shared" si="37"/>
        <v>0</v>
      </c>
      <c r="AA21" s="153">
        <f t="shared" si="37"/>
        <v>0</v>
      </c>
      <c r="AB21" s="153">
        <f t="shared" si="37"/>
        <v>0</v>
      </c>
      <c r="AC21" s="153">
        <f t="shared" si="37"/>
        <v>0</v>
      </c>
      <c r="AD21" s="136">
        <f>((AC21/H21)^(1/($AC$3-$I$1) ))-1</f>
        <v>-1</v>
      </c>
      <c r="AE21" s="31">
        <v>0.08</v>
      </c>
      <c r="AF21" s="144">
        <f t="shared" si="1"/>
        <v>0</v>
      </c>
    </row>
    <row r="22" spans="2:32" x14ac:dyDescent="0.2">
      <c r="B22" s="20"/>
      <c r="C22" s="139"/>
      <c r="D22" s="139"/>
      <c r="E22" s="139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226"/>
      <c r="R22" s="127"/>
      <c r="S22" s="20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37"/>
      <c r="AE22" s="135"/>
      <c r="AF22" s="153"/>
    </row>
    <row r="23" spans="2:32" x14ac:dyDescent="0.2">
      <c r="B23" s="20" t="s">
        <v>278</v>
      </c>
      <c r="C23" s="139"/>
      <c r="D23" s="139"/>
      <c r="E23" s="139"/>
      <c r="F23" s="145"/>
      <c r="G23" s="168">
        <v>141</v>
      </c>
      <c r="H23" s="168">
        <v>159</v>
      </c>
      <c r="I23" s="168">
        <v>179</v>
      </c>
      <c r="J23" s="168">
        <v>239</v>
      </c>
      <c r="K23" s="168">
        <v>336</v>
      </c>
      <c r="L23" s="168">
        <v>341</v>
      </c>
      <c r="M23" s="168">
        <v>614</v>
      </c>
      <c r="N23" s="168">
        <v>600</v>
      </c>
      <c r="O23" s="168">
        <v>615</v>
      </c>
      <c r="P23" s="168">
        <v>620</v>
      </c>
      <c r="Q23" s="224">
        <v>1264</v>
      </c>
      <c r="R23" s="118">
        <f>((Q23/H23)^(1/($I$2-$I$1) ))-1</f>
        <v>0.25903813106083207</v>
      </c>
      <c r="S23" s="31">
        <f t="shared" si="5"/>
        <v>0.2</v>
      </c>
      <c r="T23" s="153">
        <f>Q23*(1+$S23)</f>
        <v>1516.8</v>
      </c>
      <c r="U23" s="153">
        <f t="shared" ref="U23:U55" si="38">T23*(1+$S23)</f>
        <v>1820.1599999999999</v>
      </c>
      <c r="V23" s="153">
        <f t="shared" ref="V23:V55" si="39">U23*(1+$S23)</f>
        <v>2184.1919999999996</v>
      </c>
      <c r="W23" s="153">
        <f t="shared" ref="W23:W55" si="40">V23*(1+$S23)</f>
        <v>2621.0303999999992</v>
      </c>
      <c r="X23" s="153">
        <f t="shared" ref="X23:X57" si="41">W23*(1+$S23)</f>
        <v>3145.2364799999991</v>
      </c>
      <c r="Y23" s="153">
        <f t="shared" ref="Y23:Y57" si="42">X23*(1+$S23)</f>
        <v>3774.2837759999989</v>
      </c>
      <c r="Z23" s="153">
        <f t="shared" ref="Z23:Z57" si="43">Y23*(1+$S23)</f>
        <v>4529.1405311999988</v>
      </c>
      <c r="AA23" s="153">
        <f t="shared" ref="AA23:AA57" si="44">Z23*(1+$S23)</f>
        <v>5434.968637439998</v>
      </c>
      <c r="AB23" s="153">
        <f t="shared" ref="AB23:AB57" si="45">AA23*(1+$S23)</f>
        <v>6521.9623649279974</v>
      </c>
      <c r="AC23" s="153">
        <f t="shared" ref="AC23:AC57" si="46">AB23*(1+$S23)</f>
        <v>7826.3548379135964</v>
      </c>
      <c r="AD23" s="136">
        <f>((AC23/H23)^(1/($AC$3-$I$1) ))-1</f>
        <v>0.21508908734389709</v>
      </c>
      <c r="AE23" s="31">
        <f t="shared" si="15"/>
        <v>0.05</v>
      </c>
      <c r="AF23" s="144">
        <f t="shared" si="1"/>
        <v>48339.250469466329</v>
      </c>
    </row>
    <row r="24" spans="2:32" x14ac:dyDescent="0.2">
      <c r="B24" s="20"/>
      <c r="C24" s="139"/>
      <c r="D24" s="139"/>
      <c r="E24" s="139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226"/>
      <c r="R24" s="127"/>
      <c r="S24" s="20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37"/>
      <c r="AE24" s="135"/>
      <c r="AF24" s="153"/>
    </row>
    <row r="25" spans="2:32" x14ac:dyDescent="0.2">
      <c r="B25" s="20" t="s">
        <v>284</v>
      </c>
      <c r="C25" s="139"/>
      <c r="D25" s="139"/>
      <c r="E25" s="139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226"/>
      <c r="R25" s="118" t="e">
        <f>((Q25/H25)^(1/($I$2-$I$1) ))-1</f>
        <v>#DIV/0!</v>
      </c>
      <c r="S25" s="31">
        <f t="shared" si="5"/>
        <v>0.2</v>
      </c>
      <c r="T25" s="153">
        <f>Q25*(1+$S25)</f>
        <v>0</v>
      </c>
      <c r="U25" s="153">
        <f t="shared" ref="U25:U27" si="47">T25*(1+$S25)</f>
        <v>0</v>
      </c>
      <c r="V25" s="153">
        <f t="shared" ref="V25:V27" si="48">U25*(1+$S25)</f>
        <v>0</v>
      </c>
      <c r="W25" s="153">
        <f t="shared" ref="W25:W27" si="49">V25*(1+$S25)</f>
        <v>0</v>
      </c>
      <c r="X25" s="153">
        <f t="shared" ref="X25:X27" si="50">W25*(1+$S25)</f>
        <v>0</v>
      </c>
      <c r="Y25" s="153">
        <f t="shared" ref="Y25:Y27" si="51">X25*(1+$S25)</f>
        <v>0</v>
      </c>
      <c r="Z25" s="153">
        <f t="shared" ref="Z25:Z27" si="52">Y25*(1+$S25)</f>
        <v>0</v>
      </c>
      <c r="AA25" s="153">
        <f t="shared" ref="AA25:AA27" si="53">Z25*(1+$S25)</f>
        <v>0</v>
      </c>
      <c r="AB25" s="153">
        <f t="shared" ref="AB25:AB27" si="54">AA25*(1+$S25)</f>
        <v>0</v>
      </c>
      <c r="AC25" s="153">
        <f t="shared" ref="AC25:AC27" si="55">AB25*(1+$S25)</f>
        <v>0</v>
      </c>
      <c r="AD25" s="136" t="e">
        <f>((AC25/H25)^(1/($AC$3-$I$1) ))-1</f>
        <v>#DIV/0!</v>
      </c>
      <c r="AE25" s="31">
        <f t="shared" si="15"/>
        <v>0.05</v>
      </c>
      <c r="AF25" s="144">
        <f t="shared" si="1"/>
        <v>0</v>
      </c>
    </row>
    <row r="26" spans="2:32" x14ac:dyDescent="0.2">
      <c r="B26" s="20" t="s">
        <v>285</v>
      </c>
      <c r="C26" s="139"/>
      <c r="D26" s="139"/>
      <c r="E26" s="139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226"/>
      <c r="R26" s="118" t="e">
        <f>((Q26/H26)^(1/($I$2-$I$1) ))-1</f>
        <v>#DIV/0!</v>
      </c>
      <c r="S26" s="31">
        <f t="shared" si="5"/>
        <v>0.2</v>
      </c>
      <c r="T26" s="153">
        <f>Q26*(1+$S26)</f>
        <v>0</v>
      </c>
      <c r="U26" s="153">
        <f t="shared" si="47"/>
        <v>0</v>
      </c>
      <c r="V26" s="153">
        <f t="shared" si="48"/>
        <v>0</v>
      </c>
      <c r="W26" s="153">
        <f t="shared" si="49"/>
        <v>0</v>
      </c>
      <c r="X26" s="153">
        <f t="shared" si="50"/>
        <v>0</v>
      </c>
      <c r="Y26" s="153">
        <f t="shared" si="51"/>
        <v>0</v>
      </c>
      <c r="Z26" s="153">
        <f t="shared" si="52"/>
        <v>0</v>
      </c>
      <c r="AA26" s="153">
        <f t="shared" si="53"/>
        <v>0</v>
      </c>
      <c r="AB26" s="153">
        <f t="shared" si="54"/>
        <v>0</v>
      </c>
      <c r="AC26" s="153">
        <f t="shared" si="55"/>
        <v>0</v>
      </c>
      <c r="AD26" s="136" t="e">
        <f>((AC26/H26)^(1/($AC$3-$I$1) ))-1</f>
        <v>#DIV/0!</v>
      </c>
      <c r="AE26" s="31">
        <f t="shared" si="15"/>
        <v>0.05</v>
      </c>
      <c r="AF26" s="144">
        <f t="shared" si="1"/>
        <v>0</v>
      </c>
    </row>
    <row r="27" spans="2:32" x14ac:dyDescent="0.2">
      <c r="B27" s="20" t="s">
        <v>286</v>
      </c>
      <c r="C27" s="139"/>
      <c r="D27" s="139"/>
      <c r="E27" s="139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226"/>
      <c r="R27" s="118" t="e">
        <f>((Q27/H27)^(1/($I$2-$I$1) ))-1</f>
        <v>#DIV/0!</v>
      </c>
      <c r="S27" s="31">
        <f t="shared" si="5"/>
        <v>0.2</v>
      </c>
      <c r="T27" s="153">
        <f>Q27*(1+$S27)</f>
        <v>0</v>
      </c>
      <c r="U27" s="153">
        <f t="shared" si="47"/>
        <v>0</v>
      </c>
      <c r="V27" s="153">
        <f t="shared" si="48"/>
        <v>0</v>
      </c>
      <c r="W27" s="153">
        <f t="shared" si="49"/>
        <v>0</v>
      </c>
      <c r="X27" s="153">
        <f t="shared" si="50"/>
        <v>0</v>
      </c>
      <c r="Y27" s="153">
        <f t="shared" si="51"/>
        <v>0</v>
      </c>
      <c r="Z27" s="153">
        <f t="shared" si="52"/>
        <v>0</v>
      </c>
      <c r="AA27" s="153">
        <f t="shared" si="53"/>
        <v>0</v>
      </c>
      <c r="AB27" s="153">
        <f t="shared" si="54"/>
        <v>0</v>
      </c>
      <c r="AC27" s="153">
        <f t="shared" si="55"/>
        <v>0</v>
      </c>
      <c r="AD27" s="136" t="e">
        <f>((AC27/H27)^(1/($AC$3-$I$1) ))-1</f>
        <v>#DIV/0!</v>
      </c>
      <c r="AE27" s="31">
        <f t="shared" si="15"/>
        <v>0.05</v>
      </c>
      <c r="AF27" s="144">
        <f t="shared" si="1"/>
        <v>0</v>
      </c>
    </row>
    <row r="28" spans="2:32" x14ac:dyDescent="0.2">
      <c r="B28" s="20" t="s">
        <v>296</v>
      </c>
      <c r="C28" s="139"/>
      <c r="D28" s="139"/>
      <c r="E28" s="139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226"/>
      <c r="R28" s="118" t="e">
        <f>((Q28/H28)^(1/($I$2-$I$1) ))-1</f>
        <v>#DIV/0!</v>
      </c>
      <c r="S28" s="31">
        <f t="shared" si="5"/>
        <v>0.2</v>
      </c>
      <c r="T28" s="153">
        <f>Q28*(1+$S28)</f>
        <v>0</v>
      </c>
      <c r="U28" s="153">
        <f t="shared" ref="U28" si="56">T28*(1+$S28)</f>
        <v>0</v>
      </c>
      <c r="V28" s="153">
        <f t="shared" ref="V28" si="57">U28*(1+$S28)</f>
        <v>0</v>
      </c>
      <c r="W28" s="153">
        <f t="shared" ref="W28" si="58">V28*(1+$S28)</f>
        <v>0</v>
      </c>
      <c r="X28" s="153">
        <f t="shared" ref="X28" si="59">W28*(1+$S28)</f>
        <v>0</v>
      </c>
      <c r="Y28" s="153">
        <f t="shared" ref="Y28" si="60">X28*(1+$S28)</f>
        <v>0</v>
      </c>
      <c r="Z28" s="153">
        <f t="shared" ref="Z28" si="61">Y28*(1+$S28)</f>
        <v>0</v>
      </c>
      <c r="AA28" s="153">
        <f t="shared" ref="AA28" si="62">Z28*(1+$S28)</f>
        <v>0</v>
      </c>
      <c r="AB28" s="153">
        <f t="shared" ref="AB28" si="63">AA28*(1+$S28)</f>
        <v>0</v>
      </c>
      <c r="AC28" s="153">
        <f t="shared" ref="AC28" si="64">AB28*(1+$S28)</f>
        <v>0</v>
      </c>
      <c r="AD28" s="136" t="e">
        <f>((AC28/H28)^(1/($AC$3-$I$1) ))-1</f>
        <v>#DIV/0!</v>
      </c>
      <c r="AE28" s="31">
        <f t="shared" si="15"/>
        <v>0.05</v>
      </c>
      <c r="AF28" s="144">
        <f t="shared" si="1"/>
        <v>0</v>
      </c>
    </row>
    <row r="29" spans="2:32" x14ac:dyDescent="0.2">
      <c r="B29" s="20"/>
      <c r="C29" s="139"/>
      <c r="D29" s="139"/>
      <c r="E29" s="139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226"/>
      <c r="R29" s="145"/>
      <c r="S29" s="145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61"/>
      <c r="AE29" s="119"/>
      <c r="AF29" s="153"/>
    </row>
    <row r="30" spans="2:32" s="122" customFormat="1" x14ac:dyDescent="0.2">
      <c r="B30" s="20" t="s">
        <v>371</v>
      </c>
      <c r="C30" s="148"/>
      <c r="D30" s="148"/>
      <c r="E30" s="148"/>
      <c r="F30" s="149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225"/>
      <c r="R30" s="118" t="e">
        <f>((Q30/H30)^(1/($I$2-$I$1) ))-1</f>
        <v>#DIV/0!</v>
      </c>
      <c r="S30" s="31">
        <v>0.1</v>
      </c>
      <c r="T30" s="153">
        <f>Q30*(1+$S30)</f>
        <v>0</v>
      </c>
      <c r="U30" s="153">
        <f t="shared" ref="U30:U33" si="65">T30*(1+$S30)</f>
        <v>0</v>
      </c>
      <c r="V30" s="153">
        <f t="shared" ref="V30:V33" si="66">U30*(1+$S30)</f>
        <v>0</v>
      </c>
      <c r="W30" s="153">
        <f t="shared" ref="W30:W33" si="67">V30*(1+$S30)</f>
        <v>0</v>
      </c>
      <c r="X30" s="153">
        <f t="shared" ref="X30:X33" si="68">W30*(1+$S30)</f>
        <v>0</v>
      </c>
      <c r="Y30" s="153">
        <f t="shared" ref="Y30:Y33" si="69">X30*(1+$S30)</f>
        <v>0</v>
      </c>
      <c r="Z30" s="153">
        <f t="shared" ref="Z30:Z33" si="70">Y30*(1+$S30)</f>
        <v>0</v>
      </c>
      <c r="AA30" s="153">
        <f t="shared" ref="AA30:AA33" si="71">Z30*(1+$S30)</f>
        <v>0</v>
      </c>
      <c r="AB30" s="153">
        <f t="shared" ref="AB30:AB33" si="72">AA30*(1+$S30)</f>
        <v>0</v>
      </c>
      <c r="AC30" s="153">
        <f t="shared" ref="AC30:AC33" si="73">AB30*(1+$S30)</f>
        <v>0</v>
      </c>
      <c r="AD30" s="136" t="e">
        <f>((AC30/H30)^(1/($AC$3-$I$1) ))-1</f>
        <v>#DIV/0!</v>
      </c>
      <c r="AE30" s="31">
        <f t="shared" si="15"/>
        <v>0.05</v>
      </c>
      <c r="AF30" s="144">
        <f t="shared" ref="AF30:AF33" si="74">(AC30*(1+AE30))/($C$1-AE30)</f>
        <v>0</v>
      </c>
    </row>
    <row r="31" spans="2:32" s="122" customFormat="1" x14ac:dyDescent="0.2">
      <c r="B31" s="20" t="s">
        <v>372</v>
      </c>
      <c r="C31" s="148"/>
      <c r="D31" s="148"/>
      <c r="E31" s="148"/>
      <c r="F31" s="149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225"/>
      <c r="R31" s="118" t="e">
        <f>((Q31/H31)^(1/($I$2-$I$1) ))-1</f>
        <v>#DIV/0!</v>
      </c>
      <c r="S31" s="31">
        <v>0.1</v>
      </c>
      <c r="T31" s="153">
        <f>Q31*(1+$S31)</f>
        <v>0</v>
      </c>
      <c r="U31" s="153">
        <f t="shared" si="65"/>
        <v>0</v>
      </c>
      <c r="V31" s="153">
        <f t="shared" si="66"/>
        <v>0</v>
      </c>
      <c r="W31" s="153">
        <f t="shared" si="67"/>
        <v>0</v>
      </c>
      <c r="X31" s="153">
        <f t="shared" si="68"/>
        <v>0</v>
      </c>
      <c r="Y31" s="153">
        <f t="shared" si="69"/>
        <v>0</v>
      </c>
      <c r="Z31" s="153">
        <f t="shared" si="70"/>
        <v>0</v>
      </c>
      <c r="AA31" s="153">
        <f t="shared" si="71"/>
        <v>0</v>
      </c>
      <c r="AB31" s="153">
        <f t="shared" si="72"/>
        <v>0</v>
      </c>
      <c r="AC31" s="153">
        <f t="shared" si="73"/>
        <v>0</v>
      </c>
      <c r="AD31" s="136" t="e">
        <f>((AC31/H31)^(1/($AC$3-$I$1) ))-1</f>
        <v>#DIV/0!</v>
      </c>
      <c r="AE31" s="31">
        <f t="shared" si="15"/>
        <v>0.05</v>
      </c>
      <c r="AF31" s="144">
        <f t="shared" si="74"/>
        <v>0</v>
      </c>
    </row>
    <row r="32" spans="2:32" s="122" customFormat="1" x14ac:dyDescent="0.2">
      <c r="B32" s="20" t="s">
        <v>373</v>
      </c>
      <c r="C32" s="148"/>
      <c r="D32" s="148"/>
      <c r="E32" s="148"/>
      <c r="F32" s="149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225"/>
      <c r="R32" s="118" t="e">
        <f>((Q32/H32)^(1/($I$2-$I$1) ))-1</f>
        <v>#DIV/0!</v>
      </c>
      <c r="S32" s="31">
        <v>0.1</v>
      </c>
      <c r="T32" s="153">
        <f>Q32*(1+$S32)</f>
        <v>0</v>
      </c>
      <c r="U32" s="153">
        <f t="shared" si="65"/>
        <v>0</v>
      </c>
      <c r="V32" s="153">
        <f t="shared" si="66"/>
        <v>0</v>
      </c>
      <c r="W32" s="153">
        <f t="shared" si="67"/>
        <v>0</v>
      </c>
      <c r="X32" s="153">
        <f t="shared" si="68"/>
        <v>0</v>
      </c>
      <c r="Y32" s="153">
        <f t="shared" si="69"/>
        <v>0</v>
      </c>
      <c r="Z32" s="153">
        <f t="shared" si="70"/>
        <v>0</v>
      </c>
      <c r="AA32" s="153">
        <f t="shared" si="71"/>
        <v>0</v>
      </c>
      <c r="AB32" s="153">
        <f t="shared" si="72"/>
        <v>0</v>
      </c>
      <c r="AC32" s="153">
        <f t="shared" si="73"/>
        <v>0</v>
      </c>
      <c r="AD32" s="136" t="e">
        <f>((AC32/H32)^(1/($AC$3-$I$1) ))-1</f>
        <v>#DIV/0!</v>
      </c>
      <c r="AE32" s="31">
        <f t="shared" si="15"/>
        <v>0.05</v>
      </c>
      <c r="AF32" s="144">
        <f t="shared" si="74"/>
        <v>0</v>
      </c>
    </row>
    <row r="33" spans="2:32" x14ac:dyDescent="0.2">
      <c r="B33" s="20" t="s">
        <v>374</v>
      </c>
      <c r="C33" s="139"/>
      <c r="D33" s="139"/>
      <c r="E33" s="139"/>
      <c r="F33" s="145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225"/>
      <c r="R33" s="118" t="e">
        <f>((Q33/H33)^(1/($I$2-$I$1) ))-1</f>
        <v>#DIV/0!</v>
      </c>
      <c r="S33" s="31">
        <v>0.1</v>
      </c>
      <c r="T33" s="153">
        <f>Q33*(1+$S33)</f>
        <v>0</v>
      </c>
      <c r="U33" s="153">
        <f t="shared" si="65"/>
        <v>0</v>
      </c>
      <c r="V33" s="153">
        <f t="shared" si="66"/>
        <v>0</v>
      </c>
      <c r="W33" s="153">
        <f t="shared" si="67"/>
        <v>0</v>
      </c>
      <c r="X33" s="153">
        <f t="shared" si="68"/>
        <v>0</v>
      </c>
      <c r="Y33" s="153">
        <f t="shared" si="69"/>
        <v>0</v>
      </c>
      <c r="Z33" s="153">
        <f t="shared" si="70"/>
        <v>0</v>
      </c>
      <c r="AA33" s="153">
        <f t="shared" si="71"/>
        <v>0</v>
      </c>
      <c r="AB33" s="153">
        <f t="shared" si="72"/>
        <v>0</v>
      </c>
      <c r="AC33" s="153">
        <f t="shared" si="73"/>
        <v>0</v>
      </c>
      <c r="AD33" s="136" t="e">
        <f>((AC33/H33)^(1/($AC$3-$I$1) ))-1</f>
        <v>#DIV/0!</v>
      </c>
      <c r="AE33" s="31">
        <f t="shared" si="15"/>
        <v>0.05</v>
      </c>
      <c r="AF33" s="144">
        <f t="shared" si="74"/>
        <v>0</v>
      </c>
    </row>
    <row r="34" spans="2:32" x14ac:dyDescent="0.2">
      <c r="B34" s="20"/>
      <c r="C34" s="139"/>
      <c r="D34" s="139"/>
      <c r="E34" s="139"/>
      <c r="F34" s="145"/>
      <c r="G34" s="147" t="e">
        <f>(G33-F33)/G33</f>
        <v>#DIV/0!</v>
      </c>
      <c r="H34" s="147" t="e">
        <f>(H33-G33)/H33</f>
        <v>#DIV/0!</v>
      </c>
      <c r="I34" s="147" t="e">
        <f>(I33-H33)/I33</f>
        <v>#DIV/0!</v>
      </c>
      <c r="J34" s="147" t="e">
        <f t="shared" ref="J34:Q34" si="75">(J33-I33)/J33</f>
        <v>#DIV/0!</v>
      </c>
      <c r="K34" s="147" t="e">
        <f t="shared" si="75"/>
        <v>#DIV/0!</v>
      </c>
      <c r="L34" s="147" t="e">
        <f t="shared" si="75"/>
        <v>#DIV/0!</v>
      </c>
      <c r="M34" s="147" t="e">
        <f t="shared" si="75"/>
        <v>#DIV/0!</v>
      </c>
      <c r="N34" s="147" t="e">
        <f t="shared" si="75"/>
        <v>#DIV/0!</v>
      </c>
      <c r="O34" s="147" t="e">
        <f t="shared" si="75"/>
        <v>#DIV/0!</v>
      </c>
      <c r="P34" s="147" t="e">
        <f t="shared" si="75"/>
        <v>#DIV/0!</v>
      </c>
      <c r="Q34" s="230" t="e">
        <f t="shared" si="75"/>
        <v>#DIV/0!</v>
      </c>
      <c r="R34" s="3"/>
      <c r="S34" s="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44"/>
    </row>
    <row r="35" spans="2:32" x14ac:dyDescent="0.2">
      <c r="B35" s="20"/>
      <c r="C35" s="139"/>
      <c r="D35" s="139"/>
      <c r="E35" s="139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226"/>
      <c r="R35" s="127"/>
      <c r="S35" s="20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19"/>
      <c r="AE35" s="135"/>
      <c r="AF35" s="153"/>
    </row>
    <row r="36" spans="2:32" x14ac:dyDescent="0.2">
      <c r="B36" s="20" t="s">
        <v>366</v>
      </c>
      <c r="C36" s="139"/>
      <c r="D36" s="139"/>
      <c r="E36" s="139"/>
      <c r="F36" s="145"/>
      <c r="G36" s="145">
        <v>4220</v>
      </c>
      <c r="H36" s="145">
        <v>3832</v>
      </c>
      <c r="I36" s="145">
        <v>5616</v>
      </c>
      <c r="J36" s="145">
        <v>9660</v>
      </c>
      <c r="K36" s="145">
        <v>13691</v>
      </c>
      <c r="L36" s="145">
        <v>13822</v>
      </c>
      <c r="M36" s="145">
        <v>21819</v>
      </c>
      <c r="N36" s="145">
        <v>27312</v>
      </c>
      <c r="O36" s="145">
        <v>36460</v>
      </c>
      <c r="P36" s="145">
        <v>49389</v>
      </c>
      <c r="Q36" s="226">
        <v>56292</v>
      </c>
      <c r="R36" s="118">
        <f>((Q36/H36)^(1/($I$2-$I$1) ))-1</f>
        <v>0.34793521616973289</v>
      </c>
      <c r="S36" s="31">
        <v>0.11</v>
      </c>
      <c r="T36" s="153">
        <f>Q36*(1+$S36)</f>
        <v>62484.12</v>
      </c>
      <c r="U36" s="153">
        <f t="shared" ref="U36:AC42" si="76">T36*(1+$S36)</f>
        <v>69357.373200000002</v>
      </c>
      <c r="V36" s="153">
        <f t="shared" si="76"/>
        <v>76986.684252000006</v>
      </c>
      <c r="W36" s="153">
        <f t="shared" si="76"/>
        <v>85455.21951972002</v>
      </c>
      <c r="X36" s="153">
        <f t="shared" si="76"/>
        <v>94855.293666889236</v>
      </c>
      <c r="Y36" s="153">
        <f t="shared" si="76"/>
        <v>105289.37597024706</v>
      </c>
      <c r="Z36" s="153">
        <f t="shared" si="76"/>
        <v>116871.20732697424</v>
      </c>
      <c r="AA36" s="153">
        <f t="shared" si="76"/>
        <v>129727.04013294142</v>
      </c>
      <c r="AB36" s="153">
        <f t="shared" si="76"/>
        <v>143997.01454756499</v>
      </c>
      <c r="AC36" s="153">
        <f t="shared" si="76"/>
        <v>159836.68614779715</v>
      </c>
      <c r="AD36" s="136">
        <f>((AC36/H36)^(1/($AC$3-$I$1) ))-1</f>
        <v>0.20507075867822522</v>
      </c>
      <c r="AE36" s="31">
        <v>0.05</v>
      </c>
      <c r="AF36" s="144">
        <f t="shared" si="1"/>
        <v>987226.59091286489</v>
      </c>
    </row>
    <row r="37" spans="2:32" x14ac:dyDescent="0.2">
      <c r="B37" s="20"/>
      <c r="C37" s="139"/>
      <c r="D37" s="139"/>
      <c r="E37" s="139"/>
      <c r="F37" s="145"/>
      <c r="G37" s="147">
        <f>(G36-F36)/G36</f>
        <v>1</v>
      </c>
      <c r="H37" s="147">
        <f>(H36-G36)/H36</f>
        <v>-0.10125260960334029</v>
      </c>
      <c r="I37" s="147">
        <f t="shared" ref="I37:Q37" si="77">(I36-H36)/I36</f>
        <v>0.31766381766381768</v>
      </c>
      <c r="J37" s="147">
        <f t="shared" si="77"/>
        <v>0.41863354037267081</v>
      </c>
      <c r="K37" s="147">
        <f t="shared" si="77"/>
        <v>0.29442699583668103</v>
      </c>
      <c r="L37" s="147">
        <f t="shared" si="77"/>
        <v>9.4776443351179285E-3</v>
      </c>
      <c r="M37" s="147">
        <f t="shared" si="77"/>
        <v>0.36651542233832896</v>
      </c>
      <c r="N37" s="147">
        <f t="shared" si="77"/>
        <v>0.20112038664323376</v>
      </c>
      <c r="O37" s="147">
        <f t="shared" si="77"/>
        <v>0.25090510148107514</v>
      </c>
      <c r="P37" s="147">
        <f t="shared" si="77"/>
        <v>0.2617789386300593</v>
      </c>
      <c r="Q37" s="230">
        <f t="shared" si="77"/>
        <v>0.12262843743338307</v>
      </c>
      <c r="R37" s="3"/>
      <c r="S37" s="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37"/>
      <c r="AE37" s="127"/>
      <c r="AF37" s="144"/>
    </row>
    <row r="38" spans="2:32" x14ac:dyDescent="0.2">
      <c r="B38" s="20" t="s">
        <v>367</v>
      </c>
      <c r="C38" s="139"/>
      <c r="D38" s="139"/>
      <c r="E38" s="139"/>
      <c r="F38" s="145"/>
      <c r="G38" s="145">
        <v>3103</v>
      </c>
      <c r="H38" s="145">
        <v>3723</v>
      </c>
      <c r="I38" s="145">
        <v>5797</v>
      </c>
      <c r="J38" s="145">
        <v>9985</v>
      </c>
      <c r="K38" s="145">
        <v>12772</v>
      </c>
      <c r="L38" s="145">
        <v>11059</v>
      </c>
      <c r="M38" s="145">
        <v>13885</v>
      </c>
      <c r="N38" s="145">
        <v>22073</v>
      </c>
      <c r="O38" s="145">
        <v>29194</v>
      </c>
      <c r="P38" s="145">
        <v>36171</v>
      </c>
      <c r="Q38" s="226">
        <v>29007</v>
      </c>
      <c r="R38" s="118">
        <f>((Q38/H38)^(1/($I$2-$I$1) ))-1</f>
        <v>0.25622592906408048</v>
      </c>
      <c r="S38" s="31">
        <v>0.1</v>
      </c>
      <c r="T38" s="153">
        <f>Q38*(1+$S38)</f>
        <v>31907.700000000004</v>
      </c>
      <c r="U38" s="153">
        <f t="shared" ref="U38:AC38" si="78">T38*(1+$S38)</f>
        <v>35098.470000000008</v>
      </c>
      <c r="V38" s="153">
        <f t="shared" si="78"/>
        <v>38608.31700000001</v>
      </c>
      <c r="W38" s="153">
        <f t="shared" si="78"/>
        <v>42469.148700000012</v>
      </c>
      <c r="X38" s="153">
        <f t="shared" si="78"/>
        <v>46716.06357000002</v>
      </c>
      <c r="Y38" s="153">
        <f t="shared" si="78"/>
        <v>51387.669927000024</v>
      </c>
      <c r="Z38" s="153">
        <f t="shared" si="78"/>
        <v>56526.436919700034</v>
      </c>
      <c r="AA38" s="153">
        <f t="shared" si="78"/>
        <v>62179.080611670041</v>
      </c>
      <c r="AB38" s="153">
        <f t="shared" si="78"/>
        <v>68396.988672837047</v>
      </c>
      <c r="AC38" s="153">
        <f t="shared" si="78"/>
        <v>75236.687540120765</v>
      </c>
      <c r="AD38" s="136">
        <f>((AC38/H38)^(1/($AC$3-$I$1) ))-1</f>
        <v>0.1621891898553911</v>
      </c>
      <c r="AE38" s="31">
        <v>0.05</v>
      </c>
      <c r="AF38" s="144">
        <f t="shared" si="1"/>
        <v>464697.1877478048</v>
      </c>
    </row>
    <row r="39" spans="2:32" x14ac:dyDescent="0.2">
      <c r="B39" s="20"/>
      <c r="C39" s="139"/>
      <c r="D39" s="139"/>
      <c r="E39" s="139"/>
      <c r="F39" s="145"/>
      <c r="G39" s="147">
        <f>(G38-F38)/G38</f>
        <v>1</v>
      </c>
      <c r="H39" s="147">
        <f>(H38-G38)/H38</f>
        <v>0.16653236637120603</v>
      </c>
      <c r="I39" s="147">
        <f t="shared" ref="I39:Q39" si="79">(I38-H38)/I38</f>
        <v>0.35777126099706746</v>
      </c>
      <c r="J39" s="147">
        <f t="shared" si="79"/>
        <v>0.41942914371557338</v>
      </c>
      <c r="K39" s="147">
        <f t="shared" si="79"/>
        <v>0.21821171312245538</v>
      </c>
      <c r="L39" s="147">
        <f t="shared" si="79"/>
        <v>-0.15489646441812099</v>
      </c>
      <c r="M39" s="147">
        <f t="shared" si="79"/>
        <v>0.20352898811667267</v>
      </c>
      <c r="N39" s="147">
        <f t="shared" si="79"/>
        <v>0.37095093553209801</v>
      </c>
      <c r="O39" s="147">
        <f t="shared" si="79"/>
        <v>0.24391998355826539</v>
      </c>
      <c r="P39" s="147">
        <f t="shared" si="79"/>
        <v>0.19288933123220259</v>
      </c>
      <c r="Q39" s="230">
        <f t="shared" si="79"/>
        <v>-0.24697486813527769</v>
      </c>
      <c r="R39" s="3"/>
      <c r="S39" s="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37"/>
      <c r="AE39" s="127"/>
      <c r="AF39" s="144"/>
    </row>
    <row r="40" spans="2:32" x14ac:dyDescent="0.2">
      <c r="B40" s="20" t="s">
        <v>368</v>
      </c>
      <c r="C40" s="139"/>
      <c r="D40" s="139"/>
      <c r="E40" s="139"/>
      <c r="F40" s="145"/>
      <c r="G40" s="145">
        <v>927</v>
      </c>
      <c r="H40" s="145">
        <v>1565</v>
      </c>
      <c r="I40" s="145">
        <v>2983</v>
      </c>
      <c r="J40" s="145">
        <v>4011</v>
      </c>
      <c r="K40" s="145">
        <v>5357</v>
      </c>
      <c r="L40" s="145">
        <v>4935</v>
      </c>
      <c r="M40" s="145">
        <v>4992</v>
      </c>
      <c r="N40" s="145">
        <v>5042</v>
      </c>
      <c r="O40" s="145">
        <v>4586</v>
      </c>
      <c r="P40" s="145">
        <v>4720</v>
      </c>
      <c r="Q40" s="226">
        <v>5929</v>
      </c>
      <c r="R40" s="118">
        <f>((Q40/H40)^(1/($I$2-$I$1) ))-1</f>
        <v>0.15950899792395101</v>
      </c>
      <c r="S40" s="31">
        <v>0.1</v>
      </c>
      <c r="T40" s="153">
        <f>Q40*(1+$S40)</f>
        <v>6521.9000000000005</v>
      </c>
      <c r="U40" s="153">
        <f t="shared" ref="U40:AC40" si="80">T40*(1+$S40)</f>
        <v>7174.0900000000011</v>
      </c>
      <c r="V40" s="153">
        <f t="shared" si="80"/>
        <v>7891.4990000000016</v>
      </c>
      <c r="W40" s="153">
        <f t="shared" si="80"/>
        <v>8680.648900000002</v>
      </c>
      <c r="X40" s="153">
        <f t="shared" si="80"/>
        <v>9548.7137900000034</v>
      </c>
      <c r="Y40" s="153">
        <f t="shared" si="80"/>
        <v>10503.585169000005</v>
      </c>
      <c r="Z40" s="153">
        <f t="shared" si="80"/>
        <v>11553.943685900007</v>
      </c>
      <c r="AA40" s="153">
        <f t="shared" si="80"/>
        <v>12709.338054490008</v>
      </c>
      <c r="AB40" s="153">
        <f t="shared" si="80"/>
        <v>13980.27185993901</v>
      </c>
      <c r="AC40" s="153">
        <f t="shared" si="80"/>
        <v>15378.299045932912</v>
      </c>
      <c r="AD40" s="136">
        <f>((AC40/H40)^(1/($AC$3-$I$1) ))-1</f>
        <v>0.12103635781309019</v>
      </c>
      <c r="AE40" s="31">
        <v>0.05</v>
      </c>
      <c r="AF40" s="144">
        <f t="shared" si="1"/>
        <v>94983.611754291531</v>
      </c>
    </row>
    <row r="41" spans="2:32" x14ac:dyDescent="0.2">
      <c r="B41" s="20"/>
      <c r="C41" s="139"/>
      <c r="D41" s="139"/>
      <c r="E41" s="139"/>
      <c r="F41" s="145"/>
      <c r="G41" s="147">
        <f>(G40-F40)/G40</f>
        <v>1</v>
      </c>
      <c r="H41" s="147">
        <f>(H40-G40)/H40</f>
        <v>0.40766773162939296</v>
      </c>
      <c r="I41" s="147">
        <f t="shared" ref="I41:Q41" si="81">(I40-H40)/I40</f>
        <v>0.47536037546094534</v>
      </c>
      <c r="J41" s="147">
        <f t="shared" si="81"/>
        <v>0.25629518823236103</v>
      </c>
      <c r="K41" s="147">
        <f t="shared" si="81"/>
        <v>0.25126003360089605</v>
      </c>
      <c r="L41" s="147">
        <f t="shared" si="81"/>
        <v>-8.5511651469098282E-2</v>
      </c>
      <c r="M41" s="147">
        <f t="shared" si="81"/>
        <v>1.141826923076923E-2</v>
      </c>
      <c r="N41" s="147">
        <f t="shared" si="81"/>
        <v>9.9166997223324085E-3</v>
      </c>
      <c r="O41" s="147">
        <f t="shared" si="81"/>
        <v>-9.9433057130396865E-2</v>
      </c>
      <c r="P41" s="147">
        <f t="shared" si="81"/>
        <v>2.8389830508474576E-2</v>
      </c>
      <c r="Q41" s="230">
        <f t="shared" si="81"/>
        <v>0.20391297014673637</v>
      </c>
      <c r="R41" s="3"/>
      <c r="S41" s="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37"/>
      <c r="AE41" s="127"/>
      <c r="AF41" s="144"/>
    </row>
    <row r="42" spans="2:32" x14ac:dyDescent="0.2">
      <c r="B42" s="20" t="s">
        <v>369</v>
      </c>
      <c r="C42" s="139"/>
      <c r="D42" s="139"/>
      <c r="E42" s="139"/>
      <c r="F42" s="145"/>
      <c r="G42" s="145">
        <v>4650</v>
      </c>
      <c r="H42" s="145">
        <v>7142</v>
      </c>
      <c r="I42" s="145">
        <v>10419</v>
      </c>
      <c r="J42" s="145">
        <v>15573</v>
      </c>
      <c r="K42" s="145">
        <v>21984</v>
      </c>
      <c r="L42" s="145">
        <v>22497</v>
      </c>
      <c r="M42" s="145">
        <v>29724</v>
      </c>
      <c r="N42" s="145">
        <v>41241</v>
      </c>
      <c r="O42" s="145">
        <v>53141</v>
      </c>
      <c r="P42" s="145">
        <v>66257</v>
      </c>
      <c r="Q42" s="226">
        <v>71692</v>
      </c>
      <c r="R42" s="118">
        <f>((Q42/H42)^(1/($I$2-$I$1) ))-1</f>
        <v>0.29209527673460722</v>
      </c>
      <c r="S42" s="31">
        <v>0.1</v>
      </c>
      <c r="T42" s="153">
        <f>Q42*(1+$S42)</f>
        <v>78861.200000000012</v>
      </c>
      <c r="U42" s="153">
        <f t="shared" si="76"/>
        <v>86747.320000000022</v>
      </c>
      <c r="V42" s="153">
        <f t="shared" si="76"/>
        <v>95422.052000000025</v>
      </c>
      <c r="W42" s="153">
        <f t="shared" si="76"/>
        <v>104964.25720000004</v>
      </c>
      <c r="X42" s="153">
        <f t="shared" si="76"/>
        <v>115460.68292000005</v>
      </c>
      <c r="Y42" s="153">
        <f t="shared" si="76"/>
        <v>127006.75121200006</v>
      </c>
      <c r="Z42" s="153">
        <f t="shared" si="76"/>
        <v>139707.42633320007</v>
      </c>
      <c r="AA42" s="153">
        <f t="shared" si="76"/>
        <v>153678.16896652008</v>
      </c>
      <c r="AB42" s="153">
        <f t="shared" si="76"/>
        <v>169045.9858631721</v>
      </c>
      <c r="AC42" s="153">
        <f t="shared" si="76"/>
        <v>185950.58444948934</v>
      </c>
      <c r="AD42" s="136">
        <f>((AC42/H42)^(1/($AC$3-$I$1) ))-1</f>
        <v>0.17700656465798081</v>
      </c>
      <c r="AE42" s="31">
        <v>0.05</v>
      </c>
      <c r="AF42" s="144">
        <f t="shared" si="1"/>
        <v>1148518.3157174343</v>
      </c>
    </row>
    <row r="43" spans="2:32" x14ac:dyDescent="0.2">
      <c r="B43" s="20"/>
      <c r="C43" s="139"/>
      <c r="D43" s="139"/>
      <c r="E43" s="139"/>
      <c r="F43" s="145"/>
      <c r="G43" s="147">
        <f>(G42-F42)/G42</f>
        <v>1</v>
      </c>
      <c r="H43" s="147">
        <f>(H42-G42)/H42</f>
        <v>0.34892187062447494</v>
      </c>
      <c r="I43" s="147">
        <f t="shared" ref="I43:Q43" si="82">(I42-H42)/I42</f>
        <v>0.31452154717343317</v>
      </c>
      <c r="J43" s="147">
        <f t="shared" si="82"/>
        <v>0.33095742631477559</v>
      </c>
      <c r="K43" s="147">
        <f t="shared" si="82"/>
        <v>0.29162117903930129</v>
      </c>
      <c r="L43" s="147">
        <f t="shared" si="82"/>
        <v>2.2803040405387383E-2</v>
      </c>
      <c r="M43" s="147">
        <f t="shared" si="82"/>
        <v>0.24313685910375454</v>
      </c>
      <c r="N43" s="147">
        <f t="shared" si="82"/>
        <v>0.27926092965737981</v>
      </c>
      <c r="O43" s="147">
        <f t="shared" si="82"/>
        <v>0.22393255678289833</v>
      </c>
      <c r="P43" s="147">
        <f t="shared" si="82"/>
        <v>0.19795644233816803</v>
      </c>
      <c r="Q43" s="230">
        <f t="shared" si="82"/>
        <v>7.5810411203481559E-2</v>
      </c>
      <c r="R43" s="3"/>
      <c r="S43" s="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6"/>
      <c r="AE43" s="31"/>
      <c r="AF43" s="144"/>
    </row>
    <row r="44" spans="2:32" x14ac:dyDescent="0.2">
      <c r="B44" s="20" t="s">
        <v>89</v>
      </c>
      <c r="C44" s="139"/>
      <c r="D44" s="139"/>
      <c r="E44" s="139"/>
      <c r="F44" s="145"/>
      <c r="G44" s="169">
        <v>1164</v>
      </c>
      <c r="H44" s="169">
        <v>1752</v>
      </c>
      <c r="I44" s="169">
        <v>2984</v>
      </c>
      <c r="J44" s="141">
        <v>4335</v>
      </c>
      <c r="K44" s="141">
        <v>7677</v>
      </c>
      <c r="L44" s="170">
        <v>7181</v>
      </c>
      <c r="M44" s="170">
        <v>9315</v>
      </c>
      <c r="N44" s="170">
        <v>11062</v>
      </c>
      <c r="O44" s="170">
        <v>13013</v>
      </c>
      <c r="P44" s="170">
        <v>15950</v>
      </c>
      <c r="Q44" s="228">
        <v>17268</v>
      </c>
      <c r="R44" s="118">
        <f>((Q44/H44)^(1/($I$2-$I$1) ))-1</f>
        <v>0.28947222849884024</v>
      </c>
      <c r="S44" s="31">
        <f t="shared" si="5"/>
        <v>0.2</v>
      </c>
      <c r="T44" s="153">
        <f>Q44*(1+$S44)</f>
        <v>20721.599999999999</v>
      </c>
      <c r="U44" s="153">
        <f t="shared" si="38"/>
        <v>24865.919999999998</v>
      </c>
      <c r="V44" s="153">
        <f t="shared" si="39"/>
        <v>29839.103999999996</v>
      </c>
      <c r="W44" s="153">
        <f t="shared" si="40"/>
        <v>35806.924799999993</v>
      </c>
      <c r="X44" s="153">
        <f t="shared" si="41"/>
        <v>42968.309759999989</v>
      </c>
      <c r="Y44" s="153">
        <f t="shared" si="42"/>
        <v>51561.971711999984</v>
      </c>
      <c r="Z44" s="153">
        <f t="shared" si="43"/>
        <v>61874.366054399979</v>
      </c>
      <c r="AA44" s="153">
        <f t="shared" si="44"/>
        <v>74249.239265279975</v>
      </c>
      <c r="AB44" s="153">
        <f t="shared" si="45"/>
        <v>89099.08711833597</v>
      </c>
      <c r="AC44" s="153">
        <f t="shared" si="46"/>
        <v>106918.90454200316</v>
      </c>
      <c r="AD44" s="136">
        <f>((AC44/H44)^(1/($AC$3-$I$1) ))-1</f>
        <v>0.22821958963029099</v>
      </c>
      <c r="AE44" s="31">
        <f t="shared" si="15"/>
        <v>0.05</v>
      </c>
      <c r="AF44" s="144">
        <f t="shared" si="1"/>
        <v>660381.4692300196</v>
      </c>
    </row>
    <row r="45" spans="2:32" s="122" customFormat="1" x14ac:dyDescent="0.2">
      <c r="B45" s="23"/>
      <c r="C45" s="148"/>
      <c r="D45" s="148"/>
      <c r="E45" s="148"/>
      <c r="F45" s="149"/>
      <c r="G45" s="147">
        <f>(G44-F44)/G44</f>
        <v>1</v>
      </c>
      <c r="H45" s="147">
        <f>(H44-G44)/H44</f>
        <v>0.33561643835616439</v>
      </c>
      <c r="I45" s="147">
        <f t="shared" ref="I45:Q45" si="83">(I44-H44)/I44</f>
        <v>0.4128686327077748</v>
      </c>
      <c r="J45" s="147">
        <f t="shared" si="83"/>
        <v>0.3116493656286044</v>
      </c>
      <c r="K45" s="147">
        <f t="shared" si="83"/>
        <v>0.43532629933567801</v>
      </c>
      <c r="L45" s="147">
        <f t="shared" si="83"/>
        <v>-6.9071160005570259E-2</v>
      </c>
      <c r="M45" s="147">
        <f t="shared" si="83"/>
        <v>0.22909286097691894</v>
      </c>
      <c r="N45" s="147">
        <f t="shared" si="83"/>
        <v>0.15792804194539867</v>
      </c>
      <c r="O45" s="147">
        <f t="shared" si="83"/>
        <v>0.14992699608084223</v>
      </c>
      <c r="P45" s="147">
        <f t="shared" si="83"/>
        <v>0.18413793103448275</v>
      </c>
      <c r="Q45" s="230">
        <f t="shared" si="83"/>
        <v>7.6326152420662499E-2</v>
      </c>
      <c r="R45" s="127"/>
      <c r="S45" s="20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19"/>
      <c r="AE45" s="135"/>
      <c r="AF45" s="153"/>
    </row>
    <row r="46" spans="2:32" x14ac:dyDescent="0.2">
      <c r="B46" s="20" t="s">
        <v>262</v>
      </c>
      <c r="C46" s="139"/>
      <c r="D46" s="139"/>
      <c r="E46" s="139"/>
      <c r="F46" s="145"/>
      <c r="G46" s="169">
        <v>964</v>
      </c>
      <c r="H46" s="169">
        <v>1558</v>
      </c>
      <c r="I46" s="169">
        <v>2455</v>
      </c>
      <c r="J46" s="141">
        <v>3810</v>
      </c>
      <c r="K46" s="141">
        <v>6718</v>
      </c>
      <c r="L46" s="170">
        <v>6528</v>
      </c>
      <c r="M46" s="170">
        <v>7987</v>
      </c>
      <c r="N46" s="170">
        <v>9493</v>
      </c>
      <c r="O46" s="170">
        <v>11163</v>
      </c>
      <c r="P46" s="170">
        <v>13746</v>
      </c>
      <c r="Q46" s="228">
        <v>14756</v>
      </c>
      <c r="R46" s="118">
        <f>((Q46/H46)^(1/($I$2-$I$1) ))-1</f>
        <v>0.28377531750278262</v>
      </c>
      <c r="S46" s="31">
        <f t="shared" si="5"/>
        <v>0.2</v>
      </c>
      <c r="T46" s="153">
        <f>Q46*(1+$S46)</f>
        <v>17707.2</v>
      </c>
      <c r="U46" s="153">
        <f t="shared" si="38"/>
        <v>21248.639999999999</v>
      </c>
      <c r="V46" s="153">
        <f t="shared" si="39"/>
        <v>25498.367999999999</v>
      </c>
      <c r="W46" s="153">
        <f t="shared" si="40"/>
        <v>30598.041599999997</v>
      </c>
      <c r="X46" s="153">
        <f t="shared" si="41"/>
        <v>36717.649919999996</v>
      </c>
      <c r="Y46" s="153">
        <f t="shared" si="42"/>
        <v>44061.179903999997</v>
      </c>
      <c r="Z46" s="153">
        <f t="shared" si="43"/>
        <v>52873.415884799993</v>
      </c>
      <c r="AA46" s="153">
        <f t="shared" si="44"/>
        <v>63448.099061759989</v>
      </c>
      <c r="AB46" s="153">
        <f t="shared" si="45"/>
        <v>76137.71887411199</v>
      </c>
      <c r="AC46" s="153">
        <f t="shared" si="46"/>
        <v>91365.262648934382</v>
      </c>
      <c r="AD46" s="136">
        <f>((AC46/H46)^(1/($AC$3-$I$1) ))-1</f>
        <v>0.2257747830304131</v>
      </c>
      <c r="AE46" s="31">
        <f t="shared" si="15"/>
        <v>0.05</v>
      </c>
      <c r="AF46" s="144">
        <f t="shared" si="1"/>
        <v>564314.85753753595</v>
      </c>
    </row>
    <row r="47" spans="2:32" s="122" customFormat="1" x14ac:dyDescent="0.2">
      <c r="B47" s="23"/>
      <c r="C47" s="148"/>
      <c r="D47" s="148"/>
      <c r="E47" s="148"/>
      <c r="F47" s="149"/>
      <c r="G47" s="147">
        <f t="shared" ref="G47:Q47" si="84">(G46-F46)/G46</f>
        <v>1</v>
      </c>
      <c r="H47" s="147">
        <f t="shared" si="84"/>
        <v>0.38125802310654683</v>
      </c>
      <c r="I47" s="147">
        <f t="shared" si="84"/>
        <v>0.3653767820773931</v>
      </c>
      <c r="J47" s="147">
        <f t="shared" si="84"/>
        <v>0.35564304461942259</v>
      </c>
      <c r="K47" s="147">
        <f t="shared" si="84"/>
        <v>0.43286692467996429</v>
      </c>
      <c r="L47" s="147">
        <f t="shared" si="84"/>
        <v>-2.9105392156862746E-2</v>
      </c>
      <c r="M47" s="147">
        <f t="shared" si="84"/>
        <v>0.1826718417428321</v>
      </c>
      <c r="N47" s="147">
        <f t="shared" si="84"/>
        <v>0.15864321078689561</v>
      </c>
      <c r="O47" s="147">
        <f t="shared" si="84"/>
        <v>0.14960136164113588</v>
      </c>
      <c r="P47" s="147">
        <f t="shared" si="84"/>
        <v>0.18790920995198604</v>
      </c>
      <c r="Q47" s="230">
        <f t="shared" si="84"/>
        <v>6.8446733532122522E-2</v>
      </c>
      <c r="R47" s="127"/>
      <c r="S47" s="20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19"/>
      <c r="AE47" s="135"/>
      <c r="AF47" s="153"/>
    </row>
    <row r="48" spans="2:32" x14ac:dyDescent="0.2">
      <c r="B48" s="20" t="s">
        <v>370</v>
      </c>
      <c r="C48" s="139"/>
      <c r="D48" s="139"/>
      <c r="E48" s="139"/>
      <c r="F48" s="145"/>
      <c r="G48" s="145">
        <v>528</v>
      </c>
      <c r="H48" s="145">
        <v>976</v>
      </c>
      <c r="I48" s="145">
        <v>1800</v>
      </c>
      <c r="J48" s="145">
        <v>2353</v>
      </c>
      <c r="K48" s="145">
        <v>4029</v>
      </c>
      <c r="L48" s="145">
        <v>2814</v>
      </c>
      <c r="M48" s="145">
        <v>4714</v>
      </c>
      <c r="N48" s="145">
        <v>5089</v>
      </c>
      <c r="O48" s="145">
        <v>4543</v>
      </c>
      <c r="P48" s="145">
        <v>5112</v>
      </c>
      <c r="Q48" s="226">
        <v>5282</v>
      </c>
      <c r="R48" s="118">
        <f>((Q48/H48)^(1/($I$2-$I$1) ))-1</f>
        <v>0.20637735233133903</v>
      </c>
      <c r="S48" s="31">
        <v>0.1</v>
      </c>
      <c r="T48" s="153">
        <f>Q48*(1+$S48)</f>
        <v>5810.2000000000007</v>
      </c>
      <c r="U48" s="153">
        <f t="shared" ref="U48:AC48" si="85">T48*(1+$S48)</f>
        <v>6391.2200000000012</v>
      </c>
      <c r="V48" s="153">
        <f t="shared" si="85"/>
        <v>7030.3420000000015</v>
      </c>
      <c r="W48" s="153">
        <f t="shared" si="85"/>
        <v>7733.3762000000024</v>
      </c>
      <c r="X48" s="153">
        <f t="shared" si="85"/>
        <v>8506.7138200000027</v>
      </c>
      <c r="Y48" s="153">
        <f t="shared" si="85"/>
        <v>9357.3852020000031</v>
      </c>
      <c r="Z48" s="153">
        <f t="shared" si="85"/>
        <v>10293.123722200004</v>
      </c>
      <c r="AA48" s="153">
        <f t="shared" si="85"/>
        <v>11322.436094420005</v>
      </c>
      <c r="AB48" s="153">
        <f t="shared" si="85"/>
        <v>12454.679703862006</v>
      </c>
      <c r="AC48" s="153">
        <f t="shared" si="85"/>
        <v>13700.147674248208</v>
      </c>
      <c r="AD48" s="136">
        <f>((AC48/H48)^(1/($AC$3-$I$1) ))-1</f>
        <v>0.14120527791060078</v>
      </c>
      <c r="AE48" s="31">
        <v>0.05</v>
      </c>
      <c r="AF48" s="144">
        <f t="shared" si="1"/>
        <v>84618.559164474238</v>
      </c>
    </row>
    <row r="49" spans="2:32" x14ac:dyDescent="0.2">
      <c r="B49" s="20"/>
      <c r="C49" s="139"/>
      <c r="D49" s="139"/>
      <c r="E49" s="139"/>
      <c r="F49" s="145"/>
      <c r="G49" s="147">
        <f>(G48-F48)/G48</f>
        <v>1</v>
      </c>
      <c r="H49" s="147">
        <f>(H48-G48)/H48</f>
        <v>0.45901639344262296</v>
      </c>
      <c r="I49" s="147">
        <f t="shared" ref="I49:Q49" si="86">(I48-H48)/I48</f>
        <v>0.45777777777777778</v>
      </c>
      <c r="J49" s="147">
        <f t="shared" si="86"/>
        <v>0.23501912452188695</v>
      </c>
      <c r="K49" s="147">
        <f t="shared" si="86"/>
        <v>0.41598411516505335</v>
      </c>
      <c r="L49" s="147">
        <f t="shared" si="86"/>
        <v>-0.43176972281449894</v>
      </c>
      <c r="M49" s="147">
        <f t="shared" si="86"/>
        <v>0.40305473058973273</v>
      </c>
      <c r="N49" s="147">
        <f t="shared" si="86"/>
        <v>7.3688347415995281E-2</v>
      </c>
      <c r="O49" s="147">
        <f t="shared" si="86"/>
        <v>-0.12018489984591679</v>
      </c>
      <c r="P49" s="147">
        <f t="shared" si="86"/>
        <v>0.11130672926447574</v>
      </c>
      <c r="Q49" s="230">
        <f t="shared" si="86"/>
        <v>3.2184778492995079E-2</v>
      </c>
      <c r="R49" s="3"/>
      <c r="S49" s="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6"/>
      <c r="AE49" s="31"/>
      <c r="AF49" s="144"/>
    </row>
    <row r="50" spans="2:32" s="122" customFormat="1" x14ac:dyDescent="0.2">
      <c r="B50" s="20" t="s">
        <v>325</v>
      </c>
      <c r="C50" s="148"/>
      <c r="D50" s="148"/>
      <c r="E50" s="148"/>
      <c r="F50" s="149"/>
      <c r="G50" s="145">
        <v>252</v>
      </c>
      <c r="H50" s="145">
        <v>328</v>
      </c>
      <c r="I50" s="145">
        <v>519</v>
      </c>
      <c r="J50" s="145">
        <v>977</v>
      </c>
      <c r="K50" s="145">
        <v>1816</v>
      </c>
      <c r="L50" s="145">
        <v>1992</v>
      </c>
      <c r="M50" s="145">
        <v>1772</v>
      </c>
      <c r="N50" s="145">
        <v>2668</v>
      </c>
      <c r="O50" s="145">
        <v>4541</v>
      </c>
      <c r="P50" s="145">
        <v>6024</v>
      </c>
      <c r="Q50" s="226">
        <v>6312</v>
      </c>
      <c r="R50" s="118">
        <f>((Q50/H50)^(1/($I$2-$I$1) ))-1</f>
        <v>0.38899038200955283</v>
      </c>
      <c r="S50" s="31">
        <f t="shared" si="5"/>
        <v>0.2</v>
      </c>
      <c r="T50" s="153">
        <f>Q50*(1+$S50)</f>
        <v>7574.4</v>
      </c>
      <c r="U50" s="153">
        <f t="shared" ref="U50" si="87">T50*(1+$S50)</f>
        <v>9089.2799999999988</v>
      </c>
      <c r="V50" s="153">
        <f t="shared" ref="V50" si="88">U50*(1+$S50)</f>
        <v>10907.135999999999</v>
      </c>
      <c r="W50" s="153">
        <f t="shared" ref="W50" si="89">V50*(1+$S50)</f>
        <v>13088.563199999999</v>
      </c>
      <c r="X50" s="153">
        <f t="shared" ref="X50" si="90">W50*(1+$S50)</f>
        <v>15706.275839999998</v>
      </c>
      <c r="Y50" s="153">
        <f t="shared" ref="Y50" si="91">X50*(1+$S50)</f>
        <v>18847.531007999998</v>
      </c>
      <c r="Z50" s="153">
        <f t="shared" ref="Z50" si="92">Y50*(1+$S50)</f>
        <v>22617.037209599996</v>
      </c>
      <c r="AA50" s="153">
        <f t="shared" ref="AA50" si="93">Z50*(1+$S50)</f>
        <v>27140.444651519992</v>
      </c>
      <c r="AB50" s="153">
        <f t="shared" ref="AB50" si="94">AA50*(1+$S50)</f>
        <v>32568.533581823991</v>
      </c>
      <c r="AC50" s="153">
        <f t="shared" ref="AC50" si="95">AB50*(1+$S50)</f>
        <v>39082.240298188786</v>
      </c>
      <c r="AD50" s="136">
        <f>((AC50/H50)^(1/($AC$3-$I$1) ))-1</f>
        <v>0.27000456011280272</v>
      </c>
      <c r="AE50" s="31">
        <f t="shared" si="15"/>
        <v>0.05</v>
      </c>
      <c r="AF50" s="144">
        <f t="shared" ref="AF50" si="96">(AC50*(1+AE50))/($C$1-AE50)</f>
        <v>241390.30772410726</v>
      </c>
    </row>
    <row r="51" spans="2:32" s="122" customFormat="1" x14ac:dyDescent="0.2">
      <c r="B51" s="23"/>
      <c r="C51" s="148"/>
      <c r="D51" s="148"/>
      <c r="E51" s="148"/>
      <c r="F51" s="149"/>
      <c r="G51" s="147">
        <f t="shared" ref="G51:Q51" si="97">(G50-F50)/G50</f>
        <v>1</v>
      </c>
      <c r="H51" s="147">
        <f t="shared" si="97"/>
        <v>0.23170731707317074</v>
      </c>
      <c r="I51" s="147">
        <f t="shared" si="97"/>
        <v>0.36801541425818884</v>
      </c>
      <c r="J51" s="147">
        <f t="shared" si="97"/>
        <v>0.46878198567041968</v>
      </c>
      <c r="K51" s="147">
        <f t="shared" si="97"/>
        <v>0.46200440528634362</v>
      </c>
      <c r="L51" s="147">
        <f t="shared" si="97"/>
        <v>8.8353413654618476E-2</v>
      </c>
      <c r="M51" s="147">
        <f t="shared" si="97"/>
        <v>-0.12415349887133183</v>
      </c>
      <c r="N51" s="147">
        <f t="shared" si="97"/>
        <v>0.335832083958021</v>
      </c>
      <c r="O51" s="147">
        <f t="shared" si="97"/>
        <v>0.41246421493063201</v>
      </c>
      <c r="P51" s="147">
        <f t="shared" si="97"/>
        <v>0.24618193891102258</v>
      </c>
      <c r="Q51" s="230">
        <f t="shared" si="97"/>
        <v>4.5627376425855515E-2</v>
      </c>
      <c r="R51" s="127"/>
      <c r="S51" s="20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61"/>
      <c r="AE51" s="135"/>
      <c r="AF51" s="153"/>
    </row>
    <row r="52" spans="2:32" x14ac:dyDescent="0.2">
      <c r="B52" s="20" t="s">
        <v>333</v>
      </c>
      <c r="C52" s="139"/>
      <c r="D52" s="139"/>
      <c r="E52" s="139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226"/>
      <c r="R52" s="118" t="e">
        <f>((Q52/H52)^(1/($I$2-$I$1) ))-1</f>
        <v>#DIV/0!</v>
      </c>
      <c r="S52" s="31">
        <f t="shared" si="5"/>
        <v>0.2</v>
      </c>
      <c r="T52" s="153">
        <f>Q52*(1+$S52)</f>
        <v>0</v>
      </c>
      <c r="U52" s="153">
        <f>T52*(1+$S52)</f>
        <v>0</v>
      </c>
      <c r="V52" s="153">
        <f t="shared" ref="V52:AC53" si="98">U52*(1+$S52)</f>
        <v>0</v>
      </c>
      <c r="W52" s="153">
        <f t="shared" si="98"/>
        <v>0</v>
      </c>
      <c r="X52" s="153">
        <f t="shared" si="98"/>
        <v>0</v>
      </c>
      <c r="Y52" s="153">
        <f t="shared" si="98"/>
        <v>0</v>
      </c>
      <c r="Z52" s="153">
        <f t="shared" si="98"/>
        <v>0</v>
      </c>
      <c r="AA52" s="153">
        <f t="shared" si="98"/>
        <v>0</v>
      </c>
      <c r="AB52" s="153">
        <f t="shared" si="98"/>
        <v>0</v>
      </c>
      <c r="AC52" s="153">
        <f t="shared" si="98"/>
        <v>0</v>
      </c>
      <c r="AD52" s="136" t="e">
        <f>((AC52/H52)^(1/($AC$3-$I$1) ))-1</f>
        <v>#DIV/0!</v>
      </c>
      <c r="AE52" s="31">
        <f t="shared" si="15"/>
        <v>0.05</v>
      </c>
      <c r="AF52" s="144">
        <f t="shared" si="1"/>
        <v>0</v>
      </c>
    </row>
    <row r="53" spans="2:32" x14ac:dyDescent="0.2">
      <c r="B53" s="20" t="s">
        <v>332</v>
      </c>
      <c r="C53" s="139"/>
      <c r="D53" s="139"/>
      <c r="E53" s="139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226"/>
      <c r="R53" s="118" t="e">
        <f>((Q53/H53)^(1/($I$2-$I$1) ))-1</f>
        <v>#DIV/0!</v>
      </c>
      <c r="S53" s="31">
        <f t="shared" si="5"/>
        <v>0.2</v>
      </c>
      <c r="T53" s="153">
        <f>Q53*(1+$S53)</f>
        <v>0</v>
      </c>
      <c r="U53" s="153">
        <f>T53*(1+$S53)</f>
        <v>0</v>
      </c>
      <c r="V53" s="153">
        <f t="shared" si="98"/>
        <v>0</v>
      </c>
      <c r="W53" s="153">
        <f t="shared" si="98"/>
        <v>0</v>
      </c>
      <c r="X53" s="153">
        <f t="shared" si="98"/>
        <v>0</v>
      </c>
      <c r="Y53" s="153">
        <f t="shared" si="98"/>
        <v>0</v>
      </c>
      <c r="Z53" s="153">
        <f t="shared" si="98"/>
        <v>0</v>
      </c>
      <c r="AA53" s="153">
        <f t="shared" si="98"/>
        <v>0</v>
      </c>
      <c r="AB53" s="153">
        <f t="shared" si="98"/>
        <v>0</v>
      </c>
      <c r="AC53" s="153">
        <f t="shared" si="98"/>
        <v>0</v>
      </c>
      <c r="AD53" s="136" t="e">
        <f>((AC53/H53)^(1/($AC$3-$I$1) ))-1</f>
        <v>#DIV/0!</v>
      </c>
      <c r="AE53" s="31">
        <f t="shared" si="15"/>
        <v>0.05</v>
      </c>
      <c r="AF53" s="144">
        <f t="shared" si="1"/>
        <v>0</v>
      </c>
    </row>
    <row r="54" spans="2:32" x14ac:dyDescent="0.2">
      <c r="B54" s="20" t="s">
        <v>317</v>
      </c>
      <c r="C54" s="139"/>
      <c r="D54" s="139"/>
      <c r="E54" s="139"/>
      <c r="F54" s="145"/>
      <c r="G54" s="169"/>
      <c r="H54" s="169"/>
      <c r="I54" s="169"/>
      <c r="J54" s="169"/>
      <c r="K54" s="141"/>
      <c r="L54" s="141"/>
      <c r="M54" s="170"/>
      <c r="N54" s="170"/>
      <c r="O54" s="170"/>
      <c r="P54" s="170"/>
      <c r="Q54" s="228"/>
      <c r="R54" s="118" t="e">
        <f>((Q54/H54)^(1/($I$2-$I$1) ))-1</f>
        <v>#DIV/0!</v>
      </c>
      <c r="S54" s="31">
        <f t="shared" si="5"/>
        <v>0.2</v>
      </c>
      <c r="T54" s="153">
        <f>Q54*(1+$S54)</f>
        <v>0</v>
      </c>
      <c r="U54" s="153">
        <f t="shared" si="38"/>
        <v>0</v>
      </c>
      <c r="V54" s="153">
        <f t="shared" si="39"/>
        <v>0</v>
      </c>
      <c r="W54" s="153">
        <f t="shared" si="40"/>
        <v>0</v>
      </c>
      <c r="X54" s="153">
        <f t="shared" si="41"/>
        <v>0</v>
      </c>
      <c r="Y54" s="153">
        <f t="shared" si="42"/>
        <v>0</v>
      </c>
      <c r="Z54" s="153">
        <f t="shared" si="43"/>
        <v>0</v>
      </c>
      <c r="AA54" s="153">
        <f t="shared" si="44"/>
        <v>0</v>
      </c>
      <c r="AB54" s="153">
        <f t="shared" si="45"/>
        <v>0</v>
      </c>
      <c r="AC54" s="153">
        <f t="shared" si="46"/>
        <v>0</v>
      </c>
      <c r="AD54" s="136" t="e">
        <f>((AC54/H54)^(1/($AC$3-$I$1) ))-1</f>
        <v>#DIV/0!</v>
      </c>
      <c r="AE54" s="31">
        <f t="shared" si="15"/>
        <v>0.05</v>
      </c>
      <c r="AF54" s="144">
        <f t="shared" si="1"/>
        <v>0</v>
      </c>
    </row>
    <row r="55" spans="2:32" x14ac:dyDescent="0.2">
      <c r="B55" s="20" t="s">
        <v>309</v>
      </c>
      <c r="C55" s="139"/>
      <c r="D55" s="139"/>
      <c r="E55" s="139"/>
      <c r="F55" s="145"/>
      <c r="G55" s="169"/>
      <c r="H55" s="169"/>
      <c r="I55" s="169"/>
      <c r="J55" s="169"/>
      <c r="K55" s="141"/>
      <c r="L55" s="141"/>
      <c r="M55" s="170"/>
      <c r="N55" s="170"/>
      <c r="O55" s="170"/>
      <c r="P55" s="170"/>
      <c r="Q55" s="228"/>
      <c r="R55" s="118" t="e">
        <f>((Q55/H55)^(1/($I$2-$I$1) ))-1</f>
        <v>#DIV/0!</v>
      </c>
      <c r="S55" s="31">
        <f t="shared" si="5"/>
        <v>0.2</v>
      </c>
      <c r="T55" s="153">
        <f>Q55*(1+$S55)</f>
        <v>0</v>
      </c>
      <c r="U55" s="153">
        <f t="shared" si="38"/>
        <v>0</v>
      </c>
      <c r="V55" s="153">
        <f t="shared" si="39"/>
        <v>0</v>
      </c>
      <c r="W55" s="153">
        <f t="shared" si="40"/>
        <v>0</v>
      </c>
      <c r="X55" s="153">
        <f t="shared" si="41"/>
        <v>0</v>
      </c>
      <c r="Y55" s="153">
        <f t="shared" si="42"/>
        <v>0</v>
      </c>
      <c r="Z55" s="153">
        <f t="shared" si="43"/>
        <v>0</v>
      </c>
      <c r="AA55" s="153">
        <f t="shared" si="44"/>
        <v>0</v>
      </c>
      <c r="AB55" s="153">
        <f t="shared" si="45"/>
        <v>0</v>
      </c>
      <c r="AC55" s="153">
        <f t="shared" si="46"/>
        <v>0</v>
      </c>
      <c r="AD55" s="136" t="e">
        <f>((AC55/H55)^(1/($AC$3-$I$1) ))-1</f>
        <v>#DIV/0!</v>
      </c>
      <c r="AE55" s="31">
        <f t="shared" si="15"/>
        <v>0.05</v>
      </c>
      <c r="AF55" s="144">
        <f t="shared" si="1"/>
        <v>0</v>
      </c>
    </row>
    <row r="56" spans="2:32" x14ac:dyDescent="0.2">
      <c r="B56" s="20"/>
      <c r="C56" s="139"/>
      <c r="D56" s="139"/>
      <c r="E56" s="139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226"/>
      <c r="R56" s="127"/>
      <c r="S56" s="20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37"/>
      <c r="AE56" s="135"/>
      <c r="AF56" s="153"/>
    </row>
    <row r="57" spans="2:32" x14ac:dyDescent="0.2">
      <c r="B57" s="20" t="s">
        <v>279</v>
      </c>
      <c r="C57" s="139"/>
      <c r="D57" s="139"/>
      <c r="E57" s="139"/>
      <c r="F57" s="145"/>
      <c r="G57" s="169"/>
      <c r="H57" s="169"/>
      <c r="I57" s="169"/>
      <c r="J57" s="169"/>
      <c r="K57" s="141"/>
      <c r="L57" s="141"/>
      <c r="M57" s="170"/>
      <c r="N57" s="170"/>
      <c r="O57" s="170"/>
      <c r="P57" s="170"/>
      <c r="Q57" s="228"/>
      <c r="R57" s="118" t="e">
        <f>((Q57/H57)^(1/($I$2-$I$1) ))-1</f>
        <v>#DIV/0!</v>
      </c>
      <c r="S57" s="31">
        <f t="shared" si="5"/>
        <v>0.2</v>
      </c>
      <c r="T57" s="153">
        <f>Q57*(1+$S57)</f>
        <v>0</v>
      </c>
      <c r="U57" s="153">
        <f t="shared" ref="U57" si="99">T57*(1+$S57)</f>
        <v>0</v>
      </c>
      <c r="V57" s="153">
        <f t="shared" ref="V57" si="100">U57*(1+$S57)</f>
        <v>0</v>
      </c>
      <c r="W57" s="153">
        <f t="shared" ref="W57" si="101">V57*(1+$S57)</f>
        <v>0</v>
      </c>
      <c r="X57" s="153">
        <f t="shared" si="41"/>
        <v>0</v>
      </c>
      <c r="Y57" s="153">
        <f t="shared" si="42"/>
        <v>0</v>
      </c>
      <c r="Z57" s="153">
        <f t="shared" si="43"/>
        <v>0</v>
      </c>
      <c r="AA57" s="153">
        <f t="shared" si="44"/>
        <v>0</v>
      </c>
      <c r="AB57" s="153">
        <f t="shared" si="45"/>
        <v>0</v>
      </c>
      <c r="AC57" s="153">
        <f t="shared" si="46"/>
        <v>0</v>
      </c>
      <c r="AD57" s="136" t="e">
        <f>((AC57/H57)^(1/($AC$3-$I$1) ))-1</f>
        <v>#DIV/0!</v>
      </c>
      <c r="AE57" s="31">
        <f t="shared" si="15"/>
        <v>0.05</v>
      </c>
      <c r="AF57" s="144">
        <f t="shared" si="1"/>
        <v>0</v>
      </c>
    </row>
    <row r="58" spans="2:32" s="122" customFormat="1" x14ac:dyDescent="0.2">
      <c r="B58" s="23"/>
      <c r="C58" s="148"/>
      <c r="D58" s="148"/>
      <c r="E58" s="148"/>
      <c r="F58" s="149"/>
      <c r="G58" s="147" t="e">
        <f>(G57-F57)/G57</f>
        <v>#DIV/0!</v>
      </c>
      <c r="H58" s="147" t="e">
        <f>(H57-G57)/H57</f>
        <v>#DIV/0!</v>
      </c>
      <c r="I58" s="147" t="e">
        <f>(I57-H57)/I57</f>
        <v>#DIV/0!</v>
      </c>
      <c r="J58" s="147" t="e">
        <f t="shared" ref="J58" si="102">(J57-I57)/J57</f>
        <v>#DIV/0!</v>
      </c>
      <c r="K58" s="147" t="e">
        <f t="shared" ref="K58" si="103">(K57-J57)/K57</f>
        <v>#DIV/0!</v>
      </c>
      <c r="L58" s="147" t="e">
        <f t="shared" ref="L58" si="104">(L57-K57)/L57</f>
        <v>#DIV/0!</v>
      </c>
      <c r="M58" s="147" t="e">
        <f t="shared" ref="M58" si="105">(M57-L57)/M57</f>
        <v>#DIV/0!</v>
      </c>
      <c r="N58" s="147" t="e">
        <f t="shared" ref="N58" si="106">(N57-M57)/N57</f>
        <v>#DIV/0!</v>
      </c>
      <c r="O58" s="147" t="e">
        <f t="shared" ref="O58" si="107">(O57-N57)/O57</f>
        <v>#DIV/0!</v>
      </c>
      <c r="P58" s="147" t="e">
        <f t="shared" ref="P58:Q58" si="108">(P57-O57)/P57</f>
        <v>#DIV/0!</v>
      </c>
      <c r="Q58" s="147" t="e">
        <f t="shared" si="108"/>
        <v>#DIV/0!</v>
      </c>
      <c r="R58" s="127"/>
      <c r="S58" s="20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37"/>
      <c r="AE58" s="135"/>
      <c r="AF58" s="155"/>
    </row>
    <row r="59" spans="2:32" s="122" customFormat="1" x14ac:dyDescent="0.2">
      <c r="B59" s="172" t="s">
        <v>386</v>
      </c>
      <c r="C59" s="148"/>
      <c r="D59" s="148"/>
      <c r="E59" s="148"/>
      <c r="F59" s="149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227"/>
      <c r="R59" s="118" t="e">
        <f>((Q59/H59)^(1/($I$2-$I$1) ))-1</f>
        <v>#DIV/0!</v>
      </c>
      <c r="S59" s="31">
        <f t="shared" si="5"/>
        <v>0.2</v>
      </c>
      <c r="T59" s="153">
        <f>Q59*(1+$S59)</f>
        <v>0</v>
      </c>
      <c r="U59" s="153">
        <f t="shared" ref="U59" si="109">T59*(1+$S59)</f>
        <v>0</v>
      </c>
      <c r="V59" s="153">
        <f t="shared" ref="V59" si="110">U59*(1+$S59)</f>
        <v>0</v>
      </c>
      <c r="W59" s="153">
        <f t="shared" ref="W59" si="111">V59*(1+$S59)</f>
        <v>0</v>
      </c>
      <c r="X59" s="153">
        <f t="shared" ref="X59" si="112">W59*(1+$S59)</f>
        <v>0</v>
      </c>
      <c r="Y59" s="153">
        <f t="shared" ref="Y59" si="113">X59*(1+$S59)</f>
        <v>0</v>
      </c>
      <c r="Z59" s="153">
        <f t="shared" ref="Z59" si="114">Y59*(1+$S59)</f>
        <v>0</v>
      </c>
      <c r="AA59" s="153">
        <f t="shared" ref="AA59" si="115">Z59*(1+$S59)</f>
        <v>0</v>
      </c>
      <c r="AB59" s="153">
        <f t="shared" ref="AB59" si="116">AA59*(1+$S59)</f>
        <v>0</v>
      </c>
      <c r="AC59" s="153">
        <f t="shared" ref="AC59" si="117">AB59*(1+$S59)</f>
        <v>0</v>
      </c>
      <c r="AD59" s="136" t="e">
        <f>((AC59/H59)^(1/($AC$3-$I$1) ))-1</f>
        <v>#DIV/0!</v>
      </c>
      <c r="AE59" s="31">
        <f t="shared" si="15"/>
        <v>0.05</v>
      </c>
      <c r="AF59" s="144">
        <f t="shared" ref="AF59" si="118">(AC59*(1+AE59))/($C$1-AE59)</f>
        <v>0</v>
      </c>
    </row>
    <row r="60" spans="2:32" s="122" customFormat="1" x14ac:dyDescent="0.2">
      <c r="B60" s="23"/>
      <c r="C60" s="148"/>
      <c r="D60" s="148"/>
      <c r="E60" s="148"/>
      <c r="F60" s="149"/>
      <c r="G60" s="147" t="e">
        <f>(G59-F59)/G59</f>
        <v>#DIV/0!</v>
      </c>
      <c r="H60" s="147" t="e">
        <f>(H59-G59)/H59</f>
        <v>#DIV/0!</v>
      </c>
      <c r="I60" s="147" t="e">
        <f>(I59-H59)/I59</f>
        <v>#DIV/0!</v>
      </c>
      <c r="J60" s="147" t="e">
        <f t="shared" ref="J60" si="119">(J59-I59)/J59</f>
        <v>#DIV/0!</v>
      </c>
      <c r="K60" s="147" t="e">
        <f t="shared" ref="K60" si="120">(K59-J59)/K59</f>
        <v>#DIV/0!</v>
      </c>
      <c r="L60" s="147" t="e">
        <f t="shared" ref="L60" si="121">(L59-K59)/L59</f>
        <v>#DIV/0!</v>
      </c>
      <c r="M60" s="147" t="e">
        <f t="shared" ref="M60" si="122">(M59-L59)/M59</f>
        <v>#DIV/0!</v>
      </c>
      <c r="N60" s="147" t="e">
        <f t="shared" ref="N60" si="123">(N59-M59)/N59</f>
        <v>#DIV/0!</v>
      </c>
      <c r="O60" s="147" t="e">
        <f t="shared" ref="O60" si="124">(O59-N59)/O59</f>
        <v>#DIV/0!</v>
      </c>
      <c r="P60" s="147" t="e">
        <f t="shared" ref="P60" si="125">(P59-O59)/P59</f>
        <v>#DIV/0!</v>
      </c>
      <c r="Q60" s="147" t="e">
        <f t="shared" ref="I60:Q64" si="126">(Q59-P59)/Q59</f>
        <v>#DIV/0!</v>
      </c>
      <c r="R60" s="127"/>
      <c r="S60" s="20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37"/>
      <c r="AE60" s="135"/>
      <c r="AF60" s="155"/>
    </row>
    <row r="61" spans="2:32" x14ac:dyDescent="0.2">
      <c r="B61" s="20" t="s">
        <v>257</v>
      </c>
      <c r="C61" s="139"/>
      <c r="D61" s="139"/>
      <c r="E61" s="139"/>
      <c r="F61" s="145"/>
      <c r="G61" s="169">
        <v>200.4</v>
      </c>
      <c r="H61" s="169">
        <v>194</v>
      </c>
      <c r="I61" s="169">
        <v>529</v>
      </c>
      <c r="J61" s="141">
        <v>524</v>
      </c>
      <c r="K61" s="141">
        <v>958</v>
      </c>
      <c r="L61" s="170">
        <v>652</v>
      </c>
      <c r="M61" s="170">
        <v>1327</v>
      </c>
      <c r="N61" s="170">
        <v>1569</v>
      </c>
      <c r="O61" s="170">
        <v>1850</v>
      </c>
      <c r="P61" s="170">
        <v>2204</v>
      </c>
      <c r="Q61" s="228">
        <v>2511</v>
      </c>
      <c r="R61" s="118">
        <f>((Q61/H61)^(1/($I$2-$I$1) ))-1</f>
        <v>0.32910886174293541</v>
      </c>
      <c r="S61" s="31">
        <f t="shared" si="5"/>
        <v>0.2</v>
      </c>
      <c r="T61" s="153">
        <f>Q61*(1+$S61)</f>
        <v>3013.2</v>
      </c>
      <c r="U61" s="153">
        <f t="shared" ref="U61:AC61" si="127">T61*(1+$S61)</f>
        <v>3615.8399999999997</v>
      </c>
      <c r="V61" s="153">
        <f t="shared" si="127"/>
        <v>4339.0079999999998</v>
      </c>
      <c r="W61" s="153">
        <f t="shared" si="127"/>
        <v>5206.8095999999996</v>
      </c>
      <c r="X61" s="153">
        <f t="shared" si="127"/>
        <v>6248.171519999999</v>
      </c>
      <c r="Y61" s="153">
        <f t="shared" si="127"/>
        <v>7497.8058239999982</v>
      </c>
      <c r="Z61" s="153">
        <f t="shared" si="127"/>
        <v>8997.3669887999968</v>
      </c>
      <c r="AA61" s="153">
        <f t="shared" si="127"/>
        <v>10796.840386559996</v>
      </c>
      <c r="AB61" s="153">
        <f t="shared" si="127"/>
        <v>12956.208463871995</v>
      </c>
      <c r="AC61" s="153">
        <f t="shared" si="127"/>
        <v>15547.450156646393</v>
      </c>
      <c r="AD61" s="136">
        <f>((AC61/H61)^(1/($AC$3-$I$1) ))-1</f>
        <v>0.24506742913976254</v>
      </c>
      <c r="AE61" s="31">
        <f t="shared" si="15"/>
        <v>0.05</v>
      </c>
      <c r="AF61" s="144">
        <f t="shared" si="1"/>
        <v>96028.368614580671</v>
      </c>
    </row>
    <row r="62" spans="2:32" s="122" customFormat="1" x14ac:dyDescent="0.2">
      <c r="B62" s="23"/>
      <c r="C62" s="148"/>
      <c r="D62" s="148"/>
      <c r="E62" s="148"/>
      <c r="F62" s="149"/>
      <c r="G62" s="147">
        <f>(G61-F61)/G61</f>
        <v>1</v>
      </c>
      <c r="H62" s="147">
        <f>(H61-G61)/H61</f>
        <v>-3.2989690721649513E-2</v>
      </c>
      <c r="I62" s="147">
        <f t="shared" si="126"/>
        <v>0.63327032136105865</v>
      </c>
      <c r="J62" s="147">
        <f t="shared" si="126"/>
        <v>-9.5419847328244278E-3</v>
      </c>
      <c r="K62" s="147">
        <f t="shared" si="126"/>
        <v>0.45302713987473903</v>
      </c>
      <c r="L62" s="147">
        <f t="shared" si="126"/>
        <v>-0.46932515337423314</v>
      </c>
      <c r="M62" s="147">
        <f t="shared" si="126"/>
        <v>0.50866616428033162</v>
      </c>
      <c r="N62" s="147">
        <f t="shared" si="126"/>
        <v>0.15423836838750796</v>
      </c>
      <c r="O62" s="147">
        <f t="shared" si="126"/>
        <v>0.15189189189189189</v>
      </c>
      <c r="P62" s="147">
        <f t="shared" si="126"/>
        <v>0.16061705989110708</v>
      </c>
      <c r="Q62" s="147">
        <f t="shared" si="126"/>
        <v>0.12226204699322979</v>
      </c>
      <c r="R62" s="127"/>
      <c r="S62" s="20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37"/>
      <c r="AE62" s="135"/>
      <c r="AF62" s="155"/>
    </row>
    <row r="63" spans="2:32" x14ac:dyDescent="0.2">
      <c r="B63" s="20" t="s">
        <v>239</v>
      </c>
      <c r="C63" s="140">
        <v>1</v>
      </c>
      <c r="D63" s="140"/>
      <c r="E63" s="140">
        <v>1</v>
      </c>
      <c r="F63" s="141">
        <v>1</v>
      </c>
      <c r="G63" s="169">
        <v>5.95</v>
      </c>
      <c r="H63" s="169">
        <v>12.33</v>
      </c>
      <c r="I63" s="169">
        <v>30.99</v>
      </c>
      <c r="J63" s="169">
        <v>32.61</v>
      </c>
      <c r="K63" s="141">
        <v>34.46</v>
      </c>
      <c r="L63" s="141">
        <v>34.56</v>
      </c>
      <c r="M63" s="170">
        <v>34.81</v>
      </c>
      <c r="N63" s="170">
        <v>73.686999999999998</v>
      </c>
      <c r="O63" s="170">
        <v>74.068899999999999</v>
      </c>
      <c r="P63" s="170">
        <v>74.665999999999997</v>
      </c>
      <c r="Q63" s="228">
        <v>76.900000000000006</v>
      </c>
      <c r="R63" s="118">
        <f>((Q63/H63)^(1/($I$2-$I$1) ))-1</f>
        <v>0.22554496897631715</v>
      </c>
      <c r="S63" s="31">
        <v>0.02</v>
      </c>
      <c r="T63" s="153">
        <f>Q63*(1+$S63)</f>
        <v>78.438000000000002</v>
      </c>
      <c r="U63" s="153">
        <f t="shared" ref="U63:AC63" si="128">T63*(1+$S63)</f>
        <v>80.00676</v>
      </c>
      <c r="V63" s="153">
        <f t="shared" si="128"/>
        <v>81.606895199999997</v>
      </c>
      <c r="W63" s="153">
        <f t="shared" si="128"/>
        <v>83.239033104000001</v>
      </c>
      <c r="X63" s="153">
        <f t="shared" si="128"/>
        <v>84.903813766080006</v>
      </c>
      <c r="Y63" s="153">
        <f t="shared" si="128"/>
        <v>86.601890041401603</v>
      </c>
      <c r="Z63" s="153">
        <f t="shared" si="128"/>
        <v>88.333927842229642</v>
      </c>
      <c r="AA63" s="153">
        <f t="shared" si="128"/>
        <v>90.100606399074238</v>
      </c>
      <c r="AB63" s="153">
        <f t="shared" si="128"/>
        <v>91.902618527055722</v>
      </c>
      <c r="AC63" s="153">
        <f t="shared" si="128"/>
        <v>93.740670897596843</v>
      </c>
      <c r="AD63" s="136">
        <f>((AC63/H63)^(1/($AC$3-$I$1) ))-1</f>
        <v>0.10674673396868428</v>
      </c>
      <c r="AE63" s="31">
        <f t="shared" si="15"/>
        <v>0.05</v>
      </c>
      <c r="AF63" s="144">
        <f t="shared" si="1"/>
        <v>578.98649672045121</v>
      </c>
    </row>
    <row r="64" spans="2:32" s="186" customFormat="1" x14ac:dyDescent="0.2">
      <c r="B64" s="217"/>
      <c r="C64" s="140"/>
      <c r="D64" s="140"/>
      <c r="E64" s="140"/>
      <c r="F64" s="141"/>
      <c r="G64" s="147">
        <f>(G63-F63)/G63</f>
        <v>0.83193277310924374</v>
      </c>
      <c r="H64" s="147">
        <f>(H63-G63)/H63</f>
        <v>0.51743714517437145</v>
      </c>
      <c r="I64" s="147">
        <f t="shared" ref="I64:P64" si="129">(I63-H63)/I63</f>
        <v>0.60212971926427872</v>
      </c>
      <c r="J64" s="147">
        <f t="shared" si="129"/>
        <v>4.9678012879484854E-2</v>
      </c>
      <c r="K64" s="147">
        <f t="shared" si="129"/>
        <v>5.368543238537439E-2</v>
      </c>
      <c r="L64" s="147">
        <f t="shared" si="129"/>
        <v>2.8935185185185596E-3</v>
      </c>
      <c r="M64" s="147">
        <f t="shared" si="129"/>
        <v>7.1818442976156272E-3</v>
      </c>
      <c r="N64" s="147">
        <f t="shared" si="129"/>
        <v>0.52759645527705012</v>
      </c>
      <c r="O64" s="147">
        <f t="shared" si="129"/>
        <v>5.1560101473088127E-3</v>
      </c>
      <c r="P64" s="147">
        <f t="shared" si="129"/>
        <v>7.9969464013071225E-3</v>
      </c>
      <c r="Q64" s="147">
        <f t="shared" si="126"/>
        <v>2.9050715214564482E-2</v>
      </c>
      <c r="R64" s="127"/>
      <c r="S64" s="217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78"/>
      <c r="AE64" s="31"/>
      <c r="AF64" s="179"/>
    </row>
    <row r="65" spans="2:32" x14ac:dyDescent="0.2">
      <c r="B65" s="20" t="s">
        <v>283</v>
      </c>
      <c r="C65" s="143">
        <v>1</v>
      </c>
      <c r="D65" s="143"/>
      <c r="E65" s="143">
        <v>1</v>
      </c>
      <c r="F65" s="143">
        <v>1</v>
      </c>
      <c r="G65" s="167">
        <v>2.4</v>
      </c>
      <c r="H65" s="167">
        <v>1.25</v>
      </c>
      <c r="I65" s="167">
        <v>0.6</v>
      </c>
      <c r="J65" s="167">
        <v>0.7</v>
      </c>
      <c r="K65" s="167">
        <v>0.75</v>
      </c>
      <c r="L65" s="167">
        <v>0.75</v>
      </c>
      <c r="M65" s="167">
        <v>0.85</v>
      </c>
      <c r="N65" s="167">
        <v>0.5</v>
      </c>
      <c r="O65" s="167">
        <v>0.6</v>
      </c>
      <c r="P65" s="167">
        <v>0.7</v>
      </c>
      <c r="Q65" s="229">
        <v>0.8</v>
      </c>
      <c r="R65" s="118">
        <f>((Q65/H65)^(1/($I$2-$I$1) ))-1</f>
        <v>-4.8378070405345586E-2</v>
      </c>
      <c r="S65" s="31">
        <v>0.05</v>
      </c>
      <c r="T65" s="153">
        <f>Q65*(1+$S65)</f>
        <v>0.84000000000000008</v>
      </c>
      <c r="U65" s="153">
        <f t="shared" ref="U65" si="130">T65*(1+$S65)</f>
        <v>0.88200000000000012</v>
      </c>
      <c r="V65" s="153">
        <f t="shared" ref="V65" si="131">U65*(1+$S65)</f>
        <v>0.92610000000000015</v>
      </c>
      <c r="W65" s="153">
        <f t="shared" ref="W65" si="132">V65*(1+$S65)</f>
        <v>0.97240500000000019</v>
      </c>
      <c r="X65" s="153">
        <f t="shared" ref="X65" si="133">W65*(1+$S65)</f>
        <v>1.0210252500000003</v>
      </c>
      <c r="Y65" s="153">
        <f t="shared" ref="Y65" si="134">X65*(1+$S65)</f>
        <v>1.0720765125000005</v>
      </c>
      <c r="Z65" s="153">
        <f t="shared" ref="Z65" si="135">Y65*(1+$S65)</f>
        <v>1.1256803381250005</v>
      </c>
      <c r="AA65" s="153">
        <f t="shared" ref="AA65" si="136">Z65*(1+$S65)</f>
        <v>1.1819643550312506</v>
      </c>
      <c r="AB65" s="153">
        <f t="shared" ref="AB65" si="137">AA65*(1+$S65)</f>
        <v>1.2410625727828133</v>
      </c>
      <c r="AC65" s="153">
        <f t="shared" ref="AC65" si="138">AB65*(1+$S65)</f>
        <v>1.3031157014219541</v>
      </c>
      <c r="AD65" s="136">
        <f>((AC65/H65)^(1/($AC$3-$I$1) ))-1</f>
        <v>2.0828931677951967E-3</v>
      </c>
      <c r="AE65" s="31">
        <f t="shared" si="15"/>
        <v>0.05</v>
      </c>
      <c r="AF65" s="144">
        <f t="shared" si="1"/>
        <v>8.0486558029003064</v>
      </c>
    </row>
    <row r="66" spans="2:32" x14ac:dyDescent="0.2">
      <c r="B66" s="20" t="s">
        <v>430</v>
      </c>
      <c r="C66" s="20"/>
      <c r="D66" s="217"/>
      <c r="E66" s="20"/>
      <c r="F66" s="126"/>
      <c r="G66" s="145">
        <v>0</v>
      </c>
      <c r="H66" s="145">
        <v>0</v>
      </c>
      <c r="I66" s="145">
        <v>0</v>
      </c>
      <c r="J66" s="145">
        <v>0</v>
      </c>
      <c r="K66" s="145">
        <v>0</v>
      </c>
      <c r="L66" s="145">
        <v>0</v>
      </c>
      <c r="M66" s="145">
        <v>0</v>
      </c>
      <c r="N66" s="145" t="s">
        <v>435</v>
      </c>
      <c r="O66" s="145">
        <v>0</v>
      </c>
      <c r="P66" s="145">
        <v>0</v>
      </c>
      <c r="Q66" s="226">
        <v>0</v>
      </c>
      <c r="R66" s="145">
        <v>0</v>
      </c>
      <c r="S66" s="127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37"/>
      <c r="AE66" s="135"/>
      <c r="AF66" s="153"/>
    </row>
    <row r="67" spans="2:32" s="186" customFormat="1" x14ac:dyDescent="0.2">
      <c r="B67" s="217" t="s">
        <v>431</v>
      </c>
      <c r="C67" s="217"/>
      <c r="D67" s="217"/>
      <c r="E67" s="217"/>
      <c r="F67" s="198"/>
      <c r="G67" s="145">
        <v>0</v>
      </c>
      <c r="H67" s="145" t="s">
        <v>436</v>
      </c>
      <c r="I67" s="145" t="s">
        <v>437</v>
      </c>
      <c r="J67" s="145">
        <v>0</v>
      </c>
      <c r="K67" s="145">
        <v>0</v>
      </c>
      <c r="L67" s="145">
        <v>0</v>
      </c>
      <c r="M67" s="145">
        <v>0</v>
      </c>
      <c r="N67" s="145">
        <v>0</v>
      </c>
      <c r="O67" s="145">
        <v>0</v>
      </c>
      <c r="P67" s="145">
        <v>0</v>
      </c>
      <c r="Q67" s="226">
        <v>0</v>
      </c>
      <c r="R67" s="145">
        <v>0</v>
      </c>
      <c r="S67" s="127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37"/>
      <c r="AE67" s="199"/>
      <c r="AF67" s="153"/>
    </row>
    <row r="68" spans="2:32" s="186" customFormat="1" x14ac:dyDescent="0.2">
      <c r="B68" s="217" t="s">
        <v>432</v>
      </c>
      <c r="C68" s="217"/>
      <c r="D68" s="217"/>
      <c r="E68" s="217"/>
      <c r="F68" s="198"/>
      <c r="G68" s="145">
        <v>0</v>
      </c>
      <c r="H68" s="145">
        <v>0</v>
      </c>
      <c r="I68" s="145">
        <v>0</v>
      </c>
      <c r="J68" s="145">
        <v>0</v>
      </c>
      <c r="K68" s="145">
        <v>0</v>
      </c>
      <c r="L68" s="145">
        <v>0</v>
      </c>
      <c r="M68" s="145">
        <v>0</v>
      </c>
      <c r="N68" s="145">
        <v>0</v>
      </c>
      <c r="O68" s="145">
        <v>0</v>
      </c>
      <c r="P68" s="145">
        <v>0</v>
      </c>
      <c r="Q68" s="226">
        <v>0</v>
      </c>
      <c r="R68" s="145">
        <v>0</v>
      </c>
      <c r="S68" s="127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37"/>
      <c r="AE68" s="199"/>
      <c r="AF68" s="153"/>
    </row>
    <row r="69" spans="2:32" s="186" customFormat="1" x14ac:dyDescent="0.2">
      <c r="B69" s="217"/>
      <c r="C69" s="217"/>
      <c r="D69" s="217"/>
      <c r="E69" s="217"/>
      <c r="F69" s="198"/>
      <c r="G69" s="198"/>
      <c r="H69" s="198"/>
      <c r="I69" s="217"/>
      <c r="J69" s="217"/>
      <c r="K69" s="217"/>
      <c r="L69" s="217"/>
      <c r="M69" s="217"/>
      <c r="N69" s="217"/>
      <c r="O69" s="217"/>
      <c r="P69" s="217"/>
      <c r="Q69" s="223"/>
      <c r="R69" s="127"/>
      <c r="S69" s="127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37"/>
      <c r="AE69" s="199"/>
      <c r="AF69" s="153"/>
    </row>
    <row r="70" spans="2:32" x14ac:dyDescent="0.2">
      <c r="B70" s="108" t="s">
        <v>243</v>
      </c>
      <c r="C70" s="20"/>
      <c r="D70" s="217"/>
      <c r="E70" s="20"/>
      <c r="F70" s="126"/>
      <c r="G70" s="126"/>
      <c r="H70" s="126"/>
      <c r="I70" s="20"/>
      <c r="J70" s="20"/>
      <c r="K70" s="20"/>
      <c r="L70" s="20"/>
      <c r="M70" s="20"/>
      <c r="N70" s="20"/>
      <c r="O70" s="20"/>
      <c r="P70" s="20"/>
      <c r="Q70" s="223"/>
      <c r="R70" s="127"/>
      <c r="S70" s="127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37"/>
      <c r="AE70" s="135"/>
      <c r="AF70" s="153"/>
    </row>
    <row r="71" spans="2:32" x14ac:dyDescent="0.2">
      <c r="B71" s="20" t="s">
        <v>304</v>
      </c>
      <c r="C71" s="131">
        <f>C44/C63</f>
        <v>0</v>
      </c>
      <c r="D71" s="219"/>
      <c r="E71" s="131">
        <f>E44/E63</f>
        <v>0</v>
      </c>
      <c r="F71" s="131">
        <f>F44/F63</f>
        <v>0</v>
      </c>
      <c r="G71" s="131">
        <f>G44/G63</f>
        <v>195.63025210084032</v>
      </c>
      <c r="H71" s="131">
        <f>H44/H63</f>
        <v>142.09245742092457</v>
      </c>
      <c r="I71" s="131">
        <f>I44/I63</f>
        <v>96.289125524362703</v>
      </c>
      <c r="J71" s="131">
        <f>J44/J63</f>
        <v>132.9346826126955</v>
      </c>
      <c r="K71" s="131">
        <f>K44/K63</f>
        <v>222.78003482298317</v>
      </c>
      <c r="L71" s="131">
        <f>L44/L63</f>
        <v>207.78356481481481</v>
      </c>
      <c r="M71" s="131">
        <f>M44/M63</f>
        <v>267.59551852915826</v>
      </c>
      <c r="N71" s="131">
        <f>N44/N63</f>
        <v>150.12145968759754</v>
      </c>
      <c r="O71" s="131">
        <f>O44/O63</f>
        <v>175.68777179085959</v>
      </c>
      <c r="P71" s="131">
        <f>P44/P63</f>
        <v>213.61797873195297</v>
      </c>
      <c r="Q71" s="131">
        <f>Q44/Q63</f>
        <v>224.55136540962286</v>
      </c>
      <c r="R71" s="118">
        <f>((Q71/H71)^(1/($I$2-$I$1) ))-1</f>
        <v>5.2162312392274313E-2</v>
      </c>
      <c r="S71" s="127"/>
      <c r="T71" s="157">
        <f>T44/T63</f>
        <v>264.17807695249746</v>
      </c>
      <c r="U71" s="157">
        <f>U44/U63</f>
        <v>310.79773759117353</v>
      </c>
      <c r="V71" s="157">
        <f>V44/V63</f>
        <v>365.64439716608649</v>
      </c>
      <c r="W71" s="157">
        <f>W44/W63</f>
        <v>430.16987901892526</v>
      </c>
      <c r="X71" s="157">
        <f>X44/X63</f>
        <v>506.08221061050023</v>
      </c>
      <c r="Y71" s="157">
        <f>Y44/Y63</f>
        <v>595.39083601235313</v>
      </c>
      <c r="Z71" s="157">
        <f>Z44/Z63</f>
        <v>700.45980707335661</v>
      </c>
      <c r="AA71" s="157">
        <f>AA44/AA63</f>
        <v>824.07036126277251</v>
      </c>
      <c r="AB71" s="157">
        <f>AB44/AB63</f>
        <v>969.49454266208522</v>
      </c>
      <c r="AC71" s="157">
        <f>AC44/AC63</f>
        <v>1140.5818148965707</v>
      </c>
      <c r="AD71" s="136">
        <f>((AC71/H71)^(1/($AC$3-$I$1) ))-1</f>
        <v>0.10975668771663494</v>
      </c>
      <c r="AE71" s="31">
        <f t="shared" si="15"/>
        <v>0.05</v>
      </c>
      <c r="AF71" s="144">
        <f t="shared" ref="AF71" si="139">(AC71*(1+AE71))/($C$1-AE71)</f>
        <v>7044.7700331847027</v>
      </c>
    </row>
    <row r="72" spans="2:32" x14ac:dyDescent="0.2">
      <c r="B72" s="20" t="s">
        <v>305</v>
      </c>
      <c r="C72" s="131">
        <f>C46/C63</f>
        <v>0</v>
      </c>
      <c r="D72" s="219"/>
      <c r="E72" s="131">
        <f>E46/E63</f>
        <v>0</v>
      </c>
      <c r="F72" s="131">
        <f>F46/F63</f>
        <v>0</v>
      </c>
      <c r="G72" s="131">
        <f>G46/G63</f>
        <v>162.01680672268907</v>
      </c>
      <c r="H72" s="131">
        <f>H46/H63</f>
        <v>126.35847526358475</v>
      </c>
      <c r="I72" s="131">
        <f>I46/I63</f>
        <v>79.219102936431113</v>
      </c>
      <c r="J72" s="131">
        <f>J46/J63</f>
        <v>116.83532658693653</v>
      </c>
      <c r="K72" s="131">
        <f>K46/K63</f>
        <v>194.95066744051073</v>
      </c>
      <c r="L72" s="131">
        <f>L46/L63</f>
        <v>188.88888888888889</v>
      </c>
      <c r="M72" s="131">
        <f>M46/M63</f>
        <v>229.44556162022405</v>
      </c>
      <c r="N72" s="131">
        <f>N46/N63</f>
        <v>128.82869434228562</v>
      </c>
      <c r="O72" s="131">
        <f>O46/O63</f>
        <v>150.71102716524749</v>
      </c>
      <c r="P72" s="131">
        <f>P46/P63</f>
        <v>184.09985803444675</v>
      </c>
      <c r="Q72" s="131">
        <f>Q46/Q63</f>
        <v>191.8855656697009</v>
      </c>
      <c r="R72" s="118">
        <f>((Q72/H72)^(1/($I$2-$I$1) ))-1</f>
        <v>4.7513840781464367E-2</v>
      </c>
      <c r="S72" s="127"/>
      <c r="T72" s="157">
        <f>T46/T63</f>
        <v>225.74772431729519</v>
      </c>
      <c r="U72" s="157">
        <f>U46/U63</f>
        <v>265.58555802034726</v>
      </c>
      <c r="V72" s="157">
        <f>V46/V63</f>
        <v>312.45359767099677</v>
      </c>
      <c r="W72" s="157">
        <f>W46/W63</f>
        <v>367.59246784823148</v>
      </c>
      <c r="X72" s="157">
        <f>X46/X63</f>
        <v>432.46172688027229</v>
      </c>
      <c r="Y72" s="157">
        <f>Y46/Y63</f>
        <v>508.77850221208513</v>
      </c>
      <c r="Z72" s="157">
        <f>Z46/Z63</f>
        <v>598.56294377892357</v>
      </c>
      <c r="AA72" s="157">
        <f>AA46/AA63</f>
        <v>704.19169856343945</v>
      </c>
      <c r="AB72" s="157">
        <f>AB46/AB63</f>
        <v>828.46082183934061</v>
      </c>
      <c r="AC72" s="157">
        <f>AC46/AC63</f>
        <v>974.65979039922411</v>
      </c>
      <c r="AD72" s="136">
        <f>((AC72/H72)^(1/($AC$3-$I$1) ))-1</f>
        <v>0.10754768494767197</v>
      </c>
      <c r="AE72" s="31">
        <f t="shared" si="15"/>
        <v>0.05</v>
      </c>
      <c r="AF72" s="144">
        <f t="shared" ref="AF72" si="140">(AC72*(1+AE72))/($C$1-AE72)</f>
        <v>6019.9575289363847</v>
      </c>
    </row>
    <row r="73" spans="2:32" x14ac:dyDescent="0.2">
      <c r="B73" s="20"/>
      <c r="C73" s="131"/>
      <c r="D73" s="219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27"/>
      <c r="S73" s="12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19"/>
      <c r="AE73" s="135"/>
      <c r="AF73" s="144"/>
    </row>
    <row r="74" spans="2:32" x14ac:dyDescent="0.2">
      <c r="B74" s="20" t="s">
        <v>258</v>
      </c>
      <c r="C74" s="25">
        <f>C61/C63</f>
        <v>0</v>
      </c>
      <c r="D74" s="197"/>
      <c r="E74" s="25">
        <f t="shared" ref="E74:Q74" si="141">E61/E63</f>
        <v>0</v>
      </c>
      <c r="F74" s="25">
        <f t="shared" si="141"/>
        <v>0</v>
      </c>
      <c r="G74" s="131">
        <f t="shared" si="141"/>
        <v>33.680672268907564</v>
      </c>
      <c r="H74" s="131">
        <f t="shared" si="141"/>
        <v>15.733982157339822</v>
      </c>
      <c r="I74" s="131">
        <f t="shared" si="141"/>
        <v>17.070022587931593</v>
      </c>
      <c r="J74" s="131">
        <f t="shared" si="141"/>
        <v>16.068690585709906</v>
      </c>
      <c r="K74" s="131">
        <f t="shared" si="141"/>
        <v>27.800348229831688</v>
      </c>
      <c r="L74" s="131">
        <f t="shared" si="141"/>
        <v>18.86574074074074</v>
      </c>
      <c r="M74" s="131">
        <f t="shared" si="141"/>
        <v>38.121229531743751</v>
      </c>
      <c r="N74" s="131">
        <f t="shared" si="141"/>
        <v>21.292765345311928</v>
      </c>
      <c r="O74" s="131">
        <f t="shared" si="141"/>
        <v>24.976744625612099</v>
      </c>
      <c r="P74" s="131">
        <f t="shared" si="141"/>
        <v>29.51812069750623</v>
      </c>
      <c r="Q74" s="131">
        <f t="shared" si="141"/>
        <v>32.652795838751622</v>
      </c>
      <c r="R74" s="118">
        <f>((Q74/H74)^(1/($I$2-$I$1) ))-1</f>
        <v>8.4504359601854429E-2</v>
      </c>
      <c r="S74" s="127"/>
      <c r="T74" s="157">
        <f t="shared" ref="T74:AC74" si="142">T61/T63</f>
        <v>38.415053927943084</v>
      </c>
      <c r="U74" s="157">
        <f t="shared" si="142"/>
        <v>45.19418109169775</v>
      </c>
      <c r="V74" s="157">
        <f t="shared" si="142"/>
        <v>53.169624813762063</v>
      </c>
      <c r="W74" s="157">
        <f t="shared" si="142"/>
        <v>62.55249978089654</v>
      </c>
      <c r="X74" s="157">
        <f t="shared" si="142"/>
        <v>73.591176212819448</v>
      </c>
      <c r="Y74" s="157">
        <f t="shared" si="142"/>
        <v>86.577854368022869</v>
      </c>
      <c r="Z74" s="157">
        <f t="shared" si="142"/>
        <v>101.85629925649748</v>
      </c>
      <c r="AA74" s="157">
        <f t="shared" si="142"/>
        <v>119.83094030176173</v>
      </c>
      <c r="AB74" s="157">
        <f t="shared" si="142"/>
        <v>140.97757682560203</v>
      </c>
      <c r="AC74" s="157">
        <f t="shared" si="142"/>
        <v>165.85597273600237</v>
      </c>
      <c r="AD74" s="136">
        <f>((AC74/H74)^(1/($AC$3-$I$1) ))-1</f>
        <v>0.12497953770784931</v>
      </c>
      <c r="AE74" s="31">
        <f t="shared" si="15"/>
        <v>0.05</v>
      </c>
      <c r="AF74" s="144">
        <f t="shared" ref="AF74:AF101" si="143">(AC74*(1+AE74))/($C$1-AE74)</f>
        <v>1024.4045374870736</v>
      </c>
    </row>
    <row r="75" spans="2:32" x14ac:dyDescent="0.2">
      <c r="B75" s="20" t="s">
        <v>245</v>
      </c>
      <c r="C75" s="25">
        <f>C7/C63</f>
        <v>0</v>
      </c>
      <c r="D75" s="197"/>
      <c r="E75" s="25">
        <f>E7/E63</f>
        <v>0</v>
      </c>
      <c r="F75" s="25">
        <f>F7/F63</f>
        <v>0</v>
      </c>
      <c r="G75" s="131">
        <f>G7/G63</f>
        <v>207.73109243697479</v>
      </c>
      <c r="H75" s="131">
        <f>H7/H63</f>
        <v>119.38361719383617</v>
      </c>
      <c r="I75" s="131">
        <f>I7/I63</f>
        <v>72.862213617295907</v>
      </c>
      <c r="J75" s="131">
        <f>J7/J63</f>
        <v>100</v>
      </c>
      <c r="K75" s="131">
        <f>K7/K63</f>
        <v>170.69065583284967</v>
      </c>
      <c r="L75" s="131">
        <f>L7/L63</f>
        <v>191.37731481481481</v>
      </c>
      <c r="M75" s="131">
        <f>M7/M63</f>
        <v>228.81355932203388</v>
      </c>
      <c r="N75" s="131">
        <f>N7/N63</f>
        <v>149.26649205422939</v>
      </c>
      <c r="O75" s="131">
        <f>O7/O63</f>
        <v>174.63469823367163</v>
      </c>
      <c r="P75" s="131">
        <f>P7/P63</f>
        <v>204.47057563013956</v>
      </c>
      <c r="Q75" s="131">
        <f>Q7/Q63</f>
        <v>248.16644993498048</v>
      </c>
      <c r="R75" s="118">
        <f>((Q75/H75)^(1/($I$2-$I$1) ))-1</f>
        <v>8.4703211733422101E-2</v>
      </c>
      <c r="S75" s="127"/>
      <c r="T75" s="157">
        <f>T7/T63</f>
        <v>291.96052933527113</v>
      </c>
      <c r="U75" s="157">
        <f>U7/U63</f>
        <v>343.48297568855429</v>
      </c>
      <c r="V75" s="157">
        <f>V7/V63</f>
        <v>404.09761845712268</v>
      </c>
      <c r="W75" s="157">
        <f>W7/W63</f>
        <v>475.40896289073254</v>
      </c>
      <c r="X75" s="157">
        <f>X7/X63</f>
        <v>559.30466222439111</v>
      </c>
      <c r="Y75" s="157">
        <f>Y7/Y63</f>
        <v>658.00548496987199</v>
      </c>
      <c r="Z75" s="157">
        <f>Z7/Z63</f>
        <v>774.12409996455517</v>
      </c>
      <c r="AA75" s="157">
        <f>AA7/AA63</f>
        <v>910.73423525241788</v>
      </c>
      <c r="AB75" s="157">
        <f>AB7/AB63</f>
        <v>1071.4520414734329</v>
      </c>
      <c r="AC75" s="157">
        <f>AC7/AC63</f>
        <v>1260.531813498156</v>
      </c>
      <c r="AD75" s="136">
        <f>((AC75/H75)^(1/($AC$3-$I$1) ))-1</f>
        <v>0.12507235613148149</v>
      </c>
      <c r="AE75" s="31">
        <f t="shared" si="15"/>
        <v>0.05</v>
      </c>
      <c r="AF75" s="144">
        <f t="shared" si="143"/>
        <v>7785.6376716062578</v>
      </c>
    </row>
    <row r="76" spans="2:32" x14ac:dyDescent="0.2">
      <c r="B76" s="20" t="s">
        <v>246</v>
      </c>
      <c r="C76" s="126">
        <f>C6/C63</f>
        <v>0</v>
      </c>
      <c r="D76" s="198"/>
      <c r="E76" s="126">
        <f>E6/E63</f>
        <v>0</v>
      </c>
      <c r="F76" s="126">
        <f>F6/F63</f>
        <v>0</v>
      </c>
      <c r="G76" s="142">
        <f>G6/G63</f>
        <v>197.64705882352939</v>
      </c>
      <c r="H76" s="142">
        <f>H6/H63</f>
        <v>108.9213300892133</v>
      </c>
      <c r="I76" s="142">
        <f>I6/I63</f>
        <v>62.891255243626979</v>
      </c>
      <c r="J76" s="142">
        <f>J6/J63</f>
        <v>90.003066544004909</v>
      </c>
      <c r="K76" s="142">
        <f>K6/K63</f>
        <v>158.9959373186303</v>
      </c>
      <c r="L76" s="142">
        <f>L6/L63</f>
        <v>181.36574074074073</v>
      </c>
      <c r="M76" s="142">
        <f>M6/M63</f>
        <v>218.81643205975294</v>
      </c>
      <c r="N76" s="142">
        <f>N6/N63</f>
        <v>143.77027155400546</v>
      </c>
      <c r="O76" s="142">
        <f>O6/O63</f>
        <v>169.16681630211872</v>
      </c>
      <c r="P76" s="142">
        <f>P6/P63</f>
        <v>199.23392173144404</v>
      </c>
      <c r="Q76" s="142">
        <f>Q6/Q63</f>
        <v>243.04291287386215</v>
      </c>
      <c r="R76" s="118">
        <f>((Q76/H76)^(1/($I$2-$I$1) ))-1</f>
        <v>9.3276474315929558E-2</v>
      </c>
      <c r="S76" s="127"/>
      <c r="T76" s="156">
        <f>T6/T63</f>
        <v>285.93283867513196</v>
      </c>
      <c r="U76" s="156">
        <f>U6/U63</f>
        <v>336.39157491191992</v>
      </c>
      <c r="V76" s="156">
        <f>V6/V63</f>
        <v>395.75479401402345</v>
      </c>
      <c r="W76" s="156">
        <f>W6/W63</f>
        <v>465.59387531061577</v>
      </c>
      <c r="X76" s="156">
        <f>X6/X63</f>
        <v>547.75750036543025</v>
      </c>
      <c r="Y76" s="156">
        <f>Y6/Y63</f>
        <v>644.42058866521211</v>
      </c>
      <c r="Z76" s="156">
        <f>Z6/Z63</f>
        <v>758.14186901789651</v>
      </c>
      <c r="AA76" s="156">
        <f>AA6/AA63</f>
        <v>891.93161060928992</v>
      </c>
      <c r="AB76" s="156">
        <f>AB6/AB63</f>
        <v>1049.3313065991647</v>
      </c>
      <c r="AC76" s="156">
        <f>AC6/AC63</f>
        <v>1234.507419528429</v>
      </c>
      <c r="AD76" s="136">
        <f>((AC76/H76)^(1/($AC$3-$I$1) ))-1</f>
        <v>0.12906524319460155</v>
      </c>
      <c r="AE76" s="31">
        <f t="shared" si="15"/>
        <v>0.05</v>
      </c>
      <c r="AF76" s="144">
        <f t="shared" si="143"/>
        <v>7624.8987676755924</v>
      </c>
    </row>
    <row r="77" spans="2:32" x14ac:dyDescent="0.2">
      <c r="B77" s="20" t="s">
        <v>247</v>
      </c>
      <c r="C77" s="126">
        <f>C10/C63</f>
        <v>0</v>
      </c>
      <c r="D77" s="198"/>
      <c r="E77" s="126">
        <f>E10/E63</f>
        <v>0</v>
      </c>
      <c r="F77" s="126">
        <f>F10/F63</f>
        <v>0</v>
      </c>
      <c r="G77" s="142">
        <f>G10/G63</f>
        <v>1230.9243697478992</v>
      </c>
      <c r="H77" s="142">
        <f>H10/H63</f>
        <v>612.81427412814276</v>
      </c>
      <c r="I77" s="142">
        <f>I10/I63</f>
        <v>368.31235882542757</v>
      </c>
      <c r="J77" s="142">
        <f>J10/J63</f>
        <v>602.45323520392515</v>
      </c>
      <c r="K77" s="142">
        <f>K10/K63</f>
        <v>767.96285548461981</v>
      </c>
      <c r="L77" s="142">
        <f>L10/L63</f>
        <v>719.96527777777771</v>
      </c>
      <c r="M77" s="142">
        <f>M10/M63</f>
        <v>1025.6822752082735</v>
      </c>
      <c r="N77" s="142">
        <f>N10/N63</f>
        <v>670.2131990717495</v>
      </c>
      <c r="O77" s="142">
        <f>O10/O63</f>
        <v>886.40441534841204</v>
      </c>
      <c r="P77" s="142">
        <f>P10/P63</f>
        <v>1159.3094581201619</v>
      </c>
      <c r="Q77" s="142">
        <f>Q10/Q63</f>
        <v>1110.481144343303</v>
      </c>
      <c r="R77" s="118">
        <f>((Q77/H77)^(1/($I$2-$I$1) ))-1</f>
        <v>6.8284492264768959E-2</v>
      </c>
      <c r="S77" s="127"/>
      <c r="T77" s="156">
        <f>T10/T63</f>
        <v>1306.4484051097681</v>
      </c>
      <c r="U77" s="156">
        <f>U10/U63</f>
        <v>1536.9981236585506</v>
      </c>
      <c r="V77" s="156">
        <f>V10/V63</f>
        <v>1808.2330866571183</v>
      </c>
      <c r="W77" s="156">
        <f>W10/W63</f>
        <v>2127.3330431260215</v>
      </c>
      <c r="X77" s="156">
        <f>X10/X63</f>
        <v>2502.7447566188484</v>
      </c>
      <c r="Y77" s="156">
        <f>Y10/Y63</f>
        <v>2944.4055960221744</v>
      </c>
      <c r="Z77" s="156">
        <f>Z10/Z63</f>
        <v>3464.0065835554988</v>
      </c>
      <c r="AA77" s="156">
        <f>AA10/AA63</f>
        <v>4075.3018630064694</v>
      </c>
      <c r="AB77" s="156">
        <f>AB10/AB63</f>
        <v>4794.4727800076107</v>
      </c>
      <c r="AC77" s="156">
        <f>AC10/AC63</f>
        <v>5640.5562117736599</v>
      </c>
      <c r="AD77" s="136">
        <f>((AC77/H77)^(1/($AC$3-$I$1) ))-1</f>
        <v>0.11737680784580817</v>
      </c>
      <c r="AE77" s="31">
        <f t="shared" si="15"/>
        <v>0.05</v>
      </c>
      <c r="AF77" s="144">
        <f t="shared" si="143"/>
        <v>34838.729543307905</v>
      </c>
    </row>
    <row r="78" spans="2:32" x14ac:dyDescent="0.2">
      <c r="B78" s="20"/>
      <c r="C78" s="126"/>
      <c r="D78" s="198"/>
      <c r="E78" s="126"/>
      <c r="F78" s="126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27"/>
      <c r="S78" s="127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37"/>
      <c r="AE78" s="135"/>
      <c r="AF78" s="144"/>
    </row>
    <row r="79" spans="2:32" x14ac:dyDescent="0.2">
      <c r="B79" s="20" t="s">
        <v>271</v>
      </c>
      <c r="C79" s="126">
        <f>(C7-C10)/C63</f>
        <v>0</v>
      </c>
      <c r="D79" s="198"/>
      <c r="E79" s="126">
        <f>(E7-E10)/E63</f>
        <v>0</v>
      </c>
      <c r="F79" s="126">
        <f>(F7-F10)/F63</f>
        <v>0</v>
      </c>
      <c r="G79" s="142">
        <f>(G7-G10)/G63</f>
        <v>-1023.1932773109244</v>
      </c>
      <c r="H79" s="142">
        <f>(H7-H10)/H63</f>
        <v>-493.43065693430657</v>
      </c>
      <c r="I79" s="142">
        <f>(I7-I10)/I63</f>
        <v>-295.45014520813169</v>
      </c>
      <c r="J79" s="142">
        <f>(J7-J10)/J63</f>
        <v>-502.4532352039252</v>
      </c>
      <c r="K79" s="142">
        <f>(K7-K10)/K63</f>
        <v>-597.27219965177017</v>
      </c>
      <c r="L79" s="142">
        <f>(L7-L10)/L63</f>
        <v>-528.58796296296293</v>
      </c>
      <c r="M79" s="142">
        <f>(M7-M10)/M63</f>
        <v>-796.86871588623956</v>
      </c>
      <c r="N79" s="142">
        <f>(N7-N10)/N63</f>
        <v>-520.94670701752011</v>
      </c>
      <c r="O79" s="142">
        <f>(O7-O10)/O63</f>
        <v>-711.7697171147405</v>
      </c>
      <c r="P79" s="142">
        <f>(P7-P10)/P63</f>
        <v>-954.83888249002223</v>
      </c>
      <c r="Q79" s="142">
        <f>(Q7-Q10)/Q63</f>
        <v>-862.31469440832245</v>
      </c>
      <c r="R79" s="118">
        <f>((Q79/H79)^(1/($I$2-$I$1) ))-1</f>
        <v>6.3990474202173964E-2</v>
      </c>
      <c r="S79" s="127"/>
      <c r="T79" s="156">
        <f>(T7-T10)/T63</f>
        <v>-1014.487875774497</v>
      </c>
      <c r="U79" s="156">
        <f>(U7-U10)/U63</f>
        <v>-1193.5151479699966</v>
      </c>
      <c r="V79" s="156">
        <f>(V7-V10)/V63</f>
        <v>-1404.1354681999956</v>
      </c>
      <c r="W79" s="156">
        <f>(W7-W10)/W63</f>
        <v>-1651.924080235289</v>
      </c>
      <c r="X79" s="156">
        <f>(X7-X10)/X63</f>
        <v>-1943.4400943944574</v>
      </c>
      <c r="Y79" s="156">
        <f>(Y7-Y10)/Y63</f>
        <v>-2286.4001110523027</v>
      </c>
      <c r="Z79" s="156">
        <f>(Z7-Z10)/Z63</f>
        <v>-2689.8824835909436</v>
      </c>
      <c r="AA79" s="156">
        <f>(AA7-AA10)/AA63</f>
        <v>-3164.567627754051</v>
      </c>
      <c r="AB79" s="156">
        <f>(AB7-AB10)/AB63</f>
        <v>-3723.0207385341778</v>
      </c>
      <c r="AC79" s="156">
        <f>(AC7-AC10)/AC63</f>
        <v>-4380.0243982755037</v>
      </c>
      <c r="AD79" s="136">
        <f>((AC79/H79)^(1/($AC$3-$I$1) ))-1</f>
        <v>0.11535346302890659</v>
      </c>
      <c r="AE79" s="31">
        <f t="shared" si="15"/>
        <v>0.05</v>
      </c>
      <c r="AF79" s="144">
        <f t="shared" si="143"/>
        <v>-27053.091871701643</v>
      </c>
    </row>
    <row r="80" spans="2:32" x14ac:dyDescent="0.2">
      <c r="B80" s="20" t="s">
        <v>272</v>
      </c>
      <c r="C80" s="126">
        <f>(C7-C10-C9)/C63</f>
        <v>0</v>
      </c>
      <c r="D80" s="198"/>
      <c r="E80" s="126">
        <f>(E7-E10-E9)/E63</f>
        <v>0</v>
      </c>
      <c r="F80" s="126">
        <f>(F7-F10-F9)/F63</f>
        <v>0</v>
      </c>
      <c r="G80" s="142">
        <f>(G7-G10-G9)/G63</f>
        <v>-1023.1932773109244</v>
      </c>
      <c r="H80" s="142">
        <f>(H7-H10-H9)/H63</f>
        <v>-493.43065693430657</v>
      </c>
      <c r="I80" s="142">
        <f>(I7-I10-I9)/I63</f>
        <v>-295.45014520813169</v>
      </c>
      <c r="J80" s="142">
        <f>(J7-J10-J9)/J63</f>
        <v>-502.4532352039252</v>
      </c>
      <c r="K80" s="142">
        <f>(K7-K10-K9)/K63</f>
        <v>-597.27219965177017</v>
      </c>
      <c r="L80" s="142">
        <f>(L7-L10-L9)/L63</f>
        <v>-528.58796296296293</v>
      </c>
      <c r="M80" s="142">
        <f>(M7-M10-M9)/M63</f>
        <v>-796.86871588623956</v>
      </c>
      <c r="N80" s="142">
        <f>(N7-N10-N9)/N63</f>
        <v>-520.94670701752011</v>
      </c>
      <c r="O80" s="142">
        <f>(O7-O10-O9)/O63</f>
        <v>-711.7697171147405</v>
      </c>
      <c r="P80" s="142">
        <f>(P7-P10-P9)/P63</f>
        <v>-954.83888249002223</v>
      </c>
      <c r="Q80" s="142">
        <f>(Q7-Q10-Q9)/Q63</f>
        <v>-862.31469440832245</v>
      </c>
      <c r="R80" s="118">
        <f>((Q80/H80)^(1/($I$2-$I$1) ))-1</f>
        <v>6.3990474202173964E-2</v>
      </c>
      <c r="S80" s="127"/>
      <c r="T80" s="156">
        <f>(T7-T10-T9)/T63</f>
        <v>-1014.487875774497</v>
      </c>
      <c r="U80" s="156">
        <f>(U7-U10-U9)/U63</f>
        <v>-1193.5151479699966</v>
      </c>
      <c r="V80" s="156">
        <f>(V7-V10-V9)/V63</f>
        <v>-1404.1354681999956</v>
      </c>
      <c r="W80" s="156">
        <f>(W7-W10-W9)/W63</f>
        <v>-1651.924080235289</v>
      </c>
      <c r="X80" s="156">
        <f>(X7-X10-X9)/X63</f>
        <v>-1943.4400943944574</v>
      </c>
      <c r="Y80" s="156">
        <f>(Y7-Y10-Y9)/Y63</f>
        <v>-2286.4001110523027</v>
      </c>
      <c r="Z80" s="156">
        <f>(Z7-Z10-Z9)/Z63</f>
        <v>-2689.8824835909436</v>
      </c>
      <c r="AA80" s="156">
        <f>(AA7-AA10-AA9)/AA63</f>
        <v>-3164.567627754051</v>
      </c>
      <c r="AB80" s="156">
        <f>(AB7-AB10-AB9)/AB63</f>
        <v>-3723.0207385341778</v>
      </c>
      <c r="AC80" s="156">
        <f>(AC7-AC10-AC9)/AC63</f>
        <v>-4380.0243982755037</v>
      </c>
      <c r="AD80" s="136">
        <f>((AC80/H80)^(1/($AC$3-$I$1) ))-1</f>
        <v>0.11535346302890659</v>
      </c>
      <c r="AE80" s="31">
        <f t="shared" si="15"/>
        <v>0.05</v>
      </c>
      <c r="AF80" s="144">
        <f t="shared" si="143"/>
        <v>-27053.091871701643</v>
      </c>
    </row>
    <row r="81" spans="2:32" x14ac:dyDescent="0.2">
      <c r="B81" s="20" t="s">
        <v>277</v>
      </c>
      <c r="C81" s="126">
        <f>(C7+C17-C10-C9)/C63</f>
        <v>0</v>
      </c>
      <c r="D81" s="198"/>
      <c r="E81" s="126">
        <f>(E7+E17-E10-E9)/E63</f>
        <v>0</v>
      </c>
      <c r="F81" s="126">
        <f>(F7+F17-F10-F9)/F63</f>
        <v>0</v>
      </c>
      <c r="G81" s="142">
        <f>(G7+G17-G10-G9)/G63</f>
        <v>-1023.1932773109244</v>
      </c>
      <c r="H81" s="142">
        <f>(H7+H17-H10-H9)/H63</f>
        <v>-493.43065693430657</v>
      </c>
      <c r="I81" s="142">
        <f>(I7+I17-I10-I9)/I63</f>
        <v>-295.45014520813169</v>
      </c>
      <c r="J81" s="142">
        <f>(J7+J17-J10-J9)/J63</f>
        <v>-502.4532352039252</v>
      </c>
      <c r="K81" s="142">
        <f>(K7+K17-K10-K9)/K63</f>
        <v>-597.27219965177017</v>
      </c>
      <c r="L81" s="142">
        <f>(L7+L17-L10-L9)/L63</f>
        <v>-528.58796296296293</v>
      </c>
      <c r="M81" s="142">
        <f>(M7+M17-M10-M9)/M63</f>
        <v>-796.86871588623956</v>
      </c>
      <c r="N81" s="142">
        <f>(N7+N17-N10-N9)/N63</f>
        <v>-520.94670701752011</v>
      </c>
      <c r="O81" s="142">
        <f>(O7+O17-O10-O9)/O63</f>
        <v>-711.7697171147405</v>
      </c>
      <c r="P81" s="142">
        <f>(P7+P17-P10-P9)/P63</f>
        <v>-954.83888249002223</v>
      </c>
      <c r="Q81" s="142">
        <f>(Q7+Q17-Q10-Q9)/Q63</f>
        <v>-862.31469440832245</v>
      </c>
      <c r="R81" s="118">
        <f>((Q81/H81)^(1/($I$2-$I$1) ))-1</f>
        <v>6.3990474202173964E-2</v>
      </c>
      <c r="S81" s="127"/>
      <c r="T81" s="156">
        <f>(T7+T17-T10-T9)/T63</f>
        <v>-1014.487875774497</v>
      </c>
      <c r="U81" s="156">
        <f>(U7+U17-U10-U9)/U63</f>
        <v>-1193.5151479699966</v>
      </c>
      <c r="V81" s="156">
        <f>(V7+V17-V10-V9)/V63</f>
        <v>-1404.1354681999956</v>
      </c>
      <c r="W81" s="156">
        <f>(W7+W17-W10-W9)/W63</f>
        <v>-1651.924080235289</v>
      </c>
      <c r="X81" s="156">
        <f>(X7+X17-X10-X9)/X63</f>
        <v>-1943.4400943944574</v>
      </c>
      <c r="Y81" s="156">
        <f>(Y7+Y17-Y10-Y9)/Y63</f>
        <v>-2286.4001110523027</v>
      </c>
      <c r="Z81" s="156">
        <f>(Z7+Z17-Z10-Z9)/Z63</f>
        <v>-2689.8824835909436</v>
      </c>
      <c r="AA81" s="156">
        <f>(AA7+AA17-AA10-AA9)/AA63</f>
        <v>-3164.567627754051</v>
      </c>
      <c r="AB81" s="156">
        <f>(AB7+AB17-AB10-AB9)/AB63</f>
        <v>-3723.0207385341778</v>
      </c>
      <c r="AC81" s="156">
        <f>(AC7+AC17-AC10-AC9)/AC63</f>
        <v>-4380.0243982755037</v>
      </c>
      <c r="AD81" s="136">
        <f>((AC81/H81)^(1/($AC$3-$I$1) ))-1</f>
        <v>0.11535346302890659</v>
      </c>
      <c r="AE81" s="31">
        <f t="shared" si="15"/>
        <v>0.05</v>
      </c>
      <c r="AF81" s="144">
        <f t="shared" si="143"/>
        <v>-27053.091871701643</v>
      </c>
    </row>
    <row r="82" spans="2:32" x14ac:dyDescent="0.2">
      <c r="B82" s="20"/>
      <c r="C82" s="126"/>
      <c r="D82" s="198"/>
      <c r="E82" s="126"/>
      <c r="F82" s="126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27"/>
      <c r="S82" s="127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37"/>
      <c r="AE82" s="135"/>
      <c r="AF82" s="153"/>
    </row>
    <row r="83" spans="2:32" x14ac:dyDescent="0.2">
      <c r="B83" s="20" t="s">
        <v>248</v>
      </c>
      <c r="C83" s="126">
        <f>C12/C63</f>
        <v>0</v>
      </c>
      <c r="D83" s="198"/>
      <c r="E83" s="126">
        <f>E12/E63</f>
        <v>0</v>
      </c>
      <c r="F83" s="126">
        <f>F12/F63</f>
        <v>0</v>
      </c>
      <c r="G83" s="142">
        <f>G12/G63</f>
        <v>0</v>
      </c>
      <c r="H83" s="142">
        <f>H12/H63</f>
        <v>0</v>
      </c>
      <c r="I83" s="142">
        <f>I12/I63</f>
        <v>0</v>
      </c>
      <c r="J83" s="142">
        <f>J12/J63</f>
        <v>0</v>
      </c>
      <c r="K83" s="142">
        <f>K12/K63</f>
        <v>0</v>
      </c>
      <c r="L83" s="142">
        <f>L12/L63</f>
        <v>0</v>
      </c>
      <c r="M83" s="142">
        <f>M12/M63</f>
        <v>0</v>
      </c>
      <c r="N83" s="142">
        <f>N12/N63</f>
        <v>0</v>
      </c>
      <c r="O83" s="142">
        <f>O12/O63</f>
        <v>0</v>
      </c>
      <c r="P83" s="142">
        <f>P12/P63</f>
        <v>0</v>
      </c>
      <c r="Q83" s="142">
        <f>Q12/Q63</f>
        <v>0</v>
      </c>
      <c r="R83" s="118" t="e">
        <f>((Q83/H83)^(1/($I$2-$I$1) ))-1</f>
        <v>#DIV/0!</v>
      </c>
      <c r="S83" s="127"/>
      <c r="T83" s="156">
        <f>T12/T63</f>
        <v>0</v>
      </c>
      <c r="U83" s="156">
        <f>U12/U63</f>
        <v>0</v>
      </c>
      <c r="V83" s="156">
        <f>V12/V63</f>
        <v>0</v>
      </c>
      <c r="W83" s="156">
        <f>W12/W63</f>
        <v>0</v>
      </c>
      <c r="X83" s="156">
        <f>X12/X63</f>
        <v>0</v>
      </c>
      <c r="Y83" s="156">
        <f>Y12/Y63</f>
        <v>0</v>
      </c>
      <c r="Z83" s="156">
        <f>Z12/Z63</f>
        <v>0</v>
      </c>
      <c r="AA83" s="156">
        <f>AA12/AA63</f>
        <v>0</v>
      </c>
      <c r="AB83" s="156">
        <f>AB12/AB63</f>
        <v>0</v>
      </c>
      <c r="AC83" s="156">
        <f>AC12/AC63</f>
        <v>0</v>
      </c>
      <c r="AD83" s="136" t="e">
        <f>((AC83/H83)^(1/($AC$3-$I$1) ))-1</f>
        <v>#DIV/0!</v>
      </c>
      <c r="AE83" s="31">
        <f t="shared" si="15"/>
        <v>0.05</v>
      </c>
      <c r="AF83" s="144">
        <f t="shared" si="143"/>
        <v>0</v>
      </c>
    </row>
    <row r="84" spans="2:32" x14ac:dyDescent="0.2">
      <c r="B84" s="20" t="s">
        <v>255</v>
      </c>
      <c r="C84" s="126">
        <f>C15/C63</f>
        <v>0</v>
      </c>
      <c r="D84" s="198"/>
      <c r="E84" s="126">
        <f>E15/E63</f>
        <v>0</v>
      </c>
      <c r="F84" s="126">
        <f>F15/F63</f>
        <v>0</v>
      </c>
      <c r="G84" s="142">
        <f>G15/G63</f>
        <v>606.55462184873943</v>
      </c>
      <c r="H84" s="142">
        <f>H15/H63</f>
        <v>219.38361719383616</v>
      </c>
      <c r="I84" s="142">
        <f>I15/I63</f>
        <v>162.89125524362697</v>
      </c>
      <c r="J84" s="142">
        <f>J15/J63</f>
        <v>279.9141367678626</v>
      </c>
      <c r="K84" s="142">
        <f>K15/K63</f>
        <v>364.74172954149736</v>
      </c>
      <c r="L84" s="142">
        <f>L15/L63</f>
        <v>385.21412037037032</v>
      </c>
      <c r="M84" s="142">
        <f>M15/M63</f>
        <v>559.72421717897157</v>
      </c>
      <c r="N84" s="142">
        <f>N15/N63</f>
        <v>353.49518911069794</v>
      </c>
      <c r="O84" s="142">
        <f>O15/O63</f>
        <v>427.41285478790695</v>
      </c>
      <c r="P84" s="142">
        <f>P15/P63</f>
        <v>547.86649880802509</v>
      </c>
      <c r="Q84" s="142">
        <f>Q15/Q63</f>
        <v>504.43433029908971</v>
      </c>
      <c r="R84" s="118">
        <f>((Q84/H84)^(1/($I$2-$I$1) ))-1</f>
        <v>9.6927253965895632E-2</v>
      </c>
      <c r="S84" s="127"/>
      <c r="T84" s="156">
        <f>T15/T63</f>
        <v>593.45215329304665</v>
      </c>
      <c r="U84" s="156">
        <f>U15/U63</f>
        <v>698.17900387417251</v>
      </c>
      <c r="V84" s="156">
        <f>V15/V63</f>
        <v>821.38706338137945</v>
      </c>
      <c r="W84" s="156">
        <f>W15/W63</f>
        <v>966.3377216251522</v>
      </c>
      <c r="X84" s="156">
        <f>X15/X63</f>
        <v>1136.8679077942966</v>
      </c>
      <c r="Y84" s="156">
        <f>Y15/Y63</f>
        <v>1337.4916562285841</v>
      </c>
      <c r="Z84" s="156">
        <f>Z15/Z63</f>
        <v>1573.51959556304</v>
      </c>
      <c r="AA84" s="156">
        <f>AA15/AA63</f>
        <v>1851.1995241918114</v>
      </c>
      <c r="AB84" s="156">
        <f>AB15/AB63</f>
        <v>2177.8817931668368</v>
      </c>
      <c r="AC84" s="156">
        <f>AC15/AC63</f>
        <v>2562.2138743139253</v>
      </c>
      <c r="AD84" s="136">
        <f>((AC84/H84)^(1/($AC$3-$I$1) ))-1</f>
        <v>0.13076031795919207</v>
      </c>
      <c r="AE84" s="31">
        <f t="shared" si="15"/>
        <v>0.05</v>
      </c>
      <c r="AF84" s="144">
        <f t="shared" si="143"/>
        <v>15825.438635468365</v>
      </c>
    </row>
    <row r="85" spans="2:32" x14ac:dyDescent="0.2">
      <c r="B85" s="20" t="s">
        <v>256</v>
      </c>
      <c r="C85" s="126">
        <f>(C83+C84)</f>
        <v>0</v>
      </c>
      <c r="D85" s="198"/>
      <c r="E85" s="126">
        <f t="shared" ref="E85:Q85" si="144">(E83+E84)</f>
        <v>0</v>
      </c>
      <c r="F85" s="126">
        <f t="shared" si="144"/>
        <v>0</v>
      </c>
      <c r="G85" s="142">
        <f t="shared" si="144"/>
        <v>606.55462184873943</v>
      </c>
      <c r="H85" s="142">
        <f t="shared" si="144"/>
        <v>219.38361719383616</v>
      </c>
      <c r="I85" s="142">
        <f t="shared" si="144"/>
        <v>162.89125524362697</v>
      </c>
      <c r="J85" s="142">
        <f t="shared" si="144"/>
        <v>279.9141367678626</v>
      </c>
      <c r="K85" s="142">
        <f t="shared" si="144"/>
        <v>364.74172954149736</v>
      </c>
      <c r="L85" s="142">
        <f t="shared" si="144"/>
        <v>385.21412037037032</v>
      </c>
      <c r="M85" s="142">
        <f t="shared" si="144"/>
        <v>559.72421717897157</v>
      </c>
      <c r="N85" s="142">
        <f t="shared" si="144"/>
        <v>353.49518911069794</v>
      </c>
      <c r="O85" s="142">
        <f t="shared" si="144"/>
        <v>427.41285478790695</v>
      </c>
      <c r="P85" s="142">
        <f t="shared" ref="P85" si="145">(P83+P84)</f>
        <v>547.86649880802509</v>
      </c>
      <c r="Q85" s="142">
        <f t="shared" si="144"/>
        <v>504.43433029908971</v>
      </c>
      <c r="R85" s="118">
        <f>((Q85/H85)^(1/($I$2-$I$1) ))-1</f>
        <v>9.6927253965895632E-2</v>
      </c>
      <c r="S85" s="127"/>
      <c r="T85" s="156">
        <f t="shared" ref="T85:AC85" si="146">(T83+T84)</f>
        <v>593.45215329304665</v>
      </c>
      <c r="U85" s="156">
        <f t="shared" si="146"/>
        <v>698.17900387417251</v>
      </c>
      <c r="V85" s="156">
        <f t="shared" si="146"/>
        <v>821.38706338137945</v>
      </c>
      <c r="W85" s="156">
        <f t="shared" si="146"/>
        <v>966.3377216251522</v>
      </c>
      <c r="X85" s="156">
        <f t="shared" si="146"/>
        <v>1136.8679077942966</v>
      </c>
      <c r="Y85" s="156">
        <f t="shared" si="146"/>
        <v>1337.4916562285841</v>
      </c>
      <c r="Z85" s="156">
        <f t="shared" si="146"/>
        <v>1573.51959556304</v>
      </c>
      <c r="AA85" s="156">
        <f t="shared" si="146"/>
        <v>1851.1995241918114</v>
      </c>
      <c r="AB85" s="156">
        <f t="shared" si="146"/>
        <v>2177.8817931668368</v>
      </c>
      <c r="AC85" s="156">
        <f t="shared" si="146"/>
        <v>2562.2138743139253</v>
      </c>
      <c r="AD85" s="136">
        <f>((AC85/H85)^(1/($AC$3-$I$1) ))-1</f>
        <v>0.13076031795919207</v>
      </c>
      <c r="AE85" s="31">
        <f t="shared" si="15"/>
        <v>0.05</v>
      </c>
      <c r="AF85" s="144">
        <f t="shared" si="143"/>
        <v>15825.438635468365</v>
      </c>
    </row>
    <row r="86" spans="2:32" x14ac:dyDescent="0.2">
      <c r="B86" s="20" t="s">
        <v>249</v>
      </c>
      <c r="C86" s="126">
        <f>C17/C63</f>
        <v>0</v>
      </c>
      <c r="D86" s="198"/>
      <c r="E86" s="126">
        <f>E17/E63</f>
        <v>0</v>
      </c>
      <c r="F86" s="126">
        <f>F17/F63</f>
        <v>0</v>
      </c>
      <c r="G86" s="142">
        <f>G17/G63</f>
        <v>0</v>
      </c>
      <c r="H86" s="142">
        <f>H17/H63</f>
        <v>0</v>
      </c>
      <c r="I86" s="142">
        <f>I17/I63</f>
        <v>0</v>
      </c>
      <c r="J86" s="142">
        <f>J17/J63</f>
        <v>0</v>
      </c>
      <c r="K86" s="142">
        <f>K17/K63</f>
        <v>0</v>
      </c>
      <c r="L86" s="142">
        <f>L17/L63</f>
        <v>0</v>
      </c>
      <c r="M86" s="142">
        <f>M17/M63</f>
        <v>0</v>
      </c>
      <c r="N86" s="142">
        <f>N17/N63</f>
        <v>0</v>
      </c>
      <c r="O86" s="142">
        <f>O17/O63</f>
        <v>0</v>
      </c>
      <c r="P86" s="142">
        <f>P17/P63</f>
        <v>0</v>
      </c>
      <c r="Q86" s="142">
        <f>Q17/Q63</f>
        <v>0</v>
      </c>
      <c r="R86" s="118" t="e">
        <f>((Q86/H86)^(1/($I$2-$I$1) ))-1</f>
        <v>#DIV/0!</v>
      </c>
      <c r="S86" s="127"/>
      <c r="T86" s="156">
        <f>T17/T63</f>
        <v>0</v>
      </c>
      <c r="U86" s="156">
        <f>U17/U63</f>
        <v>0</v>
      </c>
      <c r="V86" s="156">
        <f>V17/V63</f>
        <v>0</v>
      </c>
      <c r="W86" s="156">
        <f>W17/W63</f>
        <v>0</v>
      </c>
      <c r="X86" s="156">
        <f>X17/X63</f>
        <v>0</v>
      </c>
      <c r="Y86" s="156">
        <f>Y17/Y63</f>
        <v>0</v>
      </c>
      <c r="Z86" s="156">
        <f>Z17/Z63</f>
        <v>0</v>
      </c>
      <c r="AA86" s="156">
        <f>AA17/AA63</f>
        <v>0</v>
      </c>
      <c r="AB86" s="156">
        <f>AB17/AB63</f>
        <v>0</v>
      </c>
      <c r="AC86" s="156">
        <f>AC17/AC63</f>
        <v>0</v>
      </c>
      <c r="AD86" s="136" t="e">
        <f>((AC86/H86)^(1/($AC$3-$I$1) ))-1</f>
        <v>#DIV/0!</v>
      </c>
      <c r="AE86" s="31">
        <f t="shared" si="15"/>
        <v>0.05</v>
      </c>
      <c r="AF86" s="144">
        <f t="shared" si="143"/>
        <v>0</v>
      </c>
    </row>
    <row r="87" spans="2:32" x14ac:dyDescent="0.2">
      <c r="B87" s="20" t="s">
        <v>250</v>
      </c>
      <c r="C87" s="126">
        <f>C18/C63</f>
        <v>0</v>
      </c>
      <c r="D87" s="198"/>
      <c r="E87" s="126">
        <f>E18/E63</f>
        <v>0</v>
      </c>
      <c r="F87" s="126">
        <f>F18/F63</f>
        <v>0</v>
      </c>
      <c r="G87" s="142">
        <f>G18/G63</f>
        <v>0</v>
      </c>
      <c r="H87" s="142">
        <f>H18/H63</f>
        <v>0</v>
      </c>
      <c r="I87" s="142">
        <f>I18/I63</f>
        <v>0</v>
      </c>
      <c r="J87" s="142">
        <f>J18/J63</f>
        <v>0</v>
      </c>
      <c r="K87" s="142">
        <f>K18/K63</f>
        <v>0</v>
      </c>
      <c r="L87" s="142">
        <f>L18/L63</f>
        <v>0</v>
      </c>
      <c r="M87" s="142">
        <f>M18/M63</f>
        <v>0</v>
      </c>
      <c r="N87" s="142">
        <f>N18/N63</f>
        <v>0</v>
      </c>
      <c r="O87" s="142">
        <f>O18/O63</f>
        <v>0</v>
      </c>
      <c r="P87" s="142">
        <f>P18/P63</f>
        <v>0</v>
      </c>
      <c r="Q87" s="142">
        <f>Q18/Q63</f>
        <v>0</v>
      </c>
      <c r="R87" s="118" t="e">
        <f>((Q87/H87)^(1/($I$2-$I$1) ))-1</f>
        <v>#DIV/0!</v>
      </c>
      <c r="S87" s="127"/>
      <c r="T87" s="156">
        <f>T18/T63</f>
        <v>0</v>
      </c>
      <c r="U87" s="156">
        <f>U18/U63</f>
        <v>0</v>
      </c>
      <c r="V87" s="156">
        <f>V18/V63</f>
        <v>0</v>
      </c>
      <c r="W87" s="156">
        <f>W18/W63</f>
        <v>0</v>
      </c>
      <c r="X87" s="156">
        <f>X18/X63</f>
        <v>0</v>
      </c>
      <c r="Y87" s="156">
        <f>Y18/Y63</f>
        <v>0</v>
      </c>
      <c r="Z87" s="156">
        <f>Z18/Z63</f>
        <v>0</v>
      </c>
      <c r="AA87" s="156">
        <f>AA18/AA63</f>
        <v>0</v>
      </c>
      <c r="AB87" s="156">
        <f>AB18/AB63</f>
        <v>0</v>
      </c>
      <c r="AC87" s="156">
        <f>AC18/AC63</f>
        <v>0</v>
      </c>
      <c r="AD87" s="136" t="e">
        <f>((AC87/H87)^(1/($AC$3-$I$1) ))-1</f>
        <v>#DIV/0!</v>
      </c>
      <c r="AE87" s="31">
        <f t="shared" si="15"/>
        <v>0.05</v>
      </c>
      <c r="AF87" s="144">
        <f t="shared" si="143"/>
        <v>0</v>
      </c>
    </row>
    <row r="88" spans="2:32" x14ac:dyDescent="0.2">
      <c r="B88" s="20"/>
      <c r="C88" s="126"/>
      <c r="D88" s="198"/>
      <c r="E88" s="126"/>
      <c r="F88" s="126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27"/>
      <c r="S88" s="127"/>
      <c r="T88" s="153"/>
      <c r="U88" s="153"/>
      <c r="V88" s="153"/>
      <c r="W88" s="153"/>
      <c r="X88" s="153"/>
      <c r="Y88" s="153"/>
      <c r="Z88" s="153"/>
      <c r="AA88" s="153"/>
      <c r="AB88" s="153"/>
      <c r="AC88" s="153"/>
      <c r="AD88" s="137"/>
      <c r="AE88" s="137"/>
      <c r="AF88" s="144">
        <f t="shared" si="143"/>
        <v>0</v>
      </c>
    </row>
    <row r="89" spans="2:32" x14ac:dyDescent="0.2">
      <c r="B89" s="20" t="s">
        <v>283</v>
      </c>
      <c r="C89" s="158">
        <f>C65</f>
        <v>1</v>
      </c>
      <c r="D89" s="158"/>
      <c r="E89" s="158">
        <f t="shared" ref="E89:Q89" si="147">E65</f>
        <v>1</v>
      </c>
      <c r="F89" s="158">
        <f t="shared" si="147"/>
        <v>1</v>
      </c>
      <c r="G89" s="158">
        <f t="shared" si="147"/>
        <v>2.4</v>
      </c>
      <c r="H89" s="158">
        <f t="shared" si="147"/>
        <v>1.25</v>
      </c>
      <c r="I89" s="158">
        <f t="shared" si="147"/>
        <v>0.6</v>
      </c>
      <c r="J89" s="158">
        <f t="shared" si="147"/>
        <v>0.7</v>
      </c>
      <c r="K89" s="158">
        <f t="shared" si="147"/>
        <v>0.75</v>
      </c>
      <c r="L89" s="158">
        <f t="shared" si="147"/>
        <v>0.75</v>
      </c>
      <c r="M89" s="158">
        <f t="shared" si="147"/>
        <v>0.85</v>
      </c>
      <c r="N89" s="158">
        <f t="shared" si="147"/>
        <v>0.5</v>
      </c>
      <c r="O89" s="158">
        <f t="shared" si="147"/>
        <v>0.6</v>
      </c>
      <c r="P89" s="158">
        <f t="shared" si="147"/>
        <v>0.7</v>
      </c>
      <c r="Q89" s="158">
        <f t="shared" si="147"/>
        <v>0.8</v>
      </c>
      <c r="R89" s="118">
        <f>((Q89/H89)^(1/($I$2-$I$1) ))-1</f>
        <v>-4.8378070405345586E-2</v>
      </c>
      <c r="S89" s="127"/>
      <c r="T89" s="158">
        <f t="shared" ref="T89:AC89" si="148">T65</f>
        <v>0.84000000000000008</v>
      </c>
      <c r="U89" s="158">
        <f t="shared" si="148"/>
        <v>0.88200000000000012</v>
      </c>
      <c r="V89" s="158">
        <f t="shared" si="148"/>
        <v>0.92610000000000015</v>
      </c>
      <c r="W89" s="158">
        <f t="shared" si="148"/>
        <v>0.97240500000000019</v>
      </c>
      <c r="X89" s="158">
        <f t="shared" si="148"/>
        <v>1.0210252500000003</v>
      </c>
      <c r="Y89" s="158">
        <f t="shared" si="148"/>
        <v>1.0720765125000005</v>
      </c>
      <c r="Z89" s="158">
        <f t="shared" si="148"/>
        <v>1.1256803381250005</v>
      </c>
      <c r="AA89" s="158">
        <f t="shared" si="148"/>
        <v>1.1819643550312506</v>
      </c>
      <c r="AB89" s="158">
        <f t="shared" si="148"/>
        <v>1.2410625727828133</v>
      </c>
      <c r="AC89" s="158">
        <f t="shared" si="148"/>
        <v>1.3031157014219541</v>
      </c>
      <c r="AD89" s="136">
        <f>((AC89/H89)^(1/($AC$3-$I$1) ))-1</f>
        <v>2.0828931677951967E-3</v>
      </c>
      <c r="AE89" s="31">
        <f t="shared" si="15"/>
        <v>0.05</v>
      </c>
      <c r="AF89" s="144">
        <f t="shared" si="143"/>
        <v>8.0486558029003064</v>
      </c>
    </row>
    <row r="90" spans="2:32" x14ac:dyDescent="0.2">
      <c r="B90" s="20"/>
      <c r="C90" s="126"/>
      <c r="D90" s="198"/>
      <c r="E90" s="126"/>
      <c r="F90" s="126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27"/>
      <c r="S90" s="127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37"/>
      <c r="AE90" s="135"/>
      <c r="AF90" s="153"/>
    </row>
    <row r="91" spans="2:32" x14ac:dyDescent="0.2">
      <c r="B91" s="20" t="s">
        <v>318</v>
      </c>
      <c r="C91" s="126">
        <f>C25+C26</f>
        <v>0</v>
      </c>
      <c r="D91" s="198"/>
      <c r="E91" s="126">
        <f>E25+E26</f>
        <v>0</v>
      </c>
      <c r="F91" s="126">
        <f>F25+F26</f>
        <v>0</v>
      </c>
      <c r="G91" s="142">
        <f>G25+G26</f>
        <v>0</v>
      </c>
      <c r="H91" s="142">
        <f>H25+H26</f>
        <v>0</v>
      </c>
      <c r="I91" s="142">
        <f>I25+I26</f>
        <v>0</v>
      </c>
      <c r="J91" s="142">
        <f>J25+J26</f>
        <v>0</v>
      </c>
      <c r="K91" s="142">
        <f>K25+K26</f>
        <v>0</v>
      </c>
      <c r="L91" s="142">
        <f>L25+L26</f>
        <v>0</v>
      </c>
      <c r="M91" s="142">
        <f>M25+M26</f>
        <v>0</v>
      </c>
      <c r="N91" s="142">
        <f>N25+N26</f>
        <v>0</v>
      </c>
      <c r="O91" s="142">
        <f>O25+O26</f>
        <v>0</v>
      </c>
      <c r="P91" s="142">
        <f>P25+P26</f>
        <v>0</v>
      </c>
      <c r="Q91" s="142">
        <f>Q25+Q26</f>
        <v>0</v>
      </c>
      <c r="R91" s="118" t="e">
        <f>((Q91/H91)^(1/($I$2-$I$1) ))-1</f>
        <v>#DIV/0!</v>
      </c>
      <c r="S91" s="127"/>
      <c r="T91" s="142">
        <f>T25+T26</f>
        <v>0</v>
      </c>
      <c r="U91" s="142">
        <f>U25+U26</f>
        <v>0</v>
      </c>
      <c r="V91" s="142">
        <f>V25+V26</f>
        <v>0</v>
      </c>
      <c r="W91" s="142">
        <f>W25+W26</f>
        <v>0</v>
      </c>
      <c r="X91" s="142">
        <f>X25+X26</f>
        <v>0</v>
      </c>
      <c r="Y91" s="142">
        <f>Y25+Y26</f>
        <v>0</v>
      </c>
      <c r="Z91" s="142">
        <f>Z25+Z26</f>
        <v>0</v>
      </c>
      <c r="AA91" s="142">
        <f>AA25+AA26</f>
        <v>0</v>
      </c>
      <c r="AB91" s="142">
        <f>AB25+AB26</f>
        <v>0</v>
      </c>
      <c r="AC91" s="142">
        <f>AC25+AC26</f>
        <v>0</v>
      </c>
      <c r="AD91" s="136" t="e">
        <f>((AC91/H91)^(1/($AC$3-$I$1) ))-1</f>
        <v>#DIV/0!</v>
      </c>
      <c r="AE91" s="31">
        <f t="shared" si="15"/>
        <v>0.05</v>
      </c>
      <c r="AF91" s="144">
        <f t="shared" si="143"/>
        <v>0</v>
      </c>
    </row>
    <row r="92" spans="2:32" x14ac:dyDescent="0.2">
      <c r="B92" s="20"/>
      <c r="C92" s="126"/>
      <c r="D92" s="198"/>
      <c r="E92" s="126"/>
      <c r="F92" s="126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27"/>
      <c r="S92" s="127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37"/>
      <c r="AE92" s="135"/>
      <c r="AF92" s="144"/>
    </row>
    <row r="93" spans="2:32" x14ac:dyDescent="0.2">
      <c r="B93" s="20" t="s">
        <v>319</v>
      </c>
      <c r="C93" s="126">
        <f>C91/C63</f>
        <v>0</v>
      </c>
      <c r="D93" s="198"/>
      <c r="E93" s="126">
        <f t="shared" ref="E93:Q93" si="149">E91/E63</f>
        <v>0</v>
      </c>
      <c r="F93" s="126">
        <f t="shared" si="149"/>
        <v>0</v>
      </c>
      <c r="G93" s="142">
        <f t="shared" si="149"/>
        <v>0</v>
      </c>
      <c r="H93" s="142">
        <f t="shared" si="149"/>
        <v>0</v>
      </c>
      <c r="I93" s="142">
        <f t="shared" si="149"/>
        <v>0</v>
      </c>
      <c r="J93" s="142">
        <f t="shared" si="149"/>
        <v>0</v>
      </c>
      <c r="K93" s="142">
        <f t="shared" si="149"/>
        <v>0</v>
      </c>
      <c r="L93" s="142">
        <f t="shared" si="149"/>
        <v>0</v>
      </c>
      <c r="M93" s="142">
        <f t="shared" si="149"/>
        <v>0</v>
      </c>
      <c r="N93" s="142">
        <f t="shared" si="149"/>
        <v>0</v>
      </c>
      <c r="O93" s="142">
        <f t="shared" si="149"/>
        <v>0</v>
      </c>
      <c r="P93" s="142">
        <f t="shared" si="149"/>
        <v>0</v>
      </c>
      <c r="Q93" s="142">
        <f t="shared" si="149"/>
        <v>0</v>
      </c>
      <c r="R93" s="118" t="e">
        <f>((Q93/H93)^(1/($I$2-$I$1) ))-1</f>
        <v>#DIV/0!</v>
      </c>
      <c r="S93" s="127"/>
      <c r="T93" s="144">
        <f t="shared" ref="T93:AC93" si="150">T91/T63</f>
        <v>0</v>
      </c>
      <c r="U93" s="144">
        <f t="shared" si="150"/>
        <v>0</v>
      </c>
      <c r="V93" s="144">
        <f t="shared" si="150"/>
        <v>0</v>
      </c>
      <c r="W93" s="144">
        <f t="shared" si="150"/>
        <v>0</v>
      </c>
      <c r="X93" s="144">
        <f t="shared" si="150"/>
        <v>0</v>
      </c>
      <c r="Y93" s="144">
        <f t="shared" si="150"/>
        <v>0</v>
      </c>
      <c r="Z93" s="144">
        <f t="shared" si="150"/>
        <v>0</v>
      </c>
      <c r="AA93" s="144">
        <f t="shared" si="150"/>
        <v>0</v>
      </c>
      <c r="AB93" s="144">
        <f t="shared" si="150"/>
        <v>0</v>
      </c>
      <c r="AC93" s="144">
        <f t="shared" si="150"/>
        <v>0</v>
      </c>
      <c r="AD93" s="136" t="e">
        <f>((AC93/H93)^(1/($AC$3-$I$1) ))-1</f>
        <v>#DIV/0!</v>
      </c>
      <c r="AE93" s="31">
        <f t="shared" si="15"/>
        <v>0.05</v>
      </c>
      <c r="AF93" s="144">
        <f t="shared" si="143"/>
        <v>0</v>
      </c>
    </row>
    <row r="94" spans="2:32" x14ac:dyDescent="0.2">
      <c r="B94" s="20" t="s">
        <v>288</v>
      </c>
      <c r="C94" s="126">
        <f>C25/C63</f>
        <v>0</v>
      </c>
      <c r="D94" s="198"/>
      <c r="E94" s="126">
        <f>E25/E63</f>
        <v>0</v>
      </c>
      <c r="F94" s="126">
        <f>F25/F63</f>
        <v>0</v>
      </c>
      <c r="G94" s="142">
        <f>G25/G63</f>
        <v>0</v>
      </c>
      <c r="H94" s="142">
        <f>H25/H63</f>
        <v>0</v>
      </c>
      <c r="I94" s="142">
        <f>I25/I63</f>
        <v>0</v>
      </c>
      <c r="J94" s="142">
        <f>J25/J63</f>
        <v>0</v>
      </c>
      <c r="K94" s="142">
        <f>K25/K63</f>
        <v>0</v>
      </c>
      <c r="L94" s="142">
        <f>L25/L63</f>
        <v>0</v>
      </c>
      <c r="M94" s="142">
        <f>M25/M63</f>
        <v>0</v>
      </c>
      <c r="N94" s="142">
        <f>N25/N63</f>
        <v>0</v>
      </c>
      <c r="O94" s="142">
        <f>O25/O63</f>
        <v>0</v>
      </c>
      <c r="P94" s="142">
        <f>P25/P63</f>
        <v>0</v>
      </c>
      <c r="Q94" s="142">
        <f>Q25/Q63</f>
        <v>0</v>
      </c>
      <c r="R94" s="118" t="e">
        <f>((Q94/H94)^(1/($I$2-$I$1) ))-1</f>
        <v>#DIV/0!</v>
      </c>
      <c r="S94" s="127"/>
      <c r="T94" s="144">
        <f>T25/T63</f>
        <v>0</v>
      </c>
      <c r="U94" s="144">
        <f>U25/U63</f>
        <v>0</v>
      </c>
      <c r="V94" s="144">
        <f>V25/V63</f>
        <v>0</v>
      </c>
      <c r="W94" s="144">
        <f>W25/W63</f>
        <v>0</v>
      </c>
      <c r="X94" s="144">
        <f>X25/X63</f>
        <v>0</v>
      </c>
      <c r="Y94" s="144">
        <f>Y25/Y63</f>
        <v>0</v>
      </c>
      <c r="Z94" s="144">
        <f>Z25/Z63</f>
        <v>0</v>
      </c>
      <c r="AA94" s="144">
        <f>AA25/AA63</f>
        <v>0</v>
      </c>
      <c r="AB94" s="144">
        <f>AB25/AB63</f>
        <v>0</v>
      </c>
      <c r="AC94" s="144">
        <f>AC25/AC63</f>
        <v>0</v>
      </c>
      <c r="AD94" s="136" t="e">
        <f>((AC94/H94)^(1/($AC$3-$I$1) ))-1</f>
        <v>#DIV/0!</v>
      </c>
      <c r="AE94" s="31">
        <f t="shared" si="15"/>
        <v>0.05</v>
      </c>
      <c r="AF94" s="144">
        <f t="shared" si="143"/>
        <v>0</v>
      </c>
    </row>
    <row r="95" spans="2:32" x14ac:dyDescent="0.2">
      <c r="B95" s="20" t="s">
        <v>289</v>
      </c>
      <c r="C95" s="126">
        <f>C26/C63</f>
        <v>0</v>
      </c>
      <c r="D95" s="198"/>
      <c r="E95" s="126">
        <f>E26/E63</f>
        <v>0</v>
      </c>
      <c r="F95" s="126">
        <f>F26/F63</f>
        <v>0</v>
      </c>
      <c r="G95" s="142">
        <f>G26/G63</f>
        <v>0</v>
      </c>
      <c r="H95" s="142">
        <f>H26/H63</f>
        <v>0</v>
      </c>
      <c r="I95" s="142">
        <f>I26/I63</f>
        <v>0</v>
      </c>
      <c r="J95" s="142">
        <f>J26/J63</f>
        <v>0</v>
      </c>
      <c r="K95" s="142">
        <f>K26/K63</f>
        <v>0</v>
      </c>
      <c r="L95" s="142">
        <f>L26/L63</f>
        <v>0</v>
      </c>
      <c r="M95" s="142">
        <f>M26/M63</f>
        <v>0</v>
      </c>
      <c r="N95" s="142">
        <f>N26/N63</f>
        <v>0</v>
      </c>
      <c r="O95" s="142">
        <f>O26/O63</f>
        <v>0</v>
      </c>
      <c r="P95" s="142">
        <f>P26/P63</f>
        <v>0</v>
      </c>
      <c r="Q95" s="142">
        <f>Q26/Q63</f>
        <v>0</v>
      </c>
      <c r="R95" s="118" t="e">
        <f>((Q95/H95)^(1/($I$2-$I$1) ))-1</f>
        <v>#DIV/0!</v>
      </c>
      <c r="S95" s="127"/>
      <c r="T95" s="144">
        <f>T26/T63</f>
        <v>0</v>
      </c>
      <c r="U95" s="144">
        <f>U26/U63</f>
        <v>0</v>
      </c>
      <c r="V95" s="144">
        <f>V26/V63</f>
        <v>0</v>
      </c>
      <c r="W95" s="144">
        <f>W26/W63</f>
        <v>0</v>
      </c>
      <c r="X95" s="144">
        <f>X26/X63</f>
        <v>0</v>
      </c>
      <c r="Y95" s="144">
        <f>Y26/Y63</f>
        <v>0</v>
      </c>
      <c r="Z95" s="144">
        <f>Z26/Z63</f>
        <v>0</v>
      </c>
      <c r="AA95" s="144">
        <f>AA26/AA63</f>
        <v>0</v>
      </c>
      <c r="AB95" s="144">
        <f>AB26/AB63</f>
        <v>0</v>
      </c>
      <c r="AC95" s="144">
        <f>AC26/AC63</f>
        <v>0</v>
      </c>
      <c r="AD95" s="136" t="e">
        <f>((AC95/H95)^(1/($AC$3-$I$1) ))-1</f>
        <v>#DIV/0!</v>
      </c>
      <c r="AE95" s="31">
        <f t="shared" si="15"/>
        <v>0.05</v>
      </c>
      <c r="AF95" s="144">
        <f t="shared" si="143"/>
        <v>0</v>
      </c>
    </row>
    <row r="96" spans="2:32" x14ac:dyDescent="0.2">
      <c r="B96" s="20" t="s">
        <v>290</v>
      </c>
      <c r="C96" s="126">
        <f>C27/C63</f>
        <v>0</v>
      </c>
      <c r="D96" s="198"/>
      <c r="E96" s="126">
        <f>E27/E63</f>
        <v>0</v>
      </c>
      <c r="F96" s="126">
        <f>F27/F63</f>
        <v>0</v>
      </c>
      <c r="G96" s="142">
        <f>G27/G63</f>
        <v>0</v>
      </c>
      <c r="H96" s="142">
        <f>H27/H63</f>
        <v>0</v>
      </c>
      <c r="I96" s="142">
        <f>I27/I63</f>
        <v>0</v>
      </c>
      <c r="J96" s="142">
        <f>J27/J63</f>
        <v>0</v>
      </c>
      <c r="K96" s="142">
        <f>K27/K63</f>
        <v>0</v>
      </c>
      <c r="L96" s="142">
        <f>L27/L63</f>
        <v>0</v>
      </c>
      <c r="M96" s="142">
        <f>M27/M63</f>
        <v>0</v>
      </c>
      <c r="N96" s="142">
        <f>N27/N63</f>
        <v>0</v>
      </c>
      <c r="O96" s="142">
        <f>O27/O63</f>
        <v>0</v>
      </c>
      <c r="P96" s="142">
        <f>P27/P63</f>
        <v>0</v>
      </c>
      <c r="Q96" s="142">
        <f>Q27/Q63</f>
        <v>0</v>
      </c>
      <c r="R96" s="118" t="e">
        <f>((Q96/H96)^(1/($I$2-$I$1) ))-1</f>
        <v>#DIV/0!</v>
      </c>
      <c r="S96" s="127"/>
      <c r="T96" s="144">
        <f>T27/T63</f>
        <v>0</v>
      </c>
      <c r="U96" s="144">
        <f>U27/U63</f>
        <v>0</v>
      </c>
      <c r="V96" s="144">
        <f>V27/V63</f>
        <v>0</v>
      </c>
      <c r="W96" s="144">
        <f>W27/W63</f>
        <v>0</v>
      </c>
      <c r="X96" s="144">
        <f>X27/X63</f>
        <v>0</v>
      </c>
      <c r="Y96" s="144">
        <f>Y27/Y63</f>
        <v>0</v>
      </c>
      <c r="Z96" s="144">
        <f>Z27/Z63</f>
        <v>0</v>
      </c>
      <c r="AA96" s="144">
        <f>AA27/AA63</f>
        <v>0</v>
      </c>
      <c r="AB96" s="144">
        <f>AB27/AB63</f>
        <v>0</v>
      </c>
      <c r="AC96" s="144">
        <f>AC27/AC63</f>
        <v>0</v>
      </c>
      <c r="AD96" s="136" t="e">
        <f>((AC96/H96)^(1/($AC$3-$I$1) ))-1</f>
        <v>#DIV/0!</v>
      </c>
      <c r="AE96" s="31">
        <f t="shared" si="15"/>
        <v>0.05</v>
      </c>
      <c r="AF96" s="144">
        <f t="shared" si="143"/>
        <v>0</v>
      </c>
    </row>
    <row r="97" spans="2:32" x14ac:dyDescent="0.2">
      <c r="B97" s="20" t="s">
        <v>297</v>
      </c>
      <c r="C97" s="126">
        <f>C28/C63</f>
        <v>0</v>
      </c>
      <c r="D97" s="198"/>
      <c r="E97" s="126">
        <f>E28/E63</f>
        <v>0</v>
      </c>
      <c r="F97" s="126">
        <f>F28/F63</f>
        <v>0</v>
      </c>
      <c r="G97" s="142">
        <f>G28/G63</f>
        <v>0</v>
      </c>
      <c r="H97" s="142">
        <f>H28/H63</f>
        <v>0</v>
      </c>
      <c r="I97" s="142">
        <f>I28/I63</f>
        <v>0</v>
      </c>
      <c r="J97" s="142">
        <f>J28/J63</f>
        <v>0</v>
      </c>
      <c r="K97" s="142">
        <f>K28/K63</f>
        <v>0</v>
      </c>
      <c r="L97" s="142">
        <f>L28/L63</f>
        <v>0</v>
      </c>
      <c r="M97" s="142">
        <f>M28/M63</f>
        <v>0</v>
      </c>
      <c r="N97" s="142">
        <f>N28/N63</f>
        <v>0</v>
      </c>
      <c r="O97" s="142">
        <f>O28/O63</f>
        <v>0</v>
      </c>
      <c r="P97" s="142">
        <f>P28/P63</f>
        <v>0</v>
      </c>
      <c r="Q97" s="142">
        <f>Q28/Q63</f>
        <v>0</v>
      </c>
      <c r="R97" s="118" t="e">
        <f>((Q97/H97)^(1/($I$2-$I$1) ))-1</f>
        <v>#DIV/0!</v>
      </c>
      <c r="S97" s="127"/>
      <c r="T97" s="144">
        <f>T28/T63</f>
        <v>0</v>
      </c>
      <c r="U97" s="144">
        <f>U28/U63</f>
        <v>0</v>
      </c>
      <c r="V97" s="144">
        <f>V28/V63</f>
        <v>0</v>
      </c>
      <c r="W97" s="144">
        <f>W28/W63</f>
        <v>0</v>
      </c>
      <c r="X97" s="144">
        <f>X28/X63</f>
        <v>0</v>
      </c>
      <c r="Y97" s="144">
        <f>Y28/Y63</f>
        <v>0</v>
      </c>
      <c r="Z97" s="144">
        <f>Z28/Z63</f>
        <v>0</v>
      </c>
      <c r="AA97" s="144">
        <f>AA28/AA63</f>
        <v>0</v>
      </c>
      <c r="AB97" s="144">
        <f>AB28/AB63</f>
        <v>0</v>
      </c>
      <c r="AC97" s="144">
        <f>AC28/AC63</f>
        <v>0</v>
      </c>
      <c r="AD97" s="136" t="e">
        <f>((AC97/H97)^(1/($AC$3-$I$1) ))-1</f>
        <v>#DIV/0!</v>
      </c>
      <c r="AE97" s="31">
        <f t="shared" si="15"/>
        <v>0.05</v>
      </c>
      <c r="AF97" s="144">
        <f t="shared" si="143"/>
        <v>0</v>
      </c>
    </row>
    <row r="98" spans="2:32" x14ac:dyDescent="0.2">
      <c r="B98" s="20"/>
      <c r="C98" s="126"/>
      <c r="D98" s="198"/>
      <c r="E98" s="126"/>
      <c r="F98" s="126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27"/>
      <c r="S98" s="127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37"/>
      <c r="AE98" s="135"/>
      <c r="AF98" s="153"/>
    </row>
    <row r="99" spans="2:32" x14ac:dyDescent="0.2">
      <c r="B99" s="20" t="s">
        <v>312</v>
      </c>
      <c r="C99" s="142">
        <f>C57/C63</f>
        <v>0</v>
      </c>
      <c r="D99" s="142"/>
      <c r="E99" s="142">
        <f t="shared" ref="E99:Q99" si="151">E57/E63</f>
        <v>0</v>
      </c>
      <c r="F99" s="142">
        <f t="shared" si="151"/>
        <v>0</v>
      </c>
      <c r="G99" s="142">
        <f t="shared" si="151"/>
        <v>0</v>
      </c>
      <c r="H99" s="142">
        <f t="shared" si="151"/>
        <v>0</v>
      </c>
      <c r="I99" s="142">
        <f t="shared" si="151"/>
        <v>0</v>
      </c>
      <c r="J99" s="142">
        <f t="shared" si="151"/>
        <v>0</v>
      </c>
      <c r="K99" s="142">
        <f t="shared" si="151"/>
        <v>0</v>
      </c>
      <c r="L99" s="142">
        <f t="shared" si="151"/>
        <v>0</v>
      </c>
      <c r="M99" s="142">
        <f t="shared" si="151"/>
        <v>0</v>
      </c>
      <c r="N99" s="142">
        <f t="shared" si="151"/>
        <v>0</v>
      </c>
      <c r="O99" s="142">
        <f t="shared" si="151"/>
        <v>0</v>
      </c>
      <c r="P99" s="142">
        <f t="shared" si="151"/>
        <v>0</v>
      </c>
      <c r="Q99" s="142">
        <f t="shared" si="151"/>
        <v>0</v>
      </c>
      <c r="R99" s="118" t="e">
        <f>((Q99/H99)^(1/($I$2-$I$1) ))-1</f>
        <v>#DIV/0!</v>
      </c>
      <c r="S99" s="127"/>
      <c r="T99" s="142">
        <f t="shared" ref="T99:AC99" si="152">T57/T63</f>
        <v>0</v>
      </c>
      <c r="U99" s="142">
        <f t="shared" si="152"/>
        <v>0</v>
      </c>
      <c r="V99" s="142">
        <f t="shared" si="152"/>
        <v>0</v>
      </c>
      <c r="W99" s="142">
        <f t="shared" si="152"/>
        <v>0</v>
      </c>
      <c r="X99" s="142">
        <f t="shared" si="152"/>
        <v>0</v>
      </c>
      <c r="Y99" s="142">
        <f t="shared" si="152"/>
        <v>0</v>
      </c>
      <c r="Z99" s="142">
        <f t="shared" si="152"/>
        <v>0</v>
      </c>
      <c r="AA99" s="142">
        <f t="shared" si="152"/>
        <v>0</v>
      </c>
      <c r="AB99" s="142">
        <f t="shared" si="152"/>
        <v>0</v>
      </c>
      <c r="AC99" s="142">
        <f t="shared" si="152"/>
        <v>0</v>
      </c>
      <c r="AD99" s="136" t="e">
        <f>((AC99/H99)^(1/($AC$3-$I$1) ))-1</f>
        <v>#DIV/0!</v>
      </c>
      <c r="AE99" s="31">
        <f t="shared" si="15"/>
        <v>0.05</v>
      </c>
      <c r="AF99" s="144">
        <f t="shared" si="143"/>
        <v>0</v>
      </c>
    </row>
    <row r="100" spans="2:32" x14ac:dyDescent="0.2">
      <c r="B100" s="20" t="s">
        <v>313</v>
      </c>
      <c r="C100" s="142">
        <f>C61/C63</f>
        <v>0</v>
      </c>
      <c r="D100" s="142"/>
      <c r="E100" s="142">
        <f t="shared" ref="E100:Q100" si="153">E61/E63</f>
        <v>0</v>
      </c>
      <c r="F100" s="142">
        <f t="shared" si="153"/>
        <v>0</v>
      </c>
      <c r="G100" s="142">
        <f t="shared" si="153"/>
        <v>33.680672268907564</v>
      </c>
      <c r="H100" s="142">
        <f t="shared" si="153"/>
        <v>15.733982157339822</v>
      </c>
      <c r="I100" s="142">
        <f t="shared" si="153"/>
        <v>17.070022587931593</v>
      </c>
      <c r="J100" s="142">
        <f t="shared" si="153"/>
        <v>16.068690585709906</v>
      </c>
      <c r="K100" s="142">
        <f t="shared" si="153"/>
        <v>27.800348229831688</v>
      </c>
      <c r="L100" s="142">
        <f t="shared" si="153"/>
        <v>18.86574074074074</v>
      </c>
      <c r="M100" s="142">
        <f t="shared" si="153"/>
        <v>38.121229531743751</v>
      </c>
      <c r="N100" s="142">
        <f t="shared" si="153"/>
        <v>21.292765345311928</v>
      </c>
      <c r="O100" s="142">
        <f t="shared" si="153"/>
        <v>24.976744625612099</v>
      </c>
      <c r="P100" s="142">
        <f t="shared" si="153"/>
        <v>29.51812069750623</v>
      </c>
      <c r="Q100" s="142">
        <f t="shared" si="153"/>
        <v>32.652795838751622</v>
      </c>
      <c r="R100" s="118">
        <f>((Q100/H100)^(1/($I$2-$I$1) ))-1</f>
        <v>8.4504359601854429E-2</v>
      </c>
      <c r="S100" s="127"/>
      <c r="T100" s="142">
        <f t="shared" ref="T100:AC100" si="154">T61/T63</f>
        <v>38.415053927943084</v>
      </c>
      <c r="U100" s="142">
        <f t="shared" si="154"/>
        <v>45.19418109169775</v>
      </c>
      <c r="V100" s="142">
        <f t="shared" si="154"/>
        <v>53.169624813762063</v>
      </c>
      <c r="W100" s="142">
        <f t="shared" si="154"/>
        <v>62.55249978089654</v>
      </c>
      <c r="X100" s="142">
        <f t="shared" si="154"/>
        <v>73.591176212819448</v>
      </c>
      <c r="Y100" s="142">
        <f t="shared" si="154"/>
        <v>86.577854368022869</v>
      </c>
      <c r="Z100" s="142">
        <f t="shared" si="154"/>
        <v>101.85629925649748</v>
      </c>
      <c r="AA100" s="142">
        <f t="shared" si="154"/>
        <v>119.83094030176173</v>
      </c>
      <c r="AB100" s="142">
        <f t="shared" si="154"/>
        <v>140.97757682560203</v>
      </c>
      <c r="AC100" s="142">
        <f t="shared" si="154"/>
        <v>165.85597273600237</v>
      </c>
      <c r="AD100" s="136">
        <f>((AC100/H100)^(1/($AC$3-$I$1) ))-1</f>
        <v>0.12497953770784931</v>
      </c>
      <c r="AE100" s="31">
        <f t="shared" si="15"/>
        <v>0.05</v>
      </c>
      <c r="AF100" s="144">
        <f t="shared" si="143"/>
        <v>1024.4045374870736</v>
      </c>
    </row>
    <row r="101" spans="2:32" x14ac:dyDescent="0.2">
      <c r="B101" s="20" t="s">
        <v>314</v>
      </c>
      <c r="C101" s="142">
        <f>C6/C63</f>
        <v>0</v>
      </c>
      <c r="D101" s="142"/>
      <c r="E101" s="142">
        <f>E6/E63</f>
        <v>0</v>
      </c>
      <c r="F101" s="142">
        <f>F6/F63</f>
        <v>0</v>
      </c>
      <c r="G101" s="142">
        <f>G6/G63</f>
        <v>197.64705882352939</v>
      </c>
      <c r="H101" s="142">
        <f>H6/H63</f>
        <v>108.9213300892133</v>
      </c>
      <c r="I101" s="142">
        <f>I6/I63</f>
        <v>62.891255243626979</v>
      </c>
      <c r="J101" s="142">
        <f>J6/J63</f>
        <v>90.003066544004909</v>
      </c>
      <c r="K101" s="142">
        <f>K6/K63</f>
        <v>158.9959373186303</v>
      </c>
      <c r="L101" s="142">
        <f>L6/L63</f>
        <v>181.36574074074073</v>
      </c>
      <c r="M101" s="142">
        <f>M6/M63</f>
        <v>218.81643205975294</v>
      </c>
      <c r="N101" s="142">
        <f>N6/N63</f>
        <v>143.77027155400546</v>
      </c>
      <c r="O101" s="142">
        <f>O6/O63</f>
        <v>169.16681630211872</v>
      </c>
      <c r="P101" s="142">
        <f>P6/P63</f>
        <v>199.23392173144404</v>
      </c>
      <c r="Q101" s="142">
        <f>Q6/Q63</f>
        <v>243.04291287386215</v>
      </c>
      <c r="R101" s="118">
        <f>((Q101/H101)^(1/($I$2-$I$1) ))-1</f>
        <v>9.3276474315929558E-2</v>
      </c>
      <c r="S101" s="127"/>
      <c r="T101" s="142">
        <f>T6/T63</f>
        <v>285.93283867513196</v>
      </c>
      <c r="U101" s="142">
        <f>U6/U63</f>
        <v>336.39157491191992</v>
      </c>
      <c r="V101" s="142">
        <f>V6/V63</f>
        <v>395.75479401402345</v>
      </c>
      <c r="W101" s="142">
        <f>W6/W63</f>
        <v>465.59387531061577</v>
      </c>
      <c r="X101" s="142">
        <f>X6/X63</f>
        <v>547.75750036543025</v>
      </c>
      <c r="Y101" s="142">
        <f>Y6/Y63</f>
        <v>644.42058866521211</v>
      </c>
      <c r="Z101" s="142">
        <f>Z6/Z63</f>
        <v>758.14186901789651</v>
      </c>
      <c r="AA101" s="142">
        <f>AA6/AA63</f>
        <v>891.93161060928992</v>
      </c>
      <c r="AB101" s="142">
        <f>AB6/AB63</f>
        <v>1049.3313065991647</v>
      </c>
      <c r="AC101" s="142">
        <f>AC6/AC63</f>
        <v>1234.507419528429</v>
      </c>
      <c r="AD101" s="136">
        <f>((AC101/H101)^(1/($AC$3-$I$1) ))-1</f>
        <v>0.12906524319460155</v>
      </c>
      <c r="AE101" s="31">
        <f t="shared" ref="AE101" si="155">$M$1</f>
        <v>0.05</v>
      </c>
      <c r="AF101" s="144">
        <f t="shared" si="143"/>
        <v>7624.8987676755924</v>
      </c>
    </row>
    <row r="102" spans="2:32" x14ac:dyDescent="0.2">
      <c r="B102" s="20"/>
      <c r="C102" s="126"/>
      <c r="D102" s="198"/>
      <c r="E102" s="126"/>
      <c r="F102" s="126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27"/>
      <c r="S102" s="127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37"/>
      <c r="AE102" s="20"/>
      <c r="AF102" s="153"/>
    </row>
    <row r="103" spans="2:32" x14ac:dyDescent="0.2">
      <c r="B103" s="20"/>
      <c r="C103" s="126"/>
      <c r="D103" s="198"/>
      <c r="E103" s="126"/>
      <c r="F103" s="126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27"/>
      <c r="S103" s="127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37"/>
      <c r="AE103" s="20"/>
      <c r="AF103" s="153"/>
    </row>
    <row r="104" spans="2:32" x14ac:dyDescent="0.2">
      <c r="B104" s="108" t="s">
        <v>311</v>
      </c>
      <c r="C104" s="20"/>
      <c r="D104" s="217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2:32" x14ac:dyDescent="0.2">
      <c r="B105" s="20" t="s">
        <v>310</v>
      </c>
      <c r="C105" s="151" t="e">
        <f>C57/C44</f>
        <v>#DIV/0!</v>
      </c>
      <c r="D105" s="180"/>
      <c r="E105" s="151" t="e">
        <f>E57/E44</f>
        <v>#DIV/0!</v>
      </c>
      <c r="F105" s="180" t="e">
        <f>F57/F44</f>
        <v>#DIV/0!</v>
      </c>
      <c r="G105" s="180">
        <f>G57/G44</f>
        <v>0</v>
      </c>
      <c r="H105" s="151">
        <f>H57/H44</f>
        <v>0</v>
      </c>
      <c r="I105" s="151">
        <f>I57/I44</f>
        <v>0</v>
      </c>
      <c r="J105" s="151">
        <f>J57/J44</f>
        <v>0</v>
      </c>
      <c r="K105" s="151">
        <f>K57/K44</f>
        <v>0</v>
      </c>
      <c r="L105" s="151">
        <f>L57/L44</f>
        <v>0</v>
      </c>
      <c r="M105" s="151">
        <f>M57/M44</f>
        <v>0</v>
      </c>
      <c r="N105" s="151">
        <f>N57/N44</f>
        <v>0</v>
      </c>
      <c r="O105" s="151">
        <f>O57/O44</f>
        <v>0</v>
      </c>
      <c r="P105" s="151">
        <f>P57/P44</f>
        <v>0</v>
      </c>
      <c r="Q105" s="151">
        <f>Q57/Q44</f>
        <v>0</v>
      </c>
      <c r="R105" s="118" t="e">
        <f>((Q105/H105)^(1/($I$2-$I$1) ))-1</f>
        <v>#DIV/0!</v>
      </c>
      <c r="S105" s="151"/>
      <c r="T105" s="151">
        <f>T57/T44</f>
        <v>0</v>
      </c>
      <c r="U105" s="151">
        <f>U57/U44</f>
        <v>0</v>
      </c>
      <c r="V105" s="151">
        <f>V57/V44</f>
        <v>0</v>
      </c>
      <c r="W105" s="151">
        <f>W57/W44</f>
        <v>0</v>
      </c>
      <c r="X105" s="151">
        <f>X57/X44</f>
        <v>0</v>
      </c>
      <c r="Y105" s="151">
        <f>Y57/Y44</f>
        <v>0</v>
      </c>
      <c r="Z105" s="151">
        <f>Z57/Z44</f>
        <v>0</v>
      </c>
      <c r="AA105" s="151">
        <f>AA57/AA44</f>
        <v>0</v>
      </c>
      <c r="AB105" s="151">
        <f>AB57/AB44</f>
        <v>0</v>
      </c>
      <c r="AC105" s="151">
        <f>AC57/AC44</f>
        <v>0</v>
      </c>
      <c r="AD105" s="136" t="e">
        <f>((AC105/H105)^(1/($AC$3-$I$1) ))-1</f>
        <v>#DIV/0!</v>
      </c>
      <c r="AE105" s="144"/>
      <c r="AF105" s="144"/>
    </row>
    <row r="106" spans="2:32" x14ac:dyDescent="0.2">
      <c r="B106" s="20" t="s">
        <v>267</v>
      </c>
      <c r="C106" s="151" t="e">
        <f>C61/C44</f>
        <v>#DIV/0!</v>
      </c>
      <c r="D106" s="180"/>
      <c r="E106" s="151" t="e">
        <f>E61/E44</f>
        <v>#DIV/0!</v>
      </c>
      <c r="F106" s="180" t="e">
        <f>F61/F44</f>
        <v>#DIV/0!</v>
      </c>
      <c r="G106" s="180">
        <f>G61/G44</f>
        <v>0.17216494845360825</v>
      </c>
      <c r="H106" s="151">
        <f>H61/H44</f>
        <v>0.11073059360730593</v>
      </c>
      <c r="I106" s="151">
        <f>I61/I44</f>
        <v>0.17727882037533513</v>
      </c>
      <c r="J106" s="151">
        <f>J61/J44</f>
        <v>0.12087658592848904</v>
      </c>
      <c r="K106" s="151">
        <f>K61/K44</f>
        <v>0.12478832877426078</v>
      </c>
      <c r="L106" s="151">
        <f>L61/L44</f>
        <v>9.079515387828993E-2</v>
      </c>
      <c r="M106" s="151">
        <f>M61/M44</f>
        <v>0.14245840042941493</v>
      </c>
      <c r="N106" s="151">
        <f>N61/N44</f>
        <v>0.14183691918278793</v>
      </c>
      <c r="O106" s="151">
        <f>O61/O44</f>
        <v>0.14216552678091141</v>
      </c>
      <c r="P106" s="151">
        <f>P61/P44</f>
        <v>0.13818181818181818</v>
      </c>
      <c r="Q106" s="151">
        <f>Q61/Q44</f>
        <v>0.14541348158443362</v>
      </c>
      <c r="R106" s="118">
        <f>((Q106/H106)^(1/($I$2-$I$1) ))-1</f>
        <v>3.0738648237689459E-2</v>
      </c>
      <c r="S106" s="151"/>
      <c r="T106" s="151">
        <f>T61/T44</f>
        <v>0.14541348158443362</v>
      </c>
      <c r="U106" s="151">
        <f>U61/U44</f>
        <v>0.14541348158443362</v>
      </c>
      <c r="V106" s="151">
        <f>V61/V44</f>
        <v>0.14541348158443365</v>
      </c>
      <c r="W106" s="151">
        <f>W61/W44</f>
        <v>0.14541348158443365</v>
      </c>
      <c r="X106" s="151">
        <f>X61/X44</f>
        <v>0.14541348158443365</v>
      </c>
      <c r="Y106" s="151">
        <f>Y61/Y44</f>
        <v>0.14541348158443365</v>
      </c>
      <c r="Z106" s="151">
        <f>Z61/Z44</f>
        <v>0.14541348158443362</v>
      </c>
      <c r="AA106" s="151">
        <f>AA61/AA44</f>
        <v>0.14541348158443362</v>
      </c>
      <c r="AB106" s="151">
        <f>AB61/AB44</f>
        <v>0.14541348158443362</v>
      </c>
      <c r="AC106" s="151">
        <f>AC61/AC44</f>
        <v>0.14541348158443362</v>
      </c>
      <c r="AD106" s="136">
        <f>((AC106/H106)^(1/($AC$3-$I$1) ))-1</f>
        <v>1.3717286103980042E-2</v>
      </c>
      <c r="AE106" s="144"/>
      <c r="AF106" s="144"/>
    </row>
    <row r="107" spans="2:32" x14ac:dyDescent="0.2">
      <c r="B107" s="20" t="s">
        <v>360</v>
      </c>
      <c r="C107" s="151" t="e">
        <f>C61/C7</f>
        <v>#DIV/0!</v>
      </c>
      <c r="D107" s="180"/>
      <c r="E107" s="151" t="e">
        <f>E61/E7</f>
        <v>#DIV/0!</v>
      </c>
      <c r="F107" s="180" t="e">
        <f>F61/F7</f>
        <v>#DIV/0!</v>
      </c>
      <c r="G107" s="180">
        <f>G61/G7</f>
        <v>0.1621359223300971</v>
      </c>
      <c r="H107" s="151">
        <f>H61/H7</f>
        <v>0.13179347826086957</v>
      </c>
      <c r="I107" s="151">
        <f>I61/I7</f>
        <v>0.23427812223206376</v>
      </c>
      <c r="J107" s="151">
        <f>J61/J7</f>
        <v>0.16068690585709905</v>
      </c>
      <c r="K107" s="151">
        <f>K61/K7</f>
        <v>0.16286977218633117</v>
      </c>
      <c r="L107" s="151">
        <f>L61/L7</f>
        <v>9.8578772301179313E-2</v>
      </c>
      <c r="M107" s="151">
        <f>M61/M7</f>
        <v>0.16660389202762085</v>
      </c>
      <c r="N107" s="151">
        <f>N61/N7</f>
        <v>0.1426493317574325</v>
      </c>
      <c r="O107" s="151">
        <f>O61/O7</f>
        <v>0.14302280633938924</v>
      </c>
      <c r="P107" s="151">
        <f>P61/P7</f>
        <v>0.1443636601820921</v>
      </c>
      <c r="Q107" s="151">
        <f>Q61/Q7</f>
        <v>0.13157618947809682</v>
      </c>
      <c r="R107" s="118">
        <f>((Q107/H107)^(1/($I$2-$I$1) ))-1</f>
        <v>-1.83323999981444E-4</v>
      </c>
      <c r="S107" s="20"/>
      <c r="T107" s="151">
        <f>T61/T7</f>
        <v>0.13157618947809682</v>
      </c>
      <c r="U107" s="151">
        <f>U61/U7</f>
        <v>0.13157618947809682</v>
      </c>
      <c r="V107" s="151">
        <f>V61/V7</f>
        <v>0.13157618947809685</v>
      </c>
      <c r="W107" s="151">
        <f>W61/W7</f>
        <v>0.13157618947809685</v>
      </c>
      <c r="X107" s="151">
        <f>X61/X7</f>
        <v>0.13157618947809685</v>
      </c>
      <c r="Y107" s="151">
        <f>Y61/Y7</f>
        <v>0.13157618947809685</v>
      </c>
      <c r="Z107" s="151">
        <f>Z61/Z7</f>
        <v>0.13157618947809682</v>
      </c>
      <c r="AA107" s="151">
        <f>AA61/AA7</f>
        <v>0.13157618947809679</v>
      </c>
      <c r="AB107" s="151">
        <f>AB61/AB7</f>
        <v>0.13157618947809682</v>
      </c>
      <c r="AC107" s="151">
        <f>AC61/AC7</f>
        <v>0.13157618947809679</v>
      </c>
      <c r="AD107" s="136">
        <f>((AC107/H107)^(1/($AC$3-$I$1) ))-1</f>
        <v>-8.2499959337178908E-5</v>
      </c>
      <c r="AE107" s="144"/>
      <c r="AF107" s="144"/>
    </row>
    <row r="108" spans="2:32" x14ac:dyDescent="0.2">
      <c r="B108" s="20" t="s">
        <v>361</v>
      </c>
      <c r="C108" s="151" t="e">
        <f>(C61)/(C7+C10)</f>
        <v>#DIV/0!</v>
      </c>
      <c r="D108" s="180"/>
      <c r="E108" s="151" t="e">
        <f>(E61)/(E7+E10)</f>
        <v>#DIV/0!</v>
      </c>
      <c r="F108" s="180" t="e">
        <f>(F61)/(F7+F10)</f>
        <v>#DIV/0!</v>
      </c>
      <c r="G108" s="180">
        <f>(G61)/(G7+G10)</f>
        <v>2.3411214953271028E-2</v>
      </c>
      <c r="H108" s="151">
        <f>(H61)/(H7+H10)</f>
        <v>2.1488701816570668E-2</v>
      </c>
      <c r="I108" s="151">
        <f>(I61)/(I7+I10)</f>
        <v>3.8692217671152718E-2</v>
      </c>
      <c r="J108" s="151">
        <f>(J61)/(J7+J10)</f>
        <v>2.2875103680097788E-2</v>
      </c>
      <c r="K108" s="151">
        <f>(K61)/(K7+K10)</f>
        <v>2.9617263340134793E-2</v>
      </c>
      <c r="L108" s="151">
        <f>(L61)/(L7+L10)</f>
        <v>2.0701041402082804E-2</v>
      </c>
      <c r="M108" s="151">
        <f>(M61)/(M7+M10)</f>
        <v>3.038768920744693E-2</v>
      </c>
      <c r="N108" s="151">
        <f>(N61)/(N7+N10)</f>
        <v>2.5983273991885401E-2</v>
      </c>
      <c r="O108" s="151">
        <f>(O61)/(O7+O10)</f>
        <v>2.3539890571319506E-2</v>
      </c>
      <c r="P108" s="151">
        <f>(P61)/(P7+P10)</f>
        <v>2.1644341438504144E-2</v>
      </c>
      <c r="Q108" s="151">
        <f>(Q61)/(Q7+Q10)</f>
        <v>2.4033307810107197E-2</v>
      </c>
      <c r="R108" s="118">
        <f>((Q108/H108)^(1/($I$2-$I$1) ))-1</f>
        <v>1.2512455349230844E-2</v>
      </c>
      <c r="S108" s="20"/>
      <c r="T108" s="151">
        <f>(T61)/(T7+T10)</f>
        <v>2.4033307810107197E-2</v>
      </c>
      <c r="U108" s="151">
        <f>(U61)/(U7+U10)</f>
        <v>2.4033307810107197E-2</v>
      </c>
      <c r="V108" s="151">
        <f>(V61)/(V7+V10)</f>
        <v>2.40333078101072E-2</v>
      </c>
      <c r="W108" s="151">
        <f>(W61)/(W7+W10)</f>
        <v>2.40333078101072E-2</v>
      </c>
      <c r="X108" s="151">
        <f>(X61)/(X7+X10)</f>
        <v>2.40333078101072E-2</v>
      </c>
      <c r="Y108" s="151">
        <f>(Y61)/(Y7+Y10)</f>
        <v>2.40333078101072E-2</v>
      </c>
      <c r="Z108" s="151">
        <f>(Z61)/(Z7+Z10)</f>
        <v>2.4033307810107197E-2</v>
      </c>
      <c r="AA108" s="151">
        <f>(AA61)/(AA7+AA10)</f>
        <v>2.4033307810107197E-2</v>
      </c>
      <c r="AB108" s="151">
        <f>(AB61)/(AB7+AB10)</f>
        <v>2.4033307810107197E-2</v>
      </c>
      <c r="AC108" s="151">
        <f>(AC61)/(AC7+AC10)</f>
        <v>2.4033307810107197E-2</v>
      </c>
      <c r="AD108" s="136">
        <f>((AC108/H108)^(1/($AC$3-$I$1) ))-1</f>
        <v>5.6113546780156565E-3</v>
      </c>
      <c r="AE108" s="144"/>
      <c r="AF108" s="144"/>
    </row>
    <row r="109" spans="2:32" x14ac:dyDescent="0.2">
      <c r="B109" s="175" t="s">
        <v>388</v>
      </c>
      <c r="C109" s="151"/>
      <c r="D109" s="180"/>
      <c r="E109" s="151"/>
      <c r="F109" s="180" t="e">
        <f>F25/F44</f>
        <v>#DIV/0!</v>
      </c>
      <c r="G109" s="180">
        <f>G25/G44</f>
        <v>0</v>
      </c>
      <c r="H109" s="151">
        <f>H25/H44</f>
        <v>0</v>
      </c>
      <c r="I109" s="151">
        <f>I25/I44</f>
        <v>0</v>
      </c>
      <c r="J109" s="151">
        <f>J25/J44</f>
        <v>0</v>
      </c>
      <c r="K109" s="151">
        <f>K25/K44</f>
        <v>0</v>
      </c>
      <c r="L109" s="151">
        <f>L25/L44</f>
        <v>0</v>
      </c>
      <c r="M109" s="151">
        <f>M25/M44</f>
        <v>0</v>
      </c>
      <c r="N109" s="151">
        <f>N25/N44</f>
        <v>0</v>
      </c>
      <c r="O109" s="151">
        <f>O25/O44</f>
        <v>0</v>
      </c>
      <c r="P109" s="151">
        <f>P25/P44</f>
        <v>0</v>
      </c>
      <c r="Q109" s="151">
        <f>Q25/Q44</f>
        <v>0</v>
      </c>
      <c r="R109" s="118" t="e">
        <f>((Q109/H109)^(1/($I$2-$I$1) ))-1</f>
        <v>#DIV/0!</v>
      </c>
      <c r="S109" s="20"/>
      <c r="T109" s="151">
        <f>T25/T44</f>
        <v>0</v>
      </c>
      <c r="U109" s="151">
        <f>U25/U44</f>
        <v>0</v>
      </c>
      <c r="V109" s="151">
        <f>V25/V44</f>
        <v>0</v>
      </c>
      <c r="W109" s="151">
        <f>W25/W44</f>
        <v>0</v>
      </c>
      <c r="X109" s="151">
        <f>X25/X44</f>
        <v>0</v>
      </c>
      <c r="Y109" s="151">
        <f>Y25/Y44</f>
        <v>0</v>
      </c>
      <c r="Z109" s="151">
        <f>Z25/Z44</f>
        <v>0</v>
      </c>
      <c r="AA109" s="151">
        <f>AA25/AA44</f>
        <v>0</v>
      </c>
      <c r="AB109" s="151">
        <f>AB25/AB44</f>
        <v>0</v>
      </c>
      <c r="AC109" s="151">
        <f>AC25/AC44</f>
        <v>0</v>
      </c>
      <c r="AD109" s="136" t="e">
        <f>((AC109/H109)^(1/($AC$3-$I$1) ))-1</f>
        <v>#DIV/0!</v>
      </c>
      <c r="AE109" s="144"/>
      <c r="AF109" s="144"/>
    </row>
    <row r="110" spans="2:32" x14ac:dyDescent="0.2">
      <c r="B110" s="20"/>
      <c r="C110" s="151"/>
      <c r="D110" s="180"/>
      <c r="E110" s="151"/>
      <c r="F110" s="180"/>
      <c r="G110" s="180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20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51"/>
      <c r="AE110" s="144"/>
      <c r="AF110" s="144"/>
    </row>
    <row r="111" spans="2:32" x14ac:dyDescent="0.2">
      <c r="B111" s="20" t="s">
        <v>324</v>
      </c>
      <c r="C111" s="151"/>
      <c r="D111" s="180"/>
      <c r="E111" s="151"/>
      <c r="F111" s="180" t="e">
        <f>F50/F44</f>
        <v>#DIV/0!</v>
      </c>
      <c r="G111" s="180">
        <f>G50/G44</f>
        <v>0.21649484536082475</v>
      </c>
      <c r="H111" s="151">
        <f>H50/H44</f>
        <v>0.18721461187214611</v>
      </c>
      <c r="I111" s="151">
        <f>I50/I44</f>
        <v>0.17392761394101877</v>
      </c>
      <c r="J111" s="151">
        <f>J50/J44</f>
        <v>0.22537485582468281</v>
      </c>
      <c r="K111" s="151">
        <f>K50/K44</f>
        <v>0.23655073596456949</v>
      </c>
      <c r="L111" s="151">
        <f>L50/L44</f>
        <v>0.27739869099011277</v>
      </c>
      <c r="M111" s="151">
        <f>M50/M44</f>
        <v>0.19023081052066559</v>
      </c>
      <c r="N111" s="151">
        <f>N50/N44</f>
        <v>0.24118604230699692</v>
      </c>
      <c r="O111" s="151">
        <f>O50/O44</f>
        <v>0.34895873357411816</v>
      </c>
      <c r="P111" s="151">
        <f>P50/P44</f>
        <v>0.37768025078369905</v>
      </c>
      <c r="Q111" s="151">
        <f>Q50/Q44</f>
        <v>0.36553161917998611</v>
      </c>
      <c r="R111" s="118">
        <f>((Q111/H111)^(1/($I$2-$I$1) ))-1</f>
        <v>7.7177430666008462E-2</v>
      </c>
      <c r="S111" s="20"/>
      <c r="T111" s="151">
        <f>T50/T44</f>
        <v>0.36553161917998611</v>
      </c>
      <c r="U111" s="151">
        <f>U50/U44</f>
        <v>0.36553161917998606</v>
      </c>
      <c r="V111" s="151">
        <f>V50/V44</f>
        <v>0.36553161917998611</v>
      </c>
      <c r="W111" s="151">
        <f>W50/W44</f>
        <v>0.36553161917998611</v>
      </c>
      <c r="X111" s="151">
        <f>X50/X44</f>
        <v>0.36553161917998617</v>
      </c>
      <c r="Y111" s="151">
        <f>Y50/Y44</f>
        <v>0.36553161917998617</v>
      </c>
      <c r="Z111" s="151">
        <f>Z50/Z44</f>
        <v>0.36553161917998617</v>
      </c>
      <c r="AA111" s="151">
        <f>AA50/AA44</f>
        <v>0.36553161917998611</v>
      </c>
      <c r="AB111" s="151">
        <f>AB50/AB44</f>
        <v>0.36553161917998611</v>
      </c>
      <c r="AC111" s="151">
        <f>AC50/AC44</f>
        <v>0.36553161917998611</v>
      </c>
      <c r="AD111" s="136">
        <f>((AC111/H111)^(1/($AC$3-$I$1) ))-1</f>
        <v>3.4020765370701644E-2</v>
      </c>
      <c r="AE111" s="144"/>
      <c r="AF111" s="144"/>
    </row>
    <row r="112" spans="2:32" x14ac:dyDescent="0.2">
      <c r="B112" s="20" t="s">
        <v>326</v>
      </c>
      <c r="C112" s="151"/>
      <c r="D112" s="180"/>
      <c r="E112" s="151"/>
      <c r="F112" s="181" t="e">
        <f>F50/F12</f>
        <v>#DIV/0!</v>
      </c>
      <c r="G112" s="181" t="e">
        <f>G50/G12</f>
        <v>#DIV/0!</v>
      </c>
      <c r="H112" s="165" t="e">
        <f>H50/H12</f>
        <v>#DIV/0!</v>
      </c>
      <c r="I112" s="165" t="e">
        <f>I50/I12</f>
        <v>#DIV/0!</v>
      </c>
      <c r="J112" s="165" t="e">
        <f>J50/J12</f>
        <v>#DIV/0!</v>
      </c>
      <c r="K112" s="165" t="e">
        <f>K50/K12</f>
        <v>#DIV/0!</v>
      </c>
      <c r="L112" s="165" t="e">
        <f>L50/L12</f>
        <v>#DIV/0!</v>
      </c>
      <c r="M112" s="165" t="e">
        <f>M50/M12</f>
        <v>#DIV/0!</v>
      </c>
      <c r="N112" s="165" t="e">
        <f>N50/N12</f>
        <v>#DIV/0!</v>
      </c>
      <c r="O112" s="165" t="e">
        <f>O50/O12</f>
        <v>#DIV/0!</v>
      </c>
      <c r="P112" s="165" t="e">
        <f>P50/P12</f>
        <v>#DIV/0!</v>
      </c>
      <c r="Q112" s="165" t="e">
        <f>Q50/Q12</f>
        <v>#DIV/0!</v>
      </c>
      <c r="R112" s="118" t="e">
        <f>((Q112/H112)^(1/($I$2-$I$1) ))-1</f>
        <v>#DIV/0!</v>
      </c>
      <c r="S112" s="20"/>
      <c r="T112" s="151" t="e">
        <f>T50/T12</f>
        <v>#DIV/0!</v>
      </c>
      <c r="U112" s="151" t="e">
        <f>U50/U12</f>
        <v>#DIV/0!</v>
      </c>
      <c r="V112" s="151" t="e">
        <f>V50/V12</f>
        <v>#DIV/0!</v>
      </c>
      <c r="W112" s="151" t="e">
        <f>W50/W12</f>
        <v>#DIV/0!</v>
      </c>
      <c r="X112" s="151" t="e">
        <f>X50/X12</f>
        <v>#DIV/0!</v>
      </c>
      <c r="Y112" s="151" t="e">
        <f>Y50/Y12</f>
        <v>#DIV/0!</v>
      </c>
      <c r="Z112" s="151" t="e">
        <f>Z50/Z12</f>
        <v>#DIV/0!</v>
      </c>
      <c r="AA112" s="151" t="e">
        <f>AA50/AA12</f>
        <v>#DIV/0!</v>
      </c>
      <c r="AB112" s="151" t="e">
        <f>AB50/AB12</f>
        <v>#DIV/0!</v>
      </c>
      <c r="AC112" s="151" t="e">
        <f>AC50/AC12</f>
        <v>#DIV/0!</v>
      </c>
      <c r="AD112" s="136" t="e">
        <f>((AC112/H112)^(1/($AC$3-$I$1) ))-1</f>
        <v>#DIV/0!</v>
      </c>
      <c r="AE112" s="144"/>
      <c r="AF112" s="144"/>
    </row>
    <row r="113" spans="2:32" s="176" customFormat="1" x14ac:dyDescent="0.2">
      <c r="B113" s="175"/>
      <c r="C113" s="180"/>
      <c r="D113" s="180"/>
      <c r="E113" s="180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77"/>
      <c r="S113" s="175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78"/>
      <c r="AE113" s="179"/>
      <c r="AF113" s="179"/>
    </row>
    <row r="114" spans="2:32" s="176" customFormat="1" x14ac:dyDescent="0.2">
      <c r="B114" s="175"/>
      <c r="C114" s="180"/>
      <c r="D114" s="180"/>
      <c r="E114" s="180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77"/>
      <c r="S114" s="175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78"/>
      <c r="AE114" s="179"/>
      <c r="AF114" s="179"/>
    </row>
    <row r="115" spans="2:32" s="176" customFormat="1" x14ac:dyDescent="0.2">
      <c r="B115" s="175"/>
      <c r="C115" s="180"/>
      <c r="D115" s="180"/>
      <c r="E115" s="180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77"/>
      <c r="S115" s="175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78"/>
      <c r="AE115" s="179"/>
      <c r="AF115" s="179"/>
    </row>
    <row r="116" spans="2:32" s="176" customFormat="1" x14ac:dyDescent="0.2">
      <c r="B116" s="175"/>
      <c r="C116" s="180"/>
      <c r="D116" s="180"/>
      <c r="E116" s="180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77"/>
      <c r="S116" s="175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78"/>
      <c r="AE116" s="179"/>
      <c r="AF116" s="179"/>
    </row>
    <row r="117" spans="2:32" s="176" customFormat="1" x14ac:dyDescent="0.2">
      <c r="B117" s="175"/>
      <c r="C117" s="180"/>
      <c r="D117" s="180"/>
      <c r="E117" s="180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77"/>
      <c r="S117" s="175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78"/>
      <c r="AE117" s="179"/>
      <c r="AF117" s="179"/>
    </row>
    <row r="118" spans="2:32" x14ac:dyDescent="0.2">
      <c r="B118" s="20" t="s">
        <v>327</v>
      </c>
      <c r="C118" s="151"/>
      <c r="D118" s="180"/>
      <c r="E118" s="151"/>
      <c r="F118" s="162">
        <f>F12+F15-F10</f>
        <v>0</v>
      </c>
      <c r="G118" s="162">
        <f>G12+G15-G10</f>
        <v>-3715</v>
      </c>
      <c r="H118" s="162">
        <f>H12+H15-H10</f>
        <v>-4851</v>
      </c>
      <c r="I118" s="162">
        <f>I12+I15-I10</f>
        <v>-6366</v>
      </c>
      <c r="J118" s="162">
        <f>J12+J15-J10</f>
        <v>-10518</v>
      </c>
      <c r="K118" s="162">
        <f>K12+K15-K10</f>
        <v>-13895</v>
      </c>
      <c r="L118" s="162">
        <f>L12+L15-L10</f>
        <v>-11569</v>
      </c>
      <c r="M118" s="162">
        <f>M12+M15-M10</f>
        <v>-16220</v>
      </c>
      <c r="N118" s="162">
        <f>N12+N15-N10</f>
        <v>-23338</v>
      </c>
      <c r="O118" s="162">
        <f>O12+O15-O10</f>
        <v>-33997</v>
      </c>
      <c r="P118" s="162">
        <f>P12+P15-P10</f>
        <v>-45654</v>
      </c>
      <c r="Q118" s="162">
        <f>Q12+Q15-Q10</f>
        <v>-46605</v>
      </c>
      <c r="R118" s="118">
        <f>((Q118/H118)^(1/($I$2-$I$1) ))-1</f>
        <v>0.28581330491590951</v>
      </c>
      <c r="S118" s="20"/>
      <c r="T118" s="162">
        <f>T12+T15-T10</f>
        <v>-55926</v>
      </c>
      <c r="U118" s="162">
        <f>U12+U15-U10</f>
        <v>-67111.199999999997</v>
      </c>
      <c r="V118" s="162">
        <f>V12+V15-V10</f>
        <v>-80533.439999999988</v>
      </c>
      <c r="W118" s="162">
        <f>W12+W15-W10</f>
        <v>-96640.127999999982</v>
      </c>
      <c r="X118" s="162">
        <f>X12+X15-X10</f>
        <v>-115968.15359999998</v>
      </c>
      <c r="Y118" s="162">
        <f>Y12+Y15-Y10</f>
        <v>-139161.78431999995</v>
      </c>
      <c r="Z118" s="162">
        <f>Z12+Z15-Z10</f>
        <v>-166994.14118399992</v>
      </c>
      <c r="AA118" s="162">
        <f>AA12+AA15-AA10</f>
        <v>-200392.96942079993</v>
      </c>
      <c r="AB118" s="162">
        <f>AB12+AB15-AB10</f>
        <v>-240471.56330495991</v>
      </c>
      <c r="AC118" s="162">
        <f>AC12+AC15-AC10</f>
        <v>-288565.87596595194</v>
      </c>
      <c r="AD118" s="136">
        <f>((AC118/H118)^(1/($AC$3-$I$1) ))-1</f>
        <v>0.22665006138840571</v>
      </c>
      <c r="AE118" s="144"/>
      <c r="AF118" s="144"/>
    </row>
    <row r="119" spans="2:32" ht="12" customHeight="1" x14ac:dyDescent="0.2">
      <c r="B119" s="20" t="s">
        <v>322</v>
      </c>
      <c r="C119" s="20"/>
      <c r="D119" s="217"/>
      <c r="E119" s="20"/>
      <c r="F119" s="180" t="e">
        <f>F61/F23</f>
        <v>#DIV/0!</v>
      </c>
      <c r="G119" s="180">
        <f>G61/G23</f>
        <v>1.4212765957446809</v>
      </c>
      <c r="H119" s="151">
        <f>H61/H23</f>
        <v>1.220125786163522</v>
      </c>
      <c r="I119" s="151">
        <f>I61/I23</f>
        <v>2.9553072625698324</v>
      </c>
      <c r="J119" s="151">
        <f>J61/J23</f>
        <v>2.1924686192468621</v>
      </c>
      <c r="K119" s="151">
        <f>K61/K23</f>
        <v>2.8511904761904763</v>
      </c>
      <c r="L119" s="151">
        <f>L61/L23</f>
        <v>1.9120234604105573</v>
      </c>
      <c r="M119" s="151">
        <f>M61/M23</f>
        <v>2.1612377850162865</v>
      </c>
      <c r="N119" s="151">
        <f>N61/N23</f>
        <v>2.6150000000000002</v>
      </c>
      <c r="O119" s="151">
        <f>O61/O23</f>
        <v>3.0081300813008132</v>
      </c>
      <c r="P119" s="151">
        <f>P61/P23</f>
        <v>3.5548387096774192</v>
      </c>
      <c r="Q119" s="151">
        <f>Q61/Q23</f>
        <v>1.9865506329113924</v>
      </c>
      <c r="R119" s="118">
        <f>((Q119/H119)^(1/($I$2-$I$1) ))-1</f>
        <v>5.5654176750837392E-2</v>
      </c>
      <c r="S119" s="20"/>
      <c r="T119" s="151">
        <f>T61/T23</f>
        <v>1.9865506329113924</v>
      </c>
      <c r="U119" s="151">
        <f>U61/U23</f>
        <v>1.9865506329113924</v>
      </c>
      <c r="V119" s="151">
        <f>V61/V23</f>
        <v>1.9865506329113927</v>
      </c>
      <c r="W119" s="151">
        <f>W61/W23</f>
        <v>1.9865506329113929</v>
      </c>
      <c r="X119" s="151">
        <f>X61/X23</f>
        <v>1.9865506329113927</v>
      </c>
      <c r="Y119" s="151">
        <f>Y61/Y23</f>
        <v>1.9865506329113924</v>
      </c>
      <c r="Z119" s="151">
        <f>Z61/Z23</f>
        <v>1.9865506329113922</v>
      </c>
      <c r="AA119" s="151">
        <f>AA61/AA23</f>
        <v>1.9865506329113924</v>
      </c>
      <c r="AB119" s="151">
        <f>AB61/AB23</f>
        <v>1.9865506329113924</v>
      </c>
      <c r="AC119" s="151">
        <f>AC61/AC23</f>
        <v>1.9865506329113924</v>
      </c>
      <c r="AD119" s="136">
        <f>((AC119/H119)^(1/($AC$3-$I$1) ))-1</f>
        <v>2.4671723339558582E-2</v>
      </c>
      <c r="AE119" s="20"/>
      <c r="AF119" s="20"/>
    </row>
    <row r="120" spans="2:32" x14ac:dyDescent="0.2">
      <c r="B120" s="20" t="s">
        <v>323</v>
      </c>
      <c r="C120" s="20"/>
      <c r="D120" s="217"/>
      <c r="E120" s="20"/>
      <c r="F120" s="180" t="e">
        <f>F61/F44</f>
        <v>#DIV/0!</v>
      </c>
      <c r="G120" s="180">
        <f>G61/G44</f>
        <v>0.17216494845360825</v>
      </c>
      <c r="H120" s="151">
        <f>H61/H44</f>
        <v>0.11073059360730593</v>
      </c>
      <c r="I120" s="151">
        <f>I61/I44</f>
        <v>0.17727882037533513</v>
      </c>
      <c r="J120" s="151">
        <f>J61/J44</f>
        <v>0.12087658592848904</v>
      </c>
      <c r="K120" s="151">
        <f>K61/K44</f>
        <v>0.12478832877426078</v>
      </c>
      <c r="L120" s="151">
        <f>L61/L44</f>
        <v>9.079515387828993E-2</v>
      </c>
      <c r="M120" s="151">
        <f>M61/M44</f>
        <v>0.14245840042941493</v>
      </c>
      <c r="N120" s="151">
        <f>N61/N44</f>
        <v>0.14183691918278793</v>
      </c>
      <c r="O120" s="151">
        <f>O61/O44</f>
        <v>0.14216552678091141</v>
      </c>
      <c r="P120" s="151">
        <f>P61/P44</f>
        <v>0.13818181818181818</v>
      </c>
      <c r="Q120" s="151">
        <f>Q61/Q44</f>
        <v>0.14541348158443362</v>
      </c>
      <c r="R120" s="118">
        <f>((Q120/H120)^(1/($I$2-$I$1) ))-1</f>
        <v>3.0738648237689459E-2</v>
      </c>
      <c r="S120" s="20"/>
      <c r="T120" s="151">
        <f>T61/T44</f>
        <v>0.14541348158443362</v>
      </c>
      <c r="U120" s="151">
        <f>U61/U44</f>
        <v>0.14541348158443362</v>
      </c>
      <c r="V120" s="151">
        <f>V61/V44</f>
        <v>0.14541348158443365</v>
      </c>
      <c r="W120" s="151">
        <f>W61/W44</f>
        <v>0.14541348158443365</v>
      </c>
      <c r="X120" s="151">
        <f>X61/X44</f>
        <v>0.14541348158443365</v>
      </c>
      <c r="Y120" s="151">
        <f>Y61/Y44</f>
        <v>0.14541348158443365</v>
      </c>
      <c r="Z120" s="151">
        <f>Z61/Z44</f>
        <v>0.14541348158443362</v>
      </c>
      <c r="AA120" s="151">
        <f>AA61/AA44</f>
        <v>0.14541348158443362</v>
      </c>
      <c r="AB120" s="151">
        <f>AB61/AB44</f>
        <v>0.14541348158443362</v>
      </c>
      <c r="AC120" s="151">
        <f>AC61/AC44</f>
        <v>0.14541348158443362</v>
      </c>
      <c r="AD120" s="136">
        <f>((AC120/H120)^(1/($AC$3-$I$1) ))-1</f>
        <v>1.3717286103980042E-2</v>
      </c>
      <c r="AE120" s="20"/>
      <c r="AF120" s="20"/>
    </row>
    <row r="121" spans="2:32" x14ac:dyDescent="0.2">
      <c r="B121" s="20" t="s">
        <v>349</v>
      </c>
      <c r="C121" s="20"/>
      <c r="D121" s="217"/>
      <c r="E121" s="20"/>
      <c r="F121" s="180" t="e">
        <f>F44/F23</f>
        <v>#DIV/0!</v>
      </c>
      <c r="G121" s="180">
        <f>G44/G23</f>
        <v>8.2553191489361701</v>
      </c>
      <c r="H121" s="151">
        <f>H44/H23</f>
        <v>11.018867924528301</v>
      </c>
      <c r="I121" s="151">
        <f>I44/I23</f>
        <v>16.670391061452513</v>
      </c>
      <c r="J121" s="151">
        <f>J44/J23</f>
        <v>18.13807531380753</v>
      </c>
      <c r="K121" s="151">
        <f>K44/K23</f>
        <v>22.848214285714285</v>
      </c>
      <c r="L121" s="151">
        <f>L44/L23</f>
        <v>21.058651026392962</v>
      </c>
      <c r="M121" s="151">
        <f>M44/M23</f>
        <v>15.17100977198697</v>
      </c>
      <c r="N121" s="151">
        <f>N44/N23</f>
        <v>18.436666666666667</v>
      </c>
      <c r="O121" s="151">
        <f>O44/O23</f>
        <v>21.159349593495936</v>
      </c>
      <c r="P121" s="151">
        <f>P44/P23</f>
        <v>25.725806451612904</v>
      </c>
      <c r="Q121" s="151">
        <f>Q44/Q23</f>
        <v>13.661392405063291</v>
      </c>
      <c r="R121" s="118">
        <f>((Q121/H121)^(1/($I$2-$I$1) ))-1</f>
        <v>2.4172498582203605E-2</v>
      </c>
      <c r="S121" s="20"/>
      <c r="T121" s="151">
        <f>T44/T23</f>
        <v>13.661392405063291</v>
      </c>
      <c r="U121" s="151">
        <f>U44/U23</f>
        <v>13.661392405063291</v>
      </c>
      <c r="V121" s="151">
        <f>V44/V23</f>
        <v>13.661392405063292</v>
      </c>
      <c r="W121" s="151">
        <f>W44/W23</f>
        <v>13.661392405063292</v>
      </c>
      <c r="X121" s="151">
        <f>X44/X23</f>
        <v>13.661392405063291</v>
      </c>
      <c r="Y121" s="151">
        <f>Y44/Y23</f>
        <v>13.661392405063291</v>
      </c>
      <c r="Z121" s="151">
        <f>Z44/Z23</f>
        <v>13.661392405063291</v>
      </c>
      <c r="AA121" s="151">
        <f>AA44/AA23</f>
        <v>13.661392405063292</v>
      </c>
      <c r="AB121" s="151">
        <f>AB44/AB23</f>
        <v>13.661392405063292</v>
      </c>
      <c r="AC121" s="151">
        <f>AC44/AC23</f>
        <v>13.661392405063292</v>
      </c>
      <c r="AD121" s="136">
        <f>((AC121/H121)^(1/($AC$3-$I$1) ))-1</f>
        <v>1.0806205424078064E-2</v>
      </c>
      <c r="AE121" s="20"/>
      <c r="AF121" s="20"/>
    </row>
    <row r="122" spans="2:32" x14ac:dyDescent="0.2">
      <c r="B122" s="20"/>
      <c r="C122" s="20"/>
      <c r="D122" s="217"/>
      <c r="E122" s="20"/>
      <c r="F122" s="180"/>
      <c r="G122" s="180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27"/>
      <c r="S122" s="20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27"/>
      <c r="AE122" s="20"/>
      <c r="AF122" s="20"/>
    </row>
    <row r="123" spans="2:32" x14ac:dyDescent="0.2">
      <c r="B123" s="20" t="s">
        <v>335</v>
      </c>
      <c r="C123" s="20"/>
      <c r="D123" s="217"/>
      <c r="E123" s="20"/>
      <c r="F123" s="200">
        <f t="shared" ref="F123:G123" si="156">F89*F63</f>
        <v>1</v>
      </c>
      <c r="G123" s="200">
        <f t="shared" si="156"/>
        <v>14.28</v>
      </c>
      <c r="H123" s="164">
        <f t="shared" ref="H123:Q123" si="157">H89*H63</f>
        <v>15.4125</v>
      </c>
      <c r="I123" s="164">
        <f t="shared" si="157"/>
        <v>18.593999999999998</v>
      </c>
      <c r="J123" s="164">
        <f t="shared" si="157"/>
        <v>22.826999999999998</v>
      </c>
      <c r="K123" s="164">
        <f t="shared" si="157"/>
        <v>25.844999999999999</v>
      </c>
      <c r="L123" s="164">
        <f t="shared" si="157"/>
        <v>25.92</v>
      </c>
      <c r="M123" s="164">
        <f t="shared" si="157"/>
        <v>29.5885</v>
      </c>
      <c r="N123" s="164">
        <f t="shared" si="157"/>
        <v>36.843499999999999</v>
      </c>
      <c r="O123" s="164">
        <f t="shared" si="157"/>
        <v>44.441339999999997</v>
      </c>
      <c r="P123" s="164">
        <f t="shared" si="157"/>
        <v>52.266199999999998</v>
      </c>
      <c r="Q123" s="164">
        <f t="shared" si="157"/>
        <v>61.52000000000001</v>
      </c>
      <c r="R123" s="118">
        <f>((Q123/H123)^(1/($I$2-$I$1) ))-1</f>
        <v>0.16625546818226389</v>
      </c>
      <c r="S123" s="20"/>
      <c r="T123" s="164">
        <f t="shared" ref="T123:AC123" si="158">T89*T63</f>
        <v>65.887920000000008</v>
      </c>
      <c r="U123" s="164">
        <f t="shared" si="158"/>
        <v>70.565962320000011</v>
      </c>
      <c r="V123" s="164">
        <f t="shared" si="158"/>
        <v>75.576145644720015</v>
      </c>
      <c r="W123" s="164">
        <f t="shared" si="158"/>
        <v>80.942051985495141</v>
      </c>
      <c r="X123" s="164">
        <f t="shared" si="158"/>
        <v>86.688937676465301</v>
      </c>
      <c r="Y123" s="164">
        <f t="shared" si="158"/>
        <v>92.843852251494354</v>
      </c>
      <c r="Z123" s="164">
        <f t="shared" si="158"/>
        <v>99.435765761350453</v>
      </c>
      <c r="AA123" s="164">
        <f t="shared" si="158"/>
        <v>106.49570513040635</v>
      </c>
      <c r="AB123" s="164">
        <f t="shared" si="158"/>
        <v>114.05690019466522</v>
      </c>
      <c r="AC123" s="164">
        <f t="shared" si="158"/>
        <v>122.15494010848647</v>
      </c>
      <c r="AD123" s="136">
        <f>((AC123/H123)^(1/($AC$3-$I$1) ))-1</f>
        <v>0.10905196917934723</v>
      </c>
      <c r="AE123" s="20"/>
      <c r="AF123" s="20"/>
    </row>
    <row r="124" spans="2:32" x14ac:dyDescent="0.2">
      <c r="B124" s="20" t="s">
        <v>336</v>
      </c>
      <c r="C124" s="20"/>
      <c r="D124" s="217"/>
      <c r="E124" s="20"/>
      <c r="F124" s="200">
        <f t="shared" ref="F124:G124" si="159">(F123*0.17)+F123</f>
        <v>1.17</v>
      </c>
      <c r="G124" s="200">
        <f t="shared" si="159"/>
        <v>16.707599999999999</v>
      </c>
      <c r="H124" s="164">
        <f t="shared" ref="H124:Q124" si="160">(H123*0.17)+H123</f>
        <v>18.032624999999999</v>
      </c>
      <c r="I124" s="164">
        <f t="shared" si="160"/>
        <v>21.754979999999996</v>
      </c>
      <c r="J124" s="164">
        <f t="shared" si="160"/>
        <v>26.707589999999996</v>
      </c>
      <c r="K124" s="164">
        <f t="shared" si="160"/>
        <v>30.23865</v>
      </c>
      <c r="L124" s="164">
        <f t="shared" si="160"/>
        <v>30.326400000000003</v>
      </c>
      <c r="M124" s="164">
        <f t="shared" si="160"/>
        <v>34.618544999999997</v>
      </c>
      <c r="N124" s="164">
        <f t="shared" si="160"/>
        <v>43.106895000000002</v>
      </c>
      <c r="O124" s="164">
        <f t="shared" si="160"/>
        <v>51.996367799999994</v>
      </c>
      <c r="P124" s="164">
        <f t="shared" si="160"/>
        <v>61.151454000000001</v>
      </c>
      <c r="Q124" s="164">
        <f t="shared" si="160"/>
        <v>71.978400000000008</v>
      </c>
      <c r="R124" s="118">
        <f>((Q124/H124)^(1/($I$2-$I$1) ))-1</f>
        <v>0.16625546818226389</v>
      </c>
      <c r="S124" s="20"/>
      <c r="T124" s="164">
        <f t="shared" ref="T124:AC124" si="161">(T123*0.17)+T123</f>
        <v>77.088866400000015</v>
      </c>
      <c r="U124" s="164">
        <f t="shared" si="161"/>
        <v>82.562175914400015</v>
      </c>
      <c r="V124" s="164">
        <f t="shared" si="161"/>
        <v>88.424090404322413</v>
      </c>
      <c r="W124" s="164">
        <f t="shared" si="161"/>
        <v>94.702200823029315</v>
      </c>
      <c r="X124" s="164">
        <f t="shared" si="161"/>
        <v>101.42605708146441</v>
      </c>
      <c r="Y124" s="164">
        <f t="shared" si="161"/>
        <v>108.6273071342484</v>
      </c>
      <c r="Z124" s="164">
        <f t="shared" si="161"/>
        <v>116.33984594078004</v>
      </c>
      <c r="AA124" s="164">
        <f t="shared" si="161"/>
        <v>124.59997500257543</v>
      </c>
      <c r="AB124" s="164">
        <f t="shared" si="161"/>
        <v>133.44657322775831</v>
      </c>
      <c r="AC124" s="164">
        <f t="shared" si="161"/>
        <v>142.92127992692917</v>
      </c>
      <c r="AD124" s="136">
        <f>((AC124/H124)^(1/($AC$3-$I$1) ))-1</f>
        <v>0.10905196917934723</v>
      </c>
      <c r="AE124" s="20"/>
      <c r="AF124" s="20"/>
    </row>
    <row r="125" spans="2:32" x14ac:dyDescent="0.2">
      <c r="B125" s="20" t="s">
        <v>337</v>
      </c>
      <c r="C125" s="20"/>
      <c r="D125" s="217"/>
      <c r="E125" s="20"/>
      <c r="F125" s="180" t="e">
        <f t="shared" ref="F125:G125" si="162">F124/F61</f>
        <v>#DIV/0!</v>
      </c>
      <c r="G125" s="180">
        <f t="shared" si="162"/>
        <v>8.3371257485029937E-2</v>
      </c>
      <c r="H125" s="151">
        <f t="shared" ref="H125:Q125" si="163">H124/H61</f>
        <v>9.2951675257731958E-2</v>
      </c>
      <c r="I125" s="151">
        <f t="shared" si="163"/>
        <v>4.11247258979206E-2</v>
      </c>
      <c r="J125" s="151">
        <f t="shared" si="163"/>
        <v>5.0968683206106861E-2</v>
      </c>
      <c r="K125" s="151">
        <f t="shared" si="163"/>
        <v>3.156435281837161E-2</v>
      </c>
      <c r="L125" s="151">
        <f t="shared" si="163"/>
        <v>4.6512883435582825E-2</v>
      </c>
      <c r="M125" s="151">
        <f t="shared" si="163"/>
        <v>2.608782592313489E-2</v>
      </c>
      <c r="N125" s="151">
        <f t="shared" si="163"/>
        <v>2.7474120458891013E-2</v>
      </c>
      <c r="O125" s="151">
        <f t="shared" si="163"/>
        <v>2.8106144756756754E-2</v>
      </c>
      <c r="P125" s="151">
        <f t="shared" si="163"/>
        <v>2.7745668784029037E-2</v>
      </c>
      <c r="Q125" s="151">
        <f t="shared" si="163"/>
        <v>2.8665232974910398E-2</v>
      </c>
      <c r="R125" s="118">
        <f>((Q125/H125)^(1/($I$2-$I$1) ))-1</f>
        <v>-0.12252825802930301</v>
      </c>
      <c r="S125" s="20"/>
      <c r="T125" s="151">
        <f t="shared" ref="T125:AC125" si="164">T124/T61</f>
        <v>2.5583720430107534E-2</v>
      </c>
      <c r="U125" s="151">
        <f t="shared" si="164"/>
        <v>2.2833470483870973E-2</v>
      </c>
      <c r="V125" s="151">
        <f t="shared" si="164"/>
        <v>2.0378872406854844E-2</v>
      </c>
      <c r="W125" s="151">
        <f t="shared" si="164"/>
        <v>1.818814362311795E-2</v>
      </c>
      <c r="X125" s="151">
        <f t="shared" si="164"/>
        <v>1.6232918183632775E-2</v>
      </c>
      <c r="Y125" s="151">
        <f t="shared" si="164"/>
        <v>1.4487879478892253E-2</v>
      </c>
      <c r="Z125" s="151">
        <f t="shared" si="164"/>
        <v>1.2930432434911338E-2</v>
      </c>
      <c r="AA125" s="151">
        <f t="shared" si="164"/>
        <v>1.154041094815837E-2</v>
      </c>
      <c r="AB125" s="151">
        <f t="shared" si="164"/>
        <v>1.0299816771231348E-2</v>
      </c>
      <c r="AC125" s="151">
        <f t="shared" si="164"/>
        <v>9.1925864683239794E-3</v>
      </c>
      <c r="AD125" s="136">
        <f>((AC125/H125)^(1/($AC$3-$I$1) ))-1</f>
        <v>-0.10924344881015036</v>
      </c>
      <c r="AE125" s="20"/>
      <c r="AF125" s="20"/>
    </row>
    <row r="126" spans="2:32" x14ac:dyDescent="0.2">
      <c r="B126" s="20" t="s">
        <v>330</v>
      </c>
      <c r="C126" s="20"/>
      <c r="D126" s="217"/>
      <c r="E126" s="20"/>
      <c r="F126" s="180" t="e">
        <f t="shared" ref="F126:G126" si="165">1-F125</f>
        <v>#DIV/0!</v>
      </c>
      <c r="G126" s="180">
        <f t="shared" si="165"/>
        <v>0.91662874251497006</v>
      </c>
      <c r="H126" s="151">
        <f>1-H125</f>
        <v>0.90704832474226804</v>
      </c>
      <c r="I126" s="151">
        <f t="shared" ref="I126:Q126" si="166">1-I125</f>
        <v>0.9588752741020794</v>
      </c>
      <c r="J126" s="151">
        <f t="shared" si="166"/>
        <v>0.94903131679389319</v>
      </c>
      <c r="K126" s="151">
        <f t="shared" si="166"/>
        <v>0.96843564718162845</v>
      </c>
      <c r="L126" s="151">
        <f t="shared" si="166"/>
        <v>0.9534871165644172</v>
      </c>
      <c r="M126" s="151">
        <f t="shared" si="166"/>
        <v>0.97391217407686514</v>
      </c>
      <c r="N126" s="151">
        <f t="shared" si="166"/>
        <v>0.97252587954110903</v>
      </c>
      <c r="O126" s="151">
        <f t="shared" si="166"/>
        <v>0.97189385524324323</v>
      </c>
      <c r="P126" s="151">
        <f t="shared" si="166"/>
        <v>0.97225433121597093</v>
      </c>
      <c r="Q126" s="151">
        <f t="shared" si="166"/>
        <v>0.97133476702508958</v>
      </c>
      <c r="R126" s="118">
        <f>((Q126/H126)^(1/($I$2-$I$1) ))-1</f>
        <v>7.6374001378776146E-3</v>
      </c>
      <c r="S126" s="20"/>
      <c r="T126" s="151">
        <f t="shared" ref="T126:AC126" si="167">1-T125</f>
        <v>0.97441627956989252</v>
      </c>
      <c r="U126" s="151">
        <f t="shared" si="167"/>
        <v>0.97716652951612903</v>
      </c>
      <c r="V126" s="151">
        <f t="shared" si="167"/>
        <v>0.97962112759314512</v>
      </c>
      <c r="W126" s="151">
        <f t="shared" si="167"/>
        <v>0.98181185637688206</v>
      </c>
      <c r="X126" s="151">
        <f t="shared" si="167"/>
        <v>0.98376708181636718</v>
      </c>
      <c r="Y126" s="151">
        <f t="shared" si="167"/>
        <v>0.9855121205211077</v>
      </c>
      <c r="Z126" s="151">
        <f t="shared" si="167"/>
        <v>0.98706956756508868</v>
      </c>
      <c r="AA126" s="151">
        <f t="shared" si="167"/>
        <v>0.98845958905184161</v>
      </c>
      <c r="AB126" s="151">
        <f t="shared" si="167"/>
        <v>0.98970018322876863</v>
      </c>
      <c r="AC126" s="151">
        <f t="shared" si="167"/>
        <v>0.99080741353167601</v>
      </c>
      <c r="AD126" s="136">
        <f>((AC126/H126)^(1/($AC$3-$I$1) ))-1</f>
        <v>4.425988456772556E-3</v>
      </c>
      <c r="AE126" s="20"/>
      <c r="AF126" s="20"/>
    </row>
    <row r="127" spans="2:32" x14ac:dyDescent="0.2">
      <c r="B127" s="20"/>
      <c r="C127" s="20"/>
      <c r="D127" s="217"/>
      <c r="E127" s="20"/>
      <c r="F127" s="180"/>
      <c r="G127" s="180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27"/>
      <c r="S127" s="20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27"/>
      <c r="AE127" s="20"/>
      <c r="AF127" s="20"/>
    </row>
    <row r="128" spans="2:32" x14ac:dyDescent="0.2">
      <c r="B128" s="20" t="s">
        <v>334</v>
      </c>
      <c r="C128" s="151"/>
      <c r="D128" s="180"/>
      <c r="E128" s="151"/>
      <c r="F128" s="180" t="e">
        <f>F52/F44</f>
        <v>#DIV/0!</v>
      </c>
      <c r="G128" s="180">
        <f>G52/G44</f>
        <v>0</v>
      </c>
      <c r="H128" s="151">
        <f>H52/H44</f>
        <v>0</v>
      </c>
      <c r="I128" s="151">
        <f>I52/I44</f>
        <v>0</v>
      </c>
      <c r="J128" s="151">
        <f>J52/J44</f>
        <v>0</v>
      </c>
      <c r="K128" s="151">
        <f>K52/K44</f>
        <v>0</v>
      </c>
      <c r="L128" s="151">
        <f>L52/L44</f>
        <v>0</v>
      </c>
      <c r="M128" s="151">
        <f>M52/M44</f>
        <v>0</v>
      </c>
      <c r="N128" s="151">
        <f>N52/N44</f>
        <v>0</v>
      </c>
      <c r="O128" s="151">
        <f>O52/O44</f>
        <v>0</v>
      </c>
      <c r="P128" s="151">
        <f>P52/P44</f>
        <v>0</v>
      </c>
      <c r="Q128" s="151">
        <f>Q52/Q44</f>
        <v>0</v>
      </c>
      <c r="R128" s="118" t="e">
        <f>((Q128/H128)^(1/($I$2-$I$1) ))-1</f>
        <v>#DIV/0!</v>
      </c>
      <c r="S128" s="20"/>
      <c r="T128" s="151">
        <f>T52/T44</f>
        <v>0</v>
      </c>
      <c r="U128" s="151">
        <f>U52/U44</f>
        <v>0</v>
      </c>
      <c r="V128" s="151">
        <f>V52/V44</f>
        <v>0</v>
      </c>
      <c r="W128" s="151">
        <f>W52/W44</f>
        <v>0</v>
      </c>
      <c r="X128" s="151">
        <f>X52/X44</f>
        <v>0</v>
      </c>
      <c r="Y128" s="151">
        <f>Y52/Y44</f>
        <v>0</v>
      </c>
      <c r="Z128" s="151">
        <f>Z52/Z44</f>
        <v>0</v>
      </c>
      <c r="AA128" s="151">
        <f>AA52/AA44</f>
        <v>0</v>
      </c>
      <c r="AB128" s="151">
        <f>AB52/AB44</f>
        <v>0</v>
      </c>
      <c r="AC128" s="151">
        <f>AC52/AC44</f>
        <v>0</v>
      </c>
      <c r="AD128" s="136" t="e">
        <f>((AC128/H128)^(1/($AC$3-$I$1) ))-1</f>
        <v>#DIV/0!</v>
      </c>
      <c r="AE128" s="20"/>
      <c r="AF128" s="20"/>
    </row>
    <row r="129" spans="2:32" x14ac:dyDescent="0.2">
      <c r="B129" s="20" t="s">
        <v>331</v>
      </c>
      <c r="C129" s="151"/>
      <c r="D129" s="180"/>
      <c r="E129" s="151"/>
      <c r="F129" s="180" t="e">
        <f>F53/F44</f>
        <v>#DIV/0!</v>
      </c>
      <c r="G129" s="180">
        <f>G53/G44</f>
        <v>0</v>
      </c>
      <c r="H129" s="151">
        <f>H53/H44</f>
        <v>0</v>
      </c>
      <c r="I129" s="151">
        <f>I53/I44</f>
        <v>0</v>
      </c>
      <c r="J129" s="151">
        <f>J53/J44</f>
        <v>0</v>
      </c>
      <c r="K129" s="151">
        <f>K53/K44</f>
        <v>0</v>
      </c>
      <c r="L129" s="151">
        <f>L53/L44</f>
        <v>0</v>
      </c>
      <c r="M129" s="151">
        <f>M53/M44</f>
        <v>0</v>
      </c>
      <c r="N129" s="151">
        <f>N53/N44</f>
        <v>0</v>
      </c>
      <c r="O129" s="151">
        <f>O53/O44</f>
        <v>0</v>
      </c>
      <c r="P129" s="151">
        <f>P53/P44</f>
        <v>0</v>
      </c>
      <c r="Q129" s="151">
        <f>Q53/Q44</f>
        <v>0</v>
      </c>
      <c r="R129" s="118" t="e">
        <f>((Q129/H129)^(1/($I$2-$I$1) ))-1</f>
        <v>#DIV/0!</v>
      </c>
      <c r="S129" s="20"/>
      <c r="T129" s="151">
        <f>T53/T44</f>
        <v>0</v>
      </c>
      <c r="U129" s="151">
        <f>U53/U44</f>
        <v>0</v>
      </c>
      <c r="V129" s="151">
        <f>V53/V44</f>
        <v>0</v>
      </c>
      <c r="W129" s="151">
        <f>W53/W44</f>
        <v>0</v>
      </c>
      <c r="X129" s="151">
        <f>X53/X44</f>
        <v>0</v>
      </c>
      <c r="Y129" s="151">
        <f>Y53/Y44</f>
        <v>0</v>
      </c>
      <c r="Z129" s="151">
        <f>Z53/Z44</f>
        <v>0</v>
      </c>
      <c r="AA129" s="151">
        <f>AA53/AA44</f>
        <v>0</v>
      </c>
      <c r="AB129" s="151">
        <f>AB53/AB44</f>
        <v>0</v>
      </c>
      <c r="AC129" s="151">
        <f>AC53/AC44</f>
        <v>0</v>
      </c>
      <c r="AD129" s="136" t="e">
        <f>((AC129/H129)^(1/($AC$3-$I$1) ))-1</f>
        <v>#DIV/0!</v>
      </c>
      <c r="AE129" s="20"/>
      <c r="AF129" s="20"/>
    </row>
    <row r="130" spans="2:32" x14ac:dyDescent="0.2">
      <c r="B130" s="20"/>
      <c r="C130" s="20"/>
      <c r="D130" s="217"/>
      <c r="E130" s="20"/>
      <c r="F130" s="180"/>
      <c r="G130" s="180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27"/>
      <c r="S130" s="20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27"/>
      <c r="AE130" s="20"/>
      <c r="AF130" s="20"/>
    </row>
    <row r="131" spans="2:32" x14ac:dyDescent="0.2">
      <c r="B131" s="20" t="s">
        <v>355</v>
      </c>
      <c r="C131" s="20"/>
      <c r="D131" s="217"/>
      <c r="E131" s="20"/>
      <c r="F131" s="180" t="e">
        <f>F46/F44</f>
        <v>#DIV/0!</v>
      </c>
      <c r="G131" s="180">
        <f>G46/G44</f>
        <v>0.82817869415807566</v>
      </c>
      <c r="H131" s="151">
        <f>H46/H44</f>
        <v>0.88926940639269403</v>
      </c>
      <c r="I131" s="151">
        <f>I46/I44</f>
        <v>0.82272117962466484</v>
      </c>
      <c r="J131" s="151">
        <f>J46/J44</f>
        <v>0.87889273356401387</v>
      </c>
      <c r="K131" s="151">
        <f>K46/K44</f>
        <v>0.87508141200989975</v>
      </c>
      <c r="L131" s="151">
        <f>L46/L44</f>
        <v>0.90906558975073115</v>
      </c>
      <c r="M131" s="151">
        <f>M46/M44</f>
        <v>0.85743424584004291</v>
      </c>
      <c r="N131" s="151">
        <f>N46/N44</f>
        <v>0.85816308081721204</v>
      </c>
      <c r="O131" s="151">
        <f>O46/O44</f>
        <v>0.85783447321908857</v>
      </c>
      <c r="P131" s="151">
        <f>P46/P44</f>
        <v>0.86181818181818182</v>
      </c>
      <c r="Q131" s="151">
        <f>Q46/Q44</f>
        <v>0.85452860782951123</v>
      </c>
      <c r="R131" s="118">
        <f>((Q131/H131)^(1/($I$2-$I$1) ))-1</f>
        <v>-4.4180175967727386E-3</v>
      </c>
      <c r="S131" s="20"/>
      <c r="T131" s="151">
        <f>T46/T44</f>
        <v>0.85452860782951134</v>
      </c>
      <c r="U131" s="151">
        <f>U46/U44</f>
        <v>0.85452860782951123</v>
      </c>
      <c r="V131" s="151">
        <f>V46/V44</f>
        <v>0.85452860782951134</v>
      </c>
      <c r="W131" s="151">
        <f>W46/W44</f>
        <v>0.85452860782951134</v>
      </c>
      <c r="X131" s="151">
        <f>X46/X44</f>
        <v>0.85452860782951134</v>
      </c>
      <c r="Y131" s="151">
        <f>Y46/Y44</f>
        <v>0.85452860782951146</v>
      </c>
      <c r="Z131" s="151">
        <f>Z46/Z44</f>
        <v>0.85452860782951146</v>
      </c>
      <c r="AA131" s="151">
        <f>AA46/AA44</f>
        <v>0.85452860782951134</v>
      </c>
      <c r="AB131" s="151">
        <f>AB46/AB44</f>
        <v>0.85452860782951146</v>
      </c>
      <c r="AC131" s="151">
        <f>AC46/AC44</f>
        <v>0.85452860782951134</v>
      </c>
      <c r="AD131" s="136">
        <f>((AC131/H131)^(1/($AC$3-$I$1) ))-1</f>
        <v>-1.9905289090964562E-3</v>
      </c>
      <c r="AE131" s="20"/>
      <c r="AF131" s="20"/>
    </row>
    <row r="132" spans="2:32" x14ac:dyDescent="0.2">
      <c r="B132" s="20" t="str">
        <f>B54</f>
        <v>Top Expenses ( Raw material )</v>
      </c>
      <c r="C132" s="20"/>
      <c r="D132" s="217"/>
      <c r="E132" s="20"/>
      <c r="F132" s="180" t="e">
        <f>F54/F44</f>
        <v>#DIV/0!</v>
      </c>
      <c r="G132" s="180">
        <f>G54/G44</f>
        <v>0</v>
      </c>
      <c r="H132" s="151">
        <f>H54/H44</f>
        <v>0</v>
      </c>
      <c r="I132" s="151">
        <f>I54/I44</f>
        <v>0</v>
      </c>
      <c r="J132" s="151">
        <f>J54/J44</f>
        <v>0</v>
      </c>
      <c r="K132" s="151">
        <f>K54/K44</f>
        <v>0</v>
      </c>
      <c r="L132" s="151">
        <f>L54/L44</f>
        <v>0</v>
      </c>
      <c r="M132" s="151">
        <f>M54/M44</f>
        <v>0</v>
      </c>
      <c r="N132" s="151">
        <f>N54/N44</f>
        <v>0</v>
      </c>
      <c r="O132" s="151">
        <f>O54/O44</f>
        <v>0</v>
      </c>
      <c r="P132" s="151">
        <f>P54/P44</f>
        <v>0</v>
      </c>
      <c r="Q132" s="151">
        <f>Q54/Q44</f>
        <v>0</v>
      </c>
      <c r="R132" s="118" t="e">
        <f>((Q132/H132)^(1/($I$2-$I$1) ))-1</f>
        <v>#DIV/0!</v>
      </c>
      <c r="S132" s="20"/>
      <c r="T132" s="151">
        <f>T54/T44</f>
        <v>0</v>
      </c>
      <c r="U132" s="151">
        <f>U54/U44</f>
        <v>0</v>
      </c>
      <c r="V132" s="151">
        <f>V54/V44</f>
        <v>0</v>
      </c>
      <c r="W132" s="151">
        <f>W54/W44</f>
        <v>0</v>
      </c>
      <c r="X132" s="151">
        <f>X54/X44</f>
        <v>0</v>
      </c>
      <c r="Y132" s="151">
        <f>Y54/Y44</f>
        <v>0</v>
      </c>
      <c r="Z132" s="151">
        <f>Z54/Z44</f>
        <v>0</v>
      </c>
      <c r="AA132" s="151">
        <f>AA54/AA44</f>
        <v>0</v>
      </c>
      <c r="AB132" s="151">
        <f>AB54/AB44</f>
        <v>0</v>
      </c>
      <c r="AC132" s="151">
        <f>AC54/AC44</f>
        <v>0</v>
      </c>
      <c r="AD132" s="136" t="e">
        <f>((AC132/H132)^(1/($AC$3-$I$1) ))-1</f>
        <v>#DIV/0!</v>
      </c>
      <c r="AE132" s="20"/>
      <c r="AF132" s="20"/>
    </row>
    <row r="133" spans="2:32" x14ac:dyDescent="0.2">
      <c r="B133" s="20" t="str">
        <f>B55</f>
        <v>2nd highest Expenses Comp. ( Empl )</v>
      </c>
      <c r="C133" s="20"/>
      <c r="D133" s="217"/>
      <c r="E133" s="20"/>
      <c r="F133" s="180" t="e">
        <f>F55/F44</f>
        <v>#DIV/0!</v>
      </c>
      <c r="G133" s="180">
        <f>G55/G44</f>
        <v>0</v>
      </c>
      <c r="H133" s="151">
        <f>H55/H44</f>
        <v>0</v>
      </c>
      <c r="I133" s="151">
        <f>I55/I44</f>
        <v>0</v>
      </c>
      <c r="J133" s="151">
        <f>J55/J44</f>
        <v>0</v>
      </c>
      <c r="K133" s="151">
        <f>K55/K44</f>
        <v>0</v>
      </c>
      <c r="L133" s="151">
        <f>L55/L44</f>
        <v>0</v>
      </c>
      <c r="M133" s="151">
        <f>M55/M44</f>
        <v>0</v>
      </c>
      <c r="N133" s="151">
        <f>N55/N44</f>
        <v>0</v>
      </c>
      <c r="O133" s="151">
        <f>O55/O44</f>
        <v>0</v>
      </c>
      <c r="P133" s="151">
        <f>P55/P44</f>
        <v>0</v>
      </c>
      <c r="Q133" s="151">
        <f>Q55/Q44</f>
        <v>0</v>
      </c>
      <c r="R133" s="118" t="e">
        <f>((Q133/H133)^(1/($I$2-$I$1) ))-1</f>
        <v>#DIV/0!</v>
      </c>
      <c r="S133" s="20"/>
      <c r="T133" s="151">
        <f>T55/T44</f>
        <v>0</v>
      </c>
      <c r="U133" s="151">
        <f>U55/U44</f>
        <v>0</v>
      </c>
      <c r="V133" s="151">
        <f>V55/V44</f>
        <v>0</v>
      </c>
      <c r="W133" s="151">
        <f>W55/W44</f>
        <v>0</v>
      </c>
      <c r="X133" s="151">
        <f>X55/X44</f>
        <v>0</v>
      </c>
      <c r="Y133" s="151">
        <f>Y55/Y44</f>
        <v>0</v>
      </c>
      <c r="Z133" s="151">
        <f>Z55/Z44</f>
        <v>0</v>
      </c>
      <c r="AA133" s="151">
        <f>AA55/AA44</f>
        <v>0</v>
      </c>
      <c r="AB133" s="151">
        <f>AB55/AB44</f>
        <v>0</v>
      </c>
      <c r="AC133" s="151">
        <f>AC55/AC44</f>
        <v>0</v>
      </c>
      <c r="AD133" s="136" t="e">
        <f>((AC133/H133)^(1/($AC$3-$I$1) ))-1</f>
        <v>#DIV/0!</v>
      </c>
      <c r="AE133" s="20"/>
      <c r="AF133" s="20"/>
    </row>
    <row r="134" spans="2:32" x14ac:dyDescent="0.2">
      <c r="B134" s="20"/>
      <c r="C134" s="20"/>
      <c r="D134" s="217"/>
      <c r="E134" s="20"/>
      <c r="F134" s="217"/>
      <c r="G134" s="21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27"/>
      <c r="S134" s="127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37"/>
      <c r="AE134" s="20"/>
      <c r="AF134" s="20"/>
    </row>
    <row r="135" spans="2:32" x14ac:dyDescent="0.2">
      <c r="B135" s="108" t="s">
        <v>377</v>
      </c>
      <c r="C135" s="20"/>
      <c r="D135" s="217"/>
      <c r="E135" s="20"/>
      <c r="F135" s="197"/>
      <c r="G135" s="19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27"/>
      <c r="S135" s="127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127"/>
      <c r="AE135" s="20"/>
      <c r="AF135" s="20"/>
    </row>
    <row r="136" spans="2:32" x14ac:dyDescent="0.2">
      <c r="B136" s="20" t="s">
        <v>378</v>
      </c>
      <c r="C136" s="20"/>
      <c r="D136" s="217"/>
      <c r="E136" s="20"/>
      <c r="F136" s="217" t="e">
        <f>F17/F9</f>
        <v>#DIV/0!</v>
      </c>
      <c r="G136" s="217" t="e">
        <f>G17/G9</f>
        <v>#DIV/0!</v>
      </c>
      <c r="H136" s="20" t="e">
        <f>H17/H9</f>
        <v>#DIV/0!</v>
      </c>
      <c r="I136" s="20" t="e">
        <f>I17/I9</f>
        <v>#DIV/0!</v>
      </c>
      <c r="J136" s="20" t="e">
        <f>J17/J9</f>
        <v>#DIV/0!</v>
      </c>
      <c r="K136" s="20" t="e">
        <f>K17/K9</f>
        <v>#DIV/0!</v>
      </c>
      <c r="L136" s="20" t="e">
        <f>L17/L9</f>
        <v>#DIV/0!</v>
      </c>
      <c r="M136" s="20" t="e">
        <f>M17/M9</f>
        <v>#DIV/0!</v>
      </c>
      <c r="N136" s="20" t="e">
        <f>N17/N9</f>
        <v>#DIV/0!</v>
      </c>
      <c r="O136" s="20" t="e">
        <f>O17/O9</f>
        <v>#DIV/0!</v>
      </c>
      <c r="P136" s="20" t="e">
        <f>P17/P9</f>
        <v>#DIV/0!</v>
      </c>
      <c r="Q136" s="20" t="e">
        <f>Q17/Q9</f>
        <v>#DIV/0!</v>
      </c>
      <c r="R136" s="118" t="e">
        <f>((Q136/H136)^(1/($I$2-$I$1) ))-1</f>
        <v>#DIV/0!</v>
      </c>
      <c r="S136" s="20"/>
      <c r="T136" s="20" t="e">
        <f>T17/T9</f>
        <v>#DIV/0!</v>
      </c>
      <c r="U136" s="20" t="e">
        <f>U17/U9</f>
        <v>#DIV/0!</v>
      </c>
      <c r="V136" s="20" t="e">
        <f>V17/V9</f>
        <v>#DIV/0!</v>
      </c>
      <c r="W136" s="20" t="e">
        <f>W17/W9</f>
        <v>#DIV/0!</v>
      </c>
      <c r="X136" s="20" t="e">
        <f>X17/X9</f>
        <v>#DIV/0!</v>
      </c>
      <c r="Y136" s="20" t="e">
        <f>Y17/Y9</f>
        <v>#DIV/0!</v>
      </c>
      <c r="Z136" s="20" t="e">
        <f>Z17/Z9</f>
        <v>#DIV/0!</v>
      </c>
      <c r="AA136" s="20" t="e">
        <f>AA17/AA9</f>
        <v>#DIV/0!</v>
      </c>
      <c r="AB136" s="20" t="e">
        <f>AB17/AB9</f>
        <v>#DIV/0!</v>
      </c>
      <c r="AC136" s="20" t="e">
        <f>AC17/AC9</f>
        <v>#DIV/0!</v>
      </c>
      <c r="AD136" s="136" t="e">
        <f>((AC136/H136)^(1/($AC$3-$I$1) ))-1</f>
        <v>#DIV/0!</v>
      </c>
      <c r="AE136" s="20"/>
      <c r="AF136" s="20"/>
    </row>
    <row r="137" spans="2:32" x14ac:dyDescent="0.2">
      <c r="B137" s="20" t="s">
        <v>356</v>
      </c>
      <c r="C137" s="20"/>
      <c r="D137" s="217"/>
      <c r="E137" s="20"/>
      <c r="F137" s="217" t="e">
        <f>F12/F9</f>
        <v>#DIV/0!</v>
      </c>
      <c r="G137" s="217" t="e">
        <f>G12/G9</f>
        <v>#DIV/0!</v>
      </c>
      <c r="H137" s="20" t="e">
        <f>H12/H9</f>
        <v>#DIV/0!</v>
      </c>
      <c r="I137" s="20" t="e">
        <f>I12/I9</f>
        <v>#DIV/0!</v>
      </c>
      <c r="J137" s="20" t="e">
        <f>J12/J9</f>
        <v>#DIV/0!</v>
      </c>
      <c r="K137" s="20" t="e">
        <f>K12/K9</f>
        <v>#DIV/0!</v>
      </c>
      <c r="L137" s="20" t="e">
        <f>L12/L9</f>
        <v>#DIV/0!</v>
      </c>
      <c r="M137" s="20" t="e">
        <f>M12/M9</f>
        <v>#DIV/0!</v>
      </c>
      <c r="N137" s="20" t="e">
        <f>N12/N9</f>
        <v>#DIV/0!</v>
      </c>
      <c r="O137" s="20" t="e">
        <f>O12/O9</f>
        <v>#DIV/0!</v>
      </c>
      <c r="P137" s="20" t="e">
        <f>P12/P9</f>
        <v>#DIV/0!</v>
      </c>
      <c r="Q137" s="20" t="e">
        <f>Q12/Q9</f>
        <v>#DIV/0!</v>
      </c>
      <c r="R137" s="118" t="e">
        <f>((Q137/H137)^(1/($I$2-$I$1) ))-1</f>
        <v>#DIV/0!</v>
      </c>
      <c r="S137" s="127"/>
      <c r="T137" s="20" t="e">
        <f>T12/T9</f>
        <v>#DIV/0!</v>
      </c>
      <c r="U137" s="20" t="e">
        <f>U12/U9</f>
        <v>#DIV/0!</v>
      </c>
      <c r="V137" s="20" t="e">
        <f>V12/V9</f>
        <v>#DIV/0!</v>
      </c>
      <c r="W137" s="20" t="e">
        <f>W12/W9</f>
        <v>#DIV/0!</v>
      </c>
      <c r="X137" s="20" t="e">
        <f>X12/X9</f>
        <v>#DIV/0!</v>
      </c>
      <c r="Y137" s="20" t="e">
        <f>Y12/Y9</f>
        <v>#DIV/0!</v>
      </c>
      <c r="Z137" s="20" t="e">
        <f>Z12/Z9</f>
        <v>#DIV/0!</v>
      </c>
      <c r="AA137" s="20" t="e">
        <f>AA12/AA9</f>
        <v>#DIV/0!</v>
      </c>
      <c r="AB137" s="20" t="e">
        <f>AB12/AB9</f>
        <v>#DIV/0!</v>
      </c>
      <c r="AC137" s="20" t="e">
        <f>AC12/AC9</f>
        <v>#DIV/0!</v>
      </c>
      <c r="AD137" s="118" t="e">
        <f t="shared" ref="AD137" si="168">((AC137/T137)^(1/($I$2-$I$1) ))-1</f>
        <v>#DIV/0!</v>
      </c>
      <c r="AE137" s="20"/>
      <c r="AF137" s="20"/>
    </row>
    <row r="138" spans="2:32" x14ac:dyDescent="0.2">
      <c r="B138" s="20" t="s">
        <v>358</v>
      </c>
      <c r="C138" s="20"/>
      <c r="D138" s="217"/>
      <c r="E138" s="20"/>
      <c r="F138" s="197">
        <f>F44/360</f>
        <v>0</v>
      </c>
      <c r="G138" s="197">
        <f>G44/360</f>
        <v>3.2333333333333334</v>
      </c>
      <c r="H138" s="25">
        <f>H44/360</f>
        <v>4.8666666666666663</v>
      </c>
      <c r="I138" s="25">
        <f>I44/360</f>
        <v>8.2888888888888896</v>
      </c>
      <c r="J138" s="25">
        <f>J44/360</f>
        <v>12.041666666666666</v>
      </c>
      <c r="K138" s="25">
        <f>K44/360</f>
        <v>21.324999999999999</v>
      </c>
      <c r="L138" s="25">
        <f>L44/360</f>
        <v>19.947222222222223</v>
      </c>
      <c r="M138" s="25">
        <f>M44/360</f>
        <v>25.875</v>
      </c>
      <c r="N138" s="25">
        <f>N44/360</f>
        <v>30.727777777777778</v>
      </c>
      <c r="O138" s="25">
        <f>O44/360</f>
        <v>36.147222222222226</v>
      </c>
      <c r="P138" s="25">
        <f>P44/360</f>
        <v>44.305555555555557</v>
      </c>
      <c r="Q138" s="25">
        <f>Q44/360</f>
        <v>47.966666666666669</v>
      </c>
      <c r="R138" s="118">
        <f>((Q138/H138)^(1/($I$2-$I$1) ))-1</f>
        <v>0.28947222849884024</v>
      </c>
      <c r="S138" s="127"/>
      <c r="T138" s="25">
        <f>T44/360</f>
        <v>57.559999999999995</v>
      </c>
      <c r="U138" s="25">
        <f>U44/360</f>
        <v>69.071999999999989</v>
      </c>
      <c r="V138" s="25">
        <f>V44/360</f>
        <v>82.886399999999995</v>
      </c>
      <c r="W138" s="25">
        <f>W44/360</f>
        <v>99.463679999999982</v>
      </c>
      <c r="X138" s="25">
        <f>X44/360</f>
        <v>119.35641599999997</v>
      </c>
      <c r="Y138" s="25">
        <f>Y44/360</f>
        <v>143.22769919999996</v>
      </c>
      <c r="Z138" s="25">
        <f>Z44/360</f>
        <v>171.87323903999993</v>
      </c>
      <c r="AA138" s="25">
        <f>AA44/360</f>
        <v>206.24788684799992</v>
      </c>
      <c r="AB138" s="25">
        <f>AB44/360</f>
        <v>247.49746421759991</v>
      </c>
      <c r="AC138" s="25">
        <f>AC44/360</f>
        <v>296.99695706111987</v>
      </c>
      <c r="AD138" s="118">
        <f t="shared" ref="AD138:AD145" si="169">((AC138/T138)^(1/($I$2-$I$1) ))-1</f>
        <v>0.19999999999999996</v>
      </c>
      <c r="AE138" s="20"/>
      <c r="AF138" s="20"/>
    </row>
    <row r="139" spans="2:32" x14ac:dyDescent="0.2">
      <c r="B139" s="20" t="s">
        <v>357</v>
      </c>
      <c r="C139" s="20"/>
      <c r="D139" s="217"/>
      <c r="E139" s="20"/>
      <c r="F139" s="197">
        <f>F46/360</f>
        <v>0</v>
      </c>
      <c r="G139" s="197">
        <f>G46/360</f>
        <v>2.6777777777777776</v>
      </c>
      <c r="H139" s="25">
        <f>H46/360</f>
        <v>4.3277777777777775</v>
      </c>
      <c r="I139" s="25">
        <f>I46/360</f>
        <v>6.8194444444444446</v>
      </c>
      <c r="J139" s="25">
        <f>J46/360</f>
        <v>10.583333333333334</v>
      </c>
      <c r="K139" s="25">
        <f>K46/360</f>
        <v>18.661111111111111</v>
      </c>
      <c r="L139" s="25">
        <f>L46/360</f>
        <v>18.133333333333333</v>
      </c>
      <c r="M139" s="25">
        <f>M46/360</f>
        <v>22.18611111111111</v>
      </c>
      <c r="N139" s="25">
        <f>N46/360</f>
        <v>26.369444444444444</v>
      </c>
      <c r="O139" s="25">
        <f>O46/360</f>
        <v>31.008333333333333</v>
      </c>
      <c r="P139" s="25">
        <f>P46/360</f>
        <v>38.18333333333333</v>
      </c>
      <c r="Q139" s="25">
        <f>Q46/360</f>
        <v>40.988888888888887</v>
      </c>
      <c r="R139" s="118">
        <f>((Q139/H139)^(1/($I$2-$I$1) ))-1</f>
        <v>0.28377531750278262</v>
      </c>
      <c r="S139" s="127"/>
      <c r="T139" s="25">
        <f>T46/360</f>
        <v>49.186666666666667</v>
      </c>
      <c r="U139" s="25">
        <f>U46/360</f>
        <v>59.024000000000001</v>
      </c>
      <c r="V139" s="25">
        <f>V46/360</f>
        <v>70.828800000000001</v>
      </c>
      <c r="W139" s="25">
        <f>W46/360</f>
        <v>84.994559999999993</v>
      </c>
      <c r="X139" s="25">
        <f>X46/360</f>
        <v>101.99347199999998</v>
      </c>
      <c r="Y139" s="25">
        <f>Y46/360</f>
        <v>122.39216639999999</v>
      </c>
      <c r="Z139" s="25">
        <f>Z46/360</f>
        <v>146.87059967999997</v>
      </c>
      <c r="AA139" s="25">
        <f>AA46/360</f>
        <v>176.24471961599997</v>
      </c>
      <c r="AB139" s="25">
        <f>AB46/360</f>
        <v>211.49366353919999</v>
      </c>
      <c r="AC139" s="25">
        <f>AC46/360</f>
        <v>253.79239624703996</v>
      </c>
      <c r="AD139" s="118">
        <f t="shared" si="169"/>
        <v>0.19999999999999996</v>
      </c>
      <c r="AE139" s="20"/>
      <c r="AF139" s="20"/>
    </row>
    <row r="140" spans="2:32" x14ac:dyDescent="0.2">
      <c r="B140" s="20"/>
      <c r="C140" s="20"/>
      <c r="D140" s="217"/>
      <c r="E140" s="20"/>
      <c r="F140" s="197"/>
      <c r="G140" s="19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127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127"/>
      <c r="AE140" s="20"/>
      <c r="AF140" s="20"/>
    </row>
    <row r="141" spans="2:32" x14ac:dyDescent="0.2">
      <c r="B141" s="20" t="s">
        <v>379</v>
      </c>
      <c r="C141" s="20"/>
      <c r="D141" s="217"/>
      <c r="E141" s="20"/>
      <c r="F141" s="197" t="e">
        <f>F10/F7</f>
        <v>#DIV/0!</v>
      </c>
      <c r="G141" s="197">
        <f>G10/G7</f>
        <v>5.9255663430420711</v>
      </c>
      <c r="H141" s="25">
        <f>H10/H7</f>
        <v>5.1331521739130439</v>
      </c>
      <c r="I141" s="25">
        <f>I10/I7</f>
        <v>5.0549158547387067</v>
      </c>
      <c r="J141" s="25">
        <f>J10/J7</f>
        <v>6.0245323520392517</v>
      </c>
      <c r="K141" s="25">
        <f>K10/K7</f>
        <v>4.4991499489969398</v>
      </c>
      <c r="L141" s="25">
        <f>L10/L7</f>
        <v>3.762019957665558</v>
      </c>
      <c r="M141" s="25">
        <f>M10/M7</f>
        <v>4.4826114249843068</v>
      </c>
      <c r="N141" s="25">
        <f>N10/N7</f>
        <v>4.4900445495045007</v>
      </c>
      <c r="O141" s="25">
        <f>O10/O7</f>
        <v>5.075763432547352</v>
      </c>
      <c r="P141" s="25">
        <f>P10/P7</f>
        <v>5.6698107028230824</v>
      </c>
      <c r="Q141" s="25">
        <f>Q10/Q7</f>
        <v>4.4747432404108149</v>
      </c>
      <c r="R141" s="118">
        <f>((Q141/H141)^(1/($I$2-$I$1) ))-1</f>
        <v>-1.5136600768808517E-2</v>
      </c>
      <c r="S141" s="127"/>
      <c r="T141" s="25">
        <f>T10/T7</f>
        <v>4.4747432404108149</v>
      </c>
      <c r="U141" s="25">
        <f>U10/U7</f>
        <v>4.4747432404108149</v>
      </c>
      <c r="V141" s="25">
        <f>V10/V7</f>
        <v>4.4747432404108149</v>
      </c>
      <c r="W141" s="25">
        <f>W10/W7</f>
        <v>4.4747432404108149</v>
      </c>
      <c r="X141" s="25">
        <f>X10/X7</f>
        <v>4.4747432404108149</v>
      </c>
      <c r="Y141" s="25">
        <f>Y10/Y7</f>
        <v>4.4747432404108149</v>
      </c>
      <c r="Z141" s="25">
        <f>Z10/Z7</f>
        <v>4.4747432404108141</v>
      </c>
      <c r="AA141" s="25">
        <f>AA10/AA7</f>
        <v>4.4747432404108141</v>
      </c>
      <c r="AB141" s="25">
        <f>AB10/AB7</f>
        <v>4.4747432404108141</v>
      </c>
      <c r="AC141" s="25">
        <f>AC10/AC7</f>
        <v>4.4747432404108149</v>
      </c>
      <c r="AD141" s="118">
        <f t="shared" si="169"/>
        <v>0</v>
      </c>
      <c r="AE141" s="20"/>
      <c r="AF141" s="20"/>
    </row>
    <row r="142" spans="2:32" x14ac:dyDescent="0.2">
      <c r="B142" s="20" t="s">
        <v>359</v>
      </c>
      <c r="C142" s="20"/>
      <c r="D142" s="217"/>
      <c r="E142" s="20"/>
      <c r="F142" s="197" t="e">
        <f>F10/(F10+F7)</f>
        <v>#DIV/0!</v>
      </c>
      <c r="G142" s="197">
        <f>G10/(G10+G7)</f>
        <v>0.85560747663551406</v>
      </c>
      <c r="H142" s="25">
        <f>H10/(H10+H7)</f>
        <v>0.83695170580416478</v>
      </c>
      <c r="I142" s="25">
        <f>I10/(I10+I7)</f>
        <v>0.83484493856056174</v>
      </c>
      <c r="J142" s="25">
        <f>J10/(J10+J7)</f>
        <v>0.85764176889160515</v>
      </c>
      <c r="K142" s="25">
        <f>K10/(K10+K7)</f>
        <v>0.81815371297842088</v>
      </c>
      <c r="L142" s="25">
        <f>L10/(L10+L7)</f>
        <v>0.79000508001016001</v>
      </c>
      <c r="M142" s="25">
        <f>M10/(M10+M7)</f>
        <v>0.81760516613616063</v>
      </c>
      <c r="N142" s="25">
        <f>N10/(N10+N7)</f>
        <v>0.81785211559162041</v>
      </c>
      <c r="O142" s="25">
        <f>O10/(O10+O7)</f>
        <v>0.83541162997836871</v>
      </c>
      <c r="P142" s="25">
        <f>P10/(P10+P7)</f>
        <v>0.85007070746749425</v>
      </c>
      <c r="Q142" s="25">
        <f>Q10/(Q10+Q7)</f>
        <v>0.81734303215926496</v>
      </c>
      <c r="R142" s="118">
        <f>((Q142/H142)^(1/($I$2-$I$1) ))-1</f>
        <v>-2.6306997312525171E-3</v>
      </c>
      <c r="S142" s="127"/>
      <c r="T142" s="25">
        <f>T10/(T10+T7)</f>
        <v>0.81734303215926496</v>
      </c>
      <c r="U142" s="25">
        <f>U10/(U10+U7)</f>
        <v>0.81734303215926496</v>
      </c>
      <c r="V142" s="25">
        <f>V10/(V10+V7)</f>
        <v>0.81734303215926485</v>
      </c>
      <c r="W142" s="25">
        <f>W10/(W10+W7)</f>
        <v>0.81734303215926496</v>
      </c>
      <c r="X142" s="25">
        <f>X10/(X10+X7)</f>
        <v>0.81734303215926496</v>
      </c>
      <c r="Y142" s="25">
        <f>Y10/(Y10+Y7)</f>
        <v>0.81734303215926496</v>
      </c>
      <c r="Z142" s="25">
        <f>Z10/(Z10+Z7)</f>
        <v>0.81734303215926485</v>
      </c>
      <c r="AA142" s="25">
        <f>AA10/(AA10+AA7)</f>
        <v>0.81734303215926485</v>
      </c>
      <c r="AB142" s="25">
        <f>AB10/(AB10+AB7)</f>
        <v>0.81734303215926485</v>
      </c>
      <c r="AC142" s="25">
        <f>AC10/(AC10+AC7)</f>
        <v>0.81734303215926496</v>
      </c>
      <c r="AD142" s="118">
        <f t="shared" si="169"/>
        <v>0</v>
      </c>
      <c r="AE142" s="20"/>
      <c r="AF142" s="20"/>
    </row>
    <row r="143" spans="2:32" x14ac:dyDescent="0.2">
      <c r="B143" s="20"/>
      <c r="C143" s="20"/>
      <c r="D143" s="217"/>
      <c r="E143" s="20"/>
      <c r="F143" s="197"/>
      <c r="G143" s="19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127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127"/>
      <c r="AE143" s="20"/>
      <c r="AF143" s="20"/>
    </row>
    <row r="144" spans="2:32" x14ac:dyDescent="0.2">
      <c r="B144" s="20" t="s">
        <v>380</v>
      </c>
      <c r="C144" s="20"/>
      <c r="D144" s="217"/>
      <c r="E144" s="20"/>
      <c r="F144" s="197">
        <f>F18</f>
        <v>0</v>
      </c>
      <c r="G144" s="197">
        <f>G18</f>
        <v>0</v>
      </c>
      <c r="H144" s="25">
        <f>H18</f>
        <v>0</v>
      </c>
      <c r="I144" s="25">
        <f>I18</f>
        <v>0</v>
      </c>
      <c r="J144" s="25">
        <f>J18</f>
        <v>0</v>
      </c>
      <c r="K144" s="25">
        <f>K18</f>
        <v>0</v>
      </c>
      <c r="L144" s="25">
        <f>L18</f>
        <v>0</v>
      </c>
      <c r="M144" s="25">
        <f>M18</f>
        <v>0</v>
      </c>
      <c r="N144" s="25">
        <f>N18</f>
        <v>0</v>
      </c>
      <c r="O144" s="25">
        <f>O18</f>
        <v>0</v>
      </c>
      <c r="P144" s="25">
        <f>P18</f>
        <v>0</v>
      </c>
      <c r="Q144" s="25">
        <f>Q18</f>
        <v>0</v>
      </c>
      <c r="R144" s="118" t="e">
        <f>((Q144/H144)^(1/($I$2-$I$1) ))-1</f>
        <v>#DIV/0!</v>
      </c>
      <c r="S144" s="127"/>
      <c r="T144" s="25">
        <f>T18</f>
        <v>0</v>
      </c>
      <c r="U144" s="25">
        <f>U18</f>
        <v>0</v>
      </c>
      <c r="V144" s="25">
        <f>V18</f>
        <v>0</v>
      </c>
      <c r="W144" s="25">
        <f>W18</f>
        <v>0</v>
      </c>
      <c r="X144" s="25">
        <f>X18</f>
        <v>0</v>
      </c>
      <c r="Y144" s="25">
        <f>Y18</f>
        <v>0</v>
      </c>
      <c r="Z144" s="25">
        <f>Z18</f>
        <v>0</v>
      </c>
      <c r="AA144" s="25">
        <f>AA18</f>
        <v>0</v>
      </c>
      <c r="AB144" s="25">
        <f>AB18</f>
        <v>0</v>
      </c>
      <c r="AC144" s="25">
        <f>AC18</f>
        <v>0</v>
      </c>
      <c r="AD144" s="118" t="e">
        <f t="shared" si="169"/>
        <v>#DIV/0!</v>
      </c>
      <c r="AE144" s="20"/>
      <c r="AF144" s="20"/>
    </row>
    <row r="145" spans="2:32" x14ac:dyDescent="0.2">
      <c r="B145" s="20" t="s">
        <v>381</v>
      </c>
      <c r="C145" s="20"/>
      <c r="D145" s="217"/>
      <c r="E145" s="20"/>
      <c r="F145" s="119" t="e">
        <f>F144*365/F48</f>
        <v>#DIV/0!</v>
      </c>
      <c r="G145" s="119">
        <f>G144*365/G48</f>
        <v>0</v>
      </c>
      <c r="H145" s="119">
        <f>H144*365/H48</f>
        <v>0</v>
      </c>
      <c r="I145" s="119">
        <f>I144*365/I48</f>
        <v>0</v>
      </c>
      <c r="J145" s="119">
        <f>J144*365/J48</f>
        <v>0</v>
      </c>
      <c r="K145" s="119">
        <f>K144*365/K48</f>
        <v>0</v>
      </c>
      <c r="L145" s="119">
        <f>L144*365/L48</f>
        <v>0</v>
      </c>
      <c r="M145" s="119">
        <f>M144*365/M48</f>
        <v>0</v>
      </c>
      <c r="N145" s="119">
        <f>N144*365/N48</f>
        <v>0</v>
      </c>
      <c r="O145" s="119">
        <f>O144*365/O48</f>
        <v>0</v>
      </c>
      <c r="P145" s="119">
        <f>P144*365/P48</f>
        <v>0</v>
      </c>
      <c r="Q145" s="119">
        <f>Q144*365/Q48</f>
        <v>0</v>
      </c>
      <c r="R145" s="118" t="e">
        <f>((Q145/H145)^(1/($I$2-$I$1) ))-1</f>
        <v>#DIV/0!</v>
      </c>
      <c r="S145" s="127"/>
      <c r="T145" s="119">
        <f>T144*365/T48</f>
        <v>0</v>
      </c>
      <c r="U145" s="119">
        <f>U144*365/U48</f>
        <v>0</v>
      </c>
      <c r="V145" s="119">
        <f>V144*365/V48</f>
        <v>0</v>
      </c>
      <c r="W145" s="119">
        <f>W144*365/W48</f>
        <v>0</v>
      </c>
      <c r="X145" s="119">
        <f>X144*365/X48</f>
        <v>0</v>
      </c>
      <c r="Y145" s="119">
        <f>Y144*365/Y48</f>
        <v>0</v>
      </c>
      <c r="Z145" s="119">
        <f>Z144*365/Z48</f>
        <v>0</v>
      </c>
      <c r="AA145" s="119">
        <f>AA144*365/AA48</f>
        <v>0</v>
      </c>
      <c r="AB145" s="119">
        <f>AB144*365/AB48</f>
        <v>0</v>
      </c>
      <c r="AC145" s="119">
        <f>AC144*365/AC48</f>
        <v>0</v>
      </c>
      <c r="AD145" s="118" t="e">
        <f t="shared" si="169"/>
        <v>#DIV/0!</v>
      </c>
      <c r="AE145" s="20"/>
      <c r="AF145" s="20"/>
    </row>
    <row r="146" spans="2:32" x14ac:dyDescent="0.2">
      <c r="B146" s="20" t="s">
        <v>382</v>
      </c>
      <c r="C146" s="20"/>
      <c r="D146" s="217"/>
      <c r="E146" s="20"/>
      <c r="F146" s="197"/>
      <c r="G146" s="19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118" t="e">
        <f>((Q146/H146)^(1/($I$2-$I$1) ))-1</f>
        <v>#DIV/0!</v>
      </c>
      <c r="S146" s="127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136"/>
      <c r="AE146" s="20"/>
      <c r="AF146" s="20"/>
    </row>
    <row r="147" spans="2:32" x14ac:dyDescent="0.2">
      <c r="B147" s="20"/>
      <c r="C147" s="20"/>
      <c r="D147" s="217"/>
      <c r="E147" s="20"/>
      <c r="F147" s="197"/>
      <c r="G147" s="19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127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127"/>
      <c r="AE147" s="20"/>
      <c r="AF147" s="20"/>
    </row>
    <row r="148" spans="2:32" x14ac:dyDescent="0.2">
      <c r="B148" s="20" t="s">
        <v>383</v>
      </c>
      <c r="C148" s="20"/>
      <c r="D148" s="217"/>
      <c r="E148" s="20"/>
      <c r="F148" s="197" t="e">
        <f>F48/F44</f>
        <v>#DIV/0!</v>
      </c>
      <c r="G148" s="197">
        <f>G48/G44</f>
        <v>0.45360824742268041</v>
      </c>
      <c r="H148" s="25">
        <f>H48/H44</f>
        <v>0.55707762557077622</v>
      </c>
      <c r="I148" s="25">
        <f>I48/I44</f>
        <v>0.60321715817694366</v>
      </c>
      <c r="J148" s="25">
        <f>J48/J44</f>
        <v>0.54279123414071506</v>
      </c>
      <c r="K148" s="25">
        <f>K48/K44</f>
        <v>0.52481438061742869</v>
      </c>
      <c r="L148" s="25">
        <f>L48/L44</f>
        <v>0.39186742793482804</v>
      </c>
      <c r="M148" s="25">
        <f>M48/M44</f>
        <v>0.50606548577563071</v>
      </c>
      <c r="N148" s="25">
        <f>N48/N44</f>
        <v>0.46004339179171938</v>
      </c>
      <c r="O148" s="25">
        <f>O48/O44</f>
        <v>0.34911242603550297</v>
      </c>
      <c r="P148" s="25">
        <f>P48/P44</f>
        <v>0.32050156739811914</v>
      </c>
      <c r="Q148" s="25">
        <f>Q48/Q44</f>
        <v>0.30588371554320132</v>
      </c>
      <c r="R148" s="118">
        <f>((Q148/H148)^(1/($I$2-$I$1) ))-1</f>
        <v>-6.4440997123480059E-2</v>
      </c>
      <c r="S148" s="127"/>
      <c r="T148" s="25">
        <f>T48/T44</f>
        <v>0.28039340591460127</v>
      </c>
      <c r="U148" s="25">
        <f>U48/U44</f>
        <v>0.25702728875505115</v>
      </c>
      <c r="V148" s="25">
        <f>V48/V44</f>
        <v>0.23560834802546357</v>
      </c>
      <c r="W148" s="25">
        <f>W48/W44</f>
        <v>0.21597431902334166</v>
      </c>
      <c r="X148" s="25">
        <f>X48/X44</f>
        <v>0.19797645910472986</v>
      </c>
      <c r="Y148" s="25">
        <f>Y48/Y44</f>
        <v>0.18147842084600238</v>
      </c>
      <c r="Z148" s="25">
        <f>Z48/Z44</f>
        <v>0.16635521910883552</v>
      </c>
      <c r="AA148" s="25">
        <f>AA48/AA44</f>
        <v>0.15249228418309924</v>
      </c>
      <c r="AB148" s="25">
        <f>AB48/AB44</f>
        <v>0.13978459383450764</v>
      </c>
      <c r="AC148" s="25">
        <f>AC48/AC44</f>
        <v>0.12813587768163204</v>
      </c>
      <c r="AD148" s="118">
        <f t="shared" ref="AD148:AD149" si="170">((AC148/T148)^(1/($I$2-$I$1) ))-1</f>
        <v>-8.3333333333333259E-2</v>
      </c>
      <c r="AE148" s="20"/>
      <c r="AF148" s="20"/>
    </row>
    <row r="149" spans="2:32" x14ac:dyDescent="0.2">
      <c r="B149" s="20" t="s">
        <v>384</v>
      </c>
      <c r="C149" s="20"/>
      <c r="D149" s="217"/>
      <c r="E149" s="20"/>
      <c r="F149" s="197"/>
      <c r="G149" s="19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118" t="e">
        <f>((Q149/H149)^(1/($I$2-$I$1) ))-1</f>
        <v>#DIV/0!</v>
      </c>
      <c r="S149" s="127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118" t="e">
        <f t="shared" si="170"/>
        <v>#DIV/0!</v>
      </c>
      <c r="AE149" s="20"/>
      <c r="AF149" s="20"/>
    </row>
    <row r="150" spans="2:32" x14ac:dyDescent="0.2">
      <c r="B150" s="20"/>
      <c r="C150" s="20"/>
      <c r="D150" s="217"/>
      <c r="E150" s="20"/>
      <c r="F150" s="20"/>
      <c r="G150" s="2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127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127"/>
      <c r="AE150" s="20"/>
      <c r="AF150" s="20"/>
    </row>
    <row r="151" spans="2:32" x14ac:dyDescent="0.2">
      <c r="B151" s="108" t="s">
        <v>244</v>
      </c>
      <c r="C151" s="20"/>
      <c r="D151" s="217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3"/>
      <c r="S151" s="23"/>
      <c r="T151" s="121" t="s">
        <v>66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135"/>
      <c r="AE151" s="20"/>
      <c r="AF151" s="20"/>
    </row>
    <row r="152" spans="2:32" x14ac:dyDescent="0.2">
      <c r="B152" s="23" t="s">
        <v>281</v>
      </c>
      <c r="C152" s="20"/>
      <c r="D152" s="217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5"/>
      <c r="R152" s="159">
        <f>AVERAGE(H74:Q74)</f>
        <v>24.210044034047932</v>
      </c>
      <c r="S152" s="23"/>
      <c r="T152" s="132"/>
      <c r="U152" s="20"/>
      <c r="V152" s="20"/>
      <c r="W152" s="20"/>
      <c r="X152" s="20"/>
      <c r="Y152" s="20"/>
      <c r="Z152" s="20"/>
      <c r="AA152" s="20"/>
      <c r="AB152" s="20"/>
      <c r="AC152" s="20"/>
      <c r="AD152" s="135"/>
      <c r="AE152" s="20"/>
      <c r="AF152" s="20"/>
    </row>
    <row r="153" spans="2:32" x14ac:dyDescent="0.2">
      <c r="B153" s="20" t="s">
        <v>25</v>
      </c>
      <c r="C153" s="20"/>
      <c r="D153" s="217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8">
        <f>T153+U153</f>
        <v>198.79412661468089</v>
      </c>
      <c r="T153" s="131">
        <f>PV($C$1, ($AC$3-$T$3), 0, -AC74)</f>
        <v>27.700820921717828</v>
      </c>
      <c r="U153" s="131">
        <f>PV($C$1, ($AC$3-$T$3), 0, -AF74)</f>
        <v>171.09330569296307</v>
      </c>
      <c r="V153" s="20"/>
      <c r="W153" s="20"/>
      <c r="X153" s="20"/>
      <c r="Y153" s="20"/>
      <c r="Z153" s="20"/>
      <c r="AA153" s="20"/>
      <c r="AB153" s="20"/>
      <c r="AC153" s="20"/>
      <c r="AD153" s="135"/>
      <c r="AE153" s="20"/>
      <c r="AF153" s="20"/>
    </row>
    <row r="154" spans="2:32" x14ac:dyDescent="0.2">
      <c r="B154" s="20" t="s">
        <v>273</v>
      </c>
      <c r="C154" s="20"/>
      <c r="D154" s="217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8">
        <f t="shared" ref="S154:S172" si="171">T154+U154</f>
        <v>1510.8670299938551</v>
      </c>
      <c r="T154" s="131">
        <f>PV($C$1, ($AC$3-$T$3), 0, -AC75)</f>
        <v>210.53065172045521</v>
      </c>
      <c r="U154" s="131">
        <f>PV($C$1, ($AC$3-$T$3), 0, -AF75)</f>
        <v>1300.3363782734</v>
      </c>
      <c r="V154" s="20"/>
      <c r="W154" s="20"/>
      <c r="X154" s="20"/>
      <c r="Y154" s="20"/>
      <c r="Z154" s="20"/>
      <c r="AA154" s="20"/>
      <c r="AB154" s="20"/>
      <c r="AC154" s="20"/>
      <c r="AD154" s="135"/>
      <c r="AE154" s="20"/>
      <c r="AF154" s="20"/>
    </row>
    <row r="155" spans="2:32" x14ac:dyDescent="0.2">
      <c r="B155" s="20" t="s">
        <v>274</v>
      </c>
      <c r="C155" s="20"/>
      <c r="D155" s="217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8">
        <f t="shared" si="171"/>
        <v>1479.6743235477447</v>
      </c>
      <c r="T155" s="131">
        <f>PV($C$1, ($AC$3-$T$3), 0, -AC76)</f>
        <v>206.18412705173489</v>
      </c>
      <c r="U155" s="131">
        <f>PV($C$1, ($AC$3-$T$3), 0, -AF76)</f>
        <v>1273.49019649601</v>
      </c>
      <c r="V155" s="20"/>
      <c r="W155" s="20"/>
      <c r="X155" s="20"/>
      <c r="Y155" s="20"/>
      <c r="Z155" s="20"/>
      <c r="AA155" s="20"/>
      <c r="AB155" s="20"/>
      <c r="AC155" s="20"/>
      <c r="AD155" s="135"/>
      <c r="AE155" s="20"/>
      <c r="AF155" s="20"/>
    </row>
    <row r="156" spans="2:32" x14ac:dyDescent="0.2">
      <c r="B156" s="20" t="s">
        <v>275</v>
      </c>
      <c r="C156" s="20"/>
      <c r="D156" s="217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8">
        <f t="shared" si="171"/>
        <v>6760.7420296245682</v>
      </c>
      <c r="T156" s="131">
        <f>PV($C$1, ($AC$3-$T$3), 0, -AC77)</f>
        <v>942.07061068539053</v>
      </c>
      <c r="U156" s="131">
        <f>PV($C$1, ($AC$3-$T$3), 0, -AF77)</f>
        <v>5818.6714189391778</v>
      </c>
      <c r="V156" s="20"/>
      <c r="W156" s="20"/>
      <c r="X156" s="20"/>
      <c r="Y156" s="20"/>
      <c r="Z156" s="20"/>
      <c r="AA156" s="20"/>
      <c r="AB156" s="20"/>
      <c r="AC156" s="20"/>
      <c r="AD156" s="135"/>
      <c r="AE156" s="20"/>
      <c r="AF156" s="20"/>
    </row>
    <row r="157" spans="2:32" x14ac:dyDescent="0.2">
      <c r="B157" s="20" t="s">
        <v>276</v>
      </c>
      <c r="C157" s="20"/>
      <c r="D157" s="217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8">
        <f t="shared" si="171"/>
        <v>0</v>
      </c>
      <c r="T157" s="131">
        <f>PV($C$1, ($AC$3-$T$3), 0, -AC83)</f>
        <v>0</v>
      </c>
      <c r="U157" s="131">
        <f>PV($C$1, ($AC$3-$T$3), 0, -AF83)</f>
        <v>0</v>
      </c>
      <c r="V157" s="20"/>
      <c r="W157" s="20"/>
      <c r="X157" s="20"/>
      <c r="Y157" s="20"/>
      <c r="Z157" s="20"/>
      <c r="AA157" s="20"/>
      <c r="AB157" s="20"/>
      <c r="AC157" s="20"/>
      <c r="AD157" s="135"/>
      <c r="AE157" s="20"/>
      <c r="AF157" s="20"/>
    </row>
    <row r="158" spans="2:32" x14ac:dyDescent="0.2">
      <c r="B158" s="20"/>
      <c r="C158" s="20"/>
      <c r="D158" s="217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8"/>
      <c r="T158" s="131"/>
      <c r="U158" s="20"/>
      <c r="V158" s="20"/>
      <c r="W158" s="20"/>
      <c r="X158" s="20"/>
      <c r="Y158" s="20"/>
      <c r="Z158" s="20"/>
      <c r="AA158" s="20"/>
      <c r="AB158" s="20"/>
      <c r="AC158" s="20"/>
      <c r="AD158" s="135"/>
      <c r="AE158" s="20"/>
      <c r="AF158" s="20"/>
    </row>
    <row r="159" spans="2:32" x14ac:dyDescent="0.2">
      <c r="B159" s="20" t="s">
        <v>271</v>
      </c>
      <c r="C159" s="20"/>
      <c r="D159" s="217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8">
        <f t="shared" si="171"/>
        <v>-5249.8749996307124</v>
      </c>
      <c r="T159" s="131">
        <f>PV($C$1, ($AC$3-$T$3), 0, -AC79)</f>
        <v>-731.53995896493529</v>
      </c>
      <c r="U159" s="131">
        <f>PV($C$1, ($AC$3-$T$3), 0, -$AF$79)</f>
        <v>-4518.3350406657773</v>
      </c>
      <c r="V159" s="20"/>
      <c r="W159" s="20"/>
      <c r="X159" s="20"/>
      <c r="Y159" s="20"/>
      <c r="Z159" s="20"/>
      <c r="AA159" s="20"/>
      <c r="AB159" s="20"/>
      <c r="AC159" s="20"/>
      <c r="AD159" s="135"/>
      <c r="AE159" s="20"/>
      <c r="AF159" s="20"/>
    </row>
    <row r="160" spans="2:32" x14ac:dyDescent="0.2">
      <c r="B160" s="20" t="s">
        <v>272</v>
      </c>
      <c r="C160" s="20"/>
      <c r="D160" s="217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8">
        <f t="shared" si="171"/>
        <v>-5249.8749996307124</v>
      </c>
      <c r="T160" s="131">
        <f>PV($C$1, ($AC$3-$T$3), 0, -AC80)</f>
        <v>-731.53995896493529</v>
      </c>
      <c r="U160" s="131">
        <f>PV($C$1, ($AC$3-$T$3), 0, -$AF$80)</f>
        <v>-4518.3350406657773</v>
      </c>
      <c r="V160" s="20"/>
      <c r="W160" s="20"/>
      <c r="X160" s="20"/>
      <c r="Y160" s="20"/>
      <c r="Z160" s="20"/>
      <c r="AA160" s="20"/>
      <c r="AB160" s="20"/>
      <c r="AC160" s="20"/>
      <c r="AD160" s="135"/>
      <c r="AE160" s="20"/>
      <c r="AF160" s="20"/>
    </row>
    <row r="161" spans="2:32" x14ac:dyDescent="0.2">
      <c r="B161" s="20" t="s">
        <v>277</v>
      </c>
      <c r="C161" s="20"/>
      <c r="D161" s="217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8">
        <f t="shared" si="171"/>
        <v>-5249.8749996307124</v>
      </c>
      <c r="T161" s="131">
        <f>PV($C$1, ($AC$3-$T$3), 0, -AC81)</f>
        <v>-731.53995896493529</v>
      </c>
      <c r="U161" s="131">
        <f>PV($C$1, ($AC$3-$T$3), 0, -$AF$81)</f>
        <v>-4518.3350406657773</v>
      </c>
      <c r="V161" s="20"/>
      <c r="W161" s="20"/>
      <c r="X161" s="20"/>
      <c r="Y161" s="20"/>
      <c r="Z161" s="20"/>
      <c r="AA161" s="20"/>
      <c r="AB161" s="20"/>
      <c r="AC161" s="20"/>
      <c r="AD161" s="135"/>
      <c r="AE161" s="20"/>
      <c r="AF161" s="20"/>
    </row>
    <row r="162" spans="2:32" x14ac:dyDescent="0.2">
      <c r="B162" s="20"/>
      <c r="C162" s="20"/>
      <c r="D162" s="217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8"/>
      <c r="T162" s="131"/>
      <c r="U162" s="20"/>
      <c r="V162" s="20"/>
      <c r="W162" s="20"/>
      <c r="X162" s="20"/>
      <c r="Y162" s="20"/>
      <c r="Z162" s="20"/>
      <c r="AA162" s="20"/>
      <c r="AB162" s="20"/>
      <c r="AC162" s="20"/>
      <c r="AD162" s="135"/>
      <c r="AE162" s="20"/>
      <c r="AF162" s="20"/>
    </row>
    <row r="163" spans="2:32" x14ac:dyDescent="0.2">
      <c r="B163" s="20" t="s">
        <v>249</v>
      </c>
      <c r="C163" s="20"/>
      <c r="D163" s="217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8">
        <f t="shared" si="171"/>
        <v>0</v>
      </c>
      <c r="T163" s="131">
        <f>PV($C$1, ($AC$3-$T$3), 0, -AC86)</f>
        <v>0</v>
      </c>
      <c r="U163" s="131">
        <f>PV($C$1, ($AC$3-$T$3), 0, -AF86)</f>
        <v>0</v>
      </c>
      <c r="V163" s="20"/>
      <c r="W163" s="20"/>
      <c r="X163" s="20"/>
      <c r="Y163" s="20"/>
      <c r="Z163" s="20"/>
      <c r="AA163" s="20"/>
      <c r="AB163" s="20"/>
      <c r="AC163" s="20"/>
      <c r="AD163" s="135"/>
      <c r="AE163" s="20"/>
      <c r="AF163" s="20"/>
    </row>
    <row r="164" spans="2:32" x14ac:dyDescent="0.2">
      <c r="B164" s="20" t="s">
        <v>250</v>
      </c>
      <c r="C164" s="20"/>
      <c r="D164" s="217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8">
        <f t="shared" si="171"/>
        <v>0</v>
      </c>
      <c r="T164" s="131">
        <f>PV($C$1, ($AC$3-$T$3), 0, -AC87)</f>
        <v>0</v>
      </c>
      <c r="U164" s="131">
        <f>PV($C$1, ($AC$3-$T$3), 0, -AF87)</f>
        <v>0</v>
      </c>
      <c r="V164" s="20"/>
      <c r="W164" s="20"/>
      <c r="X164" s="20"/>
      <c r="Y164" s="20"/>
      <c r="Z164" s="20"/>
      <c r="AA164" s="20"/>
      <c r="AB164" s="20"/>
      <c r="AC164" s="20"/>
      <c r="AD164" s="135"/>
      <c r="AE164" s="20"/>
      <c r="AF164" s="20"/>
    </row>
    <row r="165" spans="2:32" x14ac:dyDescent="0.2">
      <c r="B165" s="20"/>
      <c r="C165" s="20"/>
      <c r="D165" s="217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8"/>
      <c r="T165" s="131"/>
      <c r="U165" s="131"/>
      <c r="V165" s="20"/>
      <c r="W165" s="20"/>
      <c r="X165" s="20"/>
      <c r="Y165" s="20"/>
      <c r="Z165" s="20"/>
      <c r="AA165" s="20"/>
      <c r="AB165" s="20"/>
      <c r="AC165" s="20"/>
      <c r="AD165" s="135"/>
      <c r="AE165" s="20"/>
      <c r="AF165" s="20"/>
    </row>
    <row r="166" spans="2:32" x14ac:dyDescent="0.2">
      <c r="B166" s="20" t="s">
        <v>294</v>
      </c>
      <c r="C166" s="20"/>
      <c r="D166" s="217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8">
        <f t="shared" ref="S166" si="172">T166+U166</f>
        <v>0</v>
      </c>
      <c r="T166" s="131">
        <f>PV($C$1, ($AC$3-$T$3), 0, -AC12)</f>
        <v>0</v>
      </c>
      <c r="U166" s="131">
        <f>PV($C$1, ($AC$3-$T$3), 0, -AF12)</f>
        <v>0</v>
      </c>
      <c r="V166" s="20"/>
      <c r="W166" s="20"/>
      <c r="X166" s="20"/>
      <c r="Y166" s="20"/>
      <c r="Z166" s="20"/>
      <c r="AA166" s="20"/>
      <c r="AB166" s="20"/>
      <c r="AC166" s="20"/>
      <c r="AD166" s="135"/>
      <c r="AE166" s="20"/>
      <c r="AF166" s="20"/>
    </row>
    <row r="167" spans="2:32" x14ac:dyDescent="0.2">
      <c r="B167" s="20" t="s">
        <v>295</v>
      </c>
      <c r="C167" s="20"/>
      <c r="D167" s="217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8">
        <f>T167+U167</f>
        <v>0</v>
      </c>
      <c r="T167" s="138">
        <f>T166/Q63</f>
        <v>0</v>
      </c>
      <c r="U167" s="138">
        <f>U166/Q63</f>
        <v>0</v>
      </c>
      <c r="V167" s="20"/>
      <c r="W167" s="20"/>
      <c r="X167" s="20"/>
      <c r="Y167" s="20"/>
      <c r="Z167" s="20"/>
      <c r="AA167" s="20"/>
      <c r="AB167" s="20"/>
      <c r="AC167" s="20"/>
      <c r="AD167" s="135"/>
      <c r="AE167" s="20"/>
      <c r="AF167" s="20"/>
    </row>
    <row r="168" spans="2:32" x14ac:dyDescent="0.2">
      <c r="B168" s="20"/>
      <c r="C168" s="20"/>
      <c r="D168" s="217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8"/>
      <c r="T168" s="138"/>
      <c r="U168" s="138"/>
      <c r="V168" s="20"/>
      <c r="W168" s="20"/>
      <c r="X168" s="20"/>
      <c r="Y168" s="20"/>
      <c r="Z168" s="20"/>
      <c r="AA168" s="20"/>
      <c r="AB168" s="20"/>
      <c r="AC168" s="20"/>
      <c r="AD168" s="135"/>
      <c r="AE168" s="20"/>
      <c r="AF168" s="20"/>
    </row>
    <row r="169" spans="2:32" x14ac:dyDescent="0.2">
      <c r="B169" s="108" t="s">
        <v>298</v>
      </c>
      <c r="C169" s="20"/>
      <c r="D169" s="217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8"/>
      <c r="T169" s="131"/>
      <c r="U169" s="131"/>
      <c r="V169" s="20"/>
      <c r="W169" s="20"/>
      <c r="X169" s="20"/>
      <c r="Y169" s="20"/>
      <c r="Z169" s="20"/>
      <c r="AA169" s="20"/>
      <c r="AB169" s="20"/>
      <c r="AC169" s="20"/>
      <c r="AD169" s="135"/>
      <c r="AE169" s="20"/>
      <c r="AF169" s="20"/>
    </row>
    <row r="170" spans="2:32" x14ac:dyDescent="0.2">
      <c r="B170" s="20" t="s">
        <v>283</v>
      </c>
      <c r="C170" s="20"/>
      <c r="D170" s="217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8">
        <f t="shared" ref="S170" si="173">T170+U170</f>
        <v>7.5813479492024776</v>
      </c>
      <c r="T170" s="131">
        <f>PV($C$1, ($AC$3-$T$3), 0, -AC89)+PV($C$1, ($AB$3-$T$3), 0, -AC89)+PV($C$1, ($AA$3-$T$3), 0, -AC89)+PV($C$1, ($Z$3-$T$3), 0, -AC89)+PV($C$1, ($Y$3-$T$3), 0, -AC89)+PV($C$1, ($X$3-$T$3), 0, -AC89)+PV($C$1, ($W$3-$T$3), 0, -AC89)+PV($C$1, ($V$3-$T$3), 0, -AC89)+PV($C$1, ($U$3-$T$3), 0, -AC89)+PV($C$1, ($T$3-$T$3), 0, -AC89)</f>
        <v>6.2370829861820072</v>
      </c>
      <c r="U170" s="131">
        <f>PV($C$1, ($AC$3-$T$3), 0, -AF89)</f>
        <v>1.3442649630204706</v>
      </c>
      <c r="V170" s="20"/>
      <c r="W170" s="20"/>
      <c r="X170" s="20"/>
      <c r="Y170" s="20"/>
      <c r="Z170" s="20"/>
      <c r="AA170" s="20"/>
      <c r="AB170" s="20"/>
      <c r="AC170" s="20"/>
      <c r="AD170" s="135"/>
      <c r="AE170" s="20"/>
      <c r="AF170" s="20"/>
    </row>
    <row r="171" spans="2:32" x14ac:dyDescent="0.2">
      <c r="B171" s="23"/>
      <c r="C171" s="20"/>
      <c r="D171" s="217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8"/>
      <c r="T171" s="131"/>
      <c r="U171" s="131"/>
      <c r="V171" s="20"/>
      <c r="W171" s="20"/>
      <c r="X171" s="20"/>
      <c r="Y171" s="20"/>
      <c r="Z171" s="20"/>
      <c r="AA171" s="20"/>
      <c r="AB171" s="20"/>
      <c r="AC171" s="20"/>
      <c r="AD171" s="135"/>
      <c r="AE171" s="20"/>
      <c r="AF171" s="20"/>
    </row>
    <row r="172" spans="2:32" x14ac:dyDescent="0.2">
      <c r="B172" s="20" t="s">
        <v>291</v>
      </c>
      <c r="C172" s="20"/>
      <c r="D172" s="217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8">
        <f t="shared" si="171"/>
        <v>0</v>
      </c>
      <c r="T172" s="131">
        <f>PV($C$1, ($AC$3-$T$3), 0, -AC91)+PV($C$1, ($AB$3-$T$3), 0, -AC91)+PV($C$1, ($AA$3-$T$3), 0, -AC91)+PV($C$1, ($Z$3-$T$3), 0, -AC91)+PV($C$1, ($Y$3-$T$3), 0, -AC91)+PV($C$1, ($X$3-$T$3), 0, -AC91)+PV($C$1, ($W$3-$T$3), 0, -AC91)+PV($C$1, ($V$3-$T$3), 0, -AC91)+PV($C$1, ($U$3-$T$3), 0, -AC91)+PV($C$1, ($T$3-$T$3), 0, -AC91)</f>
        <v>0</v>
      </c>
      <c r="U172" s="131">
        <f>PV($C$1, ($AC$3-$T$3), 0, -AF91)</f>
        <v>0</v>
      </c>
      <c r="V172" s="20"/>
      <c r="W172" s="20"/>
      <c r="X172" s="20"/>
      <c r="Y172" s="20"/>
      <c r="Z172" s="20"/>
      <c r="AA172" s="20"/>
      <c r="AB172" s="20"/>
      <c r="AC172" s="20"/>
      <c r="AD172" s="135"/>
      <c r="AE172" s="20"/>
      <c r="AF172" s="20"/>
    </row>
    <row r="173" spans="2:32" x14ac:dyDescent="0.2">
      <c r="B173" s="20"/>
      <c r="C173" s="20"/>
      <c r="D173" s="217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8"/>
      <c r="T173" s="131"/>
      <c r="U173" s="131"/>
      <c r="V173" s="20"/>
      <c r="W173" s="20"/>
      <c r="X173" s="20"/>
      <c r="Y173" s="20"/>
      <c r="Z173" s="20"/>
      <c r="AA173" s="20"/>
      <c r="AB173" s="20"/>
      <c r="AC173" s="20"/>
      <c r="AD173" s="135"/>
      <c r="AE173" s="20"/>
      <c r="AF173" s="20"/>
    </row>
    <row r="174" spans="2:32" x14ac:dyDescent="0.2">
      <c r="B174" s="20" t="s">
        <v>287</v>
      </c>
      <c r="C174" s="20"/>
      <c r="D174" s="217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8">
        <f t="shared" ref="S174:S177" si="174">T174+U174</f>
        <v>0</v>
      </c>
      <c r="T174" s="131">
        <f>PV($C$1, ($AC$3-$T$3), 0, -AC93)+PV($C$1, ($AB$3-$T$3), 0, -AC93)+PV($C$1, ($AA$3-$T$3), 0, -AC93)+PV($C$1, ($Z$3-$T$3), 0, -AC93)+PV($C$1, ($Y$3-$T$3), 0, -AC93)+PV($C$1, ($X$3-$T$3), 0, -AC93)+PV($C$1, ($W$3-$T$3), 0, -AC93)+PV($C$1, ($V$3-$T$3), 0, -AC93)+PV($C$1, ($U$3-$T$3), 0, -AC93)+PV($C$1, ($T$3-$T$3), 0, -AC93)</f>
        <v>0</v>
      </c>
      <c r="U174" s="131">
        <f>PV($C$1, ($AC$3-$T$3), 0, -AF93)</f>
        <v>0</v>
      </c>
      <c r="V174" s="20"/>
      <c r="W174" s="20"/>
      <c r="X174" s="20"/>
      <c r="Y174" s="20"/>
      <c r="Z174" s="20"/>
      <c r="AA174" s="20"/>
      <c r="AB174" s="20"/>
      <c r="AC174" s="20"/>
      <c r="AD174" s="135"/>
      <c r="AE174" s="20"/>
      <c r="AF174" s="20"/>
    </row>
    <row r="175" spans="2:32" x14ac:dyDescent="0.2">
      <c r="B175" s="20" t="s">
        <v>288</v>
      </c>
      <c r="C175" s="20"/>
      <c r="D175" s="217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38">
        <f t="shared" si="174"/>
        <v>0</v>
      </c>
      <c r="T175" s="131">
        <f>PV($C$1, ($AC$3-$T$3), 0, -AC94)+PV($C$1, ($AB$3-$T$3), 0, -AC94)+PV($C$1, ($AA$3-$T$3), 0, -AC94)+PV($C$1, ($Z$3-$T$3), 0, -AC94)+PV($C$1, ($Y$3-$T$3), 0, -AC94)+PV($C$1, ($X$3-$T$3), 0, -AC94)+PV($C$1, ($W$3-$T$3), 0, -AC94)+PV($C$1, ($V$3-$T$3), 0, -AC94)+PV($C$1, ($U$3-$T$3), 0, -AC94)+PV($C$1, ($T$3-$T$3), 0, -AC94)</f>
        <v>0</v>
      </c>
      <c r="U175" s="131">
        <f>PV($C$1, ($AC$3-$T$3), 0, -AF94)</f>
        <v>0</v>
      </c>
      <c r="V175" s="20"/>
      <c r="W175" s="20"/>
      <c r="X175" s="20"/>
      <c r="Y175" s="20"/>
      <c r="Z175" s="20"/>
      <c r="AA175" s="20"/>
      <c r="AB175" s="20"/>
      <c r="AC175" s="20"/>
      <c r="AD175" s="135"/>
      <c r="AE175" s="20"/>
      <c r="AF175" s="20"/>
    </row>
    <row r="176" spans="2:32" x14ac:dyDescent="0.2">
      <c r="B176" s="20" t="s">
        <v>289</v>
      </c>
      <c r="C176" s="20"/>
      <c r="D176" s="217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38">
        <f t="shared" si="174"/>
        <v>0</v>
      </c>
      <c r="T176" s="131">
        <f>PV($C$1, ($AC$3-$T$3), 0, -AC95)+PV($C$1, ($AB$3-$T$3), 0, -AC95)+PV($C$1, ($AA$3-$T$3), 0, -AC95)+PV($C$1, ($Z$3-$T$3), 0, -AC95)+PV($C$1, ($Y$3-$T$3), 0, -AC95)+PV($C$1, ($X$3-$T$3), 0, -AC95)+PV($C$1, ($W$3-$T$3), 0, -AC95)+PV($C$1, ($V$3-$T$3), 0, -AC95)+PV($C$1, ($U$3-$T$3), 0, -AC95)+PV($C$1, ($T$3-$T$3), 0, -AC95)</f>
        <v>0</v>
      </c>
      <c r="U176" s="131">
        <f>PV($C$1, ($AC$3-$T$3), 0, -AF95)</f>
        <v>0</v>
      </c>
      <c r="V176" s="20"/>
      <c r="W176" s="20"/>
      <c r="X176" s="20"/>
      <c r="Y176" s="20"/>
      <c r="Z176" s="20"/>
      <c r="AA176" s="20"/>
      <c r="AB176" s="20"/>
      <c r="AC176" s="20"/>
      <c r="AD176" s="135"/>
      <c r="AE176" s="20"/>
      <c r="AF176" s="20"/>
    </row>
    <row r="177" spans="2:32" x14ac:dyDescent="0.2">
      <c r="B177" s="20" t="s">
        <v>290</v>
      </c>
      <c r="C177" s="20"/>
      <c r="D177" s="217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38">
        <f t="shared" si="174"/>
        <v>0</v>
      </c>
      <c r="T177" s="131">
        <f>PV($C$1, ($AC$3-$T$3), 0, -AC96)+PV($C$1, ($AB$3-$T$3), 0, -AC96)+PV($C$1, ($AA$3-$T$3), 0, -AC96)+PV($C$1, ($Z$3-$T$3), 0, -AC96)+PV($C$1, ($Y$3-$T$3), 0, -AC96)+PV($C$1, ($X$3-$T$3), 0, -AC96)+PV($C$1, ($W$3-$T$3), 0, -AC96)+PV($C$1, ($V$3-$T$3), 0, -AC96)+PV($C$1, ($U$3-$T$3), 0, -AC96)+PV($C$1, ($T$3-$T$3), 0, -AC96)</f>
        <v>0</v>
      </c>
      <c r="U177" s="131">
        <f>PV($C$1, ($AC$3-$T$3), 0, -AF96)</f>
        <v>0</v>
      </c>
      <c r="V177" s="20"/>
      <c r="W177" s="20"/>
      <c r="X177" s="20"/>
      <c r="Y177" s="20"/>
      <c r="Z177" s="20"/>
      <c r="AA177" s="20"/>
      <c r="AB177" s="20"/>
      <c r="AC177" s="20"/>
      <c r="AD177" s="135"/>
      <c r="AE177" s="20"/>
      <c r="AF177" s="20"/>
    </row>
    <row r="178" spans="2:32" x14ac:dyDescent="0.2">
      <c r="B178" s="20"/>
      <c r="C178" s="20"/>
      <c r="D178" s="217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38"/>
      <c r="T178" s="131"/>
      <c r="U178" s="131"/>
      <c r="V178" s="20"/>
      <c r="W178" s="20"/>
      <c r="X178" s="20"/>
      <c r="Y178" s="20"/>
      <c r="Z178" s="20"/>
      <c r="AA178" s="20"/>
      <c r="AB178" s="20"/>
      <c r="AC178" s="20"/>
      <c r="AD178" s="135"/>
      <c r="AE178" s="20"/>
      <c r="AF178" s="20"/>
    </row>
    <row r="179" spans="2:32" x14ac:dyDescent="0.2">
      <c r="B179" s="20" t="s">
        <v>299</v>
      </c>
      <c r="C179" s="20"/>
      <c r="D179" s="217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38">
        <f>T179+U179</f>
        <v>0</v>
      </c>
      <c r="T179" s="131">
        <f>PV($C$1, ($AC$3-$T$3), 0, -AC97)+PV($C$1, ($AB$3-$T$3), 0, -AC97)+PV($C$1, ($AA$3-$T$3), 0, -AC97)+PV($C$1, ($Z$3-$T$3), 0, -AC97)+PV($C$1, ($Y$3-$T$3), 0, -AC97)+PV($C$1, ($X$3-$T$3), 0, -AC97)+PV($C$1, ($W$3-$T$3), 0, -AC97)+PV($C$1, ($V$3-$T$3), 0, -AC97)+PV($C$1, ($U$3-$T$3), 0, -AC97)+PV($C$1, ($T$3-$T$3), 0, -AC97)</f>
        <v>0</v>
      </c>
      <c r="U179" s="131">
        <f>PV($C$1, ($AC$3-$T$3), 0, -AF97)</f>
        <v>0</v>
      </c>
      <c r="V179" s="20"/>
      <c r="W179" s="20"/>
      <c r="X179" s="20"/>
      <c r="Y179" s="20"/>
      <c r="Z179" s="20"/>
      <c r="AA179" s="20"/>
      <c r="AB179" s="20"/>
      <c r="AC179" s="20"/>
      <c r="AD179" s="135"/>
      <c r="AE179" s="20"/>
      <c r="AF179" s="20"/>
    </row>
    <row r="180" spans="2:32" x14ac:dyDescent="0.2">
      <c r="B180" s="20"/>
      <c r="C180" s="20"/>
      <c r="D180" s="217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187">
        <v>41729</v>
      </c>
      <c r="R180" s="183">
        <v>770</v>
      </c>
      <c r="S180" s="183"/>
      <c r="T180" s="183"/>
      <c r="U180" s="20"/>
      <c r="V180" s="20"/>
      <c r="W180" s="20"/>
      <c r="X180" s="20"/>
      <c r="Y180" s="20"/>
      <c r="Z180" s="20"/>
      <c r="AA180" s="20"/>
      <c r="AB180" s="20"/>
      <c r="AC180" s="20"/>
      <c r="AD180" s="135"/>
      <c r="AE180" s="20"/>
      <c r="AF180" s="20"/>
    </row>
    <row r="181" spans="2:32" x14ac:dyDescent="0.2">
      <c r="B181" s="108" t="s">
        <v>251</v>
      </c>
      <c r="C181" s="20"/>
      <c r="D181" s="217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184" t="s">
        <v>390</v>
      </c>
      <c r="R181" s="183">
        <v>800</v>
      </c>
      <c r="S181" s="183" t="s">
        <v>391</v>
      </c>
      <c r="T181" s="184" t="s">
        <v>392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135"/>
      <c r="AE181" s="20"/>
      <c r="AF181" s="20"/>
    </row>
    <row r="182" spans="2:32" x14ac:dyDescent="0.2">
      <c r="B182" s="20" t="s">
        <v>204</v>
      </c>
      <c r="C182" s="22">
        <v>0</v>
      </c>
      <c r="D182" s="194"/>
      <c r="E182" s="22">
        <v>0</v>
      </c>
      <c r="F182" s="22">
        <v>0</v>
      </c>
      <c r="G182" s="194">
        <v>380</v>
      </c>
      <c r="H182" s="194">
        <v>300</v>
      </c>
      <c r="I182" s="194">
        <v>230</v>
      </c>
      <c r="J182" s="194">
        <v>420</v>
      </c>
      <c r="K182" s="194">
        <v>537</v>
      </c>
      <c r="L182" s="194">
        <v>230</v>
      </c>
      <c r="M182" s="194">
        <v>720</v>
      </c>
      <c r="N182" s="194">
        <v>465</v>
      </c>
      <c r="O182" s="194">
        <v>511</v>
      </c>
      <c r="P182" s="194">
        <v>620</v>
      </c>
      <c r="Q182" s="22">
        <v>500</v>
      </c>
      <c r="R182" s="118">
        <f t="shared" ref="R182:R188" si="175">((Q182/H182)^(1/($I$2-$I$1) ))-1</f>
        <v>5.840007284126747E-2</v>
      </c>
      <c r="S182" s="31">
        <f>M2-3%</f>
        <v>0.17</v>
      </c>
      <c r="T182" s="119">
        <f>Q182*(1+$S182)</f>
        <v>585</v>
      </c>
      <c r="U182" s="119">
        <f t="shared" ref="U182:AC182" si="176">T182*(1+$S182)</f>
        <v>684.44999999999993</v>
      </c>
      <c r="V182" s="119">
        <f t="shared" si="176"/>
        <v>800.80649999999991</v>
      </c>
      <c r="W182" s="119">
        <f t="shared" si="176"/>
        <v>936.94360499999982</v>
      </c>
      <c r="X182" s="119">
        <f t="shared" si="176"/>
        <v>1096.2240178499997</v>
      </c>
      <c r="Y182" s="119">
        <f t="shared" si="176"/>
        <v>1282.5821008844996</v>
      </c>
      <c r="Z182" s="119">
        <f t="shared" si="176"/>
        <v>1500.6210580348645</v>
      </c>
      <c r="AA182" s="119">
        <f t="shared" si="176"/>
        <v>1755.7266379007913</v>
      </c>
      <c r="AB182" s="119">
        <f t="shared" si="176"/>
        <v>2054.2001663439255</v>
      </c>
      <c r="AC182" s="119">
        <f t="shared" si="176"/>
        <v>2403.4141946223926</v>
      </c>
      <c r="AD182" s="136">
        <f t="shared" ref="AD182:AD188" si="177">((AC182/H182)^(1/($AC$3-$I$1) ))-1</f>
        <v>0.10964834141463142</v>
      </c>
      <c r="AE182" s="31">
        <v>0.08</v>
      </c>
      <c r="AF182" s="126">
        <f t="shared" ref="AF182:AF188" si="178">(AC182*(1+AD182))/($C$1-AE182)</f>
        <v>19049.604105679431</v>
      </c>
    </row>
    <row r="183" spans="2:32" x14ac:dyDescent="0.2">
      <c r="B183" s="20" t="s">
        <v>389</v>
      </c>
      <c r="C183" s="25" t="e">
        <f>C182/C71</f>
        <v>#DIV/0!</v>
      </c>
      <c r="D183" s="197"/>
      <c r="E183" s="25" t="e">
        <f t="shared" ref="E183:P183" si="179">E182/E71</f>
        <v>#DIV/0!</v>
      </c>
      <c r="F183" s="25" t="e">
        <f t="shared" si="179"/>
        <v>#DIV/0!</v>
      </c>
      <c r="G183" s="25">
        <f t="shared" si="179"/>
        <v>1.9424398625429555</v>
      </c>
      <c r="H183" s="25">
        <f t="shared" si="179"/>
        <v>2.1113013698630136</v>
      </c>
      <c r="I183" s="25">
        <f t="shared" si="179"/>
        <v>2.3886394101876673</v>
      </c>
      <c r="J183" s="25">
        <f t="shared" si="179"/>
        <v>3.159446366782007</v>
      </c>
      <c r="K183" s="25">
        <f t="shared" si="179"/>
        <v>2.4104493942946466</v>
      </c>
      <c r="L183" s="25">
        <f t="shared" si="179"/>
        <v>1.1069210416376549</v>
      </c>
      <c r="M183" s="25">
        <f t="shared" si="179"/>
        <v>2.6906280193236718</v>
      </c>
      <c r="N183" s="25">
        <f t="shared" si="179"/>
        <v>3.0974918640390525</v>
      </c>
      <c r="O183" s="25">
        <f t="shared" si="179"/>
        <v>2.9085689618074233</v>
      </c>
      <c r="P183" s="25">
        <f t="shared" si="179"/>
        <v>2.9023774294670845</v>
      </c>
      <c r="Q183" s="25">
        <v>500</v>
      </c>
      <c r="R183" s="118">
        <f t="shared" si="175"/>
        <v>0.83579600078756822</v>
      </c>
      <c r="S183" s="127"/>
      <c r="T183" s="25">
        <f t="shared" ref="T183:AC183" si="180">T182/T71</f>
        <v>2.2144153926337737</v>
      </c>
      <c r="U183" s="25">
        <f t="shared" si="180"/>
        <v>2.2022361079742878</v>
      </c>
      <c r="V183" s="25">
        <f t="shared" si="180"/>
        <v>2.1901238093804292</v>
      </c>
      <c r="W183" s="25">
        <f t="shared" si="180"/>
        <v>2.1780781284288366</v>
      </c>
      <c r="X183" s="25">
        <f t="shared" si="180"/>
        <v>2.166098698722478</v>
      </c>
      <c r="Y183" s="25">
        <f t="shared" si="180"/>
        <v>2.1541851558795049</v>
      </c>
      <c r="Z183" s="25">
        <f t="shared" si="180"/>
        <v>2.1423371375221674</v>
      </c>
      <c r="AA183" s="25">
        <f t="shared" si="180"/>
        <v>2.1305542832657953</v>
      </c>
      <c r="AB183" s="25">
        <f t="shared" si="180"/>
        <v>2.1188362347078331</v>
      </c>
      <c r="AC183" s="25">
        <f t="shared" si="180"/>
        <v>2.1071826354169403</v>
      </c>
      <c r="AD183" s="136">
        <f t="shared" si="177"/>
        <v>-9.7630681754612425E-5</v>
      </c>
      <c r="AE183" s="31">
        <v>0.08</v>
      </c>
      <c r="AF183" s="126">
        <f t="shared" ref="AF183" si="181">(AC183*(1+AD183))/($C$1-AE183)</f>
        <v>15.049835069569021</v>
      </c>
    </row>
    <row r="184" spans="2:32" x14ac:dyDescent="0.2">
      <c r="B184" s="20" t="s">
        <v>42</v>
      </c>
      <c r="C184" s="25" t="e">
        <f>C182/C74</f>
        <v>#DIV/0!</v>
      </c>
      <c r="D184" s="197"/>
      <c r="E184" s="25" t="e">
        <f t="shared" ref="E184:Q184" si="182">E182/E74</f>
        <v>#DIV/0!</v>
      </c>
      <c r="F184" s="25" t="e">
        <f t="shared" si="182"/>
        <v>#DIV/0!</v>
      </c>
      <c r="G184" s="25">
        <f t="shared" si="182"/>
        <v>11.282435129740518</v>
      </c>
      <c r="H184" s="25">
        <f t="shared" si="182"/>
        <v>19.067010309278349</v>
      </c>
      <c r="I184" s="25">
        <f t="shared" si="182"/>
        <v>13.473913043478259</v>
      </c>
      <c r="J184" s="25">
        <f t="shared" si="182"/>
        <v>26.137786259541983</v>
      </c>
      <c r="K184" s="25">
        <f t="shared" si="182"/>
        <v>19.316304801670146</v>
      </c>
      <c r="L184" s="25">
        <f t="shared" si="182"/>
        <v>12.191411042944786</v>
      </c>
      <c r="M184" s="25">
        <f t="shared" si="182"/>
        <v>18.887113790504898</v>
      </c>
      <c r="N184" s="25">
        <f t="shared" si="182"/>
        <v>21.838403441682601</v>
      </c>
      <c r="O184" s="25">
        <f t="shared" si="182"/>
        <v>20.459031297297297</v>
      </c>
      <c r="P184" s="25">
        <f t="shared" si="182"/>
        <v>21.004047186932848</v>
      </c>
      <c r="Q184" s="25">
        <f t="shared" si="182"/>
        <v>15.3126244524094</v>
      </c>
      <c r="R184" s="118">
        <f t="shared" si="175"/>
        <v>-2.4070246034022857E-2</v>
      </c>
      <c r="S184" s="127"/>
      <c r="T184" s="119">
        <f t="shared" ref="T184:AC184" si="183">T182/T74</f>
        <v>15.228405017921149</v>
      </c>
      <c r="U184" s="119">
        <f t="shared" si="183"/>
        <v>15.144648790322579</v>
      </c>
      <c r="V184" s="119">
        <f t="shared" si="183"/>
        <v>15.061353221975804</v>
      </c>
      <c r="W184" s="119">
        <f t="shared" si="183"/>
        <v>14.978515779254938</v>
      </c>
      <c r="X184" s="119">
        <f t="shared" si="183"/>
        <v>14.896133942469035</v>
      </c>
      <c r="Y184" s="119">
        <f t="shared" si="183"/>
        <v>14.814205205785457</v>
      </c>
      <c r="Z184" s="119">
        <f t="shared" si="183"/>
        <v>14.732727077153639</v>
      </c>
      <c r="AA184" s="119">
        <f t="shared" si="183"/>
        <v>14.651697078229294</v>
      </c>
      <c r="AB184" s="119">
        <f t="shared" si="183"/>
        <v>14.571112744299031</v>
      </c>
      <c r="AC184" s="119">
        <f t="shared" si="183"/>
        <v>14.490971624205386</v>
      </c>
      <c r="AD184" s="136">
        <f t="shared" si="177"/>
        <v>-1.3627977913673983E-2</v>
      </c>
      <c r="AE184" s="31">
        <v>0.08</v>
      </c>
      <c r="AF184" s="126">
        <f t="shared" si="178"/>
        <v>102.09634987830741</v>
      </c>
    </row>
    <row r="185" spans="2:32" x14ac:dyDescent="0.2">
      <c r="B185" s="20" t="s">
        <v>259</v>
      </c>
      <c r="C185" s="25" t="e">
        <f>C182/C76</f>
        <v>#DIV/0!</v>
      </c>
      <c r="D185" s="197"/>
      <c r="E185" s="25" t="e">
        <f t="shared" ref="E185:Q185" si="184">E182/E76</f>
        <v>#DIV/0!</v>
      </c>
      <c r="F185" s="25" t="e">
        <f t="shared" si="184"/>
        <v>#DIV/0!</v>
      </c>
      <c r="G185" s="25">
        <f t="shared" si="184"/>
        <v>1.9226190476190479</v>
      </c>
      <c r="H185" s="25">
        <f t="shared" si="184"/>
        <v>2.7542814594192109</v>
      </c>
      <c r="I185" s="25">
        <f t="shared" si="184"/>
        <v>3.6571062083119545</v>
      </c>
      <c r="J185" s="25">
        <f t="shared" si="184"/>
        <v>4.6665076660988074</v>
      </c>
      <c r="K185" s="25">
        <f t="shared" si="184"/>
        <v>3.3774447891951085</v>
      </c>
      <c r="L185" s="25">
        <f t="shared" si="184"/>
        <v>1.268155711550734</v>
      </c>
      <c r="M185" s="25">
        <f t="shared" si="184"/>
        <v>3.2904293028751477</v>
      </c>
      <c r="N185" s="25">
        <f t="shared" si="184"/>
        <v>3.2343265055691899</v>
      </c>
      <c r="O185" s="25">
        <f t="shared" si="184"/>
        <v>3.020686983240223</v>
      </c>
      <c r="P185" s="25">
        <f t="shared" si="184"/>
        <v>3.1119198709330465</v>
      </c>
      <c r="Q185" s="25">
        <f t="shared" si="184"/>
        <v>2.0572498662386303</v>
      </c>
      <c r="R185" s="118">
        <f t="shared" si="175"/>
        <v>-3.1900806698035522E-2</v>
      </c>
      <c r="S185" s="127"/>
      <c r="T185" s="119">
        <f t="shared" ref="T185:AC185" si="185">T182/T76</f>
        <v>2.0459349919743177</v>
      </c>
      <c r="U185" s="119">
        <f t="shared" si="185"/>
        <v>2.0346823495184592</v>
      </c>
      <c r="V185" s="119">
        <f t="shared" si="185"/>
        <v>2.0234915965961076</v>
      </c>
      <c r="W185" s="119">
        <f t="shared" si="185"/>
        <v>2.0123623928148286</v>
      </c>
      <c r="X185" s="119">
        <f t="shared" si="185"/>
        <v>2.0012943996543475</v>
      </c>
      <c r="Y185" s="119">
        <f t="shared" si="185"/>
        <v>1.9902872804562481</v>
      </c>
      <c r="Z185" s="119">
        <f t="shared" si="185"/>
        <v>1.9793407004137391</v>
      </c>
      <c r="AA185" s="119">
        <f t="shared" si="185"/>
        <v>1.9684543265614636</v>
      </c>
      <c r="AB185" s="119">
        <f t="shared" si="185"/>
        <v>1.9576278277653749</v>
      </c>
      <c r="AC185" s="119">
        <f t="shared" si="185"/>
        <v>1.9468608747126654</v>
      </c>
      <c r="AD185" s="136">
        <f t="shared" si="177"/>
        <v>-1.7197324864089758E-2</v>
      </c>
      <c r="AE185" s="31">
        <v>0.08</v>
      </c>
      <c r="AF185" s="126">
        <f t="shared" si="178"/>
        <v>13.667000541321755</v>
      </c>
    </row>
    <row r="186" spans="2:32" x14ac:dyDescent="0.2">
      <c r="B186" s="20" t="s">
        <v>260</v>
      </c>
      <c r="C186" s="25" t="e">
        <f>C182/C85</f>
        <v>#DIV/0!</v>
      </c>
      <c r="D186" s="197"/>
      <c r="E186" s="25" t="e">
        <f t="shared" ref="E186:Q186" si="186">E182/E85</f>
        <v>#DIV/0!</v>
      </c>
      <c r="F186" s="25" t="e">
        <f t="shared" si="186"/>
        <v>#DIV/0!</v>
      </c>
      <c r="G186" s="25">
        <f t="shared" si="186"/>
        <v>0.62648933222499315</v>
      </c>
      <c r="H186" s="25">
        <f t="shared" si="186"/>
        <v>1.367467652495379</v>
      </c>
      <c r="I186" s="25">
        <f t="shared" si="186"/>
        <v>1.4119849445324881</v>
      </c>
      <c r="J186" s="25">
        <f t="shared" si="186"/>
        <v>1.5004601226993866</v>
      </c>
      <c r="K186" s="25">
        <f t="shared" si="186"/>
        <v>1.4722746439653116</v>
      </c>
      <c r="L186" s="25">
        <f t="shared" si="186"/>
        <v>0.59707053256215736</v>
      </c>
      <c r="M186" s="25">
        <f t="shared" si="186"/>
        <v>1.2863477725313077</v>
      </c>
      <c r="N186" s="25">
        <f t="shared" si="186"/>
        <v>1.3154351581695332</v>
      </c>
      <c r="O186" s="25">
        <f t="shared" si="186"/>
        <v>1.1955653515699034</v>
      </c>
      <c r="P186" s="25">
        <f t="shared" si="186"/>
        <v>1.1316625516415284</v>
      </c>
      <c r="Q186" s="25">
        <f t="shared" si="186"/>
        <v>0.99120930112655004</v>
      </c>
      <c r="R186" s="118">
        <f t="shared" si="175"/>
        <v>-3.5122822398053088E-2</v>
      </c>
      <c r="S186" s="127"/>
      <c r="T186" s="119">
        <f t="shared" ref="T186:AC186" si="187">T182/T85</f>
        <v>0.98575764997035409</v>
      </c>
      <c r="U186" s="119">
        <f t="shared" si="187"/>
        <v>0.98033598289551704</v>
      </c>
      <c r="V186" s="119">
        <f t="shared" si="187"/>
        <v>0.97494413498959165</v>
      </c>
      <c r="W186" s="119">
        <f t="shared" si="187"/>
        <v>0.969581942247149</v>
      </c>
      <c r="X186" s="119">
        <f t="shared" si="187"/>
        <v>0.96424924156478964</v>
      </c>
      <c r="Y186" s="119">
        <f t="shared" si="187"/>
        <v>0.95894587073618331</v>
      </c>
      <c r="Z186" s="119">
        <f t="shared" si="187"/>
        <v>0.95367166844713447</v>
      </c>
      <c r="AA186" s="119">
        <f t="shared" si="187"/>
        <v>0.94842647427067528</v>
      </c>
      <c r="AB186" s="119">
        <f t="shared" si="187"/>
        <v>0.94321012866218645</v>
      </c>
      <c r="AC186" s="119">
        <f t="shared" si="187"/>
        <v>0.93802247295454444</v>
      </c>
      <c r="AD186" s="136">
        <f t="shared" si="177"/>
        <v>-1.8670602610696196E-2</v>
      </c>
      <c r="AE186" s="31">
        <v>0.08</v>
      </c>
      <c r="AF186" s="126">
        <f t="shared" si="178"/>
        <v>6.5750644865864825</v>
      </c>
    </row>
    <row r="187" spans="2:32" x14ac:dyDescent="0.2">
      <c r="B187" s="20" t="s">
        <v>261</v>
      </c>
      <c r="C187" s="25" t="e">
        <f>C182/C87</f>
        <v>#DIV/0!</v>
      </c>
      <c r="D187" s="197"/>
      <c r="E187" s="25" t="e">
        <f t="shared" ref="E187:Q187" si="188">E182/E87</f>
        <v>#DIV/0!</v>
      </c>
      <c r="F187" s="25" t="e">
        <f t="shared" si="188"/>
        <v>#DIV/0!</v>
      </c>
      <c r="G187" s="25" t="e">
        <f t="shared" si="188"/>
        <v>#DIV/0!</v>
      </c>
      <c r="H187" s="25" t="e">
        <f t="shared" si="188"/>
        <v>#DIV/0!</v>
      </c>
      <c r="I187" s="25" t="e">
        <f t="shared" si="188"/>
        <v>#DIV/0!</v>
      </c>
      <c r="J187" s="25" t="e">
        <f t="shared" si="188"/>
        <v>#DIV/0!</v>
      </c>
      <c r="K187" s="25" t="e">
        <f t="shared" si="188"/>
        <v>#DIV/0!</v>
      </c>
      <c r="L187" s="25" t="e">
        <f t="shared" si="188"/>
        <v>#DIV/0!</v>
      </c>
      <c r="M187" s="25" t="e">
        <f t="shared" si="188"/>
        <v>#DIV/0!</v>
      </c>
      <c r="N187" s="25" t="e">
        <f t="shared" si="188"/>
        <v>#DIV/0!</v>
      </c>
      <c r="O187" s="25" t="e">
        <f t="shared" si="188"/>
        <v>#DIV/0!</v>
      </c>
      <c r="P187" s="25" t="e">
        <f t="shared" si="188"/>
        <v>#DIV/0!</v>
      </c>
      <c r="Q187" s="25" t="e">
        <f t="shared" si="188"/>
        <v>#DIV/0!</v>
      </c>
      <c r="R187" s="118" t="e">
        <f t="shared" si="175"/>
        <v>#DIV/0!</v>
      </c>
      <c r="S187" s="127"/>
      <c r="T187" s="119" t="e">
        <f t="shared" ref="T187:AC187" si="189">T182/T87</f>
        <v>#DIV/0!</v>
      </c>
      <c r="U187" s="119" t="e">
        <f t="shared" si="189"/>
        <v>#DIV/0!</v>
      </c>
      <c r="V187" s="119" t="e">
        <f t="shared" si="189"/>
        <v>#DIV/0!</v>
      </c>
      <c r="W187" s="119" t="e">
        <f t="shared" si="189"/>
        <v>#DIV/0!</v>
      </c>
      <c r="X187" s="119" t="e">
        <f t="shared" si="189"/>
        <v>#DIV/0!</v>
      </c>
      <c r="Y187" s="119" t="e">
        <f t="shared" si="189"/>
        <v>#DIV/0!</v>
      </c>
      <c r="Z187" s="119" t="e">
        <f t="shared" si="189"/>
        <v>#DIV/0!</v>
      </c>
      <c r="AA187" s="119" t="e">
        <f t="shared" si="189"/>
        <v>#DIV/0!</v>
      </c>
      <c r="AB187" s="119" t="e">
        <f t="shared" si="189"/>
        <v>#DIV/0!</v>
      </c>
      <c r="AC187" s="119" t="e">
        <f t="shared" si="189"/>
        <v>#DIV/0!</v>
      </c>
      <c r="AD187" s="136" t="e">
        <f t="shared" si="177"/>
        <v>#DIV/0!</v>
      </c>
      <c r="AE187" s="31">
        <v>0.08</v>
      </c>
      <c r="AF187" s="126" t="e">
        <f t="shared" si="178"/>
        <v>#DIV/0!</v>
      </c>
    </row>
    <row r="188" spans="2:32" x14ac:dyDescent="0.2">
      <c r="B188" s="20" t="s">
        <v>282</v>
      </c>
      <c r="C188" s="25" t="e">
        <f>C184/C134</f>
        <v>#DIV/0!</v>
      </c>
      <c r="D188" s="197"/>
      <c r="E188" s="25" t="e">
        <f>E184/E134</f>
        <v>#DIV/0!</v>
      </c>
      <c r="F188" s="25" t="e">
        <f>F184/F134</f>
        <v>#DIV/0!</v>
      </c>
      <c r="G188" s="25" t="e">
        <f>G184/G134</f>
        <v>#DIV/0!</v>
      </c>
      <c r="H188" s="25">
        <f t="shared" ref="H188:Q188" si="190">H182/H81</f>
        <v>-0.60798816568047342</v>
      </c>
      <c r="I188" s="25">
        <f t="shared" si="190"/>
        <v>-0.77847313237221483</v>
      </c>
      <c r="J188" s="25">
        <f t="shared" si="190"/>
        <v>-0.83589868782422938</v>
      </c>
      <c r="K188" s="25">
        <f t="shared" si="190"/>
        <v>-0.89908755223010395</v>
      </c>
      <c r="L188" s="25">
        <f t="shared" si="190"/>
        <v>-0.43512152397635212</v>
      </c>
      <c r="M188" s="25">
        <f t="shared" si="190"/>
        <v>-0.90353653700565995</v>
      </c>
      <c r="N188" s="25">
        <f t="shared" si="190"/>
        <v>-0.892605699846302</v>
      </c>
      <c r="O188" s="25">
        <f t="shared" si="190"/>
        <v>-0.71792882966616078</v>
      </c>
      <c r="P188" s="25">
        <f t="shared" si="190"/>
        <v>-0.64932420680562175</v>
      </c>
      <c r="Q188" s="25">
        <f t="shared" si="190"/>
        <v>-0.57983472071419961</v>
      </c>
      <c r="R188" s="118">
        <f t="shared" si="175"/>
        <v>-5.2541836571409206E-3</v>
      </c>
      <c r="S188" s="127"/>
      <c r="T188" s="133">
        <f t="shared" ref="T188:AC188" si="191">T182/T81</f>
        <v>-0.57664562975027145</v>
      </c>
      <c r="U188" s="133">
        <f t="shared" si="191"/>
        <v>-0.5734740787866448</v>
      </c>
      <c r="V188" s="133">
        <f t="shared" si="191"/>
        <v>-0.57031997135331847</v>
      </c>
      <c r="W188" s="133">
        <f t="shared" si="191"/>
        <v>-0.56718321151087514</v>
      </c>
      <c r="X188" s="133">
        <f t="shared" si="191"/>
        <v>-0.56406370384756532</v>
      </c>
      <c r="Y188" s="133">
        <f t="shared" si="191"/>
        <v>-0.56096135347640375</v>
      </c>
      <c r="Z188" s="133">
        <f t="shared" si="191"/>
        <v>-0.55787606603228368</v>
      </c>
      <c r="AA188" s="133">
        <f t="shared" si="191"/>
        <v>-0.55480774766910612</v>
      </c>
      <c r="AB188" s="133">
        <f t="shared" si="191"/>
        <v>-0.55175630505692597</v>
      </c>
      <c r="AC188" s="133">
        <f t="shared" si="191"/>
        <v>-0.54872164537911272</v>
      </c>
      <c r="AD188" s="136">
        <f t="shared" si="177"/>
        <v>-5.1150794823212609E-3</v>
      </c>
      <c r="AE188" s="31">
        <v>0.08</v>
      </c>
      <c r="AF188" s="126">
        <f t="shared" si="178"/>
        <v>-3.8993920753523463</v>
      </c>
    </row>
    <row r="189" spans="2:32" x14ac:dyDescent="0.2">
      <c r="B189" s="182" t="s">
        <v>376</v>
      </c>
      <c r="C189" s="160" t="e">
        <f>C74/C182</f>
        <v>#DIV/0!</v>
      </c>
      <c r="D189" s="160"/>
      <c r="E189" s="160" t="e">
        <f t="shared" ref="E189:Q189" si="192">E74/E182</f>
        <v>#DIV/0!</v>
      </c>
      <c r="F189" s="160" t="e">
        <f t="shared" si="192"/>
        <v>#DIV/0!</v>
      </c>
      <c r="G189" s="160">
        <f t="shared" si="192"/>
        <v>8.8633348076072538E-2</v>
      </c>
      <c r="H189" s="160">
        <f t="shared" si="192"/>
        <v>5.2446607191132741E-2</v>
      </c>
      <c r="I189" s="160">
        <f t="shared" si="192"/>
        <v>7.4217489512746052E-2</v>
      </c>
      <c r="J189" s="160">
        <f t="shared" si="192"/>
        <v>3.8258787108833112E-2</v>
      </c>
      <c r="K189" s="160">
        <f t="shared" si="192"/>
        <v>5.1769735995962171E-2</v>
      </c>
      <c r="L189" s="160">
        <f t="shared" si="192"/>
        <v>8.202495974235105E-2</v>
      </c>
      <c r="M189" s="160">
        <f t="shared" si="192"/>
        <v>5.2946152127421875E-2</v>
      </c>
      <c r="N189" s="160">
        <f t="shared" si="192"/>
        <v>4.5790893215724576E-2</v>
      </c>
      <c r="O189" s="160">
        <f t="shared" si="192"/>
        <v>4.8878169521745791E-2</v>
      </c>
      <c r="P189" s="160">
        <f t="shared" si="192"/>
        <v>4.7609872092751984E-2</v>
      </c>
      <c r="Q189" s="160">
        <f t="shared" si="192"/>
        <v>6.5305591677503244E-2</v>
      </c>
      <c r="R189" s="127"/>
      <c r="S189" s="127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6"/>
      <c r="AE189" s="31"/>
      <c r="AF189" s="126"/>
    </row>
    <row r="190" spans="2:32" x14ac:dyDescent="0.2">
      <c r="B190" s="20" t="s">
        <v>321</v>
      </c>
      <c r="C190" s="151" t="e">
        <f>C65/C182</f>
        <v>#DIV/0!</v>
      </c>
      <c r="D190" s="180"/>
      <c r="E190" s="151" t="e">
        <f t="shared" ref="E190:Q190" si="193">E65/E182</f>
        <v>#DIV/0!</v>
      </c>
      <c r="F190" s="151" t="e">
        <f t="shared" si="193"/>
        <v>#DIV/0!</v>
      </c>
      <c r="G190" s="151">
        <f t="shared" si="193"/>
        <v>6.3157894736842104E-3</v>
      </c>
      <c r="H190" s="151">
        <f t="shared" si="193"/>
        <v>4.1666666666666666E-3</v>
      </c>
      <c r="I190" s="151">
        <f t="shared" si="193"/>
        <v>2.6086956521739128E-3</v>
      </c>
      <c r="J190" s="151">
        <f t="shared" si="193"/>
        <v>1.6666666666666666E-3</v>
      </c>
      <c r="K190" s="151">
        <f t="shared" si="193"/>
        <v>1.3966480446927375E-3</v>
      </c>
      <c r="L190" s="151">
        <f t="shared" si="193"/>
        <v>3.2608695652173911E-3</v>
      </c>
      <c r="M190" s="151">
        <f t="shared" si="193"/>
        <v>1.1805555555555556E-3</v>
      </c>
      <c r="N190" s="151">
        <f t="shared" si="193"/>
        <v>1.0752688172043011E-3</v>
      </c>
      <c r="O190" s="151">
        <f t="shared" si="193"/>
        <v>1.1741682974559687E-3</v>
      </c>
      <c r="P190" s="151">
        <f t="shared" si="193"/>
        <v>1.129032258064516E-3</v>
      </c>
      <c r="Q190" s="151">
        <f t="shared" si="193"/>
        <v>1.6000000000000001E-3</v>
      </c>
      <c r="R190" s="127"/>
      <c r="S190" s="127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6"/>
      <c r="AE190" s="31"/>
      <c r="AF190" s="126"/>
    </row>
    <row r="191" spans="2:32" x14ac:dyDescent="0.2">
      <c r="B191" s="217" t="s">
        <v>438</v>
      </c>
      <c r="C191" s="231" t="e">
        <f t="shared" ref="C191:P191" si="194">(C184)/($M$2*100)</f>
        <v>#DIV/0!</v>
      </c>
      <c r="D191" s="231">
        <f t="shared" si="194"/>
        <v>0</v>
      </c>
      <c r="E191" s="231" t="e">
        <f t="shared" si="194"/>
        <v>#DIV/0!</v>
      </c>
      <c r="F191" s="231" t="e">
        <f t="shared" si="194"/>
        <v>#DIV/0!</v>
      </c>
      <c r="G191" s="231">
        <f t="shared" si="194"/>
        <v>0.56412175648702589</v>
      </c>
      <c r="H191" s="231">
        <f t="shared" si="194"/>
        <v>0.95335051546391747</v>
      </c>
      <c r="I191" s="231">
        <f t="shared" si="194"/>
        <v>0.67369565217391292</v>
      </c>
      <c r="J191" s="231">
        <f t="shared" si="194"/>
        <v>1.3068893129770991</v>
      </c>
      <c r="K191" s="231">
        <f t="shared" si="194"/>
        <v>0.96581524008350728</v>
      </c>
      <c r="L191" s="231">
        <f t="shared" si="194"/>
        <v>0.60957055214723932</v>
      </c>
      <c r="M191" s="231">
        <f t="shared" si="194"/>
        <v>0.94435568952524496</v>
      </c>
      <c r="N191" s="231">
        <f t="shared" si="194"/>
        <v>1.0919201720841301</v>
      </c>
      <c r="O191" s="231">
        <f t="shared" si="194"/>
        <v>1.0229515648648648</v>
      </c>
      <c r="P191" s="231">
        <f t="shared" si="194"/>
        <v>1.0502023593466423</v>
      </c>
      <c r="Q191" s="231">
        <f>(Q184)/($M$2*100)</f>
        <v>0.76563122262047001</v>
      </c>
      <c r="R191" s="127"/>
      <c r="S191" s="127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6"/>
      <c r="AE191" s="31"/>
      <c r="AF191" s="126"/>
    </row>
    <row r="192" spans="2:32" x14ac:dyDescent="0.2">
      <c r="B192" s="217" t="s">
        <v>439</v>
      </c>
      <c r="C192" s="180"/>
      <c r="D192" s="180"/>
      <c r="E192" s="180"/>
      <c r="F192" s="180"/>
      <c r="G192" s="180">
        <f t="shared" ref="G192:P192" si="195">G191-1</f>
        <v>-0.43587824351297411</v>
      </c>
      <c r="H192" s="180">
        <f t="shared" si="195"/>
        <v>-4.6649484536082531E-2</v>
      </c>
      <c r="I192" s="180">
        <f t="shared" si="195"/>
        <v>-0.32630434782608708</v>
      </c>
      <c r="J192" s="180">
        <f t="shared" si="195"/>
        <v>0.30688931297709909</v>
      </c>
      <c r="K192" s="180">
        <f t="shared" si="195"/>
        <v>-3.4184759916492724E-2</v>
      </c>
      <c r="L192" s="180">
        <f t="shared" si="195"/>
        <v>-0.39042944785276068</v>
      </c>
      <c r="M192" s="180">
        <f t="shared" si="195"/>
        <v>-5.5644310474755043E-2</v>
      </c>
      <c r="N192" s="180">
        <f t="shared" si="195"/>
        <v>9.1920172084130058E-2</v>
      </c>
      <c r="O192" s="180">
        <f t="shared" si="195"/>
        <v>2.2951564864864826E-2</v>
      </c>
      <c r="P192" s="180">
        <f t="shared" si="195"/>
        <v>5.02023593466423E-2</v>
      </c>
      <c r="Q192" s="180">
        <f>Q191-1</f>
        <v>-0.23436877737952999</v>
      </c>
      <c r="R192" s="127"/>
      <c r="S192" s="127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5"/>
      <c r="AE192" s="20"/>
      <c r="AF192" s="126"/>
    </row>
    <row r="193" spans="2:49" s="186" customFormat="1" x14ac:dyDescent="0.2">
      <c r="B193" s="217"/>
      <c r="C193" s="180"/>
      <c r="D193" s="180"/>
      <c r="E193" s="180"/>
      <c r="F193" s="180"/>
      <c r="G193" s="180"/>
      <c r="H193" s="180"/>
      <c r="I193" s="180"/>
      <c r="J193" s="180"/>
      <c r="K193" s="180"/>
      <c r="L193" s="232"/>
      <c r="M193" s="233"/>
      <c r="N193" s="180"/>
      <c r="O193" s="180"/>
      <c r="P193" s="232"/>
      <c r="Q193" s="233"/>
      <c r="R193" s="127"/>
      <c r="S193" s="127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99"/>
      <c r="AE193" s="217"/>
      <c r="AF193" s="198"/>
    </row>
    <row r="194" spans="2:49" x14ac:dyDescent="0.2">
      <c r="B194" s="108" t="s">
        <v>302</v>
      </c>
      <c r="C194" s="20"/>
      <c r="D194" s="217"/>
      <c r="E194" s="20"/>
      <c r="F194" s="20"/>
      <c r="G194" s="20"/>
      <c r="H194" s="20"/>
      <c r="I194" s="20"/>
      <c r="J194" s="20"/>
      <c r="K194" s="20"/>
      <c r="L194" s="244" t="s">
        <v>352</v>
      </c>
      <c r="M194" s="245"/>
      <c r="N194" s="20"/>
      <c r="O194" s="20"/>
      <c r="P194" s="237" t="s">
        <v>433</v>
      </c>
      <c r="Q194" s="239"/>
      <c r="R194" s="220" t="s">
        <v>434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5"/>
      <c r="AE194" s="20"/>
      <c r="AF194" s="20"/>
    </row>
    <row r="195" spans="2:49" x14ac:dyDescent="0.2">
      <c r="B195" s="20" t="s">
        <v>300</v>
      </c>
      <c r="C195" s="20" t="s">
        <v>315</v>
      </c>
      <c r="D195" s="217"/>
      <c r="E195" s="20"/>
      <c r="F195" s="20"/>
      <c r="G195" s="20"/>
      <c r="H195" s="20"/>
      <c r="I195" s="20"/>
      <c r="J195" s="20"/>
      <c r="K195" s="20"/>
      <c r="L195" s="20" t="s">
        <v>353</v>
      </c>
      <c r="M195" s="22">
        <v>1</v>
      </c>
      <c r="N195" s="20"/>
      <c r="O195" s="20"/>
      <c r="P195" s="20"/>
      <c r="Q195" s="127">
        <f>(Q182-S170)/Q182</f>
        <v>0.98483730410159498</v>
      </c>
      <c r="R195" s="127">
        <f>(Q182-T170)/Q182</f>
        <v>0.98752583402763594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35"/>
      <c r="AE195" s="20"/>
      <c r="AF195" s="20"/>
    </row>
    <row r="196" spans="2:49" x14ac:dyDescent="0.2">
      <c r="B196" s="20" t="s">
        <v>350</v>
      </c>
      <c r="C196" s="20" t="s">
        <v>315</v>
      </c>
      <c r="D196" s="217"/>
      <c r="E196" s="20"/>
      <c r="F196" s="20"/>
      <c r="G196" s="20"/>
      <c r="H196" s="20"/>
      <c r="I196" s="20"/>
      <c r="J196" s="20"/>
      <c r="K196" s="20"/>
      <c r="L196" s="166">
        <f>M195</f>
        <v>1</v>
      </c>
      <c r="M196" s="20"/>
      <c r="N196" s="127">
        <f>(Q182-(L196*S161))/Q182</f>
        <v>11.499749999261425</v>
      </c>
      <c r="O196" s="20"/>
      <c r="P196" s="20"/>
      <c r="Q196" s="127">
        <f>(Q182-S161)/Q182</f>
        <v>11.499749999261425</v>
      </c>
      <c r="R196" s="127">
        <f>(Q182-T161)/Q182</f>
        <v>2.4630799179298708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35"/>
      <c r="AE196" s="20"/>
      <c r="AF196" s="20"/>
    </row>
    <row r="197" spans="2:49" x14ac:dyDescent="0.2">
      <c r="B197" s="20" t="s">
        <v>351</v>
      </c>
      <c r="C197" s="20" t="s">
        <v>315</v>
      </c>
      <c r="D197" s="217"/>
      <c r="E197" s="20"/>
      <c r="F197" s="20"/>
      <c r="G197" s="20"/>
      <c r="H197" s="20"/>
      <c r="I197" s="20"/>
      <c r="J197" s="20"/>
      <c r="K197" s="20"/>
      <c r="L197" s="166">
        <f>M195</f>
        <v>1</v>
      </c>
      <c r="M197" s="20"/>
      <c r="N197" s="127">
        <f>(Q182-(L196*S154))/Q182</f>
        <v>-2.0217340599877103</v>
      </c>
      <c r="O197" s="20"/>
      <c r="P197" s="20"/>
      <c r="Q197" s="127">
        <f>(Q182-S154)/Q182</f>
        <v>-2.0217340599877103</v>
      </c>
      <c r="R197" s="127">
        <f>(Q182-T154)/Q182</f>
        <v>0.57893869655908947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35"/>
      <c r="AE197" s="20"/>
      <c r="AF197" s="20"/>
    </row>
    <row r="198" spans="2:49" x14ac:dyDescent="0.2">
      <c r="B198" s="20" t="s">
        <v>354</v>
      </c>
      <c r="C198" s="20" t="s">
        <v>315</v>
      </c>
      <c r="D198" s="217"/>
      <c r="E198" s="20"/>
      <c r="F198" s="20"/>
      <c r="G198" s="20"/>
      <c r="H198" s="20"/>
      <c r="I198" s="20"/>
      <c r="J198" s="20"/>
      <c r="K198" s="20"/>
      <c r="L198" s="166">
        <f>M195</f>
        <v>1</v>
      </c>
      <c r="M198" s="20"/>
      <c r="N198" s="127">
        <f>(Q182-(L196*S167))/Q182</f>
        <v>1</v>
      </c>
      <c r="O198" s="20"/>
      <c r="P198" s="20"/>
      <c r="Q198" s="127">
        <f>(Q182-S167)/Q182</f>
        <v>1</v>
      </c>
      <c r="R198" s="127">
        <f>(Q182-T167)/Q182</f>
        <v>1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35"/>
      <c r="AE198" s="20"/>
      <c r="AF198" s="20"/>
    </row>
    <row r="199" spans="2:49" x14ac:dyDescent="0.2">
      <c r="B199" s="20" t="s">
        <v>301</v>
      </c>
      <c r="C199" s="20"/>
      <c r="D199" s="217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5">
        <f>Q182/S153</f>
        <v>2.5151648517722109</v>
      </c>
      <c r="R199" s="197">
        <f>Q182/T153</f>
        <v>18.050006583306455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135"/>
      <c r="AE199" s="20"/>
      <c r="AF199" s="20"/>
    </row>
    <row r="200" spans="2:49" x14ac:dyDescent="0.2">
      <c r="B200" s="20" t="s">
        <v>376</v>
      </c>
      <c r="C200" s="20"/>
      <c r="D200" s="217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151">
        <f>1/Q199</f>
        <v>0.39758825322936181</v>
      </c>
      <c r="R200" s="180">
        <f>1/R199</f>
        <v>5.5401641843435656E-2</v>
      </c>
      <c r="S200" s="20"/>
      <c r="T200" s="218" t="s">
        <v>11</v>
      </c>
      <c r="U200" s="218" t="s">
        <v>12</v>
      </c>
      <c r="V200" s="218" t="s">
        <v>13</v>
      </c>
      <c r="W200" s="218" t="s">
        <v>14</v>
      </c>
      <c r="X200" s="218" t="s">
        <v>15</v>
      </c>
      <c r="Y200" s="218" t="s">
        <v>234</v>
      </c>
      <c r="Z200" s="218" t="s">
        <v>235</v>
      </c>
      <c r="AA200" s="218" t="s">
        <v>236</v>
      </c>
      <c r="AB200" s="218" t="s">
        <v>237</v>
      </c>
      <c r="AC200" s="218" t="s">
        <v>238</v>
      </c>
      <c r="AD200" s="218" t="s">
        <v>410</v>
      </c>
      <c r="AE200" s="218" t="s">
        <v>411</v>
      </c>
      <c r="AF200" s="218" t="s">
        <v>412</v>
      </c>
      <c r="AG200" s="218" t="s">
        <v>413</v>
      </c>
      <c r="AH200" s="218" t="s">
        <v>414</v>
      </c>
      <c r="AI200" s="218" t="s">
        <v>415</v>
      </c>
      <c r="AJ200" s="218" t="s">
        <v>416</v>
      </c>
      <c r="AK200" s="218" t="s">
        <v>417</v>
      </c>
      <c r="AL200" s="218" t="s">
        <v>418</v>
      </c>
      <c r="AM200" s="218" t="s">
        <v>419</v>
      </c>
      <c r="AN200" s="218" t="s">
        <v>420</v>
      </c>
      <c r="AO200" s="218" t="s">
        <v>421</v>
      </c>
      <c r="AP200" s="218" t="s">
        <v>422</v>
      </c>
      <c r="AQ200" s="218" t="s">
        <v>423</v>
      </c>
      <c r="AR200" s="218" t="s">
        <v>424</v>
      </c>
      <c r="AS200" s="218" t="s">
        <v>425</v>
      </c>
      <c r="AT200" s="218" t="s">
        <v>426</v>
      </c>
      <c r="AU200" s="218" t="s">
        <v>427</v>
      </c>
      <c r="AV200" s="218" t="s">
        <v>428</v>
      </c>
      <c r="AW200" s="218" t="s">
        <v>429</v>
      </c>
    </row>
    <row r="201" spans="2:49" x14ac:dyDescent="0.2">
      <c r="B201" s="20"/>
      <c r="C201" s="20"/>
      <c r="D201" s="217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5"/>
      <c r="R201" s="197"/>
      <c r="S201" s="20"/>
      <c r="T201" s="197">
        <f>$Q$182-T202</f>
        <v>474.57945376424965</v>
      </c>
      <c r="U201" s="221">
        <f>T201-U202</f>
        <v>447.88788021671178</v>
      </c>
      <c r="V201" s="221">
        <f t="shared" ref="V201:AW201" si="196">U201-V202</f>
        <v>419.86172799179701</v>
      </c>
      <c r="W201" s="221">
        <f t="shared" si="196"/>
        <v>390.43426815563652</v>
      </c>
      <c r="X201" s="221">
        <f t="shared" si="196"/>
        <v>359.53543532766804</v>
      </c>
      <c r="Y201" s="221">
        <f t="shared" si="196"/>
        <v>327.09166085830111</v>
      </c>
      <c r="Z201" s="221">
        <f t="shared" si="196"/>
        <v>293.02569766546583</v>
      </c>
      <c r="AA201" s="221">
        <f t="shared" si="196"/>
        <v>257.2564363129888</v>
      </c>
      <c r="AB201" s="221">
        <f t="shared" si="196"/>
        <v>219.6987118928879</v>
      </c>
      <c r="AC201" s="221">
        <f t="shared" si="196"/>
        <v>180.26310125178196</v>
      </c>
      <c r="AD201" s="221">
        <f t="shared" si="196"/>
        <v>138.85571007862072</v>
      </c>
      <c r="AE201" s="221">
        <f t="shared" si="196"/>
        <v>95.377949346801415</v>
      </c>
      <c r="AF201" s="221">
        <f t="shared" si="196"/>
        <v>49.72630057839114</v>
      </c>
      <c r="AG201" s="221">
        <f t="shared" si="196"/>
        <v>1.7920693715603448</v>
      </c>
      <c r="AH201" s="221">
        <f t="shared" si="196"/>
        <v>-48.538873395611994</v>
      </c>
      <c r="AI201" s="221">
        <f t="shared" si="196"/>
        <v>-101.38636330114295</v>
      </c>
      <c r="AJ201" s="221">
        <f t="shared" si="196"/>
        <v>-156.87622770195046</v>
      </c>
      <c r="AK201" s="221">
        <f t="shared" si="196"/>
        <v>-215.14058532279833</v>
      </c>
      <c r="AL201" s="221">
        <f t="shared" si="196"/>
        <v>-276.31816082468862</v>
      </c>
      <c r="AM201" s="221">
        <f t="shared" si="196"/>
        <v>-340.55461510167345</v>
      </c>
      <c r="AN201" s="221">
        <f t="shared" si="196"/>
        <v>-408.00289209250752</v>
      </c>
      <c r="AO201" s="221">
        <f t="shared" si="196"/>
        <v>-478.82358293288326</v>
      </c>
      <c r="AP201" s="221">
        <f t="shared" si="196"/>
        <v>-553.18530831527778</v>
      </c>
      <c r="AQ201" s="221">
        <f t="shared" si="196"/>
        <v>-631.2651199667921</v>
      </c>
      <c r="AR201" s="221">
        <f t="shared" si="196"/>
        <v>-713.24892220088213</v>
      </c>
      <c r="AS201" s="221">
        <f t="shared" si="196"/>
        <v>-799.33191454667667</v>
      </c>
      <c r="AT201" s="221">
        <f t="shared" si="196"/>
        <v>-889.71905650976089</v>
      </c>
      <c r="AU201" s="221">
        <f t="shared" si="196"/>
        <v>-984.62555557099927</v>
      </c>
      <c r="AV201" s="221">
        <f t="shared" si="196"/>
        <v>-1084.2773795852995</v>
      </c>
      <c r="AW201" s="221">
        <f t="shared" si="196"/>
        <v>-1188.911794800315</v>
      </c>
    </row>
    <row r="202" spans="2:49" s="186" customFormat="1" x14ac:dyDescent="0.2">
      <c r="B202" s="188" t="s">
        <v>393</v>
      </c>
      <c r="C202" s="188"/>
      <c r="D202" s="217"/>
      <c r="E202" s="188"/>
      <c r="F202" s="188"/>
      <c r="G202" s="188"/>
      <c r="H202" s="188"/>
      <c r="I202" s="188"/>
      <c r="J202" s="188"/>
      <c r="K202" s="189">
        <v>0.05</v>
      </c>
      <c r="L202" s="194">
        <v>16</v>
      </c>
      <c r="M202" s="217"/>
      <c r="N202" s="189">
        <v>0.15</v>
      </c>
      <c r="O202" s="194">
        <v>10</v>
      </c>
      <c r="P202" s="183"/>
      <c r="Q202" s="185">
        <f>Q182/R152</f>
        <v>20.652585319416279</v>
      </c>
      <c r="R202" s="197"/>
      <c r="S202" s="183"/>
      <c r="T202" s="197">
        <f>R152*(1+$K$202)</f>
        <v>25.420546235750329</v>
      </c>
      <c r="U202" s="197">
        <f>T202*(1+$K$202)</f>
        <v>26.691573547537846</v>
      </c>
      <c r="V202" s="197">
        <f t="shared" ref="V202:AW202" si="197">U202*(1+$K$202)</f>
        <v>28.026152224914739</v>
      </c>
      <c r="W202" s="197">
        <f t="shared" si="197"/>
        <v>29.427459836160477</v>
      </c>
      <c r="X202" s="197">
        <f t="shared" si="197"/>
        <v>30.898832827968501</v>
      </c>
      <c r="Y202" s="197">
        <f t="shared" si="197"/>
        <v>32.443774469366929</v>
      </c>
      <c r="Z202" s="197">
        <f t="shared" si="197"/>
        <v>34.065963192835277</v>
      </c>
      <c r="AA202" s="197">
        <f t="shared" si="197"/>
        <v>35.769261352477045</v>
      </c>
      <c r="AB202" s="197">
        <f t="shared" si="197"/>
        <v>37.557724420100897</v>
      </c>
      <c r="AC202" s="197">
        <f t="shared" si="197"/>
        <v>39.435610641105946</v>
      </c>
      <c r="AD202" s="197">
        <f t="shared" si="197"/>
        <v>41.407391173161244</v>
      </c>
      <c r="AE202" s="197">
        <f t="shared" si="197"/>
        <v>43.477760731819309</v>
      </c>
      <c r="AF202" s="197">
        <f t="shared" si="197"/>
        <v>45.651648768410276</v>
      </c>
      <c r="AG202" s="197">
        <f t="shared" si="197"/>
        <v>47.934231206830795</v>
      </c>
      <c r="AH202" s="197">
        <f t="shared" si="197"/>
        <v>50.330942767172338</v>
      </c>
      <c r="AI202" s="197">
        <f t="shared" si="197"/>
        <v>52.847489905530956</v>
      </c>
      <c r="AJ202" s="197">
        <f t="shared" si="197"/>
        <v>55.489864400807505</v>
      </c>
      <c r="AK202" s="197">
        <f t="shared" si="197"/>
        <v>58.264357620847882</v>
      </c>
      <c r="AL202" s="197">
        <f t="shared" si="197"/>
        <v>61.177575501890281</v>
      </c>
      <c r="AM202" s="197">
        <f t="shared" si="197"/>
        <v>64.236454276984801</v>
      </c>
      <c r="AN202" s="197">
        <f t="shared" si="197"/>
        <v>67.448276990834046</v>
      </c>
      <c r="AO202" s="197">
        <f t="shared" si="197"/>
        <v>70.820690840375747</v>
      </c>
      <c r="AP202" s="197">
        <f t="shared" si="197"/>
        <v>74.361725382394539</v>
      </c>
      <c r="AQ202" s="197">
        <f t="shared" si="197"/>
        <v>78.079811651514262</v>
      </c>
      <c r="AR202" s="197">
        <f t="shared" si="197"/>
        <v>81.983802234089978</v>
      </c>
      <c r="AS202" s="197">
        <f t="shared" si="197"/>
        <v>86.08299234579448</v>
      </c>
      <c r="AT202" s="197">
        <f t="shared" si="197"/>
        <v>90.387141963084204</v>
      </c>
      <c r="AU202" s="197">
        <f t="shared" si="197"/>
        <v>94.906499061238421</v>
      </c>
      <c r="AV202" s="197">
        <f t="shared" si="197"/>
        <v>99.651824014300345</v>
      </c>
      <c r="AW202" s="197">
        <f t="shared" si="197"/>
        <v>104.63441521501537</v>
      </c>
    </row>
    <row r="203" spans="2:49" s="186" customFormat="1" x14ac:dyDescent="0.2">
      <c r="B203" s="188" t="s">
        <v>394</v>
      </c>
      <c r="C203" s="188"/>
      <c r="D203" s="217"/>
      <c r="E203" s="188"/>
      <c r="F203" s="188"/>
      <c r="G203" s="188"/>
      <c r="H203" s="188"/>
      <c r="I203" s="188"/>
      <c r="J203" s="188"/>
      <c r="K203" s="189">
        <v>0.05</v>
      </c>
      <c r="L203" s="194">
        <v>13</v>
      </c>
      <c r="M203" s="217"/>
      <c r="N203" s="189">
        <v>0.15</v>
      </c>
      <c r="O203" s="194">
        <v>8</v>
      </c>
      <c r="P203" s="183"/>
      <c r="Q203" s="185">
        <f>Q182/Q74</f>
        <v>15.3126244524094</v>
      </c>
      <c r="R203" s="197"/>
      <c r="S203" s="183"/>
      <c r="T203" s="214">
        <f>Q74*(1+$K$203)</f>
        <v>34.285435630689207</v>
      </c>
      <c r="U203" s="197">
        <f>T203*(1+$K$203)</f>
        <v>35.999707412223671</v>
      </c>
      <c r="V203" s="197">
        <f t="shared" ref="V203:AW203" si="198">U203*(1+$K$203)</f>
        <v>37.799692782834853</v>
      </c>
      <c r="W203" s="197">
        <f t="shared" si="198"/>
        <v>39.689677421976597</v>
      </c>
      <c r="X203" s="197">
        <f t="shared" si="198"/>
        <v>41.674161293075429</v>
      </c>
      <c r="Y203" s="197">
        <f t="shared" si="198"/>
        <v>43.757869357729199</v>
      </c>
      <c r="Z203" s="197">
        <f t="shared" si="198"/>
        <v>45.94576282561566</v>
      </c>
      <c r="AA203" s="197">
        <f t="shared" si="198"/>
        <v>48.243050966896448</v>
      </c>
      <c r="AB203" s="197">
        <f t="shared" si="198"/>
        <v>50.655203515241276</v>
      </c>
      <c r="AC203" s="197">
        <f t="shared" si="198"/>
        <v>53.18796369100334</v>
      </c>
      <c r="AD203" s="197">
        <f t="shared" si="198"/>
        <v>55.84736187555351</v>
      </c>
      <c r="AE203" s="197">
        <f t="shared" si="198"/>
        <v>58.639729969331185</v>
      </c>
      <c r="AF203" s="197">
        <f t="shared" si="198"/>
        <v>61.571716467797749</v>
      </c>
      <c r="AG203" s="197">
        <f t="shared" si="198"/>
        <v>64.650302291187643</v>
      </c>
      <c r="AH203" s="197">
        <f t="shared" si="198"/>
        <v>67.882817405747033</v>
      </c>
      <c r="AI203" s="197">
        <f t="shared" si="198"/>
        <v>71.276958276034392</v>
      </c>
      <c r="AJ203" s="197">
        <f t="shared" si="198"/>
        <v>74.840806189836115</v>
      </c>
      <c r="AK203" s="197">
        <f t="shared" si="198"/>
        <v>78.582846499327928</v>
      </c>
      <c r="AL203" s="197">
        <f t="shared" si="198"/>
        <v>82.511988824294335</v>
      </c>
      <c r="AM203" s="197">
        <f t="shared" si="198"/>
        <v>86.637588265509052</v>
      </c>
      <c r="AN203" s="197">
        <f t="shared" si="198"/>
        <v>90.969467678784511</v>
      </c>
      <c r="AO203" s="197">
        <f t="shared" si="198"/>
        <v>95.517941062723736</v>
      </c>
      <c r="AP203" s="197">
        <f t="shared" si="198"/>
        <v>100.29383811585993</v>
      </c>
      <c r="AQ203" s="197">
        <f t="shared" si="198"/>
        <v>105.30853002165293</v>
      </c>
      <c r="AR203" s="197">
        <f t="shared" si="198"/>
        <v>110.57395652273559</v>
      </c>
      <c r="AS203" s="197">
        <f t="shared" si="198"/>
        <v>116.10265434887236</v>
      </c>
      <c r="AT203" s="197">
        <f t="shared" si="198"/>
        <v>121.90778706631599</v>
      </c>
      <c r="AU203" s="197">
        <f t="shared" si="198"/>
        <v>128.00317641963179</v>
      </c>
      <c r="AV203" s="197">
        <f t="shared" si="198"/>
        <v>134.40333524061339</v>
      </c>
      <c r="AW203" s="197">
        <f t="shared" si="198"/>
        <v>141.12350200264407</v>
      </c>
    </row>
    <row r="204" spans="2:49" x14ac:dyDescent="0.2">
      <c r="B204" s="20"/>
      <c r="C204" s="20"/>
      <c r="D204" s="217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14">
        <f>$Q$182-T203</f>
        <v>465.71456436931078</v>
      </c>
      <c r="U204" s="214">
        <f>T204-U203</f>
        <v>429.71485695708714</v>
      </c>
      <c r="V204" s="219">
        <f t="shared" ref="V204:AW204" si="199">U204-V203</f>
        <v>391.91516417425225</v>
      </c>
      <c r="W204" s="219">
        <f t="shared" si="199"/>
        <v>352.22548675227563</v>
      </c>
      <c r="X204" s="219">
        <f t="shared" si="199"/>
        <v>310.5513254592002</v>
      </c>
      <c r="Y204" s="219">
        <f t="shared" si="199"/>
        <v>266.79345610147101</v>
      </c>
      <c r="Z204" s="219">
        <f t="shared" si="199"/>
        <v>220.84769327585536</v>
      </c>
      <c r="AA204" s="219">
        <f t="shared" si="199"/>
        <v>172.60464230895892</v>
      </c>
      <c r="AB204" s="219">
        <f t="shared" si="199"/>
        <v>121.94943879371763</v>
      </c>
      <c r="AC204" s="219">
        <f t="shared" si="199"/>
        <v>68.761475102714286</v>
      </c>
      <c r="AD204" s="219">
        <f t="shared" si="199"/>
        <v>12.914113227160776</v>
      </c>
      <c r="AE204" s="219">
        <f t="shared" si="199"/>
        <v>-45.725616742170409</v>
      </c>
      <c r="AF204" s="219">
        <f t="shared" si="199"/>
        <v>-107.29733320996816</v>
      </c>
      <c r="AG204" s="219">
        <f t="shared" si="199"/>
        <v>-171.94763550115579</v>
      </c>
      <c r="AH204" s="219">
        <f t="shared" si="199"/>
        <v>-239.83045290690282</v>
      </c>
      <c r="AI204" s="219">
        <f t="shared" si="199"/>
        <v>-311.1074111829372</v>
      </c>
      <c r="AJ204" s="219">
        <f t="shared" si="199"/>
        <v>-385.94821737277334</v>
      </c>
      <c r="AK204" s="219">
        <f t="shared" si="199"/>
        <v>-464.5310638721013</v>
      </c>
      <c r="AL204" s="219">
        <f t="shared" si="199"/>
        <v>-547.04305269639565</v>
      </c>
      <c r="AM204" s="219">
        <f t="shared" si="199"/>
        <v>-633.68064096190471</v>
      </c>
      <c r="AN204" s="219">
        <f t="shared" si="199"/>
        <v>-724.65010864068927</v>
      </c>
      <c r="AO204" s="219">
        <f t="shared" si="199"/>
        <v>-820.16804970341298</v>
      </c>
      <c r="AP204" s="219">
        <f t="shared" si="199"/>
        <v>-920.46188781927287</v>
      </c>
      <c r="AQ204" s="219">
        <f t="shared" si="199"/>
        <v>-1025.7704178409258</v>
      </c>
      <c r="AR204" s="219">
        <f t="shared" si="199"/>
        <v>-1136.3443743636615</v>
      </c>
      <c r="AS204" s="219">
        <f t="shared" si="199"/>
        <v>-1252.4470287125339</v>
      </c>
      <c r="AT204" s="219">
        <f t="shared" si="199"/>
        <v>-1374.3548157788498</v>
      </c>
      <c r="AU204" s="219">
        <f t="shared" si="199"/>
        <v>-1502.3579921984815</v>
      </c>
      <c r="AV204" s="219">
        <f t="shared" si="199"/>
        <v>-1636.7613274390949</v>
      </c>
      <c r="AW204" s="219">
        <f t="shared" si="199"/>
        <v>-1777.8848294417389</v>
      </c>
    </row>
    <row r="205" spans="2:49" x14ac:dyDescent="0.2">
      <c r="B205" s="108" t="s">
        <v>303</v>
      </c>
      <c r="C205" s="20"/>
      <c r="D205" s="217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9" x14ac:dyDescent="0.2">
      <c r="B206" s="20" t="s">
        <v>306</v>
      </c>
      <c r="C206" s="25" t="e">
        <f>C10/C7</f>
        <v>#DIV/0!</v>
      </c>
      <c r="D206" s="197"/>
      <c r="E206" s="25" t="e">
        <f>E10/E7</f>
        <v>#DIV/0!</v>
      </c>
      <c r="F206" s="25" t="e">
        <f>F10/F7</f>
        <v>#DIV/0!</v>
      </c>
      <c r="G206" s="25">
        <f>G10/G7</f>
        <v>5.9255663430420711</v>
      </c>
      <c r="H206" s="25">
        <f>H10/H7</f>
        <v>5.1331521739130439</v>
      </c>
      <c r="I206" s="25">
        <f>I10/I7</f>
        <v>5.0549158547387067</v>
      </c>
      <c r="J206" s="25">
        <f>J10/J7</f>
        <v>6.0245323520392517</v>
      </c>
      <c r="K206" s="25">
        <f>K10/K7</f>
        <v>4.4991499489969398</v>
      </c>
      <c r="L206" s="25">
        <f>L10/L7</f>
        <v>3.762019957665558</v>
      </c>
      <c r="M206" s="25">
        <f>M10/M7</f>
        <v>4.4826114249843068</v>
      </c>
      <c r="N206" s="25">
        <f>N10/N7</f>
        <v>4.4900445495045007</v>
      </c>
      <c r="O206" s="25">
        <f>O10/O7</f>
        <v>5.075763432547352</v>
      </c>
      <c r="P206" s="25">
        <f>P10/P7</f>
        <v>5.6698107028230824</v>
      </c>
      <c r="Q206" s="25">
        <f>Q10/Q7</f>
        <v>4.4747432404108149</v>
      </c>
      <c r="R206" s="118">
        <f t="shared" ref="R206:R208" si="200">((Q206/H206)^(1/($I$2-$I$1) ))-1</f>
        <v>-1.5136600768808517E-2</v>
      </c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9" x14ac:dyDescent="0.2">
      <c r="B207" s="20" t="s">
        <v>307</v>
      </c>
      <c r="C207" s="112" t="e">
        <f>C10/C12</f>
        <v>#DIV/0!</v>
      </c>
      <c r="D207" s="112"/>
      <c r="E207" s="112" t="e">
        <f>E10/E12</f>
        <v>#DIV/0!</v>
      </c>
      <c r="F207" s="112" t="e">
        <f>F10/F12</f>
        <v>#DIV/0!</v>
      </c>
      <c r="G207" s="112" t="e">
        <f>G10/G12</f>
        <v>#DIV/0!</v>
      </c>
      <c r="H207" s="112" t="e">
        <f>H10/H12</f>
        <v>#DIV/0!</v>
      </c>
      <c r="I207" s="112" t="e">
        <f t="shared" ref="I207:Q207" si="201">I10/I12</f>
        <v>#DIV/0!</v>
      </c>
      <c r="J207" s="112" t="e">
        <f t="shared" si="201"/>
        <v>#DIV/0!</v>
      </c>
      <c r="K207" s="112" t="e">
        <f t="shared" si="201"/>
        <v>#DIV/0!</v>
      </c>
      <c r="L207" s="112" t="e">
        <f t="shared" si="201"/>
        <v>#DIV/0!</v>
      </c>
      <c r="M207" s="112" t="e">
        <f t="shared" si="201"/>
        <v>#DIV/0!</v>
      </c>
      <c r="N207" s="112" t="e">
        <f t="shared" si="201"/>
        <v>#DIV/0!</v>
      </c>
      <c r="O207" s="112" t="e">
        <f t="shared" si="201"/>
        <v>#DIV/0!</v>
      </c>
      <c r="P207" s="112" t="e">
        <f t="shared" si="201"/>
        <v>#DIV/0!</v>
      </c>
      <c r="Q207" s="112" t="e">
        <f t="shared" si="201"/>
        <v>#DIV/0!</v>
      </c>
      <c r="R207" s="118" t="e">
        <f t="shared" si="200"/>
        <v>#DIV/0!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9" x14ac:dyDescent="0.2">
      <c r="B208" s="20" t="s">
        <v>308</v>
      </c>
      <c r="C208" s="25" t="e">
        <f>C10/(C12+C15)</f>
        <v>#DIV/0!</v>
      </c>
      <c r="D208" s="197"/>
      <c r="E208" s="25" t="e">
        <f>E10/(E12+E15)</f>
        <v>#DIV/0!</v>
      </c>
      <c r="F208" s="25" t="e">
        <f>F10/(F12+F15)</f>
        <v>#DIV/0!</v>
      </c>
      <c r="G208" s="25">
        <f>G10/(G12+G15)</f>
        <v>2.0293710169021888</v>
      </c>
      <c r="H208" s="25">
        <f>H10/(H12+H15)</f>
        <v>2.7933456561922365</v>
      </c>
      <c r="I208" s="25">
        <f t="shared" ref="I208:Q208" si="202">I10/(I12+I15)</f>
        <v>2.2610935023771792</v>
      </c>
      <c r="J208" s="25">
        <f t="shared" si="202"/>
        <v>2.1522787028921999</v>
      </c>
      <c r="K208" s="25">
        <f t="shared" si="202"/>
        <v>2.1054976529556848</v>
      </c>
      <c r="L208" s="25">
        <f t="shared" si="202"/>
        <v>1.8690002253436491</v>
      </c>
      <c r="M208" s="25">
        <f t="shared" si="202"/>
        <v>1.832477930609731</v>
      </c>
      <c r="N208" s="25">
        <f t="shared" si="202"/>
        <v>1.8959613022113022</v>
      </c>
      <c r="O208" s="25">
        <f t="shared" si="202"/>
        <v>2.0738833786088824</v>
      </c>
      <c r="P208" s="25">
        <f t="shared" si="202"/>
        <v>2.1160437089006772</v>
      </c>
      <c r="Q208" s="25">
        <f t="shared" si="202"/>
        <v>2.2014384779974736</v>
      </c>
      <c r="R208" s="118">
        <f t="shared" si="200"/>
        <v>-2.6111815161461105E-2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20"/>
      <c r="D209" s="217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17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7" t="s">
        <v>395</v>
      </c>
      <c r="D211" s="207"/>
      <c r="E211" s="208"/>
      <c r="F211" s="208"/>
      <c r="G211" s="208"/>
      <c r="H211" s="208"/>
      <c r="I211" s="208"/>
      <c r="J211" s="208"/>
      <c r="K211" s="208"/>
      <c r="L211" s="192"/>
      <c r="M211" s="237" t="s">
        <v>338</v>
      </c>
      <c r="N211" s="238"/>
      <c r="O211" s="239"/>
      <c r="P211" s="195" t="s">
        <v>341</v>
      </c>
      <c r="Q211" s="192"/>
      <c r="R211" s="237" t="s">
        <v>339</v>
      </c>
      <c r="S211" s="238"/>
      <c r="T211" s="239"/>
      <c r="U211" s="195" t="s">
        <v>341</v>
      </c>
      <c r="V211" s="192"/>
      <c r="W211" s="192"/>
      <c r="X211" s="192"/>
      <c r="Y211" s="192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1" t="s">
        <v>340</v>
      </c>
      <c r="D212" s="201"/>
      <c r="E212" s="201" t="s">
        <v>0</v>
      </c>
      <c r="F212" s="201" t="s">
        <v>396</v>
      </c>
      <c r="G212" s="201" t="s">
        <v>397</v>
      </c>
      <c r="H212" s="201" t="s">
        <v>398</v>
      </c>
      <c r="I212" s="201" t="s">
        <v>399</v>
      </c>
      <c r="J212" s="201" t="s">
        <v>400</v>
      </c>
      <c r="K212" s="201" t="s">
        <v>401</v>
      </c>
      <c r="L212" s="192"/>
      <c r="M212" s="201" t="s">
        <v>340</v>
      </c>
      <c r="N212" s="201"/>
      <c r="O212" s="201" t="s">
        <v>0</v>
      </c>
      <c r="P212" s="201" t="s">
        <v>375</v>
      </c>
      <c r="Q212" s="192"/>
      <c r="R212" s="201" t="s">
        <v>340</v>
      </c>
      <c r="S212" s="201"/>
      <c r="T212" s="201" t="s">
        <v>0</v>
      </c>
      <c r="U212" s="201" t="s">
        <v>375</v>
      </c>
      <c r="V212" s="192"/>
      <c r="W212" s="192"/>
      <c r="X212" s="192"/>
      <c r="Y212" s="192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2" t="s">
        <v>342</v>
      </c>
      <c r="D213" s="215"/>
      <c r="E213" s="193">
        <v>1</v>
      </c>
      <c r="F213" s="209" t="s">
        <v>402</v>
      </c>
      <c r="G213" s="194">
        <v>1</v>
      </c>
      <c r="H213" s="194">
        <v>1</v>
      </c>
      <c r="I213" s="215">
        <f>G213/H213</f>
        <v>1</v>
      </c>
      <c r="J213" s="216">
        <f>E214*I213</f>
        <v>1</v>
      </c>
      <c r="K213" s="216">
        <f>SUM(I213:J213)</f>
        <v>2</v>
      </c>
      <c r="L213" s="192"/>
      <c r="M213" s="202" t="s">
        <v>342</v>
      </c>
      <c r="N213" s="202"/>
      <c r="O213" s="193">
        <v>1</v>
      </c>
      <c r="P213" s="206">
        <v>1</v>
      </c>
      <c r="Q213" s="192"/>
      <c r="R213" s="202" t="s">
        <v>342</v>
      </c>
      <c r="S213" s="202"/>
      <c r="T213" s="193">
        <v>1</v>
      </c>
      <c r="U213" s="206">
        <v>1</v>
      </c>
      <c r="V213" s="192"/>
      <c r="W213" s="192"/>
      <c r="X213" s="192"/>
      <c r="Y213" s="192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2" t="s">
        <v>343</v>
      </c>
      <c r="D214" s="215"/>
      <c r="E214" s="193">
        <v>1</v>
      </c>
      <c r="F214" s="209" t="s">
        <v>403</v>
      </c>
      <c r="G214" s="194">
        <v>1</v>
      </c>
      <c r="H214" s="194">
        <v>1</v>
      </c>
      <c r="I214" s="215">
        <f>G214/H214</f>
        <v>1</v>
      </c>
      <c r="J214" s="216">
        <f>I214*K213</f>
        <v>2</v>
      </c>
      <c r="K214" s="216">
        <f>J214+K213</f>
        <v>4</v>
      </c>
      <c r="L214" s="192"/>
      <c r="M214" s="202" t="s">
        <v>343</v>
      </c>
      <c r="N214" s="202"/>
      <c r="O214" s="193">
        <v>1</v>
      </c>
      <c r="P214" s="206">
        <v>1</v>
      </c>
      <c r="Q214" s="192"/>
      <c r="R214" s="202" t="s">
        <v>343</v>
      </c>
      <c r="S214" s="202"/>
      <c r="T214" s="193">
        <v>1</v>
      </c>
      <c r="U214" s="206">
        <v>1</v>
      </c>
      <c r="V214" s="192"/>
      <c r="W214" s="192"/>
      <c r="X214" s="192"/>
      <c r="Y214" s="192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2" t="s">
        <v>345</v>
      </c>
      <c r="D215" s="215"/>
      <c r="E215" s="203">
        <f>E213*E214</f>
        <v>1</v>
      </c>
      <c r="F215" s="209" t="s">
        <v>404</v>
      </c>
      <c r="G215" s="194">
        <v>0</v>
      </c>
      <c r="H215" s="194">
        <v>2</v>
      </c>
      <c r="I215" s="215">
        <f>G215/H215</f>
        <v>0</v>
      </c>
      <c r="J215" s="216">
        <f>I215*K214</f>
        <v>0</v>
      </c>
      <c r="K215" s="216">
        <f>J215+K214</f>
        <v>4</v>
      </c>
      <c r="L215" s="192"/>
      <c r="M215" s="202" t="s">
        <v>344</v>
      </c>
      <c r="N215" s="202"/>
      <c r="O215" s="203">
        <v>1</v>
      </c>
      <c r="P215" s="206">
        <v>1</v>
      </c>
      <c r="Q215" s="192"/>
      <c r="R215" s="202" t="s">
        <v>345</v>
      </c>
      <c r="S215" s="202"/>
      <c r="T215" s="203">
        <v>1</v>
      </c>
      <c r="U215" s="206">
        <v>1</v>
      </c>
      <c r="V215" s="192"/>
      <c r="W215" s="192"/>
      <c r="X215" s="192"/>
      <c r="Y215" s="192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2"/>
      <c r="D216" s="215"/>
      <c r="E216" s="203"/>
      <c r="F216" s="209" t="s">
        <v>405</v>
      </c>
      <c r="G216" s="194">
        <v>10</v>
      </c>
      <c r="H216" s="194">
        <v>2</v>
      </c>
      <c r="I216" s="215">
        <f>G216/H216</f>
        <v>5</v>
      </c>
      <c r="J216" s="216">
        <f>I216*K215</f>
        <v>20</v>
      </c>
      <c r="K216" s="216">
        <f>J216</f>
        <v>20</v>
      </c>
      <c r="L216" s="192"/>
      <c r="M216" s="202" t="s">
        <v>346</v>
      </c>
      <c r="N216" s="202"/>
      <c r="O216" s="193">
        <v>1</v>
      </c>
      <c r="P216" s="193">
        <v>1565</v>
      </c>
      <c r="Q216" s="192"/>
      <c r="R216" s="202" t="s">
        <v>346</v>
      </c>
      <c r="S216" s="202"/>
      <c r="T216" s="193">
        <v>1</v>
      </c>
      <c r="U216" s="193">
        <v>1</v>
      </c>
      <c r="V216" s="192"/>
      <c r="W216" s="192"/>
      <c r="X216" s="192"/>
      <c r="Y216" s="192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2" t="s">
        <v>346</v>
      </c>
      <c r="D217" s="215"/>
      <c r="E217" s="193">
        <v>1</v>
      </c>
      <c r="F217" s="209"/>
      <c r="G217" s="202"/>
      <c r="H217" s="202"/>
      <c r="I217" s="204" t="s">
        <v>406</v>
      </c>
      <c r="J217" s="202"/>
      <c r="K217" s="216">
        <f>K216</f>
        <v>20</v>
      </c>
      <c r="L217" s="192"/>
      <c r="M217" s="202" t="s">
        <v>347</v>
      </c>
      <c r="N217" s="202"/>
      <c r="O217" s="203">
        <v>1</v>
      </c>
      <c r="P217" s="203">
        <v>1565</v>
      </c>
      <c r="Q217" s="192"/>
      <c r="R217" s="202" t="s">
        <v>343</v>
      </c>
      <c r="S217" s="202"/>
      <c r="T217" s="193">
        <v>1</v>
      </c>
      <c r="U217" s="198">
        <v>1</v>
      </c>
      <c r="V217" s="192"/>
      <c r="W217" s="192"/>
      <c r="X217" s="192"/>
      <c r="Y217" s="192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2" t="s">
        <v>343</v>
      </c>
      <c r="D218" s="215"/>
      <c r="E218" s="193">
        <v>1</v>
      </c>
      <c r="F218" s="209" t="s">
        <v>405</v>
      </c>
      <c r="G218" s="194">
        <v>10</v>
      </c>
      <c r="H218" s="194">
        <v>2</v>
      </c>
      <c r="I218" s="202">
        <f>G218/H218</f>
        <v>5</v>
      </c>
      <c r="J218" s="210">
        <f>I218*E214</f>
        <v>5</v>
      </c>
      <c r="K218" s="210">
        <f>J218</f>
        <v>5</v>
      </c>
      <c r="L218" s="192"/>
      <c r="M218" s="202"/>
      <c r="N218" s="202"/>
      <c r="O218" s="203"/>
      <c r="P218" s="203"/>
      <c r="Q218" s="192"/>
      <c r="R218" s="202" t="s">
        <v>345</v>
      </c>
      <c r="S218" s="202"/>
      <c r="T218" s="203">
        <v>1</v>
      </c>
      <c r="U218" s="203">
        <v>1</v>
      </c>
      <c r="V218" s="192"/>
      <c r="W218" s="192"/>
      <c r="X218" s="192"/>
      <c r="Y218" s="192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2" t="s">
        <v>345</v>
      </c>
      <c r="D219" s="215"/>
      <c r="E219" s="203">
        <f>E217*E218</f>
        <v>1</v>
      </c>
      <c r="F219" s="202"/>
      <c r="G219" s="202"/>
      <c r="H219" s="202"/>
      <c r="I219" s="204" t="s">
        <v>406</v>
      </c>
      <c r="J219" s="202"/>
      <c r="K219" s="216">
        <f>K218</f>
        <v>5</v>
      </c>
      <c r="L219" s="192"/>
      <c r="M219" s="202"/>
      <c r="N219" s="202"/>
      <c r="O219" s="203"/>
      <c r="P219" s="203"/>
      <c r="Q219" s="192"/>
      <c r="R219" s="202"/>
      <c r="S219" s="202"/>
      <c r="T219" s="203"/>
      <c r="U219" s="203"/>
      <c r="V219" s="192"/>
      <c r="W219" s="192"/>
      <c r="X219" s="192"/>
      <c r="Y219" s="192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2"/>
      <c r="D220" s="215"/>
      <c r="E220" s="203"/>
      <c r="F220" s="209" t="s">
        <v>405</v>
      </c>
      <c r="G220" s="194">
        <v>10</v>
      </c>
      <c r="H220" s="194">
        <v>2</v>
      </c>
      <c r="I220" s="202">
        <f>G220/H220</f>
        <v>5</v>
      </c>
      <c r="J220" s="216">
        <f>I220*K219</f>
        <v>25</v>
      </c>
      <c r="K220" s="216">
        <f>J220</f>
        <v>25</v>
      </c>
      <c r="L220" s="192"/>
      <c r="M220" s="204" t="s">
        <v>348</v>
      </c>
      <c r="N220" s="204"/>
      <c r="O220" s="205">
        <v>1</v>
      </c>
      <c r="P220" s="205">
        <v>1565</v>
      </c>
      <c r="Q220" s="192"/>
      <c r="R220" s="204" t="s">
        <v>348</v>
      </c>
      <c r="S220" s="204"/>
      <c r="T220" s="205">
        <v>1</v>
      </c>
      <c r="U220" s="205">
        <v>1</v>
      </c>
      <c r="V220" s="192"/>
      <c r="W220" s="192"/>
      <c r="X220" s="192"/>
      <c r="Y220" s="192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4" t="s">
        <v>348</v>
      </c>
      <c r="D221" s="204"/>
      <c r="E221" s="205">
        <v>1</v>
      </c>
      <c r="F221" s="209"/>
      <c r="G221" s="202"/>
      <c r="H221" s="202"/>
      <c r="I221" s="204" t="s">
        <v>406</v>
      </c>
      <c r="J221" s="202"/>
      <c r="K221" s="216">
        <f>K220</f>
        <v>25</v>
      </c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192"/>
      <c r="C222" s="192"/>
      <c r="D222" s="217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</row>
    <row r="223" spans="2:32" x14ac:dyDescent="0.2">
      <c r="B223" s="192"/>
      <c r="C223" s="192"/>
      <c r="D223" s="199"/>
      <c r="E223" s="199"/>
      <c r="F223" s="211"/>
      <c r="G223" s="211"/>
      <c r="H223" s="212"/>
      <c r="I223" s="192"/>
      <c r="J223" s="199"/>
      <c r="K223" s="211"/>
      <c r="L223" s="212"/>
      <c r="M223" s="192"/>
      <c r="N223" s="192">
        <v>8</v>
      </c>
      <c r="O223" s="192">
        <v>12</v>
      </c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</row>
    <row r="224" spans="2:32" ht="14.25" x14ac:dyDescent="0.2">
      <c r="B224" s="192"/>
      <c r="C224" s="192"/>
      <c r="D224" s="199"/>
      <c r="E224" s="234" t="s">
        <v>27</v>
      </c>
      <c r="F224" s="235"/>
      <c r="G224" s="235"/>
      <c r="H224" s="236"/>
      <c r="I224" s="192"/>
      <c r="J224" s="234" t="s">
        <v>407</v>
      </c>
      <c r="K224" s="235"/>
      <c r="L224" s="236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</row>
    <row r="225" spans="2:25" x14ac:dyDescent="0.2">
      <c r="B225" s="192"/>
      <c r="C225" s="192"/>
      <c r="D225" s="217"/>
      <c r="E225" s="192" t="s">
        <v>28</v>
      </c>
      <c r="F225" s="198"/>
      <c r="G225" s="198"/>
      <c r="H225" s="193">
        <v>1</v>
      </c>
      <c r="I225" s="192"/>
      <c r="J225" s="192" t="s">
        <v>28</v>
      </c>
      <c r="K225" s="198"/>
      <c r="L225" s="193">
        <v>1</v>
      </c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</row>
    <row r="226" spans="2:25" x14ac:dyDescent="0.2">
      <c r="B226" s="192"/>
      <c r="C226" s="192"/>
      <c r="D226" s="217"/>
      <c r="E226" s="192" t="s">
        <v>29</v>
      </c>
      <c r="F226" s="198"/>
      <c r="G226" s="198"/>
      <c r="H226" s="193">
        <v>1</v>
      </c>
      <c r="I226" s="192"/>
      <c r="J226" s="192" t="s">
        <v>29</v>
      </c>
      <c r="K226" s="192"/>
      <c r="L226" s="193">
        <v>1</v>
      </c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</row>
    <row r="227" spans="2:25" x14ac:dyDescent="0.2">
      <c r="B227" s="192"/>
      <c r="C227" s="192"/>
      <c r="D227" s="217"/>
      <c r="E227" s="192" t="s">
        <v>30</v>
      </c>
      <c r="F227" s="192"/>
      <c r="G227" s="192"/>
      <c r="H227" s="194">
        <v>1</v>
      </c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</row>
    <row r="228" spans="2:25" x14ac:dyDescent="0.2">
      <c r="B228" s="192"/>
      <c r="C228" s="192"/>
      <c r="D228" s="217"/>
      <c r="E228" s="195" t="s">
        <v>31</v>
      </c>
      <c r="F228" s="191"/>
      <c r="G228" s="191"/>
      <c r="H228" s="191">
        <f>((H226/H225)^(1/H227))-1</f>
        <v>0</v>
      </c>
      <c r="I228" s="192"/>
      <c r="J228" s="195" t="s">
        <v>408</v>
      </c>
      <c r="K228" s="195"/>
      <c r="L228" s="213">
        <f>(L226-L225)/L225</f>
        <v>0</v>
      </c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</row>
    <row r="229" spans="2:25" x14ac:dyDescent="0.2">
      <c r="B229" s="192"/>
      <c r="C229" s="192"/>
      <c r="D229" s="217"/>
      <c r="E229" s="195" t="s">
        <v>32</v>
      </c>
      <c r="F229" s="200"/>
      <c r="G229" s="200"/>
      <c r="H229" s="196">
        <f>H227*12</f>
        <v>12</v>
      </c>
      <c r="I229" s="192"/>
      <c r="J229" s="195" t="s">
        <v>409</v>
      </c>
      <c r="K229" s="195"/>
      <c r="L229" s="195">
        <f>L226/L225</f>
        <v>1</v>
      </c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</row>
    <row r="230" spans="2:25" x14ac:dyDescent="0.2">
      <c r="B230" s="192"/>
      <c r="C230" s="192"/>
      <c r="D230" s="217"/>
      <c r="E230" s="192" t="s">
        <v>30</v>
      </c>
      <c r="F230" s="197"/>
      <c r="G230" s="197"/>
      <c r="H230" s="197">
        <f>H229/12</f>
        <v>1</v>
      </c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</row>
    <row r="231" spans="2:25" x14ac:dyDescent="0.2">
      <c r="B231" s="192"/>
      <c r="C231" s="192"/>
      <c r="D231" s="217"/>
      <c r="E231" s="195" t="s">
        <v>33</v>
      </c>
      <c r="F231" s="191"/>
      <c r="G231" s="191"/>
      <c r="H231" s="191">
        <v>0</v>
      </c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</row>
    <row r="232" spans="2:25" x14ac:dyDescent="0.2">
      <c r="B232" s="192"/>
      <c r="C232" s="192"/>
      <c r="D232" s="217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</row>
    <row r="233" spans="2:25" ht="15" x14ac:dyDescent="0.25">
      <c r="B233" s="192"/>
      <c r="C233" s="192"/>
      <c r="D233" s="217"/>
      <c r="E233" s="192"/>
      <c r="F233" s="192"/>
      <c r="G233" s="192"/>
      <c r="H233" s="192"/>
      <c r="I233" s="192"/>
      <c r="J233" s="192"/>
      <c r="K233" s="192"/>
      <c r="L233" s="192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</row>
  </sheetData>
  <mergeCells count="8">
    <mergeCell ref="E224:H224"/>
    <mergeCell ref="J224:L224"/>
    <mergeCell ref="M211:O211"/>
    <mergeCell ref="R211:T211"/>
    <mergeCell ref="AE2:AF2"/>
    <mergeCell ref="AE3:AF3"/>
    <mergeCell ref="L194:M194"/>
    <mergeCell ref="P194:Q194"/>
  </mergeCells>
  <pageMargins left="0.7" right="0.7" top="0.75" bottom="0.75" header="0.3" footer="0.3"/>
  <pageSetup orientation="portrait" r:id="rId1"/>
  <ignoredErrors>
    <ignoredError sqref="C184" evalError="1"/>
    <ignoredError sqref="U52 K219 K217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46" t="s">
        <v>27</v>
      </c>
      <c r="K5" s="246"/>
      <c r="M5" s="246" t="s">
        <v>65</v>
      </c>
      <c r="N5" s="24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46" t="s">
        <v>36</v>
      </c>
      <c r="K14" s="246"/>
      <c r="L14" s="24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46" t="s">
        <v>27</v>
      </c>
      <c r="S5" s="246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46" t="s">
        <v>36</v>
      </c>
      <c r="S14" s="246"/>
      <c r="T14" s="246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46" t="s">
        <v>27</v>
      </c>
      <c r="C2" s="246"/>
      <c r="E2" s="246" t="s">
        <v>65</v>
      </c>
      <c r="F2" s="246"/>
      <c r="H2" s="250" t="s">
        <v>36</v>
      </c>
      <c r="I2" s="25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47" t="s">
        <v>68</v>
      </c>
      <c r="E10" s="248"/>
      <c r="F10" s="248"/>
      <c r="G10" s="248"/>
      <c r="H10" s="249"/>
      <c r="I10" s="247" t="s">
        <v>72</v>
      </c>
      <c r="J10" s="248"/>
      <c r="K10" s="248"/>
      <c r="L10" s="24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2014-08-28T17:22:22Z</dcterms:modified>
</cp:coreProperties>
</file>
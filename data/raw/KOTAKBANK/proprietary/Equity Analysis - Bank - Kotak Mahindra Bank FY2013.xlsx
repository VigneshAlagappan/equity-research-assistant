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44525"/>
</workbook>
</file>

<file path=xl/calcChain.xml><?xml version="1.0" encoding="utf-8"?>
<calcChain xmlns="http://schemas.openxmlformats.org/spreadsheetml/2006/main">
  <c r="T224" i="18" l="1"/>
  <c r="T225" i="18" s="1"/>
  <c r="T221" i="18"/>
  <c r="T220" i="18"/>
  <c r="O227" i="18"/>
  <c r="O224" i="18"/>
  <c r="S225" i="18"/>
  <c r="S222" i="18"/>
  <c r="K233" i="18"/>
  <c r="K232" i="18"/>
  <c r="G233" i="18"/>
  <c r="G232" i="18"/>
  <c r="D228" i="18"/>
  <c r="N222" i="18"/>
  <c r="N227" i="18" s="1"/>
  <c r="O221" i="18"/>
  <c r="O220" i="18"/>
  <c r="N224" i="18"/>
  <c r="S227" i="18" l="1"/>
  <c r="T222" i="18"/>
  <c r="T227" i="18" s="1"/>
  <c r="O222" i="18"/>
  <c r="P51" i="18"/>
  <c r="O51" i="18"/>
  <c r="N51" i="18"/>
  <c r="M51" i="18"/>
  <c r="L51" i="18"/>
  <c r="K51" i="18"/>
  <c r="J51" i="18"/>
  <c r="I51" i="18"/>
  <c r="H51" i="18"/>
  <c r="G51" i="18"/>
  <c r="P49" i="18"/>
  <c r="O49" i="18"/>
  <c r="N49" i="18"/>
  <c r="M49" i="18"/>
  <c r="L49" i="18"/>
  <c r="K49" i="18"/>
  <c r="J49" i="18"/>
  <c r="I49" i="18"/>
  <c r="H49" i="18"/>
  <c r="G49" i="18"/>
  <c r="P47" i="18"/>
  <c r="O47" i="18"/>
  <c r="N47" i="18"/>
  <c r="M47" i="18"/>
  <c r="L47" i="18"/>
  <c r="K47" i="18"/>
  <c r="J47" i="18"/>
  <c r="I47" i="18"/>
  <c r="H47" i="18"/>
  <c r="G47" i="18"/>
  <c r="P45" i="18"/>
  <c r="O45" i="18"/>
  <c r="N45" i="18"/>
  <c r="M45" i="18"/>
  <c r="L45" i="18"/>
  <c r="K45" i="18"/>
  <c r="J45" i="18"/>
  <c r="I45" i="18"/>
  <c r="H45" i="18"/>
  <c r="G45" i="18"/>
  <c r="P69" i="18" l="1"/>
  <c r="O69" i="18"/>
  <c r="N69" i="18"/>
  <c r="M69" i="18"/>
  <c r="L69" i="18"/>
  <c r="K69" i="18"/>
  <c r="J69" i="18"/>
  <c r="I69" i="18"/>
  <c r="H69" i="18"/>
  <c r="G69" i="18"/>
  <c r="P67" i="18"/>
  <c r="O67" i="18"/>
  <c r="N67" i="18"/>
  <c r="M67" i="18"/>
  <c r="L67" i="18"/>
  <c r="K67" i="18"/>
  <c r="J67" i="18"/>
  <c r="I67" i="18"/>
  <c r="H67" i="18"/>
  <c r="G67" i="18"/>
  <c r="P43" i="18"/>
  <c r="O43" i="18"/>
  <c r="N43" i="18"/>
  <c r="M43" i="18"/>
  <c r="L43" i="18"/>
  <c r="K43" i="18"/>
  <c r="J43" i="18"/>
  <c r="I43" i="18"/>
  <c r="H43" i="18"/>
  <c r="G43" i="18"/>
  <c r="P41" i="18"/>
  <c r="O41" i="18"/>
  <c r="N41" i="18"/>
  <c r="M41" i="18"/>
  <c r="L41" i="18"/>
  <c r="K41" i="18"/>
  <c r="J41" i="18"/>
  <c r="I41" i="18"/>
  <c r="H41" i="18"/>
  <c r="G41" i="18"/>
  <c r="P39" i="18"/>
  <c r="O39" i="18"/>
  <c r="N39" i="18"/>
  <c r="M39" i="18"/>
  <c r="L39" i="18"/>
  <c r="K39" i="18"/>
  <c r="J39" i="18"/>
  <c r="I39" i="18"/>
  <c r="H39" i="18"/>
  <c r="G39" i="18"/>
  <c r="P37" i="18"/>
  <c r="O37" i="18"/>
  <c r="N37" i="18"/>
  <c r="M37" i="18"/>
  <c r="L37" i="18"/>
  <c r="K37" i="18"/>
  <c r="J37" i="18"/>
  <c r="I37" i="18"/>
  <c r="H37" i="18"/>
  <c r="G37" i="18"/>
  <c r="P11" i="18"/>
  <c r="O11" i="18"/>
  <c r="N11" i="18"/>
  <c r="M11" i="18"/>
  <c r="L11" i="18"/>
  <c r="K11" i="18"/>
  <c r="J11" i="18"/>
  <c r="I11" i="18"/>
  <c r="H11" i="18"/>
  <c r="G11" i="18"/>
  <c r="P8" i="18"/>
  <c r="O8" i="18"/>
  <c r="N8" i="18"/>
  <c r="M8" i="18"/>
  <c r="L8" i="18"/>
  <c r="K8" i="18"/>
  <c r="J8" i="18"/>
  <c r="I8" i="18"/>
  <c r="H8" i="18"/>
  <c r="G8" i="18"/>
  <c r="G235" i="18" l="1"/>
  <c r="G236" i="18"/>
  <c r="G237" i="18" s="1"/>
  <c r="K236" i="18"/>
  <c r="K235" i="18"/>
  <c r="H227" i="18"/>
  <c r="I225" i="18"/>
  <c r="J225" i="18" s="1"/>
  <c r="J226" i="18" s="1"/>
  <c r="I227" i="18" s="1"/>
  <c r="J227" i="18" s="1"/>
  <c r="J228" i="18" s="1"/>
  <c r="H225" i="18"/>
  <c r="H223" i="18"/>
  <c r="H222" i="18"/>
  <c r="H221" i="18"/>
  <c r="J220" i="18"/>
  <c r="I220" i="18"/>
  <c r="H220" i="18"/>
  <c r="D226" i="18"/>
  <c r="D222" i="18"/>
  <c r="K210" i="18"/>
  <c r="K209" i="18"/>
  <c r="AD64" i="18"/>
  <c r="R64" i="18"/>
  <c r="S64" i="18" s="1"/>
  <c r="T64" i="18" s="1"/>
  <c r="U64" i="18" s="1"/>
  <c r="V64" i="18" s="1"/>
  <c r="W64" i="18" s="1"/>
  <c r="X64" i="18" s="1"/>
  <c r="Y64" i="18" s="1"/>
  <c r="Z64" i="18" s="1"/>
  <c r="AA64" i="18" s="1"/>
  <c r="AB64" i="18" s="1"/>
  <c r="AC64" i="18" s="1"/>
  <c r="Q64" i="18"/>
  <c r="P65" i="18"/>
  <c r="O65" i="18"/>
  <c r="N65" i="18"/>
  <c r="M65" i="18"/>
  <c r="L65" i="18"/>
  <c r="K65" i="18"/>
  <c r="J65" i="18"/>
  <c r="I65" i="18"/>
  <c r="H65" i="18"/>
  <c r="G65" i="18"/>
  <c r="AD16" i="18"/>
  <c r="R16" i="18"/>
  <c r="S16" i="18" s="1"/>
  <c r="T16" i="18" s="1"/>
  <c r="Q16" i="18"/>
  <c r="I221" i="18" l="1"/>
  <c r="J221" i="18" s="1"/>
  <c r="I222" i="18" s="1"/>
  <c r="J222" i="18" s="1"/>
  <c r="I223" i="18" s="1"/>
  <c r="J223" i="18" s="1"/>
  <c r="J224" i="18" s="1"/>
  <c r="AE64" i="18"/>
  <c r="U16" i="18"/>
  <c r="V16" i="18" s="1"/>
  <c r="W16" i="18" s="1"/>
  <c r="X16" i="18" s="1"/>
  <c r="Y16" i="18" s="1"/>
  <c r="Z16" i="18" s="1"/>
  <c r="AA16" i="18" s="1"/>
  <c r="AB16" i="18" s="1"/>
  <c r="AC16" i="18" s="1"/>
  <c r="AC155" i="18"/>
  <c r="H154" i="18"/>
  <c r="I154" i="18"/>
  <c r="J154" i="18"/>
  <c r="K154" i="18"/>
  <c r="L154" i="18"/>
  <c r="M154" i="18"/>
  <c r="N154" i="18"/>
  <c r="O154" i="18"/>
  <c r="P154" i="18"/>
  <c r="G154" i="18"/>
  <c r="H150" i="18"/>
  <c r="H151" i="18" s="1"/>
  <c r="I150" i="18"/>
  <c r="I151" i="18" s="1"/>
  <c r="J150" i="18"/>
  <c r="J151" i="18" s="1"/>
  <c r="K150" i="18"/>
  <c r="K151" i="18" s="1"/>
  <c r="L150" i="18"/>
  <c r="L151" i="18" s="1"/>
  <c r="M150" i="18"/>
  <c r="M151" i="18" s="1"/>
  <c r="N150" i="18"/>
  <c r="N151" i="18" s="1"/>
  <c r="O150" i="18"/>
  <c r="O151" i="18" s="1"/>
  <c r="P150" i="18"/>
  <c r="G150" i="18"/>
  <c r="G151" i="18" s="1"/>
  <c r="Q155" i="18"/>
  <c r="Q152" i="18"/>
  <c r="H115" i="18"/>
  <c r="I115" i="18"/>
  <c r="J115" i="18"/>
  <c r="K115" i="18"/>
  <c r="L115" i="18"/>
  <c r="M115" i="18"/>
  <c r="N115" i="18"/>
  <c r="O115" i="18"/>
  <c r="P115" i="18"/>
  <c r="G115" i="18"/>
  <c r="AD33" i="18"/>
  <c r="S33" i="18"/>
  <c r="T33" i="18" s="1"/>
  <c r="U33" i="18" s="1"/>
  <c r="V33" i="18" s="1"/>
  <c r="W33" i="18" s="1"/>
  <c r="X33" i="18" s="1"/>
  <c r="Y33" i="18" s="1"/>
  <c r="Z33" i="18" s="1"/>
  <c r="AA33" i="18" s="1"/>
  <c r="AB33" i="18" s="1"/>
  <c r="AD32" i="18"/>
  <c r="S32" i="18"/>
  <c r="T32" i="18" s="1"/>
  <c r="U32" i="18" s="1"/>
  <c r="V32" i="18" s="1"/>
  <c r="W32" i="18" s="1"/>
  <c r="X32" i="18" s="1"/>
  <c r="Y32" i="18" s="1"/>
  <c r="Z32" i="18" s="1"/>
  <c r="AA32" i="18" s="1"/>
  <c r="AB32" i="18" s="1"/>
  <c r="AD31" i="18"/>
  <c r="S31" i="18"/>
  <c r="T31" i="18" s="1"/>
  <c r="U31" i="18" s="1"/>
  <c r="V31" i="18" s="1"/>
  <c r="W31" i="18" s="1"/>
  <c r="X31" i="18" s="1"/>
  <c r="Y31" i="18" s="1"/>
  <c r="Z31" i="18" s="1"/>
  <c r="AA31" i="18" s="1"/>
  <c r="AB31" i="18" s="1"/>
  <c r="AD30" i="18"/>
  <c r="S30" i="18"/>
  <c r="T30" i="18" s="1"/>
  <c r="U30" i="18" s="1"/>
  <c r="V30" i="18" s="1"/>
  <c r="W30" i="18" s="1"/>
  <c r="X30" i="18" s="1"/>
  <c r="Y30" i="18" s="1"/>
  <c r="Z30" i="18" s="1"/>
  <c r="AA30" i="18" s="1"/>
  <c r="AB30" i="18" s="1"/>
  <c r="AD93" i="18"/>
  <c r="AD60" i="18"/>
  <c r="S60" i="18"/>
  <c r="T60" i="18" s="1"/>
  <c r="U60" i="18" s="1"/>
  <c r="V60" i="18" s="1"/>
  <c r="W60" i="18" s="1"/>
  <c r="X60" i="18" s="1"/>
  <c r="Y60" i="18" s="1"/>
  <c r="Z60" i="18" s="1"/>
  <c r="AA60" i="18" s="1"/>
  <c r="AB60" i="18" s="1"/>
  <c r="AD59" i="18"/>
  <c r="S59" i="18"/>
  <c r="T59" i="18" s="1"/>
  <c r="U59" i="18" s="1"/>
  <c r="V59" i="18" s="1"/>
  <c r="W59" i="18" s="1"/>
  <c r="X59" i="18" s="1"/>
  <c r="Y59" i="18" s="1"/>
  <c r="Z59" i="18" s="1"/>
  <c r="AA59" i="18" s="1"/>
  <c r="AB59" i="18" s="1"/>
  <c r="AD58" i="18"/>
  <c r="S58" i="18"/>
  <c r="T58" i="18" s="1"/>
  <c r="U58" i="18" s="1"/>
  <c r="V58" i="18" s="1"/>
  <c r="W58" i="18" s="1"/>
  <c r="X58" i="18" s="1"/>
  <c r="Y58" i="18" s="1"/>
  <c r="Z58" i="18" s="1"/>
  <c r="AA58" i="18" s="1"/>
  <c r="AB58" i="18" s="1"/>
  <c r="AD57" i="18"/>
  <c r="S57" i="18"/>
  <c r="T57" i="18" s="1"/>
  <c r="U57" i="18" s="1"/>
  <c r="V57" i="18" s="1"/>
  <c r="W57" i="18" s="1"/>
  <c r="X57" i="18" s="1"/>
  <c r="Y57" i="18" s="1"/>
  <c r="Z57" i="18" s="1"/>
  <c r="AA57" i="18" s="1"/>
  <c r="AB57" i="18" s="1"/>
  <c r="S20" i="18"/>
  <c r="T20" i="18" s="1"/>
  <c r="U20" i="18" s="1"/>
  <c r="V20" i="18" s="1"/>
  <c r="W20" i="18" s="1"/>
  <c r="X20" i="18" s="1"/>
  <c r="Y20" i="18" s="1"/>
  <c r="Z20" i="18" s="1"/>
  <c r="AA20" i="18" s="1"/>
  <c r="AB20" i="18" s="1"/>
  <c r="AE20" i="18" s="1"/>
  <c r="Q20" i="18"/>
  <c r="S70" i="18"/>
  <c r="T70" i="18" s="1"/>
  <c r="U70" i="18" s="1"/>
  <c r="V70" i="18" s="1"/>
  <c r="W70" i="18" s="1"/>
  <c r="X70" i="18" s="1"/>
  <c r="Y70" i="18" s="1"/>
  <c r="Z70" i="18" s="1"/>
  <c r="AA70" i="18" s="1"/>
  <c r="AB70" i="18" s="1"/>
  <c r="AE70" i="18" s="1"/>
  <c r="Q70" i="18"/>
  <c r="Q60" i="18"/>
  <c r="Q59" i="18"/>
  <c r="Q58" i="18"/>
  <c r="Q57" i="18"/>
  <c r="P34" i="18"/>
  <c r="O34" i="18"/>
  <c r="N34" i="18"/>
  <c r="M34" i="18"/>
  <c r="L34" i="18"/>
  <c r="K34" i="18"/>
  <c r="J34" i="18"/>
  <c r="I34" i="18"/>
  <c r="H34" i="18"/>
  <c r="G34" i="18"/>
  <c r="Q33" i="18"/>
  <c r="Q32" i="18"/>
  <c r="Q31" i="18"/>
  <c r="Q30" i="18"/>
  <c r="S48" i="18"/>
  <c r="T48" i="18" s="1"/>
  <c r="U48" i="18" s="1"/>
  <c r="V48" i="18" s="1"/>
  <c r="W48" i="18" s="1"/>
  <c r="X48" i="18" s="1"/>
  <c r="Y48" i="18" s="1"/>
  <c r="Z48" i="18" s="1"/>
  <c r="AA48" i="18" s="1"/>
  <c r="AB48" i="18" s="1"/>
  <c r="AE48" i="18" s="1"/>
  <c r="Q48" i="18"/>
  <c r="S42" i="18"/>
  <c r="T42" i="18" s="1"/>
  <c r="U42" i="18" s="1"/>
  <c r="V42" i="18" s="1"/>
  <c r="W42" i="18" s="1"/>
  <c r="X42" i="18" s="1"/>
  <c r="Y42" i="18" s="1"/>
  <c r="Z42" i="18" s="1"/>
  <c r="AA42" i="18" s="1"/>
  <c r="AB42" i="18" s="1"/>
  <c r="AE42" i="18" s="1"/>
  <c r="Q42" i="18"/>
  <c r="S40" i="18"/>
  <c r="T40" i="18" s="1"/>
  <c r="U40" i="18" s="1"/>
  <c r="V40" i="18" s="1"/>
  <c r="W40" i="18" s="1"/>
  <c r="X40" i="18" s="1"/>
  <c r="Y40" i="18" s="1"/>
  <c r="Z40" i="18" s="1"/>
  <c r="AA40" i="18" s="1"/>
  <c r="AB40" i="18" s="1"/>
  <c r="AE40" i="18" s="1"/>
  <c r="Q40" i="18"/>
  <c r="S38" i="18"/>
  <c r="T38" i="18" s="1"/>
  <c r="U38" i="18" s="1"/>
  <c r="V38" i="18" s="1"/>
  <c r="W38" i="18" s="1"/>
  <c r="X38" i="18" s="1"/>
  <c r="Y38" i="18" s="1"/>
  <c r="Z38" i="18" s="1"/>
  <c r="AA38" i="18" s="1"/>
  <c r="AB38" i="18" s="1"/>
  <c r="AE38" i="18" s="1"/>
  <c r="Q38" i="18"/>
  <c r="S36" i="18"/>
  <c r="T36" i="18" s="1"/>
  <c r="U36" i="18" s="1"/>
  <c r="V36" i="18" s="1"/>
  <c r="W36" i="18" s="1"/>
  <c r="X36" i="18" s="1"/>
  <c r="Y36" i="18" s="1"/>
  <c r="Z36" i="18" s="1"/>
  <c r="AA36" i="18" s="1"/>
  <c r="AB36" i="18" s="1"/>
  <c r="AE36" i="18" s="1"/>
  <c r="Q36" i="18"/>
  <c r="S21" i="18"/>
  <c r="T21" i="18" s="1"/>
  <c r="U21" i="18" s="1"/>
  <c r="V21" i="18" s="1"/>
  <c r="W21" i="18" s="1"/>
  <c r="X21" i="18" s="1"/>
  <c r="Y21" i="18" s="1"/>
  <c r="Z21" i="18" s="1"/>
  <c r="AA21" i="18" s="1"/>
  <c r="AB21" i="18" s="1"/>
  <c r="AE21" i="18" s="1"/>
  <c r="Q21" i="18"/>
  <c r="S14" i="18"/>
  <c r="T14" i="18" s="1"/>
  <c r="U14" i="18" s="1"/>
  <c r="V14" i="18" s="1"/>
  <c r="W14" i="18" s="1"/>
  <c r="X14" i="18" s="1"/>
  <c r="Y14" i="18" s="1"/>
  <c r="Z14" i="18" s="1"/>
  <c r="AA14" i="18" s="1"/>
  <c r="AB14" i="18" s="1"/>
  <c r="AE14" i="18" s="1"/>
  <c r="Q14" i="18"/>
  <c r="S13" i="18"/>
  <c r="T13" i="18" s="1"/>
  <c r="U13" i="18" s="1"/>
  <c r="V13" i="18" s="1"/>
  <c r="W13" i="18" s="1"/>
  <c r="X13" i="18" s="1"/>
  <c r="Y13" i="18" s="1"/>
  <c r="Z13" i="18" s="1"/>
  <c r="AA13" i="18" s="1"/>
  <c r="AB13" i="18" s="1"/>
  <c r="AE13" i="18" s="1"/>
  <c r="Q13" i="18"/>
  <c r="Q150" i="18" l="1"/>
  <c r="AE16" i="18"/>
  <c r="P151" i="18"/>
  <c r="Q151" i="18" s="1"/>
  <c r="Q115" i="18"/>
  <c r="Q154" i="18"/>
  <c r="AC33" i="18"/>
  <c r="AE33" i="18"/>
  <c r="AC32" i="18"/>
  <c r="AE32" i="18"/>
  <c r="AE31" i="18"/>
  <c r="AC31" i="18"/>
  <c r="AE30" i="18"/>
  <c r="AC30" i="18"/>
  <c r="AC60" i="18"/>
  <c r="AE60" i="18"/>
  <c r="AC59" i="18"/>
  <c r="AE59" i="18"/>
  <c r="AE58" i="18"/>
  <c r="AC58" i="18"/>
  <c r="AC57" i="18"/>
  <c r="AE57" i="18"/>
  <c r="AC20" i="18"/>
  <c r="AC70" i="18"/>
  <c r="AC48" i="18"/>
  <c r="AC36" i="18"/>
  <c r="AC42" i="18"/>
  <c r="AC38" i="18"/>
  <c r="AC40" i="18"/>
  <c r="AC21" i="18"/>
  <c r="AC14" i="18"/>
  <c r="AC13" i="18"/>
  <c r="P114" i="18" l="1"/>
  <c r="P113" i="18"/>
  <c r="C114" i="18"/>
  <c r="D114" i="18"/>
  <c r="E114" i="18"/>
  <c r="F114" i="18"/>
  <c r="H114" i="18"/>
  <c r="I114" i="18"/>
  <c r="J114" i="18"/>
  <c r="K114" i="18"/>
  <c r="L114" i="18"/>
  <c r="M114" i="18"/>
  <c r="N114" i="18"/>
  <c r="O114" i="18"/>
  <c r="G114" i="18"/>
  <c r="Q114" i="18" s="1"/>
  <c r="G113" i="18"/>
  <c r="H148" i="18"/>
  <c r="I148" i="18"/>
  <c r="J148" i="18"/>
  <c r="K148" i="18"/>
  <c r="L148" i="18"/>
  <c r="M148" i="18"/>
  <c r="N148" i="18"/>
  <c r="O148" i="18"/>
  <c r="P148" i="18"/>
  <c r="G148" i="18"/>
  <c r="H147" i="18"/>
  <c r="I147" i="18"/>
  <c r="J147" i="18"/>
  <c r="K147" i="18"/>
  <c r="L147" i="18"/>
  <c r="M147" i="18"/>
  <c r="N147" i="18"/>
  <c r="O147" i="18"/>
  <c r="P147" i="18"/>
  <c r="G147" i="18"/>
  <c r="H144" i="18"/>
  <c r="I144" i="18"/>
  <c r="J144" i="18"/>
  <c r="K144" i="18"/>
  <c r="L144" i="18"/>
  <c r="M144" i="18"/>
  <c r="N144" i="18"/>
  <c r="O144" i="18"/>
  <c r="P144" i="18"/>
  <c r="G144" i="18"/>
  <c r="H145" i="18"/>
  <c r="I145" i="18"/>
  <c r="J145" i="18"/>
  <c r="K145" i="18"/>
  <c r="L145" i="18"/>
  <c r="M145" i="18"/>
  <c r="N145" i="18"/>
  <c r="O145" i="18"/>
  <c r="P145" i="18"/>
  <c r="G145" i="18"/>
  <c r="H143" i="18"/>
  <c r="I143" i="18"/>
  <c r="J143" i="18"/>
  <c r="K143" i="18"/>
  <c r="L143" i="18"/>
  <c r="M143" i="18"/>
  <c r="N143" i="18"/>
  <c r="O143" i="18"/>
  <c r="P143" i="18"/>
  <c r="G143" i="18"/>
  <c r="H142" i="18"/>
  <c r="I142" i="18"/>
  <c r="J142" i="18"/>
  <c r="K142" i="18"/>
  <c r="L142" i="18"/>
  <c r="M142" i="18"/>
  <c r="N142" i="18"/>
  <c r="O142" i="18"/>
  <c r="P142" i="18"/>
  <c r="Q142" i="18" s="1"/>
  <c r="G142" i="18"/>
  <c r="R190" i="18"/>
  <c r="H139" i="18"/>
  <c r="I139" i="18"/>
  <c r="J139" i="18"/>
  <c r="K139" i="18"/>
  <c r="L139" i="18"/>
  <c r="M139" i="18"/>
  <c r="N139" i="18"/>
  <c r="O139" i="18"/>
  <c r="P139" i="18"/>
  <c r="G139" i="18"/>
  <c r="H138" i="18"/>
  <c r="I138" i="18"/>
  <c r="J138" i="18"/>
  <c r="K138" i="18"/>
  <c r="L138" i="18"/>
  <c r="M138" i="18"/>
  <c r="N138" i="18"/>
  <c r="O138" i="18"/>
  <c r="P138" i="18"/>
  <c r="G138" i="18"/>
  <c r="H137" i="18"/>
  <c r="I137" i="18"/>
  <c r="J137" i="18"/>
  <c r="K137" i="18"/>
  <c r="L137" i="18"/>
  <c r="M137" i="18"/>
  <c r="N137" i="18"/>
  <c r="O137" i="18"/>
  <c r="P137" i="18"/>
  <c r="G137" i="18"/>
  <c r="B139" i="18"/>
  <c r="B138" i="18"/>
  <c r="K205" i="18"/>
  <c r="K204" i="18"/>
  <c r="K203" i="18"/>
  <c r="S68" i="18"/>
  <c r="AD53" i="18"/>
  <c r="R53" i="18"/>
  <c r="S53" i="18" s="1"/>
  <c r="T53" i="18" s="1"/>
  <c r="U53" i="18" s="1"/>
  <c r="V53" i="18" s="1"/>
  <c r="W53" i="18" s="1"/>
  <c r="X53" i="18" s="1"/>
  <c r="Y53" i="18" s="1"/>
  <c r="Z53" i="18" s="1"/>
  <c r="AA53" i="18" s="1"/>
  <c r="AB53" i="18" s="1"/>
  <c r="Q53" i="18"/>
  <c r="G127" i="18"/>
  <c r="H127" i="18"/>
  <c r="I127" i="18"/>
  <c r="J127" i="18"/>
  <c r="K127" i="18"/>
  <c r="L127" i="18"/>
  <c r="M127" i="18"/>
  <c r="N127" i="18"/>
  <c r="O127" i="18"/>
  <c r="P127" i="18"/>
  <c r="F135" i="18"/>
  <c r="H135" i="18"/>
  <c r="I135" i="18"/>
  <c r="J135" i="18"/>
  <c r="K135" i="18"/>
  <c r="L135" i="18"/>
  <c r="M135" i="18"/>
  <c r="N135" i="18"/>
  <c r="O135" i="18"/>
  <c r="P135" i="18"/>
  <c r="G135" i="18"/>
  <c r="F134" i="18"/>
  <c r="H134" i="18"/>
  <c r="I134" i="18"/>
  <c r="J134" i="18"/>
  <c r="K134" i="18"/>
  <c r="L134" i="18"/>
  <c r="M134" i="18"/>
  <c r="N134" i="18"/>
  <c r="O134" i="18"/>
  <c r="P134" i="18"/>
  <c r="G134" i="18"/>
  <c r="Q147" i="18" l="1"/>
  <c r="Q143" i="18"/>
  <c r="Q144" i="18"/>
  <c r="Q148" i="18"/>
  <c r="Q145" i="18"/>
  <c r="Q137" i="18"/>
  <c r="Q138" i="18"/>
  <c r="Q139" i="18"/>
  <c r="Q127" i="18"/>
  <c r="AC53" i="18"/>
  <c r="AE53" i="18"/>
  <c r="Q135" i="18"/>
  <c r="Q134" i="18"/>
  <c r="R9" i="18"/>
  <c r="R10" i="18"/>
  <c r="R12" i="18"/>
  <c r="R15" i="18"/>
  <c r="R17" i="18"/>
  <c r="R18" i="18"/>
  <c r="R23" i="18"/>
  <c r="R25" i="18"/>
  <c r="R26" i="18"/>
  <c r="R27" i="18"/>
  <c r="R28" i="18"/>
  <c r="R44" i="18"/>
  <c r="R46" i="18"/>
  <c r="R50" i="18"/>
  <c r="R52" i="18"/>
  <c r="S52" i="18" s="1"/>
  <c r="T52" i="18" s="1"/>
  <c r="U52" i="18" s="1"/>
  <c r="V52" i="18" s="1"/>
  <c r="W52" i="18" s="1"/>
  <c r="X52" i="18" s="1"/>
  <c r="Y52" i="18" s="1"/>
  <c r="Z52" i="18" s="1"/>
  <c r="AA52" i="18" s="1"/>
  <c r="AB52" i="18" s="1"/>
  <c r="R54" i="18"/>
  <c r="R55" i="18"/>
  <c r="R62" i="18"/>
  <c r="R66" i="18"/>
  <c r="R7" i="18"/>
  <c r="R6" i="18"/>
  <c r="AD9" i="18"/>
  <c r="AD10" i="18"/>
  <c r="AD11" i="18"/>
  <c r="AD12" i="18"/>
  <c r="AD15" i="18"/>
  <c r="AD17" i="18"/>
  <c r="AD18" i="18"/>
  <c r="AD23" i="18"/>
  <c r="AD25" i="18"/>
  <c r="AD26" i="18"/>
  <c r="AD27" i="18"/>
  <c r="AD28" i="18"/>
  <c r="AD44" i="18"/>
  <c r="AD46" i="18"/>
  <c r="AD50" i="18"/>
  <c r="AD52" i="18"/>
  <c r="AD54" i="18"/>
  <c r="AD55" i="18"/>
  <c r="AD62" i="18"/>
  <c r="AD66" i="18"/>
  <c r="AD68" i="18"/>
  <c r="AD71" i="18"/>
  <c r="AD77" i="18"/>
  <c r="AD78" i="18"/>
  <c r="AD80" i="18"/>
  <c r="AD81" i="18"/>
  <c r="AD82" i="18"/>
  <c r="AD83" i="18"/>
  <c r="AD85" i="18"/>
  <c r="AD86" i="18"/>
  <c r="AD87" i="18"/>
  <c r="AD89" i="18"/>
  <c r="AD90" i="18"/>
  <c r="AD91" i="18"/>
  <c r="AD92" i="18"/>
  <c r="AD95" i="18"/>
  <c r="AD97" i="18"/>
  <c r="AD99" i="18"/>
  <c r="AD100" i="18"/>
  <c r="AD101" i="18"/>
  <c r="AD102" i="18"/>
  <c r="AD103" i="18"/>
  <c r="AD105" i="18"/>
  <c r="AD106" i="18"/>
  <c r="AD107" i="18"/>
  <c r="AD7" i="18"/>
  <c r="AD6" i="18"/>
  <c r="G124" i="18" l="1"/>
  <c r="F124" i="18"/>
  <c r="H124" i="18"/>
  <c r="I124" i="18"/>
  <c r="J124" i="18"/>
  <c r="K124" i="18"/>
  <c r="L124" i="18"/>
  <c r="M124" i="18"/>
  <c r="N124" i="18"/>
  <c r="O124" i="18"/>
  <c r="P124" i="18"/>
  <c r="Q124" i="18" l="1"/>
  <c r="H117" i="18"/>
  <c r="I117" i="18"/>
  <c r="J117" i="18"/>
  <c r="K117" i="18"/>
  <c r="L117" i="18"/>
  <c r="M117" i="18"/>
  <c r="N117" i="18"/>
  <c r="O117" i="18"/>
  <c r="P117" i="18"/>
  <c r="H118" i="18"/>
  <c r="I118" i="18"/>
  <c r="J118" i="18"/>
  <c r="K118" i="18"/>
  <c r="L118" i="18"/>
  <c r="M118" i="18"/>
  <c r="N118" i="18"/>
  <c r="O118" i="18"/>
  <c r="P118" i="18"/>
  <c r="G118" i="18"/>
  <c r="G117" i="18"/>
  <c r="S50" i="18"/>
  <c r="T50" i="18" s="1"/>
  <c r="U50" i="18" s="1"/>
  <c r="V50" i="18" s="1"/>
  <c r="W50" i="18" s="1"/>
  <c r="X50" i="18" s="1"/>
  <c r="Y50" i="18" s="1"/>
  <c r="Z50" i="18" s="1"/>
  <c r="AA50" i="18" s="1"/>
  <c r="AB50" i="18" s="1"/>
  <c r="Q50" i="18"/>
  <c r="Q118" i="18" l="1"/>
  <c r="Q117" i="18"/>
  <c r="AE50" i="18"/>
  <c r="AC50" i="18"/>
  <c r="H126" i="18"/>
  <c r="I126" i="18"/>
  <c r="J126" i="18"/>
  <c r="K126" i="18"/>
  <c r="L126" i="18"/>
  <c r="M126" i="18"/>
  <c r="N126" i="18"/>
  <c r="O126" i="18"/>
  <c r="P126" i="18"/>
  <c r="G126" i="18"/>
  <c r="H125" i="18"/>
  <c r="I125" i="18"/>
  <c r="J125" i="18"/>
  <c r="K125" i="18"/>
  <c r="L125" i="18"/>
  <c r="M125" i="18"/>
  <c r="N125" i="18"/>
  <c r="O125" i="18"/>
  <c r="P125" i="18"/>
  <c r="G125" i="18"/>
  <c r="Q125" i="18" l="1"/>
  <c r="Q126" i="18"/>
  <c r="AE94" i="18"/>
  <c r="C198" i="18" l="1"/>
  <c r="D198" i="18"/>
  <c r="E198" i="18"/>
  <c r="F198" i="18"/>
  <c r="G198" i="18"/>
  <c r="H198" i="18"/>
  <c r="I198" i="18"/>
  <c r="J198" i="18"/>
  <c r="K198" i="18"/>
  <c r="L198" i="18"/>
  <c r="M198" i="18"/>
  <c r="N198" i="18"/>
  <c r="O198" i="18"/>
  <c r="P198" i="18"/>
  <c r="C9" i="15"/>
  <c r="D95" i="18"/>
  <c r="E95" i="18"/>
  <c r="E129" i="18" s="1"/>
  <c r="E130" i="18" s="1"/>
  <c r="F95" i="18"/>
  <c r="F129" i="18" s="1"/>
  <c r="F130" i="18" s="1"/>
  <c r="G95" i="18"/>
  <c r="G129" i="18" s="1"/>
  <c r="G130" i="18" s="1"/>
  <c r="H95" i="18"/>
  <c r="H129" i="18" s="1"/>
  <c r="H130" i="18" s="1"/>
  <c r="I95" i="18"/>
  <c r="I129" i="18" s="1"/>
  <c r="I130" i="18" s="1"/>
  <c r="J95" i="18"/>
  <c r="J129" i="18" s="1"/>
  <c r="J130" i="18" s="1"/>
  <c r="K95" i="18"/>
  <c r="K129" i="18" s="1"/>
  <c r="K130" i="18" s="1"/>
  <c r="L95" i="18"/>
  <c r="L129" i="18" s="1"/>
  <c r="L130" i="18" s="1"/>
  <c r="M95" i="18"/>
  <c r="M129" i="18" s="1"/>
  <c r="M130" i="18" s="1"/>
  <c r="N95" i="18"/>
  <c r="N129" i="18" s="1"/>
  <c r="N130" i="18" s="1"/>
  <c r="O95" i="18"/>
  <c r="O129" i="18" s="1"/>
  <c r="O130" i="18" s="1"/>
  <c r="P95" i="18"/>
  <c r="P129" i="18" s="1"/>
  <c r="C95" i="18"/>
  <c r="S71" i="18"/>
  <c r="S95" i="18" s="1"/>
  <c r="S129" i="18" s="1"/>
  <c r="S130" i="18" s="1"/>
  <c r="Q71" i="18"/>
  <c r="N131" i="18" l="1"/>
  <c r="N132" i="18" s="1"/>
  <c r="J131" i="18"/>
  <c r="J132" i="18" s="1"/>
  <c r="L131" i="18"/>
  <c r="L132" i="18" s="1"/>
  <c r="H131" i="18"/>
  <c r="H132" i="18" s="1"/>
  <c r="M131" i="18"/>
  <c r="M132" i="18" s="1"/>
  <c r="I131" i="18"/>
  <c r="I132" i="18" s="1"/>
  <c r="F131" i="18"/>
  <c r="F132" i="18" s="1"/>
  <c r="O131" i="18"/>
  <c r="O132" i="18" s="1"/>
  <c r="K131" i="18"/>
  <c r="K132" i="18" s="1"/>
  <c r="G131" i="18"/>
  <c r="G132" i="18" s="1"/>
  <c r="P130" i="18"/>
  <c r="Q129" i="18"/>
  <c r="T71" i="18"/>
  <c r="U71" i="18" s="1"/>
  <c r="V71" i="18" s="1"/>
  <c r="W71" i="18" s="1"/>
  <c r="P131" i="18" l="1"/>
  <c r="Q130" i="18"/>
  <c r="U95" i="18"/>
  <c r="X71" i="18"/>
  <c r="W95" i="18"/>
  <c r="V95" i="18"/>
  <c r="T95" i="18"/>
  <c r="C105" i="18"/>
  <c r="D105" i="18"/>
  <c r="E105" i="18"/>
  <c r="F105" i="18"/>
  <c r="G105" i="18"/>
  <c r="H105" i="18"/>
  <c r="I105" i="18"/>
  <c r="J105" i="18"/>
  <c r="K105" i="18"/>
  <c r="L105" i="18"/>
  <c r="M105" i="18"/>
  <c r="N105" i="18"/>
  <c r="O105" i="18"/>
  <c r="C106" i="18"/>
  <c r="D106" i="18"/>
  <c r="E106" i="18"/>
  <c r="F106" i="18"/>
  <c r="G106" i="18"/>
  <c r="H106" i="18"/>
  <c r="I106" i="18"/>
  <c r="J106" i="18"/>
  <c r="K106" i="18"/>
  <c r="L106" i="18"/>
  <c r="M106" i="18"/>
  <c r="N106" i="18"/>
  <c r="O106" i="18"/>
  <c r="C107" i="18"/>
  <c r="D107" i="18"/>
  <c r="E107" i="18"/>
  <c r="F107" i="18"/>
  <c r="G107" i="18"/>
  <c r="H107" i="18"/>
  <c r="I107" i="18"/>
  <c r="J107" i="18"/>
  <c r="K107" i="18"/>
  <c r="L107" i="18"/>
  <c r="M107" i="18"/>
  <c r="N107" i="18"/>
  <c r="O107" i="18"/>
  <c r="P107" i="18"/>
  <c r="P106" i="18"/>
  <c r="P105" i="18"/>
  <c r="C113" i="18"/>
  <c r="D113" i="18"/>
  <c r="E113" i="18"/>
  <c r="F113" i="18"/>
  <c r="H113" i="18"/>
  <c r="I113" i="18"/>
  <c r="J113" i="18"/>
  <c r="K113" i="18"/>
  <c r="L113" i="18"/>
  <c r="M113" i="18"/>
  <c r="N113" i="18"/>
  <c r="O113" i="18"/>
  <c r="C111" i="18"/>
  <c r="D111" i="18"/>
  <c r="E111" i="18"/>
  <c r="C112" i="18"/>
  <c r="D112" i="18"/>
  <c r="E112" i="18"/>
  <c r="F112" i="18"/>
  <c r="G112" i="18"/>
  <c r="H112" i="18"/>
  <c r="I112" i="18"/>
  <c r="J112" i="18"/>
  <c r="K112" i="18"/>
  <c r="L112" i="18"/>
  <c r="M112" i="18"/>
  <c r="N112" i="18"/>
  <c r="O112" i="18"/>
  <c r="F111" i="18"/>
  <c r="G111" i="18"/>
  <c r="H111" i="18"/>
  <c r="I111" i="18"/>
  <c r="J111" i="18"/>
  <c r="K111" i="18"/>
  <c r="L111" i="18"/>
  <c r="M111" i="18"/>
  <c r="N111" i="18"/>
  <c r="O111" i="18"/>
  <c r="P112" i="18"/>
  <c r="G63" i="18"/>
  <c r="Q107" i="18" l="1"/>
  <c r="Y71" i="18"/>
  <c r="X95" i="18"/>
  <c r="Q105" i="18"/>
  <c r="Q106" i="18"/>
  <c r="Q112" i="18"/>
  <c r="Q113" i="18"/>
  <c r="P111" i="18"/>
  <c r="Q111" i="18" s="1"/>
  <c r="C213" i="18"/>
  <c r="D213" i="18"/>
  <c r="E213" i="18"/>
  <c r="F213" i="18"/>
  <c r="C214" i="18"/>
  <c r="D214" i="18"/>
  <c r="E214" i="18"/>
  <c r="F214" i="18"/>
  <c r="C215" i="18"/>
  <c r="D215" i="18"/>
  <c r="E215" i="18"/>
  <c r="F215" i="18"/>
  <c r="H215" i="18"/>
  <c r="I215" i="18"/>
  <c r="J215" i="18"/>
  <c r="K215" i="18"/>
  <c r="L215" i="18"/>
  <c r="M215" i="18"/>
  <c r="N215" i="18"/>
  <c r="O215" i="18"/>
  <c r="P215" i="18"/>
  <c r="G215" i="18"/>
  <c r="H214" i="18"/>
  <c r="I214" i="18"/>
  <c r="J214" i="18"/>
  <c r="K214" i="18"/>
  <c r="L214" i="18"/>
  <c r="M214" i="18"/>
  <c r="N214" i="18"/>
  <c r="O214" i="18"/>
  <c r="P214" i="18"/>
  <c r="G214" i="18"/>
  <c r="H213" i="18"/>
  <c r="I213" i="18"/>
  <c r="J213" i="18"/>
  <c r="K213" i="18"/>
  <c r="L213" i="18"/>
  <c r="M213" i="18"/>
  <c r="N213" i="18"/>
  <c r="O213" i="18"/>
  <c r="P213" i="18"/>
  <c r="G213" i="18"/>
  <c r="H78" i="18"/>
  <c r="I78" i="18"/>
  <c r="J78" i="18"/>
  <c r="K78" i="18"/>
  <c r="L78" i="18"/>
  <c r="M78" i="18"/>
  <c r="N78" i="18"/>
  <c r="O78" i="18"/>
  <c r="P78" i="18"/>
  <c r="C78" i="18"/>
  <c r="D78" i="18"/>
  <c r="E78" i="18"/>
  <c r="F78" i="18"/>
  <c r="G78" i="18"/>
  <c r="G80" i="18"/>
  <c r="G197" i="18" s="1"/>
  <c r="H77" i="18"/>
  <c r="H191" i="18" s="1"/>
  <c r="I77" i="18"/>
  <c r="I191" i="18" s="1"/>
  <c r="J77" i="18"/>
  <c r="J191" i="18" s="1"/>
  <c r="K77" i="18"/>
  <c r="K191" i="18" s="1"/>
  <c r="L77" i="18"/>
  <c r="L191" i="18" s="1"/>
  <c r="M77" i="18"/>
  <c r="M191" i="18" s="1"/>
  <c r="N77" i="18"/>
  <c r="N191" i="18" s="1"/>
  <c r="O77" i="18"/>
  <c r="O191" i="18" s="1"/>
  <c r="P77" i="18"/>
  <c r="P191" i="18" s="1"/>
  <c r="C77" i="18"/>
  <c r="C191" i="18" s="1"/>
  <c r="D77" i="18"/>
  <c r="D191" i="18" s="1"/>
  <c r="E77" i="18"/>
  <c r="E191" i="18" s="1"/>
  <c r="F77" i="18"/>
  <c r="F191" i="18" s="1"/>
  <c r="G77" i="18"/>
  <c r="G191" i="18" s="1"/>
  <c r="P63" i="18"/>
  <c r="O63" i="18"/>
  <c r="N63" i="18"/>
  <c r="M63" i="18"/>
  <c r="L63" i="18"/>
  <c r="K63" i="18"/>
  <c r="J63" i="18"/>
  <c r="I63" i="18"/>
  <c r="H63" i="18"/>
  <c r="Q68" i="18"/>
  <c r="S62" i="18"/>
  <c r="Q62" i="18"/>
  <c r="Q191" i="18" l="1"/>
  <c r="Z71" i="18"/>
  <c r="Y95" i="18"/>
  <c r="T62" i="18"/>
  <c r="Q215" i="18"/>
  <c r="Q78" i="18"/>
  <c r="Q77" i="18"/>
  <c r="Q214" i="18"/>
  <c r="Q213" i="18"/>
  <c r="Q52" i="18"/>
  <c r="Q55" i="18"/>
  <c r="AA71" i="18" l="1"/>
  <c r="Z95" i="18"/>
  <c r="U62" i="18"/>
  <c r="I102" i="18"/>
  <c r="J102" i="18"/>
  <c r="K102" i="18"/>
  <c r="L102" i="18"/>
  <c r="M102" i="18"/>
  <c r="N102" i="18"/>
  <c r="O102" i="18"/>
  <c r="P102" i="18"/>
  <c r="I103" i="18"/>
  <c r="J103" i="18"/>
  <c r="K103" i="18"/>
  <c r="L103" i="18"/>
  <c r="M103" i="18"/>
  <c r="N103" i="18"/>
  <c r="O103" i="18"/>
  <c r="P103" i="18"/>
  <c r="I97" i="18"/>
  <c r="I99" i="18" s="1"/>
  <c r="J97" i="18"/>
  <c r="J99" i="18" s="1"/>
  <c r="K97" i="18"/>
  <c r="K99" i="18" s="1"/>
  <c r="L97" i="18"/>
  <c r="L99" i="18" s="1"/>
  <c r="M97" i="18"/>
  <c r="M99" i="18" s="1"/>
  <c r="N97" i="18"/>
  <c r="N99" i="18" s="1"/>
  <c r="O97" i="18"/>
  <c r="O99" i="18" s="1"/>
  <c r="P97" i="18"/>
  <c r="P99" i="18" s="1"/>
  <c r="I100" i="18"/>
  <c r="J100" i="18"/>
  <c r="K100" i="18"/>
  <c r="L100" i="18"/>
  <c r="M100" i="18"/>
  <c r="N100" i="18"/>
  <c r="O100" i="18"/>
  <c r="P100" i="18"/>
  <c r="I101" i="18"/>
  <c r="J101" i="18"/>
  <c r="K101" i="18"/>
  <c r="L101" i="18"/>
  <c r="M101" i="18"/>
  <c r="N101" i="18"/>
  <c r="O101" i="18"/>
  <c r="P101" i="18"/>
  <c r="C100" i="18"/>
  <c r="D100" i="18"/>
  <c r="E100" i="18"/>
  <c r="F100" i="18"/>
  <c r="G100" i="18"/>
  <c r="C101" i="18"/>
  <c r="D101" i="18"/>
  <c r="E101" i="18"/>
  <c r="F101" i="18"/>
  <c r="G101" i="18"/>
  <c r="C102" i="18"/>
  <c r="D102" i="18"/>
  <c r="E102" i="18"/>
  <c r="F102" i="18"/>
  <c r="G102" i="18"/>
  <c r="C103" i="18"/>
  <c r="D103" i="18"/>
  <c r="E103" i="18"/>
  <c r="F103" i="18"/>
  <c r="G103" i="18"/>
  <c r="H103" i="18"/>
  <c r="H102" i="18"/>
  <c r="S28" i="18"/>
  <c r="T28" i="18" s="1"/>
  <c r="U28" i="18" s="1"/>
  <c r="V28" i="18" s="1"/>
  <c r="W28" i="18" s="1"/>
  <c r="X28" i="18" s="1"/>
  <c r="Y28" i="18" s="1"/>
  <c r="Z28" i="18" s="1"/>
  <c r="AA28" i="18" s="1"/>
  <c r="AB28" i="18" s="1"/>
  <c r="AE28" i="18" s="1"/>
  <c r="Q28" i="18"/>
  <c r="S27" i="18"/>
  <c r="T27" i="18" s="1"/>
  <c r="U27" i="18" s="1"/>
  <c r="V27" i="18" s="1"/>
  <c r="W27" i="18" s="1"/>
  <c r="X27" i="18" s="1"/>
  <c r="Y27" i="18" s="1"/>
  <c r="Z27" i="18" s="1"/>
  <c r="AA27" i="18" s="1"/>
  <c r="AB27" i="18" s="1"/>
  <c r="S26" i="18"/>
  <c r="Q25" i="18"/>
  <c r="C97" i="18"/>
  <c r="C99" i="18" s="1"/>
  <c r="D97" i="18"/>
  <c r="D99" i="18" s="1"/>
  <c r="E97" i="18"/>
  <c r="E99" i="18" s="1"/>
  <c r="F97" i="18"/>
  <c r="F99" i="18" s="1"/>
  <c r="G97" i="18"/>
  <c r="G99" i="18" s="1"/>
  <c r="H97" i="18"/>
  <c r="H99" i="18" s="1"/>
  <c r="H101" i="18"/>
  <c r="H100" i="18"/>
  <c r="AE52" i="18" l="1"/>
  <c r="AC52" i="18"/>
  <c r="AC27" i="18"/>
  <c r="AE27" i="18"/>
  <c r="AB71" i="18"/>
  <c r="AE71" i="18" s="1"/>
  <c r="AA95" i="18"/>
  <c r="V62" i="18"/>
  <c r="Q102" i="18"/>
  <c r="Q103" i="18"/>
  <c r="Q101" i="18"/>
  <c r="Q99" i="18"/>
  <c r="Q100" i="18"/>
  <c r="AC28" i="18"/>
  <c r="Q27" i="18"/>
  <c r="Q26" i="18"/>
  <c r="Q97" i="18"/>
  <c r="S25" i="18"/>
  <c r="T26" i="18"/>
  <c r="Q95" i="18"/>
  <c r="Q190" i="18"/>
  <c r="T25" i="18" l="1"/>
  <c r="S97" i="18"/>
  <c r="AB95" i="18"/>
  <c r="AC71" i="18"/>
  <c r="U26" i="18"/>
  <c r="C19" i="15"/>
  <c r="S9" i="18"/>
  <c r="T9" i="18" s="1"/>
  <c r="U9" i="18" s="1"/>
  <c r="V9" i="18" s="1"/>
  <c r="W9" i="18" s="1"/>
  <c r="X9" i="18" s="1"/>
  <c r="Y9" i="18" s="1"/>
  <c r="Z9" i="18" s="1"/>
  <c r="AA9" i="18" s="1"/>
  <c r="AB9" i="18" s="1"/>
  <c r="AE9" i="18" s="1"/>
  <c r="Q66" i="18"/>
  <c r="Q54" i="18"/>
  <c r="Q46" i="18"/>
  <c r="Q44" i="18"/>
  <c r="Q23" i="18"/>
  <c r="Q18" i="18"/>
  <c r="Q17" i="18"/>
  <c r="Q15" i="18"/>
  <c r="Q12" i="18"/>
  <c r="Q10" i="18"/>
  <c r="Q9" i="18"/>
  <c r="Q7" i="18"/>
  <c r="Q6" i="18"/>
  <c r="S23" i="18"/>
  <c r="S44" i="18"/>
  <c r="S46" i="18"/>
  <c r="S145" i="18" s="1"/>
  <c r="S54" i="18"/>
  <c r="T54" i="18" s="1"/>
  <c r="U54" i="18" s="1"/>
  <c r="V54" i="18" s="1"/>
  <c r="W54" i="18" s="1"/>
  <c r="X54" i="18" s="1"/>
  <c r="Y54" i="18" s="1"/>
  <c r="Z54" i="18" s="1"/>
  <c r="AA54" i="18" s="1"/>
  <c r="AB54" i="18" s="1"/>
  <c r="AE54" i="18" s="1"/>
  <c r="S55" i="18"/>
  <c r="T55" i="18" s="1"/>
  <c r="U55" i="18" s="1"/>
  <c r="V55" i="18" s="1"/>
  <c r="W55" i="18" s="1"/>
  <c r="X55" i="18" s="1"/>
  <c r="Y55" i="18" s="1"/>
  <c r="Z55" i="18" s="1"/>
  <c r="AA55" i="18" s="1"/>
  <c r="AB55" i="18" s="1"/>
  <c r="AE55" i="18" s="1"/>
  <c r="W62" i="18"/>
  <c r="O93" i="18"/>
  <c r="O195" i="18" s="1"/>
  <c r="O92" i="18"/>
  <c r="O90" i="18"/>
  <c r="O89" i="18"/>
  <c r="O87" i="18"/>
  <c r="O196" i="18" s="1"/>
  <c r="O86" i="18"/>
  <c r="O85" i="18"/>
  <c r="O83" i="18"/>
  <c r="O82" i="18"/>
  <c r="O193" i="18" s="1"/>
  <c r="O81" i="18"/>
  <c r="O80" i="18"/>
  <c r="S144" i="18" l="1"/>
  <c r="S154" i="18"/>
  <c r="S115" i="18"/>
  <c r="T97" i="18"/>
  <c r="S138" i="18"/>
  <c r="S139" i="18"/>
  <c r="S137" i="18"/>
  <c r="S127" i="18"/>
  <c r="P132" i="18"/>
  <c r="Q132" i="18" s="1"/>
  <c r="Q131" i="18"/>
  <c r="S117" i="18"/>
  <c r="S135" i="18"/>
  <c r="S134" i="18"/>
  <c r="T23" i="18"/>
  <c r="S178" i="18"/>
  <c r="AE95" i="18"/>
  <c r="O192" i="18"/>
  <c r="O197" i="18"/>
  <c r="U25" i="18"/>
  <c r="AC95" i="18"/>
  <c r="T178" i="18" s="1"/>
  <c r="T46" i="18"/>
  <c r="T145" i="18" s="1"/>
  <c r="X62" i="18"/>
  <c r="T44" i="18"/>
  <c r="S111" i="18"/>
  <c r="V26" i="18"/>
  <c r="AC54" i="18"/>
  <c r="AC55" i="18"/>
  <c r="AC9" i="18"/>
  <c r="O91" i="18"/>
  <c r="O194" i="18" s="1"/>
  <c r="D87" i="18"/>
  <c r="E87" i="18"/>
  <c r="F87" i="18"/>
  <c r="G87" i="18"/>
  <c r="G196" i="18" s="1"/>
  <c r="H87" i="18"/>
  <c r="H196" i="18" s="1"/>
  <c r="I87" i="18"/>
  <c r="I196" i="18" s="1"/>
  <c r="J87" i="18"/>
  <c r="J196" i="18" s="1"/>
  <c r="K87" i="18"/>
  <c r="K196" i="18" s="1"/>
  <c r="L87" i="18"/>
  <c r="L196" i="18" s="1"/>
  <c r="M87" i="18"/>
  <c r="M196" i="18" s="1"/>
  <c r="N87" i="18"/>
  <c r="N196" i="18" s="1"/>
  <c r="P87" i="18"/>
  <c r="C87" i="18"/>
  <c r="C86" i="18"/>
  <c r="T144" i="18" l="1"/>
  <c r="T154" i="18"/>
  <c r="T115" i="18"/>
  <c r="T137" i="18"/>
  <c r="T139" i="18"/>
  <c r="T138" i="18"/>
  <c r="T127" i="18"/>
  <c r="T117" i="18"/>
  <c r="T135" i="18"/>
  <c r="T134" i="18"/>
  <c r="U23" i="18"/>
  <c r="R178" i="18"/>
  <c r="P202" i="18" s="1"/>
  <c r="V25" i="18"/>
  <c r="U97" i="18"/>
  <c r="U46" i="18"/>
  <c r="U145" i="18" s="1"/>
  <c r="U44" i="18"/>
  <c r="U115" i="18" s="1"/>
  <c r="T111" i="18"/>
  <c r="Y62" i="18"/>
  <c r="W26" i="18"/>
  <c r="P196" i="18"/>
  <c r="Q196" i="18" s="1"/>
  <c r="Q87" i="18"/>
  <c r="D86" i="18"/>
  <c r="E86" i="18"/>
  <c r="F86" i="18"/>
  <c r="G86" i="18"/>
  <c r="H86" i="18"/>
  <c r="I86" i="18"/>
  <c r="J86" i="18"/>
  <c r="K86" i="18"/>
  <c r="L86" i="18"/>
  <c r="M86" i="18"/>
  <c r="N86" i="18"/>
  <c r="P86" i="18"/>
  <c r="D85" i="18"/>
  <c r="E85" i="18"/>
  <c r="F85" i="18"/>
  <c r="G85" i="18"/>
  <c r="H85" i="18"/>
  <c r="I85" i="18"/>
  <c r="J85" i="18"/>
  <c r="K85" i="18"/>
  <c r="L85" i="18"/>
  <c r="M85" i="18"/>
  <c r="N85" i="18"/>
  <c r="P85" i="18"/>
  <c r="C85" i="18"/>
  <c r="U144" i="18" l="1"/>
  <c r="U154" i="18"/>
  <c r="U139" i="18"/>
  <c r="U138" i="18"/>
  <c r="U137" i="18"/>
  <c r="U127" i="18"/>
  <c r="U117" i="18"/>
  <c r="U135" i="18"/>
  <c r="U134" i="18"/>
  <c r="V23" i="18"/>
  <c r="W25" i="18"/>
  <c r="V97" i="18"/>
  <c r="V46" i="18"/>
  <c r="V145" i="18" s="1"/>
  <c r="V44" i="18"/>
  <c r="U111" i="18"/>
  <c r="Z62" i="18"/>
  <c r="X26" i="18"/>
  <c r="Q85" i="18"/>
  <c r="Q86" i="18"/>
  <c r="C46" i="15"/>
  <c r="V144" i="18" l="1"/>
  <c r="V154" i="18"/>
  <c r="V115" i="18"/>
  <c r="V127" i="18"/>
  <c r="V139" i="18"/>
  <c r="V138" i="18"/>
  <c r="V137" i="18"/>
  <c r="V117" i="18"/>
  <c r="V135" i="18"/>
  <c r="V134" i="18"/>
  <c r="W23" i="18"/>
  <c r="X25" i="18"/>
  <c r="W97" i="18"/>
  <c r="W46" i="18"/>
  <c r="W145" i="18" s="1"/>
  <c r="W44" i="18"/>
  <c r="V111" i="18"/>
  <c r="AA62" i="18"/>
  <c r="Y26" i="18"/>
  <c r="S190" i="18"/>
  <c r="C80" i="18"/>
  <c r="D80" i="18"/>
  <c r="E80" i="18"/>
  <c r="F80" i="18"/>
  <c r="H80" i="18"/>
  <c r="I80" i="18"/>
  <c r="J80" i="18"/>
  <c r="K80" i="18"/>
  <c r="L80" i="18"/>
  <c r="L197" i="18" s="1"/>
  <c r="M80" i="18"/>
  <c r="N80" i="18"/>
  <c r="N197" i="18" s="1"/>
  <c r="P80" i="18"/>
  <c r="D93" i="18"/>
  <c r="D195" i="18" s="1"/>
  <c r="E93" i="18"/>
  <c r="E195" i="18" s="1"/>
  <c r="F93" i="18"/>
  <c r="F195" i="18" s="1"/>
  <c r="G93" i="18"/>
  <c r="H93" i="18"/>
  <c r="H195" i="18" s="1"/>
  <c r="I93" i="18"/>
  <c r="I195" i="18" s="1"/>
  <c r="J93" i="18"/>
  <c r="J195" i="18" s="1"/>
  <c r="K93" i="18"/>
  <c r="K195" i="18" s="1"/>
  <c r="L93" i="18"/>
  <c r="L195" i="18" s="1"/>
  <c r="M93" i="18"/>
  <c r="M195" i="18" s="1"/>
  <c r="N93" i="18"/>
  <c r="P93" i="18"/>
  <c r="D92" i="18"/>
  <c r="E92" i="18"/>
  <c r="F92" i="18"/>
  <c r="G92" i="18"/>
  <c r="H92" i="18"/>
  <c r="I92" i="18"/>
  <c r="J92" i="18"/>
  <c r="K92" i="18"/>
  <c r="L92" i="18"/>
  <c r="M92" i="18"/>
  <c r="N92" i="18"/>
  <c r="P92" i="18"/>
  <c r="D90" i="18"/>
  <c r="E90" i="18"/>
  <c r="F90" i="18"/>
  <c r="G90" i="18"/>
  <c r="H90" i="18"/>
  <c r="I90" i="18"/>
  <c r="J90" i="18"/>
  <c r="K90" i="18"/>
  <c r="L90" i="18"/>
  <c r="M90" i="18"/>
  <c r="N90" i="18"/>
  <c r="P90" i="18"/>
  <c r="D89" i="18"/>
  <c r="D91" i="18" s="1"/>
  <c r="D194" i="18" s="1"/>
  <c r="E89" i="18"/>
  <c r="E91" i="18" s="1"/>
  <c r="E194" i="18" s="1"/>
  <c r="F89" i="18"/>
  <c r="G89" i="18"/>
  <c r="H89" i="18"/>
  <c r="I89" i="18"/>
  <c r="J89" i="18"/>
  <c r="K89" i="18"/>
  <c r="L89" i="18"/>
  <c r="M89" i="18"/>
  <c r="N89" i="18"/>
  <c r="P89" i="18"/>
  <c r="D83" i="18"/>
  <c r="E83" i="18"/>
  <c r="F83" i="18"/>
  <c r="G83" i="18"/>
  <c r="H83" i="18"/>
  <c r="I83" i="18"/>
  <c r="J83" i="18"/>
  <c r="K83" i="18"/>
  <c r="L83" i="18"/>
  <c r="M83" i="18"/>
  <c r="N83" i="18"/>
  <c r="P83" i="18"/>
  <c r="D82" i="18"/>
  <c r="D193" i="18" s="1"/>
  <c r="E82" i="18"/>
  <c r="E193" i="18" s="1"/>
  <c r="F82" i="18"/>
  <c r="F193" i="18" s="1"/>
  <c r="G82" i="18"/>
  <c r="H82" i="18"/>
  <c r="H193" i="18" s="1"/>
  <c r="I82" i="18"/>
  <c r="I193" i="18" s="1"/>
  <c r="J82" i="18"/>
  <c r="J193" i="18" s="1"/>
  <c r="K82" i="18"/>
  <c r="K193" i="18" s="1"/>
  <c r="L82" i="18"/>
  <c r="L193" i="18" s="1"/>
  <c r="M82" i="18"/>
  <c r="M193" i="18" s="1"/>
  <c r="N82" i="18"/>
  <c r="P82" i="18"/>
  <c r="C93" i="18"/>
  <c r="C195" i="18" s="1"/>
  <c r="C92" i="18"/>
  <c r="C90" i="18"/>
  <c r="C89" i="18"/>
  <c r="C83" i="18"/>
  <c r="C82" i="18"/>
  <c r="C193" i="18" s="1"/>
  <c r="D81" i="18"/>
  <c r="E81" i="18"/>
  <c r="F81" i="18"/>
  <c r="G81" i="18"/>
  <c r="H81" i="18"/>
  <c r="I81" i="18"/>
  <c r="J81" i="18"/>
  <c r="K81" i="18"/>
  <c r="L81" i="18"/>
  <c r="M81" i="18"/>
  <c r="N81" i="18"/>
  <c r="P81" i="18"/>
  <c r="C81" i="18"/>
  <c r="S17" i="18"/>
  <c r="S142" i="18" s="1"/>
  <c r="S18" i="18"/>
  <c r="S150" i="18" s="1"/>
  <c r="S151" i="18" s="1"/>
  <c r="S66" i="18"/>
  <c r="S10" i="18"/>
  <c r="S12" i="18"/>
  <c r="S15" i="18"/>
  <c r="S7" i="18"/>
  <c r="S6" i="18"/>
  <c r="S210" i="18" l="1"/>
  <c r="P210" i="18"/>
  <c r="M210" i="18"/>
  <c r="W144" i="18"/>
  <c r="W154" i="18"/>
  <c r="W115" i="18"/>
  <c r="S113" i="18"/>
  <c r="S114" i="18"/>
  <c r="S148" i="18"/>
  <c r="S147" i="18"/>
  <c r="S118" i="18"/>
  <c r="S143" i="18"/>
  <c r="H197" i="18"/>
  <c r="H192" i="18"/>
  <c r="W127" i="18"/>
  <c r="W138" i="18"/>
  <c r="W137" i="18"/>
  <c r="W139" i="18"/>
  <c r="S126" i="18"/>
  <c r="S131" i="18"/>
  <c r="S132" i="18" s="1"/>
  <c r="W117" i="18"/>
  <c r="W135" i="18"/>
  <c r="W134" i="18"/>
  <c r="S124" i="18"/>
  <c r="S125" i="18"/>
  <c r="X23" i="18"/>
  <c r="D192" i="18"/>
  <c r="D196" i="18" s="1"/>
  <c r="D197" i="18"/>
  <c r="E192" i="18"/>
  <c r="E196" i="18" s="1"/>
  <c r="E197" i="18"/>
  <c r="C192" i="18"/>
  <c r="C196" i="18" s="1"/>
  <c r="C197" i="18"/>
  <c r="P192" i="18"/>
  <c r="P197" i="18"/>
  <c r="K192" i="18"/>
  <c r="K197" i="18"/>
  <c r="F192" i="18"/>
  <c r="F196" i="18" s="1"/>
  <c r="F197" i="18"/>
  <c r="J192" i="18"/>
  <c r="J197" i="18"/>
  <c r="M192" i="18"/>
  <c r="M197" i="18"/>
  <c r="I192" i="18"/>
  <c r="I197" i="18"/>
  <c r="Q160" i="18"/>
  <c r="Y25" i="18"/>
  <c r="X97" i="18"/>
  <c r="H91" i="18"/>
  <c r="H194" i="18" s="1"/>
  <c r="X46" i="18"/>
  <c r="X145" i="18" s="1"/>
  <c r="T12" i="18"/>
  <c r="T17" i="18"/>
  <c r="T142" i="18" s="1"/>
  <c r="T15" i="18"/>
  <c r="T10" i="18"/>
  <c r="T18" i="18"/>
  <c r="T150" i="18" s="1"/>
  <c r="T151" i="18" s="1"/>
  <c r="T6" i="18"/>
  <c r="T7" i="18"/>
  <c r="X44" i="18"/>
  <c r="W111" i="18"/>
  <c r="T66" i="18"/>
  <c r="S112" i="18"/>
  <c r="AB62" i="18"/>
  <c r="AE62" i="18" s="1"/>
  <c r="F91" i="18"/>
  <c r="F194" i="18" s="1"/>
  <c r="L91" i="18"/>
  <c r="L194" i="18" s="1"/>
  <c r="K91" i="18"/>
  <c r="K194" i="18" s="1"/>
  <c r="J91" i="18"/>
  <c r="J194" i="18" s="1"/>
  <c r="Z26" i="18"/>
  <c r="C91" i="18"/>
  <c r="C194" i="18" s="1"/>
  <c r="T190" i="18"/>
  <c r="I91" i="18"/>
  <c r="I194" i="18" s="1"/>
  <c r="Q81" i="18"/>
  <c r="G193" i="18"/>
  <c r="Q82" i="18"/>
  <c r="Q83" i="18"/>
  <c r="Q90" i="18"/>
  <c r="Q92" i="18"/>
  <c r="G192" i="18"/>
  <c r="Q80" i="18"/>
  <c r="G195" i="18"/>
  <c r="Q93" i="18"/>
  <c r="G91" i="18"/>
  <c r="Q89" i="18"/>
  <c r="N193" i="18"/>
  <c r="N192" i="18"/>
  <c r="N195" i="18"/>
  <c r="P193" i="18"/>
  <c r="L192" i="18"/>
  <c r="N91" i="18"/>
  <c r="M91" i="18"/>
  <c r="M194" i="18" s="1"/>
  <c r="P195" i="18"/>
  <c r="P91" i="18"/>
  <c r="S90" i="18"/>
  <c r="C6" i="12"/>
  <c r="C26" i="15"/>
  <c r="C58" i="15"/>
  <c r="C57" i="15"/>
  <c r="C54" i="15"/>
  <c r="C53" i="15"/>
  <c r="C50" i="15"/>
  <c r="C49" i="15"/>
  <c r="C45" i="15"/>
  <c r="S209" i="18" l="1"/>
  <c r="P209" i="18"/>
  <c r="M209" i="18"/>
  <c r="T210" i="18"/>
  <c r="S211" i="18"/>
  <c r="X144" i="18"/>
  <c r="X154" i="18"/>
  <c r="X115" i="18"/>
  <c r="T148" i="18"/>
  <c r="T147" i="18"/>
  <c r="T118" i="18"/>
  <c r="T143" i="18"/>
  <c r="T114" i="18"/>
  <c r="X137" i="18"/>
  <c r="X138" i="18"/>
  <c r="X139" i="18"/>
  <c r="X127" i="18"/>
  <c r="X117" i="18"/>
  <c r="X135" i="18"/>
  <c r="X134" i="18"/>
  <c r="T124" i="18"/>
  <c r="T125" i="18"/>
  <c r="T126" i="18"/>
  <c r="Y23" i="18"/>
  <c r="Z25" i="18"/>
  <c r="Y97" i="18"/>
  <c r="S89" i="18"/>
  <c r="S106" i="18"/>
  <c r="S85" i="18"/>
  <c r="S87" i="18"/>
  <c r="S196" i="18" s="1"/>
  <c r="S93" i="18"/>
  <c r="S195" i="18" s="1"/>
  <c r="S103" i="18"/>
  <c r="S105" i="18"/>
  <c r="S78" i="18"/>
  <c r="S77" i="18"/>
  <c r="S191" i="18" s="1"/>
  <c r="S86" i="18"/>
  <c r="S82" i="18"/>
  <c r="S83" i="18"/>
  <c r="S92" i="18"/>
  <c r="S81" i="18"/>
  <c r="S107" i="18"/>
  <c r="S80" i="18"/>
  <c r="Y46" i="18"/>
  <c r="Y145" i="18" s="1"/>
  <c r="U17" i="18"/>
  <c r="U142" i="18" s="1"/>
  <c r="U15" i="18"/>
  <c r="U12" i="18"/>
  <c r="S91" i="18"/>
  <c r="U18" i="18"/>
  <c r="U150" i="18" s="1"/>
  <c r="U151" i="18" s="1"/>
  <c r="U10" i="18"/>
  <c r="U7" i="18"/>
  <c r="U6" i="18"/>
  <c r="AC62" i="18"/>
  <c r="Y44" i="18"/>
  <c r="X111" i="18"/>
  <c r="U66" i="18"/>
  <c r="T113" i="18"/>
  <c r="T112" i="18"/>
  <c r="T68" i="18"/>
  <c r="T129" i="18" s="1"/>
  <c r="T130" i="18" s="1"/>
  <c r="T131" i="18" s="1"/>
  <c r="T132" i="18" s="1"/>
  <c r="S100" i="18"/>
  <c r="S101" i="18"/>
  <c r="S102" i="18"/>
  <c r="S99" i="18"/>
  <c r="AA26" i="18"/>
  <c r="U190" i="18"/>
  <c r="Q193" i="18"/>
  <c r="Q192" i="18"/>
  <c r="Q195" i="18"/>
  <c r="G194" i="18"/>
  <c r="Q91" i="18"/>
  <c r="N194" i="18"/>
  <c r="P194" i="18"/>
  <c r="C16" i="15"/>
  <c r="C21" i="15"/>
  <c r="C10" i="15"/>
  <c r="U210" i="18" l="1"/>
  <c r="T211" i="18"/>
  <c r="S208" i="18"/>
  <c r="T209" i="18"/>
  <c r="Y144" i="18"/>
  <c r="Y154" i="18"/>
  <c r="Y115" i="18"/>
  <c r="U118" i="18"/>
  <c r="U143" i="18"/>
  <c r="U148" i="18"/>
  <c r="U147" i="18"/>
  <c r="U114" i="18"/>
  <c r="Y139" i="18"/>
  <c r="Y138" i="18"/>
  <c r="Y137" i="18"/>
  <c r="Y127" i="18"/>
  <c r="T89" i="18"/>
  <c r="Y117" i="18"/>
  <c r="Y135" i="18"/>
  <c r="Y134" i="18"/>
  <c r="U124" i="18"/>
  <c r="U125" i="18"/>
  <c r="U126" i="18"/>
  <c r="T85" i="18"/>
  <c r="Z23" i="18"/>
  <c r="AA25" i="18"/>
  <c r="Z97" i="18"/>
  <c r="T87" i="18"/>
  <c r="T196" i="18" s="1"/>
  <c r="T93" i="18"/>
  <c r="T195" i="18" s="1"/>
  <c r="T103" i="18"/>
  <c r="T105" i="18"/>
  <c r="T77" i="18"/>
  <c r="T191" i="18" s="1"/>
  <c r="T78" i="18"/>
  <c r="T82" i="18"/>
  <c r="T81" i="18"/>
  <c r="T92" i="18"/>
  <c r="T107" i="18"/>
  <c r="T86" i="18"/>
  <c r="T83" i="18"/>
  <c r="T80" i="18"/>
  <c r="T90" i="18"/>
  <c r="T106" i="18"/>
  <c r="Z46" i="18"/>
  <c r="Z145" i="18" s="1"/>
  <c r="V15" i="18"/>
  <c r="V12" i="18"/>
  <c r="V17" i="18"/>
  <c r="V142" i="18" s="1"/>
  <c r="V10" i="18"/>
  <c r="V18" i="18"/>
  <c r="V150" i="18" s="1"/>
  <c r="V151" i="18" s="1"/>
  <c r="V6" i="18"/>
  <c r="V7" i="18"/>
  <c r="V66" i="18"/>
  <c r="U113" i="18"/>
  <c r="U112" i="18"/>
  <c r="Z44" i="18"/>
  <c r="Y111" i="18"/>
  <c r="U68" i="18"/>
  <c r="U129" i="18" s="1"/>
  <c r="U130" i="18" s="1"/>
  <c r="U131" i="18" s="1"/>
  <c r="U132" i="18" s="1"/>
  <c r="T102" i="18"/>
  <c r="T101" i="18"/>
  <c r="T100" i="18"/>
  <c r="T99" i="18"/>
  <c r="AB26" i="18"/>
  <c r="AE26" i="18" s="1"/>
  <c r="S194" i="18"/>
  <c r="V190" i="18"/>
  <c r="S192" i="18"/>
  <c r="S193" i="18"/>
  <c r="Q194" i="18"/>
  <c r="D31" i="8"/>
  <c r="D29" i="8"/>
  <c r="D28" i="8"/>
  <c r="D13" i="8"/>
  <c r="D30" i="8" s="1"/>
  <c r="E14" i="8"/>
  <c r="F14" i="8" s="1"/>
  <c r="G14" i="8" s="1"/>
  <c r="H14" i="8" s="1"/>
  <c r="I14" i="8" s="1"/>
  <c r="U209" i="18" l="1"/>
  <c r="T208" i="18"/>
  <c r="V210" i="18"/>
  <c r="U211" i="18"/>
  <c r="Z144" i="18"/>
  <c r="Z154" i="18"/>
  <c r="Z115" i="18"/>
  <c r="V114" i="18"/>
  <c r="V147" i="18"/>
  <c r="V148" i="18"/>
  <c r="V118" i="18"/>
  <c r="V143" i="18"/>
  <c r="Z139" i="18"/>
  <c r="Z138" i="18"/>
  <c r="Z137" i="18"/>
  <c r="Z127" i="18"/>
  <c r="U89" i="18"/>
  <c r="T91" i="18"/>
  <c r="T194" i="18" s="1"/>
  <c r="Z117" i="18"/>
  <c r="Z135" i="18"/>
  <c r="Z134" i="18"/>
  <c r="V124" i="18"/>
  <c r="V126" i="18"/>
  <c r="V125" i="18"/>
  <c r="AA23" i="18"/>
  <c r="AB25" i="18"/>
  <c r="AA97" i="18"/>
  <c r="U107" i="18"/>
  <c r="U106" i="18"/>
  <c r="U85" i="18"/>
  <c r="U93" i="18"/>
  <c r="U195" i="18" s="1"/>
  <c r="U92" i="18"/>
  <c r="U87" i="18"/>
  <c r="U196" i="18" s="1"/>
  <c r="U90" i="18"/>
  <c r="U81" i="18"/>
  <c r="U103" i="18"/>
  <c r="U105" i="18"/>
  <c r="U78" i="18"/>
  <c r="U77" i="18"/>
  <c r="U191" i="18" s="1"/>
  <c r="U86" i="18"/>
  <c r="U82" i="18"/>
  <c r="U83" i="18"/>
  <c r="U80" i="18"/>
  <c r="AA46" i="18"/>
  <c r="AA145" i="18" s="1"/>
  <c r="W12" i="18"/>
  <c r="W17" i="18"/>
  <c r="W142" i="18" s="1"/>
  <c r="W15" i="18"/>
  <c r="W18" i="18"/>
  <c r="W150" i="18" s="1"/>
  <c r="W151" i="18" s="1"/>
  <c r="W10" i="18"/>
  <c r="W7" i="18"/>
  <c r="W6" i="18"/>
  <c r="AA44" i="18"/>
  <c r="AA115" i="18" s="1"/>
  <c r="Z111" i="18"/>
  <c r="W66" i="18"/>
  <c r="V112" i="18"/>
  <c r="V113" i="18"/>
  <c r="V68" i="18"/>
  <c r="V129" i="18" s="1"/>
  <c r="V130" i="18" s="1"/>
  <c r="V131" i="18" s="1"/>
  <c r="V132" i="18" s="1"/>
  <c r="U102" i="18"/>
  <c r="U100" i="18"/>
  <c r="U101" i="18"/>
  <c r="U99" i="18"/>
  <c r="AC26" i="18"/>
  <c r="W190" i="18"/>
  <c r="T192" i="18"/>
  <c r="T193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W210" i="18" l="1"/>
  <c r="V211" i="18"/>
  <c r="V209" i="18"/>
  <c r="U208" i="18"/>
  <c r="AA144" i="18"/>
  <c r="AA154" i="18"/>
  <c r="AE25" i="18"/>
  <c r="W148" i="18"/>
  <c r="W147" i="18"/>
  <c r="W118" i="18"/>
  <c r="W143" i="18"/>
  <c r="W114" i="18"/>
  <c r="AA138" i="18"/>
  <c r="AA137" i="18"/>
  <c r="AA139" i="18"/>
  <c r="AA127" i="18"/>
  <c r="U91" i="18"/>
  <c r="U194" i="18" s="1"/>
  <c r="AA117" i="18"/>
  <c r="AA135" i="18"/>
  <c r="AA134" i="18"/>
  <c r="V92" i="18"/>
  <c r="W124" i="18"/>
  <c r="W126" i="18"/>
  <c r="W125" i="18"/>
  <c r="AB23" i="18"/>
  <c r="V107" i="18"/>
  <c r="V83" i="18"/>
  <c r="V90" i="18"/>
  <c r="AC25" i="18"/>
  <c r="AB97" i="18"/>
  <c r="V81" i="18"/>
  <c r="V89" i="18"/>
  <c r="V86" i="18"/>
  <c r="V106" i="18"/>
  <c r="V82" i="18"/>
  <c r="V87" i="18"/>
  <c r="V196" i="18" s="1"/>
  <c r="V103" i="18"/>
  <c r="V105" i="18"/>
  <c r="V77" i="18"/>
  <c r="V191" i="18" s="1"/>
  <c r="V78" i="18"/>
  <c r="V85" i="18"/>
  <c r="V93" i="18"/>
  <c r="V195" i="18" s="1"/>
  <c r="V80" i="18"/>
  <c r="AB46" i="18"/>
  <c r="X17" i="18"/>
  <c r="X142" i="18" s="1"/>
  <c r="X15" i="18"/>
  <c r="X12" i="18"/>
  <c r="X10" i="18"/>
  <c r="X18" i="18"/>
  <c r="X150" i="18" s="1"/>
  <c r="X151" i="18" s="1"/>
  <c r="X6" i="18"/>
  <c r="X7" i="18"/>
  <c r="X66" i="18"/>
  <c r="W113" i="18"/>
  <c r="W112" i="18"/>
  <c r="AB44" i="18"/>
  <c r="AA111" i="18"/>
  <c r="W68" i="18"/>
  <c r="W129" i="18" s="1"/>
  <c r="W130" i="18" s="1"/>
  <c r="W131" i="18" s="1"/>
  <c r="W132" i="18" s="1"/>
  <c r="V102" i="18"/>
  <c r="V100" i="18"/>
  <c r="V101" i="18"/>
  <c r="V99" i="18"/>
  <c r="X190" i="18"/>
  <c r="U192" i="18"/>
  <c r="U193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W209" i="18" l="1"/>
  <c r="V208" i="18"/>
  <c r="X210" i="18"/>
  <c r="W211" i="18"/>
  <c r="AB144" i="18"/>
  <c r="AC144" i="18" s="1"/>
  <c r="AB154" i="18"/>
  <c r="AC154" i="18" s="1"/>
  <c r="AB115" i="18"/>
  <c r="AC115" i="18" s="1"/>
  <c r="X118" i="18"/>
  <c r="X143" i="18"/>
  <c r="X148" i="18"/>
  <c r="X147" i="18"/>
  <c r="AE46" i="18"/>
  <c r="AB145" i="18"/>
  <c r="AC145" i="18" s="1"/>
  <c r="X114" i="18"/>
  <c r="AB137" i="18"/>
  <c r="AC137" i="18" s="1"/>
  <c r="AB139" i="18"/>
  <c r="AC139" i="18" s="1"/>
  <c r="AB138" i="18"/>
  <c r="AC138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B127" i="18"/>
  <c r="AC127" i="18" s="1"/>
  <c r="V91" i="18"/>
  <c r="V194" i="18" s="1"/>
  <c r="W90" i="18"/>
  <c r="AB117" i="18"/>
  <c r="AC117" i="18" s="1"/>
  <c r="AB135" i="18"/>
  <c r="AC135" i="18" s="1"/>
  <c r="AB134" i="18"/>
  <c r="AC134" i="18" s="1"/>
  <c r="X124" i="18"/>
  <c r="X126" i="18"/>
  <c r="X125" i="18"/>
  <c r="AE44" i="18"/>
  <c r="AE23" i="18"/>
  <c r="AC23" i="18"/>
  <c r="S180" i="18"/>
  <c r="AE97" i="18"/>
  <c r="AC97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W93" i="18"/>
  <c r="W195" i="18" s="1"/>
  <c r="W92" i="18"/>
  <c r="W87" i="18"/>
  <c r="W196" i="18" s="1"/>
  <c r="W89" i="18"/>
  <c r="W86" i="18"/>
  <c r="W106" i="18"/>
  <c r="W85" i="18"/>
  <c r="W107" i="18"/>
  <c r="W103" i="18"/>
  <c r="W105" i="18"/>
  <c r="W78" i="18"/>
  <c r="W77" i="18"/>
  <c r="W191" i="18" s="1"/>
  <c r="W81" i="18"/>
  <c r="W82" i="18"/>
  <c r="W83" i="18"/>
  <c r="W80" i="18"/>
  <c r="AC46" i="18"/>
  <c r="Y12" i="18"/>
  <c r="Y17" i="18"/>
  <c r="Y142" i="18" s="1"/>
  <c r="Y15" i="18"/>
  <c r="Y10" i="18"/>
  <c r="Y18" i="18"/>
  <c r="Y150" i="18" s="1"/>
  <c r="Y151" i="18" s="1"/>
  <c r="Y7" i="18"/>
  <c r="Y6" i="18"/>
  <c r="AC44" i="18"/>
  <c r="AB111" i="18"/>
  <c r="AC111" i="18" s="1"/>
  <c r="Y66" i="18"/>
  <c r="X113" i="18"/>
  <c r="X112" i="18"/>
  <c r="O31" i="9"/>
  <c r="O32" i="9" s="1"/>
  <c r="X68" i="18"/>
  <c r="X129" i="18" s="1"/>
  <c r="X130" i="18" s="1"/>
  <c r="X131" i="18" s="1"/>
  <c r="X132" i="18" s="1"/>
  <c r="W102" i="18"/>
  <c r="W100" i="18"/>
  <c r="W101" i="18"/>
  <c r="W99" i="18"/>
  <c r="Y190" i="18"/>
  <c r="V192" i="18"/>
  <c r="V193" i="18"/>
  <c r="P31" i="11"/>
  <c r="N32" i="11"/>
  <c r="T19" i="9"/>
  <c r="D22" i="9"/>
  <c r="Y210" i="18" l="1"/>
  <c r="X211" i="18"/>
  <c r="X209" i="18"/>
  <c r="W208" i="18"/>
  <c r="Y148" i="18"/>
  <c r="Y147" i="18"/>
  <c r="Y118" i="18"/>
  <c r="Y143" i="18"/>
  <c r="Y114" i="18"/>
  <c r="W91" i="18"/>
  <c r="W194" i="18" s="1"/>
  <c r="X83" i="18"/>
  <c r="Y124" i="18"/>
  <c r="Y125" i="18"/>
  <c r="Y126" i="18"/>
  <c r="T180" i="18"/>
  <c r="R180" i="18" s="1"/>
  <c r="X85" i="18"/>
  <c r="X92" i="18"/>
  <c r="X80" i="18"/>
  <c r="X87" i="18"/>
  <c r="X196" i="18" s="1"/>
  <c r="X82" i="18"/>
  <c r="X81" i="18"/>
  <c r="X103" i="18"/>
  <c r="X105" i="18"/>
  <c r="X78" i="18"/>
  <c r="X77" i="18"/>
  <c r="X191" i="18" s="1"/>
  <c r="X107" i="18"/>
  <c r="X86" i="18"/>
  <c r="X93" i="18"/>
  <c r="X195" i="18" s="1"/>
  <c r="X90" i="18"/>
  <c r="X89" i="18"/>
  <c r="X106" i="18"/>
  <c r="Z15" i="18"/>
  <c r="Z12" i="18"/>
  <c r="Z17" i="18"/>
  <c r="Z142" i="18" s="1"/>
  <c r="Z10" i="18"/>
  <c r="Z18" i="18"/>
  <c r="Z150" i="18" s="1"/>
  <c r="Z151" i="18" s="1"/>
  <c r="Z6" i="18"/>
  <c r="Z7" i="18"/>
  <c r="Z66" i="18"/>
  <c r="Y113" i="18"/>
  <c r="Y112" i="18"/>
  <c r="Y68" i="18"/>
  <c r="Y129" i="18" s="1"/>
  <c r="Y130" i="18" s="1"/>
  <c r="Y131" i="18" s="1"/>
  <c r="Y132" i="18" s="1"/>
  <c r="X102" i="18"/>
  <c r="X100" i="18"/>
  <c r="X101" i="18"/>
  <c r="X99" i="18"/>
  <c r="Z190" i="18"/>
  <c r="W192" i="18"/>
  <c r="W193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Y209" i="18" l="1"/>
  <c r="X208" i="18"/>
  <c r="Z210" i="18"/>
  <c r="Y211" i="18"/>
  <c r="Z118" i="18"/>
  <c r="Z143" i="18"/>
  <c r="Z147" i="18"/>
  <c r="Z148" i="18"/>
  <c r="Z114" i="18"/>
  <c r="Z124" i="18"/>
  <c r="Z125" i="18"/>
  <c r="Z126" i="18"/>
  <c r="X91" i="18"/>
  <c r="X194" i="18" s="1"/>
  <c r="Y103" i="18"/>
  <c r="Y105" i="18"/>
  <c r="Y77" i="18"/>
  <c r="Y191" i="18" s="1"/>
  <c r="Y78" i="18"/>
  <c r="Y87" i="18"/>
  <c r="Y196" i="18" s="1"/>
  <c r="Y93" i="18"/>
  <c r="Y195" i="18" s="1"/>
  <c r="Y92" i="18"/>
  <c r="Y90" i="18"/>
  <c r="Y81" i="18"/>
  <c r="Y80" i="18"/>
  <c r="Y86" i="18"/>
  <c r="Y82" i="18"/>
  <c r="Y83" i="18"/>
  <c r="Y89" i="18"/>
  <c r="Y106" i="18"/>
  <c r="Y85" i="18"/>
  <c r="Y107" i="18"/>
  <c r="AA12" i="18"/>
  <c r="AA17" i="18"/>
  <c r="AA142" i="18" s="1"/>
  <c r="AA15" i="18"/>
  <c r="AA10" i="18"/>
  <c r="AA18" i="18"/>
  <c r="AA150" i="18" s="1"/>
  <c r="AA151" i="18" s="1"/>
  <c r="AA7" i="18"/>
  <c r="AA6" i="18"/>
  <c r="AA66" i="18"/>
  <c r="Z112" i="18"/>
  <c r="Z113" i="18"/>
  <c r="Z68" i="18"/>
  <c r="Z129" i="18" s="1"/>
  <c r="Z130" i="18" s="1"/>
  <c r="Z131" i="18" s="1"/>
  <c r="Z132" i="18" s="1"/>
  <c r="Y102" i="18"/>
  <c r="Y100" i="18"/>
  <c r="Y101" i="18"/>
  <c r="Y99" i="18"/>
  <c r="AA190" i="18"/>
  <c r="X192" i="18"/>
  <c r="X193" i="18"/>
  <c r="N34" i="11"/>
  <c r="O33" i="11"/>
  <c r="D25" i="8"/>
  <c r="D23" i="8"/>
  <c r="AA210" i="18" l="1"/>
  <c r="Z211" i="18"/>
  <c r="Z209" i="18"/>
  <c r="Y208" i="18"/>
  <c r="AA114" i="18"/>
  <c r="AA147" i="18"/>
  <c r="AA148" i="18"/>
  <c r="AA118" i="18"/>
  <c r="AA143" i="18"/>
  <c r="AA124" i="18"/>
  <c r="AA125" i="18"/>
  <c r="AA126" i="18"/>
  <c r="Y91" i="18"/>
  <c r="Y194" i="18" s="1"/>
  <c r="Z103" i="18"/>
  <c r="Z105" i="18"/>
  <c r="Z78" i="18"/>
  <c r="Z77" i="18"/>
  <c r="Z191" i="18" s="1"/>
  <c r="Z81" i="18"/>
  <c r="Z92" i="18"/>
  <c r="Z82" i="18"/>
  <c r="Z87" i="18"/>
  <c r="Z196" i="18" s="1"/>
  <c r="Z90" i="18"/>
  <c r="Z89" i="18"/>
  <c r="Z107" i="18"/>
  <c r="Z93" i="18"/>
  <c r="Z195" i="18" s="1"/>
  <c r="Z80" i="18"/>
  <c r="Z86" i="18"/>
  <c r="Z106" i="18"/>
  <c r="Z85" i="18"/>
  <c r="Z83" i="18"/>
  <c r="AB17" i="18"/>
  <c r="AE17" i="18" s="1"/>
  <c r="AB15" i="18"/>
  <c r="AE15" i="18" s="1"/>
  <c r="AB12" i="18"/>
  <c r="AB143" i="18" s="1"/>
  <c r="AC143" i="18" s="1"/>
  <c r="AB10" i="18"/>
  <c r="AB18" i="18"/>
  <c r="AB6" i="18"/>
  <c r="AE6" i="18" s="1"/>
  <c r="AB7" i="18"/>
  <c r="AE7" i="18" s="1"/>
  <c r="AB66" i="18"/>
  <c r="AA113" i="18"/>
  <c r="AA112" i="18"/>
  <c r="AA68" i="18"/>
  <c r="AA129" i="18" s="1"/>
  <c r="AA130" i="18" s="1"/>
  <c r="AA131" i="18" s="1"/>
  <c r="AA132" i="18" s="1"/>
  <c r="Z102" i="18"/>
  <c r="Z100" i="18"/>
  <c r="Z101" i="18"/>
  <c r="Z99" i="18"/>
  <c r="AB190" i="18"/>
  <c r="Y192" i="18"/>
  <c r="Y193" i="18"/>
  <c r="N35" i="11"/>
  <c r="O34" i="11"/>
  <c r="D35" i="8"/>
  <c r="E5" i="8"/>
  <c r="E18" i="8" s="1"/>
  <c r="D18" i="8"/>
  <c r="D19" i="8"/>
  <c r="D21" i="8"/>
  <c r="D20" i="8"/>
  <c r="AA209" i="18" l="1"/>
  <c r="Z208" i="18"/>
  <c r="AB210" i="18"/>
  <c r="AA211" i="18"/>
  <c r="AE18" i="18"/>
  <c r="AB150" i="18"/>
  <c r="AB148" i="18"/>
  <c r="AC148" i="18" s="1"/>
  <c r="AB147" i="18"/>
  <c r="AC147" i="18" s="1"/>
  <c r="AB142" i="18"/>
  <c r="AC142" i="18" s="1"/>
  <c r="AB114" i="18"/>
  <c r="AC114" i="18" s="1"/>
  <c r="AE10" i="18"/>
  <c r="AB124" i="18"/>
  <c r="AC124" i="18" s="1"/>
  <c r="AE12" i="18"/>
  <c r="AB118" i="18"/>
  <c r="AC118" i="18" s="1"/>
  <c r="AE66" i="18"/>
  <c r="AB125" i="18"/>
  <c r="AC125" i="18" s="1"/>
  <c r="AB126" i="18"/>
  <c r="AC126" i="18" s="1"/>
  <c r="Z91" i="18"/>
  <c r="Z194" i="18" s="1"/>
  <c r="AA103" i="18"/>
  <c r="AA105" i="18"/>
  <c r="AA77" i="18"/>
  <c r="AA191" i="18" s="1"/>
  <c r="AA78" i="18"/>
  <c r="AA85" i="18"/>
  <c r="AA93" i="18"/>
  <c r="AA195" i="18" s="1"/>
  <c r="AA80" i="18"/>
  <c r="AA87" i="18"/>
  <c r="AA196" i="18" s="1"/>
  <c r="AA90" i="18"/>
  <c r="AA106" i="18"/>
  <c r="AA81" i="18"/>
  <c r="AA82" i="18"/>
  <c r="AA83" i="18"/>
  <c r="AA86" i="18"/>
  <c r="AA107" i="18"/>
  <c r="AA89" i="18"/>
  <c r="AA92" i="18"/>
  <c r="AC17" i="18"/>
  <c r="AC15" i="18"/>
  <c r="S174" i="18"/>
  <c r="AC12" i="18"/>
  <c r="AC10" i="18"/>
  <c r="AC18" i="18"/>
  <c r="AC7" i="18"/>
  <c r="AC6" i="18"/>
  <c r="AB113" i="18"/>
  <c r="AC113" i="18" s="1"/>
  <c r="AB112" i="18"/>
  <c r="AC112" i="18" s="1"/>
  <c r="AC66" i="18"/>
  <c r="AB68" i="18"/>
  <c r="AB129" i="18" s="1"/>
  <c r="AB130" i="18" s="1"/>
  <c r="AB131" i="18" s="1"/>
  <c r="AB132" i="18" s="1"/>
  <c r="AA102" i="18"/>
  <c r="AA100" i="18"/>
  <c r="AA101" i="18"/>
  <c r="AA99" i="18"/>
  <c r="AC190" i="18"/>
  <c r="AE190" i="18" s="1"/>
  <c r="Z192" i="18"/>
  <c r="Z193" i="18"/>
  <c r="N36" i="11"/>
  <c r="O35" i="11"/>
  <c r="F5" i="8"/>
  <c r="G5" i="8" s="1"/>
  <c r="H5" i="8" s="1"/>
  <c r="I5" i="8" s="1"/>
  <c r="AC210" i="18" l="1"/>
  <c r="AB211" i="18"/>
  <c r="AB209" i="18"/>
  <c r="AA208" i="18"/>
  <c r="AB151" i="18"/>
  <c r="AC151" i="18" s="1"/>
  <c r="AC150" i="18"/>
  <c r="AE68" i="18"/>
  <c r="T174" i="18"/>
  <c r="T175" i="18" s="1"/>
  <c r="AA91" i="18"/>
  <c r="AA194" i="18" s="1"/>
  <c r="AB103" i="18"/>
  <c r="AB105" i="18"/>
  <c r="AE105" i="18" s="1"/>
  <c r="AB77" i="18"/>
  <c r="AB78" i="18"/>
  <c r="AB85" i="18"/>
  <c r="AB90" i="18"/>
  <c r="AB80" i="18"/>
  <c r="AE80" i="18" s="1"/>
  <c r="AB87" i="18"/>
  <c r="AB83" i="18"/>
  <c r="AB106" i="18"/>
  <c r="AB82" i="18"/>
  <c r="AE82" i="18" s="1"/>
  <c r="AB81" i="18"/>
  <c r="AB92" i="18"/>
  <c r="AB107" i="18"/>
  <c r="AB86" i="18"/>
  <c r="AB93" i="18"/>
  <c r="AB89" i="18"/>
  <c r="S175" i="18"/>
  <c r="AB102" i="18"/>
  <c r="AB100" i="18"/>
  <c r="AC68" i="18"/>
  <c r="AB101" i="18"/>
  <c r="AB99" i="18"/>
  <c r="AA192" i="18"/>
  <c r="AA193" i="18"/>
  <c r="N37" i="11"/>
  <c r="O36" i="11"/>
  <c r="F18" i="8"/>
  <c r="G18" i="8"/>
  <c r="AC209" i="18" l="1"/>
  <c r="AB208" i="18"/>
  <c r="AD210" i="18"/>
  <c r="AC211" i="18"/>
  <c r="AB191" i="18"/>
  <c r="AC191" i="18" s="1"/>
  <c r="AE191" i="18" s="1"/>
  <c r="AE77" i="18"/>
  <c r="AC129" i="18"/>
  <c r="R174" i="18"/>
  <c r="R175" i="18"/>
  <c r="AC106" i="18"/>
  <c r="AE106" i="18"/>
  <c r="AC78" i="18"/>
  <c r="AE78" i="18"/>
  <c r="S171" i="18"/>
  <c r="AE92" i="18"/>
  <c r="AB195" i="18"/>
  <c r="AC195" i="18" s="1"/>
  <c r="AE195" i="18" s="1"/>
  <c r="AE93" i="18"/>
  <c r="AC77" i="18"/>
  <c r="AC90" i="18"/>
  <c r="AE90" i="18"/>
  <c r="S165" i="18"/>
  <c r="AE89" i="18"/>
  <c r="S164" i="18"/>
  <c r="AE83" i="18"/>
  <c r="AB196" i="18"/>
  <c r="AC196" i="18" s="1"/>
  <c r="AE196" i="18" s="1"/>
  <c r="AE87" i="18"/>
  <c r="AC86" i="18"/>
  <c r="AE86" i="18"/>
  <c r="S162" i="18"/>
  <c r="AE81" i="18"/>
  <c r="S167" i="18"/>
  <c r="AE85" i="18"/>
  <c r="AC107" i="18"/>
  <c r="AE107" i="18"/>
  <c r="S187" i="18"/>
  <c r="AE103" i="18"/>
  <c r="S185" i="18"/>
  <c r="AE102" i="18"/>
  <c r="S184" i="18"/>
  <c r="AE101" i="18"/>
  <c r="S182" i="18"/>
  <c r="AE99" i="18"/>
  <c r="S183" i="18"/>
  <c r="AE100" i="18"/>
  <c r="AC92" i="18"/>
  <c r="S168" i="18"/>
  <c r="AC81" i="18"/>
  <c r="AC83" i="18"/>
  <c r="T164" i="18" s="1"/>
  <c r="AC85" i="18"/>
  <c r="S169" i="18"/>
  <c r="AC103" i="18"/>
  <c r="AC89" i="18"/>
  <c r="S172" i="18"/>
  <c r="AB91" i="18"/>
  <c r="AC87" i="18"/>
  <c r="AC93" i="18"/>
  <c r="AC105" i="18"/>
  <c r="AC101" i="18"/>
  <c r="AC100" i="18"/>
  <c r="AC99" i="18"/>
  <c r="AC102" i="18"/>
  <c r="S161" i="18"/>
  <c r="AC80" i="18"/>
  <c r="T161" i="18" s="1"/>
  <c r="AB192" i="18"/>
  <c r="AC82" i="18"/>
  <c r="T163" i="18" s="1"/>
  <c r="AB193" i="18"/>
  <c r="S163" i="18"/>
  <c r="N38" i="11"/>
  <c r="O37" i="11"/>
  <c r="H18" i="8"/>
  <c r="AE210" i="18" l="1"/>
  <c r="AD211" i="18"/>
  <c r="AD209" i="18"/>
  <c r="AC208" i="18"/>
  <c r="P205" i="18"/>
  <c r="M205" i="18"/>
  <c r="AC130" i="18"/>
  <c r="T172" i="18"/>
  <c r="R172" i="18" s="1"/>
  <c r="T162" i="18"/>
  <c r="R162" i="18" s="1"/>
  <c r="T171" i="18"/>
  <c r="R171" i="18" s="1"/>
  <c r="T167" i="18"/>
  <c r="R167" i="18" s="1"/>
  <c r="T169" i="18"/>
  <c r="R169" i="18" s="1"/>
  <c r="T187" i="18"/>
  <c r="R187" i="18" s="1"/>
  <c r="T184" i="18"/>
  <c r="R184" i="18" s="1"/>
  <c r="AC91" i="18"/>
  <c r="AE91" i="18"/>
  <c r="T165" i="18"/>
  <c r="R165" i="18" s="1"/>
  <c r="R164" i="18"/>
  <c r="T168" i="18"/>
  <c r="R168" i="18" s="1"/>
  <c r="T182" i="18"/>
  <c r="R182" i="18" s="1"/>
  <c r="AB194" i="18"/>
  <c r="AC194" i="18" s="1"/>
  <c r="AE194" i="18" s="1"/>
  <c r="T185" i="18"/>
  <c r="R185" i="18" s="1"/>
  <c r="T183" i="18"/>
  <c r="R183" i="18" s="1"/>
  <c r="R161" i="18"/>
  <c r="P206" i="18" s="1"/>
  <c r="P207" i="18" s="1"/>
  <c r="AC193" i="18"/>
  <c r="AE193" i="18" s="1"/>
  <c r="AC192" i="18"/>
  <c r="AE192" i="18" s="1"/>
  <c r="R163" i="18"/>
  <c r="N39" i="11"/>
  <c r="O38" i="11"/>
  <c r="I18" i="8"/>
  <c r="AE209" i="18" l="1"/>
  <c r="AD208" i="18"/>
  <c r="AF210" i="18"/>
  <c r="AE211" i="18"/>
  <c r="P204" i="18"/>
  <c r="M204" i="18"/>
  <c r="P203" i="18"/>
  <c r="M203" i="18"/>
  <c r="AC132" i="18"/>
  <c r="AC131" i="18"/>
  <c r="N40" i="11"/>
  <c r="O39" i="11"/>
  <c r="AG210" i="18" l="1"/>
  <c r="AF211" i="18"/>
  <c r="AF209" i="18"/>
  <c r="AE208" i="18"/>
  <c r="N41" i="11"/>
  <c r="O40" i="11"/>
  <c r="AF208" i="18" l="1"/>
  <c r="AG209" i="18"/>
  <c r="AH210" i="18"/>
  <c r="AG211" i="18"/>
  <c r="N42" i="11"/>
  <c r="O41" i="11"/>
  <c r="AG208" i="18" l="1"/>
  <c r="AH209" i="18"/>
  <c r="AH211" i="18"/>
  <c r="AI210" i="18"/>
  <c r="AJ210" i="18" l="1"/>
  <c r="AI211" i="18"/>
  <c r="AI209" i="18"/>
  <c r="AH208" i="18"/>
  <c r="AJ209" i="18" l="1"/>
  <c r="AI208" i="18"/>
  <c r="AJ211" i="18"/>
  <c r="AK210" i="18"/>
  <c r="AL210" i="18" l="1"/>
  <c r="AK211" i="18"/>
  <c r="AK209" i="18"/>
  <c r="AJ208" i="18"/>
  <c r="AK208" i="18" l="1"/>
  <c r="AL209" i="18"/>
  <c r="AM210" i="18"/>
  <c r="AL211" i="18"/>
  <c r="AN210" i="18" l="1"/>
  <c r="AM211" i="18"/>
  <c r="AL208" i="18"/>
  <c r="AM209" i="18"/>
  <c r="AN209" i="18" l="1"/>
  <c r="AM208" i="18"/>
  <c r="AN211" i="18"/>
  <c r="AO210" i="18"/>
  <c r="AP210" i="18" l="1"/>
  <c r="AO211" i="18"/>
  <c r="AN208" i="18"/>
  <c r="AO209" i="18"/>
  <c r="AO208" i="18" l="1"/>
  <c r="AP209" i="18"/>
  <c r="AP211" i="18"/>
  <c r="AQ210" i="18"/>
  <c r="AQ209" i="18" l="1"/>
  <c r="AP208" i="18"/>
  <c r="AR210" i="18"/>
  <c r="AQ211" i="18"/>
  <c r="AR211" i="18" l="1"/>
  <c r="AS210" i="18"/>
  <c r="AR209" i="18"/>
  <c r="AQ208" i="18"/>
  <c r="AS209" i="18" l="1"/>
  <c r="AR208" i="18"/>
  <c r="AT210" i="18"/>
  <c r="AS211" i="18"/>
  <c r="AT211" i="18" l="1"/>
  <c r="AU210" i="18"/>
  <c r="AS208" i="18"/>
  <c r="AT209" i="18"/>
  <c r="AU209" i="18" l="1"/>
  <c r="AT208" i="18"/>
  <c r="AV210" i="18"/>
  <c r="AV211" i="18" s="1"/>
  <c r="AU211" i="18"/>
  <c r="AV209" i="18" l="1"/>
  <c r="AV208" i="18" s="1"/>
  <c r="AU208" i="18"/>
</calcChain>
</file>

<file path=xl/comments1.xml><?xml version="1.0" encoding="utf-8"?>
<comments xmlns="http://schemas.openxmlformats.org/spreadsheetml/2006/main">
  <authors>
    <author>Author</author>
  </authors>
  <commentList>
    <comment ref="B15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</commentList>
</comments>
</file>

<file path=xl/sharedStrings.xml><?xml version="1.0" encoding="utf-8"?>
<sst xmlns="http://schemas.openxmlformats.org/spreadsheetml/2006/main" count="630" uniqueCount="441">
  <si>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</si>
  <si>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</si>
  <si>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</si>
  <si>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</si>
  <si>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</si>
  <si>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</si>
  <si>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</si>
  <si>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</si>
  <si>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</si>
  <si>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</si>
  <si>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</si>
  <si>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</si>
  <si>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</si>
  <si>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</si>
  <si>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</si>
  <si>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</si>
  <si>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</si>
  <si>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</si>
  <si>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</si>
  <si>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</si>
  <si>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</si>
  <si>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</si>
  <si>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</si>
  <si>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</si>
  <si>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</si>
  <si>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</si>
  <si>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</si>
  <si>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</si>
  <si>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</si>
  <si>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</si>
  <si>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</si>
  <si>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</si>
  <si>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</si>
  <si>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</si>
  <si>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</si>
  <si>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</si>
  <si>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</si>
  <si>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</si>
  <si>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</si>
  <si>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</si>
  <si>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</si>
  <si>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</si>
  <si>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</si>
  <si>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</si>
  <si>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</si>
  <si>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</si>
  <si>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</si>
  <si>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</si>
  <si>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</si>
  <si>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</si>
  <si>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</si>
  <si>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</si>
  <si>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</si>
  <si>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</si>
  <si>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</si>
  <si>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</si>
  <si>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</si>
  <si>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</si>
  <si>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</si>
  <si>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</si>
  <si>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</si>
  <si>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</si>
  <si>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</si>
  <si>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</si>
  <si>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</si>
  <si>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</si>
  <si>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</si>
  <si>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</si>
  <si>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</si>
  <si>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</si>
  <si>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</si>
  <si>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</si>
  <si>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</si>
  <si>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</si>
  <si>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</si>
  <si>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</si>
  <si>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</si>
  <si>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</si>
  <si>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</si>
  <si>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</si>
  <si>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</si>
  <si>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</si>
  <si>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</si>
  <si>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</si>
  <si>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</si>
  <si>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</si>
  <si>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</si>
  <si>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</si>
  <si>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</si>
  <si>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</si>
  <si>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</si>
  <si>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</si>
  <si>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</si>
  <si>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</si>
  <si>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</si>
  <si>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</si>
  <si>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</si>
  <si>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</si>
  <si>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</si>
  <si>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</si>
  <si>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</si>
  <si>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</si>
  <si>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</si>
  <si>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</si>
  <si>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</si>
  <si>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</si>
  <si>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</si>
  <si>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</si>
  <si>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</si>
  <si>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</si>
  <si>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</si>
  <si>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</si>
  <si>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</si>
  <si>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</si>
  <si>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</si>
  <si>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</si>
  <si>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</si>
  <si>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</si>
  <si>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</si>
  <si>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</si>
  <si>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</si>
  <si>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</si>
  <si>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</si>
  <si>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</si>
  <si>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</si>
  <si>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</si>
  <si>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</si>
  <si>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</si>
  <si>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</si>
  <si>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</si>
  <si>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</si>
  <si>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</si>
  <si>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</si>
  <si>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</si>
  <si>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</si>
  <si>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</si>
  <si>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</si>
  <si>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</si>
  <si>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</si>
  <si>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</si>
  <si>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</si>
  <si>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</si>
  <si>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</si>
  <si>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</si>
  <si>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</si>
  <si>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</si>
  <si>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</si>
  <si>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</si>
  <si>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</si>
  <si>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</si>
  <si>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</si>
  <si>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</si>
  <si>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</si>
  <si>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</si>
  <si>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</si>
  <si>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</si>
  <si>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</si>
  <si>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</si>
  <si>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</si>
  <si>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</si>
  <si>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</si>
  <si>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</si>
  <si>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</si>
  <si>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</si>
  <si>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</si>
  <si>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</si>
  <si>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</si>
  <si>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</si>
  <si>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</si>
  <si>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</si>
  <si>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</si>
  <si>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</si>
  <si>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</si>
  <si>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</si>
  <si>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</si>
  <si>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</si>
  <si>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</si>
  <si>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</si>
  <si>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</si>
  <si>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</si>
  <si>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</si>
  <si>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</si>
  <si>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</si>
  <si>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</si>
  <si>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</si>
  <si>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</si>
  <si>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</si>
  <si>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</si>
  <si>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</si>
  <si>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</si>
  <si>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</si>
  <si>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</si>
  <si>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</si>
  <si>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</si>
  <si>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</si>
  <si>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</si>
  <si>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</si>
  <si>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</si>
  <si>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</si>
  <si>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</si>
  <si>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</si>
  <si>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</si>
  <si>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</si>
  <si>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</si>
  <si>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</si>
  <si>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</si>
  <si>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</si>
  <si>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</si>
  <si>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</si>
  <si>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</si>
  <si>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</si>
  <si>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</si>
  <si>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</si>
  <si>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</si>
  <si>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</si>
  <si>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</si>
  <si>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</si>
  <si>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</si>
  <si>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</si>
  <si>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</si>
  <si>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</si>
  <si>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</si>
  <si>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</si>
  <si>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</si>
  <si>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</si>
  <si>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</si>
  <si>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</si>
  <si>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</si>
  <si>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</si>
  <si>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</si>
  <si>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</si>
  <si>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</si>
  <si>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</si>
  <si>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</si>
  <si>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</si>
  <si>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</si>
  <si>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</si>
  <si>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</si>
  <si>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</si>
  <si>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</si>
  <si>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</si>
  <si>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</si>
  <si>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</si>
  <si>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</si>
  <si>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</si>
  <si>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</si>
  <si>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</si>
  <si>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</si>
  <si>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</si>
  <si>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</si>
  <si>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</si>
  <si>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</si>
  <si>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</si>
  <si>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</si>
  <si>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</si>
  <si>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</si>
  <si>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</si>
  <si>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Net Earnings (Net Profit)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</si>
  <si>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</si>
  <si>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</si>
  <si>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</si>
  <si>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</si>
  <si>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</si>
  <si>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</si>
  <si>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</si>
  <si>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</si>
  <si>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</si>
  <si>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</si>
  <si>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</si>
  <si>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</si>
  <si>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</si>
  <si>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</si>
  <si>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</si>
  <si>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</si>
  <si>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</si>
  <si>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</si>
  <si>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</si>
  <si>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</si>
  <si>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</si>
  <si>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</si>
  <si>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</si>
  <si>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</si>
  <si>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</si>
  <si>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</si>
  <si>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</si>
  <si>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</si>
  <si>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</si>
  <si>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</si>
  <si>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</si>
  <si>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</si>
  <si>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</si>
  <si>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</si>
  <si>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</si>
  <si>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</si>
  <si>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</si>
  <si>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</si>
  <si>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</si>
  <si>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</si>
  <si>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</si>
  <si>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</si>
  <si>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</si>
  <si>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</si>
  <si>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</si>
  <si>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</si>
  <si>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</si>
  <si>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</si>
  <si>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</si>
  <si>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</si>
  <si>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</si>
  <si>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</si>
  <si>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</si>
  <si>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</si>
  <si>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</si>
  <si>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</si>
  <si>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</si>
  <si>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</si>
  <si>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</si>
  <si>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</si>
  <si>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</si>
  <si>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</si>
  <si>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</si>
  <si>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</si>
  <si>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</si>
  <si>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</si>
  <si>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</si>
  <si>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</si>
  <si>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</si>
  <si>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</si>
  <si>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</si>
  <si>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</si>
  <si>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</si>
  <si>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</si>
  <si>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</si>
  <si>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</si>
  <si>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</si>
  <si>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</si>
  <si>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</si>
  <si>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</si>
  <si>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</si>
  <si>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</si>
  <si>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</si>
  <si>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</si>
  <si>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</si>
  <si>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</si>
  <si>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</si>
  <si>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</si>
  <si>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</si>
  <si>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</si>
  <si>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</si>
  <si>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</si>
  <si>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</si>
  <si>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</si>
  <si>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</si>
  <si>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</si>
  <si>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</si>
  <si>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</si>
  <si>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</si>
  <si>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</si>
  <si>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</si>
  <si>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</si>
  <si>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</si>
  <si>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</si>
  <si>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Cash &amp; Balance with RBI</t>
  </si>
  <si>
    <t>Balance with Banks. Money at call</t>
  </si>
  <si>
    <t>Contingent Liabilities</t>
  </si>
  <si>
    <t>Bills for Collection</t>
  </si>
  <si>
    <t>Gross Deposits</t>
  </si>
  <si>
    <t>Borrowings</t>
  </si>
  <si>
    <t>Other Liabilities &amp; Provisions</t>
  </si>
  <si>
    <t>Gross Advances</t>
  </si>
  <si>
    <t>Other Income</t>
  </si>
  <si>
    <t>Time deposists/FD or any other form</t>
  </si>
  <si>
    <t>Demand Deposits / Current Accounts</t>
  </si>
  <si>
    <t>Savings Deposits / Saving Accounts</t>
  </si>
  <si>
    <t>CASA Deposits</t>
  </si>
  <si>
    <t>Retail %</t>
  </si>
  <si>
    <t>Commercial %</t>
  </si>
  <si>
    <t>Corporate %</t>
  </si>
  <si>
    <t>Agri %</t>
  </si>
  <si>
    <t>Employee Base</t>
  </si>
  <si>
    <t>Peak</t>
  </si>
  <si>
    <t>Earnings yield/ratio (to compare with other investment options)</t>
  </si>
  <si>
    <t>Other Ratio's</t>
  </si>
  <si>
    <t>Cuurent Ratio (CA/CL) - preferred &gt;=1.25-1.33</t>
  </si>
  <si>
    <t>Debt to Equity Ratio &lt; 1/1 (For heaving ind &lt; 4/1)</t>
  </si>
  <si>
    <t>Avg Working Capital (CA-CL) i.e. Net Current Assets</t>
  </si>
  <si>
    <t>Days Working Capital (W.C*365/Sales)</t>
  </si>
  <si>
    <t>Interest Coverage ratio - EBITDA/Interest &gt; 1.5 to 2</t>
  </si>
  <si>
    <t>Other Income/Revenue</t>
  </si>
  <si>
    <t>Net Interest Margin</t>
  </si>
  <si>
    <t>Inventories</t>
  </si>
  <si>
    <t>Profit Before Tax (PBT)</t>
  </si>
  <si>
    <t>Avg growth rate</t>
  </si>
  <si>
    <t>Cash Profit Margin (Net cash from ops/Rev), higher better</t>
  </si>
  <si>
    <t>Price/Sales per share</t>
  </si>
  <si>
    <t>Current</t>
  </si>
  <si>
    <t>xxxx</t>
  </si>
  <si>
    <t>Preferred</t>
  </si>
  <si>
    <t>Payback Period -in years  with Avg EPS i.e. P/EPSavg</t>
  </si>
  <si>
    <t>Payback Period - with Last EPS i.e. P/EPSlast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</si>
  <si>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</si>
  <si>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</si>
  <si>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</si>
  <si>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</si>
  <si>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</si>
  <si>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</si>
  <si>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</si>
  <si>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</si>
  <si>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</si>
  <si>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B-3</t>
  </si>
  <si>
    <t>S-1</t>
  </si>
  <si>
    <t>Result Quantity</t>
  </si>
  <si>
    <t>Overall gains</t>
  </si>
  <si>
    <t>Total Gain</t>
  </si>
  <si>
    <t>Multiplication - x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</si>
  <si>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</si>
  <si>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</si>
  <si>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</si>
  <si>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</si>
  <si>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</si>
  <si>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</si>
  <si>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</si>
  <si>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</si>
  <si>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</si>
  <si>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</si>
  <si>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</si>
  <si>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</si>
  <si>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</si>
  <si>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</si>
  <si>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</si>
  <si>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</si>
  <si>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</si>
  <si>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</si>
  <si>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</si>
  <si>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</si>
  <si>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Stock Split</t>
  </si>
  <si>
    <t>Bonus Issue</t>
  </si>
  <si>
    <t>Rights issue</t>
  </si>
  <si>
    <t>1x1</t>
  </si>
  <si>
    <t>3x2</t>
  </si>
  <si>
    <t>10x5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</si>
</sst>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sz val="10"/>
      <color theme="9" tint="-0.499984740745262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41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9" fontId="10" fillId="5" borderId="1" xfId="1" applyFont="1" applyFill="1" applyBorder="1"/>
    <xf numFmtId="0" fontId="11" fillId="5" borderId="1" xfId="0" applyFont="1" applyFill="1" applyBorder="1"/>
    <xf numFmtId="175" fontId="11" fillId="5" borderId="1" xfId="2" applyNumberFormat="1" applyFont="1" applyFill="1" applyBorder="1"/>
    <xf numFmtId="9" fontId="10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2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74" fontId="8" fillId="5" borderId="1" xfId="2" applyNumberFormat="1" applyFont="1" applyFill="1" applyBorder="1"/>
    <xf numFmtId="0" fontId="8" fillId="5" borderId="1" xfId="2" applyNumberFormat="1" applyFont="1" applyFill="1" applyBorder="1"/>
    <xf numFmtId="2" fontId="8" fillId="5" borderId="1" xfId="2" applyNumberFormat="1" applyFont="1" applyFill="1" applyBorder="1"/>
    <xf numFmtId="172" fontId="8" fillId="5" borderId="1" xfId="2" applyNumberFormat="1" applyFont="1" applyFill="1" applyBorder="1"/>
    <xf numFmtId="0" fontId="0" fillId="0" borderId="0" xfId="0"/>
    <xf numFmtId="0" fontId="4" fillId="5" borderId="1" xfId="0" applyFont="1" applyFill="1" applyBorder="1"/>
    <xf numFmtId="0" fontId="4" fillId="5" borderId="0" xfId="0" applyFont="1" applyFill="1"/>
    <xf numFmtId="9" fontId="4" fillId="6" borderId="0" xfId="0" applyNumberFormat="1" applyFont="1" applyFill="1"/>
    <xf numFmtId="0" fontId="4" fillId="5" borderId="1" xfId="0" applyFont="1" applyFill="1" applyBorder="1"/>
    <xf numFmtId="0" fontId="4" fillId="5" borderId="0" xfId="0" applyFont="1" applyFill="1"/>
    <xf numFmtId="10" fontId="4" fillId="11" borderId="1" xfId="1" applyNumberFormat="1" applyFont="1" applyFill="1" applyBorder="1"/>
    <xf numFmtId="10" fontId="4" fillId="11" borderId="4" xfId="1" applyNumberFormat="1" applyFont="1" applyFill="1" applyBorder="1"/>
    <xf numFmtId="175" fontId="4" fillId="5" borderId="1" xfId="2" applyNumberFormat="1" applyFont="1" applyFill="1" applyBorder="1"/>
    <xf numFmtId="9" fontId="4" fillId="5" borderId="1" xfId="1" applyFont="1" applyFill="1" applyBorder="1"/>
    <xf numFmtId="9" fontId="4" fillId="5" borderId="1" xfId="1" applyNumberFormat="1" applyFont="1" applyFill="1" applyBorder="1"/>
    <xf numFmtId="0" fontId="4" fillId="5" borderId="1" xfId="0" applyFont="1" applyFill="1" applyBorder="1"/>
    <xf numFmtId="0" fontId="4" fillId="5" borderId="1" xfId="0" applyFont="1" applyFill="1" applyBorder="1"/>
    <xf numFmtId="0" fontId="5" fillId="5" borderId="1" xfId="0" applyFont="1" applyFill="1" applyBorder="1"/>
    <xf numFmtId="2" fontId="4" fillId="5" borderId="1" xfId="0" applyNumberFormat="1" applyFont="1" applyFill="1" applyBorder="1"/>
    <xf numFmtId="0" fontId="4" fillId="5" borderId="0" xfId="0" applyFont="1" applyFill="1"/>
    <xf numFmtId="16" fontId="5" fillId="5" borderId="1" xfId="0" applyNumberFormat="1" applyFont="1" applyFill="1" applyBorder="1"/>
    <xf numFmtId="0" fontId="4" fillId="5" borderId="1" xfId="0" applyFont="1" applyFill="1" applyBorder="1"/>
    <xf numFmtId="9" fontId="4" fillId="6" borderId="1" xfId="0" applyNumberFormat="1" applyFont="1" applyFill="1" applyBorder="1" applyAlignment="1">
      <alignment horizontal="center"/>
    </xf>
    <xf numFmtId="0" fontId="0" fillId="0" borderId="0" xfId="0"/>
    <xf numFmtId="10" fontId="5" fillId="5" borderId="1" xfId="1" applyNumberFormat="1" applyFont="1" applyFill="1" applyBorder="1"/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164" fontId="4" fillId="5" borderId="1" xfId="2" applyNumberFormat="1" applyFont="1" applyFill="1" applyBorder="1"/>
    <xf numFmtId="0" fontId="4" fillId="5" borderId="4" xfId="0" applyFont="1" applyFill="1" applyBorder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0" fontId="4" fillId="5" borderId="1" xfId="0" applyFont="1" applyFill="1" applyBorder="1"/>
    <xf numFmtId="40" fontId="4" fillId="5" borderId="1" xfId="0" applyNumberFormat="1" applyFont="1" applyFill="1" applyBorder="1"/>
    <xf numFmtId="0" fontId="4" fillId="0" borderId="1" xfId="0" applyFont="1" applyBorder="1"/>
    <xf numFmtId="164" fontId="4" fillId="0" borderId="1" xfId="0" applyNumberFormat="1" applyFont="1" applyBorder="1"/>
    <xf numFmtId="0" fontId="4" fillId="5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40" fontId="4" fillId="5" borderId="1" xfId="0" applyNumberFormat="1" applyFont="1" applyFill="1" applyBorder="1"/>
    <xf numFmtId="1" fontId="5" fillId="5" borderId="1" xfId="0" applyNumberFormat="1" applyFont="1" applyFill="1" applyBorder="1"/>
    <xf numFmtId="9" fontId="5" fillId="5" borderId="1" xfId="1" applyFont="1" applyFill="1" applyBorder="1"/>
    <xf numFmtId="0" fontId="15" fillId="2" borderId="4" xfId="0" applyFont="1" applyFill="1" applyBorder="1" applyAlignment="1">
      <alignment horizontal="center"/>
    </xf>
    <xf numFmtId="0" fontId="15" fillId="2" borderId="5" xfId="0" applyFont="1" applyFill="1" applyBorder="1" applyAlignment="1">
      <alignment horizontal="center"/>
    </xf>
    <xf numFmtId="0" fontId="15" fillId="2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169728"/>
        <c:axId val="50171264"/>
      </c:lineChart>
      <c:catAx>
        <c:axId val="50169728"/>
        <c:scaling>
          <c:orientation val="minMax"/>
        </c:scaling>
        <c:delete val="0"/>
        <c:axPos val="b"/>
        <c:majorTickMark val="out"/>
        <c:minorTickMark val="none"/>
        <c:tickLblPos val="nextTo"/>
        <c:crossAx val="50171264"/>
        <c:crosses val="autoZero"/>
        <c:auto val="1"/>
        <c:lblAlgn val="ctr"/>
        <c:lblOffset val="100"/>
        <c:noMultiLvlLbl val="0"/>
      </c:catAx>
      <c:valAx>
        <c:axId val="501712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169728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4" t="s">
        <v>280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29">
        <v>14</v>
      </c>
      <c r="D7" s="20"/>
      <c r="E7" s="20"/>
      <c r="F7" s="20"/>
      <c r="G7" s="20"/>
    </row>
    <row r="8" spans="2:7" x14ac:dyDescent="0.2">
      <c r="B8" s="20" t="s">
        <v>25</v>
      </c>
      <c r="C8" s="129">
        <v>5</v>
      </c>
      <c r="D8" s="20"/>
      <c r="E8" s="20"/>
      <c r="F8" s="20"/>
      <c r="G8" s="20"/>
    </row>
    <row r="9" spans="2:7" x14ac:dyDescent="0.2">
      <c r="B9" s="20" t="s">
        <v>320</v>
      </c>
      <c r="C9" s="152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269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29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29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29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269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29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269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29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29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29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0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1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1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1"/>
      <c r="D32" s="20"/>
      <c r="E32" s="20"/>
      <c r="F32" s="20"/>
      <c r="G32" s="20"/>
    </row>
    <row r="33" spans="2:7" x14ac:dyDescent="0.2">
      <c r="B33" s="20" t="s">
        <v>268</v>
      </c>
      <c r="C33" s="131">
        <v>3.44E-2</v>
      </c>
      <c r="D33" s="20"/>
      <c r="E33" s="20"/>
      <c r="F33" s="20"/>
      <c r="G33" s="20"/>
    </row>
    <row r="34" spans="2:7" x14ac:dyDescent="0.2">
      <c r="B34" s="20" t="s">
        <v>267</v>
      </c>
      <c r="C34" s="131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29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29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29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29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29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29">
        <v>281.95</v>
      </c>
      <c r="D44" s="20"/>
      <c r="E44" s="20"/>
      <c r="F44" s="20"/>
      <c r="G44" s="20"/>
    </row>
    <row r="45" spans="2:7" x14ac:dyDescent="0.2">
      <c r="B45" s="20" t="s">
        <v>263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29">
        <v>171.6</v>
      </c>
      <c r="D48" s="20"/>
      <c r="E48" s="20"/>
      <c r="F48" s="20"/>
      <c r="G48" s="20"/>
    </row>
    <row r="49" spans="2:7" x14ac:dyDescent="0.2">
      <c r="B49" s="20" t="s">
        <v>264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29">
        <v>110.33</v>
      </c>
      <c r="D52" s="20"/>
      <c r="E52" s="20"/>
      <c r="F52" s="20"/>
      <c r="G52" s="20"/>
    </row>
    <row r="53" spans="2:7" x14ac:dyDescent="0.2">
      <c r="B53" s="20" t="s">
        <v>265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29">
        <v>1320.99</v>
      </c>
      <c r="D56" s="20"/>
      <c r="E56" s="20"/>
      <c r="F56" s="20"/>
      <c r="G56" s="20"/>
    </row>
    <row r="57" spans="2:7" x14ac:dyDescent="0.2">
      <c r="B57" s="20" t="s">
        <v>266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V240"/>
  <sheetViews>
    <sheetView tabSelected="1" zoomScale="80" zoomScaleNormal="80" workbookViewId="0">
      <pane xSplit="2" ySplit="3" topLeftCell="C51" activePane="bottomRight" state="frozen"/>
      <selection pane="topRight" activeCell="C1" sqref="C1"/>
      <selection pane="bottomLeft" activeCell="A5" sqref="A5"/>
      <selection pane="bottomRight" activeCell="C75" sqref="C75"/>
    </sheetView>
  </sheetViews>
  <sheetFormatPr defaultRowHeight="12.75" x14ac:dyDescent="0.2"/>
  <cols>
    <col min="1" max="1" width="4.7109375" style="104" customWidth="1"/>
    <col min="2" max="2" width="46.7109375" style="104" bestFit="1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1.7109375" style="104" bestFit="1" customWidth="1"/>
    <col min="8" max="9" width="9" style="104" bestFit="1" customWidth="1"/>
    <col min="10" max="10" width="9.28515625" style="104" bestFit="1" customWidth="1"/>
    <col min="11" max="11" width="8.85546875" style="104" bestFit="1" customWidth="1"/>
    <col min="12" max="12" width="8.7109375" style="104" bestFit="1" customWidth="1"/>
    <col min="13" max="13" width="9.85546875" style="104" bestFit="1" customWidth="1"/>
    <col min="14" max="14" width="9.28515625" style="104" customWidth="1"/>
    <col min="15" max="15" width="8.7109375" style="104" bestFit="1" customWidth="1"/>
    <col min="16" max="16" width="10.5703125" style="104" bestFit="1" customWidth="1"/>
    <col min="17" max="17" width="9.42578125" style="104" bestFit="1" customWidth="1"/>
    <col min="18" max="18" width="10.85546875" style="104" bestFit="1" customWidth="1"/>
    <col min="19" max="20" width="9.7109375" style="104" bestFit="1" customWidth="1"/>
    <col min="21" max="27" width="8" style="104" bestFit="1" customWidth="1"/>
    <col min="28" max="28" width="11.28515625" style="104" bestFit="1" customWidth="1"/>
    <col min="29" max="29" width="9.28515625" style="104" bestFit="1" customWidth="1"/>
    <col min="30" max="30" width="9" style="104" customWidth="1"/>
    <col min="31" max="31" width="10.7109375" style="104" customWidth="1"/>
    <col min="32" max="16384" width="9.140625" style="104"/>
  </cols>
  <sheetData>
    <row r="1" spans="2:31" ht="15" x14ac:dyDescent="0.25">
      <c r="B1" s="122" t="s">
        <v>241</v>
      </c>
      <c r="C1" s="123">
        <v>0.22</v>
      </c>
      <c r="F1" s="104" t="s">
        <v>252</v>
      </c>
      <c r="H1" s="125">
        <v>2004</v>
      </c>
      <c r="J1" s="104" t="s">
        <v>328</v>
      </c>
      <c r="L1" s="164">
        <v>0.05</v>
      </c>
      <c r="N1" s="174" t="s">
        <v>392</v>
      </c>
      <c r="O1" s="172"/>
      <c r="P1" s="175">
        <v>0.05</v>
      </c>
    </row>
    <row r="2" spans="2:31" x14ac:dyDescent="0.2">
      <c r="B2" s="153" t="s">
        <v>316</v>
      </c>
      <c r="C2" s="120"/>
      <c r="F2" s="104" t="s">
        <v>253</v>
      </c>
      <c r="H2" s="125">
        <v>2013</v>
      </c>
      <c r="J2" s="104" t="s">
        <v>329</v>
      </c>
      <c r="L2" s="164">
        <v>0.15</v>
      </c>
      <c r="S2" s="115" t="s">
        <v>11</v>
      </c>
      <c r="T2" s="115" t="s">
        <v>12</v>
      </c>
      <c r="U2" s="115" t="s">
        <v>13</v>
      </c>
      <c r="V2" s="115" t="s">
        <v>14</v>
      </c>
      <c r="W2" s="115" t="s">
        <v>15</v>
      </c>
      <c r="X2" s="115" t="s">
        <v>234</v>
      </c>
      <c r="Y2" s="115" t="s">
        <v>235</v>
      </c>
      <c r="Z2" s="115" t="s">
        <v>236</v>
      </c>
      <c r="AA2" s="115" t="s">
        <v>237</v>
      </c>
      <c r="AB2" s="115" t="s">
        <v>238</v>
      </c>
      <c r="AD2" s="229" t="s">
        <v>292</v>
      </c>
      <c r="AE2" s="230"/>
    </row>
    <row r="3" spans="2:31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6" t="s">
        <v>1</v>
      </c>
      <c r="R3" s="116" t="s">
        <v>254</v>
      </c>
      <c r="S3" s="115">
        <v>2014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35" t="s">
        <v>1</v>
      </c>
      <c r="AD3" s="231" t="s">
        <v>293</v>
      </c>
      <c r="AE3" s="232"/>
    </row>
    <row r="4" spans="2:31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36"/>
      <c r="AD4" s="20"/>
      <c r="AE4" s="20"/>
    </row>
    <row r="5" spans="2:31" x14ac:dyDescent="0.2">
      <c r="B5" s="108" t="s">
        <v>242</v>
      </c>
      <c r="C5" s="20"/>
      <c r="D5" s="20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20"/>
      <c r="R5" s="20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36"/>
      <c r="AD5" s="20"/>
      <c r="AE5" s="154"/>
    </row>
    <row r="6" spans="2:31" x14ac:dyDescent="0.2">
      <c r="B6" s="20" t="s">
        <v>16</v>
      </c>
      <c r="C6" s="140"/>
      <c r="D6" s="140"/>
      <c r="E6" s="146"/>
      <c r="F6" s="146"/>
      <c r="G6" s="169">
        <v>1176</v>
      </c>
      <c r="H6" s="169">
        <v>1343</v>
      </c>
      <c r="I6" s="169">
        <v>1949</v>
      </c>
      <c r="J6" s="169">
        <v>2935</v>
      </c>
      <c r="K6" s="169">
        <v>5479</v>
      </c>
      <c r="L6" s="169">
        <v>6268</v>
      </c>
      <c r="M6" s="169">
        <v>7617</v>
      </c>
      <c r="N6" s="169">
        <v>10594</v>
      </c>
      <c r="O6" s="169">
        <v>12530</v>
      </c>
      <c r="P6" s="169">
        <v>14876</v>
      </c>
      <c r="Q6" s="118">
        <f>((P6/G6)^(1/($H$2-$H$1) ))-1</f>
        <v>0.32572426497792994</v>
      </c>
      <c r="R6" s="31">
        <f>$L$2</f>
        <v>0.15</v>
      </c>
      <c r="S6" s="154">
        <f>P6*(1+$R6)</f>
        <v>17107.399999999998</v>
      </c>
      <c r="T6" s="154">
        <f>S6*(1+$R6)</f>
        <v>19673.509999999995</v>
      </c>
      <c r="U6" s="154">
        <f t="shared" ref="U6:AB6" si="0">T6*(1+$R6)</f>
        <v>22624.536499999991</v>
      </c>
      <c r="V6" s="154">
        <f t="shared" si="0"/>
        <v>26018.216974999988</v>
      </c>
      <c r="W6" s="154">
        <f t="shared" si="0"/>
        <v>29920.949521249986</v>
      </c>
      <c r="X6" s="154">
        <f t="shared" si="0"/>
        <v>34409.091949437483</v>
      </c>
      <c r="Y6" s="154">
        <f t="shared" si="0"/>
        <v>39570.455741853104</v>
      </c>
      <c r="Z6" s="154">
        <f t="shared" si="0"/>
        <v>45506.024103131065</v>
      </c>
      <c r="AA6" s="154">
        <f t="shared" si="0"/>
        <v>52331.927718600724</v>
      </c>
      <c r="AB6" s="154">
        <f t="shared" si="0"/>
        <v>60181.716876390827</v>
      </c>
      <c r="AC6" s="137">
        <f>((AB6/G6)^(1/($AB$3-$H$1) ))-1</f>
        <v>0.23012822007230427</v>
      </c>
      <c r="AD6" s="31">
        <f>$L$1</f>
        <v>0.05</v>
      </c>
      <c r="AE6" s="145">
        <f t="shared" ref="AE6:AE71" si="1">(AB6*(1+AD6))/($C$1-AD6)</f>
        <v>371710.6042365316</v>
      </c>
    </row>
    <row r="7" spans="2:31" x14ac:dyDescent="0.2">
      <c r="B7" s="20" t="s">
        <v>240</v>
      </c>
      <c r="C7" s="140"/>
      <c r="D7" s="140"/>
      <c r="E7" s="146"/>
      <c r="F7" s="146"/>
      <c r="G7" s="169">
        <v>1236</v>
      </c>
      <c r="H7" s="169">
        <v>1472</v>
      </c>
      <c r="I7" s="169">
        <v>2258</v>
      </c>
      <c r="J7" s="169">
        <v>3261</v>
      </c>
      <c r="K7" s="169">
        <v>5882</v>
      </c>
      <c r="L7" s="169">
        <v>6614</v>
      </c>
      <c r="M7" s="169">
        <v>7965</v>
      </c>
      <c r="N7" s="169">
        <v>10999</v>
      </c>
      <c r="O7" s="169">
        <v>12935</v>
      </c>
      <c r="P7" s="169">
        <v>15267</v>
      </c>
      <c r="Q7" s="118">
        <f>((P7/G7)^(1/($H$2-$H$1) ))-1</f>
        <v>0.32222058739945925</v>
      </c>
      <c r="R7" s="31">
        <f>$L$2</f>
        <v>0.15</v>
      </c>
      <c r="S7" s="154">
        <f t="shared" ref="S7:S18" si="2">P7*(1+$R7)</f>
        <v>17557.05</v>
      </c>
      <c r="T7" s="154">
        <f t="shared" ref="T7:AB7" si="3">S7*(1+$R7)</f>
        <v>20190.607499999998</v>
      </c>
      <c r="U7" s="154">
        <f t="shared" si="3"/>
        <v>23219.198624999997</v>
      </c>
      <c r="V7" s="154">
        <f t="shared" si="3"/>
        <v>26702.078418749996</v>
      </c>
      <c r="W7" s="154">
        <f t="shared" si="3"/>
        <v>30707.390181562492</v>
      </c>
      <c r="X7" s="154">
        <f t="shared" si="3"/>
        <v>35313.498708796862</v>
      </c>
      <c r="Y7" s="154">
        <f t="shared" si="3"/>
        <v>40610.523515116387</v>
      </c>
      <c r="Z7" s="154">
        <f t="shared" si="3"/>
        <v>46702.102042383842</v>
      </c>
      <c r="AA7" s="154">
        <f t="shared" si="3"/>
        <v>53707.417348741415</v>
      </c>
      <c r="AB7" s="154">
        <f t="shared" si="3"/>
        <v>61763.529951052624</v>
      </c>
      <c r="AC7" s="137">
        <f>((AB7/G7)^(1/($AB$3-$H$1) ))-1</f>
        <v>0.22858718484963503</v>
      </c>
      <c r="AD7" s="31">
        <f>$L$1</f>
        <v>0.05</v>
      </c>
      <c r="AE7" s="145">
        <f t="shared" si="1"/>
        <v>381480.62616826623</v>
      </c>
    </row>
    <row r="8" spans="2:31" x14ac:dyDescent="0.2">
      <c r="B8" s="20"/>
      <c r="C8" s="140"/>
      <c r="D8" s="140"/>
      <c r="E8" s="146"/>
      <c r="F8" s="146"/>
      <c r="G8" s="148">
        <f>(G7-F7)/G7</f>
        <v>1</v>
      </c>
      <c r="H8" s="151">
        <f>(H7-G7)/H7</f>
        <v>0.16032608695652173</v>
      </c>
      <c r="I8" s="151">
        <f t="shared" ref="I8:P8" si="4">(I7-H7)/I7</f>
        <v>0.34809565987599644</v>
      </c>
      <c r="J8" s="151">
        <f t="shared" si="4"/>
        <v>0.30757436369211899</v>
      </c>
      <c r="K8" s="151">
        <f t="shared" si="4"/>
        <v>0.44559673580414827</v>
      </c>
      <c r="L8" s="151">
        <f t="shared" si="4"/>
        <v>0.1106743271847596</v>
      </c>
      <c r="M8" s="151">
        <f t="shared" si="4"/>
        <v>0.16961707470182047</v>
      </c>
      <c r="N8" s="151">
        <f t="shared" si="4"/>
        <v>0.27584325847804347</v>
      </c>
      <c r="O8" s="151">
        <f t="shared" si="4"/>
        <v>0.14967143409354464</v>
      </c>
      <c r="P8" s="151">
        <f t="shared" si="4"/>
        <v>0.1527477565992009</v>
      </c>
      <c r="Q8" s="127"/>
      <c r="R8" s="20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36"/>
      <c r="AD8" s="136"/>
      <c r="AE8" s="145"/>
    </row>
    <row r="9" spans="2:31" x14ac:dyDescent="0.2">
      <c r="B9" s="20" t="s">
        <v>270</v>
      </c>
      <c r="C9" s="140"/>
      <c r="D9" s="140"/>
      <c r="E9" s="146"/>
      <c r="F9" s="146"/>
      <c r="G9" s="169">
        <v>0</v>
      </c>
      <c r="H9" s="169">
        <v>0</v>
      </c>
      <c r="I9" s="169">
        <v>0</v>
      </c>
      <c r="J9" s="169">
        <v>0</v>
      </c>
      <c r="K9" s="169">
        <v>0</v>
      </c>
      <c r="L9" s="169">
        <v>0</v>
      </c>
      <c r="M9" s="169">
        <v>0</v>
      </c>
      <c r="N9" s="169">
        <v>0</v>
      </c>
      <c r="O9" s="169">
        <v>0</v>
      </c>
      <c r="P9" s="169">
        <v>0</v>
      </c>
      <c r="Q9" s="118" t="e">
        <f t="shared" ref="Q9:Q18" si="5">((P9/G9)^(1/($H$2-$H$1) ))-1</f>
        <v>#DIV/0!</v>
      </c>
      <c r="R9" s="31">
        <f t="shared" ref="R9:R66" si="6">$L$2</f>
        <v>0.15</v>
      </c>
      <c r="S9" s="154">
        <f t="shared" ref="S9" si="7">P9*(1+$R9)</f>
        <v>0</v>
      </c>
      <c r="T9" s="154">
        <f t="shared" ref="T9" si="8">S9*(1+$R9)</f>
        <v>0</v>
      </c>
      <c r="U9" s="154">
        <f t="shared" ref="U9" si="9">T9*(1+$R9)</f>
        <v>0</v>
      </c>
      <c r="V9" s="154">
        <f t="shared" ref="V9" si="10">U9*(1+$R9)</f>
        <v>0</v>
      </c>
      <c r="W9" s="154">
        <f t="shared" ref="W9" si="11">V9*(1+$R9)</f>
        <v>0</v>
      </c>
      <c r="X9" s="154">
        <f t="shared" ref="X9" si="12">W9*(1+$R9)</f>
        <v>0</v>
      </c>
      <c r="Y9" s="154">
        <f t="shared" ref="Y9" si="13">X9*(1+$R9)</f>
        <v>0</v>
      </c>
      <c r="Z9" s="154">
        <f t="shared" ref="Z9" si="14">Y9*(1+$R9)</f>
        <v>0</v>
      </c>
      <c r="AA9" s="154">
        <f t="shared" ref="AA9" si="15">Z9*(1+$R9)</f>
        <v>0</v>
      </c>
      <c r="AB9" s="154">
        <f t="shared" ref="AB9" si="16">AA9*(1+$R9)</f>
        <v>0</v>
      </c>
      <c r="AC9" s="137" t="e">
        <f>((AB9/G9)^(1/($AB$3-$H$1) ))-1</f>
        <v>#DIV/0!</v>
      </c>
      <c r="AD9" s="31">
        <f t="shared" ref="AD9:AD106" si="17">$L$1</f>
        <v>0.05</v>
      </c>
      <c r="AE9" s="145">
        <f t="shared" si="1"/>
        <v>0</v>
      </c>
    </row>
    <row r="10" spans="2:31" x14ac:dyDescent="0.2">
      <c r="B10" s="20" t="s">
        <v>4</v>
      </c>
      <c r="C10" s="140"/>
      <c r="D10" s="140"/>
      <c r="E10" s="146"/>
      <c r="F10" s="146"/>
      <c r="G10" s="169">
        <v>7324</v>
      </c>
      <c r="H10" s="169">
        <v>7556</v>
      </c>
      <c r="I10" s="169">
        <v>11414</v>
      </c>
      <c r="J10" s="169">
        <v>19646</v>
      </c>
      <c r="K10" s="169">
        <v>26464</v>
      </c>
      <c r="L10" s="169">
        <v>24882</v>
      </c>
      <c r="M10" s="169">
        <v>35704</v>
      </c>
      <c r="N10" s="169">
        <v>49386</v>
      </c>
      <c r="O10" s="169">
        <v>65655</v>
      </c>
      <c r="P10" s="169">
        <v>86561</v>
      </c>
      <c r="Q10" s="118">
        <f t="shared" si="5"/>
        <v>0.31575455157214538</v>
      </c>
      <c r="R10" s="31">
        <f t="shared" si="6"/>
        <v>0.15</v>
      </c>
      <c r="S10" s="154">
        <f t="shared" si="2"/>
        <v>99545.15</v>
      </c>
      <c r="T10" s="154">
        <f t="shared" ref="T10:AB10" si="18">S10*(1+$R10)</f>
        <v>114476.92249999999</v>
      </c>
      <c r="U10" s="154">
        <f t="shared" si="18"/>
        <v>131648.46087499996</v>
      </c>
      <c r="V10" s="154">
        <f t="shared" si="18"/>
        <v>151395.73000624994</v>
      </c>
      <c r="W10" s="154">
        <f t="shared" si="18"/>
        <v>174105.08950718743</v>
      </c>
      <c r="X10" s="154">
        <f t="shared" si="18"/>
        <v>200220.85293326553</v>
      </c>
      <c r="Y10" s="154">
        <f t="shared" si="18"/>
        <v>230253.98087325535</v>
      </c>
      <c r="Z10" s="154">
        <f t="shared" si="18"/>
        <v>264792.07800424361</v>
      </c>
      <c r="AA10" s="154">
        <f t="shared" si="18"/>
        <v>304510.88970488013</v>
      </c>
      <c r="AB10" s="154">
        <f t="shared" si="18"/>
        <v>350187.52316061209</v>
      </c>
      <c r="AC10" s="137">
        <f t="shared" ref="AC10:AC70" si="19">((AB10/G10)^(1/($AB$3-$H$1) ))-1</f>
        <v>0.22573755129564144</v>
      </c>
      <c r="AD10" s="31">
        <f t="shared" si="17"/>
        <v>0.05</v>
      </c>
      <c r="AE10" s="145">
        <f t="shared" si="1"/>
        <v>2162922.9371684869</v>
      </c>
    </row>
    <row r="11" spans="2:31" x14ac:dyDescent="0.2">
      <c r="B11" s="20"/>
      <c r="C11" s="140"/>
      <c r="D11" s="140"/>
      <c r="E11" s="146"/>
      <c r="F11" s="146"/>
      <c r="G11" s="148">
        <f>(G10-F10)/G10</f>
        <v>1</v>
      </c>
      <c r="H11" s="147">
        <f>(H10-G10)/H10</f>
        <v>3.0704076230809951E-2</v>
      </c>
      <c r="I11" s="147">
        <f t="shared" ref="I11:P11" si="20">(I10-H10)/I10</f>
        <v>0.33800595759593483</v>
      </c>
      <c r="J11" s="147">
        <f t="shared" si="20"/>
        <v>0.41901659370864297</v>
      </c>
      <c r="K11" s="147">
        <f t="shared" si="20"/>
        <v>0.25763301088270857</v>
      </c>
      <c r="L11" s="147">
        <f t="shared" si="20"/>
        <v>-6.358009806285668E-2</v>
      </c>
      <c r="M11" s="147">
        <f t="shared" si="20"/>
        <v>0.30310329374859962</v>
      </c>
      <c r="N11" s="147">
        <f t="shared" si="20"/>
        <v>0.27704207670189934</v>
      </c>
      <c r="O11" s="147">
        <f t="shared" si="20"/>
        <v>0.24779529358007768</v>
      </c>
      <c r="P11" s="147">
        <f t="shared" si="20"/>
        <v>0.24151754254225344</v>
      </c>
      <c r="Q11" s="127"/>
      <c r="R11" s="20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19"/>
      <c r="AD11" s="31">
        <f t="shared" si="17"/>
        <v>0.05</v>
      </c>
      <c r="AE11" s="154"/>
    </row>
    <row r="12" spans="2:31" x14ac:dyDescent="0.2">
      <c r="B12" s="20" t="s">
        <v>2</v>
      </c>
      <c r="C12" s="140"/>
      <c r="D12" s="140"/>
      <c r="E12" s="146"/>
      <c r="F12" s="146"/>
      <c r="G12" s="169"/>
      <c r="H12" s="169"/>
      <c r="I12" s="169"/>
      <c r="J12" s="169"/>
      <c r="K12" s="169"/>
      <c r="L12" s="169"/>
      <c r="M12" s="169"/>
      <c r="N12" s="169"/>
      <c r="O12" s="169"/>
      <c r="P12" s="169"/>
      <c r="Q12" s="118" t="e">
        <f t="shared" si="5"/>
        <v>#DIV/0!</v>
      </c>
      <c r="R12" s="31">
        <f t="shared" si="6"/>
        <v>0.15</v>
      </c>
      <c r="S12" s="154">
        <f t="shared" si="2"/>
        <v>0</v>
      </c>
      <c r="T12" s="154">
        <f t="shared" ref="T12:AB14" si="21">S12*(1+$R12)</f>
        <v>0</v>
      </c>
      <c r="U12" s="154">
        <f t="shared" si="21"/>
        <v>0</v>
      </c>
      <c r="V12" s="154">
        <f t="shared" si="21"/>
        <v>0</v>
      </c>
      <c r="W12" s="154">
        <f t="shared" si="21"/>
        <v>0</v>
      </c>
      <c r="X12" s="154">
        <f t="shared" si="21"/>
        <v>0</v>
      </c>
      <c r="Y12" s="154">
        <f t="shared" si="21"/>
        <v>0</v>
      </c>
      <c r="Z12" s="154">
        <f t="shared" si="21"/>
        <v>0</v>
      </c>
      <c r="AA12" s="154">
        <f t="shared" si="21"/>
        <v>0</v>
      </c>
      <c r="AB12" s="154">
        <f t="shared" si="21"/>
        <v>0</v>
      </c>
      <c r="AC12" s="137" t="e">
        <f t="shared" si="19"/>
        <v>#DIV/0!</v>
      </c>
      <c r="AD12" s="31">
        <f t="shared" si="17"/>
        <v>0.05</v>
      </c>
      <c r="AE12" s="145">
        <f t="shared" si="1"/>
        <v>0</v>
      </c>
    </row>
    <row r="13" spans="2:31" x14ac:dyDescent="0.2">
      <c r="B13" s="20" t="s">
        <v>362</v>
      </c>
      <c r="C13" s="140"/>
      <c r="D13" s="140"/>
      <c r="E13" s="146"/>
      <c r="F13" s="146"/>
      <c r="G13" s="146">
        <v>127</v>
      </c>
      <c r="H13" s="146">
        <v>239</v>
      </c>
      <c r="I13" s="146">
        <v>449</v>
      </c>
      <c r="J13" s="146">
        <v>791</v>
      </c>
      <c r="K13" s="146">
        <v>1764</v>
      </c>
      <c r="L13" s="146">
        <v>1007</v>
      </c>
      <c r="M13" s="146">
        <v>2094</v>
      </c>
      <c r="N13" s="146">
        <v>2114</v>
      </c>
      <c r="O13" s="146">
        <v>2030</v>
      </c>
      <c r="P13" s="146">
        <v>2220</v>
      </c>
      <c r="Q13" s="118">
        <f t="shared" si="5"/>
        <v>0.37423507245536558</v>
      </c>
      <c r="R13" s="31">
        <v>0.1</v>
      </c>
      <c r="S13" s="154">
        <f t="shared" si="2"/>
        <v>2442</v>
      </c>
      <c r="T13" s="154">
        <f t="shared" si="21"/>
        <v>2686.2000000000003</v>
      </c>
      <c r="U13" s="154">
        <f t="shared" si="21"/>
        <v>2954.8200000000006</v>
      </c>
      <c r="V13" s="154">
        <f t="shared" si="21"/>
        <v>3250.302000000001</v>
      </c>
      <c r="W13" s="154">
        <f t="shared" si="21"/>
        <v>3575.3322000000016</v>
      </c>
      <c r="X13" s="154">
        <f t="shared" si="21"/>
        <v>3932.8654200000019</v>
      </c>
      <c r="Y13" s="154">
        <f t="shared" si="21"/>
        <v>4326.1519620000026</v>
      </c>
      <c r="Z13" s="154">
        <f t="shared" si="21"/>
        <v>4758.767158200003</v>
      </c>
      <c r="AA13" s="154">
        <f t="shared" si="21"/>
        <v>5234.6438740200038</v>
      </c>
      <c r="AB13" s="154">
        <f t="shared" si="21"/>
        <v>5758.1082614220049</v>
      </c>
      <c r="AC13" s="137">
        <f>((AB13/G13)^(1/($AB$3-$H$1) ))-1</f>
        <v>0.22231446955920742</v>
      </c>
      <c r="AD13" s="31">
        <v>0.08</v>
      </c>
      <c r="AE13" s="145">
        <f t="shared" si="1"/>
        <v>44419.692302398325</v>
      </c>
    </row>
    <row r="14" spans="2:31" x14ac:dyDescent="0.2">
      <c r="B14" s="20" t="s">
        <v>363</v>
      </c>
      <c r="C14" s="140"/>
      <c r="D14" s="140"/>
      <c r="E14" s="146"/>
      <c r="F14" s="146"/>
      <c r="G14" s="146">
        <v>777</v>
      </c>
      <c r="H14" s="146">
        <v>494</v>
      </c>
      <c r="I14" s="146">
        <v>617</v>
      </c>
      <c r="J14" s="146">
        <v>1350</v>
      </c>
      <c r="K14" s="146">
        <v>1605</v>
      </c>
      <c r="L14" s="146">
        <v>430</v>
      </c>
      <c r="M14" s="146">
        <v>412</v>
      </c>
      <c r="N14" s="146">
        <v>879</v>
      </c>
      <c r="O14" s="146">
        <v>1545</v>
      </c>
      <c r="P14" s="146">
        <v>2297</v>
      </c>
      <c r="Q14" s="118">
        <f t="shared" si="5"/>
        <v>0.12798790221958511</v>
      </c>
      <c r="R14" s="31">
        <v>0.1</v>
      </c>
      <c r="S14" s="154">
        <f t="shared" si="2"/>
        <v>2526.7000000000003</v>
      </c>
      <c r="T14" s="154">
        <f t="shared" si="21"/>
        <v>2779.3700000000003</v>
      </c>
      <c r="U14" s="154">
        <f t="shared" si="21"/>
        <v>3057.3070000000007</v>
      </c>
      <c r="V14" s="154">
        <f t="shared" si="21"/>
        <v>3363.0377000000012</v>
      </c>
      <c r="W14" s="154">
        <f t="shared" si="21"/>
        <v>3699.3414700000017</v>
      </c>
      <c r="X14" s="154">
        <f t="shared" si="21"/>
        <v>4069.2756170000021</v>
      </c>
      <c r="Y14" s="154">
        <f t="shared" si="21"/>
        <v>4476.2031787000024</v>
      </c>
      <c r="Z14" s="154">
        <f t="shared" si="21"/>
        <v>4923.823496570003</v>
      </c>
      <c r="AA14" s="154">
        <f t="shared" si="21"/>
        <v>5416.2058462270033</v>
      </c>
      <c r="AB14" s="154">
        <f t="shared" si="21"/>
        <v>5957.8264308497046</v>
      </c>
      <c r="AC14" s="137">
        <f t="shared" ref="AC14" si="22">((AB14/G14)^(1/($AB$3-$H$1) ))-1</f>
        <v>0.11316979095323965</v>
      </c>
      <c r="AD14" s="31">
        <v>0.08</v>
      </c>
      <c r="AE14" s="145">
        <f t="shared" si="1"/>
        <v>45960.375323697721</v>
      </c>
    </row>
    <row r="15" spans="2:31" x14ac:dyDescent="0.2">
      <c r="B15" s="20" t="s">
        <v>218</v>
      </c>
      <c r="C15" s="140"/>
      <c r="D15" s="140"/>
      <c r="E15" s="146"/>
      <c r="F15" s="146"/>
      <c r="G15" s="169">
        <v>3609</v>
      </c>
      <c r="H15" s="169">
        <v>2705</v>
      </c>
      <c r="I15" s="169">
        <v>5048</v>
      </c>
      <c r="J15" s="169">
        <v>9128</v>
      </c>
      <c r="K15" s="169">
        <v>12569</v>
      </c>
      <c r="L15" s="169">
        <v>13313</v>
      </c>
      <c r="M15" s="169">
        <v>19484</v>
      </c>
      <c r="N15" s="169">
        <v>26048</v>
      </c>
      <c r="O15" s="169">
        <v>31658</v>
      </c>
      <c r="P15" s="169">
        <v>40907</v>
      </c>
      <c r="Q15" s="118">
        <f t="shared" si="5"/>
        <v>0.30965453116443542</v>
      </c>
      <c r="R15" s="31">
        <f t="shared" si="6"/>
        <v>0.15</v>
      </c>
      <c r="S15" s="154">
        <f t="shared" si="2"/>
        <v>47043.049999999996</v>
      </c>
      <c r="T15" s="154">
        <f t="shared" ref="T15:AB16" si="23">S15*(1+$R15)</f>
        <v>54099.507499999992</v>
      </c>
      <c r="U15" s="154">
        <f t="shared" si="23"/>
        <v>62214.433624999983</v>
      </c>
      <c r="V15" s="154">
        <f t="shared" si="23"/>
        <v>71546.598668749968</v>
      </c>
      <c r="W15" s="154">
        <f t="shared" si="23"/>
        <v>82278.588469062452</v>
      </c>
      <c r="X15" s="154">
        <f t="shared" si="23"/>
        <v>94620.376739421816</v>
      </c>
      <c r="Y15" s="154">
        <f t="shared" si="23"/>
        <v>108813.43325033507</v>
      </c>
      <c r="Z15" s="154">
        <f t="shared" si="23"/>
        <v>125135.44823788533</v>
      </c>
      <c r="AA15" s="154">
        <f t="shared" si="23"/>
        <v>143905.76547356811</v>
      </c>
      <c r="AB15" s="154">
        <f t="shared" si="23"/>
        <v>165491.63029460332</v>
      </c>
      <c r="AC15" s="137">
        <f t="shared" si="19"/>
        <v>0.22304245932187983</v>
      </c>
      <c r="AD15" s="31">
        <f t="shared" si="17"/>
        <v>0.05</v>
      </c>
      <c r="AE15" s="145">
        <f t="shared" si="1"/>
        <v>1022154.1871137266</v>
      </c>
    </row>
    <row r="16" spans="2:31" x14ac:dyDescent="0.2">
      <c r="B16" s="20" t="s">
        <v>390</v>
      </c>
      <c r="C16" s="140"/>
      <c r="D16" s="140"/>
      <c r="E16" s="146"/>
      <c r="F16" s="146"/>
      <c r="G16" s="169"/>
      <c r="H16" s="169"/>
      <c r="I16" s="169"/>
      <c r="J16" s="169"/>
      <c r="K16" s="169"/>
      <c r="L16" s="169"/>
      <c r="M16" s="169"/>
      <c r="N16" s="169"/>
      <c r="O16" s="169"/>
      <c r="P16" s="169"/>
      <c r="Q16" s="118" t="e">
        <f t="shared" ref="Q16" si="24">((P16/G16)^(1/($H$2-$H$1) ))-1</f>
        <v>#DIV/0!</v>
      </c>
      <c r="R16" s="31">
        <f t="shared" si="6"/>
        <v>0.15</v>
      </c>
      <c r="S16" s="154">
        <f t="shared" ref="S16" si="25">P16*(1+$R16)</f>
        <v>0</v>
      </c>
      <c r="T16" s="154">
        <f t="shared" ref="T16" si="26">S16*(1+$R16)</f>
        <v>0</v>
      </c>
      <c r="U16" s="154">
        <f t="shared" ref="U16" si="27">T16*(1+$R16)</f>
        <v>0</v>
      </c>
      <c r="V16" s="154">
        <f t="shared" si="23"/>
        <v>0</v>
      </c>
      <c r="W16" s="154">
        <f t="shared" si="23"/>
        <v>0</v>
      </c>
      <c r="X16" s="154">
        <f t="shared" si="23"/>
        <v>0</v>
      </c>
      <c r="Y16" s="154">
        <f t="shared" si="23"/>
        <v>0</v>
      </c>
      <c r="Z16" s="154">
        <f t="shared" si="23"/>
        <v>0</v>
      </c>
      <c r="AA16" s="154">
        <f t="shared" si="23"/>
        <v>0</v>
      </c>
      <c r="AB16" s="154">
        <f t="shared" si="23"/>
        <v>0</v>
      </c>
      <c r="AC16" s="137" t="e">
        <f t="shared" ref="AC16" si="28">((AB16/G16)^(1/($AB$3-$H$1) ))-1</f>
        <v>#DIV/0!</v>
      </c>
      <c r="AD16" s="31">
        <f t="shared" si="17"/>
        <v>0.05</v>
      </c>
      <c r="AE16" s="145">
        <f t="shared" ref="AE16" si="29">(AB16*(1+AD16))/($C$1-AD16)</f>
        <v>0</v>
      </c>
    </row>
    <row r="17" spans="2:31" x14ac:dyDescent="0.2">
      <c r="B17" s="20" t="s">
        <v>19</v>
      </c>
      <c r="C17" s="140"/>
      <c r="D17" s="140"/>
      <c r="E17" s="146"/>
      <c r="F17" s="146"/>
      <c r="G17" s="169"/>
      <c r="H17" s="169"/>
      <c r="I17" s="169"/>
      <c r="J17" s="169"/>
      <c r="K17" s="169"/>
      <c r="L17" s="169"/>
      <c r="M17" s="169"/>
      <c r="N17" s="169"/>
      <c r="O17" s="169"/>
      <c r="P17" s="169"/>
      <c r="Q17" s="118" t="e">
        <f t="shared" si="5"/>
        <v>#DIV/0!</v>
      </c>
      <c r="R17" s="31">
        <f t="shared" si="6"/>
        <v>0.15</v>
      </c>
      <c r="S17" s="154">
        <f t="shared" si="2"/>
        <v>0</v>
      </c>
      <c r="T17" s="154">
        <f t="shared" ref="T17:AB17" si="30">S17*(1+$R17)</f>
        <v>0</v>
      </c>
      <c r="U17" s="154">
        <f t="shared" si="30"/>
        <v>0</v>
      </c>
      <c r="V17" s="154">
        <f t="shared" si="30"/>
        <v>0</v>
      </c>
      <c r="W17" s="154">
        <f t="shared" si="30"/>
        <v>0</v>
      </c>
      <c r="X17" s="154">
        <f t="shared" si="30"/>
        <v>0</v>
      </c>
      <c r="Y17" s="154">
        <f t="shared" si="30"/>
        <v>0</v>
      </c>
      <c r="Z17" s="154">
        <f t="shared" si="30"/>
        <v>0</v>
      </c>
      <c r="AA17" s="154">
        <f t="shared" si="30"/>
        <v>0</v>
      </c>
      <c r="AB17" s="154">
        <f t="shared" si="30"/>
        <v>0</v>
      </c>
      <c r="AC17" s="137" t="e">
        <f t="shared" si="19"/>
        <v>#DIV/0!</v>
      </c>
      <c r="AD17" s="31">
        <f t="shared" si="17"/>
        <v>0.05</v>
      </c>
      <c r="AE17" s="145">
        <f t="shared" si="1"/>
        <v>0</v>
      </c>
    </row>
    <row r="18" spans="2:31" x14ac:dyDescent="0.2">
      <c r="B18" s="20" t="s">
        <v>23</v>
      </c>
      <c r="C18" s="140"/>
      <c r="D18" s="140"/>
      <c r="E18" s="146"/>
      <c r="F18" s="146"/>
      <c r="G18" s="169"/>
      <c r="H18" s="169"/>
      <c r="I18" s="169"/>
      <c r="J18" s="169"/>
      <c r="K18" s="169"/>
      <c r="L18" s="169"/>
      <c r="M18" s="169"/>
      <c r="N18" s="169"/>
      <c r="O18" s="169"/>
      <c r="P18" s="169"/>
      <c r="Q18" s="118" t="e">
        <f t="shared" si="5"/>
        <v>#DIV/0!</v>
      </c>
      <c r="R18" s="31">
        <f t="shared" si="6"/>
        <v>0.15</v>
      </c>
      <c r="S18" s="154">
        <f t="shared" si="2"/>
        <v>0</v>
      </c>
      <c r="T18" s="154">
        <f t="shared" ref="T18:AB18" si="31">S18*(1+$R18)</f>
        <v>0</v>
      </c>
      <c r="U18" s="154">
        <f t="shared" si="31"/>
        <v>0</v>
      </c>
      <c r="V18" s="154">
        <f t="shared" si="31"/>
        <v>0</v>
      </c>
      <c r="W18" s="154">
        <f t="shared" si="31"/>
        <v>0</v>
      </c>
      <c r="X18" s="154">
        <f t="shared" si="31"/>
        <v>0</v>
      </c>
      <c r="Y18" s="154">
        <f t="shared" si="31"/>
        <v>0</v>
      </c>
      <c r="Z18" s="154">
        <f t="shared" si="31"/>
        <v>0</v>
      </c>
      <c r="AA18" s="154">
        <f t="shared" si="31"/>
        <v>0</v>
      </c>
      <c r="AB18" s="154">
        <f t="shared" si="31"/>
        <v>0</v>
      </c>
      <c r="AC18" s="137" t="e">
        <f t="shared" si="19"/>
        <v>#DIV/0!</v>
      </c>
      <c r="AD18" s="31">
        <f t="shared" si="17"/>
        <v>0.05</v>
      </c>
      <c r="AE18" s="145">
        <f t="shared" si="1"/>
        <v>0</v>
      </c>
    </row>
    <row r="19" spans="2:31" x14ac:dyDescent="0.2">
      <c r="B19" s="20"/>
      <c r="C19" s="140"/>
      <c r="D19" s="140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27"/>
      <c r="R19" s="20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38"/>
      <c r="AD19" s="136"/>
      <c r="AE19" s="154"/>
    </row>
    <row r="20" spans="2:31" x14ac:dyDescent="0.2">
      <c r="B20" s="20" t="s">
        <v>364</v>
      </c>
      <c r="C20" s="140"/>
      <c r="D20" s="140"/>
      <c r="E20" s="146"/>
      <c r="F20" s="146"/>
      <c r="G20" s="146">
        <v>2429</v>
      </c>
      <c r="H20" s="146">
        <v>4599</v>
      </c>
      <c r="I20" s="146">
        <v>12901</v>
      </c>
      <c r="J20" s="146">
        <v>18613</v>
      </c>
      <c r="K20" s="146">
        <v>133182</v>
      </c>
      <c r="L20" s="146">
        <v>59590</v>
      </c>
      <c r="M20" s="146">
        <v>35690</v>
      </c>
      <c r="N20" s="146">
        <v>37693</v>
      </c>
      <c r="O20" s="146">
        <v>42221</v>
      </c>
      <c r="P20" s="146">
        <v>43980</v>
      </c>
      <c r="Q20" s="118">
        <f>((P20/G20)^(1/($H$2-$H$1) ))-1</f>
        <v>0.37961730893526013</v>
      </c>
      <c r="R20" s="31">
        <v>0.1</v>
      </c>
      <c r="S20" s="154">
        <f t="shared" ref="S20" si="32">P20*(1+$R20)</f>
        <v>48378.000000000007</v>
      </c>
      <c r="T20" s="154">
        <f t="shared" ref="T20" si="33">S20*(1+$R20)</f>
        <v>53215.80000000001</v>
      </c>
      <c r="U20" s="154">
        <f t="shared" ref="U20" si="34">T20*(1+$R20)</f>
        <v>58537.380000000019</v>
      </c>
      <c r="V20" s="154">
        <f t="shared" ref="V20" si="35">U20*(1+$R20)</f>
        <v>64391.118000000024</v>
      </c>
      <c r="W20" s="154">
        <f t="shared" ref="W20" si="36">V20*(1+$R20)</f>
        <v>70830.22980000003</v>
      </c>
      <c r="X20" s="154">
        <f t="shared" ref="X20" si="37">W20*(1+$R20)</f>
        <v>77913.252780000039</v>
      </c>
      <c r="Y20" s="154">
        <f t="shared" ref="Y20" si="38">X20*(1+$R20)</f>
        <v>85704.578058000043</v>
      </c>
      <c r="Z20" s="154">
        <f t="shared" ref="Z20" si="39">Y20*(1+$R20)</f>
        <v>94275.035863800062</v>
      </c>
      <c r="AA20" s="154">
        <f t="shared" ref="AA20" si="40">Z20*(1+$R20)</f>
        <v>103702.53945018008</v>
      </c>
      <c r="AB20" s="154">
        <f t="shared" ref="AB20" si="41">AA20*(1+$R20)</f>
        <v>114072.7933951981</v>
      </c>
      <c r="AC20" s="137">
        <f t="shared" ref="AC20" si="42">((AB20/G20)^(1/($AB$3-$H$1) ))-1</f>
        <v>0.22457977441414578</v>
      </c>
      <c r="AD20" s="31">
        <v>0.08</v>
      </c>
      <c r="AE20" s="145">
        <f t="shared" si="1"/>
        <v>879990.12047724251</v>
      </c>
    </row>
    <row r="21" spans="2:31" x14ac:dyDescent="0.2">
      <c r="B21" s="20" t="s">
        <v>365</v>
      </c>
      <c r="C21" s="140"/>
      <c r="D21" s="140"/>
      <c r="E21" s="146"/>
      <c r="F21" s="146"/>
      <c r="G21" s="146">
        <v>6.66</v>
      </c>
      <c r="H21" s="146">
        <v>49.7</v>
      </c>
      <c r="I21" s="146">
        <v>303</v>
      </c>
      <c r="J21" s="146">
        <v>512</v>
      </c>
      <c r="K21" s="146">
        <v>843</v>
      </c>
      <c r="L21" s="146">
        <v>1205</v>
      </c>
      <c r="M21" s="146">
        <v>3063</v>
      </c>
      <c r="N21" s="146">
        <v>0</v>
      </c>
      <c r="O21" s="146">
        <v>0</v>
      </c>
      <c r="P21" s="146">
        <v>0</v>
      </c>
      <c r="Q21" s="118">
        <f>((P21/G21)^(1/($H$2-$H$1) ))-1</f>
        <v>-1</v>
      </c>
      <c r="R21" s="31">
        <v>0.1</v>
      </c>
      <c r="S21" s="154">
        <f t="shared" ref="S21" si="43">P21*(1+$R21)</f>
        <v>0</v>
      </c>
      <c r="T21" s="154">
        <f t="shared" ref="T21:AB21" si="44">S21*(1+$R21)</f>
        <v>0</v>
      </c>
      <c r="U21" s="154">
        <f t="shared" si="44"/>
        <v>0</v>
      </c>
      <c r="V21" s="154">
        <f t="shared" si="44"/>
        <v>0</v>
      </c>
      <c r="W21" s="154">
        <f t="shared" si="44"/>
        <v>0</v>
      </c>
      <c r="X21" s="154">
        <f t="shared" si="44"/>
        <v>0</v>
      </c>
      <c r="Y21" s="154">
        <f t="shared" si="44"/>
        <v>0</v>
      </c>
      <c r="Z21" s="154">
        <f t="shared" si="44"/>
        <v>0</v>
      </c>
      <c r="AA21" s="154">
        <f t="shared" si="44"/>
        <v>0</v>
      </c>
      <c r="AB21" s="154">
        <f t="shared" si="44"/>
        <v>0</v>
      </c>
      <c r="AC21" s="137">
        <f t="shared" ref="AC21" si="45">((AB21/G21)^(1/($AB$3-$H$1) ))-1</f>
        <v>-1</v>
      </c>
      <c r="AD21" s="31">
        <v>0.08</v>
      </c>
      <c r="AE21" s="145">
        <f t="shared" si="1"/>
        <v>0</v>
      </c>
    </row>
    <row r="22" spans="2:31" x14ac:dyDescent="0.2">
      <c r="B22" s="20"/>
      <c r="C22" s="140"/>
      <c r="D22" s="140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27"/>
      <c r="R22" s="20"/>
      <c r="S22" s="154"/>
      <c r="T22" s="154"/>
      <c r="U22" s="154"/>
      <c r="V22" s="154"/>
      <c r="W22" s="154"/>
      <c r="X22" s="154"/>
      <c r="Y22" s="154"/>
      <c r="Z22" s="154"/>
      <c r="AA22" s="154"/>
      <c r="AB22" s="154"/>
      <c r="AC22" s="138"/>
      <c r="AD22" s="136"/>
      <c r="AE22" s="154"/>
    </row>
    <row r="23" spans="2:31" x14ac:dyDescent="0.2">
      <c r="B23" s="20" t="s">
        <v>278</v>
      </c>
      <c r="C23" s="140"/>
      <c r="D23" s="140"/>
      <c r="E23" s="146"/>
      <c r="F23" s="146"/>
      <c r="G23" s="169">
        <v>141</v>
      </c>
      <c r="H23" s="169">
        <v>159</v>
      </c>
      <c r="I23" s="169">
        <v>179</v>
      </c>
      <c r="J23" s="169">
        <v>239</v>
      </c>
      <c r="K23" s="169">
        <v>336</v>
      </c>
      <c r="L23" s="169">
        <v>341</v>
      </c>
      <c r="M23" s="169">
        <v>614</v>
      </c>
      <c r="N23" s="169">
        <v>600</v>
      </c>
      <c r="O23" s="169">
        <v>615</v>
      </c>
      <c r="P23" s="169">
        <v>620</v>
      </c>
      <c r="Q23" s="118">
        <f>((P23/G23)^(1/($H$2-$H$1) ))-1</f>
        <v>0.17886376704140328</v>
      </c>
      <c r="R23" s="31">
        <f t="shared" si="6"/>
        <v>0.15</v>
      </c>
      <c r="S23" s="154">
        <f t="shared" ref="S23:S55" si="46">P23*(1+$R23)</f>
        <v>713</v>
      </c>
      <c r="T23" s="154">
        <f t="shared" ref="T23:T55" si="47">S23*(1+$R23)</f>
        <v>819.94999999999993</v>
      </c>
      <c r="U23" s="154">
        <f t="shared" ref="U23:U55" si="48">T23*(1+$R23)</f>
        <v>942.94249999999988</v>
      </c>
      <c r="V23" s="154">
        <f t="shared" ref="V23:V55" si="49">U23*(1+$R23)</f>
        <v>1084.3838749999998</v>
      </c>
      <c r="W23" s="154">
        <f t="shared" ref="W23:W62" si="50">V23*(1+$R23)</f>
        <v>1247.0414562499996</v>
      </c>
      <c r="X23" s="154">
        <f t="shared" ref="X23:X62" si="51">W23*(1+$R23)</f>
        <v>1434.0976746874994</v>
      </c>
      <c r="Y23" s="154">
        <f t="shared" ref="Y23:Y62" si="52">X23*(1+$R23)</f>
        <v>1649.2123258906242</v>
      </c>
      <c r="Z23" s="154">
        <f t="shared" ref="Z23:Z62" si="53">Y23*(1+$R23)</f>
        <v>1896.5941747742177</v>
      </c>
      <c r="AA23" s="154">
        <f t="shared" ref="AA23:AA62" si="54">Z23*(1+$R23)</f>
        <v>2181.0833009903499</v>
      </c>
      <c r="AB23" s="154">
        <f t="shared" ref="AB23:AB62" si="55">AA23*(1+$R23)</f>
        <v>2508.2457961389023</v>
      </c>
      <c r="AC23" s="137">
        <f t="shared" si="19"/>
        <v>0.16358314055474943</v>
      </c>
      <c r="AD23" s="31">
        <f t="shared" si="17"/>
        <v>0.05</v>
      </c>
      <c r="AE23" s="145">
        <f t="shared" si="1"/>
        <v>15492.106387916752</v>
      </c>
    </row>
    <row r="24" spans="2:31" x14ac:dyDescent="0.2">
      <c r="B24" s="20"/>
      <c r="C24" s="140"/>
      <c r="D24" s="140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27"/>
      <c r="R24" s="20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  <c r="AC24" s="138"/>
      <c r="AD24" s="136"/>
      <c r="AE24" s="154"/>
    </row>
    <row r="25" spans="2:31" x14ac:dyDescent="0.2">
      <c r="B25" s="20" t="s">
        <v>284</v>
      </c>
      <c r="C25" s="140"/>
      <c r="D25" s="140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18" t="e">
        <f>((P25/G25)^(1/($H$2-$H$1) ))-1</f>
        <v>#DIV/0!</v>
      </c>
      <c r="R25" s="31">
        <f t="shared" si="6"/>
        <v>0.15</v>
      </c>
      <c r="S25" s="154">
        <f t="shared" ref="S25:S27" si="56">P25*(1+$R25)</f>
        <v>0</v>
      </c>
      <c r="T25" s="154">
        <f t="shared" ref="T25:T27" si="57">S25*(1+$R25)</f>
        <v>0</v>
      </c>
      <c r="U25" s="154">
        <f t="shared" ref="U25:U27" si="58">T25*(1+$R25)</f>
        <v>0</v>
      </c>
      <c r="V25" s="154">
        <f t="shared" ref="V25:V27" si="59">U25*(1+$R25)</f>
        <v>0</v>
      </c>
      <c r="W25" s="154">
        <f t="shared" ref="W25:W27" si="60">V25*(1+$R25)</f>
        <v>0</v>
      </c>
      <c r="X25" s="154">
        <f t="shared" ref="X25:X27" si="61">W25*(1+$R25)</f>
        <v>0</v>
      </c>
      <c r="Y25" s="154">
        <f t="shared" ref="Y25:Y27" si="62">X25*(1+$R25)</f>
        <v>0</v>
      </c>
      <c r="Z25" s="154">
        <f t="shared" ref="Z25:Z27" si="63">Y25*(1+$R25)</f>
        <v>0</v>
      </c>
      <c r="AA25" s="154">
        <f t="shared" ref="AA25:AA27" si="64">Z25*(1+$R25)</f>
        <v>0</v>
      </c>
      <c r="AB25" s="154">
        <f t="shared" ref="AB25:AB27" si="65">AA25*(1+$R25)</f>
        <v>0</v>
      </c>
      <c r="AC25" s="137" t="e">
        <f t="shared" ref="AC25:AC27" si="66">((AB25/G25)^(1/($AB$3-$H$1) ))-1</f>
        <v>#DIV/0!</v>
      </c>
      <c r="AD25" s="31">
        <f t="shared" si="17"/>
        <v>0.05</v>
      </c>
      <c r="AE25" s="145">
        <f t="shared" si="1"/>
        <v>0</v>
      </c>
    </row>
    <row r="26" spans="2:31" x14ac:dyDescent="0.2">
      <c r="B26" s="20" t="s">
        <v>285</v>
      </c>
      <c r="C26" s="140"/>
      <c r="D26" s="140"/>
      <c r="E26" s="146"/>
      <c r="F26" s="146"/>
      <c r="G26" s="146"/>
      <c r="H26" s="146"/>
      <c r="I26" s="146"/>
      <c r="J26" s="146"/>
      <c r="K26" s="146"/>
      <c r="L26" s="146"/>
      <c r="M26" s="146"/>
      <c r="N26" s="146"/>
      <c r="O26" s="146"/>
      <c r="P26" s="146"/>
      <c r="Q26" s="118" t="e">
        <f>((P26/G26)^(1/($H$2-$H$1) ))-1</f>
        <v>#DIV/0!</v>
      </c>
      <c r="R26" s="31">
        <f t="shared" si="6"/>
        <v>0.15</v>
      </c>
      <c r="S26" s="154">
        <f t="shared" si="56"/>
        <v>0</v>
      </c>
      <c r="T26" s="154">
        <f t="shared" si="57"/>
        <v>0</v>
      </c>
      <c r="U26" s="154">
        <f t="shared" si="58"/>
        <v>0</v>
      </c>
      <c r="V26" s="154">
        <f t="shared" si="59"/>
        <v>0</v>
      </c>
      <c r="W26" s="154">
        <f t="shared" si="60"/>
        <v>0</v>
      </c>
      <c r="X26" s="154">
        <f t="shared" si="61"/>
        <v>0</v>
      </c>
      <c r="Y26" s="154">
        <f t="shared" si="62"/>
        <v>0</v>
      </c>
      <c r="Z26" s="154">
        <f t="shared" si="63"/>
        <v>0</v>
      </c>
      <c r="AA26" s="154">
        <f t="shared" si="64"/>
        <v>0</v>
      </c>
      <c r="AB26" s="154">
        <f t="shared" si="65"/>
        <v>0</v>
      </c>
      <c r="AC26" s="137" t="e">
        <f t="shared" si="66"/>
        <v>#DIV/0!</v>
      </c>
      <c r="AD26" s="31">
        <f t="shared" si="17"/>
        <v>0.05</v>
      </c>
      <c r="AE26" s="145">
        <f t="shared" si="1"/>
        <v>0</v>
      </c>
    </row>
    <row r="27" spans="2:31" x14ac:dyDescent="0.2">
      <c r="B27" s="20" t="s">
        <v>286</v>
      </c>
      <c r="C27" s="140"/>
      <c r="D27" s="140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18" t="e">
        <f>((P27/G27)^(1/($H$2-$H$1) ))-1</f>
        <v>#DIV/0!</v>
      </c>
      <c r="R27" s="31">
        <f t="shared" si="6"/>
        <v>0.15</v>
      </c>
      <c r="S27" s="154">
        <f t="shared" si="56"/>
        <v>0</v>
      </c>
      <c r="T27" s="154">
        <f t="shared" si="57"/>
        <v>0</v>
      </c>
      <c r="U27" s="154">
        <f t="shared" si="58"/>
        <v>0</v>
      </c>
      <c r="V27" s="154">
        <f t="shared" si="59"/>
        <v>0</v>
      </c>
      <c r="W27" s="154">
        <f t="shared" si="60"/>
        <v>0</v>
      </c>
      <c r="X27" s="154">
        <f t="shared" si="61"/>
        <v>0</v>
      </c>
      <c r="Y27" s="154">
        <f t="shared" si="62"/>
        <v>0</v>
      </c>
      <c r="Z27" s="154">
        <f t="shared" si="63"/>
        <v>0</v>
      </c>
      <c r="AA27" s="154">
        <f t="shared" si="64"/>
        <v>0</v>
      </c>
      <c r="AB27" s="154">
        <f t="shared" si="65"/>
        <v>0</v>
      </c>
      <c r="AC27" s="137" t="e">
        <f t="shared" si="66"/>
        <v>#DIV/0!</v>
      </c>
      <c r="AD27" s="31">
        <f t="shared" si="17"/>
        <v>0.05</v>
      </c>
      <c r="AE27" s="145">
        <f t="shared" si="1"/>
        <v>0</v>
      </c>
    </row>
    <row r="28" spans="2:31" x14ac:dyDescent="0.2">
      <c r="B28" s="20" t="s">
        <v>296</v>
      </c>
      <c r="C28" s="140"/>
      <c r="D28" s="140"/>
      <c r="E28" s="146"/>
      <c r="F28" s="146"/>
      <c r="G28" s="146"/>
      <c r="H28" s="146"/>
      <c r="I28" s="146"/>
      <c r="J28" s="146"/>
      <c r="K28" s="146"/>
      <c r="L28" s="146"/>
      <c r="M28" s="146"/>
      <c r="N28" s="146"/>
      <c r="O28" s="146"/>
      <c r="P28" s="146"/>
      <c r="Q28" s="118" t="e">
        <f>((P28/G28)^(1/($H$2-$H$1) ))-1</f>
        <v>#DIV/0!</v>
      </c>
      <c r="R28" s="31">
        <f t="shared" si="6"/>
        <v>0.15</v>
      </c>
      <c r="S28" s="154">
        <f t="shared" ref="S28" si="67">P28*(1+$R28)</f>
        <v>0</v>
      </c>
      <c r="T28" s="154">
        <f t="shared" ref="T28" si="68">S28*(1+$R28)</f>
        <v>0</v>
      </c>
      <c r="U28" s="154">
        <f t="shared" ref="U28" si="69">T28*(1+$R28)</f>
        <v>0</v>
      </c>
      <c r="V28" s="154">
        <f t="shared" ref="V28" si="70">U28*(1+$R28)</f>
        <v>0</v>
      </c>
      <c r="W28" s="154">
        <f t="shared" ref="W28" si="71">V28*(1+$R28)</f>
        <v>0</v>
      </c>
      <c r="X28" s="154">
        <f t="shared" ref="X28" si="72">W28*(1+$R28)</f>
        <v>0</v>
      </c>
      <c r="Y28" s="154">
        <f t="shared" ref="Y28" si="73">X28*(1+$R28)</f>
        <v>0</v>
      </c>
      <c r="Z28" s="154">
        <f t="shared" ref="Z28" si="74">Y28*(1+$R28)</f>
        <v>0</v>
      </c>
      <c r="AA28" s="154">
        <f t="shared" ref="AA28" si="75">Z28*(1+$R28)</f>
        <v>0</v>
      </c>
      <c r="AB28" s="154">
        <f t="shared" ref="AB28" si="76">AA28*(1+$R28)</f>
        <v>0</v>
      </c>
      <c r="AC28" s="137" t="e">
        <f t="shared" ref="AC28" si="77">((AB28/G28)^(1/($AB$3-$H$1) ))-1</f>
        <v>#DIV/0!</v>
      </c>
      <c r="AD28" s="31">
        <f t="shared" si="17"/>
        <v>0.05</v>
      </c>
      <c r="AE28" s="145">
        <f t="shared" si="1"/>
        <v>0</v>
      </c>
    </row>
    <row r="29" spans="2:31" x14ac:dyDescent="0.2">
      <c r="B29" s="20"/>
      <c r="C29" s="140"/>
      <c r="D29" s="140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54"/>
      <c r="T29" s="154"/>
      <c r="U29" s="154"/>
      <c r="V29" s="154"/>
      <c r="W29" s="154"/>
      <c r="X29" s="154"/>
      <c r="Y29" s="154"/>
      <c r="Z29" s="154"/>
      <c r="AA29" s="154"/>
      <c r="AB29" s="154"/>
      <c r="AC29" s="162"/>
      <c r="AD29" s="119"/>
      <c r="AE29" s="154"/>
    </row>
    <row r="30" spans="2:31" s="122" customFormat="1" x14ac:dyDescent="0.2">
      <c r="B30" s="20" t="s">
        <v>371</v>
      </c>
      <c r="C30" s="149"/>
      <c r="D30" s="149"/>
      <c r="E30" s="150"/>
      <c r="F30" s="146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18" t="e">
        <f>((P30/G30)^(1/($H$2-$H$1) ))-1</f>
        <v>#DIV/0!</v>
      </c>
      <c r="R30" s="31">
        <v>0.1</v>
      </c>
      <c r="S30" s="154">
        <f t="shared" ref="S30:S33" si="78">P30*(1+$R30)</f>
        <v>0</v>
      </c>
      <c r="T30" s="154">
        <f t="shared" ref="T30:T33" si="79">S30*(1+$R30)</f>
        <v>0</v>
      </c>
      <c r="U30" s="154">
        <f t="shared" ref="U30:U33" si="80">T30*(1+$R30)</f>
        <v>0</v>
      </c>
      <c r="V30" s="154">
        <f t="shared" ref="V30:V33" si="81">U30*(1+$R30)</f>
        <v>0</v>
      </c>
      <c r="W30" s="154">
        <f t="shared" ref="W30:W33" si="82">V30*(1+$R30)</f>
        <v>0</v>
      </c>
      <c r="X30" s="154">
        <f t="shared" ref="X30:X33" si="83">W30*(1+$R30)</f>
        <v>0</v>
      </c>
      <c r="Y30" s="154">
        <f t="shared" ref="Y30:Y33" si="84">X30*(1+$R30)</f>
        <v>0</v>
      </c>
      <c r="Z30" s="154">
        <f t="shared" ref="Z30:Z33" si="85">Y30*(1+$R30)</f>
        <v>0</v>
      </c>
      <c r="AA30" s="154">
        <f t="shared" ref="AA30:AA33" si="86">Z30*(1+$R30)</f>
        <v>0</v>
      </c>
      <c r="AB30" s="154">
        <f t="shared" ref="AB30:AB33" si="87">AA30*(1+$R30)</f>
        <v>0</v>
      </c>
      <c r="AC30" s="137" t="e">
        <f t="shared" ref="AC30:AC33" si="88">((AB30/G30)^(1/($AB$3-$H$1) ))-1</f>
        <v>#DIV/0!</v>
      </c>
      <c r="AD30" s="31">
        <f t="shared" si="17"/>
        <v>0.05</v>
      </c>
      <c r="AE30" s="145">
        <f t="shared" ref="AE30:AE33" si="89">(AB30*(1+AD30))/($C$1-AD30)</f>
        <v>0</v>
      </c>
    </row>
    <row r="31" spans="2:31" s="122" customFormat="1" x14ac:dyDescent="0.2">
      <c r="B31" s="20" t="s">
        <v>372</v>
      </c>
      <c r="C31" s="149"/>
      <c r="D31" s="149"/>
      <c r="E31" s="150"/>
      <c r="F31" s="146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18" t="e">
        <f>((P31/G31)^(1/($H$2-$H$1) ))-1</f>
        <v>#DIV/0!</v>
      </c>
      <c r="R31" s="31">
        <v>0.1</v>
      </c>
      <c r="S31" s="154">
        <f t="shared" si="78"/>
        <v>0</v>
      </c>
      <c r="T31" s="154">
        <f t="shared" si="79"/>
        <v>0</v>
      </c>
      <c r="U31" s="154">
        <f t="shared" si="80"/>
        <v>0</v>
      </c>
      <c r="V31" s="154">
        <f t="shared" si="81"/>
        <v>0</v>
      </c>
      <c r="W31" s="154">
        <f t="shared" si="82"/>
        <v>0</v>
      </c>
      <c r="X31" s="154">
        <f t="shared" si="83"/>
        <v>0</v>
      </c>
      <c r="Y31" s="154">
        <f t="shared" si="84"/>
        <v>0</v>
      </c>
      <c r="Z31" s="154">
        <f t="shared" si="85"/>
        <v>0</v>
      </c>
      <c r="AA31" s="154">
        <f t="shared" si="86"/>
        <v>0</v>
      </c>
      <c r="AB31" s="154">
        <f t="shared" si="87"/>
        <v>0</v>
      </c>
      <c r="AC31" s="137" t="e">
        <f t="shared" si="88"/>
        <v>#DIV/0!</v>
      </c>
      <c r="AD31" s="31">
        <f t="shared" si="17"/>
        <v>0.05</v>
      </c>
      <c r="AE31" s="145">
        <f t="shared" si="89"/>
        <v>0</v>
      </c>
    </row>
    <row r="32" spans="2:31" s="122" customFormat="1" x14ac:dyDescent="0.2">
      <c r="B32" s="20" t="s">
        <v>373</v>
      </c>
      <c r="C32" s="149"/>
      <c r="D32" s="149"/>
      <c r="E32" s="150"/>
      <c r="F32" s="146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18" t="e">
        <f>((P32/G32)^(1/($H$2-$H$1) ))-1</f>
        <v>#DIV/0!</v>
      </c>
      <c r="R32" s="31">
        <v>0.1</v>
      </c>
      <c r="S32" s="154">
        <f t="shared" si="78"/>
        <v>0</v>
      </c>
      <c r="T32" s="154">
        <f t="shared" si="79"/>
        <v>0</v>
      </c>
      <c r="U32" s="154">
        <f t="shared" si="80"/>
        <v>0</v>
      </c>
      <c r="V32" s="154">
        <f t="shared" si="81"/>
        <v>0</v>
      </c>
      <c r="W32" s="154">
        <f t="shared" si="82"/>
        <v>0</v>
      </c>
      <c r="X32" s="154">
        <f t="shared" si="83"/>
        <v>0</v>
      </c>
      <c r="Y32" s="154">
        <f t="shared" si="84"/>
        <v>0</v>
      </c>
      <c r="Z32" s="154">
        <f t="shared" si="85"/>
        <v>0</v>
      </c>
      <c r="AA32" s="154">
        <f t="shared" si="86"/>
        <v>0</v>
      </c>
      <c r="AB32" s="154">
        <f t="shared" si="87"/>
        <v>0</v>
      </c>
      <c r="AC32" s="137" t="e">
        <f t="shared" si="88"/>
        <v>#DIV/0!</v>
      </c>
      <c r="AD32" s="31">
        <f t="shared" si="17"/>
        <v>0.05</v>
      </c>
      <c r="AE32" s="145">
        <f t="shared" si="89"/>
        <v>0</v>
      </c>
    </row>
    <row r="33" spans="2:31" x14ac:dyDescent="0.2">
      <c r="B33" s="20" t="s">
        <v>374</v>
      </c>
      <c r="C33" s="140"/>
      <c r="D33" s="140"/>
      <c r="E33" s="146"/>
      <c r="F33" s="146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18" t="e">
        <f>((P33/G33)^(1/($H$2-$H$1) ))-1</f>
        <v>#DIV/0!</v>
      </c>
      <c r="R33" s="31">
        <v>0.1</v>
      </c>
      <c r="S33" s="154">
        <f t="shared" si="78"/>
        <v>0</v>
      </c>
      <c r="T33" s="154">
        <f t="shared" si="79"/>
        <v>0</v>
      </c>
      <c r="U33" s="154">
        <f t="shared" si="80"/>
        <v>0</v>
      </c>
      <c r="V33" s="154">
        <f t="shared" si="81"/>
        <v>0</v>
      </c>
      <c r="W33" s="154">
        <f t="shared" si="82"/>
        <v>0</v>
      </c>
      <c r="X33" s="154">
        <f t="shared" si="83"/>
        <v>0</v>
      </c>
      <c r="Y33" s="154">
        <f t="shared" si="84"/>
        <v>0</v>
      </c>
      <c r="Z33" s="154">
        <f t="shared" si="85"/>
        <v>0</v>
      </c>
      <c r="AA33" s="154">
        <f t="shared" si="86"/>
        <v>0</v>
      </c>
      <c r="AB33" s="154">
        <f t="shared" si="87"/>
        <v>0</v>
      </c>
      <c r="AC33" s="137" t="e">
        <f t="shared" si="88"/>
        <v>#DIV/0!</v>
      </c>
      <c r="AD33" s="31">
        <f t="shared" si="17"/>
        <v>0.05</v>
      </c>
      <c r="AE33" s="145">
        <f t="shared" si="89"/>
        <v>0</v>
      </c>
    </row>
    <row r="34" spans="2:31" x14ac:dyDescent="0.2">
      <c r="B34" s="20"/>
      <c r="C34" s="140"/>
      <c r="D34" s="140"/>
      <c r="E34" s="146"/>
      <c r="F34" s="146"/>
      <c r="G34" s="148" t="e">
        <f>(G33-F33)/G33</f>
        <v>#DIV/0!</v>
      </c>
      <c r="H34" s="148" t="e">
        <f>(H33-G33)/H33</f>
        <v>#DIV/0!</v>
      </c>
      <c r="I34" s="148" t="e">
        <f t="shared" ref="I34:P34" si="90">(I33-H33)/I33</f>
        <v>#DIV/0!</v>
      </c>
      <c r="J34" s="148" t="e">
        <f t="shared" si="90"/>
        <v>#DIV/0!</v>
      </c>
      <c r="K34" s="148" t="e">
        <f t="shared" si="90"/>
        <v>#DIV/0!</v>
      </c>
      <c r="L34" s="148" t="e">
        <f t="shared" si="90"/>
        <v>#DIV/0!</v>
      </c>
      <c r="M34" s="148" t="e">
        <f t="shared" si="90"/>
        <v>#DIV/0!</v>
      </c>
      <c r="N34" s="148" t="e">
        <f t="shared" si="90"/>
        <v>#DIV/0!</v>
      </c>
      <c r="O34" s="148" t="e">
        <f t="shared" si="90"/>
        <v>#DIV/0!</v>
      </c>
      <c r="P34" s="148" t="e">
        <f t="shared" si="90"/>
        <v>#DIV/0!</v>
      </c>
      <c r="Q34" s="3"/>
      <c r="R34" s="3"/>
      <c r="S34" s="154"/>
      <c r="T34" s="154"/>
      <c r="U34" s="154"/>
      <c r="V34" s="154"/>
      <c r="W34" s="154"/>
      <c r="X34" s="154"/>
      <c r="Y34" s="154"/>
      <c r="Z34" s="154"/>
      <c r="AA34" s="154"/>
      <c r="AB34" s="154"/>
      <c r="AC34" s="154"/>
      <c r="AD34" s="154"/>
      <c r="AE34" s="145"/>
    </row>
    <row r="35" spans="2:31" x14ac:dyDescent="0.2">
      <c r="B35" s="20"/>
      <c r="C35" s="140"/>
      <c r="D35" s="140"/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27"/>
      <c r="R35" s="20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19"/>
      <c r="AD35" s="136"/>
      <c r="AE35" s="154"/>
    </row>
    <row r="36" spans="2:31" x14ac:dyDescent="0.2">
      <c r="B36" s="20" t="s">
        <v>366</v>
      </c>
      <c r="C36" s="140"/>
      <c r="D36" s="140"/>
      <c r="E36" s="146"/>
      <c r="F36" s="146"/>
      <c r="G36" s="146">
        <v>4220</v>
      </c>
      <c r="H36" s="146">
        <v>3832</v>
      </c>
      <c r="I36" s="146">
        <v>5616</v>
      </c>
      <c r="J36" s="146">
        <v>9660</v>
      </c>
      <c r="K36" s="146">
        <v>13691</v>
      </c>
      <c r="L36" s="146">
        <v>13822</v>
      </c>
      <c r="M36" s="146">
        <v>21819</v>
      </c>
      <c r="N36" s="146">
        <v>27312</v>
      </c>
      <c r="O36" s="146">
        <v>36460</v>
      </c>
      <c r="P36" s="146">
        <v>49389</v>
      </c>
      <c r="Q36" s="118">
        <f>((P36/G36)^(1/($H$2-$H$1) ))-1</f>
        <v>0.31432260012804547</v>
      </c>
      <c r="R36" s="31">
        <v>0.11</v>
      </c>
      <c r="S36" s="154">
        <f t="shared" ref="S36:S42" si="91">P36*(1+$R36)</f>
        <v>54821.790000000008</v>
      </c>
      <c r="T36" s="154">
        <f t="shared" ref="T36:AB42" si="92">S36*(1+$R36)</f>
        <v>60852.186900000015</v>
      </c>
      <c r="U36" s="154">
        <f t="shared" si="92"/>
        <v>67545.927459000028</v>
      </c>
      <c r="V36" s="154">
        <f t="shared" si="92"/>
        <v>74975.979479490037</v>
      </c>
      <c r="W36" s="154">
        <f t="shared" si="92"/>
        <v>83223.337222233953</v>
      </c>
      <c r="X36" s="154">
        <f t="shared" si="92"/>
        <v>92377.904316679691</v>
      </c>
      <c r="Y36" s="154">
        <f t="shared" si="92"/>
        <v>102539.47379151447</v>
      </c>
      <c r="Z36" s="154">
        <f t="shared" si="92"/>
        <v>113818.81590858106</v>
      </c>
      <c r="AA36" s="154">
        <f t="shared" si="92"/>
        <v>126338.88565852499</v>
      </c>
      <c r="AB36" s="154">
        <f t="shared" si="92"/>
        <v>140236.16308096275</v>
      </c>
      <c r="AC36" s="137">
        <f t="shared" ref="AC36:AC42" si="93">((AB36/G36)^(1/($AB$3-$H$1) ))-1</f>
        <v>0.20248993800124304</v>
      </c>
      <c r="AD36" s="31">
        <v>0.05</v>
      </c>
      <c r="AE36" s="145">
        <f t="shared" si="1"/>
        <v>866164.53667653468</v>
      </c>
    </row>
    <row r="37" spans="2:31" x14ac:dyDescent="0.2">
      <c r="B37" s="20"/>
      <c r="C37" s="140"/>
      <c r="D37" s="140"/>
      <c r="E37" s="146"/>
      <c r="F37" s="146"/>
      <c r="G37" s="148">
        <f>(G36-F36)/G36</f>
        <v>1</v>
      </c>
      <c r="H37" s="148">
        <f>(H36-G36)/H36</f>
        <v>-0.10125260960334029</v>
      </c>
      <c r="I37" s="148">
        <f t="shared" ref="I37:P37" si="94">(I36-H36)/I36</f>
        <v>0.31766381766381768</v>
      </c>
      <c r="J37" s="148">
        <f t="shared" si="94"/>
        <v>0.41863354037267081</v>
      </c>
      <c r="K37" s="148">
        <f t="shared" si="94"/>
        <v>0.29442699583668103</v>
      </c>
      <c r="L37" s="148">
        <f t="shared" si="94"/>
        <v>9.4776443351179285E-3</v>
      </c>
      <c r="M37" s="148">
        <f t="shared" si="94"/>
        <v>0.36651542233832896</v>
      </c>
      <c r="N37" s="148">
        <f t="shared" si="94"/>
        <v>0.20112038664323376</v>
      </c>
      <c r="O37" s="148">
        <f t="shared" si="94"/>
        <v>0.25090510148107514</v>
      </c>
      <c r="P37" s="148">
        <f t="shared" si="94"/>
        <v>0.2617789386300593</v>
      </c>
      <c r="Q37" s="3"/>
      <c r="R37" s="3"/>
      <c r="S37" s="154"/>
      <c r="T37" s="154"/>
      <c r="U37" s="154"/>
      <c r="V37" s="154"/>
      <c r="W37" s="154"/>
      <c r="X37" s="154"/>
      <c r="Y37" s="154"/>
      <c r="Z37" s="154"/>
      <c r="AA37" s="154"/>
      <c r="AB37" s="154"/>
      <c r="AC37" s="138"/>
      <c r="AD37" s="127"/>
      <c r="AE37" s="145"/>
    </row>
    <row r="38" spans="2:31" x14ac:dyDescent="0.2">
      <c r="B38" s="20" t="s">
        <v>367</v>
      </c>
      <c r="C38" s="140"/>
      <c r="D38" s="140"/>
      <c r="E38" s="146"/>
      <c r="F38" s="146"/>
      <c r="G38" s="146">
        <v>3103</v>
      </c>
      <c r="H38" s="146">
        <v>3723</v>
      </c>
      <c r="I38" s="146">
        <v>5797</v>
      </c>
      <c r="J38" s="146">
        <v>9985</v>
      </c>
      <c r="K38" s="146">
        <v>12772</v>
      </c>
      <c r="L38" s="146">
        <v>11059</v>
      </c>
      <c r="M38" s="146">
        <v>13885</v>
      </c>
      <c r="N38" s="146">
        <v>22073</v>
      </c>
      <c r="O38" s="146">
        <v>29194</v>
      </c>
      <c r="P38" s="146">
        <v>36171</v>
      </c>
      <c r="Q38" s="118">
        <f>((P38/G38)^(1/($H$2-$H$1) ))-1</f>
        <v>0.3137379600408754</v>
      </c>
      <c r="R38" s="31">
        <v>0.1</v>
      </c>
      <c r="S38" s="154">
        <f t="shared" ref="S38" si="95">P38*(1+$R38)</f>
        <v>39788.100000000006</v>
      </c>
      <c r="T38" s="154">
        <f t="shared" ref="T38:AB38" si="96">S38*(1+$R38)</f>
        <v>43766.910000000011</v>
      </c>
      <c r="U38" s="154">
        <f t="shared" si="96"/>
        <v>48143.601000000017</v>
      </c>
      <c r="V38" s="154">
        <f t="shared" si="96"/>
        <v>52957.961100000022</v>
      </c>
      <c r="W38" s="154">
        <f t="shared" si="96"/>
        <v>58253.757210000033</v>
      </c>
      <c r="X38" s="154">
        <f t="shared" si="96"/>
        <v>64079.132931000044</v>
      </c>
      <c r="Y38" s="154">
        <f t="shared" si="96"/>
        <v>70487.04622410005</v>
      </c>
      <c r="Z38" s="154">
        <f t="shared" si="96"/>
        <v>77535.750846510055</v>
      </c>
      <c r="AA38" s="154">
        <f t="shared" si="96"/>
        <v>85289.32593116106</v>
      </c>
      <c r="AB38" s="154">
        <f t="shared" si="96"/>
        <v>93818.258524277175</v>
      </c>
      <c r="AC38" s="137">
        <f t="shared" ref="AC38" si="97">((AB38/G38)^(1/($AB$3-$H$1) ))-1</f>
        <v>0.19652381476975789</v>
      </c>
      <c r="AD38" s="31">
        <v>0.05</v>
      </c>
      <c r="AE38" s="145">
        <f t="shared" si="1"/>
        <v>579465.71441465325</v>
      </c>
    </row>
    <row r="39" spans="2:31" x14ac:dyDescent="0.2">
      <c r="B39" s="20"/>
      <c r="C39" s="140"/>
      <c r="D39" s="140"/>
      <c r="E39" s="146"/>
      <c r="F39" s="146"/>
      <c r="G39" s="148">
        <f>(G38-F38)/G38</f>
        <v>1</v>
      </c>
      <c r="H39" s="148">
        <f>(H38-G38)/H38</f>
        <v>0.16653236637120603</v>
      </c>
      <c r="I39" s="148">
        <f t="shared" ref="I39:P39" si="98">(I38-H38)/I38</f>
        <v>0.35777126099706746</v>
      </c>
      <c r="J39" s="148">
        <f t="shared" si="98"/>
        <v>0.41942914371557338</v>
      </c>
      <c r="K39" s="148">
        <f t="shared" si="98"/>
        <v>0.21821171312245538</v>
      </c>
      <c r="L39" s="148">
        <f t="shared" si="98"/>
        <v>-0.15489646441812099</v>
      </c>
      <c r="M39" s="148">
        <f t="shared" si="98"/>
        <v>0.20352898811667267</v>
      </c>
      <c r="N39" s="148">
        <f t="shared" si="98"/>
        <v>0.37095093553209801</v>
      </c>
      <c r="O39" s="148">
        <f t="shared" si="98"/>
        <v>0.24391998355826539</v>
      </c>
      <c r="P39" s="148">
        <f t="shared" si="98"/>
        <v>0.19288933123220259</v>
      </c>
      <c r="Q39" s="3"/>
      <c r="R39" s="3"/>
      <c r="S39" s="154"/>
      <c r="T39" s="154"/>
      <c r="U39" s="154"/>
      <c r="V39" s="154"/>
      <c r="W39" s="154"/>
      <c r="X39" s="154"/>
      <c r="Y39" s="154"/>
      <c r="Z39" s="154"/>
      <c r="AA39" s="154"/>
      <c r="AB39" s="154"/>
      <c r="AC39" s="138"/>
      <c r="AD39" s="127"/>
      <c r="AE39" s="145"/>
    </row>
    <row r="40" spans="2:31" x14ac:dyDescent="0.2">
      <c r="B40" s="20" t="s">
        <v>368</v>
      </c>
      <c r="C40" s="140"/>
      <c r="D40" s="140"/>
      <c r="E40" s="146"/>
      <c r="F40" s="146"/>
      <c r="G40" s="146">
        <v>927</v>
      </c>
      <c r="H40" s="146">
        <v>1565</v>
      </c>
      <c r="I40" s="146">
        <v>2983</v>
      </c>
      <c r="J40" s="146">
        <v>4011</v>
      </c>
      <c r="K40" s="146">
        <v>5357</v>
      </c>
      <c r="L40" s="146">
        <v>4935</v>
      </c>
      <c r="M40" s="146">
        <v>4992</v>
      </c>
      <c r="N40" s="146">
        <v>5042</v>
      </c>
      <c r="O40" s="146">
        <v>4586</v>
      </c>
      <c r="P40" s="146">
        <v>4720</v>
      </c>
      <c r="Q40" s="118">
        <f>((P40/G40)^(1/($H$2-$H$1) ))-1</f>
        <v>0.19823017331978265</v>
      </c>
      <c r="R40" s="31">
        <v>0.1</v>
      </c>
      <c r="S40" s="154">
        <f t="shared" ref="S40" si="99">P40*(1+$R40)</f>
        <v>5192</v>
      </c>
      <c r="T40" s="154">
        <f t="shared" ref="T40:AB40" si="100">S40*(1+$R40)</f>
        <v>5711.2000000000007</v>
      </c>
      <c r="U40" s="154">
        <f t="shared" si="100"/>
        <v>6282.3200000000015</v>
      </c>
      <c r="V40" s="154">
        <f t="shared" si="100"/>
        <v>6910.5520000000024</v>
      </c>
      <c r="W40" s="154">
        <f t="shared" si="100"/>
        <v>7601.6072000000031</v>
      </c>
      <c r="X40" s="154">
        <f t="shared" si="100"/>
        <v>8361.7679200000039</v>
      </c>
      <c r="Y40" s="154">
        <f t="shared" si="100"/>
        <v>9197.9447120000059</v>
      </c>
      <c r="Z40" s="154">
        <f t="shared" si="100"/>
        <v>10117.739183200007</v>
      </c>
      <c r="AA40" s="154">
        <f t="shared" si="100"/>
        <v>11129.513101520008</v>
      </c>
      <c r="AB40" s="154">
        <f t="shared" si="100"/>
        <v>12242.46441167201</v>
      </c>
      <c r="AC40" s="137">
        <f t="shared" ref="AC40" si="101">((AB40/G40)^(1/($AB$3-$H$1) ))-1</f>
        <v>0.14548366623541842</v>
      </c>
      <c r="AD40" s="31">
        <v>0.05</v>
      </c>
      <c r="AE40" s="145">
        <f t="shared" si="1"/>
        <v>75615.221366209487</v>
      </c>
    </row>
    <row r="41" spans="2:31" x14ac:dyDescent="0.2">
      <c r="B41" s="20"/>
      <c r="C41" s="140"/>
      <c r="D41" s="140"/>
      <c r="E41" s="146"/>
      <c r="F41" s="146"/>
      <c r="G41" s="148">
        <f>(G40-F40)/G40</f>
        <v>1</v>
      </c>
      <c r="H41" s="148">
        <f>(H40-G40)/H40</f>
        <v>0.40766773162939296</v>
      </c>
      <c r="I41" s="148">
        <f t="shared" ref="I41:P41" si="102">(I40-H40)/I40</f>
        <v>0.47536037546094534</v>
      </c>
      <c r="J41" s="148">
        <f t="shared" si="102"/>
        <v>0.25629518823236103</v>
      </c>
      <c r="K41" s="148">
        <f t="shared" si="102"/>
        <v>0.25126003360089605</v>
      </c>
      <c r="L41" s="148">
        <f t="shared" si="102"/>
        <v>-8.5511651469098282E-2</v>
      </c>
      <c r="M41" s="148">
        <f t="shared" si="102"/>
        <v>1.141826923076923E-2</v>
      </c>
      <c r="N41" s="148">
        <f t="shared" si="102"/>
        <v>9.9166997223324085E-3</v>
      </c>
      <c r="O41" s="148">
        <f t="shared" si="102"/>
        <v>-9.9433057130396865E-2</v>
      </c>
      <c r="P41" s="148">
        <f t="shared" si="102"/>
        <v>2.8389830508474576E-2</v>
      </c>
      <c r="Q41" s="3"/>
      <c r="R41" s="3"/>
      <c r="S41" s="154"/>
      <c r="T41" s="154"/>
      <c r="U41" s="154"/>
      <c r="V41" s="154"/>
      <c r="W41" s="154"/>
      <c r="X41" s="154"/>
      <c r="Y41" s="154"/>
      <c r="Z41" s="154"/>
      <c r="AA41" s="154"/>
      <c r="AB41" s="154"/>
      <c r="AC41" s="138"/>
      <c r="AD41" s="127"/>
      <c r="AE41" s="145"/>
    </row>
    <row r="42" spans="2:31" x14ac:dyDescent="0.2">
      <c r="B42" s="20" t="s">
        <v>369</v>
      </c>
      <c r="C42" s="140"/>
      <c r="D42" s="140"/>
      <c r="E42" s="146"/>
      <c r="F42" s="146"/>
      <c r="G42" s="146">
        <v>4650</v>
      </c>
      <c r="H42" s="146">
        <v>7142</v>
      </c>
      <c r="I42" s="146">
        <v>10419</v>
      </c>
      <c r="J42" s="146">
        <v>15573</v>
      </c>
      <c r="K42" s="146">
        <v>21984</v>
      </c>
      <c r="L42" s="146">
        <v>22497</v>
      </c>
      <c r="M42" s="146">
        <v>29724</v>
      </c>
      <c r="N42" s="146">
        <v>41241</v>
      </c>
      <c r="O42" s="146">
        <v>53141</v>
      </c>
      <c r="P42" s="146">
        <v>66257</v>
      </c>
      <c r="Q42" s="118">
        <f>((P42/G42)^(1/($H$2-$H$1) ))-1</f>
        <v>0.3433761885067983</v>
      </c>
      <c r="R42" s="31">
        <v>0.1</v>
      </c>
      <c r="S42" s="154">
        <f t="shared" si="91"/>
        <v>72882.700000000012</v>
      </c>
      <c r="T42" s="154">
        <f t="shared" si="92"/>
        <v>80170.970000000016</v>
      </c>
      <c r="U42" s="154">
        <f t="shared" si="92"/>
        <v>88188.067000000025</v>
      </c>
      <c r="V42" s="154">
        <f t="shared" si="92"/>
        <v>97006.87370000004</v>
      </c>
      <c r="W42" s="154">
        <f t="shared" si="92"/>
        <v>106707.56107000005</v>
      </c>
      <c r="X42" s="154">
        <f t="shared" si="92"/>
        <v>117378.31717700006</v>
      </c>
      <c r="Y42" s="154">
        <f t="shared" si="92"/>
        <v>129116.14889470008</v>
      </c>
      <c r="Z42" s="154">
        <f t="shared" si="92"/>
        <v>142027.76378417009</v>
      </c>
      <c r="AA42" s="154">
        <f t="shared" si="92"/>
        <v>156230.5401625871</v>
      </c>
      <c r="AB42" s="154">
        <f t="shared" si="92"/>
        <v>171853.59417884581</v>
      </c>
      <c r="AC42" s="137">
        <f t="shared" si="93"/>
        <v>0.20923532211124929</v>
      </c>
      <c r="AD42" s="31">
        <v>0.05</v>
      </c>
      <c r="AE42" s="145">
        <f t="shared" si="1"/>
        <v>1061448.6699281656</v>
      </c>
    </row>
    <row r="43" spans="2:31" x14ac:dyDescent="0.2">
      <c r="B43" s="20"/>
      <c r="C43" s="140"/>
      <c r="D43" s="140"/>
      <c r="E43" s="146"/>
      <c r="F43" s="146"/>
      <c r="G43" s="148">
        <f>(G42-F42)/G42</f>
        <v>1</v>
      </c>
      <c r="H43" s="148">
        <f>(H42-G42)/H42</f>
        <v>0.34892187062447494</v>
      </c>
      <c r="I43" s="148">
        <f t="shared" ref="I43:P43" si="103">(I42-H42)/I42</f>
        <v>0.31452154717343317</v>
      </c>
      <c r="J43" s="148">
        <f t="shared" si="103"/>
        <v>0.33095742631477559</v>
      </c>
      <c r="K43" s="148">
        <f t="shared" si="103"/>
        <v>0.29162117903930129</v>
      </c>
      <c r="L43" s="148">
        <f t="shared" si="103"/>
        <v>2.2803040405387383E-2</v>
      </c>
      <c r="M43" s="148">
        <f t="shared" si="103"/>
        <v>0.24313685910375454</v>
      </c>
      <c r="N43" s="148">
        <f t="shared" si="103"/>
        <v>0.27926092965737981</v>
      </c>
      <c r="O43" s="148">
        <f t="shared" si="103"/>
        <v>0.22393255678289833</v>
      </c>
      <c r="P43" s="148">
        <f t="shared" si="103"/>
        <v>0.19795644233816803</v>
      </c>
      <c r="Q43" s="3"/>
      <c r="R43" s="3"/>
      <c r="S43" s="154"/>
      <c r="T43" s="154"/>
      <c r="U43" s="154"/>
      <c r="V43" s="154"/>
      <c r="W43" s="154"/>
      <c r="X43" s="154"/>
      <c r="Y43" s="154"/>
      <c r="Z43" s="154"/>
      <c r="AA43" s="154"/>
      <c r="AB43" s="154"/>
      <c r="AC43" s="137"/>
      <c r="AD43" s="31"/>
      <c r="AE43" s="145"/>
    </row>
    <row r="44" spans="2:31" x14ac:dyDescent="0.2">
      <c r="B44" s="20" t="s">
        <v>89</v>
      </c>
      <c r="C44" s="140"/>
      <c r="D44" s="140"/>
      <c r="E44" s="146"/>
      <c r="F44" s="146"/>
      <c r="G44" s="170">
        <v>1164</v>
      </c>
      <c r="H44" s="170">
        <v>1752</v>
      </c>
      <c r="I44" s="170">
        <v>2984</v>
      </c>
      <c r="J44" s="142">
        <v>4335</v>
      </c>
      <c r="K44" s="142">
        <v>7677</v>
      </c>
      <c r="L44" s="171">
        <v>7181</v>
      </c>
      <c r="M44" s="171">
        <v>9315</v>
      </c>
      <c r="N44" s="171">
        <v>11062</v>
      </c>
      <c r="O44" s="171">
        <v>13013</v>
      </c>
      <c r="P44" s="171">
        <v>15950</v>
      </c>
      <c r="Q44" s="118">
        <f>((P44/G44)^(1/($H$2-$H$1) ))-1</f>
        <v>0.33755598027667855</v>
      </c>
      <c r="R44" s="31">
        <f t="shared" si="6"/>
        <v>0.15</v>
      </c>
      <c r="S44" s="154">
        <f t="shared" si="46"/>
        <v>18342.5</v>
      </c>
      <c r="T44" s="154">
        <f t="shared" si="47"/>
        <v>21093.875</v>
      </c>
      <c r="U44" s="154">
        <f t="shared" si="48"/>
        <v>24257.956249999999</v>
      </c>
      <c r="V44" s="154">
        <f t="shared" si="49"/>
        <v>27896.649687499998</v>
      </c>
      <c r="W44" s="154">
        <f t="shared" si="50"/>
        <v>32081.147140624995</v>
      </c>
      <c r="X44" s="154">
        <f t="shared" si="51"/>
        <v>36893.319211718743</v>
      </c>
      <c r="Y44" s="154">
        <f t="shared" si="52"/>
        <v>42427.317093476551</v>
      </c>
      <c r="Z44" s="154">
        <f t="shared" si="53"/>
        <v>48791.414657498033</v>
      </c>
      <c r="AA44" s="154">
        <f t="shared" si="54"/>
        <v>56110.126856122733</v>
      </c>
      <c r="AB44" s="154">
        <f t="shared" si="55"/>
        <v>64526.64588454114</v>
      </c>
      <c r="AC44" s="137">
        <f t="shared" si="19"/>
        <v>0.23531642621976934</v>
      </c>
      <c r="AD44" s="31">
        <f t="shared" si="17"/>
        <v>0.05</v>
      </c>
      <c r="AE44" s="145">
        <f t="shared" si="1"/>
        <v>398546.9304633424</v>
      </c>
    </row>
    <row r="45" spans="2:31" s="122" customFormat="1" x14ac:dyDescent="0.2">
      <c r="B45" s="23"/>
      <c r="C45" s="149"/>
      <c r="D45" s="149"/>
      <c r="E45" s="150"/>
      <c r="F45" s="150"/>
      <c r="G45" s="148">
        <f>(G44-F44)/G44</f>
        <v>1</v>
      </c>
      <c r="H45" s="148">
        <f>(H44-G44)/H44</f>
        <v>0.33561643835616439</v>
      </c>
      <c r="I45" s="148">
        <f t="shared" ref="I45" si="104">(I44-H44)/I44</f>
        <v>0.4128686327077748</v>
      </c>
      <c r="J45" s="148">
        <f t="shared" ref="J45" si="105">(J44-I44)/J44</f>
        <v>0.3116493656286044</v>
      </c>
      <c r="K45" s="148">
        <f t="shared" ref="K45" si="106">(K44-J44)/K44</f>
        <v>0.43532629933567801</v>
      </c>
      <c r="L45" s="148">
        <f t="shared" ref="L45" si="107">(L44-K44)/L44</f>
        <v>-6.9071160005570259E-2</v>
      </c>
      <c r="M45" s="148">
        <f t="shared" ref="M45" si="108">(M44-L44)/M44</f>
        <v>0.22909286097691894</v>
      </c>
      <c r="N45" s="148">
        <f t="shared" ref="N45" si="109">(N44-M44)/N44</f>
        <v>0.15792804194539867</v>
      </c>
      <c r="O45" s="148">
        <f t="shared" ref="O45" si="110">(O44-N44)/O44</f>
        <v>0.14992699608084223</v>
      </c>
      <c r="P45" s="148">
        <f t="shared" ref="P45" si="111">(P44-O44)/P44</f>
        <v>0.18413793103448275</v>
      </c>
      <c r="Q45" s="127"/>
      <c r="R45" s="20"/>
      <c r="S45" s="155"/>
      <c r="T45" s="155"/>
      <c r="U45" s="155"/>
      <c r="V45" s="155"/>
      <c r="W45" s="155"/>
      <c r="X45" s="155"/>
      <c r="Y45" s="155"/>
      <c r="Z45" s="155"/>
      <c r="AA45" s="155"/>
      <c r="AB45" s="155"/>
      <c r="AC45" s="119"/>
      <c r="AD45" s="136"/>
      <c r="AE45" s="154"/>
    </row>
    <row r="46" spans="2:31" x14ac:dyDescent="0.2">
      <c r="B46" s="20" t="s">
        <v>262</v>
      </c>
      <c r="C46" s="140"/>
      <c r="D46" s="140"/>
      <c r="E46" s="146"/>
      <c r="F46" s="146"/>
      <c r="G46" s="170">
        <v>964</v>
      </c>
      <c r="H46" s="170">
        <v>1558</v>
      </c>
      <c r="I46" s="170">
        <v>2455</v>
      </c>
      <c r="J46" s="142">
        <v>3810</v>
      </c>
      <c r="K46" s="142">
        <v>6718</v>
      </c>
      <c r="L46" s="171">
        <v>6528</v>
      </c>
      <c r="M46" s="171">
        <v>7987</v>
      </c>
      <c r="N46" s="171">
        <v>9493</v>
      </c>
      <c r="O46" s="171">
        <v>11163</v>
      </c>
      <c r="P46" s="171">
        <v>13746</v>
      </c>
      <c r="Q46" s="118">
        <f>((P46/G46)^(1/($H$2-$H$1) ))-1</f>
        <v>0.34348634345316165</v>
      </c>
      <c r="R46" s="31">
        <f t="shared" si="6"/>
        <v>0.15</v>
      </c>
      <c r="S46" s="154">
        <f t="shared" si="46"/>
        <v>15807.9</v>
      </c>
      <c r="T46" s="154">
        <f t="shared" si="47"/>
        <v>18179.084999999999</v>
      </c>
      <c r="U46" s="154">
        <f t="shared" si="48"/>
        <v>20905.947749999996</v>
      </c>
      <c r="V46" s="154">
        <f t="shared" si="49"/>
        <v>24041.839912499992</v>
      </c>
      <c r="W46" s="154">
        <f t="shared" si="50"/>
        <v>27648.115899374989</v>
      </c>
      <c r="X46" s="154">
        <f t="shared" si="51"/>
        <v>31795.333284281234</v>
      </c>
      <c r="Y46" s="154">
        <f t="shared" si="52"/>
        <v>36564.633276923414</v>
      </c>
      <c r="Z46" s="154">
        <f t="shared" si="53"/>
        <v>42049.328268461926</v>
      </c>
      <c r="AA46" s="154">
        <f t="shared" si="54"/>
        <v>48356.727508731208</v>
      </c>
      <c r="AB46" s="154">
        <f t="shared" si="55"/>
        <v>55610.236635040885</v>
      </c>
      <c r="AC46" s="137">
        <f t="shared" si="19"/>
        <v>0.23790780304682291</v>
      </c>
      <c r="AD46" s="31">
        <f t="shared" si="17"/>
        <v>0.05</v>
      </c>
      <c r="AE46" s="145">
        <f t="shared" si="1"/>
        <v>343474.99098113494</v>
      </c>
    </row>
    <row r="47" spans="2:31" s="122" customFormat="1" x14ac:dyDescent="0.2">
      <c r="B47" s="23"/>
      <c r="C47" s="149"/>
      <c r="D47" s="149"/>
      <c r="E47" s="150"/>
      <c r="F47" s="150"/>
      <c r="G47" s="148">
        <f t="shared" ref="G47" si="112">(G46-F46)/G46</f>
        <v>1</v>
      </c>
      <c r="H47" s="148">
        <f t="shared" ref="H47" si="113">(H46-G46)/H46</f>
        <v>0.38125802310654683</v>
      </c>
      <c r="I47" s="148">
        <f t="shared" ref="I47" si="114">(I46-H46)/I46</f>
        <v>0.3653767820773931</v>
      </c>
      <c r="J47" s="148">
        <f t="shared" ref="J47" si="115">(J46-I46)/J46</f>
        <v>0.35564304461942259</v>
      </c>
      <c r="K47" s="148">
        <f t="shared" ref="K47" si="116">(K46-J46)/K46</f>
        <v>0.43286692467996429</v>
      </c>
      <c r="L47" s="148">
        <f t="shared" ref="L47" si="117">(L46-K46)/L46</f>
        <v>-2.9105392156862746E-2</v>
      </c>
      <c r="M47" s="148">
        <f t="shared" ref="M47" si="118">(M46-L46)/M46</f>
        <v>0.1826718417428321</v>
      </c>
      <c r="N47" s="148">
        <f t="shared" ref="N47" si="119">(N46-M46)/N46</f>
        <v>0.15864321078689561</v>
      </c>
      <c r="O47" s="148">
        <f t="shared" ref="O47" si="120">(O46-N46)/O46</f>
        <v>0.14960136164113588</v>
      </c>
      <c r="P47" s="148">
        <f t="shared" ref="P47" si="121">(P46-O46)/P46</f>
        <v>0.18790920995198604</v>
      </c>
      <c r="Q47" s="127"/>
      <c r="R47" s="20"/>
      <c r="S47" s="155"/>
      <c r="T47" s="155"/>
      <c r="U47" s="155"/>
      <c r="V47" s="155"/>
      <c r="W47" s="155"/>
      <c r="X47" s="155"/>
      <c r="Y47" s="155"/>
      <c r="Z47" s="155"/>
      <c r="AA47" s="155"/>
      <c r="AB47" s="155"/>
      <c r="AC47" s="119"/>
      <c r="AD47" s="136"/>
      <c r="AE47" s="154"/>
    </row>
    <row r="48" spans="2:31" x14ac:dyDescent="0.2">
      <c r="B48" s="20" t="s">
        <v>370</v>
      </c>
      <c r="C48" s="140"/>
      <c r="D48" s="140"/>
      <c r="E48" s="146"/>
      <c r="F48" s="146"/>
      <c r="G48" s="146">
        <v>528</v>
      </c>
      <c r="H48" s="146">
        <v>976</v>
      </c>
      <c r="I48" s="146">
        <v>1800</v>
      </c>
      <c r="J48" s="146">
        <v>2353</v>
      </c>
      <c r="K48" s="146">
        <v>4029</v>
      </c>
      <c r="L48" s="146">
        <v>2814</v>
      </c>
      <c r="M48" s="146">
        <v>4714</v>
      </c>
      <c r="N48" s="146">
        <v>5089</v>
      </c>
      <c r="O48" s="146">
        <v>4543</v>
      </c>
      <c r="P48" s="146">
        <v>5112</v>
      </c>
      <c r="Q48" s="118">
        <f>((P48/G48)^(1/($H$2-$H$1) ))-1</f>
        <v>0.28691768537247753</v>
      </c>
      <c r="R48" s="31">
        <v>0.1</v>
      </c>
      <c r="S48" s="154">
        <f t="shared" ref="S48" si="122">P48*(1+$R48)</f>
        <v>5623.2000000000007</v>
      </c>
      <c r="T48" s="154">
        <f t="shared" ref="T48:AB48" si="123">S48*(1+$R48)</f>
        <v>6185.5200000000013</v>
      </c>
      <c r="U48" s="154">
        <f t="shared" si="123"/>
        <v>6804.0720000000019</v>
      </c>
      <c r="V48" s="154">
        <f t="shared" si="123"/>
        <v>7484.4792000000025</v>
      </c>
      <c r="W48" s="154">
        <f t="shared" si="123"/>
        <v>8232.9271200000039</v>
      </c>
      <c r="X48" s="154">
        <f t="shared" si="123"/>
        <v>9056.2198320000043</v>
      </c>
      <c r="Y48" s="154">
        <f t="shared" si="123"/>
        <v>9961.8418152000049</v>
      </c>
      <c r="Z48" s="154">
        <f t="shared" si="123"/>
        <v>10958.025996720005</v>
      </c>
      <c r="AA48" s="154">
        <f t="shared" si="123"/>
        <v>12053.828596392006</v>
      </c>
      <c r="AB48" s="154">
        <f t="shared" si="123"/>
        <v>13259.211456031207</v>
      </c>
      <c r="AC48" s="137">
        <f t="shared" ref="AC48" si="124">((AB48/G48)^(1/($AB$3-$H$1) ))-1</f>
        <v>0.18489016140603232</v>
      </c>
      <c r="AD48" s="31">
        <v>0.05</v>
      </c>
      <c r="AE48" s="145">
        <f t="shared" si="1"/>
        <v>81895.129581369241</v>
      </c>
    </row>
    <row r="49" spans="2:31" x14ac:dyDescent="0.2">
      <c r="B49" s="20"/>
      <c r="C49" s="140"/>
      <c r="D49" s="140"/>
      <c r="E49" s="146"/>
      <c r="F49" s="146"/>
      <c r="G49" s="148">
        <f>(G48-F48)/G48</f>
        <v>1</v>
      </c>
      <c r="H49" s="148">
        <f>(H48-G48)/H48</f>
        <v>0.45901639344262296</v>
      </c>
      <c r="I49" s="148">
        <f t="shared" ref="I49" si="125">(I48-H48)/I48</f>
        <v>0.45777777777777778</v>
      </c>
      <c r="J49" s="148">
        <f t="shared" ref="J49" si="126">(J48-I48)/J48</f>
        <v>0.23501912452188695</v>
      </c>
      <c r="K49" s="148">
        <f t="shared" ref="K49" si="127">(K48-J48)/K48</f>
        <v>0.41598411516505335</v>
      </c>
      <c r="L49" s="148">
        <f t="shared" ref="L49" si="128">(L48-K48)/L48</f>
        <v>-0.43176972281449894</v>
      </c>
      <c r="M49" s="148">
        <f t="shared" ref="M49" si="129">(M48-L48)/M48</f>
        <v>0.40305473058973273</v>
      </c>
      <c r="N49" s="148">
        <f t="shared" ref="N49" si="130">(N48-M48)/N48</f>
        <v>7.3688347415995281E-2</v>
      </c>
      <c r="O49" s="148">
        <f t="shared" ref="O49" si="131">(O48-N48)/O48</f>
        <v>-0.12018489984591679</v>
      </c>
      <c r="P49" s="148">
        <f t="shared" ref="P49" si="132">(P48-O48)/P48</f>
        <v>0.11130672926447574</v>
      </c>
      <c r="Q49" s="3"/>
      <c r="R49" s="3"/>
      <c r="S49" s="154"/>
      <c r="T49" s="154"/>
      <c r="U49" s="154"/>
      <c r="V49" s="154"/>
      <c r="W49" s="154"/>
      <c r="X49" s="154"/>
      <c r="Y49" s="154"/>
      <c r="Z49" s="154"/>
      <c r="AA49" s="154"/>
      <c r="AB49" s="154"/>
      <c r="AC49" s="137"/>
      <c r="AD49" s="31"/>
      <c r="AE49" s="145"/>
    </row>
    <row r="50" spans="2:31" s="122" customFormat="1" x14ac:dyDescent="0.2">
      <c r="B50" s="20" t="s">
        <v>325</v>
      </c>
      <c r="C50" s="149"/>
      <c r="D50" s="149"/>
      <c r="E50" s="150"/>
      <c r="F50" s="146"/>
      <c r="G50" s="146">
        <v>252</v>
      </c>
      <c r="H50" s="146">
        <v>328</v>
      </c>
      <c r="I50" s="146">
        <v>519</v>
      </c>
      <c r="J50" s="146">
        <v>977</v>
      </c>
      <c r="K50" s="146">
        <v>1816</v>
      </c>
      <c r="L50" s="146">
        <v>1992</v>
      </c>
      <c r="M50" s="146">
        <v>1772</v>
      </c>
      <c r="N50" s="146">
        <v>2668</v>
      </c>
      <c r="O50" s="146">
        <v>4541</v>
      </c>
      <c r="P50" s="146">
        <v>6024</v>
      </c>
      <c r="Q50" s="118">
        <f>((P50/G50)^(1/($H$2-$H$1) ))-1</f>
        <v>0.42286905998342528</v>
      </c>
      <c r="R50" s="31">
        <f t="shared" si="6"/>
        <v>0.15</v>
      </c>
      <c r="S50" s="154">
        <f t="shared" ref="S50" si="133">P50*(1+$R50)</f>
        <v>6927.5999999999995</v>
      </c>
      <c r="T50" s="154">
        <f t="shared" ref="T50" si="134">S50*(1+$R50)</f>
        <v>7966.7399999999989</v>
      </c>
      <c r="U50" s="154">
        <f t="shared" ref="U50" si="135">T50*(1+$R50)</f>
        <v>9161.7509999999984</v>
      </c>
      <c r="V50" s="154">
        <f t="shared" ref="V50" si="136">U50*(1+$R50)</f>
        <v>10536.013649999997</v>
      </c>
      <c r="W50" s="154">
        <f t="shared" ref="W50" si="137">V50*(1+$R50)</f>
        <v>12116.415697499995</v>
      </c>
      <c r="X50" s="154">
        <f t="shared" ref="X50" si="138">W50*(1+$R50)</f>
        <v>13933.878052124994</v>
      </c>
      <c r="Y50" s="154">
        <f t="shared" ref="Y50" si="139">X50*(1+$R50)</f>
        <v>16023.959759943742</v>
      </c>
      <c r="Z50" s="154">
        <f t="shared" ref="Z50" si="140">Y50*(1+$R50)</f>
        <v>18427.553723935303</v>
      </c>
      <c r="AA50" s="154">
        <f t="shared" ref="AA50" si="141">Z50*(1+$R50)</f>
        <v>21191.686782525598</v>
      </c>
      <c r="AB50" s="154">
        <f t="shared" ref="AB50" si="142">AA50*(1+$R50)</f>
        <v>24370.439799904434</v>
      </c>
      <c r="AC50" s="137">
        <f t="shared" ref="AC50" si="143">((AB50/G50)^(1/($AB$3-$H$1) ))-1</f>
        <v>0.2720320194734811</v>
      </c>
      <c r="AD50" s="31">
        <f t="shared" si="17"/>
        <v>0.05</v>
      </c>
      <c r="AE50" s="145">
        <f t="shared" ref="AE50" si="144">(AB50*(1+AD50))/($C$1-AD50)</f>
        <v>150523.3046464686</v>
      </c>
    </row>
    <row r="51" spans="2:31" s="122" customFormat="1" x14ac:dyDescent="0.2">
      <c r="B51" s="23"/>
      <c r="C51" s="149"/>
      <c r="D51" s="149"/>
      <c r="E51" s="150"/>
      <c r="F51" s="150"/>
      <c r="G51" s="148">
        <f t="shared" ref="G51" si="145">(G50-F50)/G50</f>
        <v>1</v>
      </c>
      <c r="H51" s="148">
        <f t="shared" ref="H51" si="146">(H50-G50)/H50</f>
        <v>0.23170731707317074</v>
      </c>
      <c r="I51" s="148">
        <f t="shared" ref="I51" si="147">(I50-H50)/I50</f>
        <v>0.36801541425818884</v>
      </c>
      <c r="J51" s="148">
        <f t="shared" ref="J51" si="148">(J50-I50)/J50</f>
        <v>0.46878198567041968</v>
      </c>
      <c r="K51" s="148">
        <f t="shared" ref="K51" si="149">(K50-J50)/K50</f>
        <v>0.46200440528634362</v>
      </c>
      <c r="L51" s="148">
        <f t="shared" ref="L51" si="150">(L50-K50)/L50</f>
        <v>8.8353413654618476E-2</v>
      </c>
      <c r="M51" s="148">
        <f t="shared" ref="M51" si="151">(M50-L50)/M50</f>
        <v>-0.12415349887133183</v>
      </c>
      <c r="N51" s="148">
        <f t="shared" ref="N51" si="152">(N50-M50)/N50</f>
        <v>0.335832083958021</v>
      </c>
      <c r="O51" s="148">
        <f t="shared" ref="O51" si="153">(O50-N50)/O50</f>
        <v>0.41246421493063201</v>
      </c>
      <c r="P51" s="148">
        <f t="shared" ref="P51" si="154">(P50-O50)/P50</f>
        <v>0.24618193891102258</v>
      </c>
      <c r="Q51" s="127"/>
      <c r="R51" s="20"/>
      <c r="S51" s="155"/>
      <c r="T51" s="155"/>
      <c r="U51" s="155"/>
      <c r="V51" s="155"/>
      <c r="W51" s="155"/>
      <c r="X51" s="155"/>
      <c r="Y51" s="155"/>
      <c r="Z51" s="155"/>
      <c r="AA51" s="155"/>
      <c r="AB51" s="155"/>
      <c r="AC51" s="162"/>
      <c r="AD51" s="136"/>
      <c r="AE51" s="154"/>
    </row>
    <row r="52" spans="2:31" x14ac:dyDescent="0.2">
      <c r="B52" s="20" t="s">
        <v>333</v>
      </c>
      <c r="C52" s="140"/>
      <c r="D52" s="140"/>
      <c r="E52" s="146"/>
      <c r="F52" s="146"/>
      <c r="G52" s="148"/>
      <c r="H52" s="148"/>
      <c r="I52" s="148"/>
      <c r="J52" s="148"/>
      <c r="K52" s="148"/>
      <c r="L52" s="148"/>
      <c r="M52" s="148"/>
      <c r="N52" s="148"/>
      <c r="O52" s="148"/>
      <c r="P52" s="148"/>
      <c r="Q52" s="118" t="e">
        <f>((P52/G52)^(1/($H$2-$H$1) ))-1</f>
        <v>#DIV/0!</v>
      </c>
      <c r="R52" s="31">
        <f t="shared" si="6"/>
        <v>0.15</v>
      </c>
      <c r="S52" s="154">
        <f>P52*(1+$R52)</f>
        <v>0</v>
      </c>
      <c r="T52" s="154">
        <f>S52*(1+$R52)</f>
        <v>0</v>
      </c>
      <c r="U52" s="154">
        <f t="shared" ref="U52:AB53" si="155">T52*(1+$R52)</f>
        <v>0</v>
      </c>
      <c r="V52" s="154">
        <f t="shared" si="155"/>
        <v>0</v>
      </c>
      <c r="W52" s="154">
        <f t="shared" si="155"/>
        <v>0</v>
      </c>
      <c r="X52" s="154">
        <f t="shared" si="155"/>
        <v>0</v>
      </c>
      <c r="Y52" s="154">
        <f t="shared" si="155"/>
        <v>0</v>
      </c>
      <c r="Z52" s="154">
        <f t="shared" si="155"/>
        <v>0</v>
      </c>
      <c r="AA52" s="154">
        <f t="shared" si="155"/>
        <v>0</v>
      </c>
      <c r="AB52" s="154">
        <f t="shared" si="155"/>
        <v>0</v>
      </c>
      <c r="AC52" s="137" t="e">
        <f t="shared" ref="AC52" si="156">((AB52/G52)^(1/($AB$3-$H$1) ))-1</f>
        <v>#DIV/0!</v>
      </c>
      <c r="AD52" s="31">
        <f t="shared" si="17"/>
        <v>0.05</v>
      </c>
      <c r="AE52" s="145">
        <f t="shared" si="1"/>
        <v>0</v>
      </c>
    </row>
    <row r="53" spans="2:31" x14ac:dyDescent="0.2">
      <c r="B53" s="20" t="s">
        <v>332</v>
      </c>
      <c r="C53" s="140"/>
      <c r="D53" s="140"/>
      <c r="E53" s="146"/>
      <c r="F53" s="146"/>
      <c r="G53" s="146"/>
      <c r="H53" s="146"/>
      <c r="I53" s="146"/>
      <c r="J53" s="146"/>
      <c r="K53" s="146"/>
      <c r="L53" s="146"/>
      <c r="M53" s="146"/>
      <c r="N53" s="146"/>
      <c r="O53" s="146"/>
      <c r="P53" s="146"/>
      <c r="Q53" s="118" t="e">
        <f>((P53/G53)^(1/($H$2-$H$1) ))-1</f>
        <v>#DIV/0!</v>
      </c>
      <c r="R53" s="31">
        <f t="shared" si="6"/>
        <v>0.15</v>
      </c>
      <c r="S53" s="154">
        <f>P53*(1+$R53)</f>
        <v>0</v>
      </c>
      <c r="T53" s="154">
        <f>S53*(1+$R53)</f>
        <v>0</v>
      </c>
      <c r="U53" s="154">
        <f t="shared" si="155"/>
        <v>0</v>
      </c>
      <c r="V53" s="154">
        <f t="shared" si="155"/>
        <v>0</v>
      </c>
      <c r="W53" s="154">
        <f t="shared" si="155"/>
        <v>0</v>
      </c>
      <c r="X53" s="154">
        <f t="shared" si="155"/>
        <v>0</v>
      </c>
      <c r="Y53" s="154">
        <f t="shared" si="155"/>
        <v>0</v>
      </c>
      <c r="Z53" s="154">
        <f t="shared" si="155"/>
        <v>0</v>
      </c>
      <c r="AA53" s="154">
        <f t="shared" si="155"/>
        <v>0</v>
      </c>
      <c r="AB53" s="154">
        <f t="shared" si="155"/>
        <v>0</v>
      </c>
      <c r="AC53" s="137" t="e">
        <f t="shared" ref="AC53" si="157">((AB53/G53)^(1/($AB$3-$H$1) ))-1</f>
        <v>#DIV/0!</v>
      </c>
      <c r="AD53" s="31">
        <f t="shared" si="17"/>
        <v>0.05</v>
      </c>
      <c r="AE53" s="145">
        <f t="shared" si="1"/>
        <v>0</v>
      </c>
    </row>
    <row r="54" spans="2:31" x14ac:dyDescent="0.2">
      <c r="B54" s="20" t="s">
        <v>317</v>
      </c>
      <c r="C54" s="140"/>
      <c r="D54" s="140"/>
      <c r="E54" s="146"/>
      <c r="F54" s="146"/>
      <c r="G54" s="170"/>
      <c r="H54" s="170"/>
      <c r="I54" s="170"/>
      <c r="J54" s="142"/>
      <c r="K54" s="142"/>
      <c r="L54" s="171"/>
      <c r="M54" s="171"/>
      <c r="N54" s="171"/>
      <c r="O54" s="171"/>
      <c r="P54" s="171"/>
      <c r="Q54" s="118" t="e">
        <f>((P54/G54)^(1/($H$2-$H$1) ))-1</f>
        <v>#DIV/0!</v>
      </c>
      <c r="R54" s="31">
        <f t="shared" si="6"/>
        <v>0.15</v>
      </c>
      <c r="S54" s="154">
        <f t="shared" si="46"/>
        <v>0</v>
      </c>
      <c r="T54" s="154">
        <f t="shared" si="47"/>
        <v>0</v>
      </c>
      <c r="U54" s="154">
        <f t="shared" si="48"/>
        <v>0</v>
      </c>
      <c r="V54" s="154">
        <f t="shared" si="49"/>
        <v>0</v>
      </c>
      <c r="W54" s="154">
        <f t="shared" si="50"/>
        <v>0</v>
      </c>
      <c r="X54" s="154">
        <f t="shared" si="51"/>
        <v>0</v>
      </c>
      <c r="Y54" s="154">
        <f t="shared" si="52"/>
        <v>0</v>
      </c>
      <c r="Z54" s="154">
        <f t="shared" si="53"/>
        <v>0</v>
      </c>
      <c r="AA54" s="154">
        <f t="shared" si="54"/>
        <v>0</v>
      </c>
      <c r="AB54" s="154">
        <f t="shared" si="55"/>
        <v>0</v>
      </c>
      <c r="AC54" s="137" t="e">
        <f t="shared" si="19"/>
        <v>#DIV/0!</v>
      </c>
      <c r="AD54" s="31">
        <f t="shared" si="17"/>
        <v>0.05</v>
      </c>
      <c r="AE54" s="145">
        <f t="shared" si="1"/>
        <v>0</v>
      </c>
    </row>
    <row r="55" spans="2:31" x14ac:dyDescent="0.2">
      <c r="B55" s="20" t="s">
        <v>309</v>
      </c>
      <c r="C55" s="140"/>
      <c r="D55" s="140"/>
      <c r="E55" s="146"/>
      <c r="F55" s="146"/>
      <c r="G55" s="170"/>
      <c r="H55" s="170"/>
      <c r="I55" s="170"/>
      <c r="J55" s="142"/>
      <c r="K55" s="142"/>
      <c r="L55" s="171"/>
      <c r="M55" s="171"/>
      <c r="N55" s="171"/>
      <c r="O55" s="171"/>
      <c r="P55" s="171"/>
      <c r="Q55" s="118" t="e">
        <f>((P55/G55)^(1/($H$2-$H$1) ))-1</f>
        <v>#DIV/0!</v>
      </c>
      <c r="R55" s="31">
        <f t="shared" si="6"/>
        <v>0.15</v>
      </c>
      <c r="S55" s="154">
        <f t="shared" si="46"/>
        <v>0</v>
      </c>
      <c r="T55" s="154">
        <f t="shared" si="47"/>
        <v>0</v>
      </c>
      <c r="U55" s="154">
        <f t="shared" si="48"/>
        <v>0</v>
      </c>
      <c r="V55" s="154">
        <f t="shared" si="49"/>
        <v>0</v>
      </c>
      <c r="W55" s="154">
        <f t="shared" si="50"/>
        <v>0</v>
      </c>
      <c r="X55" s="154">
        <f t="shared" si="51"/>
        <v>0</v>
      </c>
      <c r="Y55" s="154">
        <f t="shared" si="52"/>
        <v>0</v>
      </c>
      <c r="Z55" s="154">
        <f t="shared" si="53"/>
        <v>0</v>
      </c>
      <c r="AA55" s="154">
        <f t="shared" si="54"/>
        <v>0</v>
      </c>
      <c r="AB55" s="154">
        <f t="shared" si="55"/>
        <v>0</v>
      </c>
      <c r="AC55" s="137" t="e">
        <f t="shared" si="19"/>
        <v>#DIV/0!</v>
      </c>
      <c r="AD55" s="31">
        <f t="shared" si="17"/>
        <v>0.05</v>
      </c>
      <c r="AE55" s="145">
        <f t="shared" si="1"/>
        <v>0</v>
      </c>
    </row>
    <row r="56" spans="2:31" x14ac:dyDescent="0.2">
      <c r="B56" s="20"/>
      <c r="C56" s="140"/>
      <c r="D56" s="140"/>
      <c r="E56" s="146"/>
      <c r="F56" s="146"/>
      <c r="G56" s="146"/>
      <c r="H56" s="146"/>
      <c r="I56" s="146"/>
      <c r="J56" s="146"/>
      <c r="K56" s="146"/>
      <c r="L56" s="146"/>
      <c r="M56" s="146"/>
      <c r="N56" s="146"/>
      <c r="O56" s="146"/>
      <c r="P56" s="146"/>
      <c r="Q56" s="127"/>
      <c r="R56" s="20"/>
      <c r="S56" s="154"/>
      <c r="T56" s="154"/>
      <c r="U56" s="154"/>
      <c r="V56" s="154"/>
      <c r="W56" s="154"/>
      <c r="X56" s="154"/>
      <c r="Y56" s="154"/>
      <c r="Z56" s="154"/>
      <c r="AA56" s="154"/>
      <c r="AB56" s="154"/>
      <c r="AC56" s="138"/>
      <c r="AD56" s="136"/>
      <c r="AE56" s="154"/>
    </row>
    <row r="57" spans="2:31" x14ac:dyDescent="0.2">
      <c r="B57" s="20" t="s">
        <v>375</v>
      </c>
      <c r="C57" s="140"/>
      <c r="D57" s="140"/>
      <c r="E57" s="146"/>
      <c r="F57" s="146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18" t="e">
        <f>((P57/G57)^(1/($H$2-$H$1) ))-1</f>
        <v>#DIV/0!</v>
      </c>
      <c r="R57" s="31">
        <v>0.1</v>
      </c>
      <c r="S57" s="154">
        <f t="shared" ref="S57:S60" si="158">P57*(1+$R57)</f>
        <v>0</v>
      </c>
      <c r="T57" s="154">
        <f t="shared" ref="T57:T60" si="159">S57*(1+$R57)</f>
        <v>0</v>
      </c>
      <c r="U57" s="154">
        <f t="shared" ref="U57:U60" si="160">T57*(1+$R57)</f>
        <v>0</v>
      </c>
      <c r="V57" s="154">
        <f t="shared" ref="V57:V60" si="161">U57*(1+$R57)</f>
        <v>0</v>
      </c>
      <c r="W57" s="154">
        <f t="shared" ref="W57:W60" si="162">V57*(1+$R57)</f>
        <v>0</v>
      </c>
      <c r="X57" s="154">
        <f t="shared" ref="X57:X60" si="163">W57*(1+$R57)</f>
        <v>0</v>
      </c>
      <c r="Y57" s="154">
        <f t="shared" ref="Y57:Y60" si="164">X57*(1+$R57)</f>
        <v>0</v>
      </c>
      <c r="Z57" s="154">
        <f t="shared" ref="Z57:Z60" si="165">Y57*(1+$R57)</f>
        <v>0</v>
      </c>
      <c r="AA57" s="154">
        <f t="shared" ref="AA57:AA60" si="166">Z57*(1+$R57)</f>
        <v>0</v>
      </c>
      <c r="AB57" s="154">
        <f t="shared" ref="AB57:AB60" si="167">AA57*(1+$R57)</f>
        <v>0</v>
      </c>
      <c r="AC57" s="137" t="e">
        <f t="shared" ref="AC57:AC60" si="168">((AB57/G57)^(1/($AB$3-$H$1) ))-1</f>
        <v>#DIV/0!</v>
      </c>
      <c r="AD57" s="31">
        <f t="shared" si="17"/>
        <v>0.05</v>
      </c>
      <c r="AE57" s="145">
        <f t="shared" ref="AE57:AE60" si="169">(AB57*(1+AD57))/($C$1-AD57)</f>
        <v>0</v>
      </c>
    </row>
    <row r="58" spans="2:31" x14ac:dyDescent="0.2">
      <c r="B58" s="20" t="s">
        <v>376</v>
      </c>
      <c r="C58" s="140"/>
      <c r="D58" s="140"/>
      <c r="E58" s="146"/>
      <c r="F58" s="146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18" t="e">
        <f>((P58/G58)^(1/($H$2-$H$1) ))-1</f>
        <v>#DIV/0!</v>
      </c>
      <c r="R58" s="31">
        <v>0.1</v>
      </c>
      <c r="S58" s="154">
        <f t="shared" si="158"/>
        <v>0</v>
      </c>
      <c r="T58" s="154">
        <f t="shared" si="159"/>
        <v>0</v>
      </c>
      <c r="U58" s="154">
        <f t="shared" si="160"/>
        <v>0</v>
      </c>
      <c r="V58" s="154">
        <f t="shared" si="161"/>
        <v>0</v>
      </c>
      <c r="W58" s="154">
        <f t="shared" si="162"/>
        <v>0</v>
      </c>
      <c r="X58" s="154">
        <f t="shared" si="163"/>
        <v>0</v>
      </c>
      <c r="Y58" s="154">
        <f t="shared" si="164"/>
        <v>0</v>
      </c>
      <c r="Z58" s="154">
        <f t="shared" si="165"/>
        <v>0</v>
      </c>
      <c r="AA58" s="154">
        <f t="shared" si="166"/>
        <v>0</v>
      </c>
      <c r="AB58" s="154">
        <f t="shared" si="167"/>
        <v>0</v>
      </c>
      <c r="AC58" s="137" t="e">
        <f t="shared" si="168"/>
        <v>#DIV/0!</v>
      </c>
      <c r="AD58" s="31">
        <f t="shared" si="17"/>
        <v>0.05</v>
      </c>
      <c r="AE58" s="145">
        <f t="shared" si="169"/>
        <v>0</v>
      </c>
    </row>
    <row r="59" spans="2:31" x14ac:dyDescent="0.2">
      <c r="B59" s="20" t="s">
        <v>377</v>
      </c>
      <c r="C59" s="140"/>
      <c r="D59" s="140"/>
      <c r="E59" s="146"/>
      <c r="F59" s="146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18" t="e">
        <f>((P59/G59)^(1/($H$2-$H$1) ))-1</f>
        <v>#DIV/0!</v>
      </c>
      <c r="R59" s="31">
        <v>0.1</v>
      </c>
      <c r="S59" s="154">
        <f t="shared" si="158"/>
        <v>0</v>
      </c>
      <c r="T59" s="154">
        <f t="shared" si="159"/>
        <v>0</v>
      </c>
      <c r="U59" s="154">
        <f t="shared" si="160"/>
        <v>0</v>
      </c>
      <c r="V59" s="154">
        <f t="shared" si="161"/>
        <v>0</v>
      </c>
      <c r="W59" s="154">
        <f t="shared" si="162"/>
        <v>0</v>
      </c>
      <c r="X59" s="154">
        <f t="shared" si="163"/>
        <v>0</v>
      </c>
      <c r="Y59" s="154">
        <f t="shared" si="164"/>
        <v>0</v>
      </c>
      <c r="Z59" s="154">
        <f t="shared" si="165"/>
        <v>0</v>
      </c>
      <c r="AA59" s="154">
        <f t="shared" si="166"/>
        <v>0</v>
      </c>
      <c r="AB59" s="154">
        <f t="shared" si="167"/>
        <v>0</v>
      </c>
      <c r="AC59" s="137" t="e">
        <f t="shared" si="168"/>
        <v>#DIV/0!</v>
      </c>
      <c r="AD59" s="31">
        <f t="shared" si="17"/>
        <v>0.05</v>
      </c>
      <c r="AE59" s="145">
        <f t="shared" si="169"/>
        <v>0</v>
      </c>
    </row>
    <row r="60" spans="2:31" x14ac:dyDescent="0.2">
      <c r="B60" s="20" t="s">
        <v>378</v>
      </c>
      <c r="C60" s="140"/>
      <c r="D60" s="140"/>
      <c r="E60" s="146"/>
      <c r="F60" s="146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18" t="e">
        <f>((P60/G60)^(1/($H$2-$H$1) ))-1</f>
        <v>#DIV/0!</v>
      </c>
      <c r="R60" s="31">
        <v>0.1</v>
      </c>
      <c r="S60" s="154">
        <f t="shared" si="158"/>
        <v>0</v>
      </c>
      <c r="T60" s="154">
        <f t="shared" si="159"/>
        <v>0</v>
      </c>
      <c r="U60" s="154">
        <f t="shared" si="160"/>
        <v>0</v>
      </c>
      <c r="V60" s="154">
        <f t="shared" si="161"/>
        <v>0</v>
      </c>
      <c r="W60" s="154">
        <f t="shared" si="162"/>
        <v>0</v>
      </c>
      <c r="X60" s="154">
        <f t="shared" si="163"/>
        <v>0</v>
      </c>
      <c r="Y60" s="154">
        <f t="shared" si="164"/>
        <v>0</v>
      </c>
      <c r="Z60" s="154">
        <f t="shared" si="165"/>
        <v>0</v>
      </c>
      <c r="AA60" s="154">
        <f t="shared" si="166"/>
        <v>0</v>
      </c>
      <c r="AB60" s="154">
        <f t="shared" si="167"/>
        <v>0</v>
      </c>
      <c r="AC60" s="137" t="e">
        <f t="shared" si="168"/>
        <v>#DIV/0!</v>
      </c>
      <c r="AD60" s="31">
        <f t="shared" si="17"/>
        <v>0.05</v>
      </c>
      <c r="AE60" s="145">
        <f t="shared" si="169"/>
        <v>0</v>
      </c>
    </row>
    <row r="61" spans="2:31" x14ac:dyDescent="0.2">
      <c r="B61" s="20"/>
      <c r="C61" s="140"/>
      <c r="D61" s="140"/>
      <c r="E61" s="146"/>
      <c r="F61" s="146"/>
      <c r="G61" s="148"/>
      <c r="H61" s="148"/>
      <c r="I61" s="148"/>
      <c r="J61" s="148"/>
      <c r="K61" s="148"/>
      <c r="L61" s="148"/>
      <c r="M61" s="148"/>
      <c r="N61" s="148"/>
      <c r="O61" s="148"/>
      <c r="P61" s="148"/>
      <c r="Q61" s="3"/>
      <c r="R61" s="3"/>
      <c r="S61" s="154"/>
      <c r="T61" s="154"/>
      <c r="U61" s="154"/>
      <c r="V61" s="154"/>
      <c r="W61" s="154"/>
      <c r="X61" s="154"/>
      <c r="Y61" s="154"/>
      <c r="Z61" s="154"/>
      <c r="AA61" s="154"/>
      <c r="AB61" s="154"/>
      <c r="AC61" s="3"/>
      <c r="AD61" s="3"/>
      <c r="AE61" s="145"/>
    </row>
    <row r="62" spans="2:31" x14ac:dyDescent="0.2">
      <c r="B62" s="20" t="s">
        <v>279</v>
      </c>
      <c r="C62" s="140"/>
      <c r="D62" s="140"/>
      <c r="E62" s="146"/>
      <c r="F62" s="146"/>
      <c r="G62" s="170"/>
      <c r="H62" s="170"/>
      <c r="I62" s="170"/>
      <c r="J62" s="142"/>
      <c r="K62" s="142"/>
      <c r="L62" s="171"/>
      <c r="M62" s="171"/>
      <c r="N62" s="171"/>
      <c r="O62" s="171"/>
      <c r="P62" s="171"/>
      <c r="Q62" s="118" t="e">
        <f>((P62/G62)^(1/($H$2-$H$1) ))-1</f>
        <v>#DIV/0!</v>
      </c>
      <c r="R62" s="31">
        <f t="shared" si="6"/>
        <v>0.15</v>
      </c>
      <c r="S62" s="154">
        <f t="shared" ref="S62" si="170">P62*(1+$R62)</f>
        <v>0</v>
      </c>
      <c r="T62" s="154">
        <f t="shared" ref="T62" si="171">S62*(1+$R62)</f>
        <v>0</v>
      </c>
      <c r="U62" s="154">
        <f t="shared" ref="U62" si="172">T62*(1+$R62)</f>
        <v>0</v>
      </c>
      <c r="V62" s="154">
        <f t="shared" ref="V62" si="173">U62*(1+$R62)</f>
        <v>0</v>
      </c>
      <c r="W62" s="154">
        <f t="shared" si="50"/>
        <v>0</v>
      </c>
      <c r="X62" s="154">
        <f t="shared" si="51"/>
        <v>0</v>
      </c>
      <c r="Y62" s="154">
        <f t="shared" si="52"/>
        <v>0</v>
      </c>
      <c r="Z62" s="154">
        <f t="shared" si="53"/>
        <v>0</v>
      </c>
      <c r="AA62" s="154">
        <f t="shared" si="54"/>
        <v>0</v>
      </c>
      <c r="AB62" s="154">
        <f t="shared" si="55"/>
        <v>0</v>
      </c>
      <c r="AC62" s="137" t="e">
        <f t="shared" si="19"/>
        <v>#DIV/0!</v>
      </c>
      <c r="AD62" s="31">
        <f t="shared" si="17"/>
        <v>0.05</v>
      </c>
      <c r="AE62" s="145">
        <f t="shared" si="1"/>
        <v>0</v>
      </c>
    </row>
    <row r="63" spans="2:31" s="122" customFormat="1" x14ac:dyDescent="0.2">
      <c r="B63" s="23"/>
      <c r="C63" s="149"/>
      <c r="D63" s="149"/>
      <c r="E63" s="150"/>
      <c r="F63" s="150"/>
      <c r="G63" s="148" t="e">
        <f>(G62-F62)/G62</f>
        <v>#DIV/0!</v>
      </c>
      <c r="H63" s="148" t="e">
        <f>(H62-G62)/H62</f>
        <v>#DIV/0!</v>
      </c>
      <c r="I63" s="148" t="e">
        <f t="shared" ref="I63" si="174">(I62-H62)/I62</f>
        <v>#DIV/0!</v>
      </c>
      <c r="J63" s="148" t="e">
        <f t="shared" ref="J63" si="175">(J62-I62)/J62</f>
        <v>#DIV/0!</v>
      </c>
      <c r="K63" s="148" t="e">
        <f t="shared" ref="K63" si="176">(K62-J62)/K62</f>
        <v>#DIV/0!</v>
      </c>
      <c r="L63" s="148" t="e">
        <f t="shared" ref="L63" si="177">(L62-K62)/L62</f>
        <v>#DIV/0!</v>
      </c>
      <c r="M63" s="148" t="e">
        <f t="shared" ref="M63" si="178">(M62-L62)/M62</f>
        <v>#DIV/0!</v>
      </c>
      <c r="N63" s="148" t="e">
        <f t="shared" ref="N63" si="179">(N62-M62)/N62</f>
        <v>#DIV/0!</v>
      </c>
      <c r="O63" s="148" t="e">
        <f t="shared" ref="O63" si="180">(O62-N62)/O62</f>
        <v>#DIV/0!</v>
      </c>
      <c r="P63" s="148" t="e">
        <f t="shared" ref="P63" si="181">(P62-O62)/P62</f>
        <v>#DIV/0!</v>
      </c>
      <c r="Q63" s="127"/>
      <c r="R63" s="20"/>
      <c r="S63" s="155"/>
      <c r="T63" s="155"/>
      <c r="U63" s="155"/>
      <c r="V63" s="155"/>
      <c r="W63" s="155"/>
      <c r="X63" s="155"/>
      <c r="Y63" s="155"/>
      <c r="Z63" s="155"/>
      <c r="AA63" s="155"/>
      <c r="AB63" s="155"/>
      <c r="AC63" s="138"/>
      <c r="AD63" s="136"/>
      <c r="AE63" s="156"/>
    </row>
    <row r="64" spans="2:31" s="122" customFormat="1" x14ac:dyDescent="0.2">
      <c r="B64" s="173" t="s">
        <v>391</v>
      </c>
      <c r="C64" s="149"/>
      <c r="D64" s="149"/>
      <c r="E64" s="150"/>
      <c r="F64" s="150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18" t="e">
        <f>((P64/G64)^(1/($H$2-$H$1) ))-1</f>
        <v>#DIV/0!</v>
      </c>
      <c r="R64" s="31">
        <f t="shared" si="6"/>
        <v>0.15</v>
      </c>
      <c r="S64" s="154">
        <f t="shared" ref="S64" si="182">P64*(1+$R64)</f>
        <v>0</v>
      </c>
      <c r="T64" s="154">
        <f t="shared" ref="T64" si="183">S64*(1+$R64)</f>
        <v>0</v>
      </c>
      <c r="U64" s="154">
        <f t="shared" ref="U64" si="184">T64*(1+$R64)</f>
        <v>0</v>
      </c>
      <c r="V64" s="154">
        <f t="shared" ref="V64" si="185">U64*(1+$R64)</f>
        <v>0</v>
      </c>
      <c r="W64" s="154">
        <f t="shared" ref="W64" si="186">V64*(1+$R64)</f>
        <v>0</v>
      </c>
      <c r="X64" s="154">
        <f t="shared" ref="X64" si="187">W64*(1+$R64)</f>
        <v>0</v>
      </c>
      <c r="Y64" s="154">
        <f t="shared" ref="Y64" si="188">X64*(1+$R64)</f>
        <v>0</v>
      </c>
      <c r="Z64" s="154">
        <f t="shared" ref="Z64" si="189">Y64*(1+$R64)</f>
        <v>0</v>
      </c>
      <c r="AA64" s="154">
        <f t="shared" ref="AA64" si="190">Z64*(1+$R64)</f>
        <v>0</v>
      </c>
      <c r="AB64" s="154">
        <f t="shared" ref="AB64" si="191">AA64*(1+$R64)</f>
        <v>0</v>
      </c>
      <c r="AC64" s="137" t="e">
        <f t="shared" ref="AC64" si="192">((AB64/G64)^(1/($AB$3-$H$1) ))-1</f>
        <v>#DIV/0!</v>
      </c>
      <c r="AD64" s="31">
        <f t="shared" si="17"/>
        <v>0.05</v>
      </c>
      <c r="AE64" s="145">
        <f t="shared" ref="AE64" si="193">(AB64*(1+AD64))/($C$1-AD64)</f>
        <v>0</v>
      </c>
    </row>
    <row r="65" spans="2:31" s="122" customFormat="1" x14ac:dyDescent="0.2">
      <c r="B65" s="23"/>
      <c r="C65" s="149"/>
      <c r="D65" s="149"/>
      <c r="E65" s="150"/>
      <c r="F65" s="150"/>
      <c r="G65" s="148" t="e">
        <f>(G64-F64)/G64</f>
        <v>#DIV/0!</v>
      </c>
      <c r="H65" s="148" t="e">
        <f>(H64-G64)/H64</f>
        <v>#DIV/0!</v>
      </c>
      <c r="I65" s="148" t="e">
        <f t="shared" ref="I65" si="194">(I64-H64)/I64</f>
        <v>#DIV/0!</v>
      </c>
      <c r="J65" s="148" t="e">
        <f t="shared" ref="J65" si="195">(J64-I64)/J64</f>
        <v>#DIV/0!</v>
      </c>
      <c r="K65" s="148" t="e">
        <f t="shared" ref="K65" si="196">(K64-J64)/K64</f>
        <v>#DIV/0!</v>
      </c>
      <c r="L65" s="148" t="e">
        <f t="shared" ref="L65" si="197">(L64-K64)/L64</f>
        <v>#DIV/0!</v>
      </c>
      <c r="M65" s="148" t="e">
        <f t="shared" ref="M65" si="198">(M64-L64)/M64</f>
        <v>#DIV/0!</v>
      </c>
      <c r="N65" s="148" t="e">
        <f t="shared" ref="N65" si="199">(N64-M64)/N64</f>
        <v>#DIV/0!</v>
      </c>
      <c r="O65" s="148" t="e">
        <f t="shared" ref="O65" si="200">(O64-N64)/O64</f>
        <v>#DIV/0!</v>
      </c>
      <c r="P65" s="148" t="e">
        <f t="shared" ref="P65" si="201">(P64-O64)/P64</f>
        <v>#DIV/0!</v>
      </c>
      <c r="Q65" s="127"/>
      <c r="R65" s="20"/>
      <c r="S65" s="155"/>
      <c r="T65" s="155"/>
      <c r="U65" s="155"/>
      <c r="V65" s="155"/>
      <c r="W65" s="155"/>
      <c r="X65" s="155"/>
      <c r="Y65" s="155"/>
      <c r="Z65" s="155"/>
      <c r="AA65" s="155"/>
      <c r="AB65" s="155"/>
      <c r="AC65" s="138"/>
      <c r="AD65" s="136"/>
      <c r="AE65" s="156"/>
    </row>
    <row r="66" spans="2:31" x14ac:dyDescent="0.2">
      <c r="B66" s="20" t="s">
        <v>257</v>
      </c>
      <c r="C66" s="140"/>
      <c r="D66" s="140"/>
      <c r="E66" s="146"/>
      <c r="F66" s="146"/>
      <c r="G66" s="170">
        <v>200.4</v>
      </c>
      <c r="H66" s="170">
        <v>194</v>
      </c>
      <c r="I66" s="170">
        <v>529</v>
      </c>
      <c r="J66" s="142">
        <v>524</v>
      </c>
      <c r="K66" s="142">
        <v>958</v>
      </c>
      <c r="L66" s="171">
        <v>652</v>
      </c>
      <c r="M66" s="171">
        <v>1327</v>
      </c>
      <c r="N66" s="171">
        <v>1569</v>
      </c>
      <c r="O66" s="171">
        <v>1850</v>
      </c>
      <c r="P66" s="171">
        <v>2204</v>
      </c>
      <c r="Q66" s="118">
        <f>((P66/G66)^(1/($H$2-$H$1) ))-1</f>
        <v>0.30527356161185026</v>
      </c>
      <c r="R66" s="31">
        <f t="shared" si="6"/>
        <v>0.15</v>
      </c>
      <c r="S66" s="154">
        <f>P66*(1+$R66)</f>
        <v>2534.6</v>
      </c>
      <c r="T66" s="154">
        <f t="shared" ref="T66:AB66" si="202">S66*(1+$R66)</f>
        <v>2914.7899999999995</v>
      </c>
      <c r="U66" s="154">
        <f t="shared" si="202"/>
        <v>3352.008499999999</v>
      </c>
      <c r="V66" s="154">
        <f t="shared" si="202"/>
        <v>3854.8097749999984</v>
      </c>
      <c r="W66" s="154">
        <f t="shared" si="202"/>
        <v>4433.0312412499979</v>
      </c>
      <c r="X66" s="154">
        <f t="shared" si="202"/>
        <v>5097.9859274374976</v>
      </c>
      <c r="Y66" s="154">
        <f t="shared" si="202"/>
        <v>5862.6838165531217</v>
      </c>
      <c r="Z66" s="154">
        <f t="shared" si="202"/>
        <v>6742.0863890360897</v>
      </c>
      <c r="AA66" s="154">
        <f t="shared" si="202"/>
        <v>7753.3993473915025</v>
      </c>
      <c r="AB66" s="154">
        <f t="shared" si="202"/>
        <v>8916.4092495002278</v>
      </c>
      <c r="AC66" s="137">
        <f t="shared" si="19"/>
        <v>0.22110279436417879</v>
      </c>
      <c r="AD66" s="31">
        <f t="shared" si="17"/>
        <v>0.05</v>
      </c>
      <c r="AE66" s="145">
        <f t="shared" si="1"/>
        <v>55071.939482207301</v>
      </c>
    </row>
    <row r="67" spans="2:31" s="122" customFormat="1" x14ac:dyDescent="0.2">
      <c r="B67" s="23"/>
      <c r="C67" s="149"/>
      <c r="D67" s="149"/>
      <c r="E67" s="150"/>
      <c r="F67" s="150"/>
      <c r="G67" s="148">
        <f>(G66-F66)/G66</f>
        <v>1</v>
      </c>
      <c r="H67" s="148">
        <f>(H66-G66)/H66</f>
        <v>-3.2989690721649513E-2</v>
      </c>
      <c r="I67" s="148">
        <f t="shared" ref="I67:P67" si="203">(I66-H66)/I66</f>
        <v>0.63327032136105865</v>
      </c>
      <c r="J67" s="148">
        <f t="shared" si="203"/>
        <v>-9.5419847328244278E-3</v>
      </c>
      <c r="K67" s="148">
        <f t="shared" si="203"/>
        <v>0.45302713987473903</v>
      </c>
      <c r="L67" s="148">
        <f t="shared" si="203"/>
        <v>-0.46932515337423314</v>
      </c>
      <c r="M67" s="148">
        <f t="shared" si="203"/>
        <v>0.50866616428033162</v>
      </c>
      <c r="N67" s="148">
        <f t="shared" si="203"/>
        <v>0.15423836838750796</v>
      </c>
      <c r="O67" s="148">
        <f t="shared" si="203"/>
        <v>0.15189189189189189</v>
      </c>
      <c r="P67" s="148">
        <f t="shared" si="203"/>
        <v>0.16061705989110708</v>
      </c>
      <c r="Q67" s="127"/>
      <c r="R67" s="20"/>
      <c r="S67" s="155"/>
      <c r="T67" s="155"/>
      <c r="U67" s="155"/>
      <c r="V67" s="155"/>
      <c r="W67" s="155"/>
      <c r="X67" s="155"/>
      <c r="Y67" s="155"/>
      <c r="Z67" s="155"/>
      <c r="AA67" s="155"/>
      <c r="AB67" s="155"/>
      <c r="AC67" s="138"/>
      <c r="AD67" s="136"/>
      <c r="AE67" s="156"/>
    </row>
    <row r="68" spans="2:31" x14ac:dyDescent="0.2">
      <c r="B68" s="20" t="s">
        <v>239</v>
      </c>
      <c r="C68" s="141">
        <v>1</v>
      </c>
      <c r="D68" s="141">
        <v>1</v>
      </c>
      <c r="E68" s="142">
        <v>1</v>
      </c>
      <c r="F68" s="168"/>
      <c r="G68" s="170">
        <v>5.95</v>
      </c>
      <c r="H68" s="170">
        <v>12.33</v>
      </c>
      <c r="I68" s="170">
        <v>30.99</v>
      </c>
      <c r="J68" s="170">
        <v>32.61</v>
      </c>
      <c r="K68" s="142">
        <v>34.46</v>
      </c>
      <c r="L68" s="142">
        <v>34.56</v>
      </c>
      <c r="M68" s="171">
        <v>34.81</v>
      </c>
      <c r="N68" s="171">
        <v>73.686999999999998</v>
      </c>
      <c r="O68" s="171">
        <v>74.068899999999999</v>
      </c>
      <c r="P68" s="171">
        <v>74.665999999999997</v>
      </c>
      <c r="Q68" s="118">
        <f>((P68/G68)^(1/($H$2-$H$1) ))-1</f>
        <v>0.32454685096139557</v>
      </c>
      <c r="R68" s="31">
        <v>0.02</v>
      </c>
      <c r="S68" s="154">
        <f>P68*(1+$R68)</f>
        <v>76.159319999999994</v>
      </c>
      <c r="T68" s="154">
        <f t="shared" ref="T68:AB70" si="204">S68*(1+$R68)</f>
        <v>77.682506399999994</v>
      </c>
      <c r="U68" s="154">
        <f t="shared" si="204"/>
        <v>79.236156527999995</v>
      </c>
      <c r="V68" s="154">
        <f t="shared" si="204"/>
        <v>80.820879658560003</v>
      </c>
      <c r="W68" s="154">
        <f t="shared" si="204"/>
        <v>82.437297251731209</v>
      </c>
      <c r="X68" s="154">
        <f t="shared" si="204"/>
        <v>84.086043196765829</v>
      </c>
      <c r="Y68" s="154">
        <f t="shared" si="204"/>
        <v>85.76776406070114</v>
      </c>
      <c r="Z68" s="154">
        <f t="shared" si="204"/>
        <v>87.48311934191517</v>
      </c>
      <c r="AA68" s="154">
        <f t="shared" si="204"/>
        <v>89.23278172875348</v>
      </c>
      <c r="AB68" s="154">
        <f t="shared" si="204"/>
        <v>91.017437363328554</v>
      </c>
      <c r="AC68" s="137">
        <f t="shared" si="19"/>
        <v>0.15437727962092462</v>
      </c>
      <c r="AD68" s="31">
        <f t="shared" si="17"/>
        <v>0.05</v>
      </c>
      <c r="AE68" s="145">
        <f t="shared" si="1"/>
        <v>562.16652489114699</v>
      </c>
    </row>
    <row r="69" spans="2:31" s="187" customFormat="1" x14ac:dyDescent="0.2">
      <c r="B69" s="218"/>
      <c r="C69" s="141"/>
      <c r="D69" s="141"/>
      <c r="E69" s="142"/>
      <c r="F69" s="168"/>
      <c r="G69" s="148">
        <f>(G68-F68)/G68</f>
        <v>1</v>
      </c>
      <c r="H69" s="148">
        <f>(H68-G68)/H68</f>
        <v>0.51743714517437145</v>
      </c>
      <c r="I69" s="148">
        <f t="shared" ref="I69" si="205">(I68-H68)/I68</f>
        <v>0.60212971926427872</v>
      </c>
      <c r="J69" s="148">
        <f t="shared" ref="J69" si="206">(J68-I68)/J68</f>
        <v>4.9678012879484854E-2</v>
      </c>
      <c r="K69" s="148">
        <f t="shared" ref="K69" si="207">(K68-J68)/K68</f>
        <v>5.368543238537439E-2</v>
      </c>
      <c r="L69" s="148">
        <f t="shared" ref="L69" si="208">(L68-K68)/L68</f>
        <v>2.8935185185185596E-3</v>
      </c>
      <c r="M69" s="148">
        <f t="shared" ref="M69" si="209">(M68-L68)/M68</f>
        <v>7.1818442976156272E-3</v>
      </c>
      <c r="N69" s="148">
        <f t="shared" ref="N69" si="210">(N68-M68)/N68</f>
        <v>0.52759645527705012</v>
      </c>
      <c r="O69" s="148">
        <f t="shared" ref="O69" si="211">(O68-N68)/O68</f>
        <v>5.1560101473088127E-3</v>
      </c>
      <c r="P69" s="148">
        <f t="shared" ref="P69" si="212">(P68-O68)/P68</f>
        <v>7.9969464013071225E-3</v>
      </c>
      <c r="Q69" s="127"/>
      <c r="R69" s="218"/>
      <c r="S69" s="154"/>
      <c r="T69" s="154"/>
      <c r="U69" s="154"/>
      <c r="V69" s="154"/>
      <c r="W69" s="154"/>
      <c r="X69" s="154"/>
      <c r="Y69" s="154"/>
      <c r="Z69" s="154"/>
      <c r="AA69" s="154"/>
      <c r="AB69" s="154"/>
      <c r="AC69" s="179"/>
      <c r="AD69" s="31"/>
      <c r="AE69" s="180"/>
    </row>
    <row r="70" spans="2:31" x14ac:dyDescent="0.2">
      <c r="B70" s="20" t="s">
        <v>379</v>
      </c>
      <c r="C70" s="146">
        <v>1</v>
      </c>
      <c r="D70" s="146">
        <v>1</v>
      </c>
      <c r="E70" s="146">
        <v>1</v>
      </c>
      <c r="F70" s="146"/>
      <c r="G70" s="146"/>
      <c r="H70" s="146"/>
      <c r="I70" s="146"/>
      <c r="J70" s="146"/>
      <c r="K70" s="146"/>
      <c r="L70" s="146"/>
      <c r="M70" s="146"/>
      <c r="N70" s="146"/>
      <c r="O70" s="146"/>
      <c r="P70" s="146"/>
      <c r="Q70" s="118" t="e">
        <f>((P70/G70)^(1/($H$2-$H$1) ))-1</f>
        <v>#DIV/0!</v>
      </c>
      <c r="R70" s="31">
        <v>0.1</v>
      </c>
      <c r="S70" s="154">
        <f t="shared" ref="S70" si="213">P70*(1+$R70)</f>
        <v>0</v>
      </c>
      <c r="T70" s="154">
        <f t="shared" si="204"/>
        <v>0</v>
      </c>
      <c r="U70" s="154">
        <f t="shared" si="204"/>
        <v>0</v>
      </c>
      <c r="V70" s="154">
        <f t="shared" si="204"/>
        <v>0</v>
      </c>
      <c r="W70" s="154">
        <f t="shared" si="204"/>
        <v>0</v>
      </c>
      <c r="X70" s="154">
        <f t="shared" si="204"/>
        <v>0</v>
      </c>
      <c r="Y70" s="154">
        <f t="shared" si="204"/>
        <v>0</v>
      </c>
      <c r="Z70" s="154">
        <f t="shared" si="204"/>
        <v>0</v>
      </c>
      <c r="AA70" s="154">
        <f t="shared" si="204"/>
        <v>0</v>
      </c>
      <c r="AB70" s="154">
        <f t="shared" si="204"/>
        <v>0</v>
      </c>
      <c r="AC70" s="137" t="e">
        <f t="shared" si="19"/>
        <v>#DIV/0!</v>
      </c>
      <c r="AD70" s="31">
        <v>0.08</v>
      </c>
      <c r="AE70" s="145">
        <f t="shared" si="1"/>
        <v>0</v>
      </c>
    </row>
    <row r="71" spans="2:31" x14ac:dyDescent="0.2">
      <c r="B71" s="20" t="s">
        <v>283</v>
      </c>
      <c r="C71" s="144">
        <v>1</v>
      </c>
      <c r="D71" s="144">
        <v>1</v>
      </c>
      <c r="E71" s="144">
        <v>1</v>
      </c>
      <c r="F71" s="146"/>
      <c r="G71" s="168">
        <v>2.4</v>
      </c>
      <c r="H71" s="168">
        <v>1.25</v>
      </c>
      <c r="I71" s="168">
        <v>0.6</v>
      </c>
      <c r="J71" s="168">
        <v>0.7</v>
      </c>
      <c r="K71" s="168">
        <v>0.75</v>
      </c>
      <c r="L71" s="168">
        <v>0.75</v>
      </c>
      <c r="M71" s="168">
        <v>0.85</v>
      </c>
      <c r="N71" s="168">
        <v>0.5</v>
      </c>
      <c r="O71" s="168">
        <v>0.6</v>
      </c>
      <c r="P71" s="168">
        <v>0.7</v>
      </c>
      <c r="Q71" s="118">
        <f>((P71/G71)^(1/($H$2-$H$1) ))-1</f>
        <v>-0.12794680498564115</v>
      </c>
      <c r="R71" s="31">
        <v>0.05</v>
      </c>
      <c r="S71" s="139">
        <f t="shared" ref="S71" si="214">P71*(1+$R71)</f>
        <v>0.73499999999999999</v>
      </c>
      <c r="T71" s="139">
        <f t="shared" ref="T71" si="215">S71*(1+$R71)</f>
        <v>0.77175000000000005</v>
      </c>
      <c r="U71" s="139">
        <f t="shared" ref="U71" si="216">T71*(1+$R71)</f>
        <v>0.81033750000000004</v>
      </c>
      <c r="V71" s="139">
        <f t="shared" ref="V71" si="217">U71*(1+$R71)</f>
        <v>0.85085437500000005</v>
      </c>
      <c r="W71" s="139">
        <f t="shared" ref="W71" si="218">V71*(1+$R71)</f>
        <v>0.89339709375000009</v>
      </c>
      <c r="X71" s="139">
        <f t="shared" ref="X71" si="219">W71*(1+$R71)</f>
        <v>0.93806694843750016</v>
      </c>
      <c r="Y71" s="139">
        <f t="shared" ref="Y71" si="220">X71*(1+$R71)</f>
        <v>0.98497029585937523</v>
      </c>
      <c r="Z71" s="139">
        <f t="shared" ref="Z71" si="221">Y71*(1+$R71)</f>
        <v>1.034218810652344</v>
      </c>
      <c r="AA71" s="139">
        <f t="shared" ref="AA71" si="222">Z71*(1+$R71)</f>
        <v>1.0859297511849613</v>
      </c>
      <c r="AB71" s="139">
        <f t="shared" ref="AB71" si="223">AA71*(1+$R71)</f>
        <v>1.1402262387442095</v>
      </c>
      <c r="AC71" s="137">
        <f t="shared" ref="AC71" si="224">((AB71/G71)^(1/($AB$3-$H$1) ))-1</f>
        <v>-3.8413383899797204E-2</v>
      </c>
      <c r="AD71" s="31">
        <f t="shared" si="17"/>
        <v>0.05</v>
      </c>
      <c r="AE71" s="145">
        <f t="shared" si="1"/>
        <v>7.0425738275377645</v>
      </c>
    </row>
    <row r="72" spans="2:31" x14ac:dyDescent="0.2">
      <c r="B72" s="20" t="s">
        <v>435</v>
      </c>
      <c r="C72" s="20"/>
      <c r="D72" s="20"/>
      <c r="E72" s="126"/>
      <c r="F72" s="126"/>
      <c r="G72" s="146">
        <v>0</v>
      </c>
      <c r="H72" s="146">
        <v>0</v>
      </c>
      <c r="I72" s="146">
        <v>0</v>
      </c>
      <c r="J72" s="146">
        <v>0</v>
      </c>
      <c r="K72" s="146">
        <v>0</v>
      </c>
      <c r="L72" s="146">
        <v>0</v>
      </c>
      <c r="M72" s="146">
        <v>0</v>
      </c>
      <c r="N72" s="146" t="s">
        <v>440</v>
      </c>
      <c r="O72" s="146">
        <v>0</v>
      </c>
      <c r="P72" s="146">
        <v>0</v>
      </c>
      <c r="Q72" s="146">
        <v>0</v>
      </c>
      <c r="R72" s="127"/>
      <c r="S72" s="154"/>
      <c r="T72" s="154"/>
      <c r="U72" s="154"/>
      <c r="V72" s="154"/>
      <c r="W72" s="154"/>
      <c r="X72" s="154"/>
      <c r="Y72" s="154"/>
      <c r="Z72" s="154"/>
      <c r="AA72" s="154"/>
      <c r="AB72" s="154"/>
      <c r="AC72" s="138"/>
      <c r="AD72" s="136"/>
      <c r="AE72" s="154"/>
    </row>
    <row r="73" spans="2:31" s="187" customFormat="1" x14ac:dyDescent="0.2">
      <c r="B73" s="218" t="s">
        <v>436</v>
      </c>
      <c r="C73" s="218"/>
      <c r="D73" s="218"/>
      <c r="E73" s="199"/>
      <c r="F73" s="199"/>
      <c r="G73" s="146">
        <v>0</v>
      </c>
      <c r="H73" s="146" t="s">
        <v>438</v>
      </c>
      <c r="I73" s="146" t="s">
        <v>439</v>
      </c>
      <c r="J73" s="146">
        <v>0</v>
      </c>
      <c r="K73" s="146">
        <v>0</v>
      </c>
      <c r="L73" s="146">
        <v>0</v>
      </c>
      <c r="M73" s="146">
        <v>0</v>
      </c>
      <c r="N73" s="146">
        <v>0</v>
      </c>
      <c r="O73" s="146">
        <v>0</v>
      </c>
      <c r="P73" s="146">
        <v>0</v>
      </c>
      <c r="Q73" s="146">
        <v>0</v>
      </c>
      <c r="R73" s="127"/>
      <c r="S73" s="154"/>
      <c r="T73" s="154"/>
      <c r="U73" s="154"/>
      <c r="V73" s="154"/>
      <c r="W73" s="154"/>
      <c r="X73" s="154"/>
      <c r="Y73" s="154"/>
      <c r="Z73" s="154"/>
      <c r="AA73" s="154"/>
      <c r="AB73" s="154"/>
      <c r="AC73" s="138"/>
      <c r="AD73" s="200"/>
      <c r="AE73" s="154"/>
    </row>
    <row r="74" spans="2:31" s="187" customFormat="1" x14ac:dyDescent="0.2">
      <c r="B74" s="218" t="s">
        <v>437</v>
      </c>
      <c r="C74" s="218"/>
      <c r="D74" s="218"/>
      <c r="E74" s="199"/>
      <c r="F74" s="199"/>
      <c r="G74" s="146">
        <v>0</v>
      </c>
      <c r="H74" s="146">
        <v>0</v>
      </c>
      <c r="I74" s="146">
        <v>0</v>
      </c>
      <c r="J74" s="146">
        <v>0</v>
      </c>
      <c r="K74" s="146">
        <v>0</v>
      </c>
      <c r="L74" s="146">
        <v>0</v>
      </c>
      <c r="M74" s="146">
        <v>0</v>
      </c>
      <c r="N74" s="146">
        <v>0</v>
      </c>
      <c r="O74" s="146">
        <v>0</v>
      </c>
      <c r="P74" s="146">
        <v>0</v>
      </c>
      <c r="Q74" s="146">
        <v>0</v>
      </c>
      <c r="R74" s="127"/>
      <c r="S74" s="154"/>
      <c r="T74" s="154"/>
      <c r="U74" s="154"/>
      <c r="V74" s="154"/>
      <c r="W74" s="154"/>
      <c r="X74" s="154"/>
      <c r="Y74" s="154"/>
      <c r="Z74" s="154"/>
      <c r="AA74" s="154"/>
      <c r="AB74" s="154"/>
      <c r="AC74" s="138"/>
      <c r="AD74" s="200"/>
      <c r="AE74" s="154"/>
    </row>
    <row r="75" spans="2:31" s="187" customFormat="1" x14ac:dyDescent="0.2">
      <c r="B75" s="218"/>
      <c r="C75" s="218"/>
      <c r="D75" s="218"/>
      <c r="E75" s="199"/>
      <c r="F75" s="199"/>
      <c r="G75" s="199"/>
      <c r="H75" s="218"/>
      <c r="I75" s="218"/>
      <c r="J75" s="218"/>
      <c r="K75" s="218"/>
      <c r="L75" s="218"/>
      <c r="M75" s="218"/>
      <c r="N75" s="218"/>
      <c r="O75" s="218"/>
      <c r="P75" s="218"/>
      <c r="Q75" s="127"/>
      <c r="R75" s="127"/>
      <c r="S75" s="154"/>
      <c r="T75" s="154"/>
      <c r="U75" s="154"/>
      <c r="V75" s="154"/>
      <c r="W75" s="154"/>
      <c r="X75" s="154"/>
      <c r="Y75" s="154"/>
      <c r="Z75" s="154"/>
      <c r="AA75" s="154"/>
      <c r="AB75" s="154"/>
      <c r="AC75" s="138"/>
      <c r="AD75" s="200"/>
      <c r="AE75" s="154"/>
    </row>
    <row r="76" spans="2:31" x14ac:dyDescent="0.2">
      <c r="B76" s="108" t="s">
        <v>243</v>
      </c>
      <c r="C76" s="20"/>
      <c r="D76" s="20"/>
      <c r="E76" s="126"/>
      <c r="F76" s="126"/>
      <c r="G76" s="126"/>
      <c r="H76" s="20"/>
      <c r="I76" s="20"/>
      <c r="J76" s="20"/>
      <c r="K76" s="20"/>
      <c r="L76" s="20"/>
      <c r="M76" s="20"/>
      <c r="N76" s="20"/>
      <c r="O76" s="20"/>
      <c r="P76" s="20"/>
      <c r="Q76" s="127"/>
      <c r="R76" s="127"/>
      <c r="S76" s="154"/>
      <c r="T76" s="154"/>
      <c r="U76" s="154"/>
      <c r="V76" s="154"/>
      <c r="W76" s="154"/>
      <c r="X76" s="154"/>
      <c r="Y76" s="154"/>
      <c r="Z76" s="154"/>
      <c r="AA76" s="154"/>
      <c r="AB76" s="154"/>
      <c r="AC76" s="138"/>
      <c r="AD76" s="136"/>
      <c r="AE76" s="154"/>
    </row>
    <row r="77" spans="2:31" x14ac:dyDescent="0.2">
      <c r="B77" s="20" t="s">
        <v>304</v>
      </c>
      <c r="C77" s="132">
        <f t="shared" ref="C77:P77" si="225">C44/C68</f>
        <v>0</v>
      </c>
      <c r="D77" s="132">
        <f t="shared" si="225"/>
        <v>0</v>
      </c>
      <c r="E77" s="132">
        <f t="shared" si="225"/>
        <v>0</v>
      </c>
      <c r="F77" s="132" t="e">
        <f t="shared" si="225"/>
        <v>#DIV/0!</v>
      </c>
      <c r="G77" s="132">
        <f t="shared" si="225"/>
        <v>195.63025210084032</v>
      </c>
      <c r="H77" s="132">
        <f t="shared" si="225"/>
        <v>142.09245742092457</v>
      </c>
      <c r="I77" s="132">
        <f t="shared" si="225"/>
        <v>96.289125524362703</v>
      </c>
      <c r="J77" s="132">
        <f t="shared" si="225"/>
        <v>132.9346826126955</v>
      </c>
      <c r="K77" s="132">
        <f t="shared" si="225"/>
        <v>222.78003482298317</v>
      </c>
      <c r="L77" s="132">
        <f t="shared" si="225"/>
        <v>207.78356481481481</v>
      </c>
      <c r="M77" s="132">
        <f t="shared" si="225"/>
        <v>267.59551852915826</v>
      </c>
      <c r="N77" s="132">
        <f t="shared" si="225"/>
        <v>150.12145968759754</v>
      </c>
      <c r="O77" s="132">
        <f t="shared" si="225"/>
        <v>175.68777179085959</v>
      </c>
      <c r="P77" s="132">
        <f t="shared" si="225"/>
        <v>213.61797873195297</v>
      </c>
      <c r="Q77" s="118">
        <f>((P77/G77)^(1/($H$2-$H$1) ))-1</f>
        <v>9.8215697737233931E-3</v>
      </c>
      <c r="R77" s="127"/>
      <c r="S77" s="158">
        <f t="shared" ref="S77:AB77" si="226">S44/S68</f>
        <v>240.84379955073129</v>
      </c>
      <c r="T77" s="158">
        <f t="shared" si="226"/>
        <v>271.53957792484414</v>
      </c>
      <c r="U77" s="158">
        <f t="shared" si="226"/>
        <v>306.14756334663798</v>
      </c>
      <c r="V77" s="158">
        <f t="shared" si="226"/>
        <v>345.16637043983684</v>
      </c>
      <c r="W77" s="158">
        <f t="shared" si="226"/>
        <v>389.15816275079641</v>
      </c>
      <c r="X77" s="158">
        <f t="shared" si="226"/>
        <v>438.75675212099594</v>
      </c>
      <c r="Y77" s="158">
        <f t="shared" si="226"/>
        <v>494.67673033249542</v>
      </c>
      <c r="Z77" s="158">
        <f t="shared" si="226"/>
        <v>557.72376459055852</v>
      </c>
      <c r="AA77" s="158">
        <f t="shared" si="226"/>
        <v>628.80620517562966</v>
      </c>
      <c r="AB77" s="158">
        <f t="shared" si="226"/>
        <v>708.94817250193523</v>
      </c>
      <c r="AC77" s="137">
        <f t="shared" ref="AC77" si="227">((AB77/G77)^(1/($AB$3-$H$1) ))-1</f>
        <v>7.0114985826317922E-2</v>
      </c>
      <c r="AD77" s="31">
        <f t="shared" si="17"/>
        <v>0.05</v>
      </c>
      <c r="AE77" s="145">
        <f t="shared" ref="AE77" si="228">(AB77*(1+AD77))/($C$1-AD77)</f>
        <v>4378.7975360413657</v>
      </c>
    </row>
    <row r="78" spans="2:31" x14ac:dyDescent="0.2">
      <c r="B78" s="20" t="s">
        <v>305</v>
      </c>
      <c r="C78" s="132">
        <f t="shared" ref="C78:P78" si="229">C46/C68</f>
        <v>0</v>
      </c>
      <c r="D78" s="132">
        <f t="shared" si="229"/>
        <v>0</v>
      </c>
      <c r="E78" s="132">
        <f t="shared" si="229"/>
        <v>0</v>
      </c>
      <c r="F78" s="132" t="e">
        <f t="shared" si="229"/>
        <v>#DIV/0!</v>
      </c>
      <c r="G78" s="132">
        <f t="shared" si="229"/>
        <v>162.01680672268907</v>
      </c>
      <c r="H78" s="132">
        <f t="shared" si="229"/>
        <v>126.35847526358475</v>
      </c>
      <c r="I78" s="132">
        <f t="shared" si="229"/>
        <v>79.219102936431113</v>
      </c>
      <c r="J78" s="132">
        <f t="shared" si="229"/>
        <v>116.83532658693653</v>
      </c>
      <c r="K78" s="132">
        <f t="shared" si="229"/>
        <v>194.95066744051073</v>
      </c>
      <c r="L78" s="132">
        <f t="shared" si="229"/>
        <v>188.88888888888889</v>
      </c>
      <c r="M78" s="132">
        <f t="shared" si="229"/>
        <v>229.44556162022405</v>
      </c>
      <c r="N78" s="132">
        <f t="shared" si="229"/>
        <v>128.82869434228562</v>
      </c>
      <c r="O78" s="132">
        <f t="shared" si="229"/>
        <v>150.71102716524749</v>
      </c>
      <c r="P78" s="132">
        <f t="shared" si="229"/>
        <v>184.09985803444675</v>
      </c>
      <c r="Q78" s="118">
        <f>((P78/G78)^(1/($H$2-$H$1) ))-1</f>
        <v>1.4298846792787367E-2</v>
      </c>
      <c r="R78" s="127"/>
      <c r="S78" s="158">
        <f t="shared" ref="S78:AB78" si="230">S46/S68</f>
        <v>207.56356543099389</v>
      </c>
      <c r="T78" s="158">
        <f t="shared" si="230"/>
        <v>234.01774533886564</v>
      </c>
      <c r="U78" s="158">
        <f t="shared" si="230"/>
        <v>263.84353641146612</v>
      </c>
      <c r="V78" s="158">
        <f t="shared" si="230"/>
        <v>297.47065379724114</v>
      </c>
      <c r="W78" s="158">
        <f t="shared" si="230"/>
        <v>335.38358026159534</v>
      </c>
      <c r="X78" s="158">
        <f t="shared" si="230"/>
        <v>378.12854637336733</v>
      </c>
      <c r="Y78" s="158">
        <f t="shared" si="230"/>
        <v>426.32140032291409</v>
      </c>
      <c r="Z78" s="158">
        <f t="shared" si="230"/>
        <v>480.65648075622664</v>
      </c>
      <c r="AA78" s="158">
        <f t="shared" si="230"/>
        <v>541.91662046045144</v>
      </c>
      <c r="AB78" s="158">
        <f t="shared" si="230"/>
        <v>610.98442502894034</v>
      </c>
      <c r="AC78" s="137">
        <f t="shared" ref="AC78" si="231">((AB78/G78)^(1/($AB$3-$H$1) ))-1</f>
        <v>7.2359812429198422E-2</v>
      </c>
      <c r="AD78" s="31">
        <f t="shared" si="17"/>
        <v>0.05</v>
      </c>
      <c r="AE78" s="145">
        <f t="shared" ref="AE78" si="232">(AB78*(1+AD78))/($C$1-AD78)</f>
        <v>3773.7273310611026</v>
      </c>
    </row>
    <row r="79" spans="2:31" x14ac:dyDescent="0.2">
      <c r="B79" s="20"/>
      <c r="C79" s="132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27"/>
      <c r="R79" s="127"/>
      <c r="S79" s="158"/>
      <c r="T79" s="158"/>
      <c r="U79" s="158"/>
      <c r="V79" s="158"/>
      <c r="W79" s="158"/>
      <c r="X79" s="158"/>
      <c r="Y79" s="158"/>
      <c r="Z79" s="158"/>
      <c r="AA79" s="158"/>
      <c r="AB79" s="158"/>
      <c r="AC79" s="119"/>
      <c r="AD79" s="136"/>
      <c r="AE79" s="145"/>
    </row>
    <row r="80" spans="2:31" x14ac:dyDescent="0.2">
      <c r="B80" s="20" t="s">
        <v>258</v>
      </c>
      <c r="C80" s="25">
        <f t="shared" ref="C80:P80" si="233">C66/C68</f>
        <v>0</v>
      </c>
      <c r="D80" s="25">
        <f t="shared" si="233"/>
        <v>0</v>
      </c>
      <c r="E80" s="25">
        <f t="shared" si="233"/>
        <v>0</v>
      </c>
      <c r="F80" s="132" t="e">
        <f t="shared" si="233"/>
        <v>#DIV/0!</v>
      </c>
      <c r="G80" s="132">
        <f t="shared" si="233"/>
        <v>33.680672268907564</v>
      </c>
      <c r="H80" s="132">
        <f t="shared" si="233"/>
        <v>15.733982157339822</v>
      </c>
      <c r="I80" s="132">
        <f t="shared" si="233"/>
        <v>17.070022587931593</v>
      </c>
      <c r="J80" s="132">
        <f t="shared" si="233"/>
        <v>16.068690585709906</v>
      </c>
      <c r="K80" s="132">
        <f t="shared" si="233"/>
        <v>27.800348229831688</v>
      </c>
      <c r="L80" s="132">
        <f t="shared" si="233"/>
        <v>18.86574074074074</v>
      </c>
      <c r="M80" s="132">
        <f t="shared" si="233"/>
        <v>38.121229531743751</v>
      </c>
      <c r="N80" s="132">
        <f t="shared" si="233"/>
        <v>21.292765345311928</v>
      </c>
      <c r="O80" s="132">
        <f t="shared" si="233"/>
        <v>24.976744625612099</v>
      </c>
      <c r="P80" s="132">
        <f t="shared" si="233"/>
        <v>29.51812069750623</v>
      </c>
      <c r="Q80" s="118">
        <f>((P80/G80)^(1/($H$2-$H$1) ))-1</f>
        <v>-1.4550855136272745E-2</v>
      </c>
      <c r="R80" s="127"/>
      <c r="S80" s="158">
        <f t="shared" ref="S80:AB80" si="234">S66/S68</f>
        <v>33.280234119737415</v>
      </c>
      <c r="T80" s="158">
        <f t="shared" si="234"/>
        <v>37.521832585978451</v>
      </c>
      <c r="U80" s="158">
        <f t="shared" si="234"/>
        <v>42.304026935171777</v>
      </c>
      <c r="V80" s="158">
        <f t="shared" si="234"/>
        <v>47.69571664259562</v>
      </c>
      <c r="W80" s="158">
        <f t="shared" si="234"/>
        <v>53.774582489200938</v>
      </c>
      <c r="X80" s="158">
        <f t="shared" si="234"/>
        <v>60.628205747628513</v>
      </c>
      <c r="Y80" s="158">
        <f t="shared" si="234"/>
        <v>68.355330009581166</v>
      </c>
      <c r="Z80" s="158">
        <f t="shared" si="234"/>
        <v>77.067283834331704</v>
      </c>
      <c r="AA80" s="158">
        <f t="shared" si="234"/>
        <v>86.889584715177875</v>
      </c>
      <c r="AB80" s="158">
        <f t="shared" si="234"/>
        <v>97.963747472994669</v>
      </c>
      <c r="AC80" s="137">
        <f t="shared" ref="AC80:AC93" si="235">((AB80/G80)^(1/($AB$3-$H$1) ))-1</f>
        <v>5.7802172583616418E-2</v>
      </c>
      <c r="AD80" s="31">
        <f t="shared" si="17"/>
        <v>0.05</v>
      </c>
      <c r="AE80" s="145">
        <f t="shared" ref="AE80:AE107" si="236">(AB80*(1+AD80))/($C$1-AD80)</f>
        <v>605.07020498026122</v>
      </c>
    </row>
    <row r="81" spans="2:31" x14ac:dyDescent="0.2">
      <c r="B81" s="20" t="s">
        <v>245</v>
      </c>
      <c r="C81" s="25">
        <f t="shared" ref="C81:P81" si="237">C7/C68</f>
        <v>0</v>
      </c>
      <c r="D81" s="25">
        <f t="shared" si="237"/>
        <v>0</v>
      </c>
      <c r="E81" s="25">
        <f t="shared" si="237"/>
        <v>0</v>
      </c>
      <c r="F81" s="132" t="e">
        <f t="shared" si="237"/>
        <v>#DIV/0!</v>
      </c>
      <c r="G81" s="132">
        <f t="shared" si="237"/>
        <v>207.73109243697479</v>
      </c>
      <c r="H81" s="132">
        <f t="shared" si="237"/>
        <v>119.38361719383617</v>
      </c>
      <c r="I81" s="132">
        <f t="shared" si="237"/>
        <v>72.862213617295907</v>
      </c>
      <c r="J81" s="132">
        <f t="shared" si="237"/>
        <v>100</v>
      </c>
      <c r="K81" s="132">
        <f t="shared" si="237"/>
        <v>170.69065583284967</v>
      </c>
      <c r="L81" s="132">
        <f t="shared" si="237"/>
        <v>191.37731481481481</v>
      </c>
      <c r="M81" s="132">
        <f t="shared" si="237"/>
        <v>228.81355932203388</v>
      </c>
      <c r="N81" s="132">
        <f t="shared" si="237"/>
        <v>149.26649205422939</v>
      </c>
      <c r="O81" s="132">
        <f t="shared" si="237"/>
        <v>174.63469823367163</v>
      </c>
      <c r="P81" s="132">
        <f t="shared" si="237"/>
        <v>204.47057563013956</v>
      </c>
      <c r="Q81" s="118">
        <f>((P81/G81)^(1/($H$2-$H$1) ))-1</f>
        <v>-1.7562712562775307E-3</v>
      </c>
      <c r="R81" s="127"/>
      <c r="S81" s="158">
        <f t="shared" ref="S81:AB81" si="238">S7/S68</f>
        <v>230.5305509555495</v>
      </c>
      <c r="T81" s="158">
        <f t="shared" si="238"/>
        <v>259.91189568517837</v>
      </c>
      <c r="U81" s="158">
        <f t="shared" si="238"/>
        <v>293.03792160583833</v>
      </c>
      <c r="V81" s="158">
        <f t="shared" si="238"/>
        <v>330.38589200658237</v>
      </c>
      <c r="W81" s="158">
        <f t="shared" si="238"/>
        <v>372.49389785055848</v>
      </c>
      <c r="X81" s="158">
        <f t="shared" si="238"/>
        <v>419.96861032170807</v>
      </c>
      <c r="Y81" s="158">
        <f t="shared" si="238"/>
        <v>473.49402144114146</v>
      </c>
      <c r="Z81" s="158">
        <f t="shared" si="238"/>
        <v>533.84129868363982</v>
      </c>
      <c r="AA81" s="158">
        <f t="shared" si="238"/>
        <v>601.87989557469189</v>
      </c>
      <c r="AB81" s="158">
        <f t="shared" si="238"/>
        <v>678.5900783440153</v>
      </c>
      <c r="AC81" s="137">
        <f t="shared" si="235"/>
        <v>6.4285659930070294E-2</v>
      </c>
      <c r="AD81" s="31">
        <f t="shared" si="17"/>
        <v>0.05</v>
      </c>
      <c r="AE81" s="145">
        <f t="shared" si="236"/>
        <v>4191.2916603600952</v>
      </c>
    </row>
    <row r="82" spans="2:31" x14ac:dyDescent="0.2">
      <c r="B82" s="20" t="s">
        <v>246</v>
      </c>
      <c r="C82" s="126">
        <f t="shared" ref="C82:P82" si="239">C6/C68</f>
        <v>0</v>
      </c>
      <c r="D82" s="126">
        <f t="shared" si="239"/>
        <v>0</v>
      </c>
      <c r="E82" s="126">
        <f t="shared" si="239"/>
        <v>0</v>
      </c>
      <c r="F82" s="143" t="e">
        <f t="shared" si="239"/>
        <v>#DIV/0!</v>
      </c>
      <c r="G82" s="143">
        <f t="shared" si="239"/>
        <v>197.64705882352939</v>
      </c>
      <c r="H82" s="143">
        <f t="shared" si="239"/>
        <v>108.9213300892133</v>
      </c>
      <c r="I82" s="143">
        <f t="shared" si="239"/>
        <v>62.891255243626979</v>
      </c>
      <c r="J82" s="143">
        <f t="shared" si="239"/>
        <v>90.003066544004909</v>
      </c>
      <c r="K82" s="143">
        <f t="shared" si="239"/>
        <v>158.9959373186303</v>
      </c>
      <c r="L82" s="143">
        <f t="shared" si="239"/>
        <v>181.36574074074073</v>
      </c>
      <c r="M82" s="143">
        <f t="shared" si="239"/>
        <v>218.81643205975294</v>
      </c>
      <c r="N82" s="143">
        <f t="shared" si="239"/>
        <v>143.77027155400546</v>
      </c>
      <c r="O82" s="143">
        <f t="shared" si="239"/>
        <v>169.16681630211872</v>
      </c>
      <c r="P82" s="143">
        <f t="shared" si="239"/>
        <v>199.23392173144404</v>
      </c>
      <c r="Q82" s="118">
        <f>((P82/G82)^(1/($H$2-$H$1) ))-1</f>
        <v>8.8891836153592863E-4</v>
      </c>
      <c r="R82" s="127"/>
      <c r="S82" s="157">
        <f t="shared" ref="S82:AB82" si="240">S6/S68</f>
        <v>224.62648038349082</v>
      </c>
      <c r="T82" s="157">
        <f t="shared" si="240"/>
        <v>253.25534553040626</v>
      </c>
      <c r="U82" s="157">
        <f t="shared" si="240"/>
        <v>285.53298760781092</v>
      </c>
      <c r="V82" s="157">
        <f t="shared" si="240"/>
        <v>321.92444681272798</v>
      </c>
      <c r="W82" s="157">
        <f t="shared" si="240"/>
        <v>362.95403317121287</v>
      </c>
      <c r="X82" s="157">
        <f t="shared" si="240"/>
        <v>409.21288053617138</v>
      </c>
      <c r="Y82" s="157">
        <f t="shared" si="240"/>
        <v>461.36746334960503</v>
      </c>
      <c r="Z82" s="157">
        <f t="shared" si="240"/>
        <v>520.16919887455458</v>
      </c>
      <c r="AA82" s="157">
        <f t="shared" si="240"/>
        <v>586.46527324091937</v>
      </c>
      <c r="AB82" s="157">
        <f t="shared" si="240"/>
        <v>661.21084728142853</v>
      </c>
      <c r="AC82" s="137">
        <f t="shared" si="235"/>
        <v>6.5620609300500732E-2</v>
      </c>
      <c r="AD82" s="31">
        <f t="shared" si="17"/>
        <v>0.05</v>
      </c>
      <c r="AE82" s="145">
        <f t="shared" si="236"/>
        <v>4083.9493508558826</v>
      </c>
    </row>
    <row r="83" spans="2:31" x14ac:dyDescent="0.2">
      <c r="B83" s="20" t="s">
        <v>247</v>
      </c>
      <c r="C83" s="126">
        <f t="shared" ref="C83:P83" si="241">C10/C68</f>
        <v>0</v>
      </c>
      <c r="D83" s="126">
        <f t="shared" si="241"/>
        <v>0</v>
      </c>
      <c r="E83" s="126">
        <f t="shared" si="241"/>
        <v>0</v>
      </c>
      <c r="F83" s="143" t="e">
        <f t="shared" si="241"/>
        <v>#DIV/0!</v>
      </c>
      <c r="G83" s="143">
        <f t="shared" si="241"/>
        <v>1230.9243697478992</v>
      </c>
      <c r="H83" s="143">
        <f t="shared" si="241"/>
        <v>612.81427412814276</v>
      </c>
      <c r="I83" s="143">
        <f t="shared" si="241"/>
        <v>368.31235882542757</v>
      </c>
      <c r="J83" s="143">
        <f t="shared" si="241"/>
        <v>602.45323520392515</v>
      </c>
      <c r="K83" s="143">
        <f t="shared" si="241"/>
        <v>767.96285548461981</v>
      </c>
      <c r="L83" s="143">
        <f t="shared" si="241"/>
        <v>719.96527777777771</v>
      </c>
      <c r="M83" s="143">
        <f t="shared" si="241"/>
        <v>1025.6822752082735</v>
      </c>
      <c r="N83" s="143">
        <f t="shared" si="241"/>
        <v>670.2131990717495</v>
      </c>
      <c r="O83" s="143">
        <f t="shared" si="241"/>
        <v>886.40441534841204</v>
      </c>
      <c r="P83" s="143">
        <f t="shared" si="241"/>
        <v>1159.3094581201619</v>
      </c>
      <c r="Q83" s="118">
        <f>((P83/G83)^(1/($H$2-$H$1) ))-1</f>
        <v>-6.637967832446634E-3</v>
      </c>
      <c r="R83" s="127"/>
      <c r="S83" s="157">
        <f t="shared" ref="S83:AB83" si="242">S10/S68</f>
        <v>1307.0645851354766</v>
      </c>
      <c r="T83" s="157">
        <f t="shared" si="242"/>
        <v>1473.6512479468606</v>
      </c>
      <c r="U83" s="157">
        <f t="shared" si="242"/>
        <v>1661.4695442538132</v>
      </c>
      <c r="V83" s="157">
        <f t="shared" si="242"/>
        <v>1873.2254665606715</v>
      </c>
      <c r="W83" s="157">
        <f t="shared" si="242"/>
        <v>2111.9698887693844</v>
      </c>
      <c r="X83" s="157">
        <f t="shared" si="242"/>
        <v>2381.1425216517569</v>
      </c>
      <c r="Y83" s="157">
        <f t="shared" si="242"/>
        <v>2684.6214704897257</v>
      </c>
      <c r="Z83" s="157">
        <f t="shared" si="242"/>
        <v>3026.7791088854742</v>
      </c>
      <c r="AA83" s="157">
        <f t="shared" si="242"/>
        <v>3412.5450737434267</v>
      </c>
      <c r="AB83" s="157">
        <f t="shared" si="242"/>
        <v>3847.4772890244508</v>
      </c>
      <c r="AC83" s="137">
        <f t="shared" si="235"/>
        <v>6.1817113810616942E-2</v>
      </c>
      <c r="AD83" s="31">
        <f t="shared" si="17"/>
        <v>0.05</v>
      </c>
      <c r="AE83" s="145">
        <f t="shared" si="236"/>
        <v>23763.830314562787</v>
      </c>
    </row>
    <row r="84" spans="2:31" x14ac:dyDescent="0.2">
      <c r="B84" s="20"/>
      <c r="C84" s="126"/>
      <c r="D84" s="126"/>
      <c r="E84" s="126"/>
      <c r="F84" s="143"/>
      <c r="G84" s="143"/>
      <c r="H84" s="143"/>
      <c r="I84" s="143"/>
      <c r="J84" s="143"/>
      <c r="K84" s="143"/>
      <c r="L84" s="143"/>
      <c r="M84" s="143"/>
      <c r="N84" s="143"/>
      <c r="O84" s="143"/>
      <c r="P84" s="143"/>
      <c r="Q84" s="127"/>
      <c r="R84" s="127"/>
      <c r="S84" s="157"/>
      <c r="T84" s="157"/>
      <c r="U84" s="157"/>
      <c r="V84" s="157"/>
      <c r="W84" s="157"/>
      <c r="X84" s="157"/>
      <c r="Y84" s="157"/>
      <c r="Z84" s="157"/>
      <c r="AA84" s="157"/>
      <c r="AB84" s="157"/>
      <c r="AC84" s="138"/>
      <c r="AD84" s="136"/>
      <c r="AE84" s="145"/>
    </row>
    <row r="85" spans="2:31" x14ac:dyDescent="0.2">
      <c r="B85" s="20" t="s">
        <v>271</v>
      </c>
      <c r="C85" s="126">
        <f t="shared" ref="C85:P85" si="243">(C7-C10)/C68</f>
        <v>0</v>
      </c>
      <c r="D85" s="126">
        <f t="shared" si="243"/>
        <v>0</v>
      </c>
      <c r="E85" s="126">
        <f t="shared" si="243"/>
        <v>0</v>
      </c>
      <c r="F85" s="143" t="e">
        <f t="shared" si="243"/>
        <v>#DIV/0!</v>
      </c>
      <c r="G85" s="143">
        <f t="shared" si="243"/>
        <v>-1023.1932773109244</v>
      </c>
      <c r="H85" s="143">
        <f t="shared" si="243"/>
        <v>-493.43065693430657</v>
      </c>
      <c r="I85" s="143">
        <f t="shared" si="243"/>
        <v>-295.45014520813169</v>
      </c>
      <c r="J85" s="143">
        <f t="shared" si="243"/>
        <v>-502.4532352039252</v>
      </c>
      <c r="K85" s="143">
        <f t="shared" si="243"/>
        <v>-597.27219965177017</v>
      </c>
      <c r="L85" s="143">
        <f t="shared" si="243"/>
        <v>-528.58796296296293</v>
      </c>
      <c r="M85" s="143">
        <f t="shared" si="243"/>
        <v>-796.86871588623956</v>
      </c>
      <c r="N85" s="143">
        <f t="shared" si="243"/>
        <v>-520.94670701752011</v>
      </c>
      <c r="O85" s="143">
        <f t="shared" si="243"/>
        <v>-711.7697171147405</v>
      </c>
      <c r="P85" s="143">
        <f t="shared" si="243"/>
        <v>-954.83888249002223</v>
      </c>
      <c r="Q85" s="118">
        <f>((P85/G85)^(1/($H$2-$H$1) ))-1</f>
        <v>-7.6529065972728016E-3</v>
      </c>
      <c r="R85" s="127"/>
      <c r="S85" s="157">
        <f t="shared" ref="S85:AB85" si="244">(S7-S10)/S68</f>
        <v>-1076.5340341799269</v>
      </c>
      <c r="T85" s="157">
        <f t="shared" si="244"/>
        <v>-1213.7393522616824</v>
      </c>
      <c r="U85" s="157">
        <f t="shared" si="244"/>
        <v>-1368.431622647975</v>
      </c>
      <c r="V85" s="157">
        <f t="shared" si="244"/>
        <v>-1542.839574554089</v>
      </c>
      <c r="W85" s="157">
        <f t="shared" si="244"/>
        <v>-1739.4759909188258</v>
      </c>
      <c r="X85" s="157">
        <f t="shared" si="244"/>
        <v>-1961.1739113300487</v>
      </c>
      <c r="Y85" s="157">
        <f t="shared" si="244"/>
        <v>-2211.1274490485844</v>
      </c>
      <c r="Z85" s="157">
        <f t="shared" si="244"/>
        <v>-2492.9378102018345</v>
      </c>
      <c r="AA85" s="157">
        <f t="shared" si="244"/>
        <v>-2810.6651781687347</v>
      </c>
      <c r="AB85" s="157">
        <f t="shared" si="244"/>
        <v>-3168.8872106804356</v>
      </c>
      <c r="AC85" s="137">
        <f t="shared" si="235"/>
        <v>6.1303084683647091E-2</v>
      </c>
      <c r="AD85" s="31">
        <f t="shared" si="17"/>
        <v>0.05</v>
      </c>
      <c r="AE85" s="145">
        <f t="shared" si="236"/>
        <v>-19572.538654202694</v>
      </c>
    </row>
    <row r="86" spans="2:31" x14ac:dyDescent="0.2">
      <c r="B86" s="20" t="s">
        <v>272</v>
      </c>
      <c r="C86" s="126">
        <f t="shared" ref="C86:P86" si="245">(C7-C10-C9)/C68</f>
        <v>0</v>
      </c>
      <c r="D86" s="126">
        <f t="shared" si="245"/>
        <v>0</v>
      </c>
      <c r="E86" s="126">
        <f t="shared" si="245"/>
        <v>0</v>
      </c>
      <c r="F86" s="143" t="e">
        <f t="shared" si="245"/>
        <v>#DIV/0!</v>
      </c>
      <c r="G86" s="143">
        <f t="shared" si="245"/>
        <v>-1023.1932773109244</v>
      </c>
      <c r="H86" s="143">
        <f t="shared" si="245"/>
        <v>-493.43065693430657</v>
      </c>
      <c r="I86" s="143">
        <f t="shared" si="245"/>
        <v>-295.45014520813169</v>
      </c>
      <c r="J86" s="143">
        <f t="shared" si="245"/>
        <v>-502.4532352039252</v>
      </c>
      <c r="K86" s="143">
        <f t="shared" si="245"/>
        <v>-597.27219965177017</v>
      </c>
      <c r="L86" s="143">
        <f t="shared" si="245"/>
        <v>-528.58796296296293</v>
      </c>
      <c r="M86" s="143">
        <f t="shared" si="245"/>
        <v>-796.86871588623956</v>
      </c>
      <c r="N86" s="143">
        <f t="shared" si="245"/>
        <v>-520.94670701752011</v>
      </c>
      <c r="O86" s="143">
        <f t="shared" si="245"/>
        <v>-711.7697171147405</v>
      </c>
      <c r="P86" s="143">
        <f t="shared" si="245"/>
        <v>-954.83888249002223</v>
      </c>
      <c r="Q86" s="118">
        <f>((P86/G86)^(1/($H$2-$H$1) ))-1</f>
        <v>-7.6529065972728016E-3</v>
      </c>
      <c r="R86" s="127"/>
      <c r="S86" s="157">
        <f t="shared" ref="S86:AB86" si="246">(S7-S10-S9)/S68</f>
        <v>-1076.5340341799269</v>
      </c>
      <c r="T86" s="157">
        <f t="shared" si="246"/>
        <v>-1213.7393522616824</v>
      </c>
      <c r="U86" s="157">
        <f t="shared" si="246"/>
        <v>-1368.431622647975</v>
      </c>
      <c r="V86" s="157">
        <f t="shared" si="246"/>
        <v>-1542.839574554089</v>
      </c>
      <c r="W86" s="157">
        <f t="shared" si="246"/>
        <v>-1739.4759909188258</v>
      </c>
      <c r="X86" s="157">
        <f t="shared" si="246"/>
        <v>-1961.1739113300487</v>
      </c>
      <c r="Y86" s="157">
        <f t="shared" si="246"/>
        <v>-2211.1274490485844</v>
      </c>
      <c r="Z86" s="157">
        <f t="shared" si="246"/>
        <v>-2492.9378102018345</v>
      </c>
      <c r="AA86" s="157">
        <f t="shared" si="246"/>
        <v>-2810.6651781687347</v>
      </c>
      <c r="AB86" s="157">
        <f t="shared" si="246"/>
        <v>-3168.8872106804356</v>
      </c>
      <c r="AC86" s="137">
        <f t="shared" si="235"/>
        <v>6.1303084683647091E-2</v>
      </c>
      <c r="AD86" s="31">
        <f t="shared" si="17"/>
        <v>0.05</v>
      </c>
      <c r="AE86" s="145">
        <f t="shared" si="236"/>
        <v>-19572.538654202694</v>
      </c>
    </row>
    <row r="87" spans="2:31" x14ac:dyDescent="0.2">
      <c r="B87" s="20" t="s">
        <v>277</v>
      </c>
      <c r="C87" s="126">
        <f t="shared" ref="C87:P87" si="247">(C7+C17-C10-C9)/C68</f>
        <v>0</v>
      </c>
      <c r="D87" s="126">
        <f t="shared" si="247"/>
        <v>0</v>
      </c>
      <c r="E87" s="126">
        <f t="shared" si="247"/>
        <v>0</v>
      </c>
      <c r="F87" s="143" t="e">
        <f t="shared" si="247"/>
        <v>#DIV/0!</v>
      </c>
      <c r="G87" s="143">
        <f t="shared" si="247"/>
        <v>-1023.1932773109244</v>
      </c>
      <c r="H87" s="143">
        <f t="shared" si="247"/>
        <v>-493.43065693430657</v>
      </c>
      <c r="I87" s="143">
        <f t="shared" si="247"/>
        <v>-295.45014520813169</v>
      </c>
      <c r="J87" s="143">
        <f t="shared" si="247"/>
        <v>-502.4532352039252</v>
      </c>
      <c r="K87" s="143">
        <f t="shared" si="247"/>
        <v>-597.27219965177017</v>
      </c>
      <c r="L87" s="143">
        <f t="shared" si="247"/>
        <v>-528.58796296296293</v>
      </c>
      <c r="M87" s="143">
        <f t="shared" si="247"/>
        <v>-796.86871588623956</v>
      </c>
      <c r="N87" s="143">
        <f t="shared" si="247"/>
        <v>-520.94670701752011</v>
      </c>
      <c r="O87" s="143">
        <f t="shared" si="247"/>
        <v>-711.7697171147405</v>
      </c>
      <c r="P87" s="143">
        <f t="shared" si="247"/>
        <v>-954.83888249002223</v>
      </c>
      <c r="Q87" s="118">
        <f>((P87/G87)^(1/($H$2-$H$1) ))-1</f>
        <v>-7.6529065972728016E-3</v>
      </c>
      <c r="R87" s="127"/>
      <c r="S87" s="157">
        <f t="shared" ref="S87:AB87" si="248">(S7+S17-S10-S9)/S68</f>
        <v>-1076.5340341799269</v>
      </c>
      <c r="T87" s="157">
        <f t="shared" si="248"/>
        <v>-1213.7393522616824</v>
      </c>
      <c r="U87" s="157">
        <f t="shared" si="248"/>
        <v>-1368.431622647975</v>
      </c>
      <c r="V87" s="157">
        <f t="shared" si="248"/>
        <v>-1542.839574554089</v>
      </c>
      <c r="W87" s="157">
        <f t="shared" si="248"/>
        <v>-1739.4759909188258</v>
      </c>
      <c r="X87" s="157">
        <f t="shared" si="248"/>
        <v>-1961.1739113300487</v>
      </c>
      <c r="Y87" s="157">
        <f t="shared" si="248"/>
        <v>-2211.1274490485844</v>
      </c>
      <c r="Z87" s="157">
        <f t="shared" si="248"/>
        <v>-2492.9378102018345</v>
      </c>
      <c r="AA87" s="157">
        <f t="shared" si="248"/>
        <v>-2810.6651781687347</v>
      </c>
      <c r="AB87" s="157">
        <f t="shared" si="248"/>
        <v>-3168.8872106804356</v>
      </c>
      <c r="AC87" s="137">
        <f t="shared" si="235"/>
        <v>6.1303084683647091E-2</v>
      </c>
      <c r="AD87" s="31">
        <f t="shared" si="17"/>
        <v>0.05</v>
      </c>
      <c r="AE87" s="145">
        <f t="shared" si="236"/>
        <v>-19572.538654202694</v>
      </c>
    </row>
    <row r="88" spans="2:31" x14ac:dyDescent="0.2">
      <c r="B88" s="20"/>
      <c r="C88" s="126"/>
      <c r="D88" s="126"/>
      <c r="E88" s="126"/>
      <c r="F88" s="143"/>
      <c r="G88" s="143"/>
      <c r="H88" s="143"/>
      <c r="I88" s="143"/>
      <c r="J88" s="143"/>
      <c r="K88" s="143"/>
      <c r="L88" s="143"/>
      <c r="M88" s="143"/>
      <c r="N88" s="143"/>
      <c r="O88" s="143"/>
      <c r="P88" s="143"/>
      <c r="Q88" s="127"/>
      <c r="R88" s="127"/>
      <c r="S88" s="154"/>
      <c r="T88" s="154"/>
      <c r="U88" s="154"/>
      <c r="V88" s="154"/>
      <c r="W88" s="154"/>
      <c r="X88" s="154"/>
      <c r="Y88" s="154"/>
      <c r="Z88" s="154"/>
      <c r="AA88" s="154"/>
      <c r="AB88" s="154"/>
      <c r="AC88" s="138"/>
      <c r="AD88" s="136"/>
      <c r="AE88" s="154"/>
    </row>
    <row r="89" spans="2:31" x14ac:dyDescent="0.2">
      <c r="B89" s="20" t="s">
        <v>248</v>
      </c>
      <c r="C89" s="126">
        <f t="shared" ref="C89:P89" si="249">C12/C68</f>
        <v>0</v>
      </c>
      <c r="D89" s="126">
        <f t="shared" si="249"/>
        <v>0</v>
      </c>
      <c r="E89" s="126">
        <f t="shared" si="249"/>
        <v>0</v>
      </c>
      <c r="F89" s="143" t="e">
        <f t="shared" si="249"/>
        <v>#DIV/0!</v>
      </c>
      <c r="G89" s="143">
        <f t="shared" si="249"/>
        <v>0</v>
      </c>
      <c r="H89" s="143">
        <f t="shared" si="249"/>
        <v>0</v>
      </c>
      <c r="I89" s="143">
        <f t="shared" si="249"/>
        <v>0</v>
      </c>
      <c r="J89" s="143">
        <f t="shared" si="249"/>
        <v>0</v>
      </c>
      <c r="K89" s="143">
        <f t="shared" si="249"/>
        <v>0</v>
      </c>
      <c r="L89" s="143">
        <f t="shared" si="249"/>
        <v>0</v>
      </c>
      <c r="M89" s="143">
        <f t="shared" si="249"/>
        <v>0</v>
      </c>
      <c r="N89" s="143">
        <f t="shared" si="249"/>
        <v>0</v>
      </c>
      <c r="O89" s="143">
        <f t="shared" si="249"/>
        <v>0</v>
      </c>
      <c r="P89" s="143">
        <f t="shared" si="249"/>
        <v>0</v>
      </c>
      <c r="Q89" s="118" t="e">
        <f>((P89/G89)^(1/($H$2-$H$1) ))-1</f>
        <v>#DIV/0!</v>
      </c>
      <c r="R89" s="127"/>
      <c r="S89" s="157">
        <f t="shared" ref="S89:AB89" si="250">S12/S68</f>
        <v>0</v>
      </c>
      <c r="T89" s="157">
        <f t="shared" si="250"/>
        <v>0</v>
      </c>
      <c r="U89" s="157">
        <f t="shared" si="250"/>
        <v>0</v>
      </c>
      <c r="V89" s="157">
        <f t="shared" si="250"/>
        <v>0</v>
      </c>
      <c r="W89" s="157">
        <f t="shared" si="250"/>
        <v>0</v>
      </c>
      <c r="X89" s="157">
        <f t="shared" si="250"/>
        <v>0</v>
      </c>
      <c r="Y89" s="157">
        <f t="shared" si="250"/>
        <v>0</v>
      </c>
      <c r="Z89" s="157">
        <f t="shared" si="250"/>
        <v>0</v>
      </c>
      <c r="AA89" s="157">
        <f t="shared" si="250"/>
        <v>0</v>
      </c>
      <c r="AB89" s="157">
        <f t="shared" si="250"/>
        <v>0</v>
      </c>
      <c r="AC89" s="137" t="e">
        <f t="shared" si="235"/>
        <v>#DIV/0!</v>
      </c>
      <c r="AD89" s="31">
        <f t="shared" si="17"/>
        <v>0.05</v>
      </c>
      <c r="AE89" s="145">
        <f t="shared" si="236"/>
        <v>0</v>
      </c>
    </row>
    <row r="90" spans="2:31" x14ac:dyDescent="0.2">
      <c r="B90" s="20" t="s">
        <v>255</v>
      </c>
      <c r="C90" s="126">
        <f t="shared" ref="C90:P90" si="251">C15/C68</f>
        <v>0</v>
      </c>
      <c r="D90" s="126">
        <f t="shared" si="251"/>
        <v>0</v>
      </c>
      <c r="E90" s="126">
        <f t="shared" si="251"/>
        <v>0</v>
      </c>
      <c r="F90" s="143" t="e">
        <f t="shared" si="251"/>
        <v>#DIV/0!</v>
      </c>
      <c r="G90" s="143">
        <f t="shared" si="251"/>
        <v>606.55462184873943</v>
      </c>
      <c r="H90" s="143">
        <f t="shared" si="251"/>
        <v>219.38361719383616</v>
      </c>
      <c r="I90" s="143">
        <f t="shared" si="251"/>
        <v>162.89125524362697</v>
      </c>
      <c r="J90" s="143">
        <f t="shared" si="251"/>
        <v>279.9141367678626</v>
      </c>
      <c r="K90" s="143">
        <f t="shared" si="251"/>
        <v>364.74172954149736</v>
      </c>
      <c r="L90" s="143">
        <f t="shared" si="251"/>
        <v>385.21412037037032</v>
      </c>
      <c r="M90" s="143">
        <f t="shared" si="251"/>
        <v>559.72421717897157</v>
      </c>
      <c r="N90" s="143">
        <f t="shared" si="251"/>
        <v>353.49518911069794</v>
      </c>
      <c r="O90" s="143">
        <f t="shared" si="251"/>
        <v>427.41285478790695</v>
      </c>
      <c r="P90" s="143">
        <f t="shared" si="251"/>
        <v>547.86649880802509</v>
      </c>
      <c r="Q90" s="118">
        <f>((P90/G90)^(1/($H$2-$H$1) ))-1</f>
        <v>-1.1243331850550264E-2</v>
      </c>
      <c r="R90" s="127"/>
      <c r="S90" s="157">
        <f t="shared" ref="S90:AB90" si="252">S15/S68</f>
        <v>617.69262120512633</v>
      </c>
      <c r="T90" s="157">
        <f t="shared" si="252"/>
        <v>696.41815135872082</v>
      </c>
      <c r="U90" s="157">
        <f t="shared" si="252"/>
        <v>785.17732751228311</v>
      </c>
      <c r="V90" s="157">
        <f t="shared" si="252"/>
        <v>885.24894768541697</v>
      </c>
      <c r="W90" s="157">
        <f t="shared" si="252"/>
        <v>998.07479395904841</v>
      </c>
      <c r="X90" s="157">
        <f t="shared" si="252"/>
        <v>1125.280404953829</v>
      </c>
      <c r="Y90" s="157">
        <f t="shared" si="252"/>
        <v>1268.6984957812779</v>
      </c>
      <c r="Z90" s="157">
        <f t="shared" si="252"/>
        <v>1430.3953628906561</v>
      </c>
      <c r="AA90" s="157">
        <f t="shared" si="252"/>
        <v>1612.7006542394649</v>
      </c>
      <c r="AB90" s="157">
        <f t="shared" si="252"/>
        <v>1818.2409337013573</v>
      </c>
      <c r="AC90" s="137">
        <f t="shared" si="235"/>
        <v>5.948244210376652E-2</v>
      </c>
      <c r="AD90" s="31">
        <f t="shared" si="17"/>
        <v>0.05</v>
      </c>
      <c r="AE90" s="145">
        <f t="shared" si="236"/>
        <v>11230.311649331914</v>
      </c>
    </row>
    <row r="91" spans="2:31" x14ac:dyDescent="0.2">
      <c r="B91" s="20" t="s">
        <v>256</v>
      </c>
      <c r="C91" s="126">
        <f>(C89+C90)</f>
        <v>0</v>
      </c>
      <c r="D91" s="126">
        <f t="shared" ref="D91:P91" si="253">(D89+D90)</f>
        <v>0</v>
      </c>
      <c r="E91" s="126">
        <f t="shared" si="253"/>
        <v>0</v>
      </c>
      <c r="F91" s="143" t="e">
        <f t="shared" si="253"/>
        <v>#DIV/0!</v>
      </c>
      <c r="G91" s="143">
        <f t="shared" si="253"/>
        <v>606.55462184873943</v>
      </c>
      <c r="H91" s="143">
        <f t="shared" si="253"/>
        <v>219.38361719383616</v>
      </c>
      <c r="I91" s="143">
        <f t="shared" si="253"/>
        <v>162.89125524362697</v>
      </c>
      <c r="J91" s="143">
        <f t="shared" si="253"/>
        <v>279.9141367678626</v>
      </c>
      <c r="K91" s="143">
        <f t="shared" si="253"/>
        <v>364.74172954149736</v>
      </c>
      <c r="L91" s="143">
        <f t="shared" si="253"/>
        <v>385.21412037037032</v>
      </c>
      <c r="M91" s="143">
        <f t="shared" si="253"/>
        <v>559.72421717897157</v>
      </c>
      <c r="N91" s="143">
        <f t="shared" si="253"/>
        <v>353.49518911069794</v>
      </c>
      <c r="O91" s="143">
        <f t="shared" ref="O91" si="254">(O89+O90)</f>
        <v>427.41285478790695</v>
      </c>
      <c r="P91" s="143">
        <f t="shared" si="253"/>
        <v>547.86649880802509</v>
      </c>
      <c r="Q91" s="118">
        <f>((P91/G91)^(1/($H$2-$H$1) ))-1</f>
        <v>-1.1243331850550264E-2</v>
      </c>
      <c r="R91" s="127"/>
      <c r="S91" s="157">
        <f t="shared" ref="S91:AB91" si="255">(S89+S90)</f>
        <v>617.69262120512633</v>
      </c>
      <c r="T91" s="157">
        <f t="shared" si="255"/>
        <v>696.41815135872082</v>
      </c>
      <c r="U91" s="157">
        <f t="shared" si="255"/>
        <v>785.17732751228311</v>
      </c>
      <c r="V91" s="157">
        <f t="shared" si="255"/>
        <v>885.24894768541697</v>
      </c>
      <c r="W91" s="157">
        <f t="shared" si="255"/>
        <v>998.07479395904841</v>
      </c>
      <c r="X91" s="157">
        <f t="shared" si="255"/>
        <v>1125.280404953829</v>
      </c>
      <c r="Y91" s="157">
        <f t="shared" si="255"/>
        <v>1268.6984957812779</v>
      </c>
      <c r="Z91" s="157">
        <f t="shared" si="255"/>
        <v>1430.3953628906561</v>
      </c>
      <c r="AA91" s="157">
        <f t="shared" si="255"/>
        <v>1612.7006542394649</v>
      </c>
      <c r="AB91" s="157">
        <f t="shared" si="255"/>
        <v>1818.2409337013573</v>
      </c>
      <c r="AC91" s="137">
        <f t="shared" si="235"/>
        <v>5.948244210376652E-2</v>
      </c>
      <c r="AD91" s="31">
        <f t="shared" si="17"/>
        <v>0.05</v>
      </c>
      <c r="AE91" s="145">
        <f t="shared" si="236"/>
        <v>11230.311649331914</v>
      </c>
    </row>
    <row r="92" spans="2:31" x14ac:dyDescent="0.2">
      <c r="B92" s="20" t="s">
        <v>249</v>
      </c>
      <c r="C92" s="126">
        <f t="shared" ref="C92:P92" si="256">C17/C68</f>
        <v>0</v>
      </c>
      <c r="D92" s="126">
        <f t="shared" si="256"/>
        <v>0</v>
      </c>
      <c r="E92" s="126">
        <f t="shared" si="256"/>
        <v>0</v>
      </c>
      <c r="F92" s="143" t="e">
        <f t="shared" si="256"/>
        <v>#DIV/0!</v>
      </c>
      <c r="G92" s="143">
        <f t="shared" si="256"/>
        <v>0</v>
      </c>
      <c r="H92" s="143">
        <f t="shared" si="256"/>
        <v>0</v>
      </c>
      <c r="I92" s="143">
        <f t="shared" si="256"/>
        <v>0</v>
      </c>
      <c r="J92" s="143">
        <f t="shared" si="256"/>
        <v>0</v>
      </c>
      <c r="K92" s="143">
        <f t="shared" si="256"/>
        <v>0</v>
      </c>
      <c r="L92" s="143">
        <f t="shared" si="256"/>
        <v>0</v>
      </c>
      <c r="M92" s="143">
        <f t="shared" si="256"/>
        <v>0</v>
      </c>
      <c r="N92" s="143">
        <f t="shared" si="256"/>
        <v>0</v>
      </c>
      <c r="O92" s="143">
        <f t="shared" si="256"/>
        <v>0</v>
      </c>
      <c r="P92" s="143">
        <f t="shared" si="256"/>
        <v>0</v>
      </c>
      <c r="Q92" s="118" t="e">
        <f>((P92/G92)^(1/($H$2-$H$1) ))-1</f>
        <v>#DIV/0!</v>
      </c>
      <c r="R92" s="127"/>
      <c r="S92" s="157">
        <f t="shared" ref="S92:AB92" si="257">S17/S68</f>
        <v>0</v>
      </c>
      <c r="T92" s="157">
        <f t="shared" si="257"/>
        <v>0</v>
      </c>
      <c r="U92" s="157">
        <f t="shared" si="257"/>
        <v>0</v>
      </c>
      <c r="V92" s="157">
        <f t="shared" si="257"/>
        <v>0</v>
      </c>
      <c r="W92" s="157">
        <f t="shared" si="257"/>
        <v>0</v>
      </c>
      <c r="X92" s="157">
        <f t="shared" si="257"/>
        <v>0</v>
      </c>
      <c r="Y92" s="157">
        <f t="shared" si="257"/>
        <v>0</v>
      </c>
      <c r="Z92" s="157">
        <f t="shared" si="257"/>
        <v>0</v>
      </c>
      <c r="AA92" s="157">
        <f t="shared" si="257"/>
        <v>0</v>
      </c>
      <c r="AB92" s="157">
        <f t="shared" si="257"/>
        <v>0</v>
      </c>
      <c r="AC92" s="137" t="e">
        <f t="shared" si="235"/>
        <v>#DIV/0!</v>
      </c>
      <c r="AD92" s="31">
        <f t="shared" si="17"/>
        <v>0.05</v>
      </c>
      <c r="AE92" s="145">
        <f t="shared" si="236"/>
        <v>0</v>
      </c>
    </row>
    <row r="93" spans="2:31" x14ac:dyDescent="0.2">
      <c r="B93" s="20" t="s">
        <v>250</v>
      </c>
      <c r="C93" s="126">
        <f t="shared" ref="C93:P93" si="258">C18/C68</f>
        <v>0</v>
      </c>
      <c r="D93" s="126">
        <f t="shared" si="258"/>
        <v>0</v>
      </c>
      <c r="E93" s="126">
        <f t="shared" si="258"/>
        <v>0</v>
      </c>
      <c r="F93" s="143" t="e">
        <f t="shared" si="258"/>
        <v>#DIV/0!</v>
      </c>
      <c r="G93" s="143">
        <f t="shared" si="258"/>
        <v>0</v>
      </c>
      <c r="H93" s="143">
        <f t="shared" si="258"/>
        <v>0</v>
      </c>
      <c r="I93" s="143">
        <f t="shared" si="258"/>
        <v>0</v>
      </c>
      <c r="J93" s="143">
        <f t="shared" si="258"/>
        <v>0</v>
      </c>
      <c r="K93" s="143">
        <f t="shared" si="258"/>
        <v>0</v>
      </c>
      <c r="L93" s="143">
        <f t="shared" si="258"/>
        <v>0</v>
      </c>
      <c r="M93" s="143">
        <f t="shared" si="258"/>
        <v>0</v>
      </c>
      <c r="N93" s="143">
        <f t="shared" si="258"/>
        <v>0</v>
      </c>
      <c r="O93" s="143">
        <f t="shared" si="258"/>
        <v>0</v>
      </c>
      <c r="P93" s="143">
        <f t="shared" si="258"/>
        <v>0</v>
      </c>
      <c r="Q93" s="118" t="e">
        <f>((P93/G93)^(1/($H$2-$H$1) ))-1</f>
        <v>#DIV/0!</v>
      </c>
      <c r="R93" s="127"/>
      <c r="S93" s="157">
        <f t="shared" ref="S93:AB93" si="259">S18/S68</f>
        <v>0</v>
      </c>
      <c r="T93" s="157">
        <f t="shared" si="259"/>
        <v>0</v>
      </c>
      <c r="U93" s="157">
        <f t="shared" si="259"/>
        <v>0</v>
      </c>
      <c r="V93" s="157">
        <f t="shared" si="259"/>
        <v>0</v>
      </c>
      <c r="W93" s="157">
        <f t="shared" si="259"/>
        <v>0</v>
      </c>
      <c r="X93" s="157">
        <f t="shared" si="259"/>
        <v>0</v>
      </c>
      <c r="Y93" s="157">
        <f t="shared" si="259"/>
        <v>0</v>
      </c>
      <c r="Z93" s="157">
        <f t="shared" si="259"/>
        <v>0</v>
      </c>
      <c r="AA93" s="157">
        <f t="shared" si="259"/>
        <v>0</v>
      </c>
      <c r="AB93" s="157">
        <f t="shared" si="259"/>
        <v>0</v>
      </c>
      <c r="AC93" s="137" t="e">
        <f t="shared" si="235"/>
        <v>#DIV/0!</v>
      </c>
      <c r="AD93" s="31">
        <f t="shared" si="17"/>
        <v>0.05</v>
      </c>
      <c r="AE93" s="145">
        <f t="shared" si="236"/>
        <v>0</v>
      </c>
    </row>
    <row r="94" spans="2:31" x14ac:dyDescent="0.2">
      <c r="B94" s="20"/>
      <c r="C94" s="126"/>
      <c r="D94" s="126"/>
      <c r="E94" s="126"/>
      <c r="F94" s="143"/>
      <c r="G94" s="143"/>
      <c r="H94" s="143"/>
      <c r="I94" s="143"/>
      <c r="J94" s="143"/>
      <c r="K94" s="143"/>
      <c r="L94" s="143"/>
      <c r="M94" s="143"/>
      <c r="N94" s="143"/>
      <c r="O94" s="143"/>
      <c r="P94" s="143"/>
      <c r="Q94" s="127"/>
      <c r="R94" s="127"/>
      <c r="S94" s="154"/>
      <c r="T94" s="154"/>
      <c r="U94" s="154"/>
      <c r="V94" s="154"/>
      <c r="W94" s="154"/>
      <c r="X94" s="154"/>
      <c r="Y94" s="154"/>
      <c r="Z94" s="154"/>
      <c r="AA94" s="154"/>
      <c r="AB94" s="154"/>
      <c r="AC94" s="138"/>
      <c r="AD94" s="138"/>
      <c r="AE94" s="145">
        <f t="shared" si="236"/>
        <v>0</v>
      </c>
    </row>
    <row r="95" spans="2:31" x14ac:dyDescent="0.2">
      <c r="B95" s="20" t="s">
        <v>283</v>
      </c>
      <c r="C95" s="159">
        <f>C71</f>
        <v>1</v>
      </c>
      <c r="D95" s="159">
        <f t="shared" ref="D95:P95" si="260">D71</f>
        <v>1</v>
      </c>
      <c r="E95" s="159">
        <f t="shared" si="260"/>
        <v>1</v>
      </c>
      <c r="F95" s="159">
        <f t="shared" si="260"/>
        <v>0</v>
      </c>
      <c r="G95" s="159">
        <f t="shared" si="260"/>
        <v>2.4</v>
      </c>
      <c r="H95" s="159">
        <f t="shared" si="260"/>
        <v>1.25</v>
      </c>
      <c r="I95" s="159">
        <f t="shared" si="260"/>
        <v>0.6</v>
      </c>
      <c r="J95" s="159">
        <f t="shared" si="260"/>
        <v>0.7</v>
      </c>
      <c r="K95" s="159">
        <f t="shared" si="260"/>
        <v>0.75</v>
      </c>
      <c r="L95" s="159">
        <f t="shared" si="260"/>
        <v>0.75</v>
      </c>
      <c r="M95" s="159">
        <f t="shared" si="260"/>
        <v>0.85</v>
      </c>
      <c r="N95" s="159">
        <f t="shared" si="260"/>
        <v>0.5</v>
      </c>
      <c r="O95" s="159">
        <f t="shared" si="260"/>
        <v>0.6</v>
      </c>
      <c r="P95" s="159">
        <f t="shared" si="260"/>
        <v>0.7</v>
      </c>
      <c r="Q95" s="118">
        <f>((P95/G95)^(1/($H$2-$H$1) ))-1</f>
        <v>-0.12794680498564115</v>
      </c>
      <c r="R95" s="127"/>
      <c r="S95" s="159">
        <f t="shared" ref="S95:AB95" si="261">S71</f>
        <v>0.73499999999999999</v>
      </c>
      <c r="T95" s="159">
        <f t="shared" si="261"/>
        <v>0.77175000000000005</v>
      </c>
      <c r="U95" s="159">
        <f t="shared" si="261"/>
        <v>0.81033750000000004</v>
      </c>
      <c r="V95" s="159">
        <f t="shared" si="261"/>
        <v>0.85085437500000005</v>
      </c>
      <c r="W95" s="159">
        <f t="shared" si="261"/>
        <v>0.89339709375000009</v>
      </c>
      <c r="X95" s="159">
        <f t="shared" si="261"/>
        <v>0.93806694843750016</v>
      </c>
      <c r="Y95" s="159">
        <f t="shared" si="261"/>
        <v>0.98497029585937523</v>
      </c>
      <c r="Z95" s="159">
        <f t="shared" si="261"/>
        <v>1.034218810652344</v>
      </c>
      <c r="AA95" s="159">
        <f t="shared" si="261"/>
        <v>1.0859297511849613</v>
      </c>
      <c r="AB95" s="159">
        <f t="shared" si="261"/>
        <v>1.1402262387442095</v>
      </c>
      <c r="AC95" s="137">
        <f t="shared" ref="AC95" si="262">((AB95/G95)^(1/($AB$3-$H$1) ))-1</f>
        <v>-3.8413383899797204E-2</v>
      </c>
      <c r="AD95" s="31">
        <f t="shared" si="17"/>
        <v>0.05</v>
      </c>
      <c r="AE95" s="145">
        <f t="shared" si="236"/>
        <v>7.0425738275377645</v>
      </c>
    </row>
    <row r="96" spans="2:31" x14ac:dyDescent="0.2">
      <c r="B96" s="20"/>
      <c r="C96" s="126"/>
      <c r="D96" s="126"/>
      <c r="E96" s="126"/>
      <c r="F96" s="143"/>
      <c r="G96" s="143"/>
      <c r="H96" s="143"/>
      <c r="I96" s="143"/>
      <c r="J96" s="143"/>
      <c r="K96" s="143"/>
      <c r="L96" s="143"/>
      <c r="M96" s="143"/>
      <c r="N96" s="143"/>
      <c r="O96" s="143"/>
      <c r="P96" s="143"/>
      <c r="Q96" s="127"/>
      <c r="R96" s="127"/>
      <c r="S96" s="154"/>
      <c r="T96" s="154"/>
      <c r="U96" s="154"/>
      <c r="V96" s="154"/>
      <c r="W96" s="154"/>
      <c r="X96" s="154"/>
      <c r="Y96" s="154"/>
      <c r="Z96" s="154"/>
      <c r="AA96" s="154"/>
      <c r="AB96" s="154"/>
      <c r="AC96" s="138"/>
      <c r="AD96" s="136"/>
      <c r="AE96" s="154"/>
    </row>
    <row r="97" spans="2:31" x14ac:dyDescent="0.2">
      <c r="B97" s="20" t="s">
        <v>318</v>
      </c>
      <c r="C97" s="126">
        <f t="shared" ref="C97:P97" si="263">C25+C26</f>
        <v>0</v>
      </c>
      <c r="D97" s="126">
        <f t="shared" si="263"/>
        <v>0</v>
      </c>
      <c r="E97" s="126">
        <f t="shared" si="263"/>
        <v>0</v>
      </c>
      <c r="F97" s="143">
        <f t="shared" si="263"/>
        <v>0</v>
      </c>
      <c r="G97" s="143">
        <f t="shared" si="263"/>
        <v>0</v>
      </c>
      <c r="H97" s="143">
        <f t="shared" si="263"/>
        <v>0</v>
      </c>
      <c r="I97" s="143">
        <f t="shared" si="263"/>
        <v>0</v>
      </c>
      <c r="J97" s="143">
        <f t="shared" si="263"/>
        <v>0</v>
      </c>
      <c r="K97" s="143">
        <f t="shared" si="263"/>
        <v>0</v>
      </c>
      <c r="L97" s="143">
        <f t="shared" si="263"/>
        <v>0</v>
      </c>
      <c r="M97" s="143">
        <f t="shared" si="263"/>
        <v>0</v>
      </c>
      <c r="N97" s="143">
        <f t="shared" si="263"/>
        <v>0</v>
      </c>
      <c r="O97" s="143">
        <f t="shared" si="263"/>
        <v>0</v>
      </c>
      <c r="P97" s="143">
        <f t="shared" si="263"/>
        <v>0</v>
      </c>
      <c r="Q97" s="118" t="e">
        <f>((P97/G97)^(1/($H$2-$H$1) ))-1</f>
        <v>#DIV/0!</v>
      </c>
      <c r="R97" s="127"/>
      <c r="S97" s="143">
        <f t="shared" ref="S97:AB97" si="264">S25+S26</f>
        <v>0</v>
      </c>
      <c r="T97" s="143">
        <f t="shared" si="264"/>
        <v>0</v>
      </c>
      <c r="U97" s="143">
        <f t="shared" si="264"/>
        <v>0</v>
      </c>
      <c r="V97" s="143">
        <f t="shared" si="264"/>
        <v>0</v>
      </c>
      <c r="W97" s="143">
        <f t="shared" si="264"/>
        <v>0</v>
      </c>
      <c r="X97" s="143">
        <f t="shared" si="264"/>
        <v>0</v>
      </c>
      <c r="Y97" s="143">
        <f t="shared" si="264"/>
        <v>0</v>
      </c>
      <c r="Z97" s="143">
        <f t="shared" si="264"/>
        <v>0</v>
      </c>
      <c r="AA97" s="143">
        <f t="shared" si="264"/>
        <v>0</v>
      </c>
      <c r="AB97" s="143">
        <f t="shared" si="264"/>
        <v>0</v>
      </c>
      <c r="AC97" s="137" t="e">
        <f t="shared" ref="AC97:AC102" si="265">((AB97/G97)^(1/($AB$3-$H$1) ))-1</f>
        <v>#DIV/0!</v>
      </c>
      <c r="AD97" s="31">
        <f t="shared" si="17"/>
        <v>0.05</v>
      </c>
      <c r="AE97" s="145">
        <f t="shared" si="236"/>
        <v>0</v>
      </c>
    </row>
    <row r="98" spans="2:31" x14ac:dyDescent="0.2">
      <c r="B98" s="20"/>
      <c r="C98" s="126"/>
      <c r="D98" s="126"/>
      <c r="E98" s="126"/>
      <c r="F98" s="143"/>
      <c r="G98" s="143"/>
      <c r="H98" s="143"/>
      <c r="I98" s="143"/>
      <c r="J98" s="143"/>
      <c r="K98" s="143"/>
      <c r="L98" s="143"/>
      <c r="M98" s="143"/>
      <c r="N98" s="143"/>
      <c r="O98" s="143"/>
      <c r="P98" s="143"/>
      <c r="Q98" s="127"/>
      <c r="R98" s="127"/>
      <c r="S98" s="145"/>
      <c r="T98" s="145"/>
      <c r="U98" s="145"/>
      <c r="V98" s="145"/>
      <c r="W98" s="145"/>
      <c r="X98" s="145"/>
      <c r="Y98" s="145"/>
      <c r="Z98" s="145"/>
      <c r="AA98" s="145"/>
      <c r="AB98" s="145"/>
      <c r="AC98" s="138"/>
      <c r="AD98" s="136"/>
      <c r="AE98" s="145"/>
    </row>
    <row r="99" spans="2:31" x14ac:dyDescent="0.2">
      <c r="B99" s="20" t="s">
        <v>319</v>
      </c>
      <c r="C99" s="126">
        <f t="shared" ref="C99:P99" si="266">C97/C68</f>
        <v>0</v>
      </c>
      <c r="D99" s="126">
        <f t="shared" si="266"/>
        <v>0</v>
      </c>
      <c r="E99" s="126">
        <f t="shared" si="266"/>
        <v>0</v>
      </c>
      <c r="F99" s="143" t="e">
        <f t="shared" si="266"/>
        <v>#DIV/0!</v>
      </c>
      <c r="G99" s="143">
        <f t="shared" si="266"/>
        <v>0</v>
      </c>
      <c r="H99" s="143">
        <f t="shared" si="266"/>
        <v>0</v>
      </c>
      <c r="I99" s="143">
        <f t="shared" si="266"/>
        <v>0</v>
      </c>
      <c r="J99" s="143">
        <f t="shared" si="266"/>
        <v>0</v>
      </c>
      <c r="K99" s="143">
        <f t="shared" si="266"/>
        <v>0</v>
      </c>
      <c r="L99" s="143">
        <f t="shared" si="266"/>
        <v>0</v>
      </c>
      <c r="M99" s="143">
        <f t="shared" si="266"/>
        <v>0</v>
      </c>
      <c r="N99" s="143">
        <f t="shared" si="266"/>
        <v>0</v>
      </c>
      <c r="O99" s="143">
        <f t="shared" si="266"/>
        <v>0</v>
      </c>
      <c r="P99" s="143">
        <f t="shared" si="266"/>
        <v>0</v>
      </c>
      <c r="Q99" s="118" t="e">
        <f>((P99/G99)^(1/($H$2-$H$1) ))-1</f>
        <v>#DIV/0!</v>
      </c>
      <c r="R99" s="127"/>
      <c r="S99" s="145">
        <f t="shared" ref="S99:AB99" si="267">S97/S68</f>
        <v>0</v>
      </c>
      <c r="T99" s="145">
        <f t="shared" si="267"/>
        <v>0</v>
      </c>
      <c r="U99" s="145">
        <f t="shared" si="267"/>
        <v>0</v>
      </c>
      <c r="V99" s="145">
        <f t="shared" si="267"/>
        <v>0</v>
      </c>
      <c r="W99" s="145">
        <f t="shared" si="267"/>
        <v>0</v>
      </c>
      <c r="X99" s="145">
        <f t="shared" si="267"/>
        <v>0</v>
      </c>
      <c r="Y99" s="145">
        <f t="shared" si="267"/>
        <v>0</v>
      </c>
      <c r="Z99" s="145">
        <f t="shared" si="267"/>
        <v>0</v>
      </c>
      <c r="AA99" s="145">
        <f t="shared" si="267"/>
        <v>0</v>
      </c>
      <c r="AB99" s="145">
        <f t="shared" si="267"/>
        <v>0</v>
      </c>
      <c r="AC99" s="137" t="e">
        <f t="shared" si="265"/>
        <v>#DIV/0!</v>
      </c>
      <c r="AD99" s="31">
        <f t="shared" si="17"/>
        <v>0.05</v>
      </c>
      <c r="AE99" s="145">
        <f t="shared" si="236"/>
        <v>0</v>
      </c>
    </row>
    <row r="100" spans="2:31" x14ac:dyDescent="0.2">
      <c r="B100" s="20" t="s">
        <v>288</v>
      </c>
      <c r="C100" s="126">
        <f t="shared" ref="C100:P100" si="268">C25/C68</f>
        <v>0</v>
      </c>
      <c r="D100" s="126">
        <f t="shared" si="268"/>
        <v>0</v>
      </c>
      <c r="E100" s="126">
        <f t="shared" si="268"/>
        <v>0</v>
      </c>
      <c r="F100" s="143" t="e">
        <f t="shared" si="268"/>
        <v>#DIV/0!</v>
      </c>
      <c r="G100" s="143">
        <f t="shared" si="268"/>
        <v>0</v>
      </c>
      <c r="H100" s="143">
        <f t="shared" si="268"/>
        <v>0</v>
      </c>
      <c r="I100" s="143">
        <f t="shared" si="268"/>
        <v>0</v>
      </c>
      <c r="J100" s="143">
        <f t="shared" si="268"/>
        <v>0</v>
      </c>
      <c r="K100" s="143">
        <f t="shared" si="268"/>
        <v>0</v>
      </c>
      <c r="L100" s="143">
        <f t="shared" si="268"/>
        <v>0</v>
      </c>
      <c r="M100" s="143">
        <f t="shared" si="268"/>
        <v>0</v>
      </c>
      <c r="N100" s="143">
        <f t="shared" si="268"/>
        <v>0</v>
      </c>
      <c r="O100" s="143">
        <f t="shared" si="268"/>
        <v>0</v>
      </c>
      <c r="P100" s="143">
        <f t="shared" si="268"/>
        <v>0</v>
      </c>
      <c r="Q100" s="118" t="e">
        <f>((P100/G100)^(1/($H$2-$H$1) ))-1</f>
        <v>#DIV/0!</v>
      </c>
      <c r="R100" s="127"/>
      <c r="S100" s="145">
        <f t="shared" ref="S100:AB100" si="269">S25/S68</f>
        <v>0</v>
      </c>
      <c r="T100" s="145">
        <f t="shared" si="269"/>
        <v>0</v>
      </c>
      <c r="U100" s="145">
        <f t="shared" si="269"/>
        <v>0</v>
      </c>
      <c r="V100" s="145">
        <f t="shared" si="269"/>
        <v>0</v>
      </c>
      <c r="W100" s="145">
        <f t="shared" si="269"/>
        <v>0</v>
      </c>
      <c r="X100" s="145">
        <f t="shared" si="269"/>
        <v>0</v>
      </c>
      <c r="Y100" s="145">
        <f t="shared" si="269"/>
        <v>0</v>
      </c>
      <c r="Z100" s="145">
        <f t="shared" si="269"/>
        <v>0</v>
      </c>
      <c r="AA100" s="145">
        <f t="shared" si="269"/>
        <v>0</v>
      </c>
      <c r="AB100" s="145">
        <f t="shared" si="269"/>
        <v>0</v>
      </c>
      <c r="AC100" s="137" t="e">
        <f t="shared" si="265"/>
        <v>#DIV/0!</v>
      </c>
      <c r="AD100" s="31">
        <f t="shared" si="17"/>
        <v>0.05</v>
      </c>
      <c r="AE100" s="145">
        <f t="shared" si="236"/>
        <v>0</v>
      </c>
    </row>
    <row r="101" spans="2:31" x14ac:dyDescent="0.2">
      <c r="B101" s="20" t="s">
        <v>289</v>
      </c>
      <c r="C101" s="126">
        <f t="shared" ref="C101:P101" si="270">C26/C68</f>
        <v>0</v>
      </c>
      <c r="D101" s="126">
        <f t="shared" si="270"/>
        <v>0</v>
      </c>
      <c r="E101" s="126">
        <f t="shared" si="270"/>
        <v>0</v>
      </c>
      <c r="F101" s="143" t="e">
        <f t="shared" si="270"/>
        <v>#DIV/0!</v>
      </c>
      <c r="G101" s="143">
        <f t="shared" si="270"/>
        <v>0</v>
      </c>
      <c r="H101" s="143">
        <f t="shared" si="270"/>
        <v>0</v>
      </c>
      <c r="I101" s="143">
        <f t="shared" si="270"/>
        <v>0</v>
      </c>
      <c r="J101" s="143">
        <f t="shared" si="270"/>
        <v>0</v>
      </c>
      <c r="K101" s="143">
        <f t="shared" si="270"/>
        <v>0</v>
      </c>
      <c r="L101" s="143">
        <f t="shared" si="270"/>
        <v>0</v>
      </c>
      <c r="M101" s="143">
        <f t="shared" si="270"/>
        <v>0</v>
      </c>
      <c r="N101" s="143">
        <f t="shared" si="270"/>
        <v>0</v>
      </c>
      <c r="O101" s="143">
        <f t="shared" si="270"/>
        <v>0</v>
      </c>
      <c r="P101" s="143">
        <f t="shared" si="270"/>
        <v>0</v>
      </c>
      <c r="Q101" s="118" t="e">
        <f>((P101/G101)^(1/($H$2-$H$1) ))-1</f>
        <v>#DIV/0!</v>
      </c>
      <c r="R101" s="127"/>
      <c r="S101" s="145">
        <f t="shared" ref="S101:AB101" si="271">S26/S68</f>
        <v>0</v>
      </c>
      <c r="T101" s="145">
        <f t="shared" si="271"/>
        <v>0</v>
      </c>
      <c r="U101" s="145">
        <f t="shared" si="271"/>
        <v>0</v>
      </c>
      <c r="V101" s="145">
        <f t="shared" si="271"/>
        <v>0</v>
      </c>
      <c r="W101" s="145">
        <f t="shared" si="271"/>
        <v>0</v>
      </c>
      <c r="X101" s="145">
        <f t="shared" si="271"/>
        <v>0</v>
      </c>
      <c r="Y101" s="145">
        <f t="shared" si="271"/>
        <v>0</v>
      </c>
      <c r="Z101" s="145">
        <f t="shared" si="271"/>
        <v>0</v>
      </c>
      <c r="AA101" s="145">
        <f t="shared" si="271"/>
        <v>0</v>
      </c>
      <c r="AB101" s="145">
        <f t="shared" si="271"/>
        <v>0</v>
      </c>
      <c r="AC101" s="137" t="e">
        <f t="shared" si="265"/>
        <v>#DIV/0!</v>
      </c>
      <c r="AD101" s="31">
        <f t="shared" si="17"/>
        <v>0.05</v>
      </c>
      <c r="AE101" s="145">
        <f t="shared" si="236"/>
        <v>0</v>
      </c>
    </row>
    <row r="102" spans="2:31" x14ac:dyDescent="0.2">
      <c r="B102" s="20" t="s">
        <v>290</v>
      </c>
      <c r="C102" s="126">
        <f t="shared" ref="C102:P102" si="272">C27/C68</f>
        <v>0</v>
      </c>
      <c r="D102" s="126">
        <f t="shared" si="272"/>
        <v>0</v>
      </c>
      <c r="E102" s="126">
        <f t="shared" si="272"/>
        <v>0</v>
      </c>
      <c r="F102" s="143" t="e">
        <f t="shared" si="272"/>
        <v>#DIV/0!</v>
      </c>
      <c r="G102" s="143">
        <f t="shared" si="272"/>
        <v>0</v>
      </c>
      <c r="H102" s="143">
        <f t="shared" si="272"/>
        <v>0</v>
      </c>
      <c r="I102" s="143">
        <f t="shared" si="272"/>
        <v>0</v>
      </c>
      <c r="J102" s="143">
        <f t="shared" si="272"/>
        <v>0</v>
      </c>
      <c r="K102" s="143">
        <f t="shared" si="272"/>
        <v>0</v>
      </c>
      <c r="L102" s="143">
        <f t="shared" si="272"/>
        <v>0</v>
      </c>
      <c r="M102" s="143">
        <f t="shared" si="272"/>
        <v>0</v>
      </c>
      <c r="N102" s="143">
        <f t="shared" si="272"/>
        <v>0</v>
      </c>
      <c r="O102" s="143">
        <f t="shared" si="272"/>
        <v>0</v>
      </c>
      <c r="P102" s="143">
        <f t="shared" si="272"/>
        <v>0</v>
      </c>
      <c r="Q102" s="118" t="e">
        <f>((P102/G102)^(1/($H$2-$H$1) ))-1</f>
        <v>#DIV/0!</v>
      </c>
      <c r="R102" s="127"/>
      <c r="S102" s="145">
        <f t="shared" ref="S102:AB102" si="273">S27/S68</f>
        <v>0</v>
      </c>
      <c r="T102" s="145">
        <f t="shared" si="273"/>
        <v>0</v>
      </c>
      <c r="U102" s="145">
        <f t="shared" si="273"/>
        <v>0</v>
      </c>
      <c r="V102" s="145">
        <f t="shared" si="273"/>
        <v>0</v>
      </c>
      <c r="W102" s="145">
        <f t="shared" si="273"/>
        <v>0</v>
      </c>
      <c r="X102" s="145">
        <f t="shared" si="273"/>
        <v>0</v>
      </c>
      <c r="Y102" s="145">
        <f t="shared" si="273"/>
        <v>0</v>
      </c>
      <c r="Z102" s="145">
        <f t="shared" si="273"/>
        <v>0</v>
      </c>
      <c r="AA102" s="145">
        <f t="shared" si="273"/>
        <v>0</v>
      </c>
      <c r="AB102" s="145">
        <f t="shared" si="273"/>
        <v>0</v>
      </c>
      <c r="AC102" s="137" t="e">
        <f t="shared" si="265"/>
        <v>#DIV/0!</v>
      </c>
      <c r="AD102" s="31">
        <f t="shared" si="17"/>
        <v>0.05</v>
      </c>
      <c r="AE102" s="145">
        <f t="shared" si="236"/>
        <v>0</v>
      </c>
    </row>
    <row r="103" spans="2:31" x14ac:dyDescent="0.2">
      <c r="B103" s="20" t="s">
        <v>297</v>
      </c>
      <c r="C103" s="126">
        <f t="shared" ref="C103:P103" si="274">C28/C68</f>
        <v>0</v>
      </c>
      <c r="D103" s="126">
        <f t="shared" si="274"/>
        <v>0</v>
      </c>
      <c r="E103" s="126">
        <f t="shared" si="274"/>
        <v>0</v>
      </c>
      <c r="F103" s="143" t="e">
        <f t="shared" si="274"/>
        <v>#DIV/0!</v>
      </c>
      <c r="G103" s="143">
        <f t="shared" si="274"/>
        <v>0</v>
      </c>
      <c r="H103" s="143">
        <f t="shared" si="274"/>
        <v>0</v>
      </c>
      <c r="I103" s="143">
        <f t="shared" si="274"/>
        <v>0</v>
      </c>
      <c r="J103" s="143">
        <f t="shared" si="274"/>
        <v>0</v>
      </c>
      <c r="K103" s="143">
        <f t="shared" si="274"/>
        <v>0</v>
      </c>
      <c r="L103" s="143">
        <f t="shared" si="274"/>
        <v>0</v>
      </c>
      <c r="M103" s="143">
        <f t="shared" si="274"/>
        <v>0</v>
      </c>
      <c r="N103" s="143">
        <f t="shared" si="274"/>
        <v>0</v>
      </c>
      <c r="O103" s="143">
        <f t="shared" si="274"/>
        <v>0</v>
      </c>
      <c r="P103" s="143">
        <f t="shared" si="274"/>
        <v>0</v>
      </c>
      <c r="Q103" s="118" t="e">
        <f>((P103/G103)^(1/($H$2-$H$1) ))-1</f>
        <v>#DIV/0!</v>
      </c>
      <c r="R103" s="127"/>
      <c r="S103" s="145">
        <f t="shared" ref="S103:AB103" si="275">S28/S68</f>
        <v>0</v>
      </c>
      <c r="T103" s="145">
        <f t="shared" si="275"/>
        <v>0</v>
      </c>
      <c r="U103" s="145">
        <f t="shared" si="275"/>
        <v>0</v>
      </c>
      <c r="V103" s="145">
        <f t="shared" si="275"/>
        <v>0</v>
      </c>
      <c r="W103" s="145">
        <f t="shared" si="275"/>
        <v>0</v>
      </c>
      <c r="X103" s="145">
        <f t="shared" si="275"/>
        <v>0</v>
      </c>
      <c r="Y103" s="145">
        <f t="shared" si="275"/>
        <v>0</v>
      </c>
      <c r="Z103" s="145">
        <f t="shared" si="275"/>
        <v>0</v>
      </c>
      <c r="AA103" s="145">
        <f t="shared" si="275"/>
        <v>0</v>
      </c>
      <c r="AB103" s="145">
        <f t="shared" si="275"/>
        <v>0</v>
      </c>
      <c r="AC103" s="137" t="e">
        <f t="shared" ref="AC103" si="276">((AB103/G103)^(1/($AB$3-$H$1) ))-1</f>
        <v>#DIV/0!</v>
      </c>
      <c r="AD103" s="31">
        <f t="shared" si="17"/>
        <v>0.05</v>
      </c>
      <c r="AE103" s="145">
        <f t="shared" si="236"/>
        <v>0</v>
      </c>
    </row>
    <row r="104" spans="2:31" x14ac:dyDescent="0.2">
      <c r="B104" s="20"/>
      <c r="C104" s="126"/>
      <c r="D104" s="126"/>
      <c r="E104" s="126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27"/>
      <c r="R104" s="127"/>
      <c r="S104" s="119"/>
      <c r="T104" s="119"/>
      <c r="U104" s="119"/>
      <c r="V104" s="119"/>
      <c r="W104" s="119"/>
      <c r="X104" s="119"/>
      <c r="Y104" s="119"/>
      <c r="Z104" s="119"/>
      <c r="AA104" s="119"/>
      <c r="AB104" s="119"/>
      <c r="AC104" s="138"/>
      <c r="AD104" s="136"/>
      <c r="AE104" s="154"/>
    </row>
    <row r="105" spans="2:31" x14ac:dyDescent="0.2">
      <c r="B105" s="20" t="s">
        <v>312</v>
      </c>
      <c r="C105" s="143">
        <f t="shared" ref="C105:P105" si="277">C62/C68</f>
        <v>0</v>
      </c>
      <c r="D105" s="143">
        <f t="shared" si="277"/>
        <v>0</v>
      </c>
      <c r="E105" s="143">
        <f t="shared" si="277"/>
        <v>0</v>
      </c>
      <c r="F105" s="143" t="e">
        <f t="shared" si="277"/>
        <v>#DIV/0!</v>
      </c>
      <c r="G105" s="143">
        <f t="shared" si="277"/>
        <v>0</v>
      </c>
      <c r="H105" s="143">
        <f t="shared" si="277"/>
        <v>0</v>
      </c>
      <c r="I105" s="143">
        <f t="shared" si="277"/>
        <v>0</v>
      </c>
      <c r="J105" s="143">
        <f t="shared" si="277"/>
        <v>0</v>
      </c>
      <c r="K105" s="143">
        <f t="shared" si="277"/>
        <v>0</v>
      </c>
      <c r="L105" s="143">
        <f t="shared" si="277"/>
        <v>0</v>
      </c>
      <c r="M105" s="143">
        <f t="shared" si="277"/>
        <v>0</v>
      </c>
      <c r="N105" s="143">
        <f t="shared" si="277"/>
        <v>0</v>
      </c>
      <c r="O105" s="143">
        <f t="shared" si="277"/>
        <v>0</v>
      </c>
      <c r="P105" s="143">
        <f t="shared" si="277"/>
        <v>0</v>
      </c>
      <c r="Q105" s="118" t="e">
        <f>((P105/G105)^(1/($H$2-$H$1) ))-1</f>
        <v>#DIV/0!</v>
      </c>
      <c r="R105" s="127"/>
      <c r="S105" s="143">
        <f t="shared" ref="S105:AB105" si="278">S62/S68</f>
        <v>0</v>
      </c>
      <c r="T105" s="143">
        <f t="shared" si="278"/>
        <v>0</v>
      </c>
      <c r="U105" s="143">
        <f t="shared" si="278"/>
        <v>0</v>
      </c>
      <c r="V105" s="143">
        <f t="shared" si="278"/>
        <v>0</v>
      </c>
      <c r="W105" s="143">
        <f t="shared" si="278"/>
        <v>0</v>
      </c>
      <c r="X105" s="143">
        <f t="shared" si="278"/>
        <v>0</v>
      </c>
      <c r="Y105" s="143">
        <f t="shared" si="278"/>
        <v>0</v>
      </c>
      <c r="Z105" s="143">
        <f t="shared" si="278"/>
        <v>0</v>
      </c>
      <c r="AA105" s="143">
        <f t="shared" si="278"/>
        <v>0</v>
      </c>
      <c r="AB105" s="143">
        <f t="shared" si="278"/>
        <v>0</v>
      </c>
      <c r="AC105" s="137" t="e">
        <f t="shared" ref="AC105:AC107" si="279">((AB105/G105)^(1/($AB$3-$H$1) ))-1</f>
        <v>#DIV/0!</v>
      </c>
      <c r="AD105" s="31">
        <f t="shared" si="17"/>
        <v>0.05</v>
      </c>
      <c r="AE105" s="145">
        <f t="shared" si="236"/>
        <v>0</v>
      </c>
    </row>
    <row r="106" spans="2:31" x14ac:dyDescent="0.2">
      <c r="B106" s="20" t="s">
        <v>313</v>
      </c>
      <c r="C106" s="143">
        <f t="shared" ref="C106:P106" si="280">C66/C68</f>
        <v>0</v>
      </c>
      <c r="D106" s="143">
        <f t="shared" si="280"/>
        <v>0</v>
      </c>
      <c r="E106" s="143">
        <f t="shared" si="280"/>
        <v>0</v>
      </c>
      <c r="F106" s="143" t="e">
        <f t="shared" si="280"/>
        <v>#DIV/0!</v>
      </c>
      <c r="G106" s="143">
        <f t="shared" si="280"/>
        <v>33.680672268907564</v>
      </c>
      <c r="H106" s="143">
        <f t="shared" si="280"/>
        <v>15.733982157339822</v>
      </c>
      <c r="I106" s="143">
        <f t="shared" si="280"/>
        <v>17.070022587931593</v>
      </c>
      <c r="J106" s="143">
        <f t="shared" si="280"/>
        <v>16.068690585709906</v>
      </c>
      <c r="K106" s="143">
        <f t="shared" si="280"/>
        <v>27.800348229831688</v>
      </c>
      <c r="L106" s="143">
        <f t="shared" si="280"/>
        <v>18.86574074074074</v>
      </c>
      <c r="M106" s="143">
        <f t="shared" si="280"/>
        <v>38.121229531743751</v>
      </c>
      <c r="N106" s="143">
        <f t="shared" si="280"/>
        <v>21.292765345311928</v>
      </c>
      <c r="O106" s="143">
        <f t="shared" si="280"/>
        <v>24.976744625612099</v>
      </c>
      <c r="P106" s="143">
        <f t="shared" si="280"/>
        <v>29.51812069750623</v>
      </c>
      <c r="Q106" s="118">
        <f>((P106/G106)^(1/($H$2-$H$1) ))-1</f>
        <v>-1.4550855136272745E-2</v>
      </c>
      <c r="R106" s="127"/>
      <c r="S106" s="143">
        <f t="shared" ref="S106:AB106" si="281">S66/S68</f>
        <v>33.280234119737415</v>
      </c>
      <c r="T106" s="143">
        <f t="shared" si="281"/>
        <v>37.521832585978451</v>
      </c>
      <c r="U106" s="143">
        <f t="shared" si="281"/>
        <v>42.304026935171777</v>
      </c>
      <c r="V106" s="143">
        <f t="shared" si="281"/>
        <v>47.69571664259562</v>
      </c>
      <c r="W106" s="143">
        <f t="shared" si="281"/>
        <v>53.774582489200938</v>
      </c>
      <c r="X106" s="143">
        <f t="shared" si="281"/>
        <v>60.628205747628513</v>
      </c>
      <c r="Y106" s="143">
        <f t="shared" si="281"/>
        <v>68.355330009581166</v>
      </c>
      <c r="Z106" s="143">
        <f t="shared" si="281"/>
        <v>77.067283834331704</v>
      </c>
      <c r="AA106" s="143">
        <f t="shared" si="281"/>
        <v>86.889584715177875</v>
      </c>
      <c r="AB106" s="143">
        <f t="shared" si="281"/>
        <v>97.963747472994669</v>
      </c>
      <c r="AC106" s="137">
        <f t="shared" si="279"/>
        <v>5.7802172583616418E-2</v>
      </c>
      <c r="AD106" s="31">
        <f t="shared" si="17"/>
        <v>0.05</v>
      </c>
      <c r="AE106" s="145">
        <f t="shared" si="236"/>
        <v>605.07020498026122</v>
      </c>
    </row>
    <row r="107" spans="2:31" x14ac:dyDescent="0.2">
      <c r="B107" s="20" t="s">
        <v>314</v>
      </c>
      <c r="C107" s="143">
        <f t="shared" ref="C107:P107" si="282">C6/C68</f>
        <v>0</v>
      </c>
      <c r="D107" s="143">
        <f t="shared" si="282"/>
        <v>0</v>
      </c>
      <c r="E107" s="143">
        <f t="shared" si="282"/>
        <v>0</v>
      </c>
      <c r="F107" s="143" t="e">
        <f t="shared" si="282"/>
        <v>#DIV/0!</v>
      </c>
      <c r="G107" s="143">
        <f t="shared" si="282"/>
        <v>197.64705882352939</v>
      </c>
      <c r="H107" s="143">
        <f t="shared" si="282"/>
        <v>108.9213300892133</v>
      </c>
      <c r="I107" s="143">
        <f t="shared" si="282"/>
        <v>62.891255243626979</v>
      </c>
      <c r="J107" s="143">
        <f t="shared" si="282"/>
        <v>90.003066544004909</v>
      </c>
      <c r="K107" s="143">
        <f t="shared" si="282"/>
        <v>158.9959373186303</v>
      </c>
      <c r="L107" s="143">
        <f t="shared" si="282"/>
        <v>181.36574074074073</v>
      </c>
      <c r="M107" s="143">
        <f t="shared" si="282"/>
        <v>218.81643205975294</v>
      </c>
      <c r="N107" s="143">
        <f t="shared" si="282"/>
        <v>143.77027155400546</v>
      </c>
      <c r="O107" s="143">
        <f t="shared" si="282"/>
        <v>169.16681630211872</v>
      </c>
      <c r="P107" s="143">
        <f t="shared" si="282"/>
        <v>199.23392173144404</v>
      </c>
      <c r="Q107" s="118">
        <f>((P107/G107)^(1/($H$2-$H$1) ))-1</f>
        <v>8.8891836153592863E-4</v>
      </c>
      <c r="R107" s="127"/>
      <c r="S107" s="143">
        <f t="shared" ref="S107:AB107" si="283">S6/S68</f>
        <v>224.62648038349082</v>
      </c>
      <c r="T107" s="143">
        <f t="shared" si="283"/>
        <v>253.25534553040626</v>
      </c>
      <c r="U107" s="143">
        <f t="shared" si="283"/>
        <v>285.53298760781092</v>
      </c>
      <c r="V107" s="143">
        <f t="shared" si="283"/>
        <v>321.92444681272798</v>
      </c>
      <c r="W107" s="143">
        <f t="shared" si="283"/>
        <v>362.95403317121287</v>
      </c>
      <c r="X107" s="143">
        <f t="shared" si="283"/>
        <v>409.21288053617138</v>
      </c>
      <c r="Y107" s="143">
        <f t="shared" si="283"/>
        <v>461.36746334960503</v>
      </c>
      <c r="Z107" s="143">
        <f t="shared" si="283"/>
        <v>520.16919887455458</v>
      </c>
      <c r="AA107" s="143">
        <f t="shared" si="283"/>
        <v>586.46527324091937</v>
      </c>
      <c r="AB107" s="143">
        <f t="shared" si="283"/>
        <v>661.21084728142853</v>
      </c>
      <c r="AC107" s="137">
        <f t="shared" si="279"/>
        <v>6.5620609300500732E-2</v>
      </c>
      <c r="AD107" s="31">
        <f t="shared" ref="AD107" si="284">$L$1</f>
        <v>0.05</v>
      </c>
      <c r="AE107" s="145">
        <f t="shared" si="236"/>
        <v>4083.9493508558826</v>
      </c>
    </row>
    <row r="108" spans="2:31" x14ac:dyDescent="0.2">
      <c r="B108" s="20"/>
      <c r="C108" s="126"/>
      <c r="D108" s="126"/>
      <c r="E108" s="126"/>
      <c r="F108" s="143"/>
      <c r="G108" s="143"/>
      <c r="H108" s="143"/>
      <c r="I108" s="143"/>
      <c r="J108" s="143"/>
      <c r="K108" s="143"/>
      <c r="L108" s="143"/>
      <c r="M108" s="143"/>
      <c r="N108" s="143"/>
      <c r="O108" s="143"/>
      <c r="P108" s="143"/>
      <c r="Q108" s="127"/>
      <c r="R108" s="127"/>
      <c r="S108" s="119"/>
      <c r="T108" s="119"/>
      <c r="U108" s="119"/>
      <c r="V108" s="119"/>
      <c r="W108" s="119"/>
      <c r="X108" s="119"/>
      <c r="Y108" s="119"/>
      <c r="Z108" s="119"/>
      <c r="AA108" s="119"/>
      <c r="AB108" s="119"/>
      <c r="AC108" s="138"/>
      <c r="AD108" s="20"/>
      <c r="AE108" s="154"/>
    </row>
    <row r="109" spans="2:31" x14ac:dyDescent="0.2">
      <c r="B109" s="20"/>
      <c r="C109" s="126"/>
      <c r="D109" s="126"/>
      <c r="E109" s="126"/>
      <c r="F109" s="143"/>
      <c r="G109" s="143"/>
      <c r="H109" s="143"/>
      <c r="I109" s="143"/>
      <c r="J109" s="143"/>
      <c r="K109" s="143"/>
      <c r="L109" s="143"/>
      <c r="M109" s="143"/>
      <c r="N109" s="143"/>
      <c r="O109" s="143"/>
      <c r="P109" s="143"/>
      <c r="Q109" s="127"/>
      <c r="R109" s="127"/>
      <c r="S109" s="119"/>
      <c r="T109" s="119"/>
      <c r="U109" s="119"/>
      <c r="V109" s="119"/>
      <c r="W109" s="119"/>
      <c r="X109" s="119"/>
      <c r="Y109" s="119"/>
      <c r="Z109" s="119"/>
      <c r="AA109" s="119"/>
      <c r="AB109" s="119"/>
      <c r="AC109" s="138"/>
      <c r="AD109" s="20"/>
      <c r="AE109" s="154"/>
    </row>
    <row r="110" spans="2:31" x14ac:dyDescent="0.2">
      <c r="B110" s="108" t="s">
        <v>311</v>
      </c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</row>
    <row r="111" spans="2:31" x14ac:dyDescent="0.2">
      <c r="B111" s="20" t="s">
        <v>310</v>
      </c>
      <c r="C111" s="152" t="e">
        <f t="shared" ref="C111:P111" si="285">C62/C44</f>
        <v>#DIV/0!</v>
      </c>
      <c r="D111" s="152" t="e">
        <f t="shared" si="285"/>
        <v>#DIV/0!</v>
      </c>
      <c r="E111" s="152" t="e">
        <f t="shared" si="285"/>
        <v>#DIV/0!</v>
      </c>
      <c r="F111" s="152" t="e">
        <f t="shared" si="285"/>
        <v>#DIV/0!</v>
      </c>
      <c r="G111" s="152">
        <f t="shared" si="285"/>
        <v>0</v>
      </c>
      <c r="H111" s="152">
        <f t="shared" si="285"/>
        <v>0</v>
      </c>
      <c r="I111" s="152">
        <f t="shared" si="285"/>
        <v>0</v>
      </c>
      <c r="J111" s="152">
        <f t="shared" si="285"/>
        <v>0</v>
      </c>
      <c r="K111" s="152">
        <f t="shared" si="285"/>
        <v>0</v>
      </c>
      <c r="L111" s="152">
        <f t="shared" si="285"/>
        <v>0</v>
      </c>
      <c r="M111" s="152">
        <f t="shared" si="285"/>
        <v>0</v>
      </c>
      <c r="N111" s="152">
        <f t="shared" si="285"/>
        <v>0</v>
      </c>
      <c r="O111" s="152">
        <f t="shared" si="285"/>
        <v>0</v>
      </c>
      <c r="P111" s="152">
        <f t="shared" si="285"/>
        <v>0</v>
      </c>
      <c r="Q111" s="118" t="e">
        <f t="shared" ref="Q111:Q155" si="286">((P111/G111)^(1/($H$2-$H$1) ))-1</f>
        <v>#DIV/0!</v>
      </c>
      <c r="R111" s="152"/>
      <c r="S111" s="152">
        <f t="shared" ref="S111:AB111" si="287">S62/S44</f>
        <v>0</v>
      </c>
      <c r="T111" s="152">
        <f t="shared" si="287"/>
        <v>0</v>
      </c>
      <c r="U111" s="152">
        <f t="shared" si="287"/>
        <v>0</v>
      </c>
      <c r="V111" s="152">
        <f t="shared" si="287"/>
        <v>0</v>
      </c>
      <c r="W111" s="152">
        <f t="shared" si="287"/>
        <v>0</v>
      </c>
      <c r="X111" s="152">
        <f t="shared" si="287"/>
        <v>0</v>
      </c>
      <c r="Y111" s="152">
        <f t="shared" si="287"/>
        <v>0</v>
      </c>
      <c r="Z111" s="152">
        <f t="shared" si="287"/>
        <v>0</v>
      </c>
      <c r="AA111" s="152">
        <f t="shared" si="287"/>
        <v>0</v>
      </c>
      <c r="AB111" s="152">
        <f t="shared" si="287"/>
        <v>0</v>
      </c>
      <c r="AC111" s="137" t="e">
        <f t="shared" ref="AC111:AC142" si="288">((AB111/G111)^(1/($AB$3-$H$1) ))-1</f>
        <v>#DIV/0!</v>
      </c>
      <c r="AD111" s="145"/>
      <c r="AE111" s="145"/>
    </row>
    <row r="112" spans="2:31" x14ac:dyDescent="0.2">
      <c r="B112" s="20" t="s">
        <v>267</v>
      </c>
      <c r="C112" s="152" t="e">
        <f t="shared" ref="C112:P112" si="289">C66/C44</f>
        <v>#DIV/0!</v>
      </c>
      <c r="D112" s="152" t="e">
        <f t="shared" si="289"/>
        <v>#DIV/0!</v>
      </c>
      <c r="E112" s="152" t="e">
        <f t="shared" si="289"/>
        <v>#DIV/0!</v>
      </c>
      <c r="F112" s="152" t="e">
        <f t="shared" si="289"/>
        <v>#DIV/0!</v>
      </c>
      <c r="G112" s="152">
        <f t="shared" si="289"/>
        <v>0.17216494845360825</v>
      </c>
      <c r="H112" s="152">
        <f t="shared" si="289"/>
        <v>0.11073059360730593</v>
      </c>
      <c r="I112" s="152">
        <f t="shared" si="289"/>
        <v>0.17727882037533513</v>
      </c>
      <c r="J112" s="152">
        <f t="shared" si="289"/>
        <v>0.12087658592848904</v>
      </c>
      <c r="K112" s="152">
        <f t="shared" si="289"/>
        <v>0.12478832877426078</v>
      </c>
      <c r="L112" s="152">
        <f t="shared" si="289"/>
        <v>9.079515387828993E-2</v>
      </c>
      <c r="M112" s="152">
        <f t="shared" si="289"/>
        <v>0.14245840042941493</v>
      </c>
      <c r="N112" s="152">
        <f t="shared" si="289"/>
        <v>0.14183691918278793</v>
      </c>
      <c r="O112" s="152">
        <f t="shared" si="289"/>
        <v>0.14216552678091141</v>
      </c>
      <c r="P112" s="152">
        <f t="shared" si="289"/>
        <v>0.13818181818181818</v>
      </c>
      <c r="Q112" s="118">
        <f t="shared" si="286"/>
        <v>-2.4135377614737719E-2</v>
      </c>
      <c r="R112" s="152"/>
      <c r="S112" s="152">
        <f t="shared" ref="S112:AB112" si="290">S66/S44</f>
        <v>0.13818181818181818</v>
      </c>
      <c r="T112" s="152">
        <f t="shared" si="290"/>
        <v>0.13818181818181816</v>
      </c>
      <c r="U112" s="152">
        <f t="shared" si="290"/>
        <v>0.13818181818181816</v>
      </c>
      <c r="V112" s="152">
        <f t="shared" si="290"/>
        <v>0.13818181818181813</v>
      </c>
      <c r="W112" s="152">
        <f t="shared" si="290"/>
        <v>0.13818181818181813</v>
      </c>
      <c r="X112" s="152">
        <f t="shared" si="290"/>
        <v>0.13818181818181816</v>
      </c>
      <c r="Y112" s="152">
        <f t="shared" si="290"/>
        <v>0.13818181818181813</v>
      </c>
      <c r="Z112" s="152">
        <f t="shared" si="290"/>
        <v>0.13818181818181813</v>
      </c>
      <c r="AA112" s="152">
        <f t="shared" si="290"/>
        <v>0.13818181818181813</v>
      </c>
      <c r="AB112" s="152">
        <f t="shared" si="290"/>
        <v>0.13818181818181816</v>
      </c>
      <c r="AC112" s="137">
        <f t="shared" si="288"/>
        <v>-1.1506065615176864E-2</v>
      </c>
      <c r="AD112" s="145"/>
      <c r="AE112" s="145"/>
    </row>
    <row r="113" spans="2:31" x14ac:dyDescent="0.2">
      <c r="B113" s="20" t="s">
        <v>360</v>
      </c>
      <c r="C113" s="152" t="e">
        <f t="shared" ref="C113:P113" si="291">C66/C7</f>
        <v>#DIV/0!</v>
      </c>
      <c r="D113" s="152" t="e">
        <f t="shared" si="291"/>
        <v>#DIV/0!</v>
      </c>
      <c r="E113" s="152" t="e">
        <f t="shared" si="291"/>
        <v>#DIV/0!</v>
      </c>
      <c r="F113" s="152" t="e">
        <f t="shared" si="291"/>
        <v>#DIV/0!</v>
      </c>
      <c r="G113" s="152">
        <f t="shared" si="291"/>
        <v>0.1621359223300971</v>
      </c>
      <c r="H113" s="152">
        <f t="shared" si="291"/>
        <v>0.13179347826086957</v>
      </c>
      <c r="I113" s="152">
        <f t="shared" si="291"/>
        <v>0.23427812223206376</v>
      </c>
      <c r="J113" s="152">
        <f t="shared" si="291"/>
        <v>0.16068690585709905</v>
      </c>
      <c r="K113" s="152">
        <f t="shared" si="291"/>
        <v>0.16286977218633117</v>
      </c>
      <c r="L113" s="152">
        <f t="shared" si="291"/>
        <v>9.8578772301179313E-2</v>
      </c>
      <c r="M113" s="152">
        <f t="shared" si="291"/>
        <v>0.16660389202762085</v>
      </c>
      <c r="N113" s="152">
        <f t="shared" si="291"/>
        <v>0.1426493317574325</v>
      </c>
      <c r="O113" s="152">
        <f t="shared" si="291"/>
        <v>0.14302280633938924</v>
      </c>
      <c r="P113" s="152">
        <f t="shared" si="291"/>
        <v>0.1443636601820921</v>
      </c>
      <c r="Q113" s="118">
        <f t="shared" si="286"/>
        <v>-1.2817094174082055E-2</v>
      </c>
      <c r="R113" s="20"/>
      <c r="S113" s="152">
        <f t="shared" ref="S113:AB113" si="292">S66/S7</f>
        <v>0.1443636601820921</v>
      </c>
      <c r="T113" s="152">
        <f t="shared" si="292"/>
        <v>0.14436366018209207</v>
      </c>
      <c r="U113" s="152">
        <f t="shared" si="292"/>
        <v>0.14436366018209207</v>
      </c>
      <c r="V113" s="152">
        <f t="shared" si="292"/>
        <v>0.14436366018209207</v>
      </c>
      <c r="W113" s="152">
        <f t="shared" si="292"/>
        <v>0.14436366018209207</v>
      </c>
      <c r="X113" s="152">
        <f t="shared" si="292"/>
        <v>0.14436366018209207</v>
      </c>
      <c r="Y113" s="152">
        <f t="shared" si="292"/>
        <v>0.14436366018209207</v>
      </c>
      <c r="Z113" s="152">
        <f t="shared" si="292"/>
        <v>0.1443636601820921</v>
      </c>
      <c r="AA113" s="152">
        <f t="shared" si="292"/>
        <v>0.14436366018209207</v>
      </c>
      <c r="AB113" s="152">
        <f t="shared" si="292"/>
        <v>0.1443636601820921</v>
      </c>
      <c r="AC113" s="137">
        <f t="shared" si="288"/>
        <v>-6.0918676165194752E-3</v>
      </c>
      <c r="AD113" s="145"/>
      <c r="AE113" s="145"/>
    </row>
    <row r="114" spans="2:31" x14ac:dyDescent="0.2">
      <c r="B114" s="20" t="s">
        <v>361</v>
      </c>
      <c r="C114" s="152" t="e">
        <f t="shared" ref="C114:P114" si="293">(C66)/(C7+C10)</f>
        <v>#DIV/0!</v>
      </c>
      <c r="D114" s="152" t="e">
        <f t="shared" si="293"/>
        <v>#DIV/0!</v>
      </c>
      <c r="E114" s="152" t="e">
        <f t="shared" si="293"/>
        <v>#DIV/0!</v>
      </c>
      <c r="F114" s="152" t="e">
        <f t="shared" si="293"/>
        <v>#DIV/0!</v>
      </c>
      <c r="G114" s="152">
        <f t="shared" si="293"/>
        <v>2.3411214953271028E-2</v>
      </c>
      <c r="H114" s="152">
        <f t="shared" si="293"/>
        <v>2.1488701816570668E-2</v>
      </c>
      <c r="I114" s="152">
        <f t="shared" si="293"/>
        <v>3.8692217671152718E-2</v>
      </c>
      <c r="J114" s="152">
        <f t="shared" si="293"/>
        <v>2.2875103680097788E-2</v>
      </c>
      <c r="K114" s="152">
        <f t="shared" si="293"/>
        <v>2.9617263340134793E-2</v>
      </c>
      <c r="L114" s="152">
        <f t="shared" si="293"/>
        <v>2.0701041402082804E-2</v>
      </c>
      <c r="M114" s="152">
        <f t="shared" si="293"/>
        <v>3.038768920744693E-2</v>
      </c>
      <c r="N114" s="152">
        <f t="shared" si="293"/>
        <v>2.5983273991885401E-2</v>
      </c>
      <c r="O114" s="152">
        <f t="shared" si="293"/>
        <v>2.3539890571319506E-2</v>
      </c>
      <c r="P114" s="152">
        <f t="shared" si="293"/>
        <v>2.1644341438504144E-2</v>
      </c>
      <c r="Q114" s="118">
        <f t="shared" si="286"/>
        <v>-8.681113430173526E-3</v>
      </c>
      <c r="R114" s="20"/>
      <c r="S114" s="152">
        <f t="shared" ref="S114:AB114" si="294">(S66)/(S7+S10)</f>
        <v>2.1644341438504144E-2</v>
      </c>
      <c r="T114" s="152">
        <f t="shared" si="294"/>
        <v>2.1644341438504147E-2</v>
      </c>
      <c r="U114" s="152">
        <f t="shared" si="294"/>
        <v>2.1644341438504144E-2</v>
      </c>
      <c r="V114" s="152">
        <f t="shared" si="294"/>
        <v>2.1644341438504144E-2</v>
      </c>
      <c r="W114" s="152">
        <f t="shared" si="294"/>
        <v>2.1644341438504144E-2</v>
      </c>
      <c r="X114" s="152">
        <f t="shared" si="294"/>
        <v>2.1644341438504144E-2</v>
      </c>
      <c r="Y114" s="152">
        <f t="shared" si="294"/>
        <v>2.1644341438504144E-2</v>
      </c>
      <c r="Z114" s="152">
        <f t="shared" si="294"/>
        <v>2.1644341438504144E-2</v>
      </c>
      <c r="AA114" s="152">
        <f t="shared" si="294"/>
        <v>2.1644341438504144E-2</v>
      </c>
      <c r="AB114" s="152">
        <f t="shared" si="294"/>
        <v>2.1644341438504147E-2</v>
      </c>
      <c r="AC114" s="137">
        <f t="shared" si="288"/>
        <v>-4.1215422031478655E-3</v>
      </c>
      <c r="AD114" s="145"/>
      <c r="AE114" s="145"/>
    </row>
    <row r="115" spans="2:31" x14ac:dyDescent="0.2">
      <c r="B115" s="176" t="s">
        <v>393</v>
      </c>
      <c r="C115" s="152"/>
      <c r="D115" s="152"/>
      <c r="E115" s="152"/>
      <c r="F115" s="152"/>
      <c r="G115" s="152">
        <f>G25/G44</f>
        <v>0</v>
      </c>
      <c r="H115" s="152">
        <f t="shared" ref="H115:P115" si="295">H25/H44</f>
        <v>0</v>
      </c>
      <c r="I115" s="152">
        <f t="shared" si="295"/>
        <v>0</v>
      </c>
      <c r="J115" s="152">
        <f t="shared" si="295"/>
        <v>0</v>
      </c>
      <c r="K115" s="152">
        <f t="shared" si="295"/>
        <v>0</v>
      </c>
      <c r="L115" s="152">
        <f t="shared" si="295"/>
        <v>0</v>
      </c>
      <c r="M115" s="152">
        <f t="shared" si="295"/>
        <v>0</v>
      </c>
      <c r="N115" s="152">
        <f t="shared" si="295"/>
        <v>0</v>
      </c>
      <c r="O115" s="152">
        <f t="shared" si="295"/>
        <v>0</v>
      </c>
      <c r="P115" s="152">
        <f t="shared" si="295"/>
        <v>0</v>
      </c>
      <c r="Q115" s="118" t="e">
        <f t="shared" si="286"/>
        <v>#DIV/0!</v>
      </c>
      <c r="R115" s="20"/>
      <c r="S115" s="152">
        <f t="shared" ref="S115:AB115" si="296">S25/S44</f>
        <v>0</v>
      </c>
      <c r="T115" s="152">
        <f t="shared" si="296"/>
        <v>0</v>
      </c>
      <c r="U115" s="152">
        <f t="shared" si="296"/>
        <v>0</v>
      </c>
      <c r="V115" s="152">
        <f t="shared" si="296"/>
        <v>0</v>
      </c>
      <c r="W115" s="152">
        <f t="shared" si="296"/>
        <v>0</v>
      </c>
      <c r="X115" s="152">
        <f t="shared" si="296"/>
        <v>0</v>
      </c>
      <c r="Y115" s="152">
        <f t="shared" si="296"/>
        <v>0</v>
      </c>
      <c r="Z115" s="152">
        <f t="shared" si="296"/>
        <v>0</v>
      </c>
      <c r="AA115" s="152">
        <f t="shared" si="296"/>
        <v>0</v>
      </c>
      <c r="AB115" s="152">
        <f t="shared" si="296"/>
        <v>0</v>
      </c>
      <c r="AC115" s="137" t="e">
        <f t="shared" si="288"/>
        <v>#DIV/0!</v>
      </c>
      <c r="AD115" s="145"/>
      <c r="AE115" s="145"/>
    </row>
    <row r="116" spans="2:31" x14ac:dyDescent="0.2">
      <c r="B116" s="20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20"/>
      <c r="S116" s="152"/>
      <c r="T116" s="152"/>
      <c r="U116" s="152"/>
      <c r="V116" s="152"/>
      <c r="W116" s="152"/>
      <c r="X116" s="152"/>
      <c r="Y116" s="152"/>
      <c r="Z116" s="152"/>
      <c r="AA116" s="152"/>
      <c r="AB116" s="152"/>
      <c r="AC116" s="152"/>
      <c r="AD116" s="145"/>
      <c r="AE116" s="145"/>
    </row>
    <row r="117" spans="2:31" x14ac:dyDescent="0.2">
      <c r="B117" s="20" t="s">
        <v>324</v>
      </c>
      <c r="C117" s="152"/>
      <c r="D117" s="152"/>
      <c r="E117" s="152"/>
      <c r="F117" s="152"/>
      <c r="G117" s="152">
        <f>G50/G44</f>
        <v>0.21649484536082475</v>
      </c>
      <c r="H117" s="152">
        <f t="shared" ref="H117:P117" si="297">H50/H44</f>
        <v>0.18721461187214611</v>
      </c>
      <c r="I117" s="152">
        <f t="shared" si="297"/>
        <v>0.17392761394101877</v>
      </c>
      <c r="J117" s="152">
        <f t="shared" si="297"/>
        <v>0.22537485582468281</v>
      </c>
      <c r="K117" s="152">
        <f t="shared" si="297"/>
        <v>0.23655073596456949</v>
      </c>
      <c r="L117" s="152">
        <f t="shared" si="297"/>
        <v>0.27739869099011277</v>
      </c>
      <c r="M117" s="152">
        <f t="shared" si="297"/>
        <v>0.19023081052066559</v>
      </c>
      <c r="N117" s="152">
        <f t="shared" si="297"/>
        <v>0.24118604230699692</v>
      </c>
      <c r="O117" s="152">
        <f t="shared" si="297"/>
        <v>0.34895873357411816</v>
      </c>
      <c r="P117" s="152">
        <f t="shared" si="297"/>
        <v>0.37768025078369905</v>
      </c>
      <c r="Q117" s="118">
        <f t="shared" si="286"/>
        <v>6.3782810562515113E-2</v>
      </c>
      <c r="R117" s="20"/>
      <c r="S117" s="152">
        <f t="shared" ref="S117:AB117" si="298">S50/S44</f>
        <v>0.37768025078369905</v>
      </c>
      <c r="T117" s="152">
        <f t="shared" si="298"/>
        <v>0.37768025078369899</v>
      </c>
      <c r="U117" s="152">
        <f t="shared" si="298"/>
        <v>0.37768025078369899</v>
      </c>
      <c r="V117" s="152">
        <f t="shared" si="298"/>
        <v>0.37768025078369899</v>
      </c>
      <c r="W117" s="152">
        <f t="shared" si="298"/>
        <v>0.37768025078369899</v>
      </c>
      <c r="X117" s="152">
        <f t="shared" si="298"/>
        <v>0.37768025078369899</v>
      </c>
      <c r="Y117" s="152">
        <f t="shared" si="298"/>
        <v>0.37768025078369899</v>
      </c>
      <c r="Z117" s="152">
        <f t="shared" si="298"/>
        <v>0.37768025078369899</v>
      </c>
      <c r="AA117" s="152">
        <f t="shared" si="298"/>
        <v>0.37768025078369899</v>
      </c>
      <c r="AB117" s="152">
        <f t="shared" si="298"/>
        <v>0.37768025078369893</v>
      </c>
      <c r="AC117" s="137">
        <f t="shared" si="288"/>
        <v>2.9721610167579904E-2</v>
      </c>
      <c r="AD117" s="145"/>
      <c r="AE117" s="145"/>
    </row>
    <row r="118" spans="2:31" x14ac:dyDescent="0.2">
      <c r="B118" s="20" t="s">
        <v>326</v>
      </c>
      <c r="C118" s="152"/>
      <c r="D118" s="152"/>
      <c r="E118" s="152"/>
      <c r="F118" s="152"/>
      <c r="G118" s="166" t="e">
        <f t="shared" ref="G118:P118" si="299">G50/G12</f>
        <v>#DIV/0!</v>
      </c>
      <c r="H118" s="166" t="e">
        <f t="shared" si="299"/>
        <v>#DIV/0!</v>
      </c>
      <c r="I118" s="166" t="e">
        <f t="shared" si="299"/>
        <v>#DIV/0!</v>
      </c>
      <c r="J118" s="166" t="e">
        <f t="shared" si="299"/>
        <v>#DIV/0!</v>
      </c>
      <c r="K118" s="166" t="e">
        <f t="shared" si="299"/>
        <v>#DIV/0!</v>
      </c>
      <c r="L118" s="166" t="e">
        <f t="shared" si="299"/>
        <v>#DIV/0!</v>
      </c>
      <c r="M118" s="166" t="e">
        <f t="shared" si="299"/>
        <v>#DIV/0!</v>
      </c>
      <c r="N118" s="166" t="e">
        <f t="shared" si="299"/>
        <v>#DIV/0!</v>
      </c>
      <c r="O118" s="166" t="e">
        <f t="shared" si="299"/>
        <v>#DIV/0!</v>
      </c>
      <c r="P118" s="166" t="e">
        <f t="shared" si="299"/>
        <v>#DIV/0!</v>
      </c>
      <c r="Q118" s="118" t="e">
        <f t="shared" si="286"/>
        <v>#DIV/0!</v>
      </c>
      <c r="R118" s="20"/>
      <c r="S118" s="152" t="e">
        <f t="shared" ref="S118:AB118" si="300">S50/S12</f>
        <v>#DIV/0!</v>
      </c>
      <c r="T118" s="152" t="e">
        <f t="shared" si="300"/>
        <v>#DIV/0!</v>
      </c>
      <c r="U118" s="152" t="e">
        <f t="shared" si="300"/>
        <v>#DIV/0!</v>
      </c>
      <c r="V118" s="152" t="e">
        <f t="shared" si="300"/>
        <v>#DIV/0!</v>
      </c>
      <c r="W118" s="152" t="e">
        <f t="shared" si="300"/>
        <v>#DIV/0!</v>
      </c>
      <c r="X118" s="152" t="e">
        <f t="shared" si="300"/>
        <v>#DIV/0!</v>
      </c>
      <c r="Y118" s="152" t="e">
        <f t="shared" si="300"/>
        <v>#DIV/0!</v>
      </c>
      <c r="Z118" s="152" t="e">
        <f t="shared" si="300"/>
        <v>#DIV/0!</v>
      </c>
      <c r="AA118" s="152" t="e">
        <f t="shared" si="300"/>
        <v>#DIV/0!</v>
      </c>
      <c r="AB118" s="152" t="e">
        <f t="shared" si="300"/>
        <v>#DIV/0!</v>
      </c>
      <c r="AC118" s="137" t="e">
        <f t="shared" si="288"/>
        <v>#DIV/0!</v>
      </c>
      <c r="AD118" s="145"/>
      <c r="AE118" s="145"/>
    </row>
    <row r="119" spans="2:31" s="177" customFormat="1" x14ac:dyDescent="0.2">
      <c r="B119" s="176"/>
      <c r="C119" s="181"/>
      <c r="D119" s="181"/>
      <c r="E119" s="181"/>
      <c r="F119" s="181"/>
      <c r="G119" s="182"/>
      <c r="H119" s="182"/>
      <c r="I119" s="182"/>
      <c r="J119" s="182"/>
      <c r="K119" s="182"/>
      <c r="L119" s="182"/>
      <c r="M119" s="182"/>
      <c r="N119" s="182"/>
      <c r="O119" s="182"/>
      <c r="P119" s="182"/>
      <c r="Q119" s="178"/>
      <c r="R119" s="176"/>
      <c r="S119" s="181"/>
      <c r="T119" s="181"/>
      <c r="U119" s="181"/>
      <c r="V119" s="181"/>
      <c r="W119" s="181"/>
      <c r="X119" s="181"/>
      <c r="Y119" s="181"/>
      <c r="Z119" s="181"/>
      <c r="AA119" s="181"/>
      <c r="AB119" s="181"/>
      <c r="AC119" s="179"/>
      <c r="AD119" s="180"/>
      <c r="AE119" s="180"/>
    </row>
    <row r="120" spans="2:31" s="177" customFormat="1" x14ac:dyDescent="0.2">
      <c r="B120" s="176"/>
      <c r="C120" s="181"/>
      <c r="D120" s="181"/>
      <c r="E120" s="181"/>
      <c r="F120" s="181"/>
      <c r="G120" s="182"/>
      <c r="H120" s="182"/>
      <c r="I120" s="182"/>
      <c r="J120" s="182"/>
      <c r="K120" s="182"/>
      <c r="L120" s="182"/>
      <c r="M120" s="182"/>
      <c r="N120" s="182"/>
      <c r="O120" s="182"/>
      <c r="P120" s="182"/>
      <c r="Q120" s="178"/>
      <c r="R120" s="176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79"/>
      <c r="AD120" s="180"/>
      <c r="AE120" s="180"/>
    </row>
    <row r="121" spans="2:31" s="177" customFormat="1" x14ac:dyDescent="0.2">
      <c r="B121" s="176"/>
      <c r="C121" s="181"/>
      <c r="D121" s="181"/>
      <c r="E121" s="181"/>
      <c r="F121" s="181"/>
      <c r="G121" s="182"/>
      <c r="H121" s="182"/>
      <c r="I121" s="182"/>
      <c r="J121" s="182"/>
      <c r="K121" s="182"/>
      <c r="L121" s="182"/>
      <c r="M121" s="182"/>
      <c r="N121" s="182"/>
      <c r="O121" s="182"/>
      <c r="P121" s="182"/>
      <c r="Q121" s="178"/>
      <c r="R121" s="176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79"/>
      <c r="AD121" s="180"/>
      <c r="AE121" s="180"/>
    </row>
    <row r="122" spans="2:31" s="177" customFormat="1" x14ac:dyDescent="0.2">
      <c r="B122" s="176"/>
      <c r="C122" s="181"/>
      <c r="D122" s="181"/>
      <c r="E122" s="181"/>
      <c r="F122" s="181"/>
      <c r="G122" s="182"/>
      <c r="H122" s="182"/>
      <c r="I122" s="182"/>
      <c r="J122" s="182"/>
      <c r="K122" s="182"/>
      <c r="L122" s="182"/>
      <c r="M122" s="182"/>
      <c r="N122" s="182"/>
      <c r="O122" s="182"/>
      <c r="P122" s="182"/>
      <c r="Q122" s="178"/>
      <c r="R122" s="176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79"/>
      <c r="AD122" s="180"/>
      <c r="AE122" s="180"/>
    </row>
    <row r="123" spans="2:31" s="177" customFormat="1" x14ac:dyDescent="0.2">
      <c r="B123" s="176"/>
      <c r="C123" s="181"/>
      <c r="D123" s="181"/>
      <c r="E123" s="181"/>
      <c r="F123" s="181"/>
      <c r="G123" s="182"/>
      <c r="H123" s="182"/>
      <c r="I123" s="182"/>
      <c r="J123" s="182"/>
      <c r="K123" s="182"/>
      <c r="L123" s="182"/>
      <c r="M123" s="182"/>
      <c r="N123" s="182"/>
      <c r="O123" s="182"/>
      <c r="P123" s="182"/>
      <c r="Q123" s="178"/>
      <c r="R123" s="176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79"/>
      <c r="AD123" s="180"/>
      <c r="AE123" s="180"/>
    </row>
    <row r="124" spans="2:31" x14ac:dyDescent="0.2">
      <c r="B124" s="20" t="s">
        <v>327</v>
      </c>
      <c r="C124" s="152"/>
      <c r="D124" s="152"/>
      <c r="E124" s="152"/>
      <c r="F124" s="163">
        <f>F12+F15-F10</f>
        <v>0</v>
      </c>
      <c r="G124" s="163">
        <f>G12+G15-G10</f>
        <v>-3715</v>
      </c>
      <c r="H124" s="163">
        <f t="shared" ref="H124:P124" si="301">H12+H15-H10</f>
        <v>-4851</v>
      </c>
      <c r="I124" s="163">
        <f t="shared" si="301"/>
        <v>-6366</v>
      </c>
      <c r="J124" s="163">
        <f t="shared" si="301"/>
        <v>-10518</v>
      </c>
      <c r="K124" s="163">
        <f t="shared" si="301"/>
        <v>-13895</v>
      </c>
      <c r="L124" s="163">
        <f t="shared" si="301"/>
        <v>-11569</v>
      </c>
      <c r="M124" s="163">
        <f t="shared" si="301"/>
        <v>-16220</v>
      </c>
      <c r="N124" s="163">
        <f t="shared" si="301"/>
        <v>-23338</v>
      </c>
      <c r="O124" s="163">
        <f t="shared" si="301"/>
        <v>-33997</v>
      </c>
      <c r="P124" s="163">
        <f t="shared" si="301"/>
        <v>-45654</v>
      </c>
      <c r="Q124" s="118">
        <f t="shared" si="286"/>
        <v>0.32147143427914582</v>
      </c>
      <c r="R124" s="20"/>
      <c r="S124" s="163">
        <f t="shared" ref="S124:AB124" si="302">S12+S15-S10</f>
        <v>-52502.1</v>
      </c>
      <c r="T124" s="163">
        <f t="shared" si="302"/>
        <v>-60377.414999999994</v>
      </c>
      <c r="U124" s="163">
        <f t="shared" si="302"/>
        <v>-69434.027249999985</v>
      </c>
      <c r="V124" s="163">
        <f t="shared" si="302"/>
        <v>-79849.131337499974</v>
      </c>
      <c r="W124" s="163">
        <f t="shared" si="302"/>
        <v>-91826.501038124974</v>
      </c>
      <c r="X124" s="163">
        <f t="shared" si="302"/>
        <v>-105600.47619384372</v>
      </c>
      <c r="Y124" s="163">
        <f t="shared" si="302"/>
        <v>-121440.54762292028</v>
      </c>
      <c r="Z124" s="163">
        <f t="shared" si="302"/>
        <v>-139656.6297663583</v>
      </c>
      <c r="AA124" s="163">
        <f t="shared" si="302"/>
        <v>-160605.12423131202</v>
      </c>
      <c r="AB124" s="163">
        <f t="shared" si="302"/>
        <v>-184695.89286600877</v>
      </c>
      <c r="AC124" s="137">
        <f t="shared" si="288"/>
        <v>0.22825740331460542</v>
      </c>
      <c r="AD124" s="145"/>
      <c r="AE124" s="145"/>
    </row>
    <row r="125" spans="2:31" ht="12" customHeight="1" x14ac:dyDescent="0.2">
      <c r="B125" s="20" t="s">
        <v>322</v>
      </c>
      <c r="C125" s="20"/>
      <c r="D125" s="20"/>
      <c r="E125" s="20"/>
      <c r="F125" s="20"/>
      <c r="G125" s="152">
        <f t="shared" ref="G125:P125" si="303">G66/G23</f>
        <v>1.4212765957446809</v>
      </c>
      <c r="H125" s="152">
        <f t="shared" si="303"/>
        <v>1.220125786163522</v>
      </c>
      <c r="I125" s="152">
        <f t="shared" si="303"/>
        <v>2.9553072625698324</v>
      </c>
      <c r="J125" s="152">
        <f t="shared" si="303"/>
        <v>2.1924686192468621</v>
      </c>
      <c r="K125" s="152">
        <f t="shared" si="303"/>
        <v>2.8511904761904763</v>
      </c>
      <c r="L125" s="152">
        <f t="shared" si="303"/>
        <v>1.9120234604105573</v>
      </c>
      <c r="M125" s="152">
        <f t="shared" si="303"/>
        <v>2.1612377850162865</v>
      </c>
      <c r="N125" s="152">
        <f t="shared" si="303"/>
        <v>2.6150000000000002</v>
      </c>
      <c r="O125" s="152">
        <f t="shared" si="303"/>
        <v>3.0081300813008132</v>
      </c>
      <c r="P125" s="152">
        <f t="shared" si="303"/>
        <v>3.5548387096774192</v>
      </c>
      <c r="Q125" s="118">
        <f t="shared" si="286"/>
        <v>0.10723019750424401</v>
      </c>
      <c r="R125" s="20"/>
      <c r="S125" s="152">
        <f t="shared" ref="S125:AB125" si="304">S66/S23</f>
        <v>3.5548387096774192</v>
      </c>
      <c r="T125" s="152">
        <f t="shared" si="304"/>
        <v>3.5548387096774192</v>
      </c>
      <c r="U125" s="152">
        <f t="shared" si="304"/>
        <v>3.5548387096774188</v>
      </c>
      <c r="V125" s="152">
        <f t="shared" si="304"/>
        <v>3.5548387096774188</v>
      </c>
      <c r="W125" s="152">
        <f t="shared" si="304"/>
        <v>3.5548387096774188</v>
      </c>
      <c r="X125" s="152">
        <f t="shared" si="304"/>
        <v>3.5548387096774192</v>
      </c>
      <c r="Y125" s="152">
        <f t="shared" si="304"/>
        <v>3.5548387096774188</v>
      </c>
      <c r="Z125" s="152">
        <f t="shared" si="304"/>
        <v>3.5548387096774192</v>
      </c>
      <c r="AA125" s="152">
        <f t="shared" si="304"/>
        <v>3.5548387096774197</v>
      </c>
      <c r="AB125" s="152">
        <f t="shared" si="304"/>
        <v>3.5548387096774197</v>
      </c>
      <c r="AC125" s="137">
        <f t="shared" si="288"/>
        <v>4.9433213497753536E-2</v>
      </c>
      <c r="AD125" s="20"/>
      <c r="AE125" s="20"/>
    </row>
    <row r="126" spans="2:31" x14ac:dyDescent="0.2">
      <c r="B126" s="20" t="s">
        <v>323</v>
      </c>
      <c r="C126" s="20"/>
      <c r="D126" s="20"/>
      <c r="E126" s="20"/>
      <c r="F126" s="20"/>
      <c r="G126" s="152">
        <f t="shared" ref="G126:P126" si="305">G66/G44</f>
        <v>0.17216494845360825</v>
      </c>
      <c r="H126" s="152">
        <f t="shared" si="305"/>
        <v>0.11073059360730593</v>
      </c>
      <c r="I126" s="152">
        <f t="shared" si="305"/>
        <v>0.17727882037533513</v>
      </c>
      <c r="J126" s="152">
        <f t="shared" si="305"/>
        <v>0.12087658592848904</v>
      </c>
      <c r="K126" s="152">
        <f t="shared" si="305"/>
        <v>0.12478832877426078</v>
      </c>
      <c r="L126" s="152">
        <f t="shared" si="305"/>
        <v>9.079515387828993E-2</v>
      </c>
      <c r="M126" s="152">
        <f t="shared" si="305"/>
        <v>0.14245840042941493</v>
      </c>
      <c r="N126" s="152">
        <f t="shared" si="305"/>
        <v>0.14183691918278793</v>
      </c>
      <c r="O126" s="152">
        <f t="shared" si="305"/>
        <v>0.14216552678091141</v>
      </c>
      <c r="P126" s="152">
        <f t="shared" si="305"/>
        <v>0.13818181818181818</v>
      </c>
      <c r="Q126" s="118">
        <f t="shared" si="286"/>
        <v>-2.4135377614737719E-2</v>
      </c>
      <c r="R126" s="20"/>
      <c r="S126" s="152">
        <f t="shared" ref="S126:AB126" si="306">S66/S44</f>
        <v>0.13818181818181818</v>
      </c>
      <c r="T126" s="152">
        <f t="shared" si="306"/>
        <v>0.13818181818181816</v>
      </c>
      <c r="U126" s="152">
        <f t="shared" si="306"/>
        <v>0.13818181818181816</v>
      </c>
      <c r="V126" s="152">
        <f t="shared" si="306"/>
        <v>0.13818181818181813</v>
      </c>
      <c r="W126" s="152">
        <f t="shared" si="306"/>
        <v>0.13818181818181813</v>
      </c>
      <c r="X126" s="152">
        <f t="shared" si="306"/>
        <v>0.13818181818181816</v>
      </c>
      <c r="Y126" s="152">
        <f t="shared" si="306"/>
        <v>0.13818181818181813</v>
      </c>
      <c r="Z126" s="152">
        <f t="shared" si="306"/>
        <v>0.13818181818181813</v>
      </c>
      <c r="AA126" s="152">
        <f t="shared" si="306"/>
        <v>0.13818181818181813</v>
      </c>
      <c r="AB126" s="152">
        <f t="shared" si="306"/>
        <v>0.13818181818181816</v>
      </c>
      <c r="AC126" s="137">
        <f t="shared" si="288"/>
        <v>-1.1506065615176864E-2</v>
      </c>
      <c r="AD126" s="20"/>
      <c r="AE126" s="20"/>
    </row>
    <row r="127" spans="2:31" x14ac:dyDescent="0.2">
      <c r="B127" s="20" t="s">
        <v>349</v>
      </c>
      <c r="C127" s="20"/>
      <c r="D127" s="20"/>
      <c r="E127" s="152"/>
      <c r="F127" s="152"/>
      <c r="G127" s="152">
        <f t="shared" ref="G127:P127" si="307">G44/G23</f>
        <v>8.2553191489361701</v>
      </c>
      <c r="H127" s="152">
        <f t="shared" si="307"/>
        <v>11.018867924528301</v>
      </c>
      <c r="I127" s="152">
        <f t="shared" si="307"/>
        <v>16.670391061452513</v>
      </c>
      <c r="J127" s="152">
        <f t="shared" si="307"/>
        <v>18.13807531380753</v>
      </c>
      <c r="K127" s="152">
        <f t="shared" si="307"/>
        <v>22.848214285714285</v>
      </c>
      <c r="L127" s="152">
        <f t="shared" si="307"/>
        <v>21.058651026392962</v>
      </c>
      <c r="M127" s="152">
        <f t="shared" si="307"/>
        <v>15.17100977198697</v>
      </c>
      <c r="N127" s="152">
        <f t="shared" si="307"/>
        <v>18.436666666666667</v>
      </c>
      <c r="O127" s="152">
        <f t="shared" si="307"/>
        <v>21.159349593495936</v>
      </c>
      <c r="P127" s="152">
        <f t="shared" si="307"/>
        <v>25.725806451612904</v>
      </c>
      <c r="Q127" s="118">
        <f t="shared" si="286"/>
        <v>0.13461454806906614</v>
      </c>
      <c r="R127" s="20"/>
      <c r="S127" s="152">
        <f t="shared" ref="S127:AB127" si="308">S44/S23</f>
        <v>25.725806451612904</v>
      </c>
      <c r="T127" s="152">
        <f t="shared" si="308"/>
        <v>25.725806451612904</v>
      </c>
      <c r="U127" s="152">
        <f t="shared" si="308"/>
        <v>25.725806451612904</v>
      </c>
      <c r="V127" s="152">
        <f t="shared" si="308"/>
        <v>25.725806451612907</v>
      </c>
      <c r="W127" s="152">
        <f t="shared" si="308"/>
        <v>25.725806451612907</v>
      </c>
      <c r="X127" s="152">
        <f t="shared" si="308"/>
        <v>25.725806451612907</v>
      </c>
      <c r="Y127" s="152">
        <f t="shared" si="308"/>
        <v>25.725806451612907</v>
      </c>
      <c r="Z127" s="152">
        <f t="shared" si="308"/>
        <v>25.725806451612911</v>
      </c>
      <c r="AA127" s="152">
        <f t="shared" si="308"/>
        <v>25.725806451612915</v>
      </c>
      <c r="AB127" s="152">
        <f t="shared" si="308"/>
        <v>25.725806451612915</v>
      </c>
      <c r="AC127" s="137">
        <f t="shared" si="288"/>
        <v>6.1648612088707644E-2</v>
      </c>
      <c r="AD127" s="20"/>
      <c r="AE127" s="20"/>
    </row>
    <row r="128" spans="2:31" x14ac:dyDescent="0.2">
      <c r="B128" s="20"/>
      <c r="C128" s="20"/>
      <c r="D128" s="20"/>
      <c r="E128" s="20"/>
      <c r="F128" s="20"/>
      <c r="G128" s="152"/>
      <c r="H128" s="152"/>
      <c r="I128" s="152"/>
      <c r="J128" s="152"/>
      <c r="K128" s="152"/>
      <c r="L128" s="152"/>
      <c r="M128" s="152"/>
      <c r="N128" s="152"/>
      <c r="O128" s="152"/>
      <c r="P128" s="152"/>
      <c r="Q128" s="127"/>
      <c r="R128" s="20"/>
      <c r="S128" s="152"/>
      <c r="T128" s="152"/>
      <c r="U128" s="152"/>
      <c r="V128" s="152"/>
      <c r="W128" s="152"/>
      <c r="X128" s="152"/>
      <c r="Y128" s="152"/>
      <c r="Z128" s="152"/>
      <c r="AA128" s="152"/>
      <c r="AB128" s="152"/>
      <c r="AC128" s="127"/>
      <c r="AD128" s="20"/>
      <c r="AE128" s="20"/>
    </row>
    <row r="129" spans="2:31" x14ac:dyDescent="0.2">
      <c r="B129" s="20" t="s">
        <v>335</v>
      </c>
      <c r="C129" s="20"/>
      <c r="D129" s="20"/>
      <c r="E129" s="165">
        <f t="shared" ref="E129:P129" si="309">E95*E68</f>
        <v>1</v>
      </c>
      <c r="F129" s="165">
        <f t="shared" si="309"/>
        <v>0</v>
      </c>
      <c r="G129" s="165">
        <f t="shared" si="309"/>
        <v>14.28</v>
      </c>
      <c r="H129" s="165">
        <f t="shared" si="309"/>
        <v>15.4125</v>
      </c>
      <c r="I129" s="165">
        <f t="shared" si="309"/>
        <v>18.593999999999998</v>
      </c>
      <c r="J129" s="165">
        <f t="shared" si="309"/>
        <v>22.826999999999998</v>
      </c>
      <c r="K129" s="165">
        <f t="shared" si="309"/>
        <v>25.844999999999999</v>
      </c>
      <c r="L129" s="165">
        <f t="shared" si="309"/>
        <v>25.92</v>
      </c>
      <c r="M129" s="165">
        <f t="shared" si="309"/>
        <v>29.5885</v>
      </c>
      <c r="N129" s="165">
        <f t="shared" si="309"/>
        <v>36.843499999999999</v>
      </c>
      <c r="O129" s="165">
        <f t="shared" si="309"/>
        <v>44.441339999999997</v>
      </c>
      <c r="P129" s="165">
        <f t="shared" si="309"/>
        <v>52.266199999999998</v>
      </c>
      <c r="Q129" s="118">
        <f t="shared" si="286"/>
        <v>0.15507531332709279</v>
      </c>
      <c r="R129" s="20"/>
      <c r="S129" s="165">
        <f t="shared" ref="S129:AB129" si="310">S95*S68</f>
        <v>55.977100199999995</v>
      </c>
      <c r="T129" s="165">
        <f t="shared" si="310"/>
        <v>59.951474314199999</v>
      </c>
      <c r="U129" s="165">
        <f t="shared" si="310"/>
        <v>64.208028990508197</v>
      </c>
      <c r="V129" s="165">
        <f t="shared" si="310"/>
        <v>68.766799048834287</v>
      </c>
      <c r="W129" s="165">
        <f t="shared" si="310"/>
        <v>73.649241781301527</v>
      </c>
      <c r="X129" s="165">
        <f t="shared" si="310"/>
        <v>78.878337947773943</v>
      </c>
      <c r="Y129" s="165">
        <f t="shared" si="310"/>
        <v>84.478699942065887</v>
      </c>
      <c r="Z129" s="165">
        <f t="shared" si="310"/>
        <v>90.47668763795258</v>
      </c>
      <c r="AA129" s="165">
        <f t="shared" si="310"/>
        <v>96.90053246024722</v>
      </c>
      <c r="AB129" s="165">
        <f t="shared" si="310"/>
        <v>103.7804702649248</v>
      </c>
      <c r="AC129" s="137">
        <f t="shared" si="288"/>
        <v>0.11003374201364235</v>
      </c>
      <c r="AD129" s="20"/>
      <c r="AE129" s="20"/>
    </row>
    <row r="130" spans="2:31" x14ac:dyDescent="0.2">
      <c r="B130" s="20" t="s">
        <v>336</v>
      </c>
      <c r="C130" s="20"/>
      <c r="D130" s="20"/>
      <c r="E130" s="165">
        <f>(E129*0.17)+E129</f>
        <v>1.17</v>
      </c>
      <c r="F130" s="165">
        <f>(F129*0.17)+F129</f>
        <v>0</v>
      </c>
      <c r="G130" s="165">
        <f t="shared" ref="G130:P130" si="311">(G129*0.17)+G129</f>
        <v>16.707599999999999</v>
      </c>
      <c r="H130" s="165">
        <f t="shared" si="311"/>
        <v>18.032624999999999</v>
      </c>
      <c r="I130" s="165">
        <f t="shared" si="311"/>
        <v>21.754979999999996</v>
      </c>
      <c r="J130" s="165">
        <f t="shared" si="311"/>
        <v>26.707589999999996</v>
      </c>
      <c r="K130" s="165">
        <f t="shared" si="311"/>
        <v>30.23865</v>
      </c>
      <c r="L130" s="165">
        <f t="shared" si="311"/>
        <v>30.326400000000003</v>
      </c>
      <c r="M130" s="165">
        <f t="shared" si="311"/>
        <v>34.618544999999997</v>
      </c>
      <c r="N130" s="165">
        <f t="shared" si="311"/>
        <v>43.106895000000002</v>
      </c>
      <c r="O130" s="165">
        <f t="shared" si="311"/>
        <v>51.996367799999994</v>
      </c>
      <c r="P130" s="165">
        <f t="shared" si="311"/>
        <v>61.151454000000001</v>
      </c>
      <c r="Q130" s="118">
        <f t="shared" si="286"/>
        <v>0.15507531332709279</v>
      </c>
      <c r="R130" s="20"/>
      <c r="S130" s="165">
        <f t="shared" ref="S130:AB130" si="312">(S129*0.17)+S129</f>
        <v>65.493207233999996</v>
      </c>
      <c r="T130" s="165">
        <f t="shared" si="312"/>
        <v>70.143224947614002</v>
      </c>
      <c r="U130" s="165">
        <f t="shared" si="312"/>
        <v>75.123393918894593</v>
      </c>
      <c r="V130" s="165">
        <f t="shared" si="312"/>
        <v>80.457154887136113</v>
      </c>
      <c r="W130" s="165">
        <f t="shared" si="312"/>
        <v>86.169612884122785</v>
      </c>
      <c r="X130" s="165">
        <f t="shared" si="312"/>
        <v>92.28765539889551</v>
      </c>
      <c r="Y130" s="165">
        <f t="shared" si="312"/>
        <v>98.840078932217097</v>
      </c>
      <c r="Z130" s="165">
        <f t="shared" si="312"/>
        <v>105.85772453640452</v>
      </c>
      <c r="AA130" s="165">
        <f t="shared" si="312"/>
        <v>113.37362297848925</v>
      </c>
      <c r="AB130" s="165">
        <f t="shared" si="312"/>
        <v>121.42315020996202</v>
      </c>
      <c r="AC130" s="137">
        <f t="shared" si="288"/>
        <v>0.11003374201364235</v>
      </c>
      <c r="AD130" s="20"/>
      <c r="AE130" s="20"/>
    </row>
    <row r="131" spans="2:31" x14ac:dyDescent="0.2">
      <c r="B131" s="20" t="s">
        <v>337</v>
      </c>
      <c r="C131" s="20"/>
      <c r="D131" s="20"/>
      <c r="E131" s="20"/>
      <c r="F131" s="152" t="e">
        <f t="shared" ref="F131:P131" si="313">F130/F66</f>
        <v>#DIV/0!</v>
      </c>
      <c r="G131" s="152">
        <f t="shared" si="313"/>
        <v>8.3371257485029937E-2</v>
      </c>
      <c r="H131" s="152">
        <f t="shared" si="313"/>
        <v>9.2951675257731958E-2</v>
      </c>
      <c r="I131" s="152">
        <f t="shared" si="313"/>
        <v>4.11247258979206E-2</v>
      </c>
      <c r="J131" s="152">
        <f t="shared" si="313"/>
        <v>5.0968683206106861E-2</v>
      </c>
      <c r="K131" s="152">
        <f t="shared" si="313"/>
        <v>3.156435281837161E-2</v>
      </c>
      <c r="L131" s="152">
        <f t="shared" si="313"/>
        <v>4.6512883435582825E-2</v>
      </c>
      <c r="M131" s="152">
        <f t="shared" si="313"/>
        <v>2.608782592313489E-2</v>
      </c>
      <c r="N131" s="152">
        <f t="shared" si="313"/>
        <v>2.7474120458891013E-2</v>
      </c>
      <c r="O131" s="152">
        <f t="shared" si="313"/>
        <v>2.8106144756756754E-2</v>
      </c>
      <c r="P131" s="152">
        <f t="shared" si="313"/>
        <v>2.7745668784029037E-2</v>
      </c>
      <c r="Q131" s="118">
        <f t="shared" si="286"/>
        <v>-0.11507032142693618</v>
      </c>
      <c r="R131" s="20"/>
      <c r="S131" s="152">
        <f t="shared" ref="S131:AB131" si="314">S130/S66</f>
        <v>2.5839661971908783E-2</v>
      </c>
      <c r="T131" s="152">
        <f t="shared" si="314"/>
        <v>2.4064589540795052E-2</v>
      </c>
      <c r="U131" s="152">
        <f t="shared" si="314"/>
        <v>2.2411456867992612E-2</v>
      </c>
      <c r="V131" s="152">
        <f t="shared" si="314"/>
        <v>2.087188722227834E-2</v>
      </c>
      <c r="W131" s="152">
        <f t="shared" si="314"/>
        <v>1.9438079317443572E-2</v>
      </c>
      <c r="X131" s="152">
        <f t="shared" si="314"/>
        <v>1.8102767781723535E-2</v>
      </c>
      <c r="Y131" s="152">
        <f t="shared" si="314"/>
        <v>1.685918634280514E-2</v>
      </c>
      <c r="Z131" s="152">
        <f t="shared" si="314"/>
        <v>1.5701033541864612E-2</v>
      </c>
      <c r="AA131" s="152">
        <f t="shared" si="314"/>
        <v>1.4622440802901744E-2</v>
      </c>
      <c r="AB131" s="152">
        <f t="shared" si="314"/>
        <v>1.3617942695571974E-2</v>
      </c>
      <c r="AC131" s="137">
        <f t="shared" si="288"/>
        <v>-9.0957987208906022E-2</v>
      </c>
      <c r="AD131" s="20"/>
      <c r="AE131" s="20"/>
    </row>
    <row r="132" spans="2:31" x14ac:dyDescent="0.2">
      <c r="B132" s="20" t="s">
        <v>330</v>
      </c>
      <c r="C132" s="20"/>
      <c r="D132" s="20"/>
      <c r="E132" s="20"/>
      <c r="F132" s="152" t="e">
        <f>1-F131</f>
        <v>#DIV/0!</v>
      </c>
      <c r="G132" s="152">
        <f>1-G131</f>
        <v>0.91662874251497006</v>
      </c>
      <c r="H132" s="152">
        <f t="shared" ref="H132:P132" si="315">1-H131</f>
        <v>0.90704832474226804</v>
      </c>
      <c r="I132" s="152">
        <f t="shared" si="315"/>
        <v>0.9588752741020794</v>
      </c>
      <c r="J132" s="152">
        <f t="shared" si="315"/>
        <v>0.94903131679389319</v>
      </c>
      <c r="K132" s="152">
        <f t="shared" si="315"/>
        <v>0.96843564718162845</v>
      </c>
      <c r="L132" s="152">
        <f t="shared" si="315"/>
        <v>0.9534871165644172</v>
      </c>
      <c r="M132" s="152">
        <f t="shared" si="315"/>
        <v>0.97391217407686514</v>
      </c>
      <c r="N132" s="152">
        <f t="shared" si="315"/>
        <v>0.97252587954110903</v>
      </c>
      <c r="O132" s="152">
        <f t="shared" si="315"/>
        <v>0.97189385524324323</v>
      </c>
      <c r="P132" s="152">
        <f t="shared" si="315"/>
        <v>0.97225433121597093</v>
      </c>
      <c r="Q132" s="118">
        <f t="shared" si="286"/>
        <v>6.5675723762979032E-3</v>
      </c>
      <c r="R132" s="20"/>
      <c r="S132" s="152">
        <f t="shared" ref="S132:AB132" si="316">1-S131</f>
        <v>0.97416033802809121</v>
      </c>
      <c r="T132" s="152">
        <f t="shared" si="316"/>
        <v>0.97593541045920496</v>
      </c>
      <c r="U132" s="152">
        <f t="shared" si="316"/>
        <v>0.97758854313200738</v>
      </c>
      <c r="V132" s="152">
        <f t="shared" si="316"/>
        <v>0.9791281127777216</v>
      </c>
      <c r="W132" s="152">
        <f t="shared" si="316"/>
        <v>0.98056192068255643</v>
      </c>
      <c r="X132" s="152">
        <f t="shared" si="316"/>
        <v>0.98189723221827652</v>
      </c>
      <c r="Y132" s="152">
        <f t="shared" si="316"/>
        <v>0.98314081365719486</v>
      </c>
      <c r="Z132" s="152">
        <f t="shared" si="316"/>
        <v>0.98429896645813542</v>
      </c>
      <c r="AA132" s="152">
        <f t="shared" si="316"/>
        <v>0.98537755919709824</v>
      </c>
      <c r="AB132" s="152">
        <f t="shared" si="316"/>
        <v>0.98638205730442807</v>
      </c>
      <c r="AC132" s="137">
        <f t="shared" si="288"/>
        <v>3.8675245017714133E-3</v>
      </c>
      <c r="AD132" s="20"/>
      <c r="AE132" s="20"/>
    </row>
    <row r="133" spans="2:31" x14ac:dyDescent="0.2">
      <c r="B133" s="20"/>
      <c r="C133" s="20"/>
      <c r="D133" s="20"/>
      <c r="E133" s="20"/>
      <c r="F133" s="20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Q133" s="127"/>
      <c r="R133" s="20"/>
      <c r="S133" s="152"/>
      <c r="T133" s="152"/>
      <c r="U133" s="152"/>
      <c r="V133" s="152"/>
      <c r="W133" s="152"/>
      <c r="X133" s="152"/>
      <c r="Y133" s="152"/>
      <c r="Z133" s="152"/>
      <c r="AA133" s="152"/>
      <c r="AB133" s="152"/>
      <c r="AC133" s="127"/>
      <c r="AD133" s="20"/>
      <c r="AE133" s="20"/>
    </row>
    <row r="134" spans="2:31" x14ac:dyDescent="0.2">
      <c r="B134" s="20" t="s">
        <v>334</v>
      </c>
      <c r="C134" s="152"/>
      <c r="D134" s="152"/>
      <c r="E134" s="152"/>
      <c r="F134" s="152" t="e">
        <f>F52/F44</f>
        <v>#DIV/0!</v>
      </c>
      <c r="G134" s="152">
        <f>G52/G44</f>
        <v>0</v>
      </c>
      <c r="H134" s="152">
        <f t="shared" ref="H134:P134" si="317">H52/H44</f>
        <v>0</v>
      </c>
      <c r="I134" s="152">
        <f t="shared" si="317"/>
        <v>0</v>
      </c>
      <c r="J134" s="152">
        <f t="shared" si="317"/>
        <v>0</v>
      </c>
      <c r="K134" s="152">
        <f t="shared" si="317"/>
        <v>0</v>
      </c>
      <c r="L134" s="152">
        <f t="shared" si="317"/>
        <v>0</v>
      </c>
      <c r="M134" s="152">
        <f t="shared" si="317"/>
        <v>0</v>
      </c>
      <c r="N134" s="152">
        <f t="shared" si="317"/>
        <v>0</v>
      </c>
      <c r="O134" s="152">
        <f t="shared" si="317"/>
        <v>0</v>
      </c>
      <c r="P134" s="152">
        <f t="shared" si="317"/>
        <v>0</v>
      </c>
      <c r="Q134" s="118" t="e">
        <f t="shared" si="286"/>
        <v>#DIV/0!</v>
      </c>
      <c r="R134" s="20"/>
      <c r="S134" s="152">
        <f t="shared" ref="S134:AB134" si="318">S52/S44</f>
        <v>0</v>
      </c>
      <c r="T134" s="152">
        <f t="shared" si="318"/>
        <v>0</v>
      </c>
      <c r="U134" s="152">
        <f t="shared" si="318"/>
        <v>0</v>
      </c>
      <c r="V134" s="152">
        <f t="shared" si="318"/>
        <v>0</v>
      </c>
      <c r="W134" s="152">
        <f t="shared" si="318"/>
        <v>0</v>
      </c>
      <c r="X134" s="152">
        <f t="shared" si="318"/>
        <v>0</v>
      </c>
      <c r="Y134" s="152">
        <f t="shared" si="318"/>
        <v>0</v>
      </c>
      <c r="Z134" s="152">
        <f t="shared" si="318"/>
        <v>0</v>
      </c>
      <c r="AA134" s="152">
        <f t="shared" si="318"/>
        <v>0</v>
      </c>
      <c r="AB134" s="152">
        <f t="shared" si="318"/>
        <v>0</v>
      </c>
      <c r="AC134" s="137" t="e">
        <f t="shared" si="288"/>
        <v>#DIV/0!</v>
      </c>
      <c r="AD134" s="20"/>
      <c r="AE134" s="20"/>
    </row>
    <row r="135" spans="2:31" x14ac:dyDescent="0.2">
      <c r="B135" s="20" t="s">
        <v>331</v>
      </c>
      <c r="C135" s="152"/>
      <c r="D135" s="152"/>
      <c r="E135" s="152"/>
      <c r="F135" s="152" t="e">
        <f>F53/F44</f>
        <v>#DIV/0!</v>
      </c>
      <c r="G135" s="152">
        <f>G53/G44</f>
        <v>0</v>
      </c>
      <c r="H135" s="152">
        <f t="shared" ref="H135:P135" si="319">H53/H44</f>
        <v>0</v>
      </c>
      <c r="I135" s="152">
        <f t="shared" si="319"/>
        <v>0</v>
      </c>
      <c r="J135" s="152">
        <f t="shared" si="319"/>
        <v>0</v>
      </c>
      <c r="K135" s="152">
        <f t="shared" si="319"/>
        <v>0</v>
      </c>
      <c r="L135" s="152">
        <f t="shared" si="319"/>
        <v>0</v>
      </c>
      <c r="M135" s="152">
        <f t="shared" si="319"/>
        <v>0</v>
      </c>
      <c r="N135" s="152">
        <f t="shared" si="319"/>
        <v>0</v>
      </c>
      <c r="O135" s="152">
        <f t="shared" si="319"/>
        <v>0</v>
      </c>
      <c r="P135" s="152">
        <f t="shared" si="319"/>
        <v>0</v>
      </c>
      <c r="Q135" s="118" t="e">
        <f t="shared" si="286"/>
        <v>#DIV/0!</v>
      </c>
      <c r="R135" s="20"/>
      <c r="S135" s="152">
        <f t="shared" ref="S135:AB135" si="320">S53/S44</f>
        <v>0</v>
      </c>
      <c r="T135" s="152">
        <f t="shared" si="320"/>
        <v>0</v>
      </c>
      <c r="U135" s="152">
        <f t="shared" si="320"/>
        <v>0</v>
      </c>
      <c r="V135" s="152">
        <f t="shared" si="320"/>
        <v>0</v>
      </c>
      <c r="W135" s="152">
        <f t="shared" si="320"/>
        <v>0</v>
      </c>
      <c r="X135" s="152">
        <f t="shared" si="320"/>
        <v>0</v>
      </c>
      <c r="Y135" s="152">
        <f t="shared" si="320"/>
        <v>0</v>
      </c>
      <c r="Z135" s="152">
        <f t="shared" si="320"/>
        <v>0</v>
      </c>
      <c r="AA135" s="152">
        <f t="shared" si="320"/>
        <v>0</v>
      </c>
      <c r="AB135" s="152">
        <f t="shared" si="320"/>
        <v>0</v>
      </c>
      <c r="AC135" s="137" t="e">
        <f t="shared" si="288"/>
        <v>#DIV/0!</v>
      </c>
      <c r="AD135" s="20"/>
      <c r="AE135" s="20"/>
    </row>
    <row r="136" spans="2:31" x14ac:dyDescent="0.2">
      <c r="B136" s="20"/>
      <c r="C136" s="20"/>
      <c r="D136" s="20"/>
      <c r="E136" s="20"/>
      <c r="F136" s="20"/>
      <c r="G136" s="152"/>
      <c r="H136" s="152"/>
      <c r="I136" s="152"/>
      <c r="J136" s="152"/>
      <c r="K136" s="152"/>
      <c r="L136" s="152"/>
      <c r="M136" s="152"/>
      <c r="N136" s="152"/>
      <c r="O136" s="152"/>
      <c r="P136" s="152"/>
      <c r="Q136" s="127"/>
      <c r="R136" s="20"/>
      <c r="S136" s="152"/>
      <c r="T136" s="152"/>
      <c r="U136" s="152"/>
      <c r="V136" s="152"/>
      <c r="W136" s="152"/>
      <c r="X136" s="152"/>
      <c r="Y136" s="152"/>
      <c r="Z136" s="152"/>
      <c r="AA136" s="152"/>
      <c r="AB136" s="152"/>
      <c r="AC136" s="127"/>
      <c r="AD136" s="20"/>
      <c r="AE136" s="20"/>
    </row>
    <row r="137" spans="2:31" x14ac:dyDescent="0.2">
      <c r="B137" s="20" t="s">
        <v>355</v>
      </c>
      <c r="C137" s="20"/>
      <c r="D137" s="20"/>
      <c r="E137" s="20"/>
      <c r="F137" s="20"/>
      <c r="G137" s="152">
        <f>G46/G44</f>
        <v>0.82817869415807566</v>
      </c>
      <c r="H137" s="152">
        <f t="shared" ref="H137:P137" si="321">H46/H44</f>
        <v>0.88926940639269403</v>
      </c>
      <c r="I137" s="152">
        <f t="shared" si="321"/>
        <v>0.82272117962466484</v>
      </c>
      <c r="J137" s="152">
        <f t="shared" si="321"/>
        <v>0.87889273356401387</v>
      </c>
      <c r="K137" s="152">
        <f t="shared" si="321"/>
        <v>0.87508141200989975</v>
      </c>
      <c r="L137" s="152">
        <f t="shared" si="321"/>
        <v>0.90906558975073115</v>
      </c>
      <c r="M137" s="152">
        <f t="shared" si="321"/>
        <v>0.85743424584004291</v>
      </c>
      <c r="N137" s="152">
        <f t="shared" si="321"/>
        <v>0.85816308081721204</v>
      </c>
      <c r="O137" s="152">
        <f t="shared" si="321"/>
        <v>0.85783447321908857</v>
      </c>
      <c r="P137" s="152">
        <f t="shared" si="321"/>
        <v>0.86181818181818182</v>
      </c>
      <c r="Q137" s="118">
        <f t="shared" si="286"/>
        <v>4.4337308224335903E-3</v>
      </c>
      <c r="R137" s="20"/>
      <c r="S137" s="152">
        <f t="shared" ref="S137:AB137" si="322">S46/S44</f>
        <v>0.86181818181818182</v>
      </c>
      <c r="T137" s="152">
        <f t="shared" si="322"/>
        <v>0.86181818181818182</v>
      </c>
      <c r="U137" s="152">
        <f t="shared" si="322"/>
        <v>0.86181818181818171</v>
      </c>
      <c r="V137" s="152">
        <f t="shared" si="322"/>
        <v>0.86181818181818159</v>
      </c>
      <c r="W137" s="152">
        <f t="shared" si="322"/>
        <v>0.86181818181818159</v>
      </c>
      <c r="X137" s="152">
        <f t="shared" si="322"/>
        <v>0.86181818181818159</v>
      </c>
      <c r="Y137" s="152">
        <f t="shared" si="322"/>
        <v>0.86181818181818148</v>
      </c>
      <c r="Z137" s="152">
        <f t="shared" si="322"/>
        <v>0.86181818181818148</v>
      </c>
      <c r="AA137" s="152">
        <f t="shared" si="322"/>
        <v>0.86181818181818148</v>
      </c>
      <c r="AB137" s="152">
        <f t="shared" si="322"/>
        <v>0.86181818181818148</v>
      </c>
      <c r="AC137" s="137">
        <f t="shared" si="288"/>
        <v>2.0977433571280901E-3</v>
      </c>
      <c r="AD137" s="20"/>
      <c r="AE137" s="20"/>
    </row>
    <row r="138" spans="2:31" x14ac:dyDescent="0.2">
      <c r="B138" s="20" t="str">
        <f>B54</f>
        <v>Top Expenses ( Raw material )</v>
      </c>
      <c r="C138" s="20"/>
      <c r="D138" s="20"/>
      <c r="E138" s="20"/>
      <c r="F138" s="20"/>
      <c r="G138" s="152">
        <f>G54/G44</f>
        <v>0</v>
      </c>
      <c r="H138" s="152">
        <f t="shared" ref="H138:P138" si="323">H54/H44</f>
        <v>0</v>
      </c>
      <c r="I138" s="152">
        <f t="shared" si="323"/>
        <v>0</v>
      </c>
      <c r="J138" s="152">
        <f t="shared" si="323"/>
        <v>0</v>
      </c>
      <c r="K138" s="152">
        <f t="shared" si="323"/>
        <v>0</v>
      </c>
      <c r="L138" s="152">
        <f t="shared" si="323"/>
        <v>0</v>
      </c>
      <c r="M138" s="152">
        <f t="shared" si="323"/>
        <v>0</v>
      </c>
      <c r="N138" s="152">
        <f t="shared" si="323"/>
        <v>0</v>
      </c>
      <c r="O138" s="152">
        <f t="shared" si="323"/>
        <v>0</v>
      </c>
      <c r="P138" s="152">
        <f t="shared" si="323"/>
        <v>0</v>
      </c>
      <c r="Q138" s="118" t="e">
        <f t="shared" si="286"/>
        <v>#DIV/0!</v>
      </c>
      <c r="R138" s="20"/>
      <c r="S138" s="152">
        <f t="shared" ref="S138:AB138" si="324">S54/S44</f>
        <v>0</v>
      </c>
      <c r="T138" s="152">
        <f t="shared" si="324"/>
        <v>0</v>
      </c>
      <c r="U138" s="152">
        <f t="shared" si="324"/>
        <v>0</v>
      </c>
      <c r="V138" s="152">
        <f t="shared" si="324"/>
        <v>0</v>
      </c>
      <c r="W138" s="152">
        <f t="shared" si="324"/>
        <v>0</v>
      </c>
      <c r="X138" s="152">
        <f t="shared" si="324"/>
        <v>0</v>
      </c>
      <c r="Y138" s="152">
        <f t="shared" si="324"/>
        <v>0</v>
      </c>
      <c r="Z138" s="152">
        <f t="shared" si="324"/>
        <v>0</v>
      </c>
      <c r="AA138" s="152">
        <f t="shared" si="324"/>
        <v>0</v>
      </c>
      <c r="AB138" s="152">
        <f t="shared" si="324"/>
        <v>0</v>
      </c>
      <c r="AC138" s="137" t="e">
        <f t="shared" si="288"/>
        <v>#DIV/0!</v>
      </c>
      <c r="AD138" s="20"/>
      <c r="AE138" s="20"/>
    </row>
    <row r="139" spans="2:31" x14ac:dyDescent="0.2">
      <c r="B139" s="20" t="str">
        <f>B55</f>
        <v>2nd highest Expenses Comp. ( Empl )</v>
      </c>
      <c r="C139" s="20"/>
      <c r="D139" s="20"/>
      <c r="E139" s="20"/>
      <c r="F139" s="20"/>
      <c r="G139" s="152">
        <f>G55/G44</f>
        <v>0</v>
      </c>
      <c r="H139" s="152">
        <f t="shared" ref="H139:P139" si="325">H55/H44</f>
        <v>0</v>
      </c>
      <c r="I139" s="152">
        <f t="shared" si="325"/>
        <v>0</v>
      </c>
      <c r="J139" s="152">
        <f t="shared" si="325"/>
        <v>0</v>
      </c>
      <c r="K139" s="152">
        <f t="shared" si="325"/>
        <v>0</v>
      </c>
      <c r="L139" s="152">
        <f t="shared" si="325"/>
        <v>0</v>
      </c>
      <c r="M139" s="152">
        <f t="shared" si="325"/>
        <v>0</v>
      </c>
      <c r="N139" s="152">
        <f t="shared" si="325"/>
        <v>0</v>
      </c>
      <c r="O139" s="152">
        <f t="shared" si="325"/>
        <v>0</v>
      </c>
      <c r="P139" s="152">
        <f t="shared" si="325"/>
        <v>0</v>
      </c>
      <c r="Q139" s="118" t="e">
        <f t="shared" si="286"/>
        <v>#DIV/0!</v>
      </c>
      <c r="R139" s="20"/>
      <c r="S139" s="152">
        <f t="shared" ref="S139:AB139" si="326">S55/S44</f>
        <v>0</v>
      </c>
      <c r="T139" s="152">
        <f t="shared" si="326"/>
        <v>0</v>
      </c>
      <c r="U139" s="152">
        <f t="shared" si="326"/>
        <v>0</v>
      </c>
      <c r="V139" s="152">
        <f t="shared" si="326"/>
        <v>0</v>
      </c>
      <c r="W139" s="152">
        <f t="shared" si="326"/>
        <v>0</v>
      </c>
      <c r="X139" s="152">
        <f t="shared" si="326"/>
        <v>0</v>
      </c>
      <c r="Y139" s="152">
        <f t="shared" si="326"/>
        <v>0</v>
      </c>
      <c r="Z139" s="152">
        <f t="shared" si="326"/>
        <v>0</v>
      </c>
      <c r="AA139" s="152">
        <f t="shared" si="326"/>
        <v>0</v>
      </c>
      <c r="AB139" s="152">
        <f t="shared" si="326"/>
        <v>0</v>
      </c>
      <c r="AC139" s="137" t="e">
        <f t="shared" si="288"/>
        <v>#DIV/0!</v>
      </c>
      <c r="AD139" s="20"/>
      <c r="AE139" s="20"/>
    </row>
    <row r="140" spans="2:31" x14ac:dyDescent="0.2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127"/>
      <c r="R140" s="127"/>
      <c r="S140" s="119"/>
      <c r="T140" s="119"/>
      <c r="U140" s="119"/>
      <c r="V140" s="119"/>
      <c r="W140" s="119"/>
      <c r="X140" s="119"/>
      <c r="Y140" s="119"/>
      <c r="Z140" s="119"/>
      <c r="AA140" s="119"/>
      <c r="AB140" s="119"/>
      <c r="AC140" s="138"/>
      <c r="AD140" s="20"/>
      <c r="AE140" s="20"/>
    </row>
    <row r="141" spans="2:31" x14ac:dyDescent="0.2">
      <c r="B141" s="108" t="s">
        <v>382</v>
      </c>
      <c r="C141" s="20"/>
      <c r="D141" s="20"/>
      <c r="E141" s="20"/>
      <c r="F141" s="20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127"/>
      <c r="R141" s="127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127"/>
      <c r="AD141" s="20"/>
      <c r="AE141" s="20"/>
    </row>
    <row r="142" spans="2:31" x14ac:dyDescent="0.2">
      <c r="B142" s="20" t="s">
        <v>383</v>
      </c>
      <c r="C142" s="20"/>
      <c r="D142" s="20"/>
      <c r="E142" s="20"/>
      <c r="F142" s="20"/>
      <c r="G142" s="20" t="e">
        <f>G17/G9</f>
        <v>#DIV/0!</v>
      </c>
      <c r="H142" s="20" t="e">
        <f t="shared" ref="H142:AB142" si="327">H17/H9</f>
        <v>#DIV/0!</v>
      </c>
      <c r="I142" s="20" t="e">
        <f t="shared" si="327"/>
        <v>#DIV/0!</v>
      </c>
      <c r="J142" s="20" t="e">
        <f t="shared" si="327"/>
        <v>#DIV/0!</v>
      </c>
      <c r="K142" s="20" t="e">
        <f t="shared" si="327"/>
        <v>#DIV/0!</v>
      </c>
      <c r="L142" s="20" t="e">
        <f t="shared" si="327"/>
        <v>#DIV/0!</v>
      </c>
      <c r="M142" s="20" t="e">
        <f t="shared" si="327"/>
        <v>#DIV/0!</v>
      </c>
      <c r="N142" s="20" t="e">
        <f t="shared" si="327"/>
        <v>#DIV/0!</v>
      </c>
      <c r="O142" s="20" t="e">
        <f t="shared" si="327"/>
        <v>#DIV/0!</v>
      </c>
      <c r="P142" s="20" t="e">
        <f t="shared" si="327"/>
        <v>#DIV/0!</v>
      </c>
      <c r="Q142" s="118" t="e">
        <f t="shared" si="286"/>
        <v>#DIV/0!</v>
      </c>
      <c r="R142" s="20"/>
      <c r="S142" s="20" t="e">
        <f t="shared" si="327"/>
        <v>#DIV/0!</v>
      </c>
      <c r="T142" s="20" t="e">
        <f t="shared" si="327"/>
        <v>#DIV/0!</v>
      </c>
      <c r="U142" s="20" t="e">
        <f t="shared" si="327"/>
        <v>#DIV/0!</v>
      </c>
      <c r="V142" s="20" t="e">
        <f t="shared" si="327"/>
        <v>#DIV/0!</v>
      </c>
      <c r="W142" s="20" t="e">
        <f t="shared" si="327"/>
        <v>#DIV/0!</v>
      </c>
      <c r="X142" s="20" t="e">
        <f t="shared" si="327"/>
        <v>#DIV/0!</v>
      </c>
      <c r="Y142" s="20" t="e">
        <f t="shared" si="327"/>
        <v>#DIV/0!</v>
      </c>
      <c r="Z142" s="20" t="e">
        <f t="shared" si="327"/>
        <v>#DIV/0!</v>
      </c>
      <c r="AA142" s="20" t="e">
        <f t="shared" si="327"/>
        <v>#DIV/0!</v>
      </c>
      <c r="AB142" s="20" t="e">
        <f t="shared" si="327"/>
        <v>#DIV/0!</v>
      </c>
      <c r="AC142" s="137" t="e">
        <f t="shared" si="288"/>
        <v>#DIV/0!</v>
      </c>
      <c r="AD142" s="20"/>
      <c r="AE142" s="20"/>
    </row>
    <row r="143" spans="2:31" x14ac:dyDescent="0.2">
      <c r="B143" s="20" t="s">
        <v>356</v>
      </c>
      <c r="C143" s="20"/>
      <c r="D143" s="20"/>
      <c r="E143" s="20"/>
      <c r="F143" s="20"/>
      <c r="G143" s="20" t="e">
        <f>G12/G9</f>
        <v>#DIV/0!</v>
      </c>
      <c r="H143" s="20" t="e">
        <f t="shared" ref="H143:P143" si="328">H12/H9</f>
        <v>#DIV/0!</v>
      </c>
      <c r="I143" s="20" t="e">
        <f t="shared" si="328"/>
        <v>#DIV/0!</v>
      </c>
      <c r="J143" s="20" t="e">
        <f t="shared" si="328"/>
        <v>#DIV/0!</v>
      </c>
      <c r="K143" s="20" t="e">
        <f t="shared" si="328"/>
        <v>#DIV/0!</v>
      </c>
      <c r="L143" s="20" t="e">
        <f t="shared" si="328"/>
        <v>#DIV/0!</v>
      </c>
      <c r="M143" s="20" t="e">
        <f t="shared" si="328"/>
        <v>#DIV/0!</v>
      </c>
      <c r="N143" s="20" t="e">
        <f t="shared" si="328"/>
        <v>#DIV/0!</v>
      </c>
      <c r="O143" s="20" t="e">
        <f t="shared" si="328"/>
        <v>#DIV/0!</v>
      </c>
      <c r="P143" s="20" t="e">
        <f t="shared" si="328"/>
        <v>#DIV/0!</v>
      </c>
      <c r="Q143" s="118" t="e">
        <f t="shared" si="286"/>
        <v>#DIV/0!</v>
      </c>
      <c r="R143" s="127"/>
      <c r="S143" s="20" t="e">
        <f t="shared" ref="S143:AB143" si="329">S12/S9</f>
        <v>#DIV/0!</v>
      </c>
      <c r="T143" s="20" t="e">
        <f t="shared" si="329"/>
        <v>#DIV/0!</v>
      </c>
      <c r="U143" s="20" t="e">
        <f t="shared" si="329"/>
        <v>#DIV/0!</v>
      </c>
      <c r="V143" s="20" t="e">
        <f t="shared" si="329"/>
        <v>#DIV/0!</v>
      </c>
      <c r="W143" s="20" t="e">
        <f t="shared" si="329"/>
        <v>#DIV/0!</v>
      </c>
      <c r="X143" s="20" t="e">
        <f t="shared" si="329"/>
        <v>#DIV/0!</v>
      </c>
      <c r="Y143" s="20" t="e">
        <f t="shared" si="329"/>
        <v>#DIV/0!</v>
      </c>
      <c r="Z143" s="20" t="e">
        <f t="shared" si="329"/>
        <v>#DIV/0!</v>
      </c>
      <c r="AA143" s="20" t="e">
        <f t="shared" si="329"/>
        <v>#DIV/0!</v>
      </c>
      <c r="AB143" s="20" t="e">
        <f t="shared" si="329"/>
        <v>#DIV/0!</v>
      </c>
      <c r="AC143" s="118" t="e">
        <f t="shared" ref="AC143" si="330">((AB143/S143)^(1/($H$2-$H$1) ))-1</f>
        <v>#DIV/0!</v>
      </c>
      <c r="AD143" s="20"/>
      <c r="AE143" s="20"/>
    </row>
    <row r="144" spans="2:31" x14ac:dyDescent="0.2">
      <c r="B144" s="20" t="s">
        <v>358</v>
      </c>
      <c r="C144" s="20"/>
      <c r="D144" s="20"/>
      <c r="E144" s="20"/>
      <c r="F144" s="20"/>
      <c r="G144" s="25">
        <f>G44/360</f>
        <v>3.2333333333333334</v>
      </c>
      <c r="H144" s="25">
        <f t="shared" ref="H144:P144" si="331">H44/360</f>
        <v>4.8666666666666663</v>
      </c>
      <c r="I144" s="25">
        <f t="shared" si="331"/>
        <v>8.2888888888888896</v>
      </c>
      <c r="J144" s="25">
        <f t="shared" si="331"/>
        <v>12.041666666666666</v>
      </c>
      <c r="K144" s="25">
        <f t="shared" si="331"/>
        <v>21.324999999999999</v>
      </c>
      <c r="L144" s="25">
        <f t="shared" si="331"/>
        <v>19.947222222222223</v>
      </c>
      <c r="M144" s="25">
        <f t="shared" si="331"/>
        <v>25.875</v>
      </c>
      <c r="N144" s="25">
        <f t="shared" si="331"/>
        <v>30.727777777777778</v>
      </c>
      <c r="O144" s="25">
        <f t="shared" si="331"/>
        <v>36.147222222222226</v>
      </c>
      <c r="P144" s="25">
        <f t="shared" si="331"/>
        <v>44.305555555555557</v>
      </c>
      <c r="Q144" s="118">
        <f t="shared" si="286"/>
        <v>0.33755598027667855</v>
      </c>
      <c r="R144" s="127"/>
      <c r="S144" s="25">
        <f t="shared" ref="S144:AB144" si="332">S44/360</f>
        <v>50.951388888888886</v>
      </c>
      <c r="T144" s="25">
        <f t="shared" si="332"/>
        <v>58.594097222222224</v>
      </c>
      <c r="U144" s="25">
        <f t="shared" si="332"/>
        <v>67.383211805555547</v>
      </c>
      <c r="V144" s="25">
        <f t="shared" si="332"/>
        <v>77.490693576388878</v>
      </c>
      <c r="W144" s="25">
        <f t="shared" si="332"/>
        <v>89.11429761284721</v>
      </c>
      <c r="X144" s="25">
        <f t="shared" si="332"/>
        <v>102.48144225477428</v>
      </c>
      <c r="Y144" s="25">
        <f t="shared" si="332"/>
        <v>117.85365859299041</v>
      </c>
      <c r="Z144" s="25">
        <f t="shared" si="332"/>
        <v>135.53170738193899</v>
      </c>
      <c r="AA144" s="25">
        <f t="shared" si="332"/>
        <v>155.86146348922981</v>
      </c>
      <c r="AB144" s="25">
        <f t="shared" si="332"/>
        <v>179.24068301261428</v>
      </c>
      <c r="AC144" s="118">
        <f t="shared" ref="AC144:AC151" si="333">((AB144/S144)^(1/($H$2-$H$1) ))-1</f>
        <v>0.14999999999999991</v>
      </c>
      <c r="AD144" s="20"/>
      <c r="AE144" s="20"/>
    </row>
    <row r="145" spans="2:31" x14ac:dyDescent="0.2">
      <c r="B145" s="20" t="s">
        <v>357</v>
      </c>
      <c r="C145" s="20"/>
      <c r="D145" s="20"/>
      <c r="E145" s="20"/>
      <c r="F145" s="20"/>
      <c r="G145" s="25">
        <f>G46/360</f>
        <v>2.6777777777777776</v>
      </c>
      <c r="H145" s="25">
        <f t="shared" ref="H145:P145" si="334">H46/360</f>
        <v>4.3277777777777775</v>
      </c>
      <c r="I145" s="25">
        <f t="shared" si="334"/>
        <v>6.8194444444444446</v>
      </c>
      <c r="J145" s="25">
        <f t="shared" si="334"/>
        <v>10.583333333333334</v>
      </c>
      <c r="K145" s="25">
        <f t="shared" si="334"/>
        <v>18.661111111111111</v>
      </c>
      <c r="L145" s="25">
        <f t="shared" si="334"/>
        <v>18.133333333333333</v>
      </c>
      <c r="M145" s="25">
        <f t="shared" si="334"/>
        <v>22.18611111111111</v>
      </c>
      <c r="N145" s="25">
        <f t="shared" si="334"/>
        <v>26.369444444444444</v>
      </c>
      <c r="O145" s="25">
        <f t="shared" si="334"/>
        <v>31.008333333333333</v>
      </c>
      <c r="P145" s="25">
        <f t="shared" si="334"/>
        <v>38.18333333333333</v>
      </c>
      <c r="Q145" s="118">
        <f t="shared" si="286"/>
        <v>0.34348634345316165</v>
      </c>
      <c r="R145" s="127"/>
      <c r="S145" s="25">
        <f t="shared" ref="S145:AB145" si="335">S46/360</f>
        <v>43.910833333333329</v>
      </c>
      <c r="T145" s="25">
        <f t="shared" si="335"/>
        <v>50.497458333333334</v>
      </c>
      <c r="U145" s="25">
        <f t="shared" si="335"/>
        <v>58.072077083333319</v>
      </c>
      <c r="V145" s="25">
        <f t="shared" si="335"/>
        <v>66.78288864583331</v>
      </c>
      <c r="W145" s="25">
        <f t="shared" si="335"/>
        <v>76.800321942708308</v>
      </c>
      <c r="X145" s="25">
        <f t="shared" si="335"/>
        <v>88.320370234114534</v>
      </c>
      <c r="Y145" s="25">
        <f t="shared" si="335"/>
        <v>101.56842576923171</v>
      </c>
      <c r="Z145" s="25">
        <f t="shared" si="335"/>
        <v>116.80368963461646</v>
      </c>
      <c r="AA145" s="25">
        <f t="shared" si="335"/>
        <v>134.32424307980892</v>
      </c>
      <c r="AB145" s="25">
        <f t="shared" si="335"/>
        <v>154.47287954178023</v>
      </c>
      <c r="AC145" s="118">
        <f t="shared" si="333"/>
        <v>0.14999999999999991</v>
      </c>
      <c r="AD145" s="20"/>
      <c r="AE145" s="20"/>
    </row>
    <row r="146" spans="2:31" x14ac:dyDescent="0.2">
      <c r="B146" s="20"/>
      <c r="C146" s="20"/>
      <c r="D146" s="20"/>
      <c r="E146" s="20"/>
      <c r="F146" s="20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127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127"/>
      <c r="AD146" s="20"/>
      <c r="AE146" s="20"/>
    </row>
    <row r="147" spans="2:31" x14ac:dyDescent="0.2">
      <c r="B147" s="20" t="s">
        <v>384</v>
      </c>
      <c r="C147" s="20"/>
      <c r="D147" s="20"/>
      <c r="E147" s="20"/>
      <c r="F147" s="20"/>
      <c r="G147" s="25">
        <f>G10/G7</f>
        <v>5.9255663430420711</v>
      </c>
      <c r="H147" s="25">
        <f t="shared" ref="H147:P147" si="336">H10/H7</f>
        <v>5.1331521739130439</v>
      </c>
      <c r="I147" s="25">
        <f t="shared" si="336"/>
        <v>5.0549158547387067</v>
      </c>
      <c r="J147" s="25">
        <f t="shared" si="336"/>
        <v>6.0245323520392517</v>
      </c>
      <c r="K147" s="25">
        <f t="shared" si="336"/>
        <v>4.4991499489969398</v>
      </c>
      <c r="L147" s="25">
        <f t="shared" si="336"/>
        <v>3.762019957665558</v>
      </c>
      <c r="M147" s="25">
        <f t="shared" si="336"/>
        <v>4.4826114249843068</v>
      </c>
      <c r="N147" s="25">
        <f t="shared" si="336"/>
        <v>4.4900445495045007</v>
      </c>
      <c r="O147" s="25">
        <f t="shared" si="336"/>
        <v>5.075763432547352</v>
      </c>
      <c r="P147" s="25">
        <f t="shared" si="336"/>
        <v>5.6698107028230824</v>
      </c>
      <c r="Q147" s="118">
        <f t="shared" si="286"/>
        <v>-4.8902852435773747E-3</v>
      </c>
      <c r="R147" s="127"/>
      <c r="S147" s="25">
        <f t="shared" ref="S147:AB147" si="337">S10/S7</f>
        <v>5.6698107028230824</v>
      </c>
      <c r="T147" s="25">
        <f t="shared" si="337"/>
        <v>5.6698107028230824</v>
      </c>
      <c r="U147" s="25">
        <f t="shared" si="337"/>
        <v>5.6698107028230815</v>
      </c>
      <c r="V147" s="25">
        <f t="shared" si="337"/>
        <v>5.6698107028230815</v>
      </c>
      <c r="W147" s="25">
        <f t="shared" si="337"/>
        <v>5.6698107028230815</v>
      </c>
      <c r="X147" s="25">
        <f t="shared" si="337"/>
        <v>5.6698107028230815</v>
      </c>
      <c r="Y147" s="25">
        <f t="shared" si="337"/>
        <v>5.6698107028230824</v>
      </c>
      <c r="Z147" s="25">
        <f t="shared" si="337"/>
        <v>5.6698107028230815</v>
      </c>
      <c r="AA147" s="25">
        <f t="shared" si="337"/>
        <v>5.6698107028230815</v>
      </c>
      <c r="AB147" s="25">
        <f t="shared" si="337"/>
        <v>5.6698107028230806</v>
      </c>
      <c r="AC147" s="118">
        <f t="shared" si="333"/>
        <v>0</v>
      </c>
      <c r="AD147" s="20"/>
      <c r="AE147" s="20"/>
    </row>
    <row r="148" spans="2:31" x14ac:dyDescent="0.2">
      <c r="B148" s="20" t="s">
        <v>359</v>
      </c>
      <c r="C148" s="20"/>
      <c r="D148" s="20"/>
      <c r="E148" s="20"/>
      <c r="F148" s="20"/>
      <c r="G148" s="25">
        <f>G10/(G10+G7)</f>
        <v>0.85560747663551406</v>
      </c>
      <c r="H148" s="25">
        <f t="shared" ref="H148:P148" si="338">H10/(H10+H7)</f>
        <v>0.83695170580416478</v>
      </c>
      <c r="I148" s="25">
        <f t="shared" si="338"/>
        <v>0.83484493856056174</v>
      </c>
      <c r="J148" s="25">
        <f t="shared" si="338"/>
        <v>0.85764176889160515</v>
      </c>
      <c r="K148" s="25">
        <f t="shared" si="338"/>
        <v>0.81815371297842088</v>
      </c>
      <c r="L148" s="25">
        <f t="shared" si="338"/>
        <v>0.79000508001016001</v>
      </c>
      <c r="M148" s="25">
        <f t="shared" si="338"/>
        <v>0.81760516613616063</v>
      </c>
      <c r="N148" s="25">
        <f t="shared" si="338"/>
        <v>0.81785211559162041</v>
      </c>
      <c r="O148" s="25">
        <f t="shared" si="338"/>
        <v>0.83541162997836871</v>
      </c>
      <c r="P148" s="25">
        <f t="shared" si="338"/>
        <v>0.85007070746749425</v>
      </c>
      <c r="Q148" s="118">
        <f t="shared" si="286"/>
        <v>-7.2109370468464995E-4</v>
      </c>
      <c r="R148" s="127"/>
      <c r="S148" s="25">
        <f t="shared" ref="S148:AB148" si="339">S10/(S10+S7)</f>
        <v>0.85007070746749414</v>
      </c>
      <c r="T148" s="25">
        <f t="shared" si="339"/>
        <v>0.85007070746749425</v>
      </c>
      <c r="U148" s="25">
        <f t="shared" si="339"/>
        <v>0.85007070746749425</v>
      </c>
      <c r="V148" s="25">
        <f t="shared" si="339"/>
        <v>0.85007070746749414</v>
      </c>
      <c r="W148" s="25">
        <f t="shared" si="339"/>
        <v>0.85007070746749425</v>
      </c>
      <c r="X148" s="25">
        <f t="shared" si="339"/>
        <v>0.85007070746749425</v>
      </c>
      <c r="Y148" s="25">
        <f t="shared" si="339"/>
        <v>0.85007070746749425</v>
      </c>
      <c r="Z148" s="25">
        <f t="shared" si="339"/>
        <v>0.85007070746749414</v>
      </c>
      <c r="AA148" s="25">
        <f t="shared" si="339"/>
        <v>0.85007070746749414</v>
      </c>
      <c r="AB148" s="25">
        <f t="shared" si="339"/>
        <v>0.85007070746749414</v>
      </c>
      <c r="AC148" s="118">
        <f t="shared" si="333"/>
        <v>0</v>
      </c>
      <c r="AD148" s="20"/>
      <c r="AE148" s="20"/>
    </row>
    <row r="149" spans="2:31" x14ac:dyDescent="0.2">
      <c r="B149" s="20"/>
      <c r="C149" s="20"/>
      <c r="D149" s="20"/>
      <c r="E149" s="20"/>
      <c r="F149" s="20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127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127"/>
      <c r="AD149" s="20"/>
      <c r="AE149" s="20"/>
    </row>
    <row r="150" spans="2:31" x14ac:dyDescent="0.2">
      <c r="B150" s="20" t="s">
        <v>385</v>
      </c>
      <c r="C150" s="20"/>
      <c r="D150" s="20"/>
      <c r="E150" s="20"/>
      <c r="F150" s="20"/>
      <c r="G150" s="25">
        <f>G18</f>
        <v>0</v>
      </c>
      <c r="H150" s="25">
        <f t="shared" ref="H150:P150" si="340">H18</f>
        <v>0</v>
      </c>
      <c r="I150" s="25">
        <f t="shared" si="340"/>
        <v>0</v>
      </c>
      <c r="J150" s="25">
        <f t="shared" si="340"/>
        <v>0</v>
      </c>
      <c r="K150" s="25">
        <f t="shared" si="340"/>
        <v>0</v>
      </c>
      <c r="L150" s="25">
        <f t="shared" si="340"/>
        <v>0</v>
      </c>
      <c r="M150" s="25">
        <f t="shared" si="340"/>
        <v>0</v>
      </c>
      <c r="N150" s="25">
        <f t="shared" si="340"/>
        <v>0</v>
      </c>
      <c r="O150" s="25">
        <f t="shared" si="340"/>
        <v>0</v>
      </c>
      <c r="P150" s="25">
        <f t="shared" si="340"/>
        <v>0</v>
      </c>
      <c r="Q150" s="118" t="e">
        <f t="shared" si="286"/>
        <v>#DIV/0!</v>
      </c>
      <c r="R150" s="127"/>
      <c r="S150" s="25">
        <f t="shared" ref="S150:AB150" si="341">S18</f>
        <v>0</v>
      </c>
      <c r="T150" s="25">
        <f t="shared" si="341"/>
        <v>0</v>
      </c>
      <c r="U150" s="25">
        <f t="shared" si="341"/>
        <v>0</v>
      </c>
      <c r="V150" s="25">
        <f t="shared" si="341"/>
        <v>0</v>
      </c>
      <c r="W150" s="25">
        <f t="shared" si="341"/>
        <v>0</v>
      </c>
      <c r="X150" s="25">
        <f t="shared" si="341"/>
        <v>0</v>
      </c>
      <c r="Y150" s="25">
        <f t="shared" si="341"/>
        <v>0</v>
      </c>
      <c r="Z150" s="25">
        <f t="shared" si="341"/>
        <v>0</v>
      </c>
      <c r="AA150" s="25">
        <f t="shared" si="341"/>
        <v>0</v>
      </c>
      <c r="AB150" s="25">
        <f t="shared" si="341"/>
        <v>0</v>
      </c>
      <c r="AC150" s="118" t="e">
        <f t="shared" si="333"/>
        <v>#DIV/0!</v>
      </c>
      <c r="AD150" s="20"/>
      <c r="AE150" s="20"/>
    </row>
    <row r="151" spans="2:31" x14ac:dyDescent="0.2">
      <c r="B151" s="20" t="s">
        <v>386</v>
      </c>
      <c r="C151" s="20"/>
      <c r="D151" s="20"/>
      <c r="E151" s="20"/>
      <c r="F151" s="20"/>
      <c r="G151" s="119">
        <f t="shared" ref="G151:P151" si="342">G150*365/G48</f>
        <v>0</v>
      </c>
      <c r="H151" s="119">
        <f t="shared" si="342"/>
        <v>0</v>
      </c>
      <c r="I151" s="119">
        <f t="shared" si="342"/>
        <v>0</v>
      </c>
      <c r="J151" s="119">
        <f t="shared" si="342"/>
        <v>0</v>
      </c>
      <c r="K151" s="119">
        <f t="shared" si="342"/>
        <v>0</v>
      </c>
      <c r="L151" s="119">
        <f t="shared" si="342"/>
        <v>0</v>
      </c>
      <c r="M151" s="119">
        <f t="shared" si="342"/>
        <v>0</v>
      </c>
      <c r="N151" s="119">
        <f t="shared" si="342"/>
        <v>0</v>
      </c>
      <c r="O151" s="119">
        <f t="shared" si="342"/>
        <v>0</v>
      </c>
      <c r="P151" s="119">
        <f t="shared" si="342"/>
        <v>0</v>
      </c>
      <c r="Q151" s="118" t="e">
        <f t="shared" si="286"/>
        <v>#DIV/0!</v>
      </c>
      <c r="R151" s="127"/>
      <c r="S151" s="119">
        <f t="shared" ref="S151:AB151" si="343">S150*365/S48</f>
        <v>0</v>
      </c>
      <c r="T151" s="119">
        <f t="shared" si="343"/>
        <v>0</v>
      </c>
      <c r="U151" s="119">
        <f t="shared" si="343"/>
        <v>0</v>
      </c>
      <c r="V151" s="119">
        <f t="shared" si="343"/>
        <v>0</v>
      </c>
      <c r="W151" s="119">
        <f t="shared" si="343"/>
        <v>0</v>
      </c>
      <c r="X151" s="119">
        <f t="shared" si="343"/>
        <v>0</v>
      </c>
      <c r="Y151" s="119">
        <f t="shared" si="343"/>
        <v>0</v>
      </c>
      <c r="Z151" s="119">
        <f t="shared" si="343"/>
        <v>0</v>
      </c>
      <c r="AA151" s="119">
        <f t="shared" si="343"/>
        <v>0</v>
      </c>
      <c r="AB151" s="119">
        <f t="shared" si="343"/>
        <v>0</v>
      </c>
      <c r="AC151" s="118" t="e">
        <f t="shared" si="333"/>
        <v>#DIV/0!</v>
      </c>
      <c r="AD151" s="20"/>
      <c r="AE151" s="20"/>
    </row>
    <row r="152" spans="2:31" x14ac:dyDescent="0.2">
      <c r="B152" s="20" t="s">
        <v>387</v>
      </c>
      <c r="C152" s="20"/>
      <c r="D152" s="20"/>
      <c r="E152" s="20"/>
      <c r="F152" s="20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118" t="e">
        <f t="shared" si="286"/>
        <v>#DIV/0!</v>
      </c>
      <c r="R152" s="127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137"/>
      <c r="AD152" s="20"/>
      <c r="AE152" s="20"/>
    </row>
    <row r="153" spans="2:31" x14ac:dyDescent="0.2">
      <c r="B153" s="20"/>
      <c r="C153" s="20"/>
      <c r="D153" s="20"/>
      <c r="E153" s="20"/>
      <c r="F153" s="20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127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127"/>
      <c r="AD153" s="20"/>
      <c r="AE153" s="20"/>
    </row>
    <row r="154" spans="2:31" x14ac:dyDescent="0.2">
      <c r="B154" s="20" t="s">
        <v>388</v>
      </c>
      <c r="C154" s="20"/>
      <c r="D154" s="20"/>
      <c r="E154" s="20"/>
      <c r="F154" s="20"/>
      <c r="G154" s="25">
        <f>G48/G44</f>
        <v>0.45360824742268041</v>
      </c>
      <c r="H154" s="25">
        <f t="shared" ref="H154:P154" si="344">H48/H44</f>
        <v>0.55707762557077622</v>
      </c>
      <c r="I154" s="25">
        <f t="shared" si="344"/>
        <v>0.60321715817694366</v>
      </c>
      <c r="J154" s="25">
        <f t="shared" si="344"/>
        <v>0.54279123414071506</v>
      </c>
      <c r="K154" s="25">
        <f t="shared" si="344"/>
        <v>0.52481438061742869</v>
      </c>
      <c r="L154" s="25">
        <f t="shared" si="344"/>
        <v>0.39186742793482804</v>
      </c>
      <c r="M154" s="25">
        <f t="shared" si="344"/>
        <v>0.50606548577563071</v>
      </c>
      <c r="N154" s="25">
        <f t="shared" si="344"/>
        <v>0.46004339179171938</v>
      </c>
      <c r="O154" s="25">
        <f t="shared" si="344"/>
        <v>0.34911242603550297</v>
      </c>
      <c r="P154" s="25">
        <f t="shared" si="344"/>
        <v>0.32050156739811914</v>
      </c>
      <c r="Q154" s="118">
        <f t="shared" si="286"/>
        <v>-3.7858822846223106E-2</v>
      </c>
      <c r="R154" s="127"/>
      <c r="S154" s="25">
        <f t="shared" ref="S154:AB154" si="345">S48/S44</f>
        <v>0.30656671664167923</v>
      </c>
      <c r="T154" s="25">
        <f t="shared" si="345"/>
        <v>0.29323772896160621</v>
      </c>
      <c r="U154" s="25">
        <f t="shared" si="345"/>
        <v>0.28048826248501468</v>
      </c>
      <c r="V154" s="25">
        <f t="shared" si="345"/>
        <v>0.26829312063784017</v>
      </c>
      <c r="W154" s="25">
        <f t="shared" si="345"/>
        <v>0.25662820234923844</v>
      </c>
      <c r="X154" s="25">
        <f t="shared" si="345"/>
        <v>0.2454704544210107</v>
      </c>
      <c r="Y154" s="25">
        <f t="shared" si="345"/>
        <v>0.23479782596792331</v>
      </c>
      <c r="Z154" s="25">
        <f t="shared" si="345"/>
        <v>0.22458922483888316</v>
      </c>
      <c r="AA154" s="25">
        <f t="shared" si="345"/>
        <v>0.21482447593284479</v>
      </c>
      <c r="AB154" s="25">
        <f t="shared" si="345"/>
        <v>0.20548428132706895</v>
      </c>
      <c r="AC154" s="118">
        <f t="shared" ref="AC154:AC155" si="346">((AB154/S154)^(1/($H$2-$H$1) ))-1</f>
        <v>-4.3478260869565188E-2</v>
      </c>
      <c r="AD154" s="20"/>
      <c r="AE154" s="20"/>
    </row>
    <row r="155" spans="2:31" x14ac:dyDescent="0.2">
      <c r="B155" s="20" t="s">
        <v>389</v>
      </c>
      <c r="C155" s="20"/>
      <c r="D155" s="20"/>
      <c r="E155" s="20"/>
      <c r="F155" s="20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118" t="e">
        <f t="shared" si="286"/>
        <v>#DIV/0!</v>
      </c>
      <c r="R155" s="127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118" t="e">
        <f t="shared" si="346"/>
        <v>#DIV/0!</v>
      </c>
      <c r="AD155" s="20"/>
      <c r="AE155" s="20"/>
    </row>
    <row r="156" spans="2:31" x14ac:dyDescent="0.2">
      <c r="B156" s="20"/>
      <c r="C156" s="20"/>
      <c r="D156" s="20"/>
      <c r="E156" s="20"/>
      <c r="F156" s="20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127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127"/>
      <c r="AD156" s="20"/>
      <c r="AE156" s="20"/>
    </row>
    <row r="157" spans="2:31" x14ac:dyDescent="0.2"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127"/>
      <c r="R157" s="127"/>
      <c r="S157" s="119"/>
      <c r="T157" s="119"/>
      <c r="U157" s="119"/>
      <c r="V157" s="119"/>
      <c r="W157" s="119"/>
      <c r="X157" s="119"/>
      <c r="Y157" s="119"/>
      <c r="Z157" s="119"/>
      <c r="AA157" s="119"/>
      <c r="AB157" s="119"/>
      <c r="AC157" s="138"/>
      <c r="AD157" s="20"/>
      <c r="AE157" s="20"/>
    </row>
    <row r="158" spans="2:31" x14ac:dyDescent="0.2"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127"/>
      <c r="R158" s="127"/>
      <c r="S158" s="119"/>
      <c r="T158" s="119"/>
      <c r="U158" s="119"/>
      <c r="V158" s="119"/>
      <c r="W158" s="119"/>
      <c r="X158" s="119"/>
      <c r="Y158" s="119"/>
      <c r="Z158" s="119"/>
      <c r="AA158" s="119"/>
      <c r="AB158" s="119"/>
      <c r="AC158" s="138"/>
      <c r="AD158" s="20"/>
      <c r="AE158" s="20"/>
    </row>
    <row r="159" spans="2:31" x14ac:dyDescent="0.2">
      <c r="B159" s="108" t="s">
        <v>244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3"/>
      <c r="R159" s="23"/>
      <c r="S159" s="121" t="s">
        <v>66</v>
      </c>
      <c r="T159" s="20"/>
      <c r="U159" s="20"/>
      <c r="V159" s="20"/>
      <c r="W159" s="20"/>
      <c r="X159" s="20"/>
      <c r="Y159" s="20"/>
      <c r="Z159" s="20"/>
      <c r="AA159" s="20"/>
      <c r="AB159" s="20"/>
      <c r="AC159" s="136"/>
      <c r="AD159" s="20"/>
      <c r="AE159" s="20"/>
    </row>
    <row r="160" spans="2:31" x14ac:dyDescent="0.2">
      <c r="B160" s="23" t="s">
        <v>281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5"/>
      <c r="Q160" s="160">
        <f>AVERAGE(G80:P80)</f>
        <v>24.312831677063532</v>
      </c>
      <c r="R160" s="23"/>
      <c r="S160" s="133"/>
      <c r="T160" s="20"/>
      <c r="U160" s="20"/>
      <c r="V160" s="20"/>
      <c r="W160" s="20"/>
      <c r="X160" s="20"/>
      <c r="Y160" s="20"/>
      <c r="Z160" s="20"/>
      <c r="AA160" s="20"/>
      <c r="AB160" s="20"/>
      <c r="AC160" s="136"/>
      <c r="AD160" s="20"/>
      <c r="AE160" s="20"/>
    </row>
    <row r="161" spans="2:31" x14ac:dyDescent="0.2">
      <c r="B161" s="20" t="s">
        <v>25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139">
        <f>S161+T161</f>
        <v>117.41885020802611</v>
      </c>
      <c r="S161" s="132">
        <f>PV($C$1, ($AB$3-$S$3), 0, -AB80)</f>
        <v>16.361643061774132</v>
      </c>
      <c r="T161" s="132">
        <f>PV($C$1, ($AB$3-$S$3), 0, -AE80)</f>
        <v>101.05720714625198</v>
      </c>
      <c r="U161" s="20"/>
      <c r="V161" s="20"/>
      <c r="W161" s="20"/>
      <c r="X161" s="20"/>
      <c r="Y161" s="20"/>
      <c r="Z161" s="20"/>
      <c r="AA161" s="20"/>
      <c r="AB161" s="20"/>
      <c r="AC161" s="136"/>
      <c r="AD161" s="20"/>
      <c r="AE161" s="20"/>
    </row>
    <row r="162" spans="2:31" x14ac:dyDescent="0.2">
      <c r="B162" s="20" t="s">
        <v>273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139">
        <f t="shared" ref="R162:R180" si="347">S162+T162</f>
        <v>813.35462165423553</v>
      </c>
      <c r="S162" s="132">
        <f>PV($C$1, ($AB$3-$S$3), 0, -AB81)</f>
        <v>113.33629973870492</v>
      </c>
      <c r="T162" s="132">
        <f>PV($C$1, ($AB$3-$S$3), 0, -AE81)</f>
        <v>700.01832191553058</v>
      </c>
      <c r="U162" s="20"/>
      <c r="V162" s="20"/>
      <c r="W162" s="20"/>
      <c r="X162" s="20"/>
      <c r="Y162" s="20"/>
      <c r="Z162" s="20"/>
      <c r="AA162" s="20"/>
      <c r="AB162" s="20"/>
      <c r="AC162" s="136"/>
      <c r="AD162" s="20"/>
      <c r="AE162" s="20"/>
    </row>
    <row r="163" spans="2:31" x14ac:dyDescent="0.2">
      <c r="B163" s="20" t="s">
        <v>274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139">
        <f t="shared" si="347"/>
        <v>792.52396356379143</v>
      </c>
      <c r="S163" s="132">
        <f>PV($C$1, ($AB$3-$S$3), 0, -AB82)</f>
        <v>110.43366705397092</v>
      </c>
      <c r="T163" s="132">
        <f>PV($C$1, ($AB$3-$S$3), 0, -AE82)</f>
        <v>682.09029650982052</v>
      </c>
      <c r="U163" s="20"/>
      <c r="V163" s="20"/>
      <c r="W163" s="20"/>
      <c r="X163" s="20"/>
      <c r="Y163" s="20"/>
      <c r="Z163" s="20"/>
      <c r="AA163" s="20"/>
      <c r="AB163" s="20"/>
      <c r="AC163" s="136"/>
      <c r="AD163" s="20"/>
      <c r="AE163" s="20"/>
    </row>
    <row r="164" spans="2:31" x14ac:dyDescent="0.2">
      <c r="B164" s="20" t="s">
        <v>275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139">
        <f t="shared" si="347"/>
        <v>4611.566739045802</v>
      </c>
      <c r="S164" s="132">
        <f>PV($C$1, ($AB$3-$S$3), 0, -AB83)</f>
        <v>642.59536527687396</v>
      </c>
      <c r="T164" s="132">
        <f>PV($C$1, ($AB$3-$S$3), 0, -AE83)</f>
        <v>3968.9713737689276</v>
      </c>
      <c r="U164" s="20"/>
      <c r="V164" s="20"/>
      <c r="W164" s="20"/>
      <c r="X164" s="20"/>
      <c r="Y164" s="20"/>
      <c r="Z164" s="20"/>
      <c r="AA164" s="20"/>
      <c r="AB164" s="20"/>
      <c r="AC164" s="136"/>
      <c r="AD164" s="20"/>
      <c r="AE164" s="20"/>
    </row>
    <row r="165" spans="2:31" x14ac:dyDescent="0.2">
      <c r="B165" s="20" t="s">
        <v>276</v>
      </c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139">
        <f t="shared" si="347"/>
        <v>0</v>
      </c>
      <c r="S165" s="132">
        <f>PV($C$1, ($AB$3-$S$3), 0, -AB89)</f>
        <v>0</v>
      </c>
      <c r="T165" s="132">
        <f>PV($C$1, ($AB$3-$S$3), 0, -AE89)</f>
        <v>0</v>
      </c>
      <c r="U165" s="20"/>
      <c r="V165" s="20"/>
      <c r="W165" s="20"/>
      <c r="X165" s="20"/>
      <c r="Y165" s="20"/>
      <c r="Z165" s="20"/>
      <c r="AA165" s="20"/>
      <c r="AB165" s="20"/>
      <c r="AC165" s="136"/>
      <c r="AD165" s="20"/>
      <c r="AE165" s="20"/>
    </row>
    <row r="166" spans="2:31" x14ac:dyDescent="0.2"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139"/>
      <c r="S166" s="132"/>
      <c r="T166" s="20"/>
      <c r="U166" s="20"/>
      <c r="V166" s="20"/>
      <c r="W166" s="20"/>
      <c r="X166" s="20"/>
      <c r="Y166" s="20"/>
      <c r="Z166" s="20"/>
      <c r="AA166" s="20"/>
      <c r="AB166" s="20"/>
      <c r="AC166" s="136"/>
      <c r="AD166" s="20"/>
      <c r="AE166" s="20"/>
    </row>
    <row r="167" spans="2:31" x14ac:dyDescent="0.2">
      <c r="B167" s="20" t="s">
        <v>271</v>
      </c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139">
        <f t="shared" si="347"/>
        <v>-3798.2121173915666</v>
      </c>
      <c r="S167" s="132">
        <f>PV($C$1, ($AB$3-$S$3), 0, -AB85)</f>
        <v>-529.25906553816901</v>
      </c>
      <c r="T167" s="132">
        <f>PV($C$1, ($AB$3-$S$3), 0, -$AE$85)</f>
        <v>-3268.9530518533975</v>
      </c>
      <c r="U167" s="20"/>
      <c r="V167" s="20"/>
      <c r="W167" s="20"/>
      <c r="X167" s="20"/>
      <c r="Y167" s="20"/>
      <c r="Z167" s="20"/>
      <c r="AA167" s="20"/>
      <c r="AB167" s="20"/>
      <c r="AC167" s="136"/>
      <c r="AD167" s="20"/>
      <c r="AE167" s="20"/>
    </row>
    <row r="168" spans="2:31" x14ac:dyDescent="0.2">
      <c r="B168" s="20" t="s">
        <v>272</v>
      </c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139">
        <f t="shared" si="347"/>
        <v>-3798.2121173915666</v>
      </c>
      <c r="S168" s="132">
        <f>PV($C$1, ($AB$3-$S$3), 0, -AB86)</f>
        <v>-529.25906553816901</v>
      </c>
      <c r="T168" s="132">
        <f>PV($C$1, ($AB$3-$S$3), 0, -$AE$86)</f>
        <v>-3268.9530518533975</v>
      </c>
      <c r="U168" s="20"/>
      <c r="V168" s="20"/>
      <c r="W168" s="20"/>
      <c r="X168" s="20"/>
      <c r="Y168" s="20"/>
      <c r="Z168" s="20"/>
      <c r="AA168" s="20"/>
      <c r="AB168" s="20"/>
      <c r="AC168" s="136"/>
      <c r="AD168" s="20"/>
      <c r="AE168" s="20"/>
    </row>
    <row r="169" spans="2:31" x14ac:dyDescent="0.2">
      <c r="B169" s="20" t="s">
        <v>277</v>
      </c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139">
        <f t="shared" si="347"/>
        <v>-3798.2121173915666</v>
      </c>
      <c r="S169" s="132">
        <f>PV($C$1, ($AB$3-$S$3), 0, -AB87)</f>
        <v>-529.25906553816901</v>
      </c>
      <c r="T169" s="132">
        <f>PV($C$1, ($AB$3-$S$3), 0, -$AE$87)</f>
        <v>-3268.9530518533975</v>
      </c>
      <c r="U169" s="20"/>
      <c r="V169" s="20"/>
      <c r="W169" s="20"/>
      <c r="X169" s="20"/>
      <c r="Y169" s="20"/>
      <c r="Z169" s="20"/>
      <c r="AA169" s="20"/>
      <c r="AB169" s="20"/>
      <c r="AC169" s="136"/>
      <c r="AD169" s="20"/>
      <c r="AE169" s="20"/>
    </row>
    <row r="170" spans="2:31" x14ac:dyDescent="0.2"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139"/>
      <c r="S170" s="132"/>
      <c r="T170" s="20"/>
      <c r="U170" s="20"/>
      <c r="V170" s="20"/>
      <c r="W170" s="20"/>
      <c r="X170" s="20"/>
      <c r="Y170" s="20"/>
      <c r="Z170" s="20"/>
      <c r="AA170" s="20"/>
      <c r="AB170" s="20"/>
      <c r="AC170" s="136"/>
      <c r="AD170" s="20"/>
      <c r="AE170" s="20"/>
    </row>
    <row r="171" spans="2:31" x14ac:dyDescent="0.2">
      <c r="B171" s="20" t="s">
        <v>249</v>
      </c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139">
        <f t="shared" si="347"/>
        <v>0</v>
      </c>
      <c r="S171" s="132">
        <f>PV($C$1, ($AB$3-$S$3), 0, -AB92)</f>
        <v>0</v>
      </c>
      <c r="T171" s="132">
        <f>PV($C$1, ($AB$3-$S$3), 0, -AE92)</f>
        <v>0</v>
      </c>
      <c r="U171" s="20"/>
      <c r="V171" s="20"/>
      <c r="W171" s="20"/>
      <c r="X171" s="20"/>
      <c r="Y171" s="20"/>
      <c r="Z171" s="20"/>
      <c r="AA171" s="20"/>
      <c r="AB171" s="20"/>
      <c r="AC171" s="136"/>
      <c r="AD171" s="20"/>
      <c r="AE171" s="20"/>
    </row>
    <row r="172" spans="2:31" x14ac:dyDescent="0.2">
      <c r="B172" s="20" t="s">
        <v>250</v>
      </c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139">
        <f t="shared" si="347"/>
        <v>0</v>
      </c>
      <c r="S172" s="132">
        <f>PV($C$1, ($AB$3-$S$3), 0, -AB93)</f>
        <v>0</v>
      </c>
      <c r="T172" s="132">
        <f>PV($C$1, ($AB$3-$S$3), 0, -AE93)</f>
        <v>0</v>
      </c>
      <c r="U172" s="20"/>
      <c r="V172" s="20"/>
      <c r="W172" s="20"/>
      <c r="X172" s="20"/>
      <c r="Y172" s="20"/>
      <c r="Z172" s="20"/>
      <c r="AA172" s="20"/>
      <c r="AB172" s="20"/>
      <c r="AC172" s="136"/>
      <c r="AD172" s="20"/>
      <c r="AE172" s="20"/>
    </row>
    <row r="173" spans="2:31" x14ac:dyDescent="0.2"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139"/>
      <c r="S173" s="132"/>
      <c r="T173" s="132"/>
      <c r="U173" s="20"/>
      <c r="V173" s="20"/>
      <c r="W173" s="20"/>
      <c r="X173" s="20"/>
      <c r="Y173" s="20"/>
      <c r="Z173" s="20"/>
      <c r="AA173" s="20"/>
      <c r="AB173" s="20"/>
      <c r="AC173" s="136"/>
      <c r="AD173" s="20"/>
      <c r="AE173" s="20"/>
    </row>
    <row r="174" spans="2:31" x14ac:dyDescent="0.2">
      <c r="B174" s="20" t="s">
        <v>294</v>
      </c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139">
        <f t="shared" ref="R174" si="348">S174+T174</f>
        <v>0</v>
      </c>
      <c r="S174" s="132">
        <f>PV($C$1, ($AB$3-$S$3), 0, -AB12)</f>
        <v>0</v>
      </c>
      <c r="T174" s="132">
        <f>PV($C$1, ($AB$3-$S$3), 0, -AE12)</f>
        <v>0</v>
      </c>
      <c r="U174" s="20"/>
      <c r="V174" s="20"/>
      <c r="W174" s="20"/>
      <c r="X174" s="20"/>
      <c r="Y174" s="20"/>
      <c r="Z174" s="20"/>
      <c r="AA174" s="20"/>
      <c r="AB174" s="20"/>
      <c r="AC174" s="136"/>
      <c r="AD174" s="20"/>
      <c r="AE174" s="20"/>
    </row>
    <row r="175" spans="2:31" x14ac:dyDescent="0.2">
      <c r="B175" s="20" t="s">
        <v>295</v>
      </c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139">
        <f>S175+T175</f>
        <v>0</v>
      </c>
      <c r="S175" s="139">
        <f>S174/P68</f>
        <v>0</v>
      </c>
      <c r="T175" s="139">
        <f>T174/P68</f>
        <v>0</v>
      </c>
      <c r="U175" s="20"/>
      <c r="V175" s="20"/>
      <c r="W175" s="20"/>
      <c r="X175" s="20"/>
      <c r="Y175" s="20"/>
      <c r="Z175" s="20"/>
      <c r="AA175" s="20"/>
      <c r="AB175" s="20"/>
      <c r="AC175" s="136"/>
      <c r="AD175" s="20"/>
      <c r="AE175" s="20"/>
    </row>
    <row r="176" spans="2:31" x14ac:dyDescent="0.2"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139"/>
      <c r="S176" s="139"/>
      <c r="T176" s="139"/>
      <c r="U176" s="20"/>
      <c r="V176" s="20"/>
      <c r="W176" s="20"/>
      <c r="X176" s="20"/>
      <c r="Y176" s="20"/>
      <c r="Z176" s="20"/>
      <c r="AA176" s="20"/>
      <c r="AB176" s="20"/>
      <c r="AC176" s="136"/>
      <c r="AD176" s="20"/>
      <c r="AE176" s="20"/>
    </row>
    <row r="177" spans="2:31" x14ac:dyDescent="0.2">
      <c r="B177" s="108" t="s">
        <v>298</v>
      </c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139"/>
      <c r="S177" s="132"/>
      <c r="T177" s="132"/>
      <c r="U177" s="20"/>
      <c r="V177" s="20"/>
      <c r="W177" s="20"/>
      <c r="X177" s="20"/>
      <c r="Y177" s="20"/>
      <c r="Z177" s="20"/>
      <c r="AA177" s="20"/>
      <c r="AB177" s="20"/>
      <c r="AC177" s="136"/>
      <c r="AD177" s="20"/>
      <c r="AE177" s="20"/>
    </row>
    <row r="178" spans="2:31" x14ac:dyDescent="0.2">
      <c r="B178" s="20" t="s">
        <v>283</v>
      </c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139">
        <f t="shared" ref="R178" si="349">S178+T178</f>
        <v>6.6336794555521656</v>
      </c>
      <c r="S178" s="132">
        <f>PV($C$1, ($AB$3-$S$3), 0, -AB95)+PV($C$1, ($AA$3-$S$3), 0, -AB95)+PV($C$1, ($Z$3-$S$3), 0, -AB95)+PV($C$1, ($Y$3-$S$3), 0, -AB95)+PV($C$1, ($X$3-$S$3), 0, -AB95)+PV($C$1, ($W$3-$S$3), 0, -AB95)+PV($C$1, ($V$3-$S$3), 0, -AB95)+PV($C$1, ($U$3-$S$3), 0, -AB95)+PV($C$1, ($T$3-$S$3), 0, -AB95)+PV($C$1, ($S$3-$S$3), 0, -AB95)</f>
        <v>5.4574476129092542</v>
      </c>
      <c r="T178" s="132">
        <f>PV($C$1, ($AB$3-$S$3), 0, -AE95)</f>
        <v>1.176231842642911</v>
      </c>
      <c r="U178" s="20"/>
      <c r="V178" s="20"/>
      <c r="W178" s="20"/>
      <c r="X178" s="20"/>
      <c r="Y178" s="20"/>
      <c r="Z178" s="20"/>
      <c r="AA178" s="20"/>
      <c r="AB178" s="20"/>
      <c r="AC178" s="136"/>
      <c r="AD178" s="20"/>
      <c r="AE178" s="20"/>
    </row>
    <row r="179" spans="2:31" x14ac:dyDescent="0.2">
      <c r="B179" s="23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139"/>
      <c r="S179" s="132"/>
      <c r="T179" s="132"/>
      <c r="U179" s="20"/>
      <c r="V179" s="20"/>
      <c r="W179" s="20"/>
      <c r="X179" s="20"/>
      <c r="Y179" s="20"/>
      <c r="Z179" s="20"/>
      <c r="AA179" s="20"/>
      <c r="AB179" s="20"/>
      <c r="AC179" s="136"/>
      <c r="AD179" s="20"/>
      <c r="AE179" s="20"/>
    </row>
    <row r="180" spans="2:31" x14ac:dyDescent="0.2">
      <c r="B180" s="20" t="s">
        <v>291</v>
      </c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139">
        <f t="shared" si="347"/>
        <v>0</v>
      </c>
      <c r="S180" s="132">
        <f>PV($C$1, ($AB$3-$S$3), 0, -AB97)+PV($C$1, ($AA$3-$S$3), 0, -AB97)+PV($C$1, ($Z$3-$S$3), 0, -AB97)+PV($C$1, ($Y$3-$S$3), 0, -AB97)+PV($C$1, ($X$3-$S$3), 0, -AB97)+PV($C$1, ($W$3-$S$3), 0, -AB97)+PV($C$1, ($V$3-$S$3), 0, -AB97)+PV($C$1, ($U$3-$S$3), 0, -AB97)+PV($C$1, ($T$3-$S$3), 0, -AB97)+PV($C$1, ($S$3-$S$3), 0, -AB97)</f>
        <v>0</v>
      </c>
      <c r="T180" s="132">
        <f>PV($C$1, ($AB$3-$S$3), 0, -AE97)</f>
        <v>0</v>
      </c>
      <c r="U180" s="20"/>
      <c r="V180" s="20"/>
      <c r="W180" s="20"/>
      <c r="X180" s="20"/>
      <c r="Y180" s="20"/>
      <c r="Z180" s="20"/>
      <c r="AA180" s="20"/>
      <c r="AB180" s="20"/>
      <c r="AC180" s="136"/>
      <c r="AD180" s="20"/>
      <c r="AE180" s="20"/>
    </row>
    <row r="181" spans="2:31" x14ac:dyDescent="0.2"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139"/>
      <c r="S181" s="132"/>
      <c r="T181" s="132"/>
      <c r="U181" s="20"/>
      <c r="V181" s="20"/>
      <c r="W181" s="20"/>
      <c r="X181" s="20"/>
      <c r="Y181" s="20"/>
      <c r="Z181" s="20"/>
      <c r="AA181" s="20"/>
      <c r="AB181" s="20"/>
      <c r="AC181" s="136"/>
      <c r="AD181" s="20"/>
      <c r="AE181" s="20"/>
    </row>
    <row r="182" spans="2:31" x14ac:dyDescent="0.2">
      <c r="B182" s="20" t="s">
        <v>287</v>
      </c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139">
        <f t="shared" ref="R182:R185" si="350">S182+T182</f>
        <v>0</v>
      </c>
      <c r="S182" s="132">
        <f>PV($C$1, ($AB$3-$S$3), 0, -AB99)+PV($C$1, ($AA$3-$S$3), 0, -AB99)+PV($C$1, ($Z$3-$S$3), 0, -AB99)+PV($C$1, ($Y$3-$S$3), 0, -AB99)+PV($C$1, ($X$3-$S$3), 0, -AB99)+PV($C$1, ($W$3-$S$3), 0, -AB99)+PV($C$1, ($V$3-$S$3), 0, -AB99)+PV($C$1, ($U$3-$S$3), 0, -AB99)+PV($C$1, ($T$3-$S$3), 0, -AB99)+PV($C$1, ($S$3-$S$3), 0, -AB99)</f>
        <v>0</v>
      </c>
      <c r="T182" s="132">
        <f>PV($C$1, ($AB$3-$S$3), 0, -AE99)</f>
        <v>0</v>
      </c>
      <c r="U182" s="20"/>
      <c r="V182" s="20"/>
      <c r="W182" s="20"/>
      <c r="X182" s="20"/>
      <c r="Y182" s="20"/>
      <c r="Z182" s="20"/>
      <c r="AA182" s="20"/>
      <c r="AB182" s="20"/>
      <c r="AC182" s="136"/>
      <c r="AD182" s="20"/>
      <c r="AE182" s="20"/>
    </row>
    <row r="183" spans="2:31" x14ac:dyDescent="0.2">
      <c r="B183" s="20" t="s">
        <v>288</v>
      </c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139">
        <f t="shared" si="350"/>
        <v>0</v>
      </c>
      <c r="S183" s="132">
        <f>PV($C$1, ($AB$3-$S$3), 0, -AB100)+PV($C$1, ($AA$3-$S$3), 0, -AB100)+PV($C$1, ($Z$3-$S$3), 0, -AB100)+PV($C$1, ($Y$3-$S$3), 0, -AB100)+PV($C$1, ($X$3-$S$3), 0, -AB100)+PV($C$1, ($W$3-$S$3), 0, -AB100)+PV($C$1, ($V$3-$S$3), 0, -AB100)+PV($C$1, ($U$3-$S$3), 0, -AB100)+PV($C$1, ($T$3-$S$3), 0, -AB100)+PV($C$1, ($S$3-$S$3), 0, -AB100)</f>
        <v>0</v>
      </c>
      <c r="T183" s="132">
        <f>PV($C$1, ($AB$3-$S$3), 0, -AE100)</f>
        <v>0</v>
      </c>
      <c r="U183" s="20"/>
      <c r="V183" s="20"/>
      <c r="W183" s="20"/>
      <c r="X183" s="20"/>
      <c r="Y183" s="20"/>
      <c r="Z183" s="20"/>
      <c r="AA183" s="20"/>
      <c r="AB183" s="20"/>
      <c r="AC183" s="136"/>
      <c r="AD183" s="20"/>
      <c r="AE183" s="20"/>
    </row>
    <row r="184" spans="2:31" x14ac:dyDescent="0.2">
      <c r="B184" s="20" t="s">
        <v>289</v>
      </c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139">
        <f t="shared" si="350"/>
        <v>0</v>
      </c>
      <c r="S184" s="132">
        <f>PV($C$1, ($AB$3-$S$3), 0, -AB101)+PV($C$1, ($AA$3-$S$3), 0, -AB101)+PV($C$1, ($Z$3-$S$3), 0, -AB101)+PV($C$1, ($Y$3-$S$3), 0, -AB101)+PV($C$1, ($X$3-$S$3), 0, -AB101)+PV($C$1, ($W$3-$S$3), 0, -AB101)+PV($C$1, ($V$3-$S$3), 0, -AB101)+PV($C$1, ($U$3-$S$3), 0, -AB101)+PV($C$1, ($T$3-$S$3), 0, -AB101)+PV($C$1, ($S$3-$S$3), 0, -AB101)</f>
        <v>0</v>
      </c>
      <c r="T184" s="132">
        <f>PV($C$1, ($AB$3-$S$3), 0, -AE101)</f>
        <v>0</v>
      </c>
      <c r="U184" s="20"/>
      <c r="V184" s="20"/>
      <c r="W184" s="20"/>
      <c r="X184" s="20"/>
      <c r="Y184" s="20"/>
      <c r="Z184" s="20"/>
      <c r="AA184" s="20"/>
      <c r="AB184" s="20"/>
      <c r="AC184" s="136"/>
      <c r="AD184" s="20"/>
      <c r="AE184" s="20"/>
    </row>
    <row r="185" spans="2:31" x14ac:dyDescent="0.2">
      <c r="B185" s="20" t="s">
        <v>290</v>
      </c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139">
        <f t="shared" si="350"/>
        <v>0</v>
      </c>
      <c r="S185" s="132">
        <f>PV($C$1, ($AB$3-$S$3), 0, -AB102)+PV($C$1, ($AA$3-$S$3), 0, -AB102)+PV($C$1, ($Z$3-$S$3), 0, -AB102)+PV($C$1, ($Y$3-$S$3), 0, -AB102)+PV($C$1, ($X$3-$S$3), 0, -AB102)+PV($C$1, ($W$3-$S$3), 0, -AB102)+PV($C$1, ($V$3-$S$3), 0, -AB102)+PV($C$1, ($U$3-$S$3), 0, -AB102)+PV($C$1, ($T$3-$S$3), 0, -AB102)+PV($C$1, ($S$3-$S$3), 0, -AB102)</f>
        <v>0</v>
      </c>
      <c r="T185" s="132">
        <f>PV($C$1, ($AB$3-$S$3), 0, -AE102)</f>
        <v>0</v>
      </c>
      <c r="U185" s="20"/>
      <c r="V185" s="20"/>
      <c r="W185" s="20"/>
      <c r="X185" s="20"/>
      <c r="Y185" s="20"/>
      <c r="Z185" s="20"/>
      <c r="AA185" s="20"/>
      <c r="AB185" s="20"/>
      <c r="AC185" s="136"/>
      <c r="AD185" s="20"/>
      <c r="AE185" s="20"/>
    </row>
    <row r="186" spans="2:31" x14ac:dyDescent="0.2"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139"/>
      <c r="S186" s="132"/>
      <c r="T186" s="132"/>
      <c r="U186" s="20"/>
      <c r="V186" s="20"/>
      <c r="W186" s="20"/>
      <c r="X186" s="20"/>
      <c r="Y186" s="20"/>
      <c r="Z186" s="20"/>
      <c r="AA186" s="20"/>
      <c r="AB186" s="20"/>
      <c r="AC186" s="136"/>
      <c r="AD186" s="20"/>
      <c r="AE186" s="20"/>
    </row>
    <row r="187" spans="2:31" x14ac:dyDescent="0.2">
      <c r="B187" s="20" t="s">
        <v>299</v>
      </c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139">
        <f>S187+T187</f>
        <v>0</v>
      </c>
      <c r="S187" s="132">
        <f>PV($C$1, ($AB$3-$S$3), 0, -AB103)+PV($C$1, ($AA$3-$S$3), 0, -AB103)+PV($C$1, ($Z$3-$S$3), 0, -AB103)+PV($C$1, ($Y$3-$S$3), 0, -AB103)+PV($C$1, ($X$3-$S$3), 0, -AB103)+PV($C$1, ($W$3-$S$3), 0, -AB103)+PV($C$1, ($V$3-$S$3), 0, -AB103)+PV($C$1, ($U$3-$S$3), 0, -AB103)+PV($C$1, ($T$3-$S$3), 0, -AB103)+PV($C$1, ($S$3-$S$3), 0, -AB103)</f>
        <v>0</v>
      </c>
      <c r="T187" s="132">
        <f>PV($C$1, ($AB$3-$S$3), 0, -AE103)</f>
        <v>0</v>
      </c>
      <c r="U187" s="20"/>
      <c r="V187" s="20"/>
      <c r="W187" s="20"/>
      <c r="X187" s="20"/>
      <c r="Y187" s="20"/>
      <c r="Z187" s="20"/>
      <c r="AA187" s="20"/>
      <c r="AB187" s="20"/>
      <c r="AC187" s="136"/>
      <c r="AD187" s="20"/>
      <c r="AE187" s="20"/>
    </row>
    <row r="188" spans="2:31" x14ac:dyDescent="0.2"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188">
        <v>41729</v>
      </c>
      <c r="Q188" s="184">
        <v>620</v>
      </c>
      <c r="R188" s="184"/>
      <c r="S188" s="184"/>
      <c r="T188" s="20"/>
      <c r="U188" s="20"/>
      <c r="V188" s="20"/>
      <c r="W188" s="20"/>
      <c r="X188" s="20"/>
      <c r="Y188" s="20"/>
      <c r="Z188" s="20"/>
      <c r="AA188" s="20"/>
      <c r="AB188" s="20"/>
      <c r="AC188" s="136"/>
      <c r="AD188" s="20"/>
      <c r="AE188" s="20"/>
    </row>
    <row r="189" spans="2:31" x14ac:dyDescent="0.2">
      <c r="B189" s="108" t="s">
        <v>251</v>
      </c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185" t="s">
        <v>395</v>
      </c>
      <c r="Q189" s="184">
        <v>800</v>
      </c>
      <c r="R189" s="184" t="s">
        <v>396</v>
      </c>
      <c r="S189" s="185" t="s">
        <v>397</v>
      </c>
      <c r="T189" s="20"/>
      <c r="U189" s="20"/>
      <c r="V189" s="20"/>
      <c r="W189" s="20"/>
      <c r="X189" s="20"/>
      <c r="Y189" s="20"/>
      <c r="Z189" s="20"/>
      <c r="AA189" s="20"/>
      <c r="AB189" s="20"/>
      <c r="AC189" s="136"/>
      <c r="AD189" s="20"/>
      <c r="AE189" s="20"/>
    </row>
    <row r="190" spans="2:31" x14ac:dyDescent="0.2">
      <c r="B190" s="20" t="s">
        <v>204</v>
      </c>
      <c r="C190" s="22">
        <v>0</v>
      </c>
      <c r="D190" s="22">
        <v>0</v>
      </c>
      <c r="E190" s="22">
        <v>0</v>
      </c>
      <c r="F190" s="22">
        <v>0</v>
      </c>
      <c r="G190" s="195">
        <v>380</v>
      </c>
      <c r="H190" s="195">
        <v>300</v>
      </c>
      <c r="I190" s="195">
        <v>230</v>
      </c>
      <c r="J190" s="195">
        <v>420</v>
      </c>
      <c r="K190" s="195">
        <v>537</v>
      </c>
      <c r="L190" s="195">
        <v>230</v>
      </c>
      <c r="M190" s="195">
        <v>720</v>
      </c>
      <c r="N190" s="195">
        <v>465</v>
      </c>
      <c r="O190" s="195">
        <v>511</v>
      </c>
      <c r="P190" s="195">
        <v>600</v>
      </c>
      <c r="Q190" s="118">
        <f t="shared" ref="Q190:Q195" si="351">((P190/G190)^(1/($H$2-$H$1) ))-1</f>
        <v>5.206082765695208E-2</v>
      </c>
      <c r="R190" s="31">
        <f>L2-3%</f>
        <v>0.12</v>
      </c>
      <c r="S190" s="119">
        <f t="shared" ref="S190" si="352">P190*(1+$R190)</f>
        <v>672.00000000000011</v>
      </c>
      <c r="T190" s="119">
        <f t="shared" ref="T190:AB190" si="353">S190*(1+$R190)</f>
        <v>752.64000000000021</v>
      </c>
      <c r="U190" s="119">
        <f t="shared" si="353"/>
        <v>842.95680000000027</v>
      </c>
      <c r="V190" s="119">
        <f t="shared" si="353"/>
        <v>944.11161600000037</v>
      </c>
      <c r="W190" s="119">
        <f t="shared" si="353"/>
        <v>1057.4050099200006</v>
      </c>
      <c r="X190" s="119">
        <f t="shared" si="353"/>
        <v>1184.2936111104007</v>
      </c>
      <c r="Y190" s="119">
        <f t="shared" si="353"/>
        <v>1326.4088444436488</v>
      </c>
      <c r="Z190" s="119">
        <f t="shared" si="353"/>
        <v>1485.5779057768868</v>
      </c>
      <c r="AA190" s="119">
        <f t="shared" si="353"/>
        <v>1663.8472544701135</v>
      </c>
      <c r="AB190" s="119">
        <f t="shared" si="353"/>
        <v>1863.5089250065273</v>
      </c>
      <c r="AC190" s="137">
        <f t="shared" ref="AC190:AC195" si="354">((AB190/G190)^(1/($AB$3-$H$1) ))-1</f>
        <v>8.7288076055793251E-2</v>
      </c>
      <c r="AD190" s="31">
        <v>0.08</v>
      </c>
      <c r="AE190" s="126">
        <f t="shared" ref="AE190:AE196" si="355">(AB190*(1+AC190))/($C$1-AD190)</f>
        <v>14472.650241308189</v>
      </c>
    </row>
    <row r="191" spans="2:31" x14ac:dyDescent="0.2">
      <c r="B191" s="20" t="s">
        <v>394</v>
      </c>
      <c r="C191" s="25" t="e">
        <f t="shared" ref="C191:P191" si="356">C190/C77</f>
        <v>#DIV/0!</v>
      </c>
      <c r="D191" s="25" t="e">
        <f t="shared" si="356"/>
        <v>#DIV/0!</v>
      </c>
      <c r="E191" s="25" t="e">
        <f t="shared" si="356"/>
        <v>#DIV/0!</v>
      </c>
      <c r="F191" s="25" t="e">
        <f t="shared" si="356"/>
        <v>#DIV/0!</v>
      </c>
      <c r="G191" s="25">
        <f t="shared" si="356"/>
        <v>1.9424398625429555</v>
      </c>
      <c r="H191" s="25">
        <f t="shared" si="356"/>
        <v>2.1113013698630136</v>
      </c>
      <c r="I191" s="25">
        <f t="shared" si="356"/>
        <v>2.3886394101876673</v>
      </c>
      <c r="J191" s="25">
        <f t="shared" si="356"/>
        <v>3.159446366782007</v>
      </c>
      <c r="K191" s="25">
        <f t="shared" si="356"/>
        <v>2.4104493942946466</v>
      </c>
      <c r="L191" s="25">
        <f t="shared" si="356"/>
        <v>1.1069210416376549</v>
      </c>
      <c r="M191" s="25">
        <f t="shared" si="356"/>
        <v>2.6906280193236718</v>
      </c>
      <c r="N191" s="25">
        <f t="shared" si="356"/>
        <v>3.0974918640390525</v>
      </c>
      <c r="O191" s="25">
        <f t="shared" si="356"/>
        <v>2.9085689618074233</v>
      </c>
      <c r="P191" s="25">
        <f t="shared" si="356"/>
        <v>2.8087523510971786</v>
      </c>
      <c r="Q191" s="118">
        <f t="shared" ref="Q191" si="357">((P191/G191)^(1/($H$2-$H$1) ))-1</f>
        <v>4.1828436970992477E-2</v>
      </c>
      <c r="R191" s="127"/>
      <c r="S191" s="25">
        <f t="shared" ref="S191:AB191" si="358">S190/S77</f>
        <v>2.79019016164645</v>
      </c>
      <c r="T191" s="25">
        <f t="shared" si="358"/>
        <v>2.7717506440564383</v>
      </c>
      <c r="U191" s="25">
        <f t="shared" si="358"/>
        <v>2.753432987626153</v>
      </c>
      <c r="V191" s="25">
        <f t="shared" si="358"/>
        <v>2.7352363870122764</v>
      </c>
      <c r="W191" s="25">
        <f t="shared" si="358"/>
        <v>2.7171600421937612</v>
      </c>
      <c r="X191" s="25">
        <f t="shared" si="358"/>
        <v>2.6992031584366547</v>
      </c>
      <c r="Y191" s="25">
        <f t="shared" si="358"/>
        <v>2.6813649462591607</v>
      </c>
      <c r="Z191" s="25">
        <f t="shared" si="358"/>
        <v>2.6636446213969265</v>
      </c>
      <c r="AA191" s="25">
        <f t="shared" si="358"/>
        <v>2.6460414047685648</v>
      </c>
      <c r="AB191" s="25">
        <f t="shared" si="358"/>
        <v>2.6285545224413998</v>
      </c>
      <c r="AC191" s="137">
        <f t="shared" ref="AC191" si="359">((AB191/G191)^(1/($AB$3-$H$1) ))-1</f>
        <v>1.6047892475979486E-2</v>
      </c>
      <c r="AD191" s="31">
        <v>0.08</v>
      </c>
      <c r="AE191" s="126">
        <f t="shared" ref="AE191" si="360">(AB191*(1+AC191))/($C$1-AD191)</f>
        <v>19.076694877034203</v>
      </c>
    </row>
    <row r="192" spans="2:31" x14ac:dyDescent="0.2">
      <c r="B192" s="20" t="s">
        <v>42</v>
      </c>
      <c r="C192" s="25" t="e">
        <f t="shared" ref="C192:P192" si="361">C190/C80</f>
        <v>#DIV/0!</v>
      </c>
      <c r="D192" s="25" t="e">
        <f t="shared" si="361"/>
        <v>#DIV/0!</v>
      </c>
      <c r="E192" s="25" t="e">
        <f t="shared" si="361"/>
        <v>#DIV/0!</v>
      </c>
      <c r="F192" s="25" t="e">
        <f t="shared" si="361"/>
        <v>#DIV/0!</v>
      </c>
      <c r="G192" s="25">
        <f t="shared" si="361"/>
        <v>11.282435129740518</v>
      </c>
      <c r="H192" s="25">
        <f t="shared" si="361"/>
        <v>19.067010309278349</v>
      </c>
      <c r="I192" s="25">
        <f t="shared" si="361"/>
        <v>13.473913043478259</v>
      </c>
      <c r="J192" s="25">
        <f t="shared" si="361"/>
        <v>26.137786259541983</v>
      </c>
      <c r="K192" s="25">
        <f t="shared" si="361"/>
        <v>19.316304801670146</v>
      </c>
      <c r="L192" s="25">
        <f t="shared" si="361"/>
        <v>12.191411042944786</v>
      </c>
      <c r="M192" s="25">
        <f t="shared" si="361"/>
        <v>18.887113790504898</v>
      </c>
      <c r="N192" s="25">
        <f t="shared" si="361"/>
        <v>21.838403441682601</v>
      </c>
      <c r="O192" s="25">
        <f t="shared" si="361"/>
        <v>20.459031297297297</v>
      </c>
      <c r="P192" s="25">
        <f t="shared" si="361"/>
        <v>20.32649727767695</v>
      </c>
      <c r="Q192" s="118">
        <f t="shared" si="351"/>
        <v>6.7595251505785381E-2</v>
      </c>
      <c r="R192" s="127"/>
      <c r="S192" s="119">
        <f t="shared" ref="S192:AB192" si="362">S190/S80</f>
        <v>20.192165643494047</v>
      </c>
      <c r="T192" s="119">
        <f t="shared" si="362"/>
        <v>20.058721766197916</v>
      </c>
      <c r="U192" s="119">
        <f t="shared" si="362"/>
        <v>19.926159778873483</v>
      </c>
      <c r="V192" s="119">
        <f t="shared" si="362"/>
        <v>19.794473853378324</v>
      </c>
      <c r="W192" s="119">
        <f t="shared" si="362"/>
        <v>19.663658200086438</v>
      </c>
      <c r="X192" s="119">
        <f t="shared" si="362"/>
        <v>19.533707067633692</v>
      </c>
      <c r="Y192" s="119">
        <f t="shared" si="362"/>
        <v>19.404614742664982</v>
      </c>
      <c r="Z192" s="119">
        <f t="shared" si="362"/>
        <v>19.276375549583026</v>
      </c>
      <c r="AA192" s="119">
        <f t="shared" si="362"/>
        <v>19.148983850298833</v>
      </c>
      <c r="AB192" s="119">
        <f t="shared" si="362"/>
        <v>19.022434043983814</v>
      </c>
      <c r="AC192" s="137">
        <f t="shared" si="354"/>
        <v>2.7874686057941522E-2</v>
      </c>
      <c r="AD192" s="31">
        <v>0.08</v>
      </c>
      <c r="AE192" s="126">
        <f t="shared" si="355"/>
        <v>139.66198872155545</v>
      </c>
    </row>
    <row r="193" spans="2:48" x14ac:dyDescent="0.2">
      <c r="B193" s="20" t="s">
        <v>259</v>
      </c>
      <c r="C193" s="25" t="e">
        <f t="shared" ref="C193:P193" si="363">C190/C82</f>
        <v>#DIV/0!</v>
      </c>
      <c r="D193" s="25" t="e">
        <f t="shared" si="363"/>
        <v>#DIV/0!</v>
      </c>
      <c r="E193" s="25" t="e">
        <f t="shared" si="363"/>
        <v>#DIV/0!</v>
      </c>
      <c r="F193" s="25" t="e">
        <f t="shared" si="363"/>
        <v>#DIV/0!</v>
      </c>
      <c r="G193" s="25">
        <f t="shared" si="363"/>
        <v>1.9226190476190479</v>
      </c>
      <c r="H193" s="25">
        <f t="shared" si="363"/>
        <v>2.7542814594192109</v>
      </c>
      <c r="I193" s="25">
        <f t="shared" si="363"/>
        <v>3.6571062083119545</v>
      </c>
      <c r="J193" s="25">
        <f t="shared" si="363"/>
        <v>4.6665076660988074</v>
      </c>
      <c r="K193" s="25">
        <f t="shared" si="363"/>
        <v>3.3774447891951085</v>
      </c>
      <c r="L193" s="25">
        <f t="shared" si="363"/>
        <v>1.268155711550734</v>
      </c>
      <c r="M193" s="25">
        <f t="shared" si="363"/>
        <v>3.2904293028751477</v>
      </c>
      <c r="N193" s="25">
        <f t="shared" si="363"/>
        <v>3.2343265055691899</v>
      </c>
      <c r="O193" s="25">
        <f t="shared" si="363"/>
        <v>3.020686983240223</v>
      </c>
      <c r="P193" s="25">
        <f t="shared" si="363"/>
        <v>3.011535358967464</v>
      </c>
      <c r="Q193" s="118">
        <f t="shared" si="351"/>
        <v>5.1126462044544407E-2</v>
      </c>
      <c r="R193" s="127"/>
      <c r="S193" s="119">
        <f t="shared" ref="S193:AB193" si="364">S190/S82</f>
        <v>2.9916330383342888</v>
      </c>
      <c r="T193" s="119">
        <f t="shared" si="364"/>
        <v>2.9718622460809501</v>
      </c>
      <c r="U193" s="119">
        <f t="shared" si="364"/>
        <v>2.9522221129764157</v>
      </c>
      <c r="V193" s="119">
        <f t="shared" si="364"/>
        <v>2.9327117755341372</v>
      </c>
      <c r="W193" s="119">
        <f t="shared" si="364"/>
        <v>2.9133303759740863</v>
      </c>
      <c r="X193" s="119">
        <f t="shared" si="364"/>
        <v>2.89407706218504</v>
      </c>
      <c r="Y193" s="119">
        <f t="shared" si="364"/>
        <v>2.8749509876871215</v>
      </c>
      <c r="Z193" s="119">
        <f t="shared" si="364"/>
        <v>2.8559513115945814</v>
      </c>
      <c r="AA193" s="119">
        <f t="shared" si="364"/>
        <v>2.8370771985788266</v>
      </c>
      <c r="AB193" s="119">
        <f t="shared" si="364"/>
        <v>2.818327818831698</v>
      </c>
      <c r="AC193" s="137">
        <f t="shared" si="354"/>
        <v>2.0333190411468749E-2</v>
      </c>
      <c r="AD193" s="31">
        <v>0.08</v>
      </c>
      <c r="AE193" s="126">
        <f t="shared" si="355"/>
        <v>20.540238678671017</v>
      </c>
    </row>
    <row r="194" spans="2:48" x14ac:dyDescent="0.2">
      <c r="B194" s="20" t="s">
        <v>260</v>
      </c>
      <c r="C194" s="25" t="e">
        <f t="shared" ref="C194:P194" si="365">C190/C91</f>
        <v>#DIV/0!</v>
      </c>
      <c r="D194" s="25" t="e">
        <f t="shared" si="365"/>
        <v>#DIV/0!</v>
      </c>
      <c r="E194" s="25" t="e">
        <f t="shared" si="365"/>
        <v>#DIV/0!</v>
      </c>
      <c r="F194" s="25" t="e">
        <f t="shared" si="365"/>
        <v>#DIV/0!</v>
      </c>
      <c r="G194" s="25">
        <f t="shared" si="365"/>
        <v>0.62648933222499315</v>
      </c>
      <c r="H194" s="25">
        <f t="shared" si="365"/>
        <v>1.367467652495379</v>
      </c>
      <c r="I194" s="25">
        <f t="shared" si="365"/>
        <v>1.4119849445324881</v>
      </c>
      <c r="J194" s="25">
        <f t="shared" si="365"/>
        <v>1.5004601226993866</v>
      </c>
      <c r="K194" s="25">
        <f t="shared" si="365"/>
        <v>1.4722746439653116</v>
      </c>
      <c r="L194" s="25">
        <f t="shared" si="365"/>
        <v>0.59707053256215736</v>
      </c>
      <c r="M194" s="25">
        <f t="shared" si="365"/>
        <v>1.2863477725313077</v>
      </c>
      <c r="N194" s="25">
        <f t="shared" si="365"/>
        <v>1.3154351581695332</v>
      </c>
      <c r="O194" s="25">
        <f t="shared" si="365"/>
        <v>1.1955653515699034</v>
      </c>
      <c r="P194" s="25">
        <f t="shared" si="365"/>
        <v>1.0951573080401886</v>
      </c>
      <c r="Q194" s="118">
        <f t="shared" si="351"/>
        <v>6.4024002615306719E-2</v>
      </c>
      <c r="R194" s="127"/>
      <c r="S194" s="119">
        <f t="shared" ref="S194:AB194" si="366">S190/S91</f>
        <v>1.0879197467000972</v>
      </c>
      <c r="T194" s="119">
        <f t="shared" si="366"/>
        <v>1.0807300162001663</v>
      </c>
      <c r="U194" s="119">
        <f t="shared" si="366"/>
        <v>1.0735878004409307</v>
      </c>
      <c r="V194" s="119">
        <f t="shared" si="366"/>
        <v>1.0664927854119302</v>
      </c>
      <c r="W194" s="119">
        <f t="shared" si="366"/>
        <v>1.0594446591779039</v>
      </c>
      <c r="X194" s="119">
        <f t="shared" si="366"/>
        <v>1.0524431118650759</v>
      </c>
      <c r="Y194" s="119">
        <f t="shared" si="366"/>
        <v>1.0454878356475328</v>
      </c>
      <c r="Z194" s="119">
        <f t="shared" si="366"/>
        <v>1.0385785247336887</v>
      </c>
      <c r="AA194" s="119">
        <f t="shared" si="366"/>
        <v>1.0317148753528402</v>
      </c>
      <c r="AB194" s="119">
        <f t="shared" si="366"/>
        <v>1.0248965857418131</v>
      </c>
      <c r="AC194" s="137">
        <f t="shared" si="354"/>
        <v>2.6244544361503586E-2</v>
      </c>
      <c r="AD194" s="31">
        <v>0.08</v>
      </c>
      <c r="AE194" s="126">
        <f t="shared" si="355"/>
        <v>7.5128180689447683</v>
      </c>
    </row>
    <row r="195" spans="2:48" x14ac:dyDescent="0.2">
      <c r="B195" s="20" t="s">
        <v>261</v>
      </c>
      <c r="C195" s="25" t="e">
        <f t="shared" ref="C195:P195" si="367">C190/C93</f>
        <v>#DIV/0!</v>
      </c>
      <c r="D195" s="25" t="e">
        <f t="shared" si="367"/>
        <v>#DIV/0!</v>
      </c>
      <c r="E195" s="25" t="e">
        <f t="shared" si="367"/>
        <v>#DIV/0!</v>
      </c>
      <c r="F195" s="25" t="e">
        <f t="shared" si="367"/>
        <v>#DIV/0!</v>
      </c>
      <c r="G195" s="25" t="e">
        <f t="shared" si="367"/>
        <v>#DIV/0!</v>
      </c>
      <c r="H195" s="25" t="e">
        <f t="shared" si="367"/>
        <v>#DIV/0!</v>
      </c>
      <c r="I195" s="25" t="e">
        <f t="shared" si="367"/>
        <v>#DIV/0!</v>
      </c>
      <c r="J195" s="25" t="e">
        <f t="shared" si="367"/>
        <v>#DIV/0!</v>
      </c>
      <c r="K195" s="25" t="e">
        <f t="shared" si="367"/>
        <v>#DIV/0!</v>
      </c>
      <c r="L195" s="25" t="e">
        <f t="shared" si="367"/>
        <v>#DIV/0!</v>
      </c>
      <c r="M195" s="25" t="e">
        <f t="shared" si="367"/>
        <v>#DIV/0!</v>
      </c>
      <c r="N195" s="25" t="e">
        <f t="shared" si="367"/>
        <v>#DIV/0!</v>
      </c>
      <c r="O195" s="25" t="e">
        <f t="shared" si="367"/>
        <v>#DIV/0!</v>
      </c>
      <c r="P195" s="25" t="e">
        <f t="shared" si="367"/>
        <v>#DIV/0!</v>
      </c>
      <c r="Q195" s="118" t="e">
        <f t="shared" si="351"/>
        <v>#DIV/0!</v>
      </c>
      <c r="R195" s="127"/>
      <c r="S195" s="119" t="e">
        <f t="shared" ref="S195:AB195" si="368">S190/S93</f>
        <v>#DIV/0!</v>
      </c>
      <c r="T195" s="119" t="e">
        <f t="shared" si="368"/>
        <v>#DIV/0!</v>
      </c>
      <c r="U195" s="119" t="e">
        <f t="shared" si="368"/>
        <v>#DIV/0!</v>
      </c>
      <c r="V195" s="119" t="e">
        <f t="shared" si="368"/>
        <v>#DIV/0!</v>
      </c>
      <c r="W195" s="119" t="e">
        <f t="shared" si="368"/>
        <v>#DIV/0!</v>
      </c>
      <c r="X195" s="119" t="e">
        <f t="shared" si="368"/>
        <v>#DIV/0!</v>
      </c>
      <c r="Y195" s="119" t="e">
        <f t="shared" si="368"/>
        <v>#DIV/0!</v>
      </c>
      <c r="Z195" s="119" t="e">
        <f t="shared" si="368"/>
        <v>#DIV/0!</v>
      </c>
      <c r="AA195" s="119" t="e">
        <f t="shared" si="368"/>
        <v>#DIV/0!</v>
      </c>
      <c r="AB195" s="119" t="e">
        <f t="shared" si="368"/>
        <v>#DIV/0!</v>
      </c>
      <c r="AC195" s="137" t="e">
        <f t="shared" si="354"/>
        <v>#DIV/0!</v>
      </c>
      <c r="AD195" s="31">
        <v>0.08</v>
      </c>
      <c r="AE195" s="126" t="e">
        <f t="shared" si="355"/>
        <v>#DIV/0!</v>
      </c>
    </row>
    <row r="196" spans="2:48" x14ac:dyDescent="0.2">
      <c r="B196" s="20" t="s">
        <v>282</v>
      </c>
      <c r="C196" s="25" t="e">
        <f>C192/C140</f>
        <v>#DIV/0!</v>
      </c>
      <c r="D196" s="25" t="e">
        <f>D192/D140</f>
        <v>#DIV/0!</v>
      </c>
      <c r="E196" s="25" t="e">
        <f>E192/E140</f>
        <v>#DIV/0!</v>
      </c>
      <c r="F196" s="25" t="e">
        <f>F192/F140</f>
        <v>#DIV/0!</v>
      </c>
      <c r="G196" s="25">
        <f t="shared" ref="G196:P196" si="369">G190/G87</f>
        <v>-0.37138633377135349</v>
      </c>
      <c r="H196" s="25">
        <f t="shared" si="369"/>
        <v>-0.60798816568047342</v>
      </c>
      <c r="I196" s="25">
        <f t="shared" si="369"/>
        <v>-0.77847313237221483</v>
      </c>
      <c r="J196" s="25">
        <f t="shared" si="369"/>
        <v>-0.83589868782422938</v>
      </c>
      <c r="K196" s="25">
        <f t="shared" si="369"/>
        <v>-0.89908755223010395</v>
      </c>
      <c r="L196" s="25">
        <f t="shared" si="369"/>
        <v>-0.43512152397635212</v>
      </c>
      <c r="M196" s="25">
        <f t="shared" si="369"/>
        <v>-0.90353653700565995</v>
      </c>
      <c r="N196" s="25">
        <f t="shared" si="369"/>
        <v>-0.892605699846302</v>
      </c>
      <c r="O196" s="25">
        <f t="shared" si="369"/>
        <v>-0.71792882966616078</v>
      </c>
      <c r="P196" s="25">
        <f t="shared" si="369"/>
        <v>-0.62837826465060176</v>
      </c>
      <c r="Q196" s="118">
        <f t="shared" ref="Q196" si="370">((P196/G196)^(1/($H$2-$H$1) ))-1</f>
        <v>6.0174242108643972E-2</v>
      </c>
      <c r="R196" s="127"/>
      <c r="S196" s="134">
        <f t="shared" ref="S196:AB196" si="371">S190/S87</f>
        <v>-0.62422550394508491</v>
      </c>
      <c r="T196" s="134">
        <f t="shared" si="371"/>
        <v>-0.62010018757118701</v>
      </c>
      <c r="U196" s="134">
        <f t="shared" si="371"/>
        <v>-0.61600213415767313</v>
      </c>
      <c r="V196" s="134">
        <f t="shared" si="371"/>
        <v>-0.61193116353193566</v>
      </c>
      <c r="W196" s="134">
        <f t="shared" si="371"/>
        <v>-0.60788709671207264</v>
      </c>
      <c r="X196" s="134">
        <f t="shared" si="371"/>
        <v>-0.60386975589901892</v>
      </c>
      <c r="Y196" s="134">
        <f t="shared" si="371"/>
        <v>-0.59987896446872979</v>
      </c>
      <c r="Z196" s="134">
        <f t="shared" si="371"/>
        <v>-0.59591454696441493</v>
      </c>
      <c r="AA196" s="134">
        <f t="shared" si="371"/>
        <v>-0.59197632908882414</v>
      </c>
      <c r="AB196" s="134">
        <f t="shared" si="371"/>
        <v>-0.58806413769658517</v>
      </c>
      <c r="AC196" s="137">
        <f t="shared" ref="AC196" si="372">((AB196/G196)^(1/($AB$3-$H$1) ))-1</f>
        <v>2.4484043952337942E-2</v>
      </c>
      <c r="AD196" s="31">
        <v>0.08</v>
      </c>
      <c r="AE196" s="126">
        <f t="shared" si="355"/>
        <v>-4.3033023277910143</v>
      </c>
    </row>
    <row r="197" spans="2:48" x14ac:dyDescent="0.2">
      <c r="B197" s="183" t="s">
        <v>381</v>
      </c>
      <c r="C197" s="161" t="e">
        <f t="shared" ref="C197:P197" si="373">C80/C190</f>
        <v>#DIV/0!</v>
      </c>
      <c r="D197" s="161" t="e">
        <f t="shared" si="373"/>
        <v>#DIV/0!</v>
      </c>
      <c r="E197" s="161" t="e">
        <f t="shared" si="373"/>
        <v>#DIV/0!</v>
      </c>
      <c r="F197" s="161" t="e">
        <f t="shared" si="373"/>
        <v>#DIV/0!</v>
      </c>
      <c r="G197" s="161">
        <f t="shared" si="373"/>
        <v>8.8633348076072538E-2</v>
      </c>
      <c r="H197" s="161">
        <f t="shared" si="373"/>
        <v>5.2446607191132741E-2</v>
      </c>
      <c r="I197" s="161">
        <f t="shared" si="373"/>
        <v>7.4217489512746052E-2</v>
      </c>
      <c r="J197" s="161">
        <f t="shared" si="373"/>
        <v>3.8258787108833112E-2</v>
      </c>
      <c r="K197" s="161">
        <f t="shared" si="373"/>
        <v>5.1769735995962171E-2</v>
      </c>
      <c r="L197" s="161">
        <f t="shared" si="373"/>
        <v>8.202495974235105E-2</v>
      </c>
      <c r="M197" s="161">
        <f t="shared" si="373"/>
        <v>5.2946152127421875E-2</v>
      </c>
      <c r="N197" s="161">
        <f t="shared" si="373"/>
        <v>4.5790893215724576E-2</v>
      </c>
      <c r="O197" s="161">
        <f t="shared" si="373"/>
        <v>4.8878169521745791E-2</v>
      </c>
      <c r="P197" s="161">
        <f t="shared" si="373"/>
        <v>4.9196867829177052E-2</v>
      </c>
      <c r="Q197" s="127"/>
      <c r="R197" s="127"/>
      <c r="S197" s="134"/>
      <c r="T197" s="134"/>
      <c r="U197" s="134"/>
      <c r="V197" s="134"/>
      <c r="W197" s="134"/>
      <c r="X197" s="134"/>
      <c r="Y197" s="134"/>
      <c r="Z197" s="134"/>
      <c r="AA197" s="134"/>
      <c r="AB197" s="134"/>
      <c r="AC197" s="137"/>
      <c r="AD197" s="31"/>
      <c r="AE197" s="126"/>
    </row>
    <row r="198" spans="2:48" x14ac:dyDescent="0.2">
      <c r="B198" s="20" t="s">
        <v>321</v>
      </c>
      <c r="C198" s="152" t="e">
        <f t="shared" ref="C198:P198" si="374">C71/C190</f>
        <v>#DIV/0!</v>
      </c>
      <c r="D198" s="152" t="e">
        <f t="shared" si="374"/>
        <v>#DIV/0!</v>
      </c>
      <c r="E198" s="152" t="e">
        <f t="shared" si="374"/>
        <v>#DIV/0!</v>
      </c>
      <c r="F198" s="152" t="e">
        <f t="shared" si="374"/>
        <v>#DIV/0!</v>
      </c>
      <c r="G198" s="152">
        <f t="shared" si="374"/>
        <v>6.3157894736842104E-3</v>
      </c>
      <c r="H198" s="152">
        <f t="shared" si="374"/>
        <v>4.1666666666666666E-3</v>
      </c>
      <c r="I198" s="152">
        <f t="shared" si="374"/>
        <v>2.6086956521739128E-3</v>
      </c>
      <c r="J198" s="152">
        <f t="shared" si="374"/>
        <v>1.6666666666666666E-3</v>
      </c>
      <c r="K198" s="152">
        <f t="shared" si="374"/>
        <v>1.3966480446927375E-3</v>
      </c>
      <c r="L198" s="152">
        <f t="shared" si="374"/>
        <v>3.2608695652173911E-3</v>
      </c>
      <c r="M198" s="152">
        <f t="shared" si="374"/>
        <v>1.1805555555555556E-3</v>
      </c>
      <c r="N198" s="152">
        <f t="shared" si="374"/>
        <v>1.0752688172043011E-3</v>
      </c>
      <c r="O198" s="152">
        <f t="shared" si="374"/>
        <v>1.1741682974559687E-3</v>
      </c>
      <c r="P198" s="152">
        <f t="shared" si="374"/>
        <v>1.1666666666666665E-3</v>
      </c>
      <c r="Q198" s="127"/>
      <c r="R198" s="127"/>
      <c r="S198" s="134"/>
      <c r="T198" s="134"/>
      <c r="U198" s="134"/>
      <c r="V198" s="134"/>
      <c r="W198" s="134"/>
      <c r="X198" s="134"/>
      <c r="Y198" s="134"/>
      <c r="Z198" s="134"/>
      <c r="AA198" s="134"/>
      <c r="AB198" s="134"/>
      <c r="AC198" s="137"/>
      <c r="AD198" s="31"/>
      <c r="AE198" s="126"/>
    </row>
    <row r="199" spans="2:48" x14ac:dyDescent="0.2">
      <c r="B199" s="20"/>
      <c r="C199" s="152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27"/>
      <c r="R199" s="127"/>
      <c r="S199" s="134"/>
      <c r="T199" s="134"/>
      <c r="U199" s="134"/>
      <c r="V199" s="134"/>
      <c r="W199" s="134"/>
      <c r="X199" s="134"/>
      <c r="Y199" s="134"/>
      <c r="Z199" s="134"/>
      <c r="AA199" s="134"/>
      <c r="AB199" s="134"/>
      <c r="AC199" s="137"/>
      <c r="AD199" s="31"/>
      <c r="AE199" s="126"/>
    </row>
    <row r="200" spans="2:48" x14ac:dyDescent="0.2">
      <c r="B200" s="20"/>
      <c r="C200" s="128"/>
      <c r="D200" s="128"/>
      <c r="E200" s="128"/>
      <c r="F200" s="128"/>
      <c r="G200" s="134"/>
      <c r="H200" s="134"/>
      <c r="I200" s="134"/>
      <c r="J200" s="134"/>
      <c r="K200" s="134"/>
      <c r="L200" s="134"/>
      <c r="M200" s="134"/>
      <c r="N200" s="134"/>
      <c r="O200" s="134"/>
      <c r="P200" s="134"/>
      <c r="Q200" s="127"/>
      <c r="R200" s="127"/>
      <c r="S200" s="134"/>
      <c r="T200" s="134"/>
      <c r="U200" s="134"/>
      <c r="V200" s="134"/>
      <c r="W200" s="134"/>
      <c r="X200" s="134"/>
      <c r="Y200" s="134"/>
      <c r="Z200" s="134"/>
      <c r="AA200" s="134"/>
      <c r="AB200" s="134"/>
      <c r="AC200" s="136"/>
      <c r="AD200" s="20"/>
      <c r="AE200" s="126"/>
    </row>
    <row r="201" spans="2:48" x14ac:dyDescent="0.2">
      <c r="B201" s="108" t="s">
        <v>302</v>
      </c>
      <c r="C201" s="20"/>
      <c r="D201" s="20"/>
      <c r="E201" s="20"/>
      <c r="F201" s="20"/>
      <c r="G201" s="20"/>
      <c r="H201" s="20"/>
      <c r="I201" s="20"/>
      <c r="J201" s="20"/>
      <c r="K201" s="233" t="s">
        <v>352</v>
      </c>
      <c r="L201" s="234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136"/>
      <c r="AD201" s="20"/>
      <c r="AE201" s="20"/>
    </row>
    <row r="202" spans="2:48" x14ac:dyDescent="0.2">
      <c r="B202" s="20" t="s">
        <v>300</v>
      </c>
      <c r="C202" s="20" t="s">
        <v>315</v>
      </c>
      <c r="D202" s="20"/>
      <c r="E202" s="20"/>
      <c r="F202" s="20"/>
      <c r="G202" s="20"/>
      <c r="H202" s="20"/>
      <c r="I202" s="20"/>
      <c r="J202" s="20"/>
      <c r="K202" s="20" t="s">
        <v>353</v>
      </c>
      <c r="L202" s="22">
        <v>1</v>
      </c>
      <c r="M202" s="20"/>
      <c r="N202" s="20"/>
      <c r="O202" s="20"/>
      <c r="P202" s="127">
        <f>(P190-R178)/P190</f>
        <v>0.9889438675740797</v>
      </c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136"/>
      <c r="AD202" s="20"/>
      <c r="AE202" s="20"/>
    </row>
    <row r="203" spans="2:48" x14ac:dyDescent="0.2">
      <c r="B203" s="20" t="s">
        <v>350</v>
      </c>
      <c r="C203" s="20" t="s">
        <v>315</v>
      </c>
      <c r="D203" s="20"/>
      <c r="E203" s="20"/>
      <c r="F203" s="20"/>
      <c r="G203" s="20"/>
      <c r="H203" s="20"/>
      <c r="I203" s="20"/>
      <c r="J203" s="20"/>
      <c r="K203" s="167">
        <f>L202</f>
        <v>1</v>
      </c>
      <c r="L203" s="20"/>
      <c r="M203" s="127">
        <f>(P190-(K203*R169))/P190</f>
        <v>7.3303535289859445</v>
      </c>
      <c r="N203" s="20"/>
      <c r="O203" s="20"/>
      <c r="P203" s="127">
        <f>(P190-R169)/P190</f>
        <v>7.3303535289859445</v>
      </c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136"/>
      <c r="AD203" s="20"/>
      <c r="AE203" s="20"/>
    </row>
    <row r="204" spans="2:48" x14ac:dyDescent="0.2">
      <c r="B204" s="20" t="s">
        <v>351</v>
      </c>
      <c r="C204" s="20" t="s">
        <v>315</v>
      </c>
      <c r="D204" s="20"/>
      <c r="E204" s="20"/>
      <c r="F204" s="20"/>
      <c r="G204" s="20"/>
      <c r="H204" s="20"/>
      <c r="I204" s="20"/>
      <c r="J204" s="20"/>
      <c r="K204" s="167">
        <f>L202</f>
        <v>1</v>
      </c>
      <c r="L204" s="20"/>
      <c r="M204" s="127">
        <f>(P190-(K203*R162))/P190</f>
        <v>-0.35559103609039255</v>
      </c>
      <c r="N204" s="20"/>
      <c r="O204" s="20"/>
      <c r="P204" s="127">
        <f>(P190-R162)/P190</f>
        <v>-0.35559103609039255</v>
      </c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136"/>
      <c r="AD204" s="20"/>
      <c r="AE204" s="20"/>
    </row>
    <row r="205" spans="2:48" x14ac:dyDescent="0.2">
      <c r="B205" s="20" t="s">
        <v>354</v>
      </c>
      <c r="C205" s="20" t="s">
        <v>315</v>
      </c>
      <c r="D205" s="20"/>
      <c r="E205" s="20"/>
      <c r="F205" s="20"/>
      <c r="G205" s="20"/>
      <c r="H205" s="20"/>
      <c r="I205" s="20"/>
      <c r="J205" s="20"/>
      <c r="K205" s="167">
        <f>L202</f>
        <v>1</v>
      </c>
      <c r="L205" s="20"/>
      <c r="M205" s="127">
        <f>(P190-(K203*R175))/P190</f>
        <v>1</v>
      </c>
      <c r="N205" s="20"/>
      <c r="O205" s="20"/>
      <c r="P205" s="127">
        <f>(P190-R175)/P190</f>
        <v>1</v>
      </c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136"/>
      <c r="AD205" s="20"/>
      <c r="AE205" s="20"/>
    </row>
    <row r="206" spans="2:48" x14ac:dyDescent="0.2">
      <c r="B206" s="20" t="s">
        <v>301</v>
      </c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5">
        <f>P190/R161</f>
        <v>5.1099120706513892</v>
      </c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136"/>
      <c r="AD206" s="20"/>
      <c r="AE206" s="20"/>
    </row>
    <row r="207" spans="2:48" x14ac:dyDescent="0.2">
      <c r="B207" s="20" t="s">
        <v>381</v>
      </c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152">
        <f>1/P206</f>
        <v>0.19569808368004352</v>
      </c>
      <c r="Q207" s="20"/>
      <c r="R207" s="20"/>
      <c r="S207" s="219" t="s">
        <v>11</v>
      </c>
      <c r="T207" s="219" t="s">
        <v>12</v>
      </c>
      <c r="U207" s="219" t="s">
        <v>13</v>
      </c>
      <c r="V207" s="219" t="s">
        <v>14</v>
      </c>
      <c r="W207" s="219" t="s">
        <v>15</v>
      </c>
      <c r="X207" s="219" t="s">
        <v>234</v>
      </c>
      <c r="Y207" s="219" t="s">
        <v>235</v>
      </c>
      <c r="Z207" s="219" t="s">
        <v>236</v>
      </c>
      <c r="AA207" s="219" t="s">
        <v>237</v>
      </c>
      <c r="AB207" s="219" t="s">
        <v>238</v>
      </c>
      <c r="AC207" s="219" t="s">
        <v>415</v>
      </c>
      <c r="AD207" s="219" t="s">
        <v>416</v>
      </c>
      <c r="AE207" s="219" t="s">
        <v>417</v>
      </c>
      <c r="AF207" s="219" t="s">
        <v>418</v>
      </c>
      <c r="AG207" s="219" t="s">
        <v>419</v>
      </c>
      <c r="AH207" s="219" t="s">
        <v>420</v>
      </c>
      <c r="AI207" s="219" t="s">
        <v>421</v>
      </c>
      <c r="AJ207" s="219" t="s">
        <v>422</v>
      </c>
      <c r="AK207" s="219" t="s">
        <v>423</v>
      </c>
      <c r="AL207" s="219" t="s">
        <v>424</v>
      </c>
      <c r="AM207" s="219" t="s">
        <v>425</v>
      </c>
      <c r="AN207" s="219" t="s">
        <v>426</v>
      </c>
      <c r="AO207" s="219" t="s">
        <v>427</v>
      </c>
      <c r="AP207" s="219" t="s">
        <v>428</v>
      </c>
      <c r="AQ207" s="219" t="s">
        <v>429</v>
      </c>
      <c r="AR207" s="219" t="s">
        <v>430</v>
      </c>
      <c r="AS207" s="219" t="s">
        <v>431</v>
      </c>
      <c r="AT207" s="219" t="s">
        <v>432</v>
      </c>
      <c r="AU207" s="219" t="s">
        <v>433</v>
      </c>
      <c r="AV207" s="219" t="s">
        <v>434</v>
      </c>
    </row>
    <row r="208" spans="2:48" x14ac:dyDescent="0.2"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5"/>
      <c r="Q208" s="20"/>
      <c r="R208" s="20"/>
      <c r="S208" s="20">
        <f>$P$190-S209</f>
        <v>574.47152673908329</v>
      </c>
      <c r="T208" s="214">
        <f t="shared" ref="T208:AE208" si="375">$P$190-T209</f>
        <v>573.19510307603741</v>
      </c>
      <c r="U208" s="214">
        <f t="shared" si="375"/>
        <v>571.85485822983935</v>
      </c>
      <c r="V208" s="214">
        <f t="shared" si="375"/>
        <v>570.44760114133123</v>
      </c>
      <c r="W208" s="214">
        <f t="shared" si="375"/>
        <v>568.96998119839782</v>
      </c>
      <c r="X208" s="214">
        <f t="shared" si="375"/>
        <v>567.41848025831769</v>
      </c>
      <c r="Y208" s="214">
        <f t="shared" si="375"/>
        <v>565.78940427123359</v>
      </c>
      <c r="Z208" s="214">
        <f t="shared" si="375"/>
        <v>564.07887448479528</v>
      </c>
      <c r="AA208" s="214">
        <f t="shared" si="375"/>
        <v>562.2828182090351</v>
      </c>
      <c r="AB208" s="214">
        <f t="shared" si="375"/>
        <v>560.39695911948684</v>
      </c>
      <c r="AC208" s="214">
        <f t="shared" si="375"/>
        <v>558.41680707546118</v>
      </c>
      <c r="AD208" s="214">
        <f t="shared" si="375"/>
        <v>556.33764742923427</v>
      </c>
      <c r="AE208" s="214">
        <f t="shared" si="375"/>
        <v>554.15452980069597</v>
      </c>
      <c r="AF208" s="218">
        <f t="shared" ref="AF208" si="376">$P$190-AF209</f>
        <v>551.86225629073078</v>
      </c>
      <c r="AG208" s="218">
        <f t="shared" ref="AG208" si="377">$P$190-AG209</f>
        <v>549.45536910526721</v>
      </c>
      <c r="AH208" s="218">
        <f t="shared" ref="AH208" si="378">$P$190-AH209</f>
        <v>546.92813756053067</v>
      </c>
      <c r="AI208" s="218">
        <f t="shared" ref="AI208" si="379">$P$190-AI209</f>
        <v>544.2745444385572</v>
      </c>
      <c r="AJ208" s="218">
        <f t="shared" ref="AJ208" si="380">$P$190-AJ209</f>
        <v>541.488271660485</v>
      </c>
      <c r="AK208" s="218">
        <f t="shared" ref="AK208" si="381">$P$190-AK209</f>
        <v>538.56268524350924</v>
      </c>
      <c r="AL208" s="218">
        <f t="shared" ref="AL208" si="382">$P$190-AL209</f>
        <v>535.49081950568473</v>
      </c>
      <c r="AM208" s="218">
        <f t="shared" ref="AM208" si="383">$P$190-AM209</f>
        <v>532.26536048096898</v>
      </c>
      <c r="AN208" s="218">
        <f t="shared" ref="AN208" si="384">$P$190-AN209</f>
        <v>528.87862850501733</v>
      </c>
      <c r="AO208" s="218">
        <f t="shared" ref="AO208" si="385">$P$190-AO209</f>
        <v>525.3225599302682</v>
      </c>
      <c r="AP208" s="218">
        <f t="shared" ref="AP208" si="386">$P$190-AP209</f>
        <v>521.58868792678163</v>
      </c>
      <c r="AQ208" s="218">
        <f t="shared" ref="AQ208" si="387">$P$190-AQ209</f>
        <v>517.66812232312077</v>
      </c>
      <c r="AR208" s="218">
        <f t="shared" ref="AR208" si="388">$P$190-AR209</f>
        <v>513.55152843927681</v>
      </c>
      <c r="AS208" s="218">
        <f t="shared" ref="AS208" si="389">$P$190-AS209</f>
        <v>509.22910486124061</v>
      </c>
      <c r="AT208" s="218">
        <f t="shared" ref="AT208" si="390">$P$190-AT209</f>
        <v>504.69056010430268</v>
      </c>
      <c r="AU208" s="218">
        <f t="shared" ref="AU208" si="391">$P$190-AU209</f>
        <v>499.92508810951779</v>
      </c>
      <c r="AV208" s="218">
        <f t="shared" ref="AV208" si="392">$P$190-AV209</f>
        <v>494.92134251499363</v>
      </c>
    </row>
    <row r="209" spans="2:48" s="187" customFormat="1" x14ac:dyDescent="0.2">
      <c r="B209" s="189" t="s">
        <v>398</v>
      </c>
      <c r="C209" s="189"/>
      <c r="D209" s="189"/>
      <c r="E209" s="189"/>
      <c r="F209" s="189"/>
      <c r="G209" s="189"/>
      <c r="H209" s="189"/>
      <c r="I209" s="189"/>
      <c r="J209" s="189"/>
      <c r="K209" s="190">
        <f>P1</f>
        <v>0.05</v>
      </c>
      <c r="L209" s="184"/>
      <c r="M209" s="184">
        <f>P190/(Q160*(1+K209)^L209)</f>
        <v>24.678326571315576</v>
      </c>
      <c r="N209" s="184"/>
      <c r="O209" s="184"/>
      <c r="P209" s="186">
        <f>P190/Q160</f>
        <v>24.678326571315576</v>
      </c>
      <c r="Q209" s="184"/>
      <c r="R209" s="184"/>
      <c r="S209" s="184">
        <f>Q160*(1+$K$209)</f>
        <v>25.528473260916709</v>
      </c>
      <c r="T209" s="214">
        <f>S209*(1+$K$209)</f>
        <v>26.804896923962545</v>
      </c>
      <c r="U209" s="214">
        <f t="shared" ref="U209:AE209" si="393">T209*(1+$K$209)</f>
        <v>28.145141770160674</v>
      </c>
      <c r="V209" s="214">
        <f t="shared" si="393"/>
        <v>29.55239885866871</v>
      </c>
      <c r="W209" s="214">
        <f t="shared" si="393"/>
        <v>31.030018801602147</v>
      </c>
      <c r="X209" s="214">
        <f t="shared" si="393"/>
        <v>32.581519741682257</v>
      </c>
      <c r="Y209" s="214">
        <f t="shared" si="393"/>
        <v>34.210595728766371</v>
      </c>
      <c r="Z209" s="214">
        <f t="shared" si="393"/>
        <v>35.921125515204693</v>
      </c>
      <c r="AA209" s="214">
        <f t="shared" si="393"/>
        <v>37.717181790964929</v>
      </c>
      <c r="AB209" s="214">
        <f t="shared" si="393"/>
        <v>39.603040880513177</v>
      </c>
      <c r="AC209" s="214">
        <f t="shared" si="393"/>
        <v>41.583192924538835</v>
      </c>
      <c r="AD209" s="214">
        <f t="shared" si="393"/>
        <v>43.662352570765776</v>
      </c>
      <c r="AE209" s="214">
        <f t="shared" si="393"/>
        <v>45.845470199304067</v>
      </c>
      <c r="AF209" s="218">
        <f t="shared" ref="AF209:AV209" si="394">AE209*(1+$K$209)</f>
        <v>48.137743709269273</v>
      </c>
      <c r="AG209" s="218">
        <f t="shared" si="394"/>
        <v>50.544630894732741</v>
      </c>
      <c r="AH209" s="218">
        <f t="shared" si="394"/>
        <v>53.071862439469378</v>
      </c>
      <c r="AI209" s="218">
        <f t="shared" si="394"/>
        <v>55.72545556144285</v>
      </c>
      <c r="AJ209" s="218">
        <f t="shared" si="394"/>
        <v>58.511728339514995</v>
      </c>
      <c r="AK209" s="218">
        <f t="shared" si="394"/>
        <v>61.43731475649075</v>
      </c>
      <c r="AL209" s="218">
        <f t="shared" si="394"/>
        <v>64.509180494315288</v>
      </c>
      <c r="AM209" s="218">
        <f t="shared" si="394"/>
        <v>67.734639519031049</v>
      </c>
      <c r="AN209" s="218">
        <f t="shared" si="394"/>
        <v>71.121371494982611</v>
      </c>
      <c r="AO209" s="218">
        <f t="shared" si="394"/>
        <v>74.677440069731745</v>
      </c>
      <c r="AP209" s="218">
        <f t="shared" si="394"/>
        <v>78.41131207321834</v>
      </c>
      <c r="AQ209" s="218">
        <f t="shared" si="394"/>
        <v>82.331877676879259</v>
      </c>
      <c r="AR209" s="218">
        <f t="shared" si="394"/>
        <v>86.44847156072322</v>
      </c>
      <c r="AS209" s="218">
        <f t="shared" si="394"/>
        <v>90.770895138759386</v>
      </c>
      <c r="AT209" s="218">
        <f t="shared" si="394"/>
        <v>95.309439895697352</v>
      </c>
      <c r="AU209" s="218">
        <f t="shared" si="394"/>
        <v>100.07491189048223</v>
      </c>
      <c r="AV209" s="218">
        <f t="shared" si="394"/>
        <v>105.07865748500635</v>
      </c>
    </row>
    <row r="210" spans="2:48" s="187" customFormat="1" x14ac:dyDescent="0.2">
      <c r="B210" s="189" t="s">
        <v>399</v>
      </c>
      <c r="C210" s="189"/>
      <c r="D210" s="189"/>
      <c r="E210" s="189"/>
      <c r="F210" s="189"/>
      <c r="G210" s="189"/>
      <c r="H210" s="189"/>
      <c r="I210" s="189"/>
      <c r="J210" s="189"/>
      <c r="K210" s="190">
        <f>P1</f>
        <v>0.05</v>
      </c>
      <c r="L210" s="184"/>
      <c r="M210" s="184">
        <f>P190/(P80*(1+K210)^L210)</f>
        <v>20.32649727767695</v>
      </c>
      <c r="N210" s="184"/>
      <c r="O210" s="184"/>
      <c r="P210" s="186">
        <f>P190/P80</f>
        <v>20.32649727767695</v>
      </c>
      <c r="Q210" s="184"/>
      <c r="R210" s="184"/>
      <c r="S210" s="215">
        <f>P80*(1+$K$210)</f>
        <v>30.994026732381542</v>
      </c>
      <c r="T210" s="184">
        <f>S210*(1+$K$210)</f>
        <v>32.543728069000622</v>
      </c>
      <c r="U210" s="214">
        <f t="shared" ref="U210:AE210" si="395">T210*(1+$K$210)</f>
        <v>34.170914472450654</v>
      </c>
      <c r="V210" s="214">
        <f t="shared" si="395"/>
        <v>35.87946019607319</v>
      </c>
      <c r="W210" s="214">
        <f t="shared" si="395"/>
        <v>37.673433205876847</v>
      </c>
      <c r="X210" s="214">
        <f t="shared" si="395"/>
        <v>39.55710486617069</v>
      </c>
      <c r="Y210" s="214">
        <f t="shared" si="395"/>
        <v>41.534960109479229</v>
      </c>
      <c r="Z210" s="214">
        <f t="shared" si="395"/>
        <v>43.611708114953196</v>
      </c>
      <c r="AA210" s="214">
        <f t="shared" si="395"/>
        <v>45.792293520700859</v>
      </c>
      <c r="AB210" s="214">
        <f t="shared" si="395"/>
        <v>48.081908196735903</v>
      </c>
      <c r="AC210" s="214">
        <f t="shared" si="395"/>
        <v>50.486003606572702</v>
      </c>
      <c r="AD210" s="214">
        <f t="shared" si="395"/>
        <v>53.010303786901339</v>
      </c>
      <c r="AE210" s="214">
        <f t="shared" si="395"/>
        <v>55.660818976246411</v>
      </c>
      <c r="AF210" s="218">
        <f t="shared" ref="AF210:AV210" si="396">AE210*(1+$K$210)</f>
        <v>58.443859925058732</v>
      </c>
      <c r="AG210" s="218">
        <f t="shared" si="396"/>
        <v>61.36605292131167</v>
      </c>
      <c r="AH210" s="218">
        <f t="shared" si="396"/>
        <v>64.434355567377253</v>
      </c>
      <c r="AI210" s="218">
        <f t="shared" si="396"/>
        <v>67.656073345746123</v>
      </c>
      <c r="AJ210" s="218">
        <f t="shared" si="396"/>
        <v>71.038877013033428</v>
      </c>
      <c r="AK210" s="218">
        <f t="shared" si="396"/>
        <v>74.590820863685096</v>
      </c>
      <c r="AL210" s="218">
        <f t="shared" si="396"/>
        <v>78.320361906869351</v>
      </c>
      <c r="AM210" s="218">
        <f t="shared" si="396"/>
        <v>82.236380002212826</v>
      </c>
      <c r="AN210" s="218">
        <f t="shared" si="396"/>
        <v>86.348199002323469</v>
      </c>
      <c r="AO210" s="218">
        <f t="shared" si="396"/>
        <v>90.665608952439641</v>
      </c>
      <c r="AP210" s="218">
        <f t="shared" si="396"/>
        <v>95.198889400061631</v>
      </c>
      <c r="AQ210" s="218">
        <f t="shared" si="396"/>
        <v>99.958833870064723</v>
      </c>
      <c r="AR210" s="218">
        <f t="shared" si="396"/>
        <v>104.95677556356796</v>
      </c>
      <c r="AS210" s="218">
        <f t="shared" si="396"/>
        <v>110.20461434174636</v>
      </c>
      <c r="AT210" s="218">
        <f t="shared" si="396"/>
        <v>115.71484505883369</v>
      </c>
      <c r="AU210" s="218">
        <f t="shared" si="396"/>
        <v>121.50058731177538</v>
      </c>
      <c r="AV210" s="218">
        <f t="shared" si="396"/>
        <v>127.57561667736415</v>
      </c>
    </row>
    <row r="211" spans="2:48" x14ac:dyDescent="0.2"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15">
        <f>$P$190-S210</f>
        <v>569.0059732676184</v>
      </c>
      <c r="T211" s="215">
        <f t="shared" ref="T211:AE211" si="397">$P$190-T210</f>
        <v>567.45627193099938</v>
      </c>
      <c r="U211" s="215">
        <f t="shared" si="397"/>
        <v>565.8290855275493</v>
      </c>
      <c r="V211" s="215">
        <f t="shared" si="397"/>
        <v>564.12053980392682</v>
      </c>
      <c r="W211" s="215">
        <f t="shared" si="397"/>
        <v>562.32656679412321</v>
      </c>
      <c r="X211" s="215">
        <f t="shared" si="397"/>
        <v>560.44289513382932</v>
      </c>
      <c r="Y211" s="215">
        <f t="shared" si="397"/>
        <v>558.46503989052076</v>
      </c>
      <c r="Z211" s="215">
        <f t="shared" si="397"/>
        <v>556.38829188504678</v>
      </c>
      <c r="AA211" s="215">
        <f t="shared" si="397"/>
        <v>554.20770647929919</v>
      </c>
      <c r="AB211" s="215">
        <f t="shared" si="397"/>
        <v>551.91809180326413</v>
      </c>
      <c r="AC211" s="215">
        <f t="shared" si="397"/>
        <v>549.51399639342731</v>
      </c>
      <c r="AD211" s="215">
        <f t="shared" si="397"/>
        <v>546.98969621309868</v>
      </c>
      <c r="AE211" s="215">
        <f t="shared" si="397"/>
        <v>544.33918102375355</v>
      </c>
      <c r="AF211" s="220">
        <f t="shared" ref="AF211" si="398">$P$190-AF210</f>
        <v>541.55614007494125</v>
      </c>
      <c r="AG211" s="220">
        <f t="shared" ref="AG211" si="399">$P$190-AG210</f>
        <v>538.63394707868838</v>
      </c>
      <c r="AH211" s="220">
        <f t="shared" ref="AH211" si="400">$P$190-AH210</f>
        <v>535.56564443262278</v>
      </c>
      <c r="AI211" s="220">
        <f t="shared" ref="AI211" si="401">$P$190-AI210</f>
        <v>532.34392665425389</v>
      </c>
      <c r="AJ211" s="220">
        <f t="shared" ref="AJ211" si="402">$P$190-AJ210</f>
        <v>528.96112298696653</v>
      </c>
      <c r="AK211" s="220">
        <f t="shared" ref="AK211" si="403">$P$190-AK210</f>
        <v>525.40917913631495</v>
      </c>
      <c r="AL211" s="220">
        <f t="shared" ref="AL211" si="404">$P$190-AL210</f>
        <v>521.67963809313062</v>
      </c>
      <c r="AM211" s="220">
        <f t="shared" ref="AM211" si="405">$P$190-AM210</f>
        <v>517.76361999778715</v>
      </c>
      <c r="AN211" s="220">
        <f t="shared" ref="AN211" si="406">$P$190-AN210</f>
        <v>513.65180099767656</v>
      </c>
      <c r="AO211" s="220">
        <f t="shared" ref="AO211" si="407">$P$190-AO210</f>
        <v>509.33439104756036</v>
      </c>
      <c r="AP211" s="220">
        <f t="shared" ref="AP211" si="408">$P$190-AP210</f>
        <v>504.8011105999384</v>
      </c>
      <c r="AQ211" s="220">
        <f t="shared" ref="AQ211" si="409">$P$190-AQ210</f>
        <v>500.04116612993528</v>
      </c>
      <c r="AR211" s="220">
        <f t="shared" ref="AR211" si="410">$P$190-AR210</f>
        <v>495.04322443643207</v>
      </c>
      <c r="AS211" s="220">
        <f t="shared" ref="AS211" si="411">$P$190-AS210</f>
        <v>489.79538565825362</v>
      </c>
      <c r="AT211" s="220">
        <f t="shared" ref="AT211" si="412">$P$190-AT210</f>
        <v>484.2851549411663</v>
      </c>
      <c r="AU211" s="220">
        <f t="shared" ref="AU211" si="413">$P$190-AU210</f>
        <v>478.49941268822465</v>
      </c>
      <c r="AV211" s="220">
        <f t="shared" ref="AV211" si="414">$P$190-AV210</f>
        <v>472.42438332263583</v>
      </c>
    </row>
    <row r="212" spans="2:48" x14ac:dyDescent="0.2">
      <c r="B212" s="108" t="s">
        <v>303</v>
      </c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</row>
    <row r="213" spans="2:48" x14ac:dyDescent="0.2">
      <c r="B213" s="20" t="s">
        <v>306</v>
      </c>
      <c r="C213" s="25" t="e">
        <f t="shared" ref="C213:P213" si="415">C10/C7</f>
        <v>#DIV/0!</v>
      </c>
      <c r="D213" s="25" t="e">
        <f t="shared" si="415"/>
        <v>#DIV/0!</v>
      </c>
      <c r="E213" s="25" t="e">
        <f t="shared" si="415"/>
        <v>#DIV/0!</v>
      </c>
      <c r="F213" s="25" t="e">
        <f t="shared" si="415"/>
        <v>#DIV/0!</v>
      </c>
      <c r="G213" s="25">
        <f t="shared" si="415"/>
        <v>5.9255663430420711</v>
      </c>
      <c r="H213" s="25">
        <f t="shared" si="415"/>
        <v>5.1331521739130439</v>
      </c>
      <c r="I213" s="25">
        <f t="shared" si="415"/>
        <v>5.0549158547387067</v>
      </c>
      <c r="J213" s="25">
        <f t="shared" si="415"/>
        <v>6.0245323520392517</v>
      </c>
      <c r="K213" s="25">
        <f t="shared" si="415"/>
        <v>4.4991499489969398</v>
      </c>
      <c r="L213" s="25">
        <f t="shared" si="415"/>
        <v>3.762019957665558</v>
      </c>
      <c r="M213" s="25">
        <f t="shared" si="415"/>
        <v>4.4826114249843068</v>
      </c>
      <c r="N213" s="25">
        <f t="shared" si="415"/>
        <v>4.4900445495045007</v>
      </c>
      <c r="O213" s="25">
        <f t="shared" si="415"/>
        <v>5.075763432547352</v>
      </c>
      <c r="P213" s="25">
        <f t="shared" si="415"/>
        <v>5.6698107028230824</v>
      </c>
      <c r="Q213" s="118">
        <f t="shared" ref="Q213:Q215" si="416">((P213/G213)^(1/($H$2-$H$1) ))-1</f>
        <v>-4.8902852435773747E-3</v>
      </c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</row>
    <row r="214" spans="2:48" x14ac:dyDescent="0.2">
      <c r="B214" s="20" t="s">
        <v>307</v>
      </c>
      <c r="C214" s="112" t="e">
        <f>C10/C12</f>
        <v>#DIV/0!</v>
      </c>
      <c r="D214" s="112" t="e">
        <f>D10/D12</f>
        <v>#DIV/0!</v>
      </c>
      <c r="E214" s="112" t="e">
        <f>E10/E12</f>
        <v>#DIV/0!</v>
      </c>
      <c r="F214" s="112" t="e">
        <f>F10/F12</f>
        <v>#DIV/0!</v>
      </c>
      <c r="G214" s="112" t="e">
        <f>G10/G12</f>
        <v>#DIV/0!</v>
      </c>
      <c r="H214" s="112" t="e">
        <f t="shared" ref="H214:P214" si="417">H10/H12</f>
        <v>#DIV/0!</v>
      </c>
      <c r="I214" s="112" t="e">
        <f t="shared" si="417"/>
        <v>#DIV/0!</v>
      </c>
      <c r="J214" s="112" t="e">
        <f t="shared" si="417"/>
        <v>#DIV/0!</v>
      </c>
      <c r="K214" s="112" t="e">
        <f t="shared" si="417"/>
        <v>#DIV/0!</v>
      </c>
      <c r="L214" s="112" t="e">
        <f t="shared" si="417"/>
        <v>#DIV/0!</v>
      </c>
      <c r="M214" s="112" t="e">
        <f t="shared" si="417"/>
        <v>#DIV/0!</v>
      </c>
      <c r="N214" s="112" t="e">
        <f t="shared" si="417"/>
        <v>#DIV/0!</v>
      </c>
      <c r="O214" s="112" t="e">
        <f t="shared" si="417"/>
        <v>#DIV/0!</v>
      </c>
      <c r="P214" s="112" t="e">
        <f t="shared" si="417"/>
        <v>#DIV/0!</v>
      </c>
      <c r="Q214" s="118" t="e">
        <f t="shared" si="416"/>
        <v>#DIV/0!</v>
      </c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</row>
    <row r="215" spans="2:48" x14ac:dyDescent="0.2">
      <c r="B215" s="20" t="s">
        <v>308</v>
      </c>
      <c r="C215" s="25" t="e">
        <f>C10/(C12+C15)</f>
        <v>#DIV/0!</v>
      </c>
      <c r="D215" s="25" t="e">
        <f>D10/(D12+D15)</f>
        <v>#DIV/0!</v>
      </c>
      <c r="E215" s="25" t="e">
        <f>E10/(E12+E15)</f>
        <v>#DIV/0!</v>
      </c>
      <c r="F215" s="25" t="e">
        <f>F10/(F12+F15)</f>
        <v>#DIV/0!</v>
      </c>
      <c r="G215" s="25">
        <f>G10/(G12+G15)</f>
        <v>2.0293710169021888</v>
      </c>
      <c r="H215" s="25">
        <f t="shared" ref="H215:P215" si="418">H10/(H12+H15)</f>
        <v>2.7933456561922365</v>
      </c>
      <c r="I215" s="25">
        <f t="shared" si="418"/>
        <v>2.2610935023771792</v>
      </c>
      <c r="J215" s="25">
        <f t="shared" si="418"/>
        <v>2.1522787028921999</v>
      </c>
      <c r="K215" s="25">
        <f t="shared" si="418"/>
        <v>2.1054976529556848</v>
      </c>
      <c r="L215" s="25">
        <f t="shared" si="418"/>
        <v>1.8690002253436491</v>
      </c>
      <c r="M215" s="25">
        <f t="shared" si="418"/>
        <v>1.832477930609731</v>
      </c>
      <c r="N215" s="25">
        <f t="shared" si="418"/>
        <v>1.8959613022113022</v>
      </c>
      <c r="O215" s="25">
        <f t="shared" si="418"/>
        <v>2.0738833786088824</v>
      </c>
      <c r="P215" s="25">
        <f t="shared" si="418"/>
        <v>2.1160437089006772</v>
      </c>
      <c r="Q215" s="118">
        <f t="shared" si="416"/>
        <v>4.6577324497067973E-3</v>
      </c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</row>
    <row r="216" spans="2:48" x14ac:dyDescent="0.2"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</row>
    <row r="217" spans="2:48" x14ac:dyDescent="0.2"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</row>
    <row r="218" spans="2:48" x14ac:dyDescent="0.2">
      <c r="B218" s="20"/>
      <c r="C218" s="208" t="s">
        <v>400</v>
      </c>
      <c r="D218" s="209"/>
      <c r="E218" s="209"/>
      <c r="F218" s="209"/>
      <c r="G218" s="209"/>
      <c r="H218" s="209"/>
      <c r="I218" s="209"/>
      <c r="J218" s="209"/>
      <c r="K218" s="193"/>
      <c r="L218" s="226" t="s">
        <v>338</v>
      </c>
      <c r="M218" s="227"/>
      <c r="N218" s="228"/>
      <c r="O218" s="196" t="s">
        <v>341</v>
      </c>
      <c r="P218" s="193"/>
      <c r="Q218" s="226" t="s">
        <v>339</v>
      </c>
      <c r="R218" s="227"/>
      <c r="S218" s="228"/>
      <c r="T218" s="196" t="s">
        <v>341</v>
      </c>
      <c r="U218" s="193"/>
      <c r="V218" s="193"/>
      <c r="W218" s="193"/>
      <c r="X218" s="193"/>
      <c r="Y218" s="20"/>
      <c r="Z218" s="20"/>
      <c r="AA218" s="20"/>
      <c r="AB218" s="20"/>
      <c r="AC218" s="20"/>
      <c r="AD218" s="20"/>
      <c r="AE218" s="20"/>
    </row>
    <row r="219" spans="2:48" x14ac:dyDescent="0.2">
      <c r="B219" s="20"/>
      <c r="C219" s="202" t="s">
        <v>340</v>
      </c>
      <c r="D219" s="202" t="s">
        <v>0</v>
      </c>
      <c r="E219" s="202" t="s">
        <v>401</v>
      </c>
      <c r="F219" s="202" t="s">
        <v>402</v>
      </c>
      <c r="G219" s="202" t="s">
        <v>403</v>
      </c>
      <c r="H219" s="202" t="s">
        <v>404</v>
      </c>
      <c r="I219" s="202" t="s">
        <v>405</v>
      </c>
      <c r="J219" s="202" t="s">
        <v>406</v>
      </c>
      <c r="K219" s="193"/>
      <c r="L219" s="202" t="s">
        <v>340</v>
      </c>
      <c r="M219" s="202"/>
      <c r="N219" s="202" t="s">
        <v>0</v>
      </c>
      <c r="O219" s="202" t="s">
        <v>380</v>
      </c>
      <c r="P219" s="193"/>
      <c r="Q219" s="202" t="s">
        <v>340</v>
      </c>
      <c r="R219" s="202"/>
      <c r="S219" s="202" t="s">
        <v>0</v>
      </c>
      <c r="T219" s="202" t="s">
        <v>380</v>
      </c>
      <c r="U219" s="193"/>
      <c r="V219" s="193"/>
      <c r="W219" s="193"/>
      <c r="X219" s="193"/>
      <c r="Y219" s="20"/>
      <c r="Z219" s="20"/>
      <c r="AA219" s="20"/>
      <c r="AB219" s="20"/>
      <c r="AC219" s="20"/>
      <c r="AD219" s="20"/>
      <c r="AE219" s="20"/>
    </row>
    <row r="220" spans="2:48" x14ac:dyDescent="0.2">
      <c r="B220" s="20"/>
      <c r="C220" s="203" t="s">
        <v>342</v>
      </c>
      <c r="D220" s="194">
        <v>380</v>
      </c>
      <c r="E220" s="210" t="s">
        <v>407</v>
      </c>
      <c r="F220" s="195">
        <v>1</v>
      </c>
      <c r="G220" s="195">
        <v>1</v>
      </c>
      <c r="H220" s="216">
        <f>F220/G220</f>
        <v>1</v>
      </c>
      <c r="I220" s="217">
        <f>D221*H220</f>
        <v>1</v>
      </c>
      <c r="J220" s="217">
        <f>SUM(H220:I220)</f>
        <v>2</v>
      </c>
      <c r="K220" s="193"/>
      <c r="L220" s="203" t="s">
        <v>342</v>
      </c>
      <c r="M220" s="203"/>
      <c r="N220" s="194">
        <v>40</v>
      </c>
      <c r="O220" s="207">
        <f>N220</f>
        <v>40</v>
      </c>
      <c r="P220" s="193"/>
      <c r="Q220" s="203" t="s">
        <v>342</v>
      </c>
      <c r="R220" s="203"/>
      <c r="S220" s="194">
        <v>400</v>
      </c>
      <c r="T220" s="207">
        <f>S220</f>
        <v>400</v>
      </c>
      <c r="U220" s="193"/>
      <c r="V220" s="193"/>
      <c r="W220" s="193"/>
      <c r="X220" s="193"/>
      <c r="Y220" s="20"/>
      <c r="Z220" s="20"/>
      <c r="AA220" s="20"/>
      <c r="AB220" s="20"/>
      <c r="AC220" s="20"/>
      <c r="AD220" s="20"/>
      <c r="AE220" s="20"/>
    </row>
    <row r="221" spans="2:48" x14ac:dyDescent="0.2">
      <c r="B221" s="20"/>
      <c r="C221" s="203" t="s">
        <v>343</v>
      </c>
      <c r="D221" s="194">
        <v>1</v>
      </c>
      <c r="E221" s="210" t="s">
        <v>408</v>
      </c>
      <c r="F221" s="195">
        <v>3</v>
      </c>
      <c r="G221" s="195">
        <v>2</v>
      </c>
      <c r="H221" s="216">
        <f>F221/G221</f>
        <v>1.5</v>
      </c>
      <c r="I221" s="217">
        <f>H221*J220</f>
        <v>3</v>
      </c>
      <c r="J221" s="217">
        <f>I221+J220</f>
        <v>5</v>
      </c>
      <c r="K221" s="193"/>
      <c r="L221" s="203" t="s">
        <v>343</v>
      </c>
      <c r="M221" s="203"/>
      <c r="N221" s="194">
        <v>1</v>
      </c>
      <c r="O221" s="207">
        <f>N221</f>
        <v>1</v>
      </c>
      <c r="P221" s="193"/>
      <c r="Q221" s="203" t="s">
        <v>343</v>
      </c>
      <c r="R221" s="203"/>
      <c r="S221" s="194">
        <v>1</v>
      </c>
      <c r="T221" s="207">
        <f>S221</f>
        <v>1</v>
      </c>
      <c r="U221" s="193"/>
      <c r="V221" s="193"/>
      <c r="W221" s="193"/>
      <c r="X221" s="193"/>
      <c r="Y221" s="20"/>
      <c r="Z221" s="20"/>
      <c r="AA221" s="20"/>
      <c r="AB221" s="20"/>
      <c r="AC221" s="20"/>
      <c r="AD221" s="20"/>
      <c r="AE221" s="20"/>
    </row>
    <row r="222" spans="2:48" x14ac:dyDescent="0.2">
      <c r="B222" s="20"/>
      <c r="C222" s="203" t="s">
        <v>345</v>
      </c>
      <c r="D222" s="204">
        <f>D220*D221</f>
        <v>380</v>
      </c>
      <c r="E222" s="210" t="s">
        <v>409</v>
      </c>
      <c r="F222" s="195">
        <v>0</v>
      </c>
      <c r="G222" s="195">
        <v>2</v>
      </c>
      <c r="H222" s="216">
        <f>F222/G222</f>
        <v>0</v>
      </c>
      <c r="I222" s="217">
        <f>H222*J221</f>
        <v>0</v>
      </c>
      <c r="J222" s="217">
        <f>I222+J221</f>
        <v>5</v>
      </c>
      <c r="K222" s="193"/>
      <c r="L222" s="203" t="s">
        <v>344</v>
      </c>
      <c r="M222" s="203"/>
      <c r="N222" s="204">
        <f>N220*N221</f>
        <v>40</v>
      </c>
      <c r="O222" s="207">
        <f>N222</f>
        <v>40</v>
      </c>
      <c r="P222" s="193"/>
      <c r="Q222" s="203" t="s">
        <v>345</v>
      </c>
      <c r="R222" s="203"/>
      <c r="S222" s="204">
        <f>S220*S221</f>
        <v>400</v>
      </c>
      <c r="T222" s="207">
        <f>S222</f>
        <v>400</v>
      </c>
      <c r="U222" s="193"/>
      <c r="V222" s="193"/>
      <c r="W222" s="193"/>
      <c r="X222" s="193"/>
      <c r="Y222" s="20"/>
      <c r="Z222" s="20"/>
      <c r="AA222" s="20"/>
      <c r="AB222" s="20"/>
      <c r="AC222" s="20"/>
      <c r="AD222" s="20"/>
      <c r="AE222" s="20"/>
    </row>
    <row r="223" spans="2:48" x14ac:dyDescent="0.2">
      <c r="B223" s="20"/>
      <c r="C223" s="203"/>
      <c r="D223" s="204"/>
      <c r="E223" s="210" t="s">
        <v>410</v>
      </c>
      <c r="F223" s="195">
        <v>10</v>
      </c>
      <c r="G223" s="195">
        <v>5</v>
      </c>
      <c r="H223" s="216">
        <f>F223/G223</f>
        <v>2</v>
      </c>
      <c r="I223" s="217">
        <f>H223*J222</f>
        <v>10</v>
      </c>
      <c r="J223" s="217">
        <f>I223</f>
        <v>10</v>
      </c>
      <c r="K223" s="193"/>
      <c r="L223" s="203" t="s">
        <v>346</v>
      </c>
      <c r="M223" s="203"/>
      <c r="N223" s="194">
        <v>800</v>
      </c>
      <c r="O223" s="194">
        <v>830</v>
      </c>
      <c r="P223" s="193"/>
      <c r="Q223" s="203" t="s">
        <v>346</v>
      </c>
      <c r="R223" s="203"/>
      <c r="S223" s="194">
        <v>800</v>
      </c>
      <c r="T223" s="194">
        <v>830</v>
      </c>
      <c r="U223" s="193"/>
      <c r="V223" s="193"/>
      <c r="W223" s="193"/>
      <c r="X223" s="193"/>
      <c r="Y223" s="20"/>
      <c r="Z223" s="20"/>
      <c r="AA223" s="20"/>
      <c r="AB223" s="20"/>
      <c r="AC223" s="20"/>
      <c r="AD223" s="20"/>
      <c r="AE223" s="20"/>
    </row>
    <row r="224" spans="2:48" x14ac:dyDescent="0.2">
      <c r="B224" s="20"/>
      <c r="C224" s="203" t="s">
        <v>346</v>
      </c>
      <c r="D224" s="194">
        <v>800</v>
      </c>
      <c r="E224" s="210"/>
      <c r="F224" s="203"/>
      <c r="G224" s="203"/>
      <c r="H224" s="205" t="s">
        <v>411</v>
      </c>
      <c r="I224" s="203"/>
      <c r="J224" s="217">
        <f>J223</f>
        <v>10</v>
      </c>
      <c r="K224" s="193"/>
      <c r="L224" s="203" t="s">
        <v>347</v>
      </c>
      <c r="M224" s="203"/>
      <c r="N224" s="204">
        <f>N223*N221</f>
        <v>800</v>
      </c>
      <c r="O224" s="204">
        <f>O223*O221</f>
        <v>830</v>
      </c>
      <c r="P224" s="193"/>
      <c r="Q224" s="203" t="s">
        <v>343</v>
      </c>
      <c r="R224" s="203"/>
      <c r="S224" s="194">
        <v>10</v>
      </c>
      <c r="T224" s="199">
        <f>S224</f>
        <v>10</v>
      </c>
      <c r="U224" s="193"/>
      <c r="V224" s="193"/>
      <c r="W224" s="193"/>
      <c r="X224" s="193"/>
      <c r="Y224" s="20"/>
      <c r="Z224" s="20"/>
      <c r="AA224" s="20"/>
      <c r="AB224" s="20"/>
      <c r="AC224" s="20"/>
      <c r="AD224" s="20"/>
      <c r="AE224" s="20"/>
    </row>
    <row r="225" spans="2:31" x14ac:dyDescent="0.2">
      <c r="B225" s="20"/>
      <c r="C225" s="203" t="s">
        <v>343</v>
      </c>
      <c r="D225" s="194">
        <v>10</v>
      </c>
      <c r="E225" s="210" t="s">
        <v>410</v>
      </c>
      <c r="F225" s="195">
        <v>10</v>
      </c>
      <c r="G225" s="195">
        <v>2</v>
      </c>
      <c r="H225" s="203">
        <f>F225/G225</f>
        <v>5</v>
      </c>
      <c r="I225" s="211">
        <f>H225*D221</f>
        <v>5</v>
      </c>
      <c r="J225" s="211">
        <f>I225</f>
        <v>5</v>
      </c>
      <c r="K225" s="193"/>
      <c r="L225" s="203"/>
      <c r="M225" s="203"/>
      <c r="N225" s="204"/>
      <c r="O225" s="204"/>
      <c r="P225" s="193"/>
      <c r="Q225" s="203" t="s">
        <v>345</v>
      </c>
      <c r="R225" s="203"/>
      <c r="S225" s="204">
        <f>S223*S224</f>
        <v>8000</v>
      </c>
      <c r="T225" s="204">
        <f>T223*T224</f>
        <v>8300</v>
      </c>
      <c r="U225" s="193"/>
      <c r="V225" s="193"/>
      <c r="W225" s="193"/>
      <c r="X225" s="193"/>
      <c r="Y225" s="20"/>
      <c r="Z225" s="20"/>
      <c r="AA225" s="20"/>
      <c r="AB225" s="20"/>
      <c r="AC225" s="20"/>
      <c r="AD225" s="20"/>
      <c r="AE225" s="20"/>
    </row>
    <row r="226" spans="2:31" x14ac:dyDescent="0.2">
      <c r="B226" s="20"/>
      <c r="C226" s="203" t="s">
        <v>345</v>
      </c>
      <c r="D226" s="204">
        <f>D224*D225</f>
        <v>8000</v>
      </c>
      <c r="E226" s="203"/>
      <c r="F226" s="203"/>
      <c r="G226" s="203"/>
      <c r="H226" s="205" t="s">
        <v>411</v>
      </c>
      <c r="I226" s="203"/>
      <c r="J226" s="217">
        <f>J225</f>
        <v>5</v>
      </c>
      <c r="K226" s="193"/>
      <c r="L226" s="203"/>
      <c r="M226" s="203"/>
      <c r="N226" s="204"/>
      <c r="O226" s="204"/>
      <c r="P226" s="193"/>
      <c r="Q226" s="203"/>
      <c r="R226" s="203"/>
      <c r="S226" s="204"/>
      <c r="T226" s="204"/>
      <c r="U226" s="193"/>
      <c r="V226" s="193"/>
      <c r="W226" s="193"/>
      <c r="X226" s="193"/>
      <c r="Y226" s="20"/>
      <c r="Z226" s="20"/>
      <c r="AA226" s="20"/>
      <c r="AB226" s="20"/>
      <c r="AC226" s="20"/>
      <c r="AD226" s="20"/>
      <c r="AE226" s="20"/>
    </row>
    <row r="227" spans="2:31" x14ac:dyDescent="0.2">
      <c r="B227" s="20"/>
      <c r="C227" s="203"/>
      <c r="D227" s="204"/>
      <c r="E227" s="210" t="s">
        <v>410</v>
      </c>
      <c r="F227" s="195">
        <v>10</v>
      </c>
      <c r="G227" s="195">
        <v>2</v>
      </c>
      <c r="H227" s="203">
        <f>F227/G227</f>
        <v>5</v>
      </c>
      <c r="I227" s="217">
        <f>H227*J226</f>
        <v>25</v>
      </c>
      <c r="J227" s="217">
        <f>I227</f>
        <v>25</v>
      </c>
      <c r="K227" s="193"/>
      <c r="L227" s="205" t="s">
        <v>348</v>
      </c>
      <c r="M227" s="205"/>
      <c r="N227" s="206">
        <f>N224/N222</f>
        <v>20</v>
      </c>
      <c r="O227" s="206">
        <f>O224/O222</f>
        <v>20.75</v>
      </c>
      <c r="P227" s="193"/>
      <c r="Q227" s="205" t="s">
        <v>348</v>
      </c>
      <c r="R227" s="205"/>
      <c r="S227" s="206">
        <f>S225/S222</f>
        <v>20</v>
      </c>
      <c r="T227" s="206">
        <f>T225/T222</f>
        <v>20.75</v>
      </c>
      <c r="U227" s="193"/>
      <c r="V227" s="193"/>
      <c r="W227" s="193"/>
      <c r="X227" s="193"/>
      <c r="Y227" s="20"/>
      <c r="Z227" s="20"/>
      <c r="AA227" s="20"/>
      <c r="AB227" s="20"/>
      <c r="AC227" s="20"/>
      <c r="AD227" s="20"/>
      <c r="AE227" s="20"/>
    </row>
    <row r="228" spans="2:31" x14ac:dyDescent="0.2">
      <c r="B228" s="20"/>
      <c r="C228" s="205" t="s">
        <v>348</v>
      </c>
      <c r="D228" s="206">
        <f>D226/D222</f>
        <v>21.05263157894737</v>
      </c>
      <c r="E228" s="210"/>
      <c r="F228" s="203"/>
      <c r="G228" s="203"/>
      <c r="H228" s="205" t="s">
        <v>411</v>
      </c>
      <c r="I228" s="203"/>
      <c r="J228" s="217">
        <f>J227</f>
        <v>25</v>
      </c>
      <c r="K228" s="193"/>
      <c r="L228" s="193"/>
      <c r="M228" s="193"/>
      <c r="N228" s="193"/>
      <c r="O228" s="193"/>
      <c r="P228" s="193"/>
      <c r="Q228" s="193"/>
      <c r="R228" s="193"/>
      <c r="S228" s="193"/>
      <c r="T228" s="193"/>
      <c r="U228" s="193"/>
      <c r="V228" s="193"/>
      <c r="W228" s="193"/>
      <c r="X228" s="193"/>
      <c r="Y228" s="20"/>
      <c r="Z228" s="20"/>
      <c r="AA228" s="20"/>
      <c r="AB228" s="20"/>
      <c r="AC228" s="20"/>
      <c r="AD228" s="20"/>
      <c r="AE228" s="20"/>
    </row>
    <row r="229" spans="2:31" x14ac:dyDescent="0.2">
      <c r="B229" s="193"/>
      <c r="C229" s="193"/>
      <c r="D229" s="193"/>
      <c r="E229" s="193"/>
      <c r="F229" s="193"/>
      <c r="G229" s="193"/>
      <c r="H229" s="193"/>
      <c r="I229" s="193"/>
      <c r="J229" s="193"/>
      <c r="K229" s="193"/>
      <c r="L229" s="193"/>
      <c r="M229" s="193"/>
      <c r="N229" s="193"/>
      <c r="O229" s="193"/>
      <c r="P229" s="193"/>
      <c r="Q229" s="193"/>
      <c r="R229" s="193"/>
      <c r="S229" s="193"/>
      <c r="T229" s="193"/>
      <c r="U229" s="193"/>
      <c r="V229" s="193"/>
      <c r="W229" s="193"/>
      <c r="X229" s="193"/>
    </row>
    <row r="230" spans="2:31" x14ac:dyDescent="0.2">
      <c r="B230" s="193"/>
      <c r="C230" s="193"/>
      <c r="D230" s="200"/>
      <c r="E230" s="212"/>
      <c r="F230" s="212"/>
      <c r="G230" s="213"/>
      <c r="H230" s="193"/>
      <c r="I230" s="200"/>
      <c r="J230" s="212"/>
      <c r="K230" s="213"/>
      <c r="L230" s="193"/>
      <c r="M230" s="193"/>
      <c r="N230" s="193"/>
      <c r="O230" s="193"/>
      <c r="P230" s="193"/>
      <c r="Q230" s="193"/>
      <c r="R230" s="193"/>
      <c r="S230" s="193"/>
      <c r="T230" s="193"/>
      <c r="U230" s="193"/>
      <c r="V230" s="193"/>
      <c r="W230" s="193"/>
      <c r="X230" s="193"/>
    </row>
    <row r="231" spans="2:31" ht="14.25" x14ac:dyDescent="0.2">
      <c r="B231" s="193"/>
      <c r="C231" s="193"/>
      <c r="D231" s="223" t="s">
        <v>27</v>
      </c>
      <c r="E231" s="224"/>
      <c r="F231" s="224"/>
      <c r="G231" s="225"/>
      <c r="H231" s="193"/>
      <c r="I231" s="223" t="s">
        <v>412</v>
      </c>
      <c r="J231" s="224"/>
      <c r="K231" s="225"/>
      <c r="L231" s="193"/>
      <c r="M231" s="193"/>
      <c r="N231" s="193"/>
      <c r="O231" s="193"/>
      <c r="P231" s="193"/>
      <c r="Q231" s="193"/>
      <c r="R231" s="193"/>
      <c r="S231" s="193"/>
      <c r="T231" s="193"/>
      <c r="U231" s="193"/>
      <c r="V231" s="193"/>
      <c r="W231" s="193"/>
      <c r="X231" s="193"/>
    </row>
    <row r="232" spans="2:31" x14ac:dyDescent="0.2">
      <c r="B232" s="193"/>
      <c r="C232" s="193"/>
      <c r="D232" s="193" t="s">
        <v>28</v>
      </c>
      <c r="E232" s="199"/>
      <c r="F232" s="199"/>
      <c r="G232" s="194">
        <f>D222</f>
        <v>380</v>
      </c>
      <c r="H232" s="193"/>
      <c r="I232" s="193" t="s">
        <v>28</v>
      </c>
      <c r="J232" s="199"/>
      <c r="K232" s="194">
        <f>G232</f>
        <v>380</v>
      </c>
      <c r="L232" s="193"/>
      <c r="M232" s="193"/>
      <c r="N232" s="193"/>
      <c r="O232" s="193"/>
      <c r="P232" s="193"/>
      <c r="Q232" s="193"/>
      <c r="R232" s="193"/>
      <c r="S232" s="193"/>
      <c r="T232" s="193"/>
      <c r="U232" s="193"/>
      <c r="V232" s="193"/>
      <c r="W232" s="193"/>
      <c r="X232" s="193"/>
    </row>
    <row r="233" spans="2:31" x14ac:dyDescent="0.2">
      <c r="B233" s="193"/>
      <c r="C233" s="193"/>
      <c r="D233" s="193" t="s">
        <v>29</v>
      </c>
      <c r="E233" s="199"/>
      <c r="F233" s="199"/>
      <c r="G233" s="194">
        <f>D226</f>
        <v>8000</v>
      </c>
      <c r="H233" s="193"/>
      <c r="I233" s="193" t="s">
        <v>29</v>
      </c>
      <c r="J233" s="193"/>
      <c r="K233" s="194">
        <f>G233</f>
        <v>8000</v>
      </c>
      <c r="L233" s="193"/>
      <c r="M233" s="193"/>
      <c r="N233" s="193"/>
      <c r="O233" s="193"/>
      <c r="P233" s="193"/>
      <c r="Q233" s="193"/>
      <c r="R233" s="193"/>
      <c r="S233" s="193"/>
      <c r="T233" s="193"/>
      <c r="U233" s="193"/>
      <c r="V233" s="193"/>
      <c r="W233" s="193"/>
      <c r="X233" s="193"/>
    </row>
    <row r="234" spans="2:31" x14ac:dyDescent="0.2">
      <c r="B234" s="193"/>
      <c r="C234" s="193"/>
      <c r="D234" s="193" t="s">
        <v>30</v>
      </c>
      <c r="E234" s="193"/>
      <c r="F234" s="193"/>
      <c r="G234" s="195">
        <v>10</v>
      </c>
      <c r="H234" s="193"/>
      <c r="I234" s="193"/>
      <c r="J234" s="193"/>
      <c r="K234" s="193"/>
      <c r="L234" s="193"/>
      <c r="M234" s="193"/>
      <c r="N234" s="193"/>
      <c r="O234" s="193"/>
      <c r="P234" s="193"/>
      <c r="Q234" s="193"/>
      <c r="R234" s="193"/>
      <c r="S234" s="193"/>
      <c r="T234" s="193"/>
      <c r="U234" s="193"/>
      <c r="V234" s="193"/>
      <c r="W234" s="193"/>
      <c r="X234" s="193"/>
    </row>
    <row r="235" spans="2:31" x14ac:dyDescent="0.2">
      <c r="B235" s="193"/>
      <c r="C235" s="193"/>
      <c r="D235" s="196" t="s">
        <v>31</v>
      </c>
      <c r="E235" s="192"/>
      <c r="F235" s="192"/>
      <c r="G235" s="192">
        <f>((G233/G232)^(1/G234))-1</f>
        <v>0.35622154412222584</v>
      </c>
      <c r="H235" s="193"/>
      <c r="I235" s="196" t="s">
        <v>413</v>
      </c>
      <c r="J235" s="196"/>
      <c r="K235" s="222">
        <f>(K233-K232)/K232</f>
        <v>20.05263157894737</v>
      </c>
      <c r="L235" s="193"/>
      <c r="M235" s="193"/>
      <c r="N235" s="193"/>
      <c r="O235" s="193"/>
      <c r="P235" s="193"/>
      <c r="Q235" s="193"/>
      <c r="R235" s="193"/>
      <c r="S235" s="193"/>
      <c r="T235" s="193"/>
      <c r="U235" s="193"/>
      <c r="V235" s="193"/>
      <c r="W235" s="193"/>
      <c r="X235" s="193"/>
    </row>
    <row r="236" spans="2:31" x14ac:dyDescent="0.2">
      <c r="B236" s="193"/>
      <c r="C236" s="193"/>
      <c r="D236" s="196" t="s">
        <v>32</v>
      </c>
      <c r="E236" s="201"/>
      <c r="F236" s="201"/>
      <c r="G236" s="197">
        <f>G234*12</f>
        <v>120</v>
      </c>
      <c r="H236" s="193"/>
      <c r="I236" s="196" t="s">
        <v>414</v>
      </c>
      <c r="J236" s="196"/>
      <c r="K236" s="221">
        <f>K233/K232</f>
        <v>21.05263157894737</v>
      </c>
      <c r="L236" s="193"/>
      <c r="M236" s="193"/>
      <c r="N236" s="193"/>
      <c r="O236" s="193"/>
      <c r="P236" s="193"/>
      <c r="Q236" s="193"/>
      <c r="R236" s="193"/>
      <c r="S236" s="193"/>
      <c r="T236" s="193"/>
      <c r="U236" s="193"/>
      <c r="V236" s="193"/>
      <c r="W236" s="193"/>
      <c r="X236" s="193"/>
    </row>
    <row r="237" spans="2:31" x14ac:dyDescent="0.2">
      <c r="B237" s="193"/>
      <c r="C237" s="193"/>
      <c r="D237" s="193" t="s">
        <v>30</v>
      </c>
      <c r="E237" s="198"/>
      <c r="F237" s="198"/>
      <c r="G237" s="198">
        <f>G236/12</f>
        <v>10</v>
      </c>
      <c r="H237" s="193"/>
      <c r="I237" s="193"/>
      <c r="J237" s="193"/>
      <c r="K237" s="193"/>
      <c r="L237" s="193"/>
      <c r="M237" s="193"/>
      <c r="N237" s="193"/>
      <c r="O237" s="193"/>
      <c r="P237" s="193"/>
      <c r="Q237" s="193"/>
      <c r="R237" s="193"/>
      <c r="S237" s="193"/>
      <c r="T237" s="193"/>
      <c r="U237" s="193"/>
      <c r="V237" s="193"/>
      <c r="W237" s="193"/>
      <c r="X237" s="193"/>
    </row>
    <row r="238" spans="2:31" x14ac:dyDescent="0.2">
      <c r="B238" s="193"/>
      <c r="C238" s="193"/>
      <c r="D238" s="196" t="s">
        <v>33</v>
      </c>
      <c r="E238" s="192"/>
      <c r="F238" s="192"/>
      <c r="G238" s="192">
        <v>0</v>
      </c>
      <c r="H238" s="193"/>
      <c r="I238" s="193"/>
      <c r="J238" s="193"/>
      <c r="K238" s="193"/>
      <c r="L238" s="193"/>
      <c r="M238" s="193"/>
      <c r="N238" s="193"/>
      <c r="O238" s="193"/>
      <c r="P238" s="193"/>
      <c r="Q238" s="193"/>
      <c r="R238" s="193"/>
      <c r="S238" s="193"/>
      <c r="T238" s="193"/>
      <c r="U238" s="193"/>
      <c r="V238" s="193"/>
      <c r="W238" s="193"/>
      <c r="X238" s="193"/>
    </row>
    <row r="239" spans="2:31" x14ac:dyDescent="0.2">
      <c r="B239" s="193"/>
      <c r="C239" s="193"/>
      <c r="D239" s="193"/>
      <c r="E239" s="193"/>
      <c r="F239" s="193"/>
      <c r="G239" s="193"/>
      <c r="H239" s="193"/>
      <c r="I239" s="193"/>
      <c r="J239" s="193"/>
      <c r="K239" s="193"/>
      <c r="L239" s="193"/>
      <c r="M239" s="193"/>
      <c r="N239" s="193"/>
      <c r="O239" s="193"/>
      <c r="P239" s="193"/>
      <c r="Q239" s="193"/>
      <c r="R239" s="193"/>
      <c r="S239" s="193"/>
      <c r="T239" s="193"/>
      <c r="U239" s="193"/>
      <c r="V239" s="193"/>
      <c r="W239" s="193"/>
      <c r="X239" s="193"/>
    </row>
    <row r="240" spans="2:31" ht="15" x14ac:dyDescent="0.25">
      <c r="B240" s="193"/>
      <c r="C240" s="193"/>
      <c r="D240" s="193"/>
      <c r="E240" s="193"/>
      <c r="F240" s="193"/>
      <c r="G240" s="193"/>
      <c r="H240" s="193"/>
      <c r="I240" s="193"/>
      <c r="J240" s="193"/>
      <c r="K240" s="193"/>
      <c r="L240" s="191"/>
      <c r="M240" s="191"/>
      <c r="N240" s="191"/>
      <c r="O240" s="191"/>
      <c r="P240" s="191"/>
      <c r="Q240" s="191"/>
      <c r="R240" s="191"/>
      <c r="S240" s="191"/>
      <c r="T240" s="191"/>
      <c r="U240" s="191"/>
      <c r="V240" s="191"/>
      <c r="W240" s="191"/>
      <c r="X240" s="191"/>
    </row>
  </sheetData>
  <mergeCells count="7">
    <mergeCell ref="D231:G231"/>
    <mergeCell ref="I231:K231"/>
    <mergeCell ref="L218:N218"/>
    <mergeCell ref="Q218:S218"/>
    <mergeCell ref="AD2:AE2"/>
    <mergeCell ref="AD3:AE3"/>
    <mergeCell ref="K201:L201"/>
  </mergeCells>
  <pageMargins left="0.7" right="0.7" top="0.75" bottom="0.75" header="0.3" footer="0.3"/>
  <pageSetup orientation="portrait" r:id="rId1"/>
  <ignoredErrors>
    <ignoredError sqref="C192" evalError="1"/>
    <ignoredError sqref="T52 J226 J224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D1" zoomScale="80" zoomScaleNormal="80" workbookViewId="0">
      <selection activeCell="F33" sqref="F33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35" t="s">
        <v>27</v>
      </c>
      <c r="K5" s="235"/>
      <c r="M5" s="235" t="s">
        <v>65</v>
      </c>
      <c r="N5" s="235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35" t="s">
        <v>36</v>
      </c>
      <c r="K14" s="235"/>
      <c r="L14" s="235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235" t="s">
        <v>27</v>
      </c>
      <c r="S5" s="235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35" t="s">
        <v>36</v>
      </c>
      <c r="S14" s="235"/>
      <c r="T14" s="235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235" t="s">
        <v>27</v>
      </c>
      <c r="C2" s="235"/>
      <c r="E2" s="235" t="s">
        <v>65</v>
      </c>
      <c r="F2" s="235"/>
      <c r="H2" s="239" t="s">
        <v>36</v>
      </c>
      <c r="I2" s="240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36" t="s">
        <v>68</v>
      </c>
      <c r="E10" s="237"/>
      <c r="F10" s="237"/>
      <c r="G10" s="237"/>
      <c r="H10" s="238"/>
      <c r="I10" s="236" t="s">
        <v>72</v>
      </c>
      <c r="J10" s="237"/>
      <c r="K10" s="237"/>
      <c r="L10" s="238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2014-05-02T18:49:04Z</dcterms:modified>
</cp:coreProperties>
</file>
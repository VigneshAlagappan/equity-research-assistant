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K190" i="18"/>
  <c r="K189"/>
  <c r="M193" l="1"/>
  <c r="N193"/>
  <c r="M194"/>
  <c r="N194"/>
  <c r="M195"/>
  <c r="N195"/>
  <c r="M176"/>
  <c r="U205"/>
  <c r="T205"/>
  <c r="U204"/>
  <c r="P201"/>
  <c r="P204" s="1"/>
  <c r="U201"/>
  <c r="U200"/>
  <c r="T202"/>
  <c r="P200"/>
  <c r="O204"/>
  <c r="O207" s="1"/>
  <c r="O202"/>
  <c r="T207" l="1"/>
  <c r="P202"/>
  <c r="P207" s="1"/>
  <c r="U202"/>
  <c r="U207" s="1"/>
  <c r="Q55"/>
  <c r="P55"/>
  <c r="O55"/>
  <c r="N55"/>
  <c r="M55"/>
  <c r="L55"/>
  <c r="K55"/>
  <c r="J55"/>
  <c r="I55"/>
  <c r="H55"/>
  <c r="G55"/>
  <c r="Q53"/>
  <c r="P53"/>
  <c r="O53"/>
  <c r="N53"/>
  <c r="M53"/>
  <c r="L53"/>
  <c r="K53"/>
  <c r="J53"/>
  <c r="I53"/>
  <c r="H53"/>
  <c r="G53"/>
  <c r="Q40"/>
  <c r="P40"/>
  <c r="O40"/>
  <c r="N40"/>
  <c r="M40"/>
  <c r="L40"/>
  <c r="K40"/>
  <c r="J40"/>
  <c r="I40"/>
  <c r="H40"/>
  <c r="G40"/>
  <c r="Q38"/>
  <c r="P38"/>
  <c r="O38"/>
  <c r="N38"/>
  <c r="M38"/>
  <c r="L38"/>
  <c r="K38"/>
  <c r="J38"/>
  <c r="I38"/>
  <c r="H38"/>
  <c r="G38"/>
  <c r="Q36"/>
  <c r="P36"/>
  <c r="O36"/>
  <c r="N36"/>
  <c r="M36"/>
  <c r="L36"/>
  <c r="K36"/>
  <c r="J36"/>
  <c r="I36"/>
  <c r="H36"/>
  <c r="G36"/>
  <c r="Q34"/>
  <c r="P34"/>
  <c r="O34"/>
  <c r="N34"/>
  <c r="M34"/>
  <c r="L34"/>
  <c r="K34"/>
  <c r="J34"/>
  <c r="I34"/>
  <c r="H34"/>
  <c r="G34"/>
  <c r="Q32"/>
  <c r="P32"/>
  <c r="O32"/>
  <c r="N32"/>
  <c r="M32"/>
  <c r="L32"/>
  <c r="K32"/>
  <c r="J32"/>
  <c r="I32"/>
  <c r="H32"/>
  <c r="G32"/>
  <c r="Q30"/>
  <c r="P30"/>
  <c r="O30"/>
  <c r="N30"/>
  <c r="M30"/>
  <c r="L30"/>
  <c r="K30"/>
  <c r="J30"/>
  <c r="I30"/>
  <c r="H30"/>
  <c r="G30"/>
  <c r="Q28"/>
  <c r="P28"/>
  <c r="O28"/>
  <c r="N28"/>
  <c r="M28"/>
  <c r="L28"/>
  <c r="K28"/>
  <c r="J28"/>
  <c r="I28"/>
  <c r="H28"/>
  <c r="G28"/>
  <c r="Q11"/>
  <c r="P11"/>
  <c r="O11"/>
  <c r="N11"/>
  <c r="M11"/>
  <c r="L11"/>
  <c r="K11"/>
  <c r="J11"/>
  <c r="I11"/>
  <c r="H11"/>
  <c r="G11"/>
  <c r="Q8"/>
  <c r="P8"/>
  <c r="O8"/>
  <c r="N8"/>
  <c r="M8"/>
  <c r="L8"/>
  <c r="K8"/>
  <c r="J8"/>
  <c r="I8"/>
  <c r="H8"/>
  <c r="G8"/>
  <c r="M62" l="1"/>
  <c r="M169" s="1"/>
  <c r="M63"/>
  <c r="M65"/>
  <c r="M66"/>
  <c r="M67"/>
  <c r="M171" s="1"/>
  <c r="M68"/>
  <c r="M70"/>
  <c r="M71"/>
  <c r="M72"/>
  <c r="M174" s="1"/>
  <c r="M74"/>
  <c r="M75"/>
  <c r="M77"/>
  <c r="M78"/>
  <c r="M173" s="1"/>
  <c r="M80"/>
  <c r="M82"/>
  <c r="M84" s="1"/>
  <c r="M85"/>
  <c r="M86"/>
  <c r="M87"/>
  <c r="M88"/>
  <c r="M90"/>
  <c r="M91"/>
  <c r="M92"/>
  <c r="M95"/>
  <c r="M96"/>
  <c r="M97"/>
  <c r="M98"/>
  <c r="M99"/>
  <c r="M101"/>
  <c r="M102"/>
  <c r="M104"/>
  <c r="M105"/>
  <c r="M106"/>
  <c r="M107"/>
  <c r="M109"/>
  <c r="M110" s="1"/>
  <c r="M111" s="1"/>
  <c r="M112" s="1"/>
  <c r="M114"/>
  <c r="M115"/>
  <c r="M117"/>
  <c r="M118"/>
  <c r="M119"/>
  <c r="M122"/>
  <c r="M123"/>
  <c r="M124"/>
  <c r="M125"/>
  <c r="M127"/>
  <c r="M128"/>
  <c r="M130"/>
  <c r="M131" s="1"/>
  <c r="M134"/>
  <c r="M51"/>
  <c r="M49"/>
  <c r="M42"/>
  <c r="M170" l="1"/>
  <c r="M177" s="1"/>
  <c r="M178" s="1"/>
  <c r="M175"/>
  <c r="M76"/>
  <c r="M172" s="1"/>
  <c r="G216"/>
  <c r="G217" s="1"/>
  <c r="H207"/>
  <c r="H205"/>
  <c r="I205" s="1"/>
  <c r="J205" s="1"/>
  <c r="J206" s="1"/>
  <c r="H203"/>
  <c r="H202"/>
  <c r="H201"/>
  <c r="H200"/>
  <c r="I200" s="1"/>
  <c r="J200" s="1"/>
  <c r="D206"/>
  <c r="G213" s="1"/>
  <c r="D202"/>
  <c r="AE50"/>
  <c r="S50"/>
  <c r="T50" s="1"/>
  <c r="U50" s="1"/>
  <c r="V50" s="1"/>
  <c r="W50" s="1"/>
  <c r="X50" s="1"/>
  <c r="Y50" s="1"/>
  <c r="Z50" s="1"/>
  <c r="AA50" s="1"/>
  <c r="AB50" s="1"/>
  <c r="AC50" s="1"/>
  <c r="AD50" s="1"/>
  <c r="R50"/>
  <c r="Q51"/>
  <c r="P51"/>
  <c r="O51"/>
  <c r="N51"/>
  <c r="L51"/>
  <c r="K51"/>
  <c r="J51"/>
  <c r="I51"/>
  <c r="H51"/>
  <c r="G51"/>
  <c r="K212" l="1"/>
  <c r="G212"/>
  <c r="G215" s="1"/>
  <c r="K213"/>
  <c r="D208"/>
  <c r="I207"/>
  <c r="J207" s="1"/>
  <c r="J208" s="1"/>
  <c r="I201"/>
  <c r="J201" s="1"/>
  <c r="I202" s="1"/>
  <c r="J202" s="1"/>
  <c r="I203" s="1"/>
  <c r="J203" s="1"/>
  <c r="J204" s="1"/>
  <c r="AF50"/>
  <c r="AD135"/>
  <c r="H134"/>
  <c r="I134"/>
  <c r="J134"/>
  <c r="K134"/>
  <c r="L134"/>
  <c r="N134"/>
  <c r="O134"/>
  <c r="P134"/>
  <c r="Q134"/>
  <c r="G134"/>
  <c r="H130"/>
  <c r="H131" s="1"/>
  <c r="I130"/>
  <c r="I131" s="1"/>
  <c r="J130"/>
  <c r="J131" s="1"/>
  <c r="K130"/>
  <c r="K131" s="1"/>
  <c r="L130"/>
  <c r="L131" s="1"/>
  <c r="N130"/>
  <c r="N131" s="1"/>
  <c r="O130"/>
  <c r="O131" s="1"/>
  <c r="P130"/>
  <c r="P131" s="1"/>
  <c r="Q130"/>
  <c r="G130"/>
  <c r="G131" s="1"/>
  <c r="R135"/>
  <c r="R132"/>
  <c r="H99"/>
  <c r="I99"/>
  <c r="J99"/>
  <c r="K99"/>
  <c r="L99"/>
  <c r="N99"/>
  <c r="O99"/>
  <c r="P99"/>
  <c r="Q99"/>
  <c r="G99"/>
  <c r="AE78"/>
  <c r="T17"/>
  <c r="U17" s="1"/>
  <c r="V17" s="1"/>
  <c r="W17" s="1"/>
  <c r="X17" s="1"/>
  <c r="Y17" s="1"/>
  <c r="Z17" s="1"/>
  <c r="AA17" s="1"/>
  <c r="AB17" s="1"/>
  <c r="AC17" s="1"/>
  <c r="AF17" s="1"/>
  <c r="R17"/>
  <c r="T39"/>
  <c r="U39" s="1"/>
  <c r="V39" s="1"/>
  <c r="W39" s="1"/>
  <c r="X39" s="1"/>
  <c r="Y39" s="1"/>
  <c r="Z39" s="1"/>
  <c r="AA39" s="1"/>
  <c r="AB39" s="1"/>
  <c r="AC39" s="1"/>
  <c r="AF39" s="1"/>
  <c r="R39"/>
  <c r="T33"/>
  <c r="U33" s="1"/>
  <c r="V33" s="1"/>
  <c r="W33" s="1"/>
  <c r="X33" s="1"/>
  <c r="Y33" s="1"/>
  <c r="Z33" s="1"/>
  <c r="AA33" s="1"/>
  <c r="AB33" s="1"/>
  <c r="AC33" s="1"/>
  <c r="AF33" s="1"/>
  <c r="R33"/>
  <c r="T31"/>
  <c r="U31" s="1"/>
  <c r="V31" s="1"/>
  <c r="W31" s="1"/>
  <c r="X31" s="1"/>
  <c r="Y31" s="1"/>
  <c r="Z31" s="1"/>
  <c r="AA31" s="1"/>
  <c r="AB31" s="1"/>
  <c r="AC31" s="1"/>
  <c r="AF31" s="1"/>
  <c r="R31"/>
  <c r="T29"/>
  <c r="U29" s="1"/>
  <c r="V29" s="1"/>
  <c r="W29" s="1"/>
  <c r="X29" s="1"/>
  <c r="Y29" s="1"/>
  <c r="Z29" s="1"/>
  <c r="AA29" s="1"/>
  <c r="AB29" s="1"/>
  <c r="AC29" s="1"/>
  <c r="AF29" s="1"/>
  <c r="R29"/>
  <c r="T27"/>
  <c r="U27" s="1"/>
  <c r="V27" s="1"/>
  <c r="W27" s="1"/>
  <c r="X27" s="1"/>
  <c r="Y27" s="1"/>
  <c r="Z27" s="1"/>
  <c r="AA27" s="1"/>
  <c r="AB27" s="1"/>
  <c r="AC27" s="1"/>
  <c r="AF27" s="1"/>
  <c r="R27"/>
  <c r="T18"/>
  <c r="U18" s="1"/>
  <c r="V18" s="1"/>
  <c r="W18" s="1"/>
  <c r="X18" s="1"/>
  <c r="Y18" s="1"/>
  <c r="Z18" s="1"/>
  <c r="AA18" s="1"/>
  <c r="AB18" s="1"/>
  <c r="AC18" s="1"/>
  <c r="AF18" s="1"/>
  <c r="R18"/>
  <c r="T14"/>
  <c r="U14" s="1"/>
  <c r="V14" s="1"/>
  <c r="W14" s="1"/>
  <c r="X14" s="1"/>
  <c r="Y14" s="1"/>
  <c r="Z14" s="1"/>
  <c r="AA14" s="1"/>
  <c r="AB14" s="1"/>
  <c r="AC14" s="1"/>
  <c r="AF14" s="1"/>
  <c r="R14"/>
  <c r="T13"/>
  <c r="U13" s="1"/>
  <c r="V13" s="1"/>
  <c r="W13" s="1"/>
  <c r="X13" s="1"/>
  <c r="Y13" s="1"/>
  <c r="Z13" s="1"/>
  <c r="AA13" s="1"/>
  <c r="AB13" s="1"/>
  <c r="AC13" s="1"/>
  <c r="AF13" s="1"/>
  <c r="R13"/>
  <c r="K215" l="1"/>
  <c r="K216"/>
  <c r="R130"/>
  <c r="Q131"/>
  <c r="R131" s="1"/>
  <c r="R99"/>
  <c r="R134"/>
  <c r="AD17"/>
  <c r="AD39"/>
  <c r="AD27"/>
  <c r="AD33"/>
  <c r="AD29"/>
  <c r="AD31"/>
  <c r="AD18"/>
  <c r="AD14"/>
  <c r="AD13"/>
  <c r="Q98" l="1"/>
  <c r="Q97"/>
  <c r="C98"/>
  <c r="D98"/>
  <c r="E98"/>
  <c r="F98"/>
  <c r="H98"/>
  <c r="I98"/>
  <c r="J98"/>
  <c r="K98"/>
  <c r="L98"/>
  <c r="N98"/>
  <c r="O98"/>
  <c r="P98"/>
  <c r="G98"/>
  <c r="G97"/>
  <c r="H128"/>
  <c r="I128"/>
  <c r="J128"/>
  <c r="K128"/>
  <c r="L128"/>
  <c r="N128"/>
  <c r="O128"/>
  <c r="P128"/>
  <c r="Q128"/>
  <c r="G128"/>
  <c r="H127"/>
  <c r="I127"/>
  <c r="J127"/>
  <c r="K127"/>
  <c r="L127"/>
  <c r="N127"/>
  <c r="O127"/>
  <c r="P127"/>
  <c r="Q127"/>
  <c r="G127"/>
  <c r="H124"/>
  <c r="I124"/>
  <c r="J124"/>
  <c r="K124"/>
  <c r="L124"/>
  <c r="N124"/>
  <c r="O124"/>
  <c r="P124"/>
  <c r="Q124"/>
  <c r="G124"/>
  <c r="H125"/>
  <c r="I125"/>
  <c r="J125"/>
  <c r="K125"/>
  <c r="L125"/>
  <c r="N125"/>
  <c r="O125"/>
  <c r="P125"/>
  <c r="Q125"/>
  <c r="G125"/>
  <c r="H123"/>
  <c r="I123"/>
  <c r="J123"/>
  <c r="K123"/>
  <c r="L123"/>
  <c r="N123"/>
  <c r="O123"/>
  <c r="P123"/>
  <c r="Q123"/>
  <c r="G123"/>
  <c r="H122"/>
  <c r="I122"/>
  <c r="J122"/>
  <c r="K122"/>
  <c r="L122"/>
  <c r="N122"/>
  <c r="O122"/>
  <c r="P122"/>
  <c r="Q122"/>
  <c r="G122"/>
  <c r="S168"/>
  <c r="H119"/>
  <c r="I119"/>
  <c r="J119"/>
  <c r="K119"/>
  <c r="L119"/>
  <c r="N119"/>
  <c r="O119"/>
  <c r="P119"/>
  <c r="Q119"/>
  <c r="G119"/>
  <c r="H118"/>
  <c r="I118"/>
  <c r="J118"/>
  <c r="K118"/>
  <c r="L118"/>
  <c r="N118"/>
  <c r="O118"/>
  <c r="P118"/>
  <c r="Q118"/>
  <c r="G118"/>
  <c r="H117"/>
  <c r="I117"/>
  <c r="J117"/>
  <c r="K117"/>
  <c r="L117"/>
  <c r="N117"/>
  <c r="O117"/>
  <c r="P117"/>
  <c r="Q117"/>
  <c r="G117"/>
  <c r="B119"/>
  <c r="B118"/>
  <c r="K185"/>
  <c r="K184"/>
  <c r="K183"/>
  <c r="T54"/>
  <c r="AE44"/>
  <c r="S44"/>
  <c r="T44" s="1"/>
  <c r="U44" s="1"/>
  <c r="V44" s="1"/>
  <c r="W44" s="1"/>
  <c r="X44" s="1"/>
  <c r="Y44" s="1"/>
  <c r="Z44" s="1"/>
  <c r="AA44" s="1"/>
  <c r="AB44" s="1"/>
  <c r="AC44" s="1"/>
  <c r="R44"/>
  <c r="G107"/>
  <c r="H107"/>
  <c r="I107"/>
  <c r="J107"/>
  <c r="K107"/>
  <c r="L107"/>
  <c r="N107"/>
  <c r="O107"/>
  <c r="P107"/>
  <c r="Q107"/>
  <c r="H115"/>
  <c r="I115"/>
  <c r="J115"/>
  <c r="K115"/>
  <c r="L115"/>
  <c r="N115"/>
  <c r="O115"/>
  <c r="P115"/>
  <c r="Q115"/>
  <c r="G115"/>
  <c r="H114"/>
  <c r="I114"/>
  <c r="J114"/>
  <c r="K114"/>
  <c r="L114"/>
  <c r="N114"/>
  <c r="O114"/>
  <c r="P114"/>
  <c r="Q114"/>
  <c r="G114"/>
  <c r="R98" l="1"/>
  <c r="R122"/>
  <c r="R127"/>
  <c r="R123"/>
  <c r="R124"/>
  <c r="R128"/>
  <c r="R125"/>
  <c r="R117"/>
  <c r="R118"/>
  <c r="R119"/>
  <c r="R107"/>
  <c r="AD44"/>
  <c r="AF44"/>
  <c r="R115"/>
  <c r="R114"/>
  <c r="S9"/>
  <c r="S10"/>
  <c r="S12"/>
  <c r="S15"/>
  <c r="S20"/>
  <c r="S22"/>
  <c r="S23"/>
  <c r="S24"/>
  <c r="S25"/>
  <c r="S35"/>
  <c r="S37"/>
  <c r="S41"/>
  <c r="S43"/>
  <c r="T43" s="1"/>
  <c r="U43" s="1"/>
  <c r="V43" s="1"/>
  <c r="W43" s="1"/>
  <c r="X43" s="1"/>
  <c r="Y43" s="1"/>
  <c r="Z43" s="1"/>
  <c r="AA43" s="1"/>
  <c r="AB43" s="1"/>
  <c r="AC43" s="1"/>
  <c r="S45"/>
  <c r="S46"/>
  <c r="S48"/>
  <c r="S52"/>
  <c r="S7"/>
  <c r="S6"/>
  <c r="AE9"/>
  <c r="AE10"/>
  <c r="AE11"/>
  <c r="AE12"/>
  <c r="AE15"/>
  <c r="AE20"/>
  <c r="AE22"/>
  <c r="AE23"/>
  <c r="AE24"/>
  <c r="AE25"/>
  <c r="AE35"/>
  <c r="AE37"/>
  <c r="AE41"/>
  <c r="AE43"/>
  <c r="AE45"/>
  <c r="AE46"/>
  <c r="AE48"/>
  <c r="AE52"/>
  <c r="AE54"/>
  <c r="AE56"/>
  <c r="AE62"/>
  <c r="AE63"/>
  <c r="AE65"/>
  <c r="AE66"/>
  <c r="AE67"/>
  <c r="AE68"/>
  <c r="AE70"/>
  <c r="AE71"/>
  <c r="AE72"/>
  <c r="AE74"/>
  <c r="AE75"/>
  <c r="AE76"/>
  <c r="AE77"/>
  <c r="AE80"/>
  <c r="AE82"/>
  <c r="AE84"/>
  <c r="AE85"/>
  <c r="AE86"/>
  <c r="AE87"/>
  <c r="AE88"/>
  <c r="AE90"/>
  <c r="AE91"/>
  <c r="AE92"/>
  <c r="AE7"/>
  <c r="AE6"/>
  <c r="G104" l="1"/>
  <c r="H104"/>
  <c r="I104"/>
  <c r="J104"/>
  <c r="K104"/>
  <c r="L104"/>
  <c r="N104"/>
  <c r="O104"/>
  <c r="P104"/>
  <c r="Q104"/>
  <c r="R104" l="1"/>
  <c r="H101"/>
  <c r="I101"/>
  <c r="J101"/>
  <c r="K101"/>
  <c r="L101"/>
  <c r="N101"/>
  <c r="O101"/>
  <c r="P101"/>
  <c r="Q101"/>
  <c r="H102"/>
  <c r="I102"/>
  <c r="J102"/>
  <c r="K102"/>
  <c r="L102"/>
  <c r="N102"/>
  <c r="O102"/>
  <c r="P102"/>
  <c r="Q102"/>
  <c r="G102"/>
  <c r="G101"/>
  <c r="T41"/>
  <c r="U41" s="1"/>
  <c r="V41" s="1"/>
  <c r="W41" s="1"/>
  <c r="X41" s="1"/>
  <c r="Y41" s="1"/>
  <c r="Z41" s="1"/>
  <c r="AA41" s="1"/>
  <c r="AB41" s="1"/>
  <c r="AC41" s="1"/>
  <c r="R41"/>
  <c r="Q42"/>
  <c r="P42"/>
  <c r="O42"/>
  <c r="N42"/>
  <c r="L42"/>
  <c r="K42"/>
  <c r="J42"/>
  <c r="I42"/>
  <c r="H42"/>
  <c r="G42"/>
  <c r="R102" l="1"/>
  <c r="R101"/>
  <c r="AF41"/>
  <c r="AD41"/>
  <c r="H106"/>
  <c r="I106"/>
  <c r="J106"/>
  <c r="K106"/>
  <c r="L106"/>
  <c r="N106"/>
  <c r="O106"/>
  <c r="P106"/>
  <c r="Q106"/>
  <c r="G106"/>
  <c r="H105"/>
  <c r="I105"/>
  <c r="J105"/>
  <c r="K105"/>
  <c r="L105"/>
  <c r="N105"/>
  <c r="O105"/>
  <c r="P105"/>
  <c r="Q105"/>
  <c r="G105"/>
  <c r="R105" l="1"/>
  <c r="R106"/>
  <c r="AF79"/>
  <c r="C176" l="1"/>
  <c r="D176"/>
  <c r="E176"/>
  <c r="F176"/>
  <c r="G176"/>
  <c r="H176"/>
  <c r="I176"/>
  <c r="J176"/>
  <c r="K176"/>
  <c r="L176"/>
  <c r="N176"/>
  <c r="O176"/>
  <c r="P176"/>
  <c r="Q176"/>
  <c r="R176" s="1"/>
  <c r="C9" i="15"/>
  <c r="D80" i="18"/>
  <c r="E80"/>
  <c r="F80"/>
  <c r="G80"/>
  <c r="G109" s="1"/>
  <c r="G110" s="1"/>
  <c r="H80"/>
  <c r="H109" s="1"/>
  <c r="H110" s="1"/>
  <c r="I80"/>
  <c r="I109" s="1"/>
  <c r="I110" s="1"/>
  <c r="J80"/>
  <c r="J109" s="1"/>
  <c r="J110" s="1"/>
  <c r="K80"/>
  <c r="K109" s="1"/>
  <c r="K110" s="1"/>
  <c r="L80"/>
  <c r="L109" s="1"/>
  <c r="L110" s="1"/>
  <c r="N80"/>
  <c r="N109" s="1"/>
  <c r="N110" s="1"/>
  <c r="O80"/>
  <c r="O109" s="1"/>
  <c r="O110" s="1"/>
  <c r="P80"/>
  <c r="P109" s="1"/>
  <c r="P110" s="1"/>
  <c r="Q80"/>
  <c r="Q109" s="1"/>
  <c r="C80"/>
  <c r="T56"/>
  <c r="T80" s="1"/>
  <c r="T109" s="1"/>
  <c r="T110" s="1"/>
  <c r="R56"/>
  <c r="O111" l="1"/>
  <c r="O112" s="1"/>
  <c r="J111"/>
  <c r="J112" s="1"/>
  <c r="L111"/>
  <c r="L112" s="1"/>
  <c r="H111"/>
  <c r="H112" s="1"/>
  <c r="N111"/>
  <c r="N112" s="1"/>
  <c r="I111"/>
  <c r="I112" s="1"/>
  <c r="P111"/>
  <c r="P112" s="1"/>
  <c r="K111"/>
  <c r="K112" s="1"/>
  <c r="G111"/>
  <c r="G112" s="1"/>
  <c r="Q110"/>
  <c r="R109"/>
  <c r="U56"/>
  <c r="V56" s="1"/>
  <c r="W56" s="1"/>
  <c r="X56" s="1"/>
  <c r="Q111" l="1"/>
  <c r="R110"/>
  <c r="V80"/>
  <c r="Y56"/>
  <c r="X80"/>
  <c r="W80"/>
  <c r="U80"/>
  <c r="C90"/>
  <c r="D90"/>
  <c r="E90"/>
  <c r="F90"/>
  <c r="G90"/>
  <c r="H90"/>
  <c r="I90"/>
  <c r="J90"/>
  <c r="K90"/>
  <c r="L90"/>
  <c r="N90"/>
  <c r="O90"/>
  <c r="P90"/>
  <c r="C91"/>
  <c r="D91"/>
  <c r="E91"/>
  <c r="F91"/>
  <c r="G91"/>
  <c r="H91"/>
  <c r="I91"/>
  <c r="J91"/>
  <c r="K91"/>
  <c r="L91"/>
  <c r="N91"/>
  <c r="O91"/>
  <c r="P91"/>
  <c r="C92"/>
  <c r="D92"/>
  <c r="E92"/>
  <c r="F92"/>
  <c r="G92"/>
  <c r="H92"/>
  <c r="I92"/>
  <c r="J92"/>
  <c r="K92"/>
  <c r="L92"/>
  <c r="N92"/>
  <c r="O92"/>
  <c r="P92"/>
  <c r="Q92"/>
  <c r="Q91"/>
  <c r="Q90"/>
  <c r="C97"/>
  <c r="D97"/>
  <c r="E97"/>
  <c r="F97"/>
  <c r="H97"/>
  <c r="I97"/>
  <c r="J97"/>
  <c r="K97"/>
  <c r="L97"/>
  <c r="N97"/>
  <c r="O97"/>
  <c r="P97"/>
  <c r="C95"/>
  <c r="D95"/>
  <c r="E95"/>
  <c r="C96"/>
  <c r="D96"/>
  <c r="E96"/>
  <c r="F96"/>
  <c r="G96"/>
  <c r="H96"/>
  <c r="I96"/>
  <c r="J96"/>
  <c r="K96"/>
  <c r="L96"/>
  <c r="N96"/>
  <c r="O96"/>
  <c r="P96"/>
  <c r="F95"/>
  <c r="G95"/>
  <c r="H95"/>
  <c r="I95"/>
  <c r="J95"/>
  <c r="K95"/>
  <c r="L95"/>
  <c r="N95"/>
  <c r="O95"/>
  <c r="P95"/>
  <c r="Q96"/>
  <c r="G49"/>
  <c r="R92" l="1"/>
  <c r="Z56"/>
  <c r="Y80"/>
  <c r="R90"/>
  <c r="R91"/>
  <c r="R96"/>
  <c r="R97"/>
  <c r="Q95"/>
  <c r="R95" s="1"/>
  <c r="C193"/>
  <c r="D193"/>
  <c r="E193"/>
  <c r="F193"/>
  <c r="C194"/>
  <c r="D194"/>
  <c r="E194"/>
  <c r="F194"/>
  <c r="C195"/>
  <c r="D195"/>
  <c r="E195"/>
  <c r="F195"/>
  <c r="H195"/>
  <c r="I195"/>
  <c r="J195"/>
  <c r="K195"/>
  <c r="L195"/>
  <c r="O195"/>
  <c r="P195"/>
  <c r="Q195"/>
  <c r="G195"/>
  <c r="H194"/>
  <c r="I194"/>
  <c r="J194"/>
  <c r="K194"/>
  <c r="L194"/>
  <c r="O194"/>
  <c r="P194"/>
  <c r="Q194"/>
  <c r="G194"/>
  <c r="H193"/>
  <c r="I193"/>
  <c r="J193"/>
  <c r="K193"/>
  <c r="L193"/>
  <c r="O193"/>
  <c r="P193"/>
  <c r="Q193"/>
  <c r="G193"/>
  <c r="H63"/>
  <c r="I63"/>
  <c r="J63"/>
  <c r="K63"/>
  <c r="L63"/>
  <c r="N63"/>
  <c r="O63"/>
  <c r="P63"/>
  <c r="Q63"/>
  <c r="C63"/>
  <c r="D63"/>
  <c r="E63"/>
  <c r="F63"/>
  <c r="G63"/>
  <c r="G65"/>
  <c r="G175" s="1"/>
  <c r="H62"/>
  <c r="H169" s="1"/>
  <c r="I62"/>
  <c r="I169" s="1"/>
  <c r="J62"/>
  <c r="J169" s="1"/>
  <c r="K62"/>
  <c r="K169" s="1"/>
  <c r="L62"/>
  <c r="L169" s="1"/>
  <c r="N62"/>
  <c r="N169" s="1"/>
  <c r="O62"/>
  <c r="O169" s="1"/>
  <c r="P62"/>
  <c r="P169" s="1"/>
  <c r="Q62"/>
  <c r="Q169" s="1"/>
  <c r="C62"/>
  <c r="C169" s="1"/>
  <c r="D62"/>
  <c r="D169" s="1"/>
  <c r="E62"/>
  <c r="E169" s="1"/>
  <c r="F62"/>
  <c r="F169" s="1"/>
  <c r="G62"/>
  <c r="G169" s="1"/>
  <c r="Q49"/>
  <c r="P49"/>
  <c r="O49"/>
  <c r="N49"/>
  <c r="L49"/>
  <c r="K49"/>
  <c r="J49"/>
  <c r="I49"/>
  <c r="H49"/>
  <c r="R54"/>
  <c r="T48"/>
  <c r="R48"/>
  <c r="R169" l="1"/>
  <c r="AA56"/>
  <c r="Z80"/>
  <c r="U48"/>
  <c r="R195"/>
  <c r="R63"/>
  <c r="R62"/>
  <c r="R194"/>
  <c r="R193"/>
  <c r="R43"/>
  <c r="R46"/>
  <c r="AB56" l="1"/>
  <c r="AA80"/>
  <c r="V48"/>
  <c r="I87"/>
  <c r="J87"/>
  <c r="K87"/>
  <c r="L87"/>
  <c r="N87"/>
  <c r="O87"/>
  <c r="P87"/>
  <c r="Q87"/>
  <c r="I88"/>
  <c r="J88"/>
  <c r="K88"/>
  <c r="L88"/>
  <c r="N88"/>
  <c r="O88"/>
  <c r="P88"/>
  <c r="Q88"/>
  <c r="I82"/>
  <c r="I84" s="1"/>
  <c r="J82"/>
  <c r="J84" s="1"/>
  <c r="K82"/>
  <c r="K84" s="1"/>
  <c r="L82"/>
  <c r="L84" s="1"/>
  <c r="N82"/>
  <c r="N84" s="1"/>
  <c r="O82"/>
  <c r="O84" s="1"/>
  <c r="P82"/>
  <c r="P84" s="1"/>
  <c r="Q82"/>
  <c r="Q84" s="1"/>
  <c r="I85"/>
  <c r="J85"/>
  <c r="K85"/>
  <c r="L85"/>
  <c r="N85"/>
  <c r="O85"/>
  <c r="P85"/>
  <c r="Q85"/>
  <c r="I86"/>
  <c r="J86"/>
  <c r="K86"/>
  <c r="L86"/>
  <c r="N86"/>
  <c r="O86"/>
  <c r="P86"/>
  <c r="Q86"/>
  <c r="C85"/>
  <c r="D85"/>
  <c r="E85"/>
  <c r="F85"/>
  <c r="G85"/>
  <c r="C86"/>
  <c r="D86"/>
  <c r="E86"/>
  <c r="F86"/>
  <c r="G86"/>
  <c r="C87"/>
  <c r="D87"/>
  <c r="E87"/>
  <c r="F87"/>
  <c r="G87"/>
  <c r="C88"/>
  <c r="D88"/>
  <c r="E88"/>
  <c r="F88"/>
  <c r="G88"/>
  <c r="H88"/>
  <c r="H87"/>
  <c r="T25"/>
  <c r="U25" s="1"/>
  <c r="V25" s="1"/>
  <c r="W25" s="1"/>
  <c r="X25" s="1"/>
  <c r="Y25" s="1"/>
  <c r="Z25" s="1"/>
  <c r="AA25" s="1"/>
  <c r="AB25" s="1"/>
  <c r="AC25" s="1"/>
  <c r="AF25" s="1"/>
  <c r="R25"/>
  <c r="T24"/>
  <c r="U24" s="1"/>
  <c r="V24" s="1"/>
  <c r="W24" s="1"/>
  <c r="X24" s="1"/>
  <c r="Y24" s="1"/>
  <c r="Z24" s="1"/>
  <c r="AA24" s="1"/>
  <c r="AB24" s="1"/>
  <c r="AC24" s="1"/>
  <c r="T23"/>
  <c r="R22"/>
  <c r="C82"/>
  <c r="C84" s="1"/>
  <c r="D82"/>
  <c r="D84" s="1"/>
  <c r="E82"/>
  <c r="E84" s="1"/>
  <c r="F82"/>
  <c r="F84" s="1"/>
  <c r="G82"/>
  <c r="G84" s="1"/>
  <c r="H82"/>
  <c r="H84" s="1"/>
  <c r="H86"/>
  <c r="H85"/>
  <c r="AF43" l="1"/>
  <c r="AD43"/>
  <c r="AD24"/>
  <c r="AF24"/>
  <c r="AC56"/>
  <c r="AF56" s="1"/>
  <c r="AB80"/>
  <c r="W48"/>
  <c r="R87"/>
  <c r="R88"/>
  <c r="R86"/>
  <c r="R84"/>
  <c r="R85"/>
  <c r="AD25"/>
  <c r="R24"/>
  <c r="R23"/>
  <c r="R82"/>
  <c r="T22"/>
  <c r="U23"/>
  <c r="R80"/>
  <c r="R168"/>
  <c r="U22" l="1"/>
  <c r="T82"/>
  <c r="AC80"/>
  <c r="AD56"/>
  <c r="V23"/>
  <c r="C19" i="15"/>
  <c r="T9" i="18"/>
  <c r="U9" s="1"/>
  <c r="V9" s="1"/>
  <c r="W9" s="1"/>
  <c r="X9" s="1"/>
  <c r="Y9" s="1"/>
  <c r="Z9" s="1"/>
  <c r="AA9" s="1"/>
  <c r="AB9" s="1"/>
  <c r="AC9" s="1"/>
  <c r="AF9" s="1"/>
  <c r="R52"/>
  <c r="R45"/>
  <c r="R37"/>
  <c r="R35"/>
  <c r="R20"/>
  <c r="R15"/>
  <c r="R12"/>
  <c r="R10"/>
  <c r="R9"/>
  <c r="R7"/>
  <c r="R6"/>
  <c r="T20"/>
  <c r="T35"/>
  <c r="T37"/>
  <c r="T125" s="1"/>
  <c r="T45"/>
  <c r="U45" s="1"/>
  <c r="V45" s="1"/>
  <c r="W45" s="1"/>
  <c r="X45" s="1"/>
  <c r="Y45" s="1"/>
  <c r="Z45" s="1"/>
  <c r="AA45" s="1"/>
  <c r="AB45" s="1"/>
  <c r="AC45" s="1"/>
  <c r="AF45" s="1"/>
  <c r="T46"/>
  <c r="U46" s="1"/>
  <c r="V46" s="1"/>
  <c r="W46" s="1"/>
  <c r="X46" s="1"/>
  <c r="Y46" s="1"/>
  <c r="Z46" s="1"/>
  <c r="AA46" s="1"/>
  <c r="AB46" s="1"/>
  <c r="AC46" s="1"/>
  <c r="AF46" s="1"/>
  <c r="X48"/>
  <c r="P78"/>
  <c r="P173" s="1"/>
  <c r="P77"/>
  <c r="P75"/>
  <c r="P74"/>
  <c r="P72"/>
  <c r="P174" s="1"/>
  <c r="P71"/>
  <c r="P70"/>
  <c r="P68"/>
  <c r="P67"/>
  <c r="P171" s="1"/>
  <c r="P66"/>
  <c r="P65"/>
  <c r="T124" l="1"/>
  <c r="T134"/>
  <c r="T99"/>
  <c r="U82"/>
  <c r="T118"/>
  <c r="T119"/>
  <c r="T117"/>
  <c r="T107"/>
  <c r="Q112"/>
  <c r="R112" s="1"/>
  <c r="R111"/>
  <c r="T101"/>
  <c r="T115"/>
  <c r="T114"/>
  <c r="U20"/>
  <c r="T156"/>
  <c r="AF80"/>
  <c r="P170"/>
  <c r="P177" s="1"/>
  <c r="P178" s="1"/>
  <c r="P175"/>
  <c r="V22"/>
  <c r="AD80"/>
  <c r="U156" s="1"/>
  <c r="U37"/>
  <c r="U125" s="1"/>
  <c r="Y48"/>
  <c r="U35"/>
  <c r="T95"/>
  <c r="W23"/>
  <c r="AD45"/>
  <c r="AD46"/>
  <c r="AD9"/>
  <c r="P76"/>
  <c r="P172" s="1"/>
  <c r="D72"/>
  <c r="E72"/>
  <c r="F72"/>
  <c r="G72"/>
  <c r="G174" s="1"/>
  <c r="H72"/>
  <c r="H174" s="1"/>
  <c r="I72"/>
  <c r="I174" s="1"/>
  <c r="J72"/>
  <c r="J174" s="1"/>
  <c r="K72"/>
  <c r="K174" s="1"/>
  <c r="L72"/>
  <c r="L174" s="1"/>
  <c r="N72"/>
  <c r="N174" s="1"/>
  <c r="O72"/>
  <c r="O174" s="1"/>
  <c r="Q72"/>
  <c r="C72"/>
  <c r="C71"/>
  <c r="U124" l="1"/>
  <c r="U134"/>
  <c r="U99"/>
  <c r="U117"/>
  <c r="U119"/>
  <c r="U118"/>
  <c r="U107"/>
  <c r="U101"/>
  <c r="U115"/>
  <c r="U114"/>
  <c r="V20"/>
  <c r="S156"/>
  <c r="Q182" s="1"/>
  <c r="W22"/>
  <c r="V82"/>
  <c r="V37"/>
  <c r="V125" s="1"/>
  <c r="V35"/>
  <c r="V99" s="1"/>
  <c r="U95"/>
  <c r="Z48"/>
  <c r="X23"/>
  <c r="Q174"/>
  <c r="R174" s="1"/>
  <c r="R72"/>
  <c r="D71"/>
  <c r="E71"/>
  <c r="F71"/>
  <c r="G71"/>
  <c r="H71"/>
  <c r="I71"/>
  <c r="J71"/>
  <c r="K71"/>
  <c r="L71"/>
  <c r="N71"/>
  <c r="O71"/>
  <c r="Q71"/>
  <c r="D70"/>
  <c r="E70"/>
  <c r="F70"/>
  <c r="G70"/>
  <c r="H70"/>
  <c r="I70"/>
  <c r="J70"/>
  <c r="K70"/>
  <c r="L70"/>
  <c r="N70"/>
  <c r="O70"/>
  <c r="Q70"/>
  <c r="C70"/>
  <c r="V124" l="1"/>
  <c r="V134"/>
  <c r="V119"/>
  <c r="V118"/>
  <c r="V117"/>
  <c r="V107"/>
  <c r="V101"/>
  <c r="V115"/>
  <c r="V114"/>
  <c r="W20"/>
  <c r="X22"/>
  <c r="W82"/>
  <c r="W37"/>
  <c r="W125" s="1"/>
  <c r="W35"/>
  <c r="V95"/>
  <c r="AA48"/>
  <c r="Y23"/>
  <c r="R70"/>
  <c r="R71"/>
  <c r="C46" i="15"/>
  <c r="W124" i="18" l="1"/>
  <c r="W134"/>
  <c r="W99"/>
  <c r="W107"/>
  <c r="W119"/>
  <c r="W118"/>
  <c r="W117"/>
  <c r="W101"/>
  <c r="W115"/>
  <c r="W114"/>
  <c r="X20"/>
  <c r="Y22"/>
  <c r="X82"/>
  <c r="X37"/>
  <c r="X125" s="1"/>
  <c r="X35"/>
  <c r="W95"/>
  <c r="AB48"/>
  <c r="Z23"/>
  <c r="T168"/>
  <c r="C65"/>
  <c r="D65"/>
  <c r="E65"/>
  <c r="F65"/>
  <c r="H65"/>
  <c r="I65"/>
  <c r="J65"/>
  <c r="K65"/>
  <c r="L65"/>
  <c r="L175" s="1"/>
  <c r="N65"/>
  <c r="O65"/>
  <c r="O175" s="1"/>
  <c r="Q65"/>
  <c r="D78"/>
  <c r="D173" s="1"/>
  <c r="E78"/>
  <c r="E173" s="1"/>
  <c r="F78"/>
  <c r="F173" s="1"/>
  <c r="G78"/>
  <c r="H78"/>
  <c r="H173" s="1"/>
  <c r="I78"/>
  <c r="I173" s="1"/>
  <c r="J78"/>
  <c r="J173" s="1"/>
  <c r="K78"/>
  <c r="K173" s="1"/>
  <c r="L78"/>
  <c r="L173" s="1"/>
  <c r="N78"/>
  <c r="N173" s="1"/>
  <c r="O78"/>
  <c r="Q78"/>
  <c r="D77"/>
  <c r="E77"/>
  <c r="F77"/>
  <c r="G77"/>
  <c r="H77"/>
  <c r="I77"/>
  <c r="J77"/>
  <c r="K77"/>
  <c r="L77"/>
  <c r="N77"/>
  <c r="O77"/>
  <c r="Q77"/>
  <c r="D75"/>
  <c r="E75"/>
  <c r="F75"/>
  <c r="G75"/>
  <c r="H75"/>
  <c r="I75"/>
  <c r="J75"/>
  <c r="K75"/>
  <c r="L75"/>
  <c r="N75"/>
  <c r="O75"/>
  <c r="Q75"/>
  <c r="D74"/>
  <c r="D76" s="1"/>
  <c r="D172" s="1"/>
  <c r="E74"/>
  <c r="E76" s="1"/>
  <c r="E172" s="1"/>
  <c r="F74"/>
  <c r="G74"/>
  <c r="H74"/>
  <c r="I74"/>
  <c r="J74"/>
  <c r="K74"/>
  <c r="L74"/>
  <c r="N74"/>
  <c r="O74"/>
  <c r="Q74"/>
  <c r="D68"/>
  <c r="E68"/>
  <c r="F68"/>
  <c r="G68"/>
  <c r="H68"/>
  <c r="I68"/>
  <c r="J68"/>
  <c r="K68"/>
  <c r="L68"/>
  <c r="N68"/>
  <c r="O68"/>
  <c r="Q68"/>
  <c r="D67"/>
  <c r="D171" s="1"/>
  <c r="E67"/>
  <c r="E171" s="1"/>
  <c r="F67"/>
  <c r="F171" s="1"/>
  <c r="G67"/>
  <c r="H67"/>
  <c r="H171" s="1"/>
  <c r="I67"/>
  <c r="I171" s="1"/>
  <c r="J67"/>
  <c r="J171" s="1"/>
  <c r="K67"/>
  <c r="K171" s="1"/>
  <c r="L67"/>
  <c r="L171" s="1"/>
  <c r="N67"/>
  <c r="N171" s="1"/>
  <c r="O67"/>
  <c r="Q67"/>
  <c r="C78"/>
  <c r="C173" s="1"/>
  <c r="C77"/>
  <c r="C75"/>
  <c r="C74"/>
  <c r="C68"/>
  <c r="C67"/>
  <c r="C171" s="1"/>
  <c r="D66"/>
  <c r="E66"/>
  <c r="F66"/>
  <c r="G66"/>
  <c r="H66"/>
  <c r="I66"/>
  <c r="J66"/>
  <c r="K66"/>
  <c r="L66"/>
  <c r="N66"/>
  <c r="O66"/>
  <c r="Q66"/>
  <c r="C66"/>
  <c r="T122"/>
  <c r="T130"/>
  <c r="T131" s="1"/>
  <c r="T52"/>
  <c r="T10"/>
  <c r="T12"/>
  <c r="T15"/>
  <c r="T7"/>
  <c r="T6"/>
  <c r="T190" l="1"/>
  <c r="X124"/>
  <c r="X134"/>
  <c r="X99"/>
  <c r="T97"/>
  <c r="T98"/>
  <c r="T128"/>
  <c r="T127"/>
  <c r="T102"/>
  <c r="T123"/>
  <c r="H175"/>
  <c r="H170"/>
  <c r="H177" s="1"/>
  <c r="H178" s="1"/>
  <c r="X107"/>
  <c r="X118"/>
  <c r="X117"/>
  <c r="X119"/>
  <c r="T106"/>
  <c r="T111"/>
  <c r="T112" s="1"/>
  <c r="X101"/>
  <c r="X115"/>
  <c r="X114"/>
  <c r="T104"/>
  <c r="T105"/>
  <c r="Y20"/>
  <c r="D170"/>
  <c r="D175"/>
  <c r="E170"/>
  <c r="E175"/>
  <c r="C170"/>
  <c r="C175"/>
  <c r="Q170"/>
  <c r="Q177" s="1"/>
  <c r="Q175"/>
  <c r="R175" s="1"/>
  <c r="K170"/>
  <c r="K177" s="1"/>
  <c r="K178" s="1"/>
  <c r="K175"/>
  <c r="F170"/>
  <c r="F175"/>
  <c r="J170"/>
  <c r="J177" s="1"/>
  <c r="J178" s="1"/>
  <c r="J175"/>
  <c r="N170"/>
  <c r="N177" s="1"/>
  <c r="N178" s="1"/>
  <c r="N175"/>
  <c r="I170"/>
  <c r="I177" s="1"/>
  <c r="I178" s="1"/>
  <c r="I175"/>
  <c r="R138"/>
  <c r="Z22"/>
  <c r="Y82"/>
  <c r="H76"/>
  <c r="H172" s="1"/>
  <c r="Y37"/>
  <c r="Y125" s="1"/>
  <c r="U12"/>
  <c r="U122"/>
  <c r="U15"/>
  <c r="U10"/>
  <c r="U130"/>
  <c r="U131" s="1"/>
  <c r="U6"/>
  <c r="U7"/>
  <c r="Y35"/>
  <c r="X95"/>
  <c r="U52"/>
  <c r="T96"/>
  <c r="AC48"/>
  <c r="AF48" s="1"/>
  <c r="F76"/>
  <c r="F172" s="1"/>
  <c r="L76"/>
  <c r="L172" s="1"/>
  <c r="K76"/>
  <c r="K172" s="1"/>
  <c r="J76"/>
  <c r="J172" s="1"/>
  <c r="AA23"/>
  <c r="C76"/>
  <c r="C172" s="1"/>
  <c r="U168"/>
  <c r="I76"/>
  <c r="I172" s="1"/>
  <c r="R66"/>
  <c r="G171"/>
  <c r="R67"/>
  <c r="R68"/>
  <c r="R75"/>
  <c r="R77"/>
  <c r="G170"/>
  <c r="G177" s="1"/>
  <c r="G178" s="1"/>
  <c r="R65"/>
  <c r="G173"/>
  <c r="R78"/>
  <c r="G76"/>
  <c r="R74"/>
  <c r="O171"/>
  <c r="O170"/>
  <c r="O177" s="1"/>
  <c r="O178" s="1"/>
  <c r="O173"/>
  <c r="Q171"/>
  <c r="H190" s="1"/>
  <c r="L170"/>
  <c r="L177" s="1"/>
  <c r="L178" s="1"/>
  <c r="O76"/>
  <c r="N76"/>
  <c r="N172" s="1"/>
  <c r="Q173"/>
  <c r="Q76"/>
  <c r="T75"/>
  <c r="C6" i="12"/>
  <c r="C26" i="15"/>
  <c r="C58"/>
  <c r="C57"/>
  <c r="C54"/>
  <c r="C53"/>
  <c r="C50"/>
  <c r="C49"/>
  <c r="C45"/>
  <c r="Q178" i="18" l="1"/>
  <c r="R178" s="1"/>
  <c r="R177"/>
  <c r="E174"/>
  <c r="E177"/>
  <c r="E178" s="1"/>
  <c r="F174"/>
  <c r="F177"/>
  <c r="F178" s="1"/>
  <c r="C174"/>
  <c r="C177"/>
  <c r="C178" s="1"/>
  <c r="D174"/>
  <c r="D177"/>
  <c r="D178" s="1"/>
  <c r="T189"/>
  <c r="U190"/>
  <c r="T191"/>
  <c r="Y124"/>
  <c r="Y134"/>
  <c r="Y99"/>
  <c r="U128"/>
  <c r="U127"/>
  <c r="U102"/>
  <c r="U123"/>
  <c r="U98"/>
  <c r="Y117"/>
  <c r="Y118"/>
  <c r="Y119"/>
  <c r="Y107"/>
  <c r="Y101"/>
  <c r="Y115"/>
  <c r="Y114"/>
  <c r="U104"/>
  <c r="U105"/>
  <c r="U106"/>
  <c r="Z20"/>
  <c r="AA22"/>
  <c r="Z82"/>
  <c r="T74"/>
  <c r="T91"/>
  <c r="T70"/>
  <c r="T72"/>
  <c r="T174" s="1"/>
  <c r="T78"/>
  <c r="T173" s="1"/>
  <c r="T88"/>
  <c r="T90"/>
  <c r="T63"/>
  <c r="T62"/>
  <c r="T169" s="1"/>
  <c r="T71"/>
  <c r="T67"/>
  <c r="T68"/>
  <c r="T77"/>
  <c r="T66"/>
  <c r="T92"/>
  <c r="T65"/>
  <c r="Z37"/>
  <c r="Z125" s="1"/>
  <c r="V122"/>
  <c r="V15"/>
  <c r="V12"/>
  <c r="T76"/>
  <c r="V130"/>
  <c r="V131" s="1"/>
  <c r="V10"/>
  <c r="V7"/>
  <c r="V6"/>
  <c r="AD48"/>
  <c r="Z35"/>
  <c r="Y95"/>
  <c r="V52"/>
  <c r="U97"/>
  <c r="U96"/>
  <c r="U54"/>
  <c r="U109" s="1"/>
  <c r="U110" s="1"/>
  <c r="U111" s="1"/>
  <c r="U112" s="1"/>
  <c r="T85"/>
  <c r="T86"/>
  <c r="T87"/>
  <c r="T84"/>
  <c r="AB23"/>
  <c r="V168"/>
  <c r="R171"/>
  <c r="R170"/>
  <c r="R173"/>
  <c r="G172"/>
  <c r="R76"/>
  <c r="O172"/>
  <c r="Q172"/>
  <c r="C16" i="15"/>
  <c r="C21"/>
  <c r="C10"/>
  <c r="V190" i="18" l="1"/>
  <c r="U191"/>
  <c r="T188"/>
  <c r="U189"/>
  <c r="Z124"/>
  <c r="Z134"/>
  <c r="Z99"/>
  <c r="V102"/>
  <c r="V123"/>
  <c r="V128"/>
  <c r="V127"/>
  <c r="V98"/>
  <c r="Z119"/>
  <c r="Z118"/>
  <c r="Z117"/>
  <c r="Z107"/>
  <c r="U74"/>
  <c r="Z101"/>
  <c r="Z115"/>
  <c r="Z114"/>
  <c r="V104"/>
  <c r="V105"/>
  <c r="V106"/>
  <c r="U70"/>
  <c r="AA20"/>
  <c r="AB22"/>
  <c r="AA82"/>
  <c r="U72"/>
  <c r="U174" s="1"/>
  <c r="U78"/>
  <c r="U173" s="1"/>
  <c r="U88"/>
  <c r="U90"/>
  <c r="U62"/>
  <c r="U169" s="1"/>
  <c r="U63"/>
  <c r="U67"/>
  <c r="U66"/>
  <c r="U77"/>
  <c r="U92"/>
  <c r="U71"/>
  <c r="U68"/>
  <c r="U65"/>
  <c r="U75"/>
  <c r="U91"/>
  <c r="AA37"/>
  <c r="AA125" s="1"/>
  <c r="W15"/>
  <c r="W12"/>
  <c r="W122"/>
  <c r="W10"/>
  <c r="W130"/>
  <c r="W131" s="1"/>
  <c r="W6"/>
  <c r="W7"/>
  <c r="W52"/>
  <c r="V97"/>
  <c r="V96"/>
  <c r="AA35"/>
  <c r="Z95"/>
  <c r="V54"/>
  <c r="V109" s="1"/>
  <c r="V110" s="1"/>
  <c r="V111" s="1"/>
  <c r="V112" s="1"/>
  <c r="U87"/>
  <c r="U86"/>
  <c r="U85"/>
  <c r="U84"/>
  <c r="AC23"/>
  <c r="AF23" s="1"/>
  <c r="T172"/>
  <c r="W168"/>
  <c r="T170"/>
  <c r="T171"/>
  <c r="R172"/>
  <c r="D31" i="8"/>
  <c r="D29"/>
  <c r="D28"/>
  <c r="D13"/>
  <c r="D30" s="1"/>
  <c r="E14"/>
  <c r="F14" s="1"/>
  <c r="G14" s="1"/>
  <c r="H14" s="1"/>
  <c r="I14" s="1"/>
  <c r="U188" i="18" l="1"/>
  <c r="V189"/>
  <c r="W190"/>
  <c r="V191"/>
  <c r="AA124"/>
  <c r="AA134"/>
  <c r="AA99"/>
  <c r="W98"/>
  <c r="W127"/>
  <c r="W128"/>
  <c r="W102"/>
  <c r="W123"/>
  <c r="AA119"/>
  <c r="AA118"/>
  <c r="AA117"/>
  <c r="AA107"/>
  <c r="V74"/>
  <c r="U76"/>
  <c r="U172" s="1"/>
  <c r="AA101"/>
  <c r="AA115"/>
  <c r="AA114"/>
  <c r="W104"/>
  <c r="W106"/>
  <c r="W105"/>
  <c r="AB20"/>
  <c r="AC22"/>
  <c r="AB82"/>
  <c r="V92"/>
  <c r="V91"/>
  <c r="V70"/>
  <c r="V78"/>
  <c r="V173" s="1"/>
  <c r="V77"/>
  <c r="V72"/>
  <c r="V174" s="1"/>
  <c r="V75"/>
  <c r="V66"/>
  <c r="V88"/>
  <c r="V90"/>
  <c r="V63"/>
  <c r="V62"/>
  <c r="V169" s="1"/>
  <c r="V71"/>
  <c r="V67"/>
  <c r="V68"/>
  <c r="V65"/>
  <c r="AB37"/>
  <c r="AB125" s="1"/>
  <c r="X12"/>
  <c r="X122"/>
  <c r="X15"/>
  <c r="X130"/>
  <c r="X131" s="1"/>
  <c r="X10"/>
  <c r="X7"/>
  <c r="X6"/>
  <c r="AB35"/>
  <c r="AB99" s="1"/>
  <c r="AA95"/>
  <c r="X52"/>
  <c r="W96"/>
  <c r="W97"/>
  <c r="W54"/>
  <c r="W109" s="1"/>
  <c r="W110" s="1"/>
  <c r="W111" s="1"/>
  <c r="W112" s="1"/>
  <c r="V87"/>
  <c r="V85"/>
  <c r="V86"/>
  <c r="V84"/>
  <c r="AD23"/>
  <c r="X168"/>
  <c r="U170"/>
  <c r="U17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X190" i="18" l="1"/>
  <c r="W191"/>
  <c r="W189"/>
  <c r="V188"/>
  <c r="AB124"/>
  <c r="AB134"/>
  <c r="AF22"/>
  <c r="X128"/>
  <c r="X127"/>
  <c r="X102"/>
  <c r="X123"/>
  <c r="X98"/>
  <c r="AB118"/>
  <c r="AB117"/>
  <c r="AB119"/>
  <c r="AB107"/>
  <c r="V76"/>
  <c r="V172" s="1"/>
  <c r="AB101"/>
  <c r="AB115"/>
  <c r="AB114"/>
  <c r="W77"/>
  <c r="X104"/>
  <c r="X106"/>
  <c r="X105"/>
  <c r="AC20"/>
  <c r="W92"/>
  <c r="W68"/>
  <c r="W75"/>
  <c r="AD22"/>
  <c r="AC82"/>
  <c r="W66"/>
  <c r="W74"/>
  <c r="W71"/>
  <c r="W91"/>
  <c r="W67"/>
  <c r="W72"/>
  <c r="W174" s="1"/>
  <c r="W88"/>
  <c r="W90"/>
  <c r="W62"/>
  <c r="W169" s="1"/>
  <c r="W63"/>
  <c r="W70"/>
  <c r="W78"/>
  <c r="W173" s="1"/>
  <c r="W65"/>
  <c r="AC37"/>
  <c r="Y122"/>
  <c r="Y15"/>
  <c r="Y12"/>
  <c r="Y10"/>
  <c r="Y130"/>
  <c r="Y131" s="1"/>
  <c r="Y6"/>
  <c r="Y7"/>
  <c r="Y52"/>
  <c r="X97"/>
  <c r="X96"/>
  <c r="AC35"/>
  <c r="AB95"/>
  <c r="X54"/>
  <c r="X109" s="1"/>
  <c r="X110" s="1"/>
  <c r="X111" s="1"/>
  <c r="X112" s="1"/>
  <c r="W87"/>
  <c r="W85"/>
  <c r="W86"/>
  <c r="W84"/>
  <c r="Y168"/>
  <c r="V170"/>
  <c r="V17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189" i="18" l="1"/>
  <c r="W188"/>
  <c r="Y190"/>
  <c r="X191"/>
  <c r="AC124"/>
  <c r="AD124" s="1"/>
  <c r="AC134"/>
  <c r="AD134" s="1"/>
  <c r="AC99"/>
  <c r="AD99" s="1"/>
  <c r="Y102"/>
  <c r="Y123"/>
  <c r="Y128"/>
  <c r="Y127"/>
  <c r="AF37"/>
  <c r="AC125"/>
  <c r="AD125" s="1"/>
  <c r="Y98"/>
  <c r="AC117"/>
  <c r="AD117" s="1"/>
  <c r="AC119"/>
  <c r="AD119" s="1"/>
  <c r="AC118"/>
  <c r="AD118" s="1"/>
  <c r="N32" i="9"/>
  <c r="N33" s="1"/>
  <c r="N34" s="1"/>
  <c r="N35" s="1"/>
  <c r="N36" s="1"/>
  <c r="N37" s="1"/>
  <c r="N38" s="1"/>
  <c r="N39" s="1"/>
  <c r="N40" s="1"/>
  <c r="N41" s="1"/>
  <c r="N42" s="1"/>
  <c r="M45"/>
  <c r="AC107" i="18"/>
  <c r="AD107" s="1"/>
  <c r="W76"/>
  <c r="W172" s="1"/>
  <c r="X75"/>
  <c r="AC101"/>
  <c r="AD101" s="1"/>
  <c r="AC115"/>
  <c r="AD115" s="1"/>
  <c r="AC114"/>
  <c r="AD114" s="1"/>
  <c r="Y104"/>
  <c r="Y106"/>
  <c r="Y105"/>
  <c r="AF35"/>
  <c r="AF20"/>
  <c r="AD20"/>
  <c r="T158"/>
  <c r="AF82"/>
  <c r="AD82"/>
  <c r="M32" i="9"/>
  <c r="M33" s="1"/>
  <c r="M34" s="1"/>
  <c r="M35" s="1"/>
  <c r="M36" s="1"/>
  <c r="M37" s="1"/>
  <c r="M38" s="1"/>
  <c r="M39" s="1"/>
  <c r="M40" s="1"/>
  <c r="M41" s="1"/>
  <c r="P32"/>
  <c r="X78" i="18"/>
  <c r="X173" s="1"/>
  <c r="X77"/>
  <c r="X72"/>
  <c r="X174" s="1"/>
  <c r="X74"/>
  <c r="X71"/>
  <c r="X91"/>
  <c r="X70"/>
  <c r="X92"/>
  <c r="X88"/>
  <c r="X90"/>
  <c r="X63"/>
  <c r="X62"/>
  <c r="X169" s="1"/>
  <c r="X66"/>
  <c r="X67"/>
  <c r="X68"/>
  <c r="X65"/>
  <c r="AD37"/>
  <c r="Z12"/>
  <c r="Z122"/>
  <c r="Z15"/>
  <c r="Z10"/>
  <c r="Z130"/>
  <c r="Z131" s="1"/>
  <c r="Z7"/>
  <c r="Z6"/>
  <c r="AD35"/>
  <c r="AC95"/>
  <c r="AD95" s="1"/>
  <c r="Z52"/>
  <c r="Y97"/>
  <c r="Y96"/>
  <c r="O31" i="9"/>
  <c r="O32" s="1"/>
  <c r="Y54" i="18"/>
  <c r="Y109" s="1"/>
  <c r="Y110" s="1"/>
  <c r="Y111" s="1"/>
  <c r="Y112" s="1"/>
  <c r="X87"/>
  <c r="X85"/>
  <c r="X86"/>
  <c r="X84"/>
  <c r="Z168"/>
  <c r="W170"/>
  <c r="W171"/>
  <c r="P31" i="11"/>
  <c r="N32"/>
  <c r="T19" i="9"/>
  <c r="D22"/>
  <c r="Z190" i="18" l="1"/>
  <c r="Y191"/>
  <c r="Y189"/>
  <c r="X188"/>
  <c r="Z128"/>
  <c r="Z127"/>
  <c r="Z102"/>
  <c r="Z123"/>
  <c r="Z98"/>
  <c r="X76"/>
  <c r="X172" s="1"/>
  <c r="Y68"/>
  <c r="Z104"/>
  <c r="Z105"/>
  <c r="Z106"/>
  <c r="U158"/>
  <c r="S158" s="1"/>
  <c r="Y70"/>
  <c r="Y77"/>
  <c r="Y65"/>
  <c r="Y72"/>
  <c r="Y174" s="1"/>
  <c r="Y67"/>
  <c r="Y66"/>
  <c r="Y88"/>
  <c r="Y90"/>
  <c r="Y63"/>
  <c r="Y62"/>
  <c r="Y169" s="1"/>
  <c r="Y92"/>
  <c r="Y71"/>
  <c r="Y78"/>
  <c r="Y173" s="1"/>
  <c r="Y75"/>
  <c r="Y74"/>
  <c r="Y91"/>
  <c r="AA15"/>
  <c r="AA12"/>
  <c r="AA122"/>
  <c r="AA10"/>
  <c r="AA130"/>
  <c r="AA131" s="1"/>
  <c r="AA6"/>
  <c r="AA7"/>
  <c r="AA52"/>
  <c r="Z97"/>
  <c r="Z96"/>
  <c r="Z54"/>
  <c r="Z109" s="1"/>
  <c r="Z110" s="1"/>
  <c r="Z111" s="1"/>
  <c r="Z112" s="1"/>
  <c r="Y87"/>
  <c r="Y85"/>
  <c r="Y86"/>
  <c r="Y84"/>
  <c r="AA168"/>
  <c r="X170"/>
  <c r="X17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189" i="18" l="1"/>
  <c r="Y188"/>
  <c r="AA190"/>
  <c r="Z191"/>
  <c r="AA102"/>
  <c r="AA123"/>
  <c r="AA127"/>
  <c r="AA128"/>
  <c r="AA98"/>
  <c r="AA104"/>
  <c r="AA105"/>
  <c r="AA106"/>
  <c r="Y76"/>
  <c r="Y172" s="1"/>
  <c r="Z88"/>
  <c r="Z90"/>
  <c r="Z62"/>
  <c r="Z169" s="1"/>
  <c r="Z63"/>
  <c r="Z72"/>
  <c r="Z174" s="1"/>
  <c r="Z78"/>
  <c r="Z173" s="1"/>
  <c r="Z77"/>
  <c r="Z75"/>
  <c r="Z66"/>
  <c r="Z65"/>
  <c r="Z71"/>
  <c r="Z67"/>
  <c r="Z68"/>
  <c r="Z74"/>
  <c r="Z91"/>
  <c r="Z70"/>
  <c r="Z92"/>
  <c r="AB12"/>
  <c r="AB122"/>
  <c r="AB15"/>
  <c r="AB10"/>
  <c r="AB130"/>
  <c r="AB131" s="1"/>
  <c r="AB7"/>
  <c r="AB6"/>
  <c r="AB52"/>
  <c r="AA96"/>
  <c r="AA97"/>
  <c r="AA54"/>
  <c r="AA109" s="1"/>
  <c r="AA110" s="1"/>
  <c r="AA111" s="1"/>
  <c r="AA112" s="1"/>
  <c r="Z87"/>
  <c r="Z85"/>
  <c r="Z86"/>
  <c r="Z84"/>
  <c r="AB168"/>
  <c r="Y170"/>
  <c r="Y171"/>
  <c r="N34" i="11"/>
  <c r="O33"/>
  <c r="D25" i="8"/>
  <c r="D23"/>
  <c r="AB190" i="18" l="1"/>
  <c r="AA191"/>
  <c r="AA189"/>
  <c r="Z188"/>
  <c r="AB98"/>
  <c r="AB127"/>
  <c r="AB128"/>
  <c r="AB102"/>
  <c r="AB123"/>
  <c r="AB104"/>
  <c r="AB105"/>
  <c r="AB106"/>
  <c r="Z76"/>
  <c r="Z172" s="1"/>
  <c r="AA88"/>
  <c r="AA90"/>
  <c r="AA63"/>
  <c r="AA62"/>
  <c r="AA169" s="1"/>
  <c r="AA66"/>
  <c r="AA77"/>
  <c r="AA67"/>
  <c r="AA72"/>
  <c r="AA174" s="1"/>
  <c r="AA75"/>
  <c r="AA74"/>
  <c r="AA92"/>
  <c r="AA78"/>
  <c r="AA173" s="1"/>
  <c r="AA65"/>
  <c r="AA71"/>
  <c r="AA91"/>
  <c r="AA70"/>
  <c r="AA68"/>
  <c r="AC15"/>
  <c r="AF15" s="1"/>
  <c r="AC12"/>
  <c r="AC123" s="1"/>
  <c r="AD123" s="1"/>
  <c r="AC10"/>
  <c r="AC6"/>
  <c r="AF6" s="1"/>
  <c r="AC7"/>
  <c r="AF7" s="1"/>
  <c r="AC52"/>
  <c r="AB97"/>
  <c r="AB96"/>
  <c r="AB54"/>
  <c r="AB109" s="1"/>
  <c r="AB110" s="1"/>
  <c r="AB111" s="1"/>
  <c r="AB112" s="1"/>
  <c r="AA87"/>
  <c r="AA85"/>
  <c r="AA86"/>
  <c r="AA84"/>
  <c r="AC168"/>
  <c r="Z170"/>
  <c r="Z171"/>
  <c r="N35" i="11"/>
  <c r="O34"/>
  <c r="D35" i="8"/>
  <c r="E5"/>
  <c r="E18" s="1"/>
  <c r="D18"/>
  <c r="D19"/>
  <c r="D21"/>
  <c r="D20"/>
  <c r="AB189" i="18" l="1"/>
  <c r="AA188"/>
  <c r="AC190"/>
  <c r="AB191"/>
  <c r="AC130"/>
  <c r="AC128"/>
  <c r="AD128" s="1"/>
  <c r="AC127"/>
  <c r="AD127" s="1"/>
  <c r="AC122"/>
  <c r="AD122" s="1"/>
  <c r="AC98"/>
  <c r="AD98" s="1"/>
  <c r="AF10"/>
  <c r="AC104"/>
  <c r="AD104" s="1"/>
  <c r="AF12"/>
  <c r="AC102"/>
  <c r="AD102" s="1"/>
  <c r="AF52"/>
  <c r="AC105"/>
  <c r="AD105" s="1"/>
  <c r="AC106"/>
  <c r="AD106" s="1"/>
  <c r="AA76"/>
  <c r="AA172" s="1"/>
  <c r="AB88"/>
  <c r="AB90"/>
  <c r="AB62"/>
  <c r="AB169" s="1"/>
  <c r="AB63"/>
  <c r="AB70"/>
  <c r="AB78"/>
  <c r="AB173" s="1"/>
  <c r="AB65"/>
  <c r="AB72"/>
  <c r="AB174" s="1"/>
  <c r="AB75"/>
  <c r="AB91"/>
  <c r="AB66"/>
  <c r="AB67"/>
  <c r="AB68"/>
  <c r="AB71"/>
  <c r="AB92"/>
  <c r="AB74"/>
  <c r="AB77"/>
  <c r="AD15"/>
  <c r="T152"/>
  <c r="AD12"/>
  <c r="AD10"/>
  <c r="AD7"/>
  <c r="AD6"/>
  <c r="AC97"/>
  <c r="AD97" s="1"/>
  <c r="AC96"/>
  <c r="AD96" s="1"/>
  <c r="AD52"/>
  <c r="AC54"/>
  <c r="AC109" s="1"/>
  <c r="AC110" s="1"/>
  <c r="AC111" s="1"/>
  <c r="AC112" s="1"/>
  <c r="AB87"/>
  <c r="AB85"/>
  <c r="AB86"/>
  <c r="AB84"/>
  <c r="AD168"/>
  <c r="AF168" s="1"/>
  <c r="AA170"/>
  <c r="AA171"/>
  <c r="N36" i="11"/>
  <c r="O35"/>
  <c r="F5" i="8"/>
  <c r="G5" s="1"/>
  <c r="H5" s="1"/>
  <c r="I5" s="1"/>
  <c r="AD190" i="18" l="1"/>
  <c r="AC191"/>
  <c r="AC189"/>
  <c r="AB188"/>
  <c r="AC131"/>
  <c r="AD131" s="1"/>
  <c r="AD130"/>
  <c r="AF54"/>
  <c r="U152"/>
  <c r="U153" s="1"/>
  <c r="AB76"/>
  <c r="AB172" s="1"/>
  <c r="AC88"/>
  <c r="AC90"/>
  <c r="AF90" s="1"/>
  <c r="AC62"/>
  <c r="AC63"/>
  <c r="AC70"/>
  <c r="AC75"/>
  <c r="AC65"/>
  <c r="AF65" s="1"/>
  <c r="AC72"/>
  <c r="AC68"/>
  <c r="AC91"/>
  <c r="AC67"/>
  <c r="AF67" s="1"/>
  <c r="AC66"/>
  <c r="AC77"/>
  <c r="AC92"/>
  <c r="AC71"/>
  <c r="AC78"/>
  <c r="AC74"/>
  <c r="T153"/>
  <c r="AC87"/>
  <c r="AC85"/>
  <c r="AD54"/>
  <c r="AC86"/>
  <c r="AC84"/>
  <c r="AB170"/>
  <c r="AB171"/>
  <c r="N37" i="11"/>
  <c r="O36"/>
  <c r="F18" i="8"/>
  <c r="G18"/>
  <c r="AD189" i="18" l="1"/>
  <c r="AC188"/>
  <c r="AE190"/>
  <c r="AD191"/>
  <c r="AC169"/>
  <c r="AD169" s="1"/>
  <c r="AF169" s="1"/>
  <c r="AF62"/>
  <c r="AD109"/>
  <c r="S152"/>
  <c r="S153"/>
  <c r="AD91"/>
  <c r="AF91"/>
  <c r="AD63"/>
  <c r="AF63"/>
  <c r="T149"/>
  <c r="AF77"/>
  <c r="AC173"/>
  <c r="AD173" s="1"/>
  <c r="AF173" s="1"/>
  <c r="AF78"/>
  <c r="AD62"/>
  <c r="AD75"/>
  <c r="AF75"/>
  <c r="T143"/>
  <c r="AF74"/>
  <c r="T142"/>
  <c r="AF68"/>
  <c r="AC174"/>
  <c r="AD174" s="1"/>
  <c r="AF174" s="1"/>
  <c r="AF72"/>
  <c r="AD71"/>
  <c r="AF71"/>
  <c r="T140"/>
  <c r="AF66"/>
  <c r="T145"/>
  <c r="AF70"/>
  <c r="AD92"/>
  <c r="AF92"/>
  <c r="T165"/>
  <c r="AF88"/>
  <c r="T163"/>
  <c r="AF87"/>
  <c r="T162"/>
  <c r="AF86"/>
  <c r="T160"/>
  <c r="AF84"/>
  <c r="T161"/>
  <c r="AF85"/>
  <c r="AD77"/>
  <c r="T146"/>
  <c r="AD66"/>
  <c r="AD68"/>
  <c r="U142" s="1"/>
  <c r="AD70"/>
  <c r="T147"/>
  <c r="AD88"/>
  <c r="AD74"/>
  <c r="T150"/>
  <c r="AC76"/>
  <c r="AD72"/>
  <c r="AD78"/>
  <c r="AD90"/>
  <c r="AD86"/>
  <c r="AD85"/>
  <c r="AD84"/>
  <c r="AD87"/>
  <c r="T139"/>
  <c r="AD65"/>
  <c r="U139" s="1"/>
  <c r="AC170"/>
  <c r="AD67"/>
  <c r="U141" s="1"/>
  <c r="AC171"/>
  <c r="T141"/>
  <c r="N38" i="11"/>
  <c r="O37"/>
  <c r="H18" i="8"/>
  <c r="AF190" i="18" l="1"/>
  <c r="AE191"/>
  <c r="AE189"/>
  <c r="AD188"/>
  <c r="Q185"/>
  <c r="N185"/>
  <c r="AD110"/>
  <c r="U150"/>
  <c r="S150" s="1"/>
  <c r="U140"/>
  <c r="S140" s="1"/>
  <c r="U149"/>
  <c r="S149" s="1"/>
  <c r="U145"/>
  <c r="S145" s="1"/>
  <c r="U147"/>
  <c r="S147" s="1"/>
  <c r="U165"/>
  <c r="S165" s="1"/>
  <c r="U162"/>
  <c r="S162" s="1"/>
  <c r="AD76"/>
  <c r="AF76"/>
  <c r="U143"/>
  <c r="S143" s="1"/>
  <c r="S142"/>
  <c r="U146"/>
  <c r="S146" s="1"/>
  <c r="U160"/>
  <c r="S160" s="1"/>
  <c r="AC172"/>
  <c r="AD172" s="1"/>
  <c r="AF172" s="1"/>
  <c r="U163"/>
  <c r="S163" s="1"/>
  <c r="U161"/>
  <c r="S161" s="1"/>
  <c r="S139"/>
  <c r="Q186" s="1"/>
  <c r="Q187" s="1"/>
  <c r="AD171"/>
  <c r="AF171" s="1"/>
  <c r="AD170"/>
  <c r="AF170" s="1"/>
  <c r="S141"/>
  <c r="N39" i="11"/>
  <c r="O38"/>
  <c r="I18" i="8"/>
  <c r="AF189" i="18" l="1"/>
  <c r="AE188"/>
  <c r="AF191"/>
  <c r="AG190"/>
  <c r="Q184"/>
  <c r="N184"/>
  <c r="Q183"/>
  <c r="N183"/>
  <c r="AD112"/>
  <c r="AD111"/>
  <c r="N40" i="11"/>
  <c r="O39"/>
  <c r="AH190" i="18" l="1"/>
  <c r="AG191"/>
  <c r="AG189"/>
  <c r="AF188"/>
  <c r="N41" i="11"/>
  <c r="O40"/>
  <c r="AG188" i="18" l="1"/>
  <c r="AH189"/>
  <c r="AI190"/>
  <c r="AH191"/>
  <c r="N42" i="11"/>
  <c r="O41"/>
  <c r="AJ190" i="18" l="1"/>
  <c r="AI191"/>
  <c r="AH188"/>
  <c r="AI189"/>
  <c r="AJ189" l="1"/>
  <c r="AI188"/>
  <c r="AJ191"/>
  <c r="AK190"/>
  <c r="AL190" l="1"/>
  <c r="AK191"/>
  <c r="AK189"/>
  <c r="AJ188"/>
  <c r="AK188" l="1"/>
  <c r="AL189"/>
  <c r="AM190"/>
  <c r="AL191"/>
  <c r="AN190" l="1"/>
  <c r="AM191"/>
  <c r="AL188"/>
  <c r="AM189"/>
  <c r="AM188" l="1"/>
  <c r="AN189"/>
  <c r="AO190"/>
  <c r="AN191"/>
  <c r="AP190" l="1"/>
  <c r="AO191"/>
  <c r="AO189"/>
  <c r="AN188"/>
  <c r="AO188" l="1"/>
  <c r="AP189"/>
  <c r="AQ190"/>
  <c r="AP191"/>
  <c r="AQ191" l="1"/>
  <c r="AR190"/>
  <c r="AP188"/>
  <c r="AQ189"/>
  <c r="AQ188" l="1"/>
  <c r="AR189"/>
  <c r="AS190"/>
  <c r="AR191"/>
  <c r="AT190" l="1"/>
  <c r="AS191"/>
  <c r="AS189"/>
  <c r="AR188"/>
  <c r="AS188" l="1"/>
  <c r="AT189"/>
  <c r="AU190"/>
  <c r="AT191"/>
  <c r="AV190" l="1"/>
  <c r="AU191"/>
  <c r="AT188"/>
  <c r="AU189"/>
  <c r="AV189" l="1"/>
  <c r="AU188"/>
  <c r="AW190"/>
  <c r="AW191" s="1"/>
  <c r="AV191"/>
  <c r="AV188" l="1"/>
  <c r="AW189"/>
  <c r="AW188" s="1"/>
</calcChain>
</file>

<file path=xl/comments1.xml><?xml version="1.0" encoding="utf-8"?>
<comments xmlns="http://schemas.openxmlformats.org/spreadsheetml/2006/main">
  <authors>
    <author>Author</author>
  </authors>
  <commentList>
    <comment ref="B13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<sst xmlns="http://schemas.openxmlformats.org/spreadsheetml/2006/main" count="627" uniqueCount="439">
  <si>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</si>
  <si>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</si>
  <si>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</si>
  <si>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</si>
  <si>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</si>
  <si>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</si>
  <si>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</si>
  <si>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</si>
  <si>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</si>
  <si>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</si>
  <si>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</si>
  <si>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</si>
  <si>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</si>
  <si>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</si>
  <si>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</si>
  <si>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</si>
  <si>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</si>
  <si>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</si>
  <si>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</si>
  <si>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</si>
  <si>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</si>
  <si>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</si>
  <si>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</si>
  <si>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</si>
  <si>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</si>
  <si>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</si>
  <si>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</si>
  <si>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</si>
  <si>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</si>
  <si>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</si>
  <si>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</si>
  <si>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</si>
  <si>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</si>
  <si>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</si>
  <si>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</si>
  <si>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</si>
  <si>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</si>
  <si>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</si>
  <si>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</si>
  <si>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</si>
  <si>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</si>
  <si>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</si>
  <si>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</si>
  <si>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</si>
  <si>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</si>
  <si>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</si>
  <si>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</si>
  <si>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</si>
  <si>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</si>
  <si>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</si>
  <si>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</si>
  <si>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</si>
  <si>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</si>
  <si>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</si>
  <si>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</si>
  <si>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</si>
  <si>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</si>
  <si>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</si>
  <si>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</si>
  <si>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</si>
  <si>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</si>
  <si>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</si>
  <si>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</si>
  <si>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</si>
  <si>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</si>
  <si>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</si>
  <si>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</si>
  <si>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</si>
  <si>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</si>
  <si>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</si>
  <si>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</si>
  <si>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</si>
  <si>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</si>
  <si>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</si>
  <si>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</si>
  <si>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</si>
  <si>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</si>
  <si>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</si>
  <si>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</si>
  <si>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</si>
  <si>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</si>
  <si>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</si>
  <si>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</si>
  <si>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</si>
  <si>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</si>
  <si>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</si>
  <si>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</si>
  <si>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</si>
  <si>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</si>
  <si>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</si>
  <si>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</si>
  <si>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</si>
  <si>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</si>
  <si>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</si>
  <si>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</si>
  <si>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</si>
  <si>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</si>
  <si>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</si>
  <si>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</si>
  <si>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</si>
  <si>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</si>
  <si>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</si>
  <si>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</si>
  <si>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</si>
  <si>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</si>
  <si>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</si>
  <si>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</si>
  <si>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</si>
  <si>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</si>
  <si>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</si>
  <si>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</si>
  <si>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</si>
  <si>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</si>
  <si>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</si>
  <si>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</si>
  <si>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</si>
  <si>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</si>
  <si>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</si>
  <si>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</si>
  <si>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</si>
  <si>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</si>
  <si>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</si>
  <si>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</si>
  <si>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</si>
  <si>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</si>
  <si>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</si>
  <si>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</si>
  <si>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</si>
  <si>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</si>
  <si>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</si>
  <si>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</si>
  <si>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</si>
  <si>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</si>
  <si>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</si>
  <si>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</si>
  <si>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</si>
  <si>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</si>
  <si>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</si>
  <si>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</si>
  <si>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</si>
  <si>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</si>
  <si>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</si>
  <si>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</si>
  <si>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</si>
  <si>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</si>
  <si>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</si>
  <si>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</si>
  <si>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</si>
  <si>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</si>
  <si>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</si>
  <si>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</si>
  <si>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</si>
  <si>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</si>
  <si>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</si>
  <si>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</si>
  <si>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</si>
  <si>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</si>
  <si>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</si>
  <si>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</si>
  <si>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</si>
  <si>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</si>
  <si>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</si>
  <si>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</si>
  <si>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</si>
  <si>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</si>
  <si>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</si>
  <si>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</si>
  <si>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</si>
  <si>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</si>
  <si>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</si>
  <si>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</si>
  <si>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</si>
  <si>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</si>
  <si>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</si>
  <si>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</si>
  <si>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</si>
  <si>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</si>
  <si>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</si>
  <si>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</si>
  <si>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</si>
  <si>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</si>
  <si>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</si>
  <si>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</si>
  <si>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</si>
  <si>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</si>
  <si>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</si>
  <si>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</si>
  <si>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</si>
  <si>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</si>
  <si>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</si>
  <si>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</si>
  <si>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</si>
  <si>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</si>
  <si>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</si>
  <si>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</si>
  <si>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</si>
  <si>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</si>
  <si>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</si>
  <si>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</si>
  <si>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</si>
  <si>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</si>
  <si>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</si>
  <si>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</si>
  <si>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</si>
  <si>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</si>
  <si>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</si>
  <si>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</si>
  <si>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</si>
  <si>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</si>
  <si>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</si>
  <si>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</si>
  <si>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</si>
  <si>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</si>
  <si>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</si>
  <si>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</si>
  <si>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</si>
  <si>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</si>
  <si>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</si>
  <si>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</si>
  <si>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</si>
  <si>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</si>
  <si>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</si>
  <si>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</si>
  <si>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</si>
  <si>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</si>
  <si>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</si>
  <si>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</si>
  <si>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</si>
  <si>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</si>
  <si>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</si>
  <si>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</si>
  <si>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</si>
  <si>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</si>
  <si>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</si>
  <si>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</si>
  <si>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</si>
  <si>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</si>
  <si>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</si>
  <si>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</si>
  <si>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</si>
  <si>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</si>
  <si>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</si>
  <si>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</si>
  <si>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</si>
  <si>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</si>
  <si>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</si>
  <si>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</si>
  <si>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</si>
  <si>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</si>
  <si>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</si>
  <si>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</si>
  <si>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</si>
  <si>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</si>
  <si>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</si>
  <si>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</si>
  <si>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</si>
  <si>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</si>
  <si>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</si>
  <si>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</si>
  <si>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</si>
  <si>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</si>
  <si>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</si>
  <si>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</si>
  <si>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</si>
  <si>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</si>
  <si>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</si>
  <si>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</si>
  <si>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</si>
  <si>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</si>
  <si>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</si>
  <si>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</si>
  <si>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</si>
  <si>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</si>
  <si>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</si>
  <si>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</si>
  <si>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</si>
  <si>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</si>
  <si>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</si>
  <si>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</si>
  <si>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</si>
  <si>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</si>
  <si>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</si>
  <si>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</si>
  <si>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</si>
  <si>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</si>
  <si>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</si>
  <si>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</si>
  <si>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</si>
  <si>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</si>
  <si>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</si>
  <si>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</si>
  <si>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</si>
  <si>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</si>
  <si>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</si>
  <si>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</si>
  <si>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</si>
  <si>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</si>
  <si>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</si>
  <si>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</si>
  <si>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</si>
  <si>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</si>
  <si>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</si>
  <si>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</si>
  <si>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</si>
  <si>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</si>
  <si>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</si>
  <si>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</si>
  <si>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</si>
  <si>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</si>
  <si>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</si>
  <si>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</si>
  <si>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</si>
  <si>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</si>
  <si>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</si>
  <si>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</si>
  <si>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</si>
  <si>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</si>
  <si>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</si>
  <si>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</si>
  <si>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</si>
  <si>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</si>
  <si>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</si>
  <si>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</si>
  <si>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</si>
  <si>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</si>
  <si>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</si>
  <si>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</si>
  <si>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</si>
  <si>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</si>
  <si>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</si>
  <si>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</si>
  <si>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</si>
  <si>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</si>
  <si>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</si>
  <si>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</si>
  <si>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</si>
  <si>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</si>
  <si>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</si>
  <si>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</si>
  <si>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</si>
  <si>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</si>
  <si>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</si>
  <si>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</si>
  <si>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</si>
  <si>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</si>
  <si>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</si>
  <si>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</si>
  <si>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</si>
  <si>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</si>
  <si>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</si>
  <si>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</si>
  <si>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</si>
  <si>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</si>
  <si>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</si>
  <si>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</si>
  <si>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</si>
  <si>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</si>
  <si>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</si>
  <si>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</si>
  <si>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</si>
  <si>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</si>
  <si>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Cash &amp; Balance with RBI</t>
  </si>
  <si>
    <t>Balance with Banks. Money at call</t>
  </si>
  <si>
    <t>Contingent Liabilities</t>
  </si>
  <si>
    <t>Bills for Collection</t>
  </si>
  <si>
    <t>Gross Deposits</t>
  </si>
  <si>
    <t>Borrowings</t>
  </si>
  <si>
    <t>Other Liabilities &amp; Provisions</t>
  </si>
  <si>
    <t>Gross Advances</t>
  </si>
  <si>
    <t>Other Income</t>
  </si>
  <si>
    <t>Peak</t>
  </si>
  <si>
    <t>Earnings yield/ratio (to compare with other investment options)</t>
  </si>
  <si>
    <t>Other Ratio's</t>
  </si>
  <si>
    <t>Cuurent Ratio (CA/CL) - preferred &gt;=1.25-1.33</t>
  </si>
  <si>
    <t>Debt to Equity Ratio &lt; 1/1 (For heaving ind &lt; 4/1)</t>
  </si>
  <si>
    <t>Avg Working Capital (CA-CL) i.e. Net Current Assets</t>
  </si>
  <si>
    <t>Days Working Capital (W.C*365/Sales)</t>
  </si>
  <si>
    <t>Interest Coverage ratio - EBITDA/Interest &gt; 1.5 to 2</t>
  </si>
  <si>
    <t>Other Income/Revenue</t>
  </si>
  <si>
    <t>Net Interest Margin</t>
  </si>
  <si>
    <t>Profit Before Tax (PBT)</t>
  </si>
  <si>
    <t>Avg growth rate</t>
  </si>
  <si>
    <t>Cash Profit Margin (Net cash from ops/Rev), higher better</t>
  </si>
  <si>
    <t>Price/Sales per share</t>
  </si>
  <si>
    <t>Current</t>
  </si>
  <si>
    <t>Preferred</t>
  </si>
  <si>
    <t>Payback Period -in years  with Avg EPS i.e. P/EPSavg</t>
  </si>
  <si>
    <t>Payback Period - with Last EPS i.e. P/EPSlast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</si>
  <si>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</si>
  <si>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</si>
  <si>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</si>
  <si>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</si>
  <si>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</si>
  <si>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</si>
  <si>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</si>
  <si>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</si>
  <si>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</si>
  <si>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B-3</t>
  </si>
  <si>
    <t>S-1</t>
  </si>
  <si>
    <t>Result Quantity</t>
  </si>
  <si>
    <t>Overall gains</t>
  </si>
  <si>
    <t>Total Gain</t>
  </si>
  <si>
    <t>Multiplication - x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</si>
  <si>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</si>
  <si>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</si>
  <si>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</si>
  <si>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</si>
  <si>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</si>
  <si>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</si>
  <si>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</si>
  <si>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</si>
  <si>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</si>
  <si>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</si>
  <si>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</si>
  <si>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</si>
  <si>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</si>
  <si>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</si>
  <si>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</si>
  <si>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</si>
  <si>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</si>
  <si>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</si>
  <si>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</si>
  <si>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</si>
  <si>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Stock Split</t>
  </si>
  <si>
    <t>Bonus Issue</t>
  </si>
  <si>
    <t>Rights issue</t>
  </si>
  <si>
    <t>Top Expenses ( Interest Out-go )</t>
  </si>
  <si>
    <t>10x5</t>
  </si>
  <si>
    <t>1x1</t>
  </si>
  <si>
    <t>3x2</t>
  </si>
  <si>
    <t>PEG</t>
  </si>
  <si>
    <t>Discount/Prem to PEG</t>
  </si>
  <si>
    <t>Worst</t>
  </si>
  <si>
    <t>Pessimistic</t>
  </si>
  <si>
    <t>Expected</t>
  </si>
  <si>
    <t>Optimistic</t>
  </si>
  <si>
    <t>Actual</t>
  </si>
  <si>
    <t>Going Concern</t>
  </si>
  <si>
    <t>Next 10 yrs</t>
  </si>
</sst>
</file>

<file path=xl/styles.xml><?xml version="1.0" encoding="utf-8"?>
<styleSheet xmlns="http://schemas.openxmlformats.org/spreadsheetml/2006/main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0"/>
      <color theme="3" tint="0.39997558519241921"/>
      <name val="Cambria"/>
      <family val="1"/>
      <scheme val="major"/>
    </font>
    <font>
      <b/>
      <sz val="10"/>
      <color theme="5" tint="-0.249977111117893"/>
      <name val="Cambria"/>
      <family val="1"/>
      <scheme val="major"/>
    </font>
    <font>
      <sz val="10"/>
      <color theme="9" tint="-0.499984740745262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0" fontId="0" fillId="0" borderId="0" xfId="0"/>
    <xf numFmtId="0" fontId="4" fillId="5" borderId="1" xfId="0" applyFont="1" applyFill="1" applyBorder="1"/>
    <xf numFmtId="0" fontId="4" fillId="5" borderId="0" xfId="0" applyFont="1" applyFill="1"/>
    <xf numFmtId="9" fontId="4" fillId="6" borderId="0" xfId="0" applyNumberFormat="1" applyFont="1" applyFill="1"/>
    <xf numFmtId="0" fontId="4" fillId="5" borderId="1" xfId="0" applyFont="1" applyFill="1" applyBorder="1"/>
    <xf numFmtId="0" fontId="4" fillId="5" borderId="0" xfId="0" applyFont="1" applyFill="1"/>
    <xf numFmtId="10" fontId="4" fillId="11" borderId="1" xfId="1" applyNumberFormat="1" applyFont="1" applyFill="1" applyBorder="1"/>
    <xf numFmtId="10" fontId="4" fillId="11" borderId="4" xfId="1" applyNumberFormat="1" applyFont="1" applyFill="1" applyBorder="1"/>
    <xf numFmtId="175" fontId="4" fillId="5" borderId="1" xfId="2" applyNumberFormat="1" applyFont="1" applyFill="1" applyBorder="1"/>
    <xf numFmtId="9" fontId="4" fillId="5" borderId="1" xfId="1" applyFont="1" applyFill="1" applyBorder="1"/>
    <xf numFmtId="9" fontId="4" fillId="5" borderId="1" xfId="1" applyNumberFormat="1" applyFont="1" applyFill="1" applyBorder="1"/>
    <xf numFmtId="0" fontId="4" fillId="5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2" fontId="4" fillId="5" borderId="1" xfId="0" applyNumberFormat="1" applyFont="1" applyFill="1" applyBorder="1"/>
    <xf numFmtId="0" fontId="4" fillId="5" borderId="0" xfId="0" applyFont="1" applyFill="1"/>
    <xf numFmtId="16" fontId="5" fillId="5" borderId="1" xfId="0" applyNumberFormat="1" applyFont="1" applyFill="1" applyBorder="1"/>
    <xf numFmtId="0" fontId="4" fillId="5" borderId="1" xfId="0" applyFont="1" applyFill="1" applyBorder="1"/>
    <xf numFmtId="9" fontId="4" fillId="6" borderId="1" xfId="0" applyNumberFormat="1" applyFont="1" applyFill="1" applyBorder="1" applyAlignment="1">
      <alignment horizontal="center"/>
    </xf>
    <xf numFmtId="0" fontId="0" fillId="0" borderId="0" xfId="0"/>
    <xf numFmtId="10" fontId="5" fillId="5" borderId="1" xfId="1" applyNumberFormat="1" applyFont="1" applyFill="1" applyBorder="1"/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164" fontId="4" fillId="5" borderId="1" xfId="2" applyNumberFormat="1" applyFont="1" applyFill="1" applyBorder="1"/>
    <xf numFmtId="0" fontId="4" fillId="5" borderId="4" xfId="0" applyFont="1" applyFill="1" applyBorder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0" fontId="4" fillId="5" borderId="1" xfId="0" applyFont="1" applyFill="1" applyBorder="1"/>
    <xf numFmtId="40" fontId="4" fillId="5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40" fontId="4" fillId="5" borderId="1" xfId="0" applyNumberFormat="1" applyFont="1" applyFill="1" applyBorder="1"/>
    <xf numFmtId="0" fontId="15" fillId="5" borderId="1" xfId="2" applyNumberFormat="1" applyFont="1" applyFill="1" applyBorder="1"/>
    <xf numFmtId="9" fontId="16" fillId="5" borderId="1" xfId="1" applyNumberFormat="1" applyFont="1" applyFill="1" applyBorder="1"/>
    <xf numFmtId="9" fontId="17" fillId="5" borderId="1" xfId="1" applyFont="1" applyFill="1" applyBorder="1"/>
    <xf numFmtId="175" fontId="15" fillId="5" borderId="1" xfId="2" applyNumberFormat="1" applyFont="1" applyFill="1" applyBorder="1"/>
    <xf numFmtId="172" fontId="15" fillId="5" borderId="1" xfId="2" applyNumberFormat="1" applyFont="1" applyFill="1" applyBorder="1"/>
    <xf numFmtId="174" fontId="15" fillId="5" borderId="1" xfId="2" applyNumberFormat="1" applyFont="1" applyFill="1" applyBorder="1"/>
    <xf numFmtId="1" fontId="15" fillId="5" borderId="1" xfId="2" applyNumberFormat="1" applyFont="1" applyFill="1" applyBorder="1"/>
    <xf numFmtId="2" fontId="4" fillId="5" borderId="1" xfId="1" applyNumberFormat="1" applyFont="1" applyFill="1" applyBorder="1"/>
    <xf numFmtId="9" fontId="5" fillId="5" borderId="1" xfId="1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dLbls/>
        <c:marker val="1"/>
        <c:axId val="62438400"/>
        <c:axId val="62448384"/>
      </c:lineChart>
      <c:catAx>
        <c:axId val="62438400"/>
        <c:scaling>
          <c:orientation val="minMax"/>
        </c:scaling>
        <c:axPos val="b"/>
        <c:tickLblPos val="nextTo"/>
        <c:crossAx val="62448384"/>
        <c:crosses val="autoZero"/>
        <c:auto val="1"/>
        <c:lblAlgn val="ctr"/>
        <c:lblOffset val="100"/>
      </c:catAx>
      <c:valAx>
        <c:axId val="62448384"/>
        <c:scaling>
          <c:orientation val="minMax"/>
        </c:scaling>
        <c:axPos val="l"/>
        <c:majorGridlines/>
        <c:numFmt formatCode="General" sourceLinked="1"/>
        <c:tickLblPos val="nextTo"/>
        <c:crossAx val="6243840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4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29">
        <v>14</v>
      </c>
      <c r="D7" s="20"/>
      <c r="E7" s="20"/>
      <c r="F7" s="20"/>
      <c r="G7" s="20"/>
    </row>
    <row r="8" spans="2:7">
      <c r="B8" s="20" t="s">
        <v>25</v>
      </c>
      <c r="C8" s="129">
        <v>5</v>
      </c>
      <c r="D8" s="20"/>
      <c r="E8" s="20"/>
      <c r="F8" s="20"/>
      <c r="G8" s="20"/>
    </row>
    <row r="9" spans="2:7">
      <c r="B9" s="20" t="s">
        <v>319</v>
      </c>
      <c r="C9" s="151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29">
        <v>-2.66</v>
      </c>
      <c r="D13" s="20"/>
      <c r="E13" s="20"/>
      <c r="F13" s="20"/>
      <c r="G13" s="20"/>
    </row>
    <row r="14" spans="2:7">
      <c r="B14" s="20" t="s">
        <v>102</v>
      </c>
      <c r="C14" s="129">
        <v>28</v>
      </c>
      <c r="D14" s="20"/>
      <c r="E14" s="20"/>
      <c r="F14" s="20"/>
      <c r="G14" s="20"/>
    </row>
    <row r="15" spans="2:7">
      <c r="B15" s="20" t="s">
        <v>103</v>
      </c>
      <c r="C15" s="129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29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29">
        <v>14</v>
      </c>
      <c r="D24" s="20"/>
      <c r="E24" s="20"/>
      <c r="F24" s="20"/>
      <c r="G24" s="20"/>
    </row>
    <row r="25" spans="2:7">
      <c r="B25" s="20" t="s">
        <v>114</v>
      </c>
      <c r="C25" s="129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29">
        <v>15</v>
      </c>
      <c r="D27" s="20"/>
      <c r="E27" s="20"/>
      <c r="F27" s="20"/>
      <c r="G27" s="20"/>
    </row>
    <row r="28" spans="2:7">
      <c r="B28" s="20" t="s">
        <v>229</v>
      </c>
      <c r="C28" s="130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1">
        <v>2.5499999999999998E-2</v>
      </c>
      <c r="D30" s="20"/>
      <c r="E30" s="20"/>
      <c r="F30" s="20"/>
      <c r="G30" s="20"/>
    </row>
    <row r="31" spans="2:7">
      <c r="B31" s="20" t="s">
        <v>232</v>
      </c>
      <c r="C31" s="131">
        <v>3.1899999999999998E-2</v>
      </c>
      <c r="D31" s="20"/>
      <c r="E31" s="20"/>
      <c r="F31" s="20"/>
      <c r="G31" s="20"/>
    </row>
    <row r="32" spans="2:7">
      <c r="B32" s="20" t="s">
        <v>233</v>
      </c>
      <c r="C32" s="131"/>
      <c r="D32" s="20"/>
      <c r="E32" s="20"/>
      <c r="F32" s="20"/>
      <c r="G32" s="20"/>
    </row>
    <row r="33" spans="2:7">
      <c r="B33" s="20" t="s">
        <v>268</v>
      </c>
      <c r="C33" s="131">
        <v>3.44E-2</v>
      </c>
      <c r="D33" s="20"/>
      <c r="E33" s="20"/>
      <c r="F33" s="20"/>
      <c r="G33" s="20"/>
    </row>
    <row r="34" spans="2:7">
      <c r="B34" s="20" t="s">
        <v>267</v>
      </c>
      <c r="C34" s="131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29">
        <v>3141.2</v>
      </c>
      <c r="D38" s="20"/>
      <c r="E38" s="20"/>
      <c r="F38" s="20"/>
      <c r="G38" s="20"/>
    </row>
    <row r="39" spans="2:7">
      <c r="B39" s="20" t="s">
        <v>216</v>
      </c>
      <c r="C39" s="129">
        <v>3384.26</v>
      </c>
      <c r="D39" s="20"/>
      <c r="E39" s="20"/>
      <c r="F39" s="20"/>
      <c r="G39" s="20"/>
    </row>
    <row r="40" spans="2:7">
      <c r="B40" s="20" t="s">
        <v>34</v>
      </c>
      <c r="C40" s="129">
        <v>92.03</v>
      </c>
      <c r="D40" s="20"/>
      <c r="E40" s="20"/>
      <c r="F40" s="20"/>
      <c r="G40" s="20"/>
    </row>
    <row r="41" spans="2:7">
      <c r="B41" s="20" t="s">
        <v>217</v>
      </c>
      <c r="C41" s="129">
        <v>31.09</v>
      </c>
      <c r="D41" s="20"/>
      <c r="E41" s="20"/>
      <c r="F41" s="20"/>
      <c r="G41" s="20"/>
    </row>
    <row r="42" spans="2:7">
      <c r="B42" s="20" t="s">
        <v>218</v>
      </c>
      <c r="C42" s="129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29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29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29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29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W220"/>
  <sheetViews>
    <sheetView tabSelected="1" zoomScale="80" zoomScaleNormal="80" workbookViewId="0">
      <pane xSplit="2" ySplit="3" topLeftCell="F140" activePane="bottomRight" state="frozen"/>
      <selection pane="topRight" activeCell="C1" sqref="C1"/>
      <selection pane="bottomLeft" activeCell="A5" sqref="A5"/>
      <selection pane="bottomRight" activeCell="Q170" sqref="Q170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8.7109375" style="186" customWidth="1"/>
    <col min="14" max="14" width="9.85546875" style="104" bestFit="1" customWidth="1"/>
    <col min="15" max="16" width="8.7109375" style="104" bestFit="1" customWidth="1"/>
    <col min="17" max="17" width="10.5703125" style="104" bestFit="1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ht="15">
      <c r="B1" s="122" t="s">
        <v>241</v>
      </c>
      <c r="C1" s="123">
        <v>0.22</v>
      </c>
      <c r="F1" s="104" t="s">
        <v>252</v>
      </c>
      <c r="H1" s="125">
        <v>2004</v>
      </c>
      <c r="J1" s="104" t="s">
        <v>327</v>
      </c>
      <c r="L1" s="163">
        <v>0.05</v>
      </c>
      <c r="O1" s="173" t="s">
        <v>381</v>
      </c>
      <c r="P1" s="171"/>
      <c r="Q1" s="174">
        <v>0.05</v>
      </c>
    </row>
    <row r="2" spans="2:32">
      <c r="B2" s="152" t="s">
        <v>316</v>
      </c>
      <c r="C2" s="120"/>
      <c r="F2" s="104" t="s">
        <v>253</v>
      </c>
      <c r="H2" s="125">
        <v>2013</v>
      </c>
      <c r="J2" s="104" t="s">
        <v>328</v>
      </c>
      <c r="L2" s="163">
        <v>0.25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39" t="s">
        <v>292</v>
      </c>
      <c r="AF2" s="240"/>
    </row>
    <row r="3" spans="2:3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218">
        <v>2015</v>
      </c>
      <c r="U3" s="218">
        <v>2016</v>
      </c>
      <c r="V3" s="218">
        <v>2017</v>
      </c>
      <c r="W3" s="218">
        <v>2018</v>
      </c>
      <c r="X3" s="218">
        <v>2019</v>
      </c>
      <c r="Y3" s="218">
        <v>2020</v>
      </c>
      <c r="Z3" s="218">
        <v>2021</v>
      </c>
      <c r="AA3" s="218">
        <v>2022</v>
      </c>
      <c r="AB3" s="218">
        <v>2023</v>
      </c>
      <c r="AC3" s="115">
        <v>2024</v>
      </c>
      <c r="AD3" s="135" t="s">
        <v>1</v>
      </c>
      <c r="AE3" s="241" t="s">
        <v>293</v>
      </c>
      <c r="AF3" s="242"/>
    </row>
    <row r="4" spans="2:3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7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79"/>
      <c r="N5" s="145"/>
      <c r="O5" s="145"/>
      <c r="P5" s="145"/>
      <c r="Q5" s="145"/>
      <c r="R5" s="20"/>
      <c r="S5" s="20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36"/>
      <c r="AE5" s="20"/>
      <c r="AF5" s="153"/>
    </row>
    <row r="6" spans="2:32">
      <c r="B6" s="20" t="s">
        <v>16</v>
      </c>
      <c r="C6" s="140"/>
      <c r="D6" s="140"/>
      <c r="E6" s="146"/>
      <c r="F6" s="146"/>
      <c r="G6" s="168">
        <v>1176</v>
      </c>
      <c r="H6" s="168">
        <v>1343</v>
      </c>
      <c r="I6" s="168">
        <v>1949</v>
      </c>
      <c r="J6" s="168">
        <v>2935</v>
      </c>
      <c r="K6" s="168">
        <v>5479</v>
      </c>
      <c r="L6" s="168">
        <v>6268</v>
      </c>
      <c r="M6" s="168">
        <v>7617</v>
      </c>
      <c r="N6" s="168">
        <v>10594</v>
      </c>
      <c r="O6" s="168">
        <v>12530</v>
      </c>
      <c r="P6" s="168">
        <v>14876</v>
      </c>
      <c r="Q6" s="220">
        <v>18690</v>
      </c>
      <c r="R6" s="118">
        <f>((Q6/G6)^(1/($H$2-$H$1) ))-1</f>
        <v>0.35977448147705804</v>
      </c>
      <c r="S6" s="31">
        <f>$L$2</f>
        <v>0.25</v>
      </c>
      <c r="T6" s="153">
        <f>Q6*(1+$S6)</f>
        <v>23362.5</v>
      </c>
      <c r="U6" s="153">
        <f>T6*(1+$S6)</f>
        <v>29203.125</v>
      </c>
      <c r="V6" s="153">
        <f t="shared" ref="V6:AC6" si="0">U6*(1+$S6)</f>
        <v>36503.90625</v>
      </c>
      <c r="W6" s="153">
        <f t="shared" si="0"/>
        <v>45629.8828125</v>
      </c>
      <c r="X6" s="153">
        <f t="shared" si="0"/>
        <v>57037.353515625</v>
      </c>
      <c r="Y6" s="153">
        <f t="shared" si="0"/>
        <v>71296.69189453125</v>
      </c>
      <c r="Z6" s="153">
        <f t="shared" si="0"/>
        <v>89120.864868164063</v>
      </c>
      <c r="AA6" s="153">
        <f t="shared" si="0"/>
        <v>111401.08108520508</v>
      </c>
      <c r="AB6" s="153">
        <f t="shared" si="0"/>
        <v>139251.35135650635</v>
      </c>
      <c r="AC6" s="153">
        <f t="shared" si="0"/>
        <v>174064.18919563293</v>
      </c>
      <c r="AD6" s="137">
        <f>((AC6/G6)^(1/($AC$3-$H$1) ))-1</f>
        <v>0.28385242422314816</v>
      </c>
      <c r="AE6" s="31">
        <f>$L$1</f>
        <v>0.05</v>
      </c>
      <c r="AF6" s="145">
        <f t="shared" ref="AF6:AF56" si="1">(AC6*(1+AE6))/($C$1-AE6)</f>
        <v>1075102.3450318505</v>
      </c>
    </row>
    <row r="7" spans="2:32">
      <c r="B7" s="20" t="s">
        <v>240</v>
      </c>
      <c r="C7" s="140"/>
      <c r="D7" s="140"/>
      <c r="E7" s="146"/>
      <c r="F7" s="146"/>
      <c r="G7" s="168">
        <v>1236</v>
      </c>
      <c r="H7" s="168">
        <v>1472</v>
      </c>
      <c r="I7" s="168">
        <v>2258</v>
      </c>
      <c r="J7" s="168">
        <v>3261</v>
      </c>
      <c r="K7" s="168">
        <v>5882</v>
      </c>
      <c r="L7" s="168">
        <v>6614</v>
      </c>
      <c r="M7" s="168">
        <v>7965</v>
      </c>
      <c r="N7" s="168">
        <v>10999</v>
      </c>
      <c r="O7" s="168">
        <v>12935</v>
      </c>
      <c r="P7" s="168">
        <v>15267</v>
      </c>
      <c r="Q7" s="220">
        <v>19084</v>
      </c>
      <c r="R7" s="118">
        <f>((Q7/G7)^(1/($H$2-$H$1) ))-1</f>
        <v>0.35541512109835227</v>
      </c>
      <c r="S7" s="31">
        <f>$L$2</f>
        <v>0.25</v>
      </c>
      <c r="T7" s="153">
        <f t="shared" ref="T7:T15" si="2">Q7*(1+$S7)</f>
        <v>23855</v>
      </c>
      <c r="U7" s="153">
        <f t="shared" ref="U7:AC7" si="3">T7*(1+$S7)</f>
        <v>29818.75</v>
      </c>
      <c r="V7" s="153">
        <f t="shared" si="3"/>
        <v>37273.4375</v>
      </c>
      <c r="W7" s="153">
        <f t="shared" si="3"/>
        <v>46591.796875</v>
      </c>
      <c r="X7" s="153">
        <f t="shared" si="3"/>
        <v>58239.74609375</v>
      </c>
      <c r="Y7" s="153">
        <f t="shared" si="3"/>
        <v>72799.6826171875</v>
      </c>
      <c r="Z7" s="153">
        <f t="shared" si="3"/>
        <v>90999.603271484375</v>
      </c>
      <c r="AA7" s="153">
        <f t="shared" si="3"/>
        <v>113749.50408935547</v>
      </c>
      <c r="AB7" s="153">
        <f t="shared" si="3"/>
        <v>142186.88011169434</v>
      </c>
      <c r="AC7" s="153">
        <f t="shared" si="3"/>
        <v>177733.60013961792</v>
      </c>
      <c r="AD7" s="137">
        <f>((AC7/G7)^(1/($AC$3-$H$1) ))-1</f>
        <v>0.28199860722255288</v>
      </c>
      <c r="AE7" s="31">
        <f>$L$1</f>
        <v>0.05</v>
      </c>
      <c r="AF7" s="145">
        <f t="shared" si="1"/>
        <v>1097766.3538035227</v>
      </c>
    </row>
    <row r="8" spans="2:32">
      <c r="B8" s="20"/>
      <c r="C8" s="140"/>
      <c r="D8" s="140"/>
      <c r="E8" s="146"/>
      <c r="F8" s="146"/>
      <c r="G8" s="147">
        <f>(G7-F7)/G7</f>
        <v>1</v>
      </c>
      <c r="H8" s="150">
        <f>(H7-G7)/H7</f>
        <v>0.16032608695652173</v>
      </c>
      <c r="I8" s="150">
        <f t="shared" ref="I8:Q8" si="4">(I7-H7)/I7</f>
        <v>0.34809565987599644</v>
      </c>
      <c r="J8" s="150">
        <f t="shared" si="4"/>
        <v>0.30757436369211899</v>
      </c>
      <c r="K8" s="150">
        <f t="shared" si="4"/>
        <v>0.44559673580414827</v>
      </c>
      <c r="L8" s="150">
        <f t="shared" si="4"/>
        <v>0.1106743271847596</v>
      </c>
      <c r="M8" s="150">
        <f t="shared" si="4"/>
        <v>0.16961707470182047</v>
      </c>
      <c r="N8" s="150">
        <f t="shared" si="4"/>
        <v>0.27584325847804347</v>
      </c>
      <c r="O8" s="150">
        <f t="shared" si="4"/>
        <v>0.14967143409354464</v>
      </c>
      <c r="P8" s="150">
        <f t="shared" si="4"/>
        <v>0.1527477565992009</v>
      </c>
      <c r="Q8" s="221">
        <f t="shared" si="4"/>
        <v>0.20001047998323201</v>
      </c>
      <c r="R8" s="127"/>
      <c r="S8" s="20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36"/>
      <c r="AE8" s="136"/>
      <c r="AF8" s="145"/>
    </row>
    <row r="9" spans="2:32">
      <c r="B9" s="20" t="s">
        <v>270</v>
      </c>
      <c r="C9" s="140"/>
      <c r="D9" s="140"/>
      <c r="E9" s="146"/>
      <c r="F9" s="146"/>
      <c r="G9" s="168">
        <v>0</v>
      </c>
      <c r="H9" s="168">
        <v>0</v>
      </c>
      <c r="I9" s="168">
        <v>0</v>
      </c>
      <c r="J9" s="168">
        <v>0</v>
      </c>
      <c r="K9" s="168">
        <v>0</v>
      </c>
      <c r="L9" s="168">
        <v>0</v>
      </c>
      <c r="M9" s="168">
        <v>0</v>
      </c>
      <c r="N9" s="168">
        <v>0</v>
      </c>
      <c r="O9" s="168">
        <v>0</v>
      </c>
      <c r="P9" s="168">
        <v>0</v>
      </c>
      <c r="Q9" s="220">
        <v>0</v>
      </c>
      <c r="R9" s="118" t="e">
        <f t="shared" ref="R9:R15" si="5">((Q9/G9)^(1/($H$2-$H$1) ))-1</f>
        <v>#DIV/0!</v>
      </c>
      <c r="S9" s="31">
        <f t="shared" ref="S9:S52" si="6">$L$2</f>
        <v>0.25</v>
      </c>
      <c r="T9" s="153">
        <f t="shared" ref="T9" si="7">Q9*(1+$S9)</f>
        <v>0</v>
      </c>
      <c r="U9" s="153">
        <f t="shared" ref="U9" si="8">T9*(1+$S9)</f>
        <v>0</v>
      </c>
      <c r="V9" s="153">
        <f t="shared" ref="V9" si="9">U9*(1+$S9)</f>
        <v>0</v>
      </c>
      <c r="W9" s="153">
        <f t="shared" ref="W9" si="10">V9*(1+$S9)</f>
        <v>0</v>
      </c>
      <c r="X9" s="153">
        <f t="shared" ref="X9" si="11">W9*(1+$S9)</f>
        <v>0</v>
      </c>
      <c r="Y9" s="153">
        <f t="shared" ref="Y9" si="12">X9*(1+$S9)</f>
        <v>0</v>
      </c>
      <c r="Z9" s="153">
        <f t="shared" ref="Z9" si="13">Y9*(1+$S9)</f>
        <v>0</v>
      </c>
      <c r="AA9" s="153">
        <f t="shared" ref="AA9" si="14">Z9*(1+$S9)</f>
        <v>0</v>
      </c>
      <c r="AB9" s="153">
        <f t="shared" ref="AB9" si="15">AA9*(1+$S9)</f>
        <v>0</v>
      </c>
      <c r="AC9" s="153">
        <f t="shared" ref="AC9" si="16">AB9*(1+$S9)</f>
        <v>0</v>
      </c>
      <c r="AD9" s="137" t="e">
        <f>((AC9/G9)^(1/($AC$3-$H$1) ))-1</f>
        <v>#DIV/0!</v>
      </c>
      <c r="AE9" s="31">
        <f t="shared" ref="AE9:AE91" si="17">$L$1</f>
        <v>0.05</v>
      </c>
      <c r="AF9" s="145">
        <f t="shared" si="1"/>
        <v>0</v>
      </c>
    </row>
    <row r="10" spans="2:32">
      <c r="B10" s="20" t="s">
        <v>4</v>
      </c>
      <c r="C10" s="140"/>
      <c r="D10" s="140"/>
      <c r="E10" s="146"/>
      <c r="F10" s="146"/>
      <c r="G10" s="168">
        <v>7324</v>
      </c>
      <c r="H10" s="168">
        <v>7556</v>
      </c>
      <c r="I10" s="168">
        <v>11414</v>
      </c>
      <c r="J10" s="168">
        <v>19646</v>
      </c>
      <c r="K10" s="168">
        <v>26464</v>
      </c>
      <c r="L10" s="168">
        <v>24882</v>
      </c>
      <c r="M10" s="168">
        <v>35704</v>
      </c>
      <c r="N10" s="168">
        <v>49386</v>
      </c>
      <c r="O10" s="168">
        <v>65655</v>
      </c>
      <c r="P10" s="168">
        <v>86561</v>
      </c>
      <c r="Q10" s="220">
        <v>85396</v>
      </c>
      <c r="R10" s="118">
        <f t="shared" si="5"/>
        <v>0.31377508492309891</v>
      </c>
      <c r="S10" s="31">
        <f t="shared" si="6"/>
        <v>0.25</v>
      </c>
      <c r="T10" s="153">
        <f t="shared" si="2"/>
        <v>106745</v>
      </c>
      <c r="U10" s="153">
        <f t="shared" ref="U10:AC10" si="18">T10*(1+$S10)</f>
        <v>133431.25</v>
      </c>
      <c r="V10" s="153">
        <f t="shared" si="18"/>
        <v>166789.0625</v>
      </c>
      <c r="W10" s="153">
        <f t="shared" si="18"/>
        <v>208486.328125</v>
      </c>
      <c r="X10" s="153">
        <f t="shared" si="18"/>
        <v>260607.91015625</v>
      </c>
      <c r="Y10" s="153">
        <f t="shared" si="18"/>
        <v>325759.8876953125</v>
      </c>
      <c r="Z10" s="153">
        <f t="shared" si="18"/>
        <v>407199.85961914062</v>
      </c>
      <c r="AA10" s="153">
        <f t="shared" si="18"/>
        <v>508999.82452392578</v>
      </c>
      <c r="AB10" s="153">
        <f t="shared" si="18"/>
        <v>636249.78065490723</v>
      </c>
      <c r="AC10" s="153">
        <f t="shared" si="18"/>
        <v>795312.22581863403</v>
      </c>
      <c r="AD10" s="137">
        <f t="shared" ref="AD10:AD54" si="19">((AC10/G10)^(1/($AC$3-$H$1) ))-1</f>
        <v>0.26412338715551531</v>
      </c>
      <c r="AE10" s="31">
        <f t="shared" si="17"/>
        <v>0.05</v>
      </c>
      <c r="AF10" s="145">
        <f t="shared" si="1"/>
        <v>4912222.5712327398</v>
      </c>
    </row>
    <row r="11" spans="2:32">
      <c r="B11" s="20"/>
      <c r="C11" s="140"/>
      <c r="D11" s="140"/>
      <c r="E11" s="146"/>
      <c r="F11" s="146"/>
      <c r="G11" s="147">
        <f>(G10-F10)/G10</f>
        <v>1</v>
      </c>
      <c r="H11" s="222">
        <f>(H10-G10)/H10</f>
        <v>3.0704076230809951E-2</v>
      </c>
      <c r="I11" s="222">
        <f t="shared" ref="I11:Q11" si="20">(I10-H10)/I10</f>
        <v>0.33800595759593483</v>
      </c>
      <c r="J11" s="222">
        <f t="shared" si="20"/>
        <v>0.41901659370864297</v>
      </c>
      <c r="K11" s="222">
        <f t="shared" si="20"/>
        <v>0.25763301088270857</v>
      </c>
      <c r="L11" s="222">
        <f t="shared" si="20"/>
        <v>-6.358009806285668E-2</v>
      </c>
      <c r="M11" s="222">
        <f t="shared" si="20"/>
        <v>0.30310329374859962</v>
      </c>
      <c r="N11" s="222">
        <f t="shared" si="20"/>
        <v>0.27704207670189934</v>
      </c>
      <c r="O11" s="222">
        <f t="shared" si="20"/>
        <v>0.24779529358007768</v>
      </c>
      <c r="P11" s="222">
        <f t="shared" si="20"/>
        <v>0.24151754254225344</v>
      </c>
      <c r="Q11" s="221">
        <f t="shared" si="20"/>
        <v>-1.3642325167455151E-2</v>
      </c>
      <c r="R11" s="127"/>
      <c r="S11" s="20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19"/>
      <c r="AE11" s="31">
        <f t="shared" si="17"/>
        <v>0.05</v>
      </c>
      <c r="AF11" s="153"/>
    </row>
    <row r="12" spans="2:32">
      <c r="B12" s="20" t="s">
        <v>2</v>
      </c>
      <c r="C12" s="140"/>
      <c r="D12" s="140"/>
      <c r="E12" s="146"/>
      <c r="F12" s="146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220"/>
      <c r="R12" s="118" t="e">
        <f t="shared" si="5"/>
        <v>#DIV/0!</v>
      </c>
      <c r="S12" s="31">
        <f t="shared" si="6"/>
        <v>0.25</v>
      </c>
      <c r="T12" s="153">
        <f t="shared" si="2"/>
        <v>0</v>
      </c>
      <c r="U12" s="153">
        <f t="shared" ref="U12:AC14" si="21">T12*(1+$S12)</f>
        <v>0</v>
      </c>
      <c r="V12" s="153">
        <f t="shared" si="21"/>
        <v>0</v>
      </c>
      <c r="W12" s="153">
        <f t="shared" si="21"/>
        <v>0</v>
      </c>
      <c r="X12" s="153">
        <f t="shared" si="21"/>
        <v>0</v>
      </c>
      <c r="Y12" s="153">
        <f t="shared" si="21"/>
        <v>0</v>
      </c>
      <c r="Z12" s="153">
        <f t="shared" si="21"/>
        <v>0</v>
      </c>
      <c r="AA12" s="153">
        <f t="shared" si="21"/>
        <v>0</v>
      </c>
      <c r="AB12" s="153">
        <f t="shared" si="21"/>
        <v>0</v>
      </c>
      <c r="AC12" s="153">
        <f t="shared" si="21"/>
        <v>0</v>
      </c>
      <c r="AD12" s="137" t="e">
        <f t="shared" si="19"/>
        <v>#DIV/0!</v>
      </c>
      <c r="AE12" s="31">
        <f t="shared" si="17"/>
        <v>0.05</v>
      </c>
      <c r="AF12" s="145">
        <f t="shared" si="1"/>
        <v>0</v>
      </c>
    </row>
    <row r="13" spans="2:32">
      <c r="B13" s="20" t="s">
        <v>361</v>
      </c>
      <c r="C13" s="140"/>
      <c r="D13" s="140"/>
      <c r="E13" s="146"/>
      <c r="F13" s="146"/>
      <c r="G13" s="146">
        <v>127</v>
      </c>
      <c r="H13" s="146">
        <v>239</v>
      </c>
      <c r="I13" s="146">
        <v>449</v>
      </c>
      <c r="J13" s="146">
        <v>791</v>
      </c>
      <c r="K13" s="146">
        <v>1764</v>
      </c>
      <c r="L13" s="146">
        <v>1007</v>
      </c>
      <c r="M13" s="146">
        <v>2094</v>
      </c>
      <c r="N13" s="146">
        <v>2114</v>
      </c>
      <c r="O13" s="146">
        <v>2030</v>
      </c>
      <c r="P13" s="146">
        <v>2220</v>
      </c>
      <c r="Q13" s="223">
        <v>2960</v>
      </c>
      <c r="R13" s="118">
        <f t="shared" si="5"/>
        <v>0.41887164578649427</v>
      </c>
      <c r="S13" s="31">
        <v>0.1</v>
      </c>
      <c r="T13" s="153">
        <f t="shared" si="2"/>
        <v>3256.0000000000005</v>
      </c>
      <c r="U13" s="153">
        <f t="shared" si="21"/>
        <v>3581.6000000000008</v>
      </c>
      <c r="V13" s="153">
        <f t="shared" si="21"/>
        <v>3939.7600000000011</v>
      </c>
      <c r="W13" s="153">
        <f t="shared" si="21"/>
        <v>4333.7360000000017</v>
      </c>
      <c r="X13" s="153">
        <f t="shared" si="21"/>
        <v>4767.1096000000025</v>
      </c>
      <c r="Y13" s="153">
        <f t="shared" si="21"/>
        <v>5243.8205600000028</v>
      </c>
      <c r="Z13" s="153">
        <f t="shared" si="21"/>
        <v>5768.2026160000032</v>
      </c>
      <c r="AA13" s="153">
        <f t="shared" si="21"/>
        <v>6345.022877600004</v>
      </c>
      <c r="AB13" s="153">
        <f t="shared" si="21"/>
        <v>6979.5251653600053</v>
      </c>
      <c r="AC13" s="153">
        <f t="shared" si="21"/>
        <v>7677.4776818960063</v>
      </c>
      <c r="AD13" s="137">
        <f>((AC13/G13)^(1/($AC$3-$H$1) ))-1</f>
        <v>0.22763918461281474</v>
      </c>
      <c r="AE13" s="31">
        <v>0.08</v>
      </c>
      <c r="AF13" s="145">
        <f t="shared" si="1"/>
        <v>59226.25640319776</v>
      </c>
    </row>
    <row r="14" spans="2:32">
      <c r="B14" s="20" t="s">
        <v>362</v>
      </c>
      <c r="C14" s="140"/>
      <c r="D14" s="140"/>
      <c r="E14" s="146"/>
      <c r="F14" s="146"/>
      <c r="G14" s="146">
        <v>777</v>
      </c>
      <c r="H14" s="146">
        <v>494</v>
      </c>
      <c r="I14" s="146">
        <v>617</v>
      </c>
      <c r="J14" s="146">
        <v>1350</v>
      </c>
      <c r="K14" s="146">
        <v>1605</v>
      </c>
      <c r="L14" s="146">
        <v>430</v>
      </c>
      <c r="M14" s="146">
        <v>412</v>
      </c>
      <c r="N14" s="146">
        <v>879</v>
      </c>
      <c r="O14" s="146">
        <v>1545</v>
      </c>
      <c r="P14" s="146">
        <v>2297</v>
      </c>
      <c r="Q14" s="223">
        <v>3682</v>
      </c>
      <c r="R14" s="118">
        <f t="shared" si="5"/>
        <v>0.18870377140575245</v>
      </c>
      <c r="S14" s="31">
        <v>0.1</v>
      </c>
      <c r="T14" s="153">
        <f t="shared" si="2"/>
        <v>4050.2000000000003</v>
      </c>
      <c r="U14" s="153">
        <f t="shared" si="21"/>
        <v>4455.22</v>
      </c>
      <c r="V14" s="153">
        <f t="shared" si="21"/>
        <v>4900.7420000000011</v>
      </c>
      <c r="W14" s="153">
        <f t="shared" si="21"/>
        <v>5390.816200000002</v>
      </c>
      <c r="X14" s="153">
        <f t="shared" si="21"/>
        <v>5929.8978200000029</v>
      </c>
      <c r="Y14" s="153">
        <f t="shared" si="21"/>
        <v>6522.8876020000034</v>
      </c>
      <c r="Z14" s="153">
        <f t="shared" si="21"/>
        <v>7175.1763622000044</v>
      </c>
      <c r="AA14" s="153">
        <f t="shared" si="21"/>
        <v>7892.6939984200053</v>
      </c>
      <c r="AB14" s="153">
        <f t="shared" si="21"/>
        <v>8681.9633982620071</v>
      </c>
      <c r="AC14" s="153">
        <f t="shared" si="21"/>
        <v>9550.1597380882085</v>
      </c>
      <c r="AD14" s="137">
        <f t="shared" ref="AD14" si="22">((AC14/G14)^(1/($AC$3-$H$1) ))-1</f>
        <v>0.13365127511087072</v>
      </c>
      <c r="AE14" s="31">
        <v>0.08</v>
      </c>
      <c r="AF14" s="145">
        <f t="shared" si="1"/>
        <v>73672.660836680472</v>
      </c>
    </row>
    <row r="15" spans="2:32">
      <c r="B15" s="20" t="s">
        <v>218</v>
      </c>
      <c r="C15" s="140"/>
      <c r="D15" s="140"/>
      <c r="E15" s="146"/>
      <c r="F15" s="146"/>
      <c r="G15" s="168">
        <v>3609</v>
      </c>
      <c r="H15" s="168">
        <v>2705</v>
      </c>
      <c r="I15" s="168">
        <v>5048</v>
      </c>
      <c r="J15" s="168">
        <v>9128</v>
      </c>
      <c r="K15" s="168">
        <v>12569</v>
      </c>
      <c r="L15" s="168">
        <v>13313</v>
      </c>
      <c r="M15" s="168">
        <v>19484</v>
      </c>
      <c r="N15" s="168">
        <v>26048</v>
      </c>
      <c r="O15" s="168">
        <v>31658</v>
      </c>
      <c r="P15" s="168">
        <v>40907</v>
      </c>
      <c r="Q15" s="220">
        <v>38791</v>
      </c>
      <c r="R15" s="118">
        <f t="shared" si="5"/>
        <v>0.30194844778402818</v>
      </c>
      <c r="S15" s="31">
        <f t="shared" si="6"/>
        <v>0.25</v>
      </c>
      <c r="T15" s="153">
        <f t="shared" si="2"/>
        <v>48488.75</v>
      </c>
      <c r="U15" s="153">
        <f t="shared" ref="U15:AC15" si="23">T15*(1+$S15)</f>
        <v>60610.9375</v>
      </c>
      <c r="V15" s="153">
        <f t="shared" si="23"/>
        <v>75763.671875</v>
      </c>
      <c r="W15" s="153">
        <f t="shared" si="23"/>
        <v>94704.58984375</v>
      </c>
      <c r="X15" s="153">
        <f t="shared" si="23"/>
        <v>118380.7373046875</v>
      </c>
      <c r="Y15" s="153">
        <f t="shared" si="23"/>
        <v>147975.92163085937</v>
      </c>
      <c r="Z15" s="153">
        <f t="shared" si="23"/>
        <v>184969.90203857422</v>
      </c>
      <c r="AA15" s="153">
        <f t="shared" si="23"/>
        <v>231212.37754821777</v>
      </c>
      <c r="AB15" s="153">
        <f t="shared" si="23"/>
        <v>289015.47193527222</v>
      </c>
      <c r="AC15" s="153">
        <f t="shared" si="23"/>
        <v>361269.33991909027</v>
      </c>
      <c r="AD15" s="137">
        <f t="shared" si="19"/>
        <v>0.25898979881737882</v>
      </c>
      <c r="AE15" s="31">
        <f t="shared" si="17"/>
        <v>0.05</v>
      </c>
      <c r="AF15" s="145">
        <f t="shared" si="1"/>
        <v>2231369.45244144</v>
      </c>
    </row>
    <row r="16" spans="2:32">
      <c r="B16" s="20"/>
      <c r="C16" s="140"/>
      <c r="D16" s="140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27"/>
      <c r="S16" s="20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38"/>
      <c r="AE16" s="136"/>
      <c r="AF16" s="153"/>
    </row>
    <row r="17" spans="2:32">
      <c r="B17" s="20" t="s">
        <v>363</v>
      </c>
      <c r="C17" s="140"/>
      <c r="D17" s="140"/>
      <c r="E17" s="146"/>
      <c r="F17" s="146"/>
      <c r="G17" s="146">
        <v>2429</v>
      </c>
      <c r="H17" s="146">
        <v>4599</v>
      </c>
      <c r="I17" s="146">
        <v>12901</v>
      </c>
      <c r="J17" s="146">
        <v>18613</v>
      </c>
      <c r="K17" s="146">
        <v>133182</v>
      </c>
      <c r="L17" s="146">
        <v>59590</v>
      </c>
      <c r="M17" s="146">
        <v>35690</v>
      </c>
      <c r="N17" s="146">
        <v>37693</v>
      </c>
      <c r="O17" s="146">
        <v>42221</v>
      </c>
      <c r="P17" s="146">
        <v>43980</v>
      </c>
      <c r="Q17" s="223">
        <v>48822</v>
      </c>
      <c r="R17" s="118">
        <f>((Q17/G17)^(1/($H$2-$H$1) ))-1</f>
        <v>0.39572119109419179</v>
      </c>
      <c r="S17" s="31">
        <v>0.1</v>
      </c>
      <c r="T17" s="153">
        <f t="shared" ref="T17" si="24">Q17*(1+$S17)</f>
        <v>53704.200000000004</v>
      </c>
      <c r="U17" s="153">
        <f t="shared" ref="U17" si="25">T17*(1+$S17)</f>
        <v>59074.62000000001</v>
      </c>
      <c r="V17" s="153">
        <f t="shared" ref="V17" si="26">U17*(1+$S17)</f>
        <v>64982.082000000017</v>
      </c>
      <c r="W17" s="153">
        <f t="shared" ref="W17" si="27">V17*(1+$S17)</f>
        <v>71480.290200000018</v>
      </c>
      <c r="X17" s="153">
        <f t="shared" ref="X17" si="28">W17*(1+$S17)</f>
        <v>78628.319220000019</v>
      </c>
      <c r="Y17" s="153">
        <f t="shared" ref="Y17" si="29">X17*(1+$S17)</f>
        <v>86491.151142000032</v>
      </c>
      <c r="Z17" s="153">
        <f t="shared" ref="Z17" si="30">Y17*(1+$S17)</f>
        <v>95140.266256200048</v>
      </c>
      <c r="AA17" s="153">
        <f t="shared" ref="AA17" si="31">Z17*(1+$S17)</f>
        <v>104654.29288182006</v>
      </c>
      <c r="AB17" s="153">
        <f t="shared" ref="AB17" si="32">AA17*(1+$S17)</f>
        <v>115119.72217000207</v>
      </c>
      <c r="AC17" s="153">
        <f t="shared" ref="AC17" si="33">AB17*(1+$S17)</f>
        <v>126631.6943870023</v>
      </c>
      <c r="AD17" s="137">
        <f t="shared" ref="AD17" si="34">((AC17/G17)^(1/($AC$3-$H$1) ))-1</f>
        <v>0.21858476773659818</v>
      </c>
      <c r="AE17" s="31">
        <v>0.08</v>
      </c>
      <c r="AF17" s="145">
        <f t="shared" si="1"/>
        <v>976873.07098544622</v>
      </c>
    </row>
    <row r="18" spans="2:32">
      <c r="B18" s="20" t="s">
        <v>364</v>
      </c>
      <c r="C18" s="140"/>
      <c r="D18" s="140"/>
      <c r="E18" s="146"/>
      <c r="F18" s="146"/>
      <c r="G18" s="146">
        <v>6.66</v>
      </c>
      <c r="H18" s="146">
        <v>49.7</v>
      </c>
      <c r="I18" s="146">
        <v>303</v>
      </c>
      <c r="J18" s="146">
        <v>512</v>
      </c>
      <c r="K18" s="146">
        <v>843</v>
      </c>
      <c r="L18" s="146">
        <v>1205</v>
      </c>
      <c r="M18" s="146">
        <v>3063</v>
      </c>
      <c r="N18" s="146">
        <v>0</v>
      </c>
      <c r="O18" s="146">
        <v>0</v>
      </c>
      <c r="P18" s="146">
        <v>0</v>
      </c>
      <c r="Q18" s="223">
        <v>0</v>
      </c>
      <c r="R18" s="118">
        <f>((Q18/G18)^(1/($H$2-$H$1) ))-1</f>
        <v>-1</v>
      </c>
      <c r="S18" s="31">
        <v>0.1</v>
      </c>
      <c r="T18" s="153">
        <f t="shared" ref="T18" si="35">Q18*(1+$S18)</f>
        <v>0</v>
      </c>
      <c r="U18" s="153">
        <f t="shared" ref="U18:AC18" si="36">T18*(1+$S18)</f>
        <v>0</v>
      </c>
      <c r="V18" s="153">
        <f t="shared" si="36"/>
        <v>0</v>
      </c>
      <c r="W18" s="153">
        <f t="shared" si="36"/>
        <v>0</v>
      </c>
      <c r="X18" s="153">
        <f t="shared" si="36"/>
        <v>0</v>
      </c>
      <c r="Y18" s="153">
        <f t="shared" si="36"/>
        <v>0</v>
      </c>
      <c r="Z18" s="153">
        <f t="shared" si="36"/>
        <v>0</v>
      </c>
      <c r="AA18" s="153">
        <f t="shared" si="36"/>
        <v>0</v>
      </c>
      <c r="AB18" s="153">
        <f t="shared" si="36"/>
        <v>0</v>
      </c>
      <c r="AC18" s="153">
        <f t="shared" si="36"/>
        <v>0</v>
      </c>
      <c r="AD18" s="137">
        <f t="shared" ref="AD18" si="37">((AC18/G18)^(1/($AC$3-$H$1) ))-1</f>
        <v>-1</v>
      </c>
      <c r="AE18" s="31">
        <v>0.08</v>
      </c>
      <c r="AF18" s="145">
        <f t="shared" si="1"/>
        <v>0</v>
      </c>
    </row>
    <row r="19" spans="2:3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223"/>
      <c r="R19" s="127"/>
      <c r="S19" s="20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38"/>
      <c r="AE19" s="136"/>
      <c r="AF19" s="153"/>
    </row>
    <row r="20" spans="2:32">
      <c r="B20" s="20" t="s">
        <v>278</v>
      </c>
      <c r="C20" s="140"/>
      <c r="D20" s="140"/>
      <c r="E20" s="146"/>
      <c r="F20" s="146"/>
      <c r="G20" s="168">
        <v>141</v>
      </c>
      <c r="H20" s="168">
        <v>159</v>
      </c>
      <c r="I20" s="168">
        <v>179</v>
      </c>
      <c r="J20" s="168">
        <v>239</v>
      </c>
      <c r="K20" s="168">
        <v>336</v>
      </c>
      <c r="L20" s="168">
        <v>341</v>
      </c>
      <c r="M20" s="168">
        <v>614</v>
      </c>
      <c r="N20" s="168">
        <v>600</v>
      </c>
      <c r="O20" s="168">
        <v>615</v>
      </c>
      <c r="P20" s="168">
        <v>620</v>
      </c>
      <c r="Q20" s="220">
        <v>1264</v>
      </c>
      <c r="R20" s="118">
        <f>((Q20/G20)^(1/($H$2-$H$1) ))-1</f>
        <v>0.27595817908004672</v>
      </c>
      <c r="S20" s="31">
        <f t="shared" si="6"/>
        <v>0.25</v>
      </c>
      <c r="T20" s="153">
        <f t="shared" ref="T20:T46" si="38">Q20*(1+$S20)</f>
        <v>1580</v>
      </c>
      <c r="U20" s="153">
        <f t="shared" ref="U20:U46" si="39">T20*(1+$S20)</f>
        <v>1975</v>
      </c>
      <c r="V20" s="153">
        <f t="shared" ref="V20:V46" si="40">U20*(1+$S20)</f>
        <v>2468.75</v>
      </c>
      <c r="W20" s="153">
        <f t="shared" ref="W20:W46" si="41">V20*(1+$S20)</f>
        <v>3085.9375</v>
      </c>
      <c r="X20" s="153">
        <f t="shared" ref="X20:X48" si="42">W20*(1+$S20)</f>
        <v>3857.421875</v>
      </c>
      <c r="Y20" s="153">
        <f t="shared" ref="Y20:Y48" si="43">X20*(1+$S20)</f>
        <v>4821.77734375</v>
      </c>
      <c r="Z20" s="153">
        <f t="shared" ref="Z20:Z48" si="44">Y20*(1+$S20)</f>
        <v>6027.2216796875</v>
      </c>
      <c r="AA20" s="153">
        <f t="shared" ref="AA20:AA48" si="45">Z20*(1+$S20)</f>
        <v>7534.027099609375</v>
      </c>
      <c r="AB20" s="153">
        <f t="shared" ref="AB20:AB48" si="46">AA20*(1+$S20)</f>
        <v>9417.5338745117187</v>
      </c>
      <c r="AC20" s="153">
        <f t="shared" ref="AC20:AC48" si="47">AB20*(1+$S20)</f>
        <v>11771.917343139648</v>
      </c>
      <c r="AD20" s="137">
        <f t="shared" si="19"/>
        <v>0.24761734690323545</v>
      </c>
      <c r="AE20" s="31">
        <f t="shared" si="17"/>
        <v>0.05</v>
      </c>
      <c r="AF20" s="145">
        <f t="shared" si="1"/>
        <v>72708.901237039012</v>
      </c>
    </row>
    <row r="21" spans="2:32">
      <c r="B21" s="20"/>
      <c r="C21" s="140"/>
      <c r="D21" s="140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27"/>
      <c r="S21" s="20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38"/>
      <c r="AE21" s="136"/>
      <c r="AF21" s="153"/>
    </row>
    <row r="22" spans="2:32">
      <c r="B22" s="20" t="s">
        <v>284</v>
      </c>
      <c r="C22" s="140"/>
      <c r="D22" s="140"/>
      <c r="E22" s="146"/>
      <c r="F22" s="146"/>
      <c r="G22" s="146">
        <v>81</v>
      </c>
      <c r="H22" s="146">
        <v>-263</v>
      </c>
      <c r="I22" s="146">
        <v>118</v>
      </c>
      <c r="J22" s="146">
        <v>384</v>
      </c>
      <c r="K22" s="146">
        <v>-655</v>
      </c>
      <c r="L22" s="146">
        <v>-833</v>
      </c>
      <c r="M22" s="146">
        <v>1572</v>
      </c>
      <c r="N22" s="146">
        <v>-1474</v>
      </c>
      <c r="O22" s="146">
        <v>-1338</v>
      </c>
      <c r="P22" s="146">
        <v>-1405</v>
      </c>
      <c r="Q22" s="146">
        <v>9001</v>
      </c>
      <c r="R22" s="118">
        <f>((Q22/G22)^(1/($H$2-$H$1) ))-1</f>
        <v>0.68776411679873339</v>
      </c>
      <c r="S22" s="31">
        <f t="shared" si="6"/>
        <v>0.25</v>
      </c>
      <c r="T22" s="153">
        <f t="shared" ref="T22:T24" si="48">Q22*(1+$S22)</f>
        <v>11251.25</v>
      </c>
      <c r="U22" s="153">
        <f t="shared" ref="U22:U24" si="49">T22*(1+$S22)</f>
        <v>14064.0625</v>
      </c>
      <c r="V22" s="153">
        <f t="shared" ref="V22:V24" si="50">U22*(1+$S22)</f>
        <v>17580.078125</v>
      </c>
      <c r="W22" s="153">
        <f t="shared" ref="W22:W24" si="51">V22*(1+$S22)</f>
        <v>21975.09765625</v>
      </c>
      <c r="X22" s="153">
        <f t="shared" ref="X22:X24" si="52">W22*(1+$S22)</f>
        <v>27468.8720703125</v>
      </c>
      <c r="Y22" s="153">
        <f t="shared" ref="Y22:Y24" si="53">X22*(1+$S22)</f>
        <v>34336.090087890625</v>
      </c>
      <c r="Z22" s="153">
        <f t="shared" ref="Z22:Z24" si="54">Y22*(1+$S22)</f>
        <v>42920.112609863281</v>
      </c>
      <c r="AA22" s="153">
        <f t="shared" ref="AA22:AA24" si="55">Z22*(1+$S22)</f>
        <v>53650.140762329102</v>
      </c>
      <c r="AB22" s="153">
        <f t="shared" ref="AB22:AB24" si="56">AA22*(1+$S22)</f>
        <v>67062.675952911377</v>
      </c>
      <c r="AC22" s="153">
        <f t="shared" ref="AC22:AC24" si="57">AB22*(1+$S22)</f>
        <v>83828.344941139221</v>
      </c>
      <c r="AD22" s="137">
        <f t="shared" ref="AD22:AD24" si="58">((AC22/G22)^(1/($AC$3-$H$1) ))-1</f>
        <v>0.41496368433698261</v>
      </c>
      <c r="AE22" s="31">
        <f t="shared" si="17"/>
        <v>0.05</v>
      </c>
      <c r="AF22" s="145">
        <f t="shared" si="1"/>
        <v>517763.30698938936</v>
      </c>
    </row>
    <row r="23" spans="2:32">
      <c r="B23" s="20" t="s">
        <v>285</v>
      </c>
      <c r="C23" s="140"/>
      <c r="D23" s="140"/>
      <c r="E23" s="146"/>
      <c r="F23" s="146"/>
      <c r="G23" s="146">
        <v>29</v>
      </c>
      <c r="H23" s="146">
        <v>-55</v>
      </c>
      <c r="I23" s="146">
        <v>56</v>
      </c>
      <c r="J23" s="146">
        <v>-125</v>
      </c>
      <c r="K23" s="146">
        <v>-180</v>
      </c>
      <c r="L23" s="146">
        <v>-95</v>
      </c>
      <c r="M23" s="146">
        <v>-275</v>
      </c>
      <c r="N23" s="146">
        <v>-79</v>
      </c>
      <c r="O23" s="146">
        <v>-131</v>
      </c>
      <c r="P23" s="146">
        <v>-1478</v>
      </c>
      <c r="Q23" s="146">
        <v>-549</v>
      </c>
      <c r="R23" s="118">
        <f>((Q23/G23)^(1/($H$2-$H$1) ))-1</f>
        <v>-2.3864629250019354</v>
      </c>
      <c r="S23" s="31">
        <f t="shared" si="6"/>
        <v>0.25</v>
      </c>
      <c r="T23" s="153">
        <f t="shared" si="48"/>
        <v>-686.25</v>
      </c>
      <c r="U23" s="153">
        <f t="shared" si="49"/>
        <v>-857.8125</v>
      </c>
      <c r="V23" s="153">
        <f t="shared" si="50"/>
        <v>-1072.265625</v>
      </c>
      <c r="W23" s="153">
        <f t="shared" si="51"/>
        <v>-1340.33203125</v>
      </c>
      <c r="X23" s="153">
        <f t="shared" si="52"/>
        <v>-1675.4150390625</v>
      </c>
      <c r="Y23" s="153">
        <f t="shared" si="53"/>
        <v>-2094.268798828125</v>
      </c>
      <c r="Z23" s="153">
        <f t="shared" si="54"/>
        <v>-2617.8359985351562</v>
      </c>
      <c r="AA23" s="153">
        <f t="shared" si="55"/>
        <v>-3272.2949981689453</v>
      </c>
      <c r="AB23" s="153">
        <f t="shared" si="56"/>
        <v>-4090.3687477111816</v>
      </c>
      <c r="AC23" s="153">
        <f t="shared" si="57"/>
        <v>-5112.9609346389771</v>
      </c>
      <c r="AD23" s="137" t="e">
        <f t="shared" si="58"/>
        <v>#NUM!</v>
      </c>
      <c r="AE23" s="31">
        <f t="shared" si="17"/>
        <v>0.05</v>
      </c>
      <c r="AF23" s="145">
        <f t="shared" si="1"/>
        <v>-31580.052831593686</v>
      </c>
    </row>
    <row r="24" spans="2:32">
      <c r="B24" s="20" t="s">
        <v>286</v>
      </c>
      <c r="C24" s="140"/>
      <c r="D24" s="140"/>
      <c r="E24" s="146"/>
      <c r="F24" s="146"/>
      <c r="G24" s="146">
        <v>-12</v>
      </c>
      <c r="H24" s="146">
        <v>62</v>
      </c>
      <c r="I24" s="146">
        <v>-12</v>
      </c>
      <c r="J24" s="146">
        <v>437</v>
      </c>
      <c r="K24" s="146">
        <v>1689</v>
      </c>
      <c r="L24" s="146">
        <v>-36</v>
      </c>
      <c r="M24" s="146">
        <v>-137</v>
      </c>
      <c r="N24" s="146">
        <v>1724</v>
      </c>
      <c r="O24" s="146">
        <v>1633</v>
      </c>
      <c r="P24" s="146">
        <v>3938</v>
      </c>
      <c r="Q24" s="146">
        <v>-6161</v>
      </c>
      <c r="R24" s="118">
        <f>((Q24/G24)^(1/($H$2-$H$1) ))-1</f>
        <v>1.0006141178630159</v>
      </c>
      <c r="S24" s="31">
        <f t="shared" si="6"/>
        <v>0.25</v>
      </c>
      <c r="T24" s="153">
        <f t="shared" si="48"/>
        <v>-7701.25</v>
      </c>
      <c r="U24" s="153">
        <f t="shared" si="49"/>
        <v>-9626.5625</v>
      </c>
      <c r="V24" s="153">
        <f t="shared" si="50"/>
        <v>-12033.203125</v>
      </c>
      <c r="W24" s="153">
        <f t="shared" si="51"/>
        <v>-15041.50390625</v>
      </c>
      <c r="X24" s="153">
        <f t="shared" si="52"/>
        <v>-18801.8798828125</v>
      </c>
      <c r="Y24" s="153">
        <f t="shared" si="53"/>
        <v>-23502.349853515625</v>
      </c>
      <c r="Z24" s="153">
        <f t="shared" si="54"/>
        <v>-29377.937316894531</v>
      </c>
      <c r="AA24" s="153">
        <f t="shared" si="55"/>
        <v>-36722.421646118164</v>
      </c>
      <c r="AB24" s="153">
        <f t="shared" si="56"/>
        <v>-45903.027057647705</v>
      </c>
      <c r="AC24" s="153">
        <f t="shared" si="57"/>
        <v>-57378.783822059631</v>
      </c>
      <c r="AD24" s="137">
        <f t="shared" si="58"/>
        <v>0.52749045339132006</v>
      </c>
      <c r="AE24" s="31">
        <f t="shared" si="17"/>
        <v>0.05</v>
      </c>
      <c r="AF24" s="145">
        <f t="shared" si="1"/>
        <v>-354398.37066566246</v>
      </c>
    </row>
    <row r="25" spans="2:32">
      <c r="B25" s="20" t="s">
        <v>296</v>
      </c>
      <c r="C25" s="140"/>
      <c r="D25" s="140"/>
      <c r="E25" s="146"/>
      <c r="F25" s="146"/>
      <c r="G25" s="146">
        <v>69</v>
      </c>
      <c r="H25" s="146">
        <v>419</v>
      </c>
      <c r="I25" s="146">
        <v>581</v>
      </c>
      <c r="J25" s="146">
        <v>1278</v>
      </c>
      <c r="K25" s="146">
        <v>2131</v>
      </c>
      <c r="L25" s="146">
        <v>1140</v>
      </c>
      <c r="M25" s="146">
        <v>2300</v>
      </c>
      <c r="N25" s="146">
        <v>2470</v>
      </c>
      <c r="O25" s="146">
        <v>2634</v>
      </c>
      <c r="P25" s="146">
        <v>3689</v>
      </c>
      <c r="Q25" s="146">
        <v>5979</v>
      </c>
      <c r="R25" s="118">
        <f>((Q25/G25)^(1/($H$2-$H$1) ))-1</f>
        <v>0.64175682047905025</v>
      </c>
      <c r="S25" s="31">
        <f t="shared" si="6"/>
        <v>0.25</v>
      </c>
      <c r="T25" s="153">
        <f t="shared" ref="T25" si="59">Q25*(1+$S25)</f>
        <v>7473.75</v>
      </c>
      <c r="U25" s="153">
        <f t="shared" ref="U25" si="60">T25*(1+$S25)</f>
        <v>9342.1875</v>
      </c>
      <c r="V25" s="153">
        <f t="shared" ref="V25" si="61">U25*(1+$S25)</f>
        <v>11677.734375</v>
      </c>
      <c r="W25" s="153">
        <f t="shared" ref="W25" si="62">V25*(1+$S25)</f>
        <v>14597.16796875</v>
      </c>
      <c r="X25" s="153">
        <f t="shared" ref="X25" si="63">W25*(1+$S25)</f>
        <v>18246.4599609375</v>
      </c>
      <c r="Y25" s="153">
        <f t="shared" ref="Y25" si="64">X25*(1+$S25)</f>
        <v>22808.074951171875</v>
      </c>
      <c r="Z25" s="153">
        <f t="shared" ref="Z25" si="65">Y25*(1+$S25)</f>
        <v>28510.093688964844</v>
      </c>
      <c r="AA25" s="153">
        <f t="shared" ref="AA25" si="66">Z25*(1+$S25)</f>
        <v>35637.617111206055</v>
      </c>
      <c r="AB25" s="153">
        <f t="shared" ref="AB25" si="67">AA25*(1+$S25)</f>
        <v>44547.021389007568</v>
      </c>
      <c r="AC25" s="153">
        <f t="shared" ref="AC25" si="68">AB25*(1+$S25)</f>
        <v>55683.77673625946</v>
      </c>
      <c r="AD25" s="137">
        <f t="shared" ref="AD25" si="69">((AC25/G25)^(1/($AC$3-$H$1) ))-1</f>
        <v>0.39747478209430898</v>
      </c>
      <c r="AE25" s="31">
        <f t="shared" si="17"/>
        <v>0.05</v>
      </c>
      <c r="AF25" s="145">
        <f t="shared" si="1"/>
        <v>343929.20925336727</v>
      </c>
    </row>
    <row r="26" spans="2:32">
      <c r="B26" s="20"/>
      <c r="C26" s="140"/>
      <c r="D26" s="140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61"/>
      <c r="AE26" s="119"/>
      <c r="AF26" s="153"/>
    </row>
    <row r="27" spans="2:32">
      <c r="B27" s="20" t="s">
        <v>365</v>
      </c>
      <c r="C27" s="140"/>
      <c r="D27" s="140"/>
      <c r="E27" s="146"/>
      <c r="F27" s="146"/>
      <c r="G27" s="146">
        <v>4220</v>
      </c>
      <c r="H27" s="146">
        <v>3832</v>
      </c>
      <c r="I27" s="146">
        <v>5616</v>
      </c>
      <c r="J27" s="146">
        <v>9660</v>
      </c>
      <c r="K27" s="146">
        <v>13691</v>
      </c>
      <c r="L27" s="146">
        <v>13822</v>
      </c>
      <c r="M27" s="146">
        <v>21819</v>
      </c>
      <c r="N27" s="146">
        <v>27312</v>
      </c>
      <c r="O27" s="146">
        <v>36460</v>
      </c>
      <c r="P27" s="146">
        <v>49389</v>
      </c>
      <c r="Q27" s="223">
        <v>56292</v>
      </c>
      <c r="R27" s="118">
        <f>((Q27/G27)^(1/($H$2-$H$1) ))-1</f>
        <v>0.33356722777485714</v>
      </c>
      <c r="S27" s="31">
        <v>0.11</v>
      </c>
      <c r="T27" s="153">
        <f t="shared" ref="T27:T33" si="70">Q27*(1+$S27)</f>
        <v>62484.12</v>
      </c>
      <c r="U27" s="153">
        <f t="shared" ref="U27:AC33" si="71">T27*(1+$S27)</f>
        <v>69357.373200000002</v>
      </c>
      <c r="V27" s="153">
        <f t="shared" si="71"/>
        <v>76986.684252000006</v>
      </c>
      <c r="W27" s="153">
        <f t="shared" si="71"/>
        <v>85455.21951972002</v>
      </c>
      <c r="X27" s="153">
        <f t="shared" si="71"/>
        <v>94855.293666889236</v>
      </c>
      <c r="Y27" s="153">
        <f t="shared" si="71"/>
        <v>105289.37597024706</v>
      </c>
      <c r="Z27" s="153">
        <f t="shared" si="71"/>
        <v>116871.20732697424</v>
      </c>
      <c r="AA27" s="153">
        <f t="shared" si="71"/>
        <v>129727.04013294142</v>
      </c>
      <c r="AB27" s="153">
        <f t="shared" si="71"/>
        <v>143997.01454756499</v>
      </c>
      <c r="AC27" s="153">
        <f t="shared" si="71"/>
        <v>159836.68614779715</v>
      </c>
      <c r="AD27" s="137">
        <f t="shared" ref="AD27:AD33" si="72">((AC27/G27)^(1/($AC$3-$H$1) ))-1</f>
        <v>0.19927339917447262</v>
      </c>
      <c r="AE27" s="31">
        <v>0.05</v>
      </c>
      <c r="AF27" s="145">
        <f t="shared" si="1"/>
        <v>987226.59091286489</v>
      </c>
    </row>
    <row r="28" spans="2:32">
      <c r="B28" s="20"/>
      <c r="C28" s="140"/>
      <c r="D28" s="140"/>
      <c r="E28" s="146"/>
      <c r="F28" s="146"/>
      <c r="G28" s="147">
        <f>(G27-F27)/G27</f>
        <v>1</v>
      </c>
      <c r="H28" s="147">
        <f>(H27-G27)/H27</f>
        <v>-0.10125260960334029</v>
      </c>
      <c r="I28" s="147">
        <f t="shared" ref="I28:Q28" si="73">(I27-H27)/I27</f>
        <v>0.31766381766381768</v>
      </c>
      <c r="J28" s="147">
        <f t="shared" si="73"/>
        <v>0.41863354037267081</v>
      </c>
      <c r="K28" s="147">
        <f t="shared" si="73"/>
        <v>0.29442699583668103</v>
      </c>
      <c r="L28" s="147">
        <f t="shared" si="73"/>
        <v>9.4776443351179285E-3</v>
      </c>
      <c r="M28" s="147">
        <f t="shared" si="73"/>
        <v>0.36651542233832896</v>
      </c>
      <c r="N28" s="147">
        <f t="shared" si="73"/>
        <v>0.20112038664323376</v>
      </c>
      <c r="O28" s="147">
        <f t="shared" si="73"/>
        <v>0.25090510148107514</v>
      </c>
      <c r="P28" s="147">
        <f t="shared" si="73"/>
        <v>0.2617789386300593</v>
      </c>
      <c r="Q28" s="221">
        <f t="shared" si="73"/>
        <v>0.12262843743338307</v>
      </c>
      <c r="R28" s="3"/>
      <c r="S28" s="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38"/>
      <c r="AE28" s="127"/>
      <c r="AF28" s="145"/>
    </row>
    <row r="29" spans="2:32">
      <c r="B29" s="20" t="s">
        <v>366</v>
      </c>
      <c r="C29" s="140"/>
      <c r="D29" s="140"/>
      <c r="E29" s="146"/>
      <c r="F29" s="146"/>
      <c r="G29" s="146">
        <v>3103</v>
      </c>
      <c r="H29" s="146">
        <v>3723</v>
      </c>
      <c r="I29" s="146">
        <v>5797</v>
      </c>
      <c r="J29" s="146">
        <v>9985</v>
      </c>
      <c r="K29" s="146">
        <v>12772</v>
      </c>
      <c r="L29" s="146">
        <v>11059</v>
      </c>
      <c r="M29" s="146">
        <v>13885</v>
      </c>
      <c r="N29" s="146">
        <v>22073</v>
      </c>
      <c r="O29" s="146">
        <v>29194</v>
      </c>
      <c r="P29" s="146">
        <v>36171</v>
      </c>
      <c r="Q29" s="223">
        <v>29007</v>
      </c>
      <c r="R29" s="118">
        <f>((Q29/G29)^(1/($H$2-$H$1) ))-1</f>
        <v>0.28191105624712587</v>
      </c>
      <c r="S29" s="31">
        <v>0.1</v>
      </c>
      <c r="T29" s="153">
        <f t="shared" ref="T29" si="74">Q29*(1+$S29)</f>
        <v>31907.700000000004</v>
      </c>
      <c r="U29" s="153">
        <f t="shared" ref="U29:AC29" si="75">T29*(1+$S29)</f>
        <v>35098.470000000008</v>
      </c>
      <c r="V29" s="153">
        <f t="shared" si="75"/>
        <v>38608.31700000001</v>
      </c>
      <c r="W29" s="153">
        <f t="shared" si="75"/>
        <v>42469.148700000012</v>
      </c>
      <c r="X29" s="153">
        <f t="shared" si="75"/>
        <v>46716.06357000002</v>
      </c>
      <c r="Y29" s="153">
        <f t="shared" si="75"/>
        <v>51387.669927000024</v>
      </c>
      <c r="Z29" s="153">
        <f t="shared" si="75"/>
        <v>56526.436919700034</v>
      </c>
      <c r="AA29" s="153">
        <f t="shared" si="75"/>
        <v>62179.080611670041</v>
      </c>
      <c r="AB29" s="153">
        <f t="shared" si="75"/>
        <v>68396.988672837047</v>
      </c>
      <c r="AC29" s="153">
        <f t="shared" si="75"/>
        <v>75236.687540120765</v>
      </c>
      <c r="AD29" s="137">
        <f t="shared" ref="AD29" si="76">((AC29/G29)^(1/($AC$3-$H$1) ))-1</f>
        <v>0.17282278477816782</v>
      </c>
      <c r="AE29" s="31">
        <v>0.05</v>
      </c>
      <c r="AF29" s="145">
        <f t="shared" si="1"/>
        <v>464697.1877478048</v>
      </c>
    </row>
    <row r="30" spans="2:32">
      <c r="B30" s="20"/>
      <c r="C30" s="140"/>
      <c r="D30" s="140"/>
      <c r="E30" s="146"/>
      <c r="F30" s="146"/>
      <c r="G30" s="147">
        <f>(G29-F29)/G29</f>
        <v>1</v>
      </c>
      <c r="H30" s="147">
        <f>(H29-G29)/H29</f>
        <v>0.16653236637120603</v>
      </c>
      <c r="I30" s="147">
        <f t="shared" ref="I30:Q30" si="77">(I29-H29)/I29</f>
        <v>0.35777126099706746</v>
      </c>
      <c r="J30" s="147">
        <f t="shared" si="77"/>
        <v>0.41942914371557338</v>
      </c>
      <c r="K30" s="147">
        <f t="shared" si="77"/>
        <v>0.21821171312245538</v>
      </c>
      <c r="L30" s="147">
        <f t="shared" si="77"/>
        <v>-0.15489646441812099</v>
      </c>
      <c r="M30" s="147">
        <f t="shared" si="77"/>
        <v>0.20352898811667267</v>
      </c>
      <c r="N30" s="147">
        <f t="shared" si="77"/>
        <v>0.37095093553209801</v>
      </c>
      <c r="O30" s="147">
        <f t="shared" si="77"/>
        <v>0.24391998355826539</v>
      </c>
      <c r="P30" s="147">
        <f t="shared" si="77"/>
        <v>0.19288933123220259</v>
      </c>
      <c r="Q30" s="221">
        <f t="shared" si="77"/>
        <v>-0.24697486813527769</v>
      </c>
      <c r="R30" s="3"/>
      <c r="S30" s="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38"/>
      <c r="AE30" s="127"/>
      <c r="AF30" s="145"/>
    </row>
    <row r="31" spans="2:32">
      <c r="B31" s="20" t="s">
        <v>367</v>
      </c>
      <c r="C31" s="140"/>
      <c r="D31" s="140"/>
      <c r="E31" s="146"/>
      <c r="F31" s="146"/>
      <c r="G31" s="146">
        <v>927</v>
      </c>
      <c r="H31" s="146">
        <v>1565</v>
      </c>
      <c r="I31" s="146">
        <v>2983</v>
      </c>
      <c r="J31" s="146">
        <v>4011</v>
      </c>
      <c r="K31" s="146">
        <v>5357</v>
      </c>
      <c r="L31" s="146">
        <v>4935</v>
      </c>
      <c r="M31" s="146">
        <v>4992</v>
      </c>
      <c r="N31" s="146">
        <v>5042</v>
      </c>
      <c r="O31" s="146">
        <v>4586</v>
      </c>
      <c r="P31" s="146">
        <v>4720</v>
      </c>
      <c r="Q31" s="223">
        <v>5929</v>
      </c>
      <c r="R31" s="118">
        <f>((Q31/G31)^(1/($H$2-$H$1) ))-1</f>
        <v>0.22897948992085637</v>
      </c>
      <c r="S31" s="31">
        <v>0.1</v>
      </c>
      <c r="T31" s="153">
        <f t="shared" ref="T31" si="78">Q31*(1+$S31)</f>
        <v>6521.9000000000005</v>
      </c>
      <c r="U31" s="153">
        <f t="shared" ref="U31:AC31" si="79">T31*(1+$S31)</f>
        <v>7174.0900000000011</v>
      </c>
      <c r="V31" s="153">
        <f t="shared" si="79"/>
        <v>7891.4990000000016</v>
      </c>
      <c r="W31" s="153">
        <f t="shared" si="79"/>
        <v>8680.648900000002</v>
      </c>
      <c r="X31" s="153">
        <f t="shared" si="79"/>
        <v>9548.7137900000034</v>
      </c>
      <c r="Y31" s="153">
        <f t="shared" si="79"/>
        <v>10503.585169000005</v>
      </c>
      <c r="Z31" s="153">
        <f t="shared" si="79"/>
        <v>11553.943685900007</v>
      </c>
      <c r="AA31" s="153">
        <f t="shared" si="79"/>
        <v>12709.338054490008</v>
      </c>
      <c r="AB31" s="153">
        <f t="shared" si="79"/>
        <v>13980.27185993901</v>
      </c>
      <c r="AC31" s="153">
        <f t="shared" si="79"/>
        <v>15378.299045932912</v>
      </c>
      <c r="AD31" s="137">
        <f t="shared" ref="AD31" si="80">((AC31/G31)^(1/($AC$3-$H$1) ))-1</f>
        <v>0.150777675978502</v>
      </c>
      <c r="AE31" s="31">
        <v>0.05</v>
      </c>
      <c r="AF31" s="145">
        <f t="shared" si="1"/>
        <v>94983.611754291531</v>
      </c>
    </row>
    <row r="32" spans="2:32">
      <c r="B32" s="20"/>
      <c r="C32" s="140"/>
      <c r="D32" s="140"/>
      <c r="E32" s="146"/>
      <c r="F32" s="146"/>
      <c r="G32" s="147">
        <f>(G31-F31)/G31</f>
        <v>1</v>
      </c>
      <c r="H32" s="147">
        <f>(H31-G31)/H31</f>
        <v>0.40766773162939296</v>
      </c>
      <c r="I32" s="147">
        <f t="shared" ref="I32:Q32" si="81">(I31-H31)/I31</f>
        <v>0.47536037546094534</v>
      </c>
      <c r="J32" s="147">
        <f t="shared" si="81"/>
        <v>0.25629518823236103</v>
      </c>
      <c r="K32" s="147">
        <f t="shared" si="81"/>
        <v>0.25126003360089605</v>
      </c>
      <c r="L32" s="147">
        <f t="shared" si="81"/>
        <v>-8.5511651469098282E-2</v>
      </c>
      <c r="M32" s="147">
        <f t="shared" si="81"/>
        <v>1.141826923076923E-2</v>
      </c>
      <c r="N32" s="147">
        <f t="shared" si="81"/>
        <v>9.9166997223324085E-3</v>
      </c>
      <c r="O32" s="147">
        <f t="shared" si="81"/>
        <v>-9.9433057130396865E-2</v>
      </c>
      <c r="P32" s="147">
        <f t="shared" si="81"/>
        <v>2.8389830508474576E-2</v>
      </c>
      <c r="Q32" s="221">
        <f t="shared" si="81"/>
        <v>0.20391297014673637</v>
      </c>
      <c r="R32" s="3"/>
      <c r="S32" s="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38"/>
      <c r="AE32" s="127"/>
      <c r="AF32" s="145"/>
    </row>
    <row r="33" spans="2:32">
      <c r="B33" s="20" t="s">
        <v>368</v>
      </c>
      <c r="C33" s="140"/>
      <c r="D33" s="140"/>
      <c r="E33" s="146"/>
      <c r="F33" s="146"/>
      <c r="G33" s="146">
        <v>4650</v>
      </c>
      <c r="H33" s="146">
        <v>7142</v>
      </c>
      <c r="I33" s="146">
        <v>10419</v>
      </c>
      <c r="J33" s="146">
        <v>15573</v>
      </c>
      <c r="K33" s="146">
        <v>21984</v>
      </c>
      <c r="L33" s="146">
        <v>22497</v>
      </c>
      <c r="M33" s="146">
        <v>29724</v>
      </c>
      <c r="N33" s="146">
        <v>41241</v>
      </c>
      <c r="O33" s="146">
        <v>53141</v>
      </c>
      <c r="P33" s="146">
        <v>66257</v>
      </c>
      <c r="Q33" s="223">
        <v>71692</v>
      </c>
      <c r="R33" s="118">
        <f>((Q33/G33)^(1/($H$2-$H$1) ))-1</f>
        <v>0.35519556421619125</v>
      </c>
      <c r="S33" s="31">
        <v>0.1</v>
      </c>
      <c r="T33" s="153">
        <f t="shared" si="70"/>
        <v>78861.200000000012</v>
      </c>
      <c r="U33" s="153">
        <f t="shared" si="71"/>
        <v>86747.320000000022</v>
      </c>
      <c r="V33" s="153">
        <f t="shared" si="71"/>
        <v>95422.052000000025</v>
      </c>
      <c r="W33" s="153">
        <f t="shared" si="71"/>
        <v>104964.25720000004</v>
      </c>
      <c r="X33" s="153">
        <f t="shared" si="71"/>
        <v>115460.68292000005</v>
      </c>
      <c r="Y33" s="153">
        <f t="shared" si="71"/>
        <v>127006.75121200006</v>
      </c>
      <c r="Z33" s="153">
        <f t="shared" si="71"/>
        <v>139707.42633320007</v>
      </c>
      <c r="AA33" s="153">
        <f t="shared" si="71"/>
        <v>153678.16896652008</v>
      </c>
      <c r="AB33" s="153">
        <f t="shared" si="71"/>
        <v>169045.9858631721</v>
      </c>
      <c r="AC33" s="153">
        <f t="shared" si="71"/>
        <v>185950.58444948934</v>
      </c>
      <c r="AD33" s="137">
        <f t="shared" si="72"/>
        <v>0.20253362741212677</v>
      </c>
      <c r="AE33" s="31">
        <v>0.05</v>
      </c>
      <c r="AF33" s="145">
        <f t="shared" si="1"/>
        <v>1148518.3157174343</v>
      </c>
    </row>
    <row r="34" spans="2:32">
      <c r="B34" s="20"/>
      <c r="C34" s="140"/>
      <c r="D34" s="140"/>
      <c r="E34" s="146"/>
      <c r="F34" s="146"/>
      <c r="G34" s="147">
        <f>(G33-F33)/G33</f>
        <v>1</v>
      </c>
      <c r="H34" s="147">
        <f>(H33-G33)/H33</f>
        <v>0.34892187062447494</v>
      </c>
      <c r="I34" s="147">
        <f t="shared" ref="I34:Q34" si="82">(I33-H33)/I33</f>
        <v>0.31452154717343317</v>
      </c>
      <c r="J34" s="147">
        <f t="shared" si="82"/>
        <v>0.33095742631477559</v>
      </c>
      <c r="K34" s="147">
        <f t="shared" si="82"/>
        <v>0.29162117903930129</v>
      </c>
      <c r="L34" s="147">
        <f t="shared" si="82"/>
        <v>2.2803040405387383E-2</v>
      </c>
      <c r="M34" s="147">
        <f t="shared" si="82"/>
        <v>0.24313685910375454</v>
      </c>
      <c r="N34" s="147">
        <f t="shared" si="82"/>
        <v>0.27926092965737981</v>
      </c>
      <c r="O34" s="147">
        <f t="shared" si="82"/>
        <v>0.22393255678289833</v>
      </c>
      <c r="P34" s="147">
        <f t="shared" si="82"/>
        <v>0.19795644233816803</v>
      </c>
      <c r="Q34" s="221">
        <f t="shared" si="82"/>
        <v>7.5810411203481559E-2</v>
      </c>
      <c r="R34" s="3"/>
      <c r="S34" s="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37"/>
      <c r="AE34" s="31"/>
      <c r="AF34" s="145"/>
    </row>
    <row r="35" spans="2:32">
      <c r="B35" s="20" t="s">
        <v>89</v>
      </c>
      <c r="C35" s="140"/>
      <c r="D35" s="140"/>
      <c r="E35" s="146"/>
      <c r="F35" s="146"/>
      <c r="G35" s="169">
        <v>1164</v>
      </c>
      <c r="H35" s="169">
        <v>1752</v>
      </c>
      <c r="I35" s="169">
        <v>2984</v>
      </c>
      <c r="J35" s="142">
        <v>4335</v>
      </c>
      <c r="K35" s="142">
        <v>7677</v>
      </c>
      <c r="L35" s="170">
        <v>7181</v>
      </c>
      <c r="M35" s="170">
        <v>9315</v>
      </c>
      <c r="N35" s="170">
        <v>11062</v>
      </c>
      <c r="O35" s="170">
        <v>13013</v>
      </c>
      <c r="P35" s="170">
        <v>15950</v>
      </c>
      <c r="Q35" s="224">
        <v>17268</v>
      </c>
      <c r="R35" s="118">
        <f>((Q35/G35)^(1/($H$2-$H$1) ))-1</f>
        <v>0.34940783935956654</v>
      </c>
      <c r="S35" s="31">
        <f t="shared" si="6"/>
        <v>0.25</v>
      </c>
      <c r="T35" s="153">
        <f t="shared" si="38"/>
        <v>21585</v>
      </c>
      <c r="U35" s="153">
        <f t="shared" si="39"/>
        <v>26981.25</v>
      </c>
      <c r="V35" s="153">
        <f t="shared" si="40"/>
        <v>33726.5625</v>
      </c>
      <c r="W35" s="153">
        <f t="shared" si="41"/>
        <v>42158.203125</v>
      </c>
      <c r="X35" s="153">
        <f t="shared" si="42"/>
        <v>52697.75390625</v>
      </c>
      <c r="Y35" s="153">
        <f t="shared" si="43"/>
        <v>65872.1923828125</v>
      </c>
      <c r="Z35" s="153">
        <f t="shared" si="44"/>
        <v>82340.240478515625</v>
      </c>
      <c r="AA35" s="153">
        <f t="shared" si="45"/>
        <v>102925.30059814453</v>
      </c>
      <c r="AB35" s="153">
        <f t="shared" si="46"/>
        <v>128656.62574768066</v>
      </c>
      <c r="AC35" s="153">
        <f t="shared" si="47"/>
        <v>160820.78218460083</v>
      </c>
      <c r="AD35" s="137">
        <f t="shared" si="19"/>
        <v>0.27943863084105924</v>
      </c>
      <c r="AE35" s="31">
        <f t="shared" si="17"/>
        <v>0.05</v>
      </c>
      <c r="AF35" s="145">
        <f t="shared" si="1"/>
        <v>993304.83114018163</v>
      </c>
    </row>
    <row r="36" spans="2:32" s="122" customFormat="1">
      <c r="B36" s="23"/>
      <c r="C36" s="148"/>
      <c r="D36" s="148"/>
      <c r="E36" s="149"/>
      <c r="F36" s="149"/>
      <c r="G36" s="147">
        <f>(G35-F35)/G35</f>
        <v>1</v>
      </c>
      <c r="H36" s="147">
        <f>(H35-G35)/H35</f>
        <v>0.33561643835616439</v>
      </c>
      <c r="I36" s="147">
        <f t="shared" ref="I36:Q36" si="83">(I35-H35)/I35</f>
        <v>0.4128686327077748</v>
      </c>
      <c r="J36" s="147">
        <f t="shared" si="83"/>
        <v>0.3116493656286044</v>
      </c>
      <c r="K36" s="147">
        <f t="shared" si="83"/>
        <v>0.43532629933567801</v>
      </c>
      <c r="L36" s="147">
        <f t="shared" si="83"/>
        <v>-6.9071160005570259E-2</v>
      </c>
      <c r="M36" s="147">
        <f t="shared" si="83"/>
        <v>0.22909286097691894</v>
      </c>
      <c r="N36" s="147">
        <f t="shared" si="83"/>
        <v>0.15792804194539867</v>
      </c>
      <c r="O36" s="147">
        <f t="shared" si="83"/>
        <v>0.14992699608084223</v>
      </c>
      <c r="P36" s="147">
        <f t="shared" si="83"/>
        <v>0.18413793103448275</v>
      </c>
      <c r="Q36" s="221">
        <f t="shared" si="83"/>
        <v>7.6326152420662499E-2</v>
      </c>
      <c r="R36" s="127"/>
      <c r="S36" s="20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19"/>
      <c r="AE36" s="136"/>
      <c r="AF36" s="153"/>
    </row>
    <row r="37" spans="2:32">
      <c r="B37" s="20" t="s">
        <v>262</v>
      </c>
      <c r="C37" s="140"/>
      <c r="D37" s="140"/>
      <c r="E37" s="146"/>
      <c r="F37" s="146"/>
      <c r="G37" s="169">
        <v>964</v>
      </c>
      <c r="H37" s="169">
        <v>1558</v>
      </c>
      <c r="I37" s="169">
        <v>2455</v>
      </c>
      <c r="J37" s="142">
        <v>3810</v>
      </c>
      <c r="K37" s="142">
        <v>6718</v>
      </c>
      <c r="L37" s="170">
        <v>6528</v>
      </c>
      <c r="M37" s="170">
        <v>7987</v>
      </c>
      <c r="N37" s="170">
        <v>9493</v>
      </c>
      <c r="O37" s="170">
        <v>11163</v>
      </c>
      <c r="P37" s="170">
        <v>13746</v>
      </c>
      <c r="Q37" s="224">
        <v>14756</v>
      </c>
      <c r="R37" s="118">
        <f>((Q37/G37)^(1/($H$2-$H$1) ))-1</f>
        <v>0.35411211489294181</v>
      </c>
      <c r="S37" s="31">
        <f t="shared" si="6"/>
        <v>0.25</v>
      </c>
      <c r="T37" s="153">
        <f t="shared" si="38"/>
        <v>18445</v>
      </c>
      <c r="U37" s="153">
        <f t="shared" si="39"/>
        <v>23056.25</v>
      </c>
      <c r="V37" s="153">
        <f t="shared" si="40"/>
        <v>28820.3125</v>
      </c>
      <c r="W37" s="153">
        <f t="shared" si="41"/>
        <v>36025.390625</v>
      </c>
      <c r="X37" s="153">
        <f t="shared" si="42"/>
        <v>45031.73828125</v>
      </c>
      <c r="Y37" s="153">
        <f t="shared" si="43"/>
        <v>56289.6728515625</v>
      </c>
      <c r="Z37" s="153">
        <f t="shared" si="44"/>
        <v>70362.091064453125</v>
      </c>
      <c r="AA37" s="153">
        <f t="shared" si="45"/>
        <v>87952.613830566406</v>
      </c>
      <c r="AB37" s="153">
        <f t="shared" si="46"/>
        <v>109940.76728820801</v>
      </c>
      <c r="AC37" s="153">
        <f t="shared" si="47"/>
        <v>137425.95911026001</v>
      </c>
      <c r="AD37" s="137">
        <f t="shared" si="19"/>
        <v>0.28144386773668328</v>
      </c>
      <c r="AE37" s="31">
        <f t="shared" si="17"/>
        <v>0.05</v>
      </c>
      <c r="AF37" s="145">
        <f t="shared" si="1"/>
        <v>848807.39450454724</v>
      </c>
    </row>
    <row r="38" spans="2:32" s="122" customFormat="1">
      <c r="B38" s="23"/>
      <c r="C38" s="148"/>
      <c r="D38" s="148"/>
      <c r="E38" s="149"/>
      <c r="F38" s="149"/>
      <c r="G38" s="147">
        <f t="shared" ref="G38:Q38" si="84">(G37-F37)/G37</f>
        <v>1</v>
      </c>
      <c r="H38" s="147">
        <f t="shared" si="84"/>
        <v>0.38125802310654683</v>
      </c>
      <c r="I38" s="147">
        <f t="shared" si="84"/>
        <v>0.3653767820773931</v>
      </c>
      <c r="J38" s="147">
        <f t="shared" si="84"/>
        <v>0.35564304461942259</v>
      </c>
      <c r="K38" s="147">
        <f t="shared" si="84"/>
        <v>0.43286692467996429</v>
      </c>
      <c r="L38" s="147">
        <f t="shared" si="84"/>
        <v>-2.9105392156862746E-2</v>
      </c>
      <c r="M38" s="147">
        <f t="shared" si="84"/>
        <v>0.1826718417428321</v>
      </c>
      <c r="N38" s="147">
        <f t="shared" si="84"/>
        <v>0.15864321078689561</v>
      </c>
      <c r="O38" s="147">
        <f t="shared" si="84"/>
        <v>0.14960136164113588</v>
      </c>
      <c r="P38" s="147">
        <f t="shared" si="84"/>
        <v>0.18790920995198604</v>
      </c>
      <c r="Q38" s="221">
        <f t="shared" si="84"/>
        <v>6.8446733532122522E-2</v>
      </c>
      <c r="R38" s="127"/>
      <c r="S38" s="20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19"/>
      <c r="AE38" s="136"/>
      <c r="AF38" s="153"/>
    </row>
    <row r="39" spans="2:32">
      <c r="B39" s="20" t="s">
        <v>369</v>
      </c>
      <c r="C39" s="140"/>
      <c r="D39" s="140"/>
      <c r="E39" s="146"/>
      <c r="F39" s="146"/>
      <c r="G39" s="146">
        <v>528</v>
      </c>
      <c r="H39" s="146">
        <v>976</v>
      </c>
      <c r="I39" s="146">
        <v>1800</v>
      </c>
      <c r="J39" s="146">
        <v>2353</v>
      </c>
      <c r="K39" s="146">
        <v>4029</v>
      </c>
      <c r="L39" s="146">
        <v>2814</v>
      </c>
      <c r="M39" s="146">
        <v>4714</v>
      </c>
      <c r="N39" s="146">
        <v>5089</v>
      </c>
      <c r="O39" s="146">
        <v>4543</v>
      </c>
      <c r="P39" s="146">
        <v>5112</v>
      </c>
      <c r="Q39" s="223">
        <v>5282</v>
      </c>
      <c r="R39" s="118">
        <f>((Q39/G39)^(1/($H$2-$H$1) ))-1</f>
        <v>0.2916040140167464</v>
      </c>
      <c r="S39" s="31">
        <v>0.1</v>
      </c>
      <c r="T39" s="153">
        <f t="shared" ref="T39" si="85">Q39*(1+$S39)</f>
        <v>5810.2000000000007</v>
      </c>
      <c r="U39" s="153">
        <f t="shared" ref="U39:AC39" si="86">T39*(1+$S39)</f>
        <v>6391.2200000000012</v>
      </c>
      <c r="V39" s="153">
        <f t="shared" si="86"/>
        <v>7030.3420000000015</v>
      </c>
      <c r="W39" s="153">
        <f t="shared" si="86"/>
        <v>7733.3762000000024</v>
      </c>
      <c r="X39" s="153">
        <f t="shared" si="86"/>
        <v>8506.7138200000027</v>
      </c>
      <c r="Y39" s="153">
        <f t="shared" si="86"/>
        <v>9357.3852020000031</v>
      </c>
      <c r="Z39" s="153">
        <f t="shared" si="86"/>
        <v>10293.123722200004</v>
      </c>
      <c r="AA39" s="153">
        <f t="shared" si="86"/>
        <v>11322.436094420005</v>
      </c>
      <c r="AB39" s="153">
        <f t="shared" si="86"/>
        <v>12454.679703862006</v>
      </c>
      <c r="AC39" s="153">
        <f t="shared" si="86"/>
        <v>13700.147674248208</v>
      </c>
      <c r="AD39" s="137">
        <f t="shared" ref="AD39" si="87">((AC39/G39)^(1/($AC$3-$H$1) ))-1</f>
        <v>0.176805166227608</v>
      </c>
      <c r="AE39" s="31">
        <v>0.05</v>
      </c>
      <c r="AF39" s="145">
        <f t="shared" si="1"/>
        <v>84618.559164474238</v>
      </c>
    </row>
    <row r="40" spans="2:32">
      <c r="B40" s="20"/>
      <c r="C40" s="140"/>
      <c r="D40" s="140"/>
      <c r="E40" s="146"/>
      <c r="F40" s="146"/>
      <c r="G40" s="147">
        <f>(G39-F39)/G39</f>
        <v>1</v>
      </c>
      <c r="H40" s="147">
        <f>(H39-G39)/H39</f>
        <v>0.45901639344262296</v>
      </c>
      <c r="I40" s="147">
        <f t="shared" ref="I40:Q40" si="88">(I39-H39)/I39</f>
        <v>0.45777777777777778</v>
      </c>
      <c r="J40" s="147">
        <f t="shared" si="88"/>
        <v>0.23501912452188695</v>
      </c>
      <c r="K40" s="147">
        <f t="shared" si="88"/>
        <v>0.41598411516505335</v>
      </c>
      <c r="L40" s="147">
        <f t="shared" si="88"/>
        <v>-0.43176972281449894</v>
      </c>
      <c r="M40" s="147">
        <f t="shared" si="88"/>
        <v>0.40305473058973273</v>
      </c>
      <c r="N40" s="147">
        <f t="shared" si="88"/>
        <v>7.3688347415995281E-2</v>
      </c>
      <c r="O40" s="147">
        <f t="shared" si="88"/>
        <v>-0.12018489984591679</v>
      </c>
      <c r="P40" s="147">
        <f t="shared" si="88"/>
        <v>0.11130672926447574</v>
      </c>
      <c r="Q40" s="221">
        <f t="shared" si="88"/>
        <v>3.2184778492995079E-2</v>
      </c>
      <c r="R40" s="3"/>
      <c r="S40" s="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37"/>
      <c r="AE40" s="31"/>
      <c r="AF40" s="145"/>
    </row>
    <row r="41" spans="2:32" s="122" customFormat="1">
      <c r="B41" s="20" t="s">
        <v>324</v>
      </c>
      <c r="C41" s="148"/>
      <c r="D41" s="148"/>
      <c r="E41" s="149"/>
      <c r="F41" s="146"/>
      <c r="G41" s="146">
        <v>252</v>
      </c>
      <c r="H41" s="146">
        <v>328</v>
      </c>
      <c r="I41" s="146">
        <v>519</v>
      </c>
      <c r="J41" s="146">
        <v>977</v>
      </c>
      <c r="K41" s="146">
        <v>1816</v>
      </c>
      <c r="L41" s="146">
        <v>1992</v>
      </c>
      <c r="M41" s="146">
        <v>1772</v>
      </c>
      <c r="N41" s="146">
        <v>2668</v>
      </c>
      <c r="O41" s="146">
        <v>4541</v>
      </c>
      <c r="P41" s="146">
        <v>6024</v>
      </c>
      <c r="Q41" s="223">
        <v>6312</v>
      </c>
      <c r="R41" s="118">
        <f>((Q41/G41)^(1/($H$2-$H$1) ))-1</f>
        <v>0.43027153138645025</v>
      </c>
      <c r="S41" s="31">
        <f t="shared" si="6"/>
        <v>0.25</v>
      </c>
      <c r="T41" s="153">
        <f t="shared" ref="T41" si="89">Q41*(1+$S41)</f>
        <v>7890</v>
      </c>
      <c r="U41" s="153">
        <f t="shared" ref="U41" si="90">T41*(1+$S41)</f>
        <v>9862.5</v>
      </c>
      <c r="V41" s="153">
        <f t="shared" ref="V41" si="91">U41*(1+$S41)</f>
        <v>12328.125</v>
      </c>
      <c r="W41" s="153">
        <f t="shared" ref="W41" si="92">V41*(1+$S41)</f>
        <v>15410.15625</v>
      </c>
      <c r="X41" s="153">
        <f t="shared" ref="X41" si="93">W41*(1+$S41)</f>
        <v>19262.6953125</v>
      </c>
      <c r="Y41" s="153">
        <f t="shared" ref="Y41" si="94">X41*(1+$S41)</f>
        <v>24078.369140625</v>
      </c>
      <c r="Z41" s="153">
        <f t="shared" ref="Z41" si="95">Y41*(1+$S41)</f>
        <v>30097.96142578125</v>
      </c>
      <c r="AA41" s="153">
        <f t="shared" ref="AA41" si="96">Z41*(1+$S41)</f>
        <v>37622.451782226563</v>
      </c>
      <c r="AB41" s="153">
        <f t="shared" ref="AB41" si="97">AA41*(1+$S41)</f>
        <v>47028.064727783203</v>
      </c>
      <c r="AC41" s="153">
        <f t="shared" ref="AC41" si="98">AB41*(1+$S41)</f>
        <v>58785.080909729004</v>
      </c>
      <c r="AD41" s="137">
        <f t="shared" ref="AD41" si="99">((AC41/G41)^(1/($AC$3-$H$1) ))-1</f>
        <v>0.31338886193332005</v>
      </c>
      <c r="AE41" s="31">
        <f t="shared" si="17"/>
        <v>0.05</v>
      </c>
      <c r="AF41" s="145">
        <f t="shared" ref="AF41" si="100">(AC41*(1+AE41))/($C$1-AE41)</f>
        <v>363084.3232659733</v>
      </c>
    </row>
    <row r="42" spans="2:32" s="122" customFormat="1">
      <c r="B42" s="23"/>
      <c r="C42" s="148"/>
      <c r="D42" s="148"/>
      <c r="E42" s="149"/>
      <c r="F42" s="149"/>
      <c r="G42" s="147">
        <f t="shared" ref="G42:Q42" si="101">(G41-F41)/G41</f>
        <v>1</v>
      </c>
      <c r="H42" s="147">
        <f t="shared" si="101"/>
        <v>0.23170731707317074</v>
      </c>
      <c r="I42" s="147">
        <f t="shared" si="101"/>
        <v>0.36801541425818884</v>
      </c>
      <c r="J42" s="147">
        <f t="shared" si="101"/>
        <v>0.46878198567041968</v>
      </c>
      <c r="K42" s="147">
        <f t="shared" si="101"/>
        <v>0.46200440528634362</v>
      </c>
      <c r="L42" s="147">
        <f t="shared" si="101"/>
        <v>8.8353413654618476E-2</v>
      </c>
      <c r="M42" s="147">
        <f t="shared" si="101"/>
        <v>-0.12415349887133183</v>
      </c>
      <c r="N42" s="147">
        <f>(N41-L41)/N41</f>
        <v>0.25337331334332835</v>
      </c>
      <c r="O42" s="147">
        <f t="shared" si="101"/>
        <v>0.41246421493063201</v>
      </c>
      <c r="P42" s="147">
        <f t="shared" si="101"/>
        <v>0.24618193891102258</v>
      </c>
      <c r="Q42" s="147">
        <f t="shared" si="101"/>
        <v>4.5627376425855515E-2</v>
      </c>
      <c r="R42" s="127"/>
      <c r="S42" s="20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61"/>
      <c r="AE42" s="136"/>
      <c r="AF42" s="153"/>
    </row>
    <row r="43" spans="2:32">
      <c r="B43" s="20" t="s">
        <v>332</v>
      </c>
      <c r="C43" s="140"/>
      <c r="D43" s="140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18" t="e">
        <f>((Q43/G43)^(1/($H$2-$H$1) ))-1</f>
        <v>#DIV/0!</v>
      </c>
      <c r="S43" s="31">
        <f t="shared" si="6"/>
        <v>0.25</v>
      </c>
      <c r="T43" s="153">
        <f>Q43*(1+$S43)</f>
        <v>0</v>
      </c>
      <c r="U43" s="153">
        <f>T43*(1+$S43)</f>
        <v>0</v>
      </c>
      <c r="V43" s="153">
        <f t="shared" ref="V43:AC44" si="102">U43*(1+$S43)</f>
        <v>0</v>
      </c>
      <c r="W43" s="153">
        <f t="shared" si="102"/>
        <v>0</v>
      </c>
      <c r="X43" s="153">
        <f t="shared" si="102"/>
        <v>0</v>
      </c>
      <c r="Y43" s="153">
        <f t="shared" si="102"/>
        <v>0</v>
      </c>
      <c r="Z43" s="153">
        <f t="shared" si="102"/>
        <v>0</v>
      </c>
      <c r="AA43" s="153">
        <f t="shared" si="102"/>
        <v>0</v>
      </c>
      <c r="AB43" s="153">
        <f t="shared" si="102"/>
        <v>0</v>
      </c>
      <c r="AC43" s="153">
        <f t="shared" si="102"/>
        <v>0</v>
      </c>
      <c r="AD43" s="137" t="e">
        <f t="shared" ref="AD43" si="103">((AC43/G43)^(1/($AC$3-$H$1) ))-1</f>
        <v>#DIV/0!</v>
      </c>
      <c r="AE43" s="31">
        <f t="shared" si="17"/>
        <v>0.05</v>
      </c>
      <c r="AF43" s="145">
        <f t="shared" si="1"/>
        <v>0</v>
      </c>
    </row>
    <row r="44" spans="2:32">
      <c r="B44" s="20" t="s">
        <v>331</v>
      </c>
      <c r="C44" s="140"/>
      <c r="D44" s="140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18" t="e">
        <f>((Q44/G44)^(1/($H$2-$H$1) ))-1</f>
        <v>#DIV/0!</v>
      </c>
      <c r="S44" s="31">
        <f t="shared" si="6"/>
        <v>0.25</v>
      </c>
      <c r="T44" s="153">
        <f>Q44*(1+$S44)</f>
        <v>0</v>
      </c>
      <c r="U44" s="153">
        <f>T44*(1+$S44)</f>
        <v>0</v>
      </c>
      <c r="V44" s="153">
        <f t="shared" si="102"/>
        <v>0</v>
      </c>
      <c r="W44" s="153">
        <f t="shared" si="102"/>
        <v>0</v>
      </c>
      <c r="X44" s="153">
        <f t="shared" si="102"/>
        <v>0</v>
      </c>
      <c r="Y44" s="153">
        <f t="shared" si="102"/>
        <v>0</v>
      </c>
      <c r="Z44" s="153">
        <f t="shared" si="102"/>
        <v>0</v>
      </c>
      <c r="AA44" s="153">
        <f t="shared" si="102"/>
        <v>0</v>
      </c>
      <c r="AB44" s="153">
        <f t="shared" si="102"/>
        <v>0</v>
      </c>
      <c r="AC44" s="153">
        <f t="shared" si="102"/>
        <v>0</v>
      </c>
      <c r="AD44" s="137" t="e">
        <f t="shared" ref="AD44" si="104">((AC44/G44)^(1/($AC$3-$H$1) ))-1</f>
        <v>#DIV/0!</v>
      </c>
      <c r="AE44" s="31">
        <f t="shared" si="17"/>
        <v>0.05</v>
      </c>
      <c r="AF44" s="145">
        <f t="shared" si="1"/>
        <v>0</v>
      </c>
    </row>
    <row r="45" spans="2:32">
      <c r="B45" s="20" t="s">
        <v>426</v>
      </c>
      <c r="C45" s="140"/>
      <c r="D45" s="140"/>
      <c r="E45" s="146"/>
      <c r="F45" s="146"/>
      <c r="G45" s="169"/>
      <c r="H45" s="169"/>
      <c r="I45" s="169"/>
      <c r="J45" s="142"/>
      <c r="K45" s="142"/>
      <c r="L45" s="170"/>
      <c r="M45" s="170"/>
      <c r="N45" s="170"/>
      <c r="O45" s="170"/>
      <c r="P45" s="170"/>
      <c r="Q45" s="170"/>
      <c r="R45" s="118" t="e">
        <f>((Q45/G45)^(1/($H$2-$H$1) ))-1</f>
        <v>#DIV/0!</v>
      </c>
      <c r="S45" s="31">
        <f t="shared" si="6"/>
        <v>0.25</v>
      </c>
      <c r="T45" s="153">
        <f t="shared" si="38"/>
        <v>0</v>
      </c>
      <c r="U45" s="153">
        <f t="shared" si="39"/>
        <v>0</v>
      </c>
      <c r="V45" s="153">
        <f t="shared" si="40"/>
        <v>0</v>
      </c>
      <c r="W45" s="153">
        <f t="shared" si="41"/>
        <v>0</v>
      </c>
      <c r="X45" s="153">
        <f t="shared" si="42"/>
        <v>0</v>
      </c>
      <c r="Y45" s="153">
        <f t="shared" si="43"/>
        <v>0</v>
      </c>
      <c r="Z45" s="153">
        <f t="shared" si="44"/>
        <v>0</v>
      </c>
      <c r="AA45" s="153">
        <f t="shared" si="45"/>
        <v>0</v>
      </c>
      <c r="AB45" s="153">
        <f t="shared" si="46"/>
        <v>0</v>
      </c>
      <c r="AC45" s="153">
        <f t="shared" si="47"/>
        <v>0</v>
      </c>
      <c r="AD45" s="137" t="e">
        <f t="shared" si="19"/>
        <v>#DIV/0!</v>
      </c>
      <c r="AE45" s="31">
        <f t="shared" si="17"/>
        <v>0.05</v>
      </c>
      <c r="AF45" s="145">
        <f t="shared" si="1"/>
        <v>0</v>
      </c>
    </row>
    <row r="46" spans="2:32">
      <c r="B46" s="20" t="s">
        <v>309</v>
      </c>
      <c r="C46" s="140"/>
      <c r="D46" s="140"/>
      <c r="E46" s="146"/>
      <c r="F46" s="146"/>
      <c r="G46" s="169"/>
      <c r="H46" s="169"/>
      <c r="I46" s="169"/>
      <c r="J46" s="142"/>
      <c r="K46" s="142"/>
      <c r="L46" s="170"/>
      <c r="M46" s="170"/>
      <c r="N46" s="170"/>
      <c r="O46" s="170"/>
      <c r="P46" s="170"/>
      <c r="Q46" s="170"/>
      <c r="R46" s="118" t="e">
        <f>((Q46/G46)^(1/($H$2-$H$1) ))-1</f>
        <v>#DIV/0!</v>
      </c>
      <c r="S46" s="31">
        <f t="shared" si="6"/>
        <v>0.25</v>
      </c>
      <c r="T46" s="153">
        <f t="shared" si="38"/>
        <v>0</v>
      </c>
      <c r="U46" s="153">
        <f t="shared" si="39"/>
        <v>0</v>
      </c>
      <c r="V46" s="153">
        <f t="shared" si="40"/>
        <v>0</v>
      </c>
      <c r="W46" s="153">
        <f t="shared" si="41"/>
        <v>0</v>
      </c>
      <c r="X46" s="153">
        <f t="shared" si="42"/>
        <v>0</v>
      </c>
      <c r="Y46" s="153">
        <f t="shared" si="43"/>
        <v>0</v>
      </c>
      <c r="Z46" s="153">
        <f t="shared" si="44"/>
        <v>0</v>
      </c>
      <c r="AA46" s="153">
        <f t="shared" si="45"/>
        <v>0</v>
      </c>
      <c r="AB46" s="153">
        <f t="shared" si="46"/>
        <v>0</v>
      </c>
      <c r="AC46" s="153">
        <f t="shared" si="47"/>
        <v>0</v>
      </c>
      <c r="AD46" s="137" t="e">
        <f t="shared" si="19"/>
        <v>#DIV/0!</v>
      </c>
      <c r="AE46" s="31">
        <f t="shared" si="17"/>
        <v>0.05</v>
      </c>
      <c r="AF46" s="145">
        <f t="shared" si="1"/>
        <v>0</v>
      </c>
    </row>
    <row r="47" spans="2:32">
      <c r="B47" s="20"/>
      <c r="C47" s="140"/>
      <c r="D47" s="140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27"/>
      <c r="S47" s="20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38"/>
      <c r="AE47" s="136"/>
      <c r="AF47" s="153"/>
    </row>
    <row r="48" spans="2:32">
      <c r="B48" s="20" t="s">
        <v>279</v>
      </c>
      <c r="C48" s="140"/>
      <c r="D48" s="140"/>
      <c r="E48" s="146"/>
      <c r="F48" s="146"/>
      <c r="G48" s="169"/>
      <c r="H48" s="169"/>
      <c r="I48" s="169"/>
      <c r="J48" s="142"/>
      <c r="K48" s="142"/>
      <c r="L48" s="170"/>
      <c r="M48" s="170"/>
      <c r="N48" s="170"/>
      <c r="O48" s="170"/>
      <c r="P48" s="170"/>
      <c r="Q48" s="170"/>
      <c r="R48" s="118" t="e">
        <f>((Q48/G48)^(1/($H$2-$H$1) ))-1</f>
        <v>#DIV/0!</v>
      </c>
      <c r="S48" s="31">
        <f t="shared" si="6"/>
        <v>0.25</v>
      </c>
      <c r="T48" s="153">
        <f t="shared" ref="T48" si="105">Q48*(1+$S48)</f>
        <v>0</v>
      </c>
      <c r="U48" s="153">
        <f t="shared" ref="U48" si="106">T48*(1+$S48)</f>
        <v>0</v>
      </c>
      <c r="V48" s="153">
        <f t="shared" ref="V48" si="107">U48*(1+$S48)</f>
        <v>0</v>
      </c>
      <c r="W48" s="153">
        <f t="shared" ref="W48" si="108">V48*(1+$S48)</f>
        <v>0</v>
      </c>
      <c r="X48" s="153">
        <f t="shared" si="42"/>
        <v>0</v>
      </c>
      <c r="Y48" s="153">
        <f t="shared" si="43"/>
        <v>0</v>
      </c>
      <c r="Z48" s="153">
        <f t="shared" si="44"/>
        <v>0</v>
      </c>
      <c r="AA48" s="153">
        <f t="shared" si="45"/>
        <v>0</v>
      </c>
      <c r="AB48" s="153">
        <f t="shared" si="46"/>
        <v>0</v>
      </c>
      <c r="AC48" s="153">
        <f t="shared" si="47"/>
        <v>0</v>
      </c>
      <c r="AD48" s="137" t="e">
        <f t="shared" si="19"/>
        <v>#DIV/0!</v>
      </c>
      <c r="AE48" s="31">
        <f t="shared" si="17"/>
        <v>0.05</v>
      </c>
      <c r="AF48" s="145">
        <f t="shared" si="1"/>
        <v>0</v>
      </c>
    </row>
    <row r="49" spans="2:32" s="122" customFormat="1">
      <c r="B49" s="23"/>
      <c r="C49" s="148"/>
      <c r="D49" s="148"/>
      <c r="E49" s="149"/>
      <c r="F49" s="149"/>
      <c r="G49" s="147" t="e">
        <f>(G48-F48)/G48</f>
        <v>#DIV/0!</v>
      </c>
      <c r="H49" s="147" t="e">
        <f>(H48-G48)/H48</f>
        <v>#DIV/0!</v>
      </c>
      <c r="I49" s="147" t="e">
        <f t="shared" ref="I49" si="109">(I48-H48)/I48</f>
        <v>#DIV/0!</v>
      </c>
      <c r="J49" s="147" t="e">
        <f t="shared" ref="J49" si="110">(J48-I48)/J48</f>
        <v>#DIV/0!</v>
      </c>
      <c r="K49" s="147" t="e">
        <f t="shared" ref="K49" si="111">(K48-J48)/K48</f>
        <v>#DIV/0!</v>
      </c>
      <c r="L49" s="147" t="e">
        <f t="shared" ref="L49:M49" si="112">(L48-K48)/L48</f>
        <v>#DIV/0!</v>
      </c>
      <c r="M49" s="147" t="e">
        <f t="shared" si="112"/>
        <v>#DIV/0!</v>
      </c>
      <c r="N49" s="147" t="e">
        <f t="shared" ref="N49" si="113">(N48-L48)/N48</f>
        <v>#DIV/0!</v>
      </c>
      <c r="O49" s="147" t="e">
        <f t="shared" ref="O49" si="114">(O48-N48)/O48</f>
        <v>#DIV/0!</v>
      </c>
      <c r="P49" s="147" t="e">
        <f t="shared" ref="P49" si="115">(P48-O48)/P48</f>
        <v>#DIV/0!</v>
      </c>
      <c r="Q49" s="147" t="e">
        <f t="shared" ref="Q49" si="116">(Q48-P48)/Q48</f>
        <v>#DIV/0!</v>
      </c>
      <c r="R49" s="127"/>
      <c r="S49" s="20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8"/>
      <c r="AE49" s="136"/>
      <c r="AF49" s="155"/>
    </row>
    <row r="50" spans="2:32" s="122" customFormat="1">
      <c r="B50" s="172" t="s">
        <v>380</v>
      </c>
      <c r="C50" s="148"/>
      <c r="D50" s="148"/>
      <c r="E50" s="149"/>
      <c r="F50" s="149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18" t="e">
        <f>((Q50/G50)^(1/($H$2-$H$1) ))-1</f>
        <v>#DIV/0!</v>
      </c>
      <c r="S50" s="31">
        <f t="shared" si="6"/>
        <v>0.25</v>
      </c>
      <c r="T50" s="153">
        <f t="shared" ref="T50" si="117">Q50*(1+$S50)</f>
        <v>0</v>
      </c>
      <c r="U50" s="153">
        <f t="shared" ref="U50" si="118">T50*(1+$S50)</f>
        <v>0</v>
      </c>
      <c r="V50" s="153">
        <f t="shared" ref="V50" si="119">U50*(1+$S50)</f>
        <v>0</v>
      </c>
      <c r="W50" s="153">
        <f t="shared" ref="W50" si="120">V50*(1+$S50)</f>
        <v>0</v>
      </c>
      <c r="X50" s="153">
        <f t="shared" ref="X50" si="121">W50*(1+$S50)</f>
        <v>0</v>
      </c>
      <c r="Y50" s="153">
        <f t="shared" ref="Y50" si="122">X50*(1+$S50)</f>
        <v>0</v>
      </c>
      <c r="Z50" s="153">
        <f t="shared" ref="Z50" si="123">Y50*(1+$S50)</f>
        <v>0</v>
      </c>
      <c r="AA50" s="153">
        <f t="shared" ref="AA50" si="124">Z50*(1+$S50)</f>
        <v>0</v>
      </c>
      <c r="AB50" s="153">
        <f t="shared" ref="AB50" si="125">AA50*(1+$S50)</f>
        <v>0</v>
      </c>
      <c r="AC50" s="153">
        <f t="shared" ref="AC50" si="126">AB50*(1+$S50)</f>
        <v>0</v>
      </c>
      <c r="AD50" s="137" t="e">
        <f t="shared" ref="AD50" si="127">((AC50/G50)^(1/($AC$3-$H$1) ))-1</f>
        <v>#DIV/0!</v>
      </c>
      <c r="AE50" s="31">
        <f t="shared" si="17"/>
        <v>0.05</v>
      </c>
      <c r="AF50" s="145">
        <f t="shared" ref="AF50" si="128">(AC50*(1+AE50))/($C$1-AE50)</f>
        <v>0</v>
      </c>
    </row>
    <row r="51" spans="2:32" s="122" customFormat="1">
      <c r="B51" s="23"/>
      <c r="C51" s="148"/>
      <c r="D51" s="148"/>
      <c r="E51" s="149"/>
      <c r="F51" s="149"/>
      <c r="G51" s="147" t="e">
        <f>(G50-F50)/G50</f>
        <v>#DIV/0!</v>
      </c>
      <c r="H51" s="147" t="e">
        <f>(H50-G50)/H50</f>
        <v>#DIV/0!</v>
      </c>
      <c r="I51" s="147" t="e">
        <f t="shared" ref="I51" si="129">(I50-H50)/I50</f>
        <v>#DIV/0!</v>
      </c>
      <c r="J51" s="147" t="e">
        <f t="shared" ref="J51" si="130">(J50-I50)/J50</f>
        <v>#DIV/0!</v>
      </c>
      <c r="K51" s="147" t="e">
        <f t="shared" ref="K51" si="131">(K50-J50)/K50</f>
        <v>#DIV/0!</v>
      </c>
      <c r="L51" s="147" t="e">
        <f t="shared" ref="L51:M51" si="132">(L50-K50)/L50</f>
        <v>#DIV/0!</v>
      </c>
      <c r="M51" s="147" t="e">
        <f t="shared" si="132"/>
        <v>#DIV/0!</v>
      </c>
      <c r="N51" s="147" t="e">
        <f t="shared" ref="N51" si="133">(N50-L50)/N50</f>
        <v>#DIV/0!</v>
      </c>
      <c r="O51" s="147" t="e">
        <f t="shared" ref="O51" si="134">(O50-N50)/O50</f>
        <v>#DIV/0!</v>
      </c>
      <c r="P51" s="147" t="e">
        <f t="shared" ref="P51" si="135">(P50-O50)/P50</f>
        <v>#DIV/0!</v>
      </c>
      <c r="Q51" s="147" t="e">
        <f t="shared" ref="Q51" si="136">(Q50-P50)/Q50</f>
        <v>#DIV/0!</v>
      </c>
      <c r="R51" s="127"/>
      <c r="S51" s="20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38"/>
      <c r="AE51" s="136"/>
      <c r="AF51" s="155"/>
    </row>
    <row r="52" spans="2:32">
      <c r="B52" s="20" t="s">
        <v>257</v>
      </c>
      <c r="C52" s="140"/>
      <c r="D52" s="140"/>
      <c r="E52" s="146"/>
      <c r="F52" s="146"/>
      <c r="G52" s="142">
        <v>200.4</v>
      </c>
      <c r="H52" s="142">
        <v>194</v>
      </c>
      <c r="I52" s="142">
        <v>529</v>
      </c>
      <c r="J52" s="142">
        <v>524</v>
      </c>
      <c r="K52" s="142">
        <v>958</v>
      </c>
      <c r="L52" s="142">
        <v>652</v>
      </c>
      <c r="M52" s="142">
        <v>1327</v>
      </c>
      <c r="N52" s="142">
        <v>1569</v>
      </c>
      <c r="O52" s="142">
        <v>1850</v>
      </c>
      <c r="P52" s="142">
        <v>2204</v>
      </c>
      <c r="Q52" s="226">
        <v>2511</v>
      </c>
      <c r="R52" s="118">
        <f>((Q52/G52)^(1/($H$2-$H$1) ))-1</f>
        <v>0.32432425380394636</v>
      </c>
      <c r="S52" s="31">
        <f t="shared" si="6"/>
        <v>0.25</v>
      </c>
      <c r="T52" s="153">
        <f>Q52*(1+$S52)</f>
        <v>3138.75</v>
      </c>
      <c r="U52" s="153">
        <f t="shared" ref="U52:AC52" si="137">T52*(1+$S52)</f>
        <v>3923.4375</v>
      </c>
      <c r="V52" s="153">
        <f t="shared" si="137"/>
        <v>4904.296875</v>
      </c>
      <c r="W52" s="153">
        <f t="shared" si="137"/>
        <v>6130.37109375</v>
      </c>
      <c r="X52" s="153">
        <f t="shared" si="137"/>
        <v>7662.9638671875</v>
      </c>
      <c r="Y52" s="153">
        <f t="shared" si="137"/>
        <v>9578.704833984375</v>
      </c>
      <c r="Z52" s="153">
        <f t="shared" si="137"/>
        <v>11973.381042480469</v>
      </c>
      <c r="AA52" s="153">
        <f t="shared" si="137"/>
        <v>14966.726303100586</v>
      </c>
      <c r="AB52" s="153">
        <f t="shared" si="137"/>
        <v>18708.407878875732</v>
      </c>
      <c r="AC52" s="153">
        <f t="shared" si="137"/>
        <v>23385.509848594666</v>
      </c>
      <c r="AD52" s="137">
        <f t="shared" si="19"/>
        <v>0.2686810597064353</v>
      </c>
      <c r="AE52" s="31">
        <f t="shared" si="17"/>
        <v>0.05</v>
      </c>
      <c r="AF52" s="145">
        <f t="shared" si="1"/>
        <v>144439.91377073177</v>
      </c>
    </row>
    <row r="53" spans="2:32" s="122" customFormat="1">
      <c r="B53" s="23"/>
      <c r="C53" s="148"/>
      <c r="D53" s="148"/>
      <c r="E53" s="149"/>
      <c r="F53" s="149"/>
      <c r="G53" s="147">
        <f>(G52-F52)/G52</f>
        <v>1</v>
      </c>
      <c r="H53" s="147">
        <f>(H52-G52)/H52</f>
        <v>-3.2989690721649513E-2</v>
      </c>
      <c r="I53" s="147">
        <f t="shared" ref="I53:Q55" si="138">(I52-H52)/I52</f>
        <v>0.63327032136105865</v>
      </c>
      <c r="J53" s="147">
        <f t="shared" si="138"/>
        <v>-9.5419847328244278E-3</v>
      </c>
      <c r="K53" s="147">
        <f t="shared" si="138"/>
        <v>0.45302713987473903</v>
      </c>
      <c r="L53" s="147">
        <f t="shared" si="138"/>
        <v>-0.46932515337423314</v>
      </c>
      <c r="M53" s="147">
        <f t="shared" si="138"/>
        <v>0.50866616428033162</v>
      </c>
      <c r="N53" s="147">
        <f t="shared" si="138"/>
        <v>0.15423836838750796</v>
      </c>
      <c r="O53" s="147">
        <f t="shared" si="138"/>
        <v>0.15189189189189189</v>
      </c>
      <c r="P53" s="147">
        <f t="shared" si="138"/>
        <v>0.16061705989110708</v>
      </c>
      <c r="Q53" s="147">
        <f t="shared" si="138"/>
        <v>0.12226204699322979</v>
      </c>
      <c r="R53" s="127"/>
      <c r="S53" s="20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38"/>
      <c r="AE53" s="136"/>
      <c r="AF53" s="155"/>
    </row>
    <row r="54" spans="2:32">
      <c r="B54" s="20" t="s">
        <v>239</v>
      </c>
      <c r="C54" s="141">
        <v>1</v>
      </c>
      <c r="D54" s="141">
        <v>1</v>
      </c>
      <c r="E54" s="142">
        <v>1</v>
      </c>
      <c r="F54" s="167">
        <v>1</v>
      </c>
      <c r="G54" s="169">
        <v>5.95</v>
      </c>
      <c r="H54" s="169">
        <v>12.33</v>
      </c>
      <c r="I54" s="169">
        <v>30.99</v>
      </c>
      <c r="J54" s="169">
        <v>32.61</v>
      </c>
      <c r="K54" s="142">
        <v>34.46</v>
      </c>
      <c r="L54" s="142">
        <v>34.56</v>
      </c>
      <c r="M54" s="170">
        <v>34.81</v>
      </c>
      <c r="N54" s="170">
        <v>73.686999999999998</v>
      </c>
      <c r="O54" s="170">
        <v>74.068899999999999</v>
      </c>
      <c r="P54" s="170">
        <v>74.665999999999997</v>
      </c>
      <c r="Q54" s="224">
        <v>76.900000000000006</v>
      </c>
      <c r="R54" s="118">
        <f>((Q54/G54)^(1/($H$2-$H$1) ))-1</f>
        <v>0.32889274507572885</v>
      </c>
      <c r="S54" s="31">
        <v>0.05</v>
      </c>
      <c r="T54" s="153">
        <f>Q54*(1+$S54)</f>
        <v>80.745000000000005</v>
      </c>
      <c r="U54" s="153">
        <f t="shared" ref="U54:AC54" si="139">T54*(1+$S54)</f>
        <v>84.782250000000005</v>
      </c>
      <c r="V54" s="153">
        <f t="shared" si="139"/>
        <v>89.021362500000009</v>
      </c>
      <c r="W54" s="153">
        <f t="shared" si="139"/>
        <v>93.472430625000015</v>
      </c>
      <c r="X54" s="153">
        <f t="shared" si="139"/>
        <v>98.146052156250022</v>
      </c>
      <c r="Y54" s="153">
        <f t="shared" si="139"/>
        <v>103.05335476406253</v>
      </c>
      <c r="Z54" s="153">
        <f t="shared" si="139"/>
        <v>108.20602250226567</v>
      </c>
      <c r="AA54" s="153">
        <f t="shared" si="139"/>
        <v>113.61632362737896</v>
      </c>
      <c r="AB54" s="153">
        <f t="shared" si="139"/>
        <v>119.29713980874791</v>
      </c>
      <c r="AC54" s="153">
        <f t="shared" si="139"/>
        <v>125.26199679918531</v>
      </c>
      <c r="AD54" s="137">
        <f t="shared" si="19"/>
        <v>0.16456871287240937</v>
      </c>
      <c r="AE54" s="31">
        <f t="shared" si="17"/>
        <v>0.05</v>
      </c>
      <c r="AF54" s="145">
        <f t="shared" si="1"/>
        <v>773.67703905379176</v>
      </c>
    </row>
    <row r="55" spans="2:32" s="186" customFormat="1">
      <c r="B55" s="217"/>
      <c r="C55" s="141"/>
      <c r="D55" s="141"/>
      <c r="E55" s="142"/>
      <c r="F55" s="167"/>
      <c r="G55" s="147">
        <f>(G54-F54)/G54</f>
        <v>0.83193277310924374</v>
      </c>
      <c r="H55" s="147">
        <f>(H54-G54)/H54</f>
        <v>0.51743714517437145</v>
      </c>
      <c r="I55" s="147">
        <f t="shared" ref="I55:P55" si="140">(I54-H54)/I54</f>
        <v>0.60212971926427872</v>
      </c>
      <c r="J55" s="147">
        <f t="shared" si="140"/>
        <v>4.9678012879484854E-2</v>
      </c>
      <c r="K55" s="147">
        <f t="shared" si="140"/>
        <v>5.368543238537439E-2</v>
      </c>
      <c r="L55" s="147">
        <f t="shared" si="140"/>
        <v>2.8935185185185596E-3</v>
      </c>
      <c r="M55" s="147">
        <f t="shared" si="140"/>
        <v>7.1818442976156272E-3</v>
      </c>
      <c r="N55" s="147">
        <f t="shared" si="140"/>
        <v>0.52759645527705012</v>
      </c>
      <c r="O55" s="147">
        <f t="shared" si="140"/>
        <v>5.1560101473088127E-3</v>
      </c>
      <c r="P55" s="147">
        <f t="shared" si="140"/>
        <v>7.9969464013071225E-3</v>
      </c>
      <c r="Q55" s="147">
        <f t="shared" si="138"/>
        <v>2.9050715214564482E-2</v>
      </c>
      <c r="R55" s="127"/>
      <c r="S55" s="217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79"/>
    </row>
    <row r="56" spans="2:32">
      <c r="B56" s="20" t="s">
        <v>283</v>
      </c>
      <c r="C56" s="144">
        <v>1</v>
      </c>
      <c r="D56" s="144">
        <v>1</v>
      </c>
      <c r="E56" s="144">
        <v>1</v>
      </c>
      <c r="F56" s="146"/>
      <c r="G56" s="167">
        <v>2.4</v>
      </c>
      <c r="H56" s="167">
        <v>1.25</v>
      </c>
      <c r="I56" s="167">
        <v>0.6</v>
      </c>
      <c r="J56" s="167">
        <v>0.7</v>
      </c>
      <c r="K56" s="167">
        <v>0.75</v>
      </c>
      <c r="L56" s="167">
        <v>0.75</v>
      </c>
      <c r="M56" s="167">
        <v>0.85</v>
      </c>
      <c r="N56" s="167">
        <v>0.5</v>
      </c>
      <c r="O56" s="167">
        <v>0.6</v>
      </c>
      <c r="P56" s="167">
        <v>0.7</v>
      </c>
      <c r="Q56" s="225">
        <v>0.8</v>
      </c>
      <c r="R56" s="118">
        <f>((Q56/G56)^(1/($H$2-$H$1) ))-1</f>
        <v>-0.1149118479285397</v>
      </c>
      <c r="S56" s="31">
        <v>0.05</v>
      </c>
      <c r="T56" s="153">
        <f t="shared" ref="T56" si="141">Q56*(1+$S56)</f>
        <v>0.84000000000000008</v>
      </c>
      <c r="U56" s="153">
        <f t="shared" ref="U56" si="142">T56*(1+$S56)</f>
        <v>0.88200000000000012</v>
      </c>
      <c r="V56" s="153">
        <f t="shared" ref="V56" si="143">U56*(1+$S56)</f>
        <v>0.92610000000000015</v>
      </c>
      <c r="W56" s="153">
        <f t="shared" ref="W56" si="144">V56*(1+$S56)</f>
        <v>0.97240500000000019</v>
      </c>
      <c r="X56" s="153">
        <f t="shared" ref="X56" si="145">W56*(1+$S56)</f>
        <v>1.0210252500000003</v>
      </c>
      <c r="Y56" s="153">
        <f t="shared" ref="Y56" si="146">X56*(1+$S56)</f>
        <v>1.0720765125000005</v>
      </c>
      <c r="Z56" s="153">
        <f t="shared" ref="Z56" si="147">Y56*(1+$S56)</f>
        <v>1.1256803381250005</v>
      </c>
      <c r="AA56" s="153">
        <f t="shared" ref="AA56" si="148">Z56*(1+$S56)</f>
        <v>1.1819643550312506</v>
      </c>
      <c r="AB56" s="153">
        <f t="shared" ref="AB56" si="149">AA56*(1+$S56)</f>
        <v>1.2410625727828133</v>
      </c>
      <c r="AC56" s="153">
        <f t="shared" ref="AC56" si="150">AB56*(1+$S56)</f>
        <v>1.3031157014219541</v>
      </c>
      <c r="AD56" s="137">
        <f t="shared" ref="AD56" si="151">((AC56/G56)^(1/($AC$3-$H$1) ))-1</f>
        <v>-3.0074032292773167E-2</v>
      </c>
      <c r="AE56" s="31">
        <f t="shared" si="17"/>
        <v>0.05</v>
      </c>
      <c r="AF56" s="145">
        <f t="shared" si="1"/>
        <v>8.0486558029003064</v>
      </c>
    </row>
    <row r="57" spans="2:32">
      <c r="B57" s="20" t="s">
        <v>423</v>
      </c>
      <c r="C57" s="20"/>
      <c r="D57" s="20"/>
      <c r="E57" s="126"/>
      <c r="F57" s="126"/>
      <c r="G57" s="146">
        <v>0</v>
      </c>
      <c r="H57" s="146">
        <v>0</v>
      </c>
      <c r="I57" s="146">
        <v>0</v>
      </c>
      <c r="J57" s="146">
        <v>0</v>
      </c>
      <c r="K57" s="146">
        <v>0</v>
      </c>
      <c r="L57" s="146">
        <v>0</v>
      </c>
      <c r="M57" s="146">
        <v>0</v>
      </c>
      <c r="N57" s="146" t="s">
        <v>427</v>
      </c>
      <c r="O57" s="146">
        <v>0</v>
      </c>
      <c r="P57" s="146">
        <v>0</v>
      </c>
      <c r="Q57" s="223">
        <v>0</v>
      </c>
      <c r="R57" s="146">
        <v>0</v>
      </c>
      <c r="S57" s="127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38"/>
      <c r="AE57" s="136"/>
      <c r="AF57" s="153"/>
    </row>
    <row r="58" spans="2:32" s="186" customFormat="1">
      <c r="B58" s="217" t="s">
        <v>424</v>
      </c>
      <c r="C58" s="217"/>
      <c r="D58" s="217"/>
      <c r="E58" s="198"/>
      <c r="F58" s="198"/>
      <c r="G58" s="146">
        <v>0</v>
      </c>
      <c r="H58" s="146" t="s">
        <v>428</v>
      </c>
      <c r="I58" s="146" t="s">
        <v>429</v>
      </c>
      <c r="J58" s="146">
        <v>0</v>
      </c>
      <c r="K58" s="146">
        <v>0</v>
      </c>
      <c r="L58" s="146">
        <v>0</v>
      </c>
      <c r="M58" s="146">
        <v>0</v>
      </c>
      <c r="N58" s="146">
        <v>0</v>
      </c>
      <c r="O58" s="146">
        <v>0</v>
      </c>
      <c r="P58" s="146">
        <v>0</v>
      </c>
      <c r="Q58" s="223">
        <v>0</v>
      </c>
      <c r="R58" s="146">
        <v>0</v>
      </c>
      <c r="S58" s="127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38"/>
      <c r="AE58" s="199"/>
      <c r="AF58" s="153"/>
    </row>
    <row r="59" spans="2:32" s="186" customFormat="1">
      <c r="B59" s="217" t="s">
        <v>425</v>
      </c>
      <c r="C59" s="217"/>
      <c r="D59" s="217"/>
      <c r="E59" s="198"/>
      <c r="F59" s="198"/>
      <c r="G59" s="146">
        <v>0</v>
      </c>
      <c r="H59" s="146">
        <v>0</v>
      </c>
      <c r="I59" s="146">
        <v>0</v>
      </c>
      <c r="J59" s="146">
        <v>0</v>
      </c>
      <c r="K59" s="146">
        <v>0</v>
      </c>
      <c r="L59" s="146">
        <v>0</v>
      </c>
      <c r="M59" s="146">
        <v>0</v>
      </c>
      <c r="N59" s="146">
        <v>0</v>
      </c>
      <c r="O59" s="146">
        <v>0</v>
      </c>
      <c r="P59" s="146">
        <v>0</v>
      </c>
      <c r="Q59" s="223">
        <v>0</v>
      </c>
      <c r="R59" s="146">
        <v>0</v>
      </c>
      <c r="S59" s="127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38"/>
      <c r="AE59" s="199"/>
      <c r="AF59" s="153"/>
    </row>
    <row r="60" spans="2:32" s="186" customFormat="1">
      <c r="B60" s="217"/>
      <c r="C60" s="217"/>
      <c r="D60" s="217"/>
      <c r="E60" s="198"/>
      <c r="F60" s="198"/>
      <c r="G60" s="198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127"/>
      <c r="S60" s="127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38"/>
      <c r="AE60" s="199"/>
      <c r="AF60" s="153"/>
    </row>
    <row r="61" spans="2:32">
      <c r="B61" s="108" t="s">
        <v>243</v>
      </c>
      <c r="C61" s="20"/>
      <c r="D61" s="20"/>
      <c r="E61" s="126"/>
      <c r="F61" s="126"/>
      <c r="G61" s="126"/>
      <c r="H61" s="20"/>
      <c r="I61" s="20"/>
      <c r="J61" s="20"/>
      <c r="K61" s="20"/>
      <c r="L61" s="20"/>
      <c r="M61" s="217"/>
      <c r="N61" s="20"/>
      <c r="O61" s="20"/>
      <c r="P61" s="20"/>
      <c r="Q61" s="20"/>
      <c r="R61" s="127"/>
      <c r="S61" s="127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38"/>
      <c r="AE61" s="136"/>
      <c r="AF61" s="153"/>
    </row>
    <row r="62" spans="2:32">
      <c r="B62" s="20" t="s">
        <v>304</v>
      </c>
      <c r="C62" s="132">
        <f t="shared" ref="C62:Q62" si="152">C35/C54</f>
        <v>0</v>
      </c>
      <c r="D62" s="132">
        <f t="shared" si="152"/>
        <v>0</v>
      </c>
      <c r="E62" s="132">
        <f t="shared" si="152"/>
        <v>0</v>
      </c>
      <c r="F62" s="132">
        <f t="shared" si="152"/>
        <v>0</v>
      </c>
      <c r="G62" s="132">
        <f t="shared" si="152"/>
        <v>195.63025210084032</v>
      </c>
      <c r="H62" s="132">
        <f t="shared" si="152"/>
        <v>142.09245742092457</v>
      </c>
      <c r="I62" s="132">
        <f t="shared" si="152"/>
        <v>96.289125524362703</v>
      </c>
      <c r="J62" s="132">
        <f t="shared" si="152"/>
        <v>132.9346826126955</v>
      </c>
      <c r="K62" s="132">
        <f t="shared" si="152"/>
        <v>222.78003482298317</v>
      </c>
      <c r="L62" s="132">
        <f t="shared" si="152"/>
        <v>207.78356481481481</v>
      </c>
      <c r="M62" s="219">
        <f t="shared" ref="M62" si="153">M35/M54</f>
        <v>267.59551852915826</v>
      </c>
      <c r="N62" s="132">
        <f t="shared" si="152"/>
        <v>150.12145968759754</v>
      </c>
      <c r="O62" s="132">
        <f t="shared" si="152"/>
        <v>175.68777179085959</v>
      </c>
      <c r="P62" s="132">
        <f t="shared" si="152"/>
        <v>213.61797873195297</v>
      </c>
      <c r="Q62" s="132">
        <f t="shared" si="152"/>
        <v>224.55136540962286</v>
      </c>
      <c r="R62" s="118">
        <f>((Q62/G62)^(1/($H$2-$H$1) ))-1</f>
        <v>1.5437735182058265E-2</v>
      </c>
      <c r="S62" s="127"/>
      <c r="T62" s="157">
        <f t="shared" ref="T62:AC62" si="154">T35/T54</f>
        <v>267.32305405907488</v>
      </c>
      <c r="U62" s="157">
        <f t="shared" si="154"/>
        <v>318.24173102270817</v>
      </c>
      <c r="V62" s="157">
        <f t="shared" si="154"/>
        <v>378.85920359846205</v>
      </c>
      <c r="W62" s="157">
        <f t="shared" si="154"/>
        <v>451.02286142674052</v>
      </c>
      <c r="X62" s="157">
        <f t="shared" si="154"/>
        <v>536.9319778889768</v>
      </c>
      <c r="Y62" s="157">
        <f t="shared" si="154"/>
        <v>639.20473558211518</v>
      </c>
      <c r="Z62" s="157">
        <f t="shared" si="154"/>
        <v>760.95801855013701</v>
      </c>
      <c r="AA62" s="157">
        <f t="shared" si="154"/>
        <v>905.90240303587734</v>
      </c>
      <c r="AB62" s="157">
        <f t="shared" si="154"/>
        <v>1078.4552417093778</v>
      </c>
      <c r="AC62" s="157">
        <f t="shared" si="154"/>
        <v>1283.8752877492593</v>
      </c>
      <c r="AD62" s="137">
        <f t="shared" ref="AD62" si="155">((AC62/G62)^(1/($AC$3-$H$1) ))-1</f>
        <v>9.8637303835274137E-2</v>
      </c>
      <c r="AE62" s="31">
        <f t="shared" si="17"/>
        <v>0.05</v>
      </c>
      <c r="AF62" s="145">
        <f t="shared" ref="AF62" si="156">(AC62*(1+AE62))/($C$1-AE62)</f>
        <v>7929.8179537454262</v>
      </c>
    </row>
    <row r="63" spans="2:32">
      <c r="B63" s="20" t="s">
        <v>305</v>
      </c>
      <c r="C63" s="132">
        <f t="shared" ref="C63:Q63" si="157">C37/C54</f>
        <v>0</v>
      </c>
      <c r="D63" s="132">
        <f t="shared" si="157"/>
        <v>0</v>
      </c>
      <c r="E63" s="132">
        <f t="shared" si="157"/>
        <v>0</v>
      </c>
      <c r="F63" s="132">
        <f t="shared" si="157"/>
        <v>0</v>
      </c>
      <c r="G63" s="132">
        <f t="shared" si="157"/>
        <v>162.01680672268907</v>
      </c>
      <c r="H63" s="132">
        <f t="shared" si="157"/>
        <v>126.35847526358475</v>
      </c>
      <c r="I63" s="132">
        <f t="shared" si="157"/>
        <v>79.219102936431113</v>
      </c>
      <c r="J63" s="132">
        <f t="shared" si="157"/>
        <v>116.83532658693653</v>
      </c>
      <c r="K63" s="132">
        <f t="shared" si="157"/>
        <v>194.95066744051073</v>
      </c>
      <c r="L63" s="132">
        <f t="shared" si="157"/>
        <v>188.88888888888889</v>
      </c>
      <c r="M63" s="219">
        <f t="shared" ref="M63" si="158">M37/M54</f>
        <v>229.44556162022405</v>
      </c>
      <c r="N63" s="132">
        <f t="shared" si="157"/>
        <v>128.82869434228562</v>
      </c>
      <c r="O63" s="132">
        <f t="shared" si="157"/>
        <v>150.71102716524749</v>
      </c>
      <c r="P63" s="132">
        <f t="shared" si="157"/>
        <v>184.09985803444675</v>
      </c>
      <c r="Q63" s="132">
        <f t="shared" si="157"/>
        <v>191.8855656697009</v>
      </c>
      <c r="R63" s="118">
        <f>((Q63/G63)^(1/($H$2-$H$1) ))-1</f>
        <v>1.8977731581923729E-2</v>
      </c>
      <c r="S63" s="127"/>
      <c r="T63" s="157">
        <f t="shared" ref="T63:AC63" si="159">T37/T54</f>
        <v>228.4351972258344</v>
      </c>
      <c r="U63" s="157">
        <f t="shared" si="159"/>
        <v>271.94666336408858</v>
      </c>
      <c r="V63" s="157">
        <f t="shared" si="159"/>
        <v>323.74602781439114</v>
      </c>
      <c r="W63" s="157">
        <f t="shared" si="159"/>
        <v>385.41193787427517</v>
      </c>
      <c r="X63" s="157">
        <f t="shared" si="159"/>
        <v>458.82373556461323</v>
      </c>
      <c r="Y63" s="157">
        <f t="shared" si="159"/>
        <v>546.21873281501576</v>
      </c>
      <c r="Z63" s="157">
        <f t="shared" si="159"/>
        <v>650.26039620835195</v>
      </c>
      <c r="AA63" s="157">
        <f t="shared" si="159"/>
        <v>774.11951929565703</v>
      </c>
      <c r="AB63" s="157">
        <f t="shared" si="159"/>
        <v>921.57085630435358</v>
      </c>
      <c r="AC63" s="157">
        <f t="shared" si="159"/>
        <v>1097.1081622670877</v>
      </c>
      <c r="AD63" s="137">
        <f t="shared" ref="AD63" si="160">((AC63/G63)^(1/($AC$3-$H$1) ))-1</f>
        <v>0.10035917466475741</v>
      </c>
      <c r="AE63" s="31">
        <f t="shared" si="17"/>
        <v>0.05</v>
      </c>
      <c r="AF63" s="145">
        <f t="shared" ref="AF63" si="161">(AC63*(1+AE63))/($C$1-AE63)</f>
        <v>6776.2562963555429</v>
      </c>
    </row>
    <row r="64" spans="2:32">
      <c r="B64" s="20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219"/>
      <c r="N64" s="132"/>
      <c r="O64" s="132"/>
      <c r="P64" s="132"/>
      <c r="Q64" s="132"/>
      <c r="R64" s="127"/>
      <c r="S64" s="12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19"/>
      <c r="AE64" s="136"/>
      <c r="AF64" s="145"/>
    </row>
    <row r="65" spans="2:32">
      <c r="B65" s="20" t="s">
        <v>258</v>
      </c>
      <c r="C65" s="25">
        <f t="shared" ref="C65:Q65" si="162">C52/C54</f>
        <v>0</v>
      </c>
      <c r="D65" s="25">
        <f t="shared" si="162"/>
        <v>0</v>
      </c>
      <c r="E65" s="25">
        <f t="shared" si="162"/>
        <v>0</v>
      </c>
      <c r="F65" s="132">
        <f t="shared" si="162"/>
        <v>0</v>
      </c>
      <c r="G65" s="132">
        <f t="shared" si="162"/>
        <v>33.680672268907564</v>
      </c>
      <c r="H65" s="132">
        <f t="shared" si="162"/>
        <v>15.733982157339822</v>
      </c>
      <c r="I65" s="132">
        <f t="shared" si="162"/>
        <v>17.070022587931593</v>
      </c>
      <c r="J65" s="132">
        <f t="shared" si="162"/>
        <v>16.068690585709906</v>
      </c>
      <c r="K65" s="132">
        <f t="shared" si="162"/>
        <v>27.800348229831688</v>
      </c>
      <c r="L65" s="132">
        <f t="shared" si="162"/>
        <v>18.86574074074074</v>
      </c>
      <c r="M65" s="219">
        <f t="shared" si="162"/>
        <v>38.121229531743751</v>
      </c>
      <c r="N65" s="132">
        <f t="shared" si="162"/>
        <v>21.292765345311928</v>
      </c>
      <c r="O65" s="132">
        <f t="shared" si="162"/>
        <v>24.976744625612099</v>
      </c>
      <c r="P65" s="132">
        <f t="shared" si="162"/>
        <v>29.51812069750623</v>
      </c>
      <c r="Q65" s="132">
        <f t="shared" si="162"/>
        <v>32.652795838751622</v>
      </c>
      <c r="R65" s="118">
        <f>((Q65/G65)^(1/($H$2-$H$1) ))-1</f>
        <v>-3.4378179041997248E-3</v>
      </c>
      <c r="S65" s="127"/>
      <c r="T65" s="157">
        <f t="shared" ref="T65:AC65" si="163">T52/T54</f>
        <v>38.872375998513839</v>
      </c>
      <c r="U65" s="157">
        <f t="shared" si="163"/>
        <v>46.276638093468854</v>
      </c>
      <c r="V65" s="157">
        <f t="shared" si="163"/>
        <v>55.091235825558158</v>
      </c>
      <c r="W65" s="157">
        <f t="shared" si="163"/>
        <v>65.584804554235902</v>
      </c>
      <c r="X65" s="157">
        <f t="shared" si="163"/>
        <v>78.077148278852249</v>
      </c>
      <c r="Y65" s="157">
        <f t="shared" si="163"/>
        <v>92.948986046252671</v>
      </c>
      <c r="Z65" s="157">
        <f t="shared" si="163"/>
        <v>110.65355481696746</v>
      </c>
      <c r="AA65" s="157">
        <f t="shared" si="163"/>
        <v>131.73042240115174</v>
      </c>
      <c r="AB65" s="157">
        <f t="shared" si="163"/>
        <v>156.82193142994254</v>
      </c>
      <c r="AC65" s="157">
        <f t="shared" si="163"/>
        <v>186.69277551183635</v>
      </c>
      <c r="AD65" s="137">
        <f t="shared" ref="AD65:AD78" si="164">((AC65/G65)^(1/($AC$3-$H$1) ))-1</f>
        <v>8.9399917482956281E-2</v>
      </c>
      <c r="AE65" s="31">
        <f t="shared" si="17"/>
        <v>0.05</v>
      </c>
      <c r="AF65" s="145">
        <f t="shared" ref="AF65:AF92" si="165">(AC65*(1+AE65))/($C$1-AE65)</f>
        <v>1153.1024369848717</v>
      </c>
    </row>
    <row r="66" spans="2:32">
      <c r="B66" s="20" t="s">
        <v>245</v>
      </c>
      <c r="C66" s="25">
        <f t="shared" ref="C66:Q66" si="166">C7/C54</f>
        <v>0</v>
      </c>
      <c r="D66" s="25">
        <f t="shared" si="166"/>
        <v>0</v>
      </c>
      <c r="E66" s="25">
        <f t="shared" si="166"/>
        <v>0</v>
      </c>
      <c r="F66" s="132">
        <f t="shared" si="166"/>
        <v>0</v>
      </c>
      <c r="G66" s="132">
        <f t="shared" si="166"/>
        <v>207.73109243697479</v>
      </c>
      <c r="H66" s="132">
        <f t="shared" si="166"/>
        <v>119.38361719383617</v>
      </c>
      <c r="I66" s="132">
        <f t="shared" si="166"/>
        <v>72.862213617295907</v>
      </c>
      <c r="J66" s="132">
        <f t="shared" si="166"/>
        <v>100</v>
      </c>
      <c r="K66" s="132">
        <f t="shared" si="166"/>
        <v>170.69065583284967</v>
      </c>
      <c r="L66" s="132">
        <f t="shared" si="166"/>
        <v>191.37731481481481</v>
      </c>
      <c r="M66" s="219">
        <f t="shared" si="166"/>
        <v>228.81355932203388</v>
      </c>
      <c r="N66" s="132">
        <f t="shared" si="166"/>
        <v>149.26649205422939</v>
      </c>
      <c r="O66" s="132">
        <f t="shared" si="166"/>
        <v>174.63469823367163</v>
      </c>
      <c r="P66" s="132">
        <f t="shared" si="166"/>
        <v>204.47057563013956</v>
      </c>
      <c r="Q66" s="132">
        <f t="shared" si="166"/>
        <v>248.16644993498048</v>
      </c>
      <c r="R66" s="118">
        <f>((Q66/G66)^(1/($H$2-$H$1) ))-1</f>
        <v>1.9958251800909599E-2</v>
      </c>
      <c r="S66" s="127"/>
      <c r="T66" s="157">
        <f t="shared" ref="T66:AC66" si="167">T7/T54</f>
        <v>295.43624992259583</v>
      </c>
      <c r="U66" s="157">
        <f t="shared" si="167"/>
        <v>351.7098213364236</v>
      </c>
      <c r="V66" s="157">
        <f t="shared" si="167"/>
        <v>418.70216825764709</v>
      </c>
      <c r="W66" s="157">
        <f t="shared" si="167"/>
        <v>498.4549622114846</v>
      </c>
      <c r="X66" s="157">
        <f t="shared" si="167"/>
        <v>593.39876453748161</v>
      </c>
      <c r="Y66" s="157">
        <f t="shared" si="167"/>
        <v>706.42710063985908</v>
      </c>
      <c r="Z66" s="157">
        <f t="shared" si="167"/>
        <v>840.98464361887977</v>
      </c>
      <c r="AA66" s="157">
        <f t="shared" si="167"/>
        <v>1001.1721947843806</v>
      </c>
      <c r="AB66" s="157">
        <f t="shared" si="167"/>
        <v>1191.8716604575959</v>
      </c>
      <c r="AC66" s="157">
        <f t="shared" si="167"/>
        <v>1418.8948338780904</v>
      </c>
      <c r="AD66" s="137">
        <f t="shared" si="164"/>
        <v>0.10083552224282477</v>
      </c>
      <c r="AE66" s="31">
        <f t="shared" si="17"/>
        <v>0.05</v>
      </c>
      <c r="AF66" s="145">
        <f t="shared" si="165"/>
        <v>8763.7622092470301</v>
      </c>
    </row>
    <row r="67" spans="2:32">
      <c r="B67" s="20" t="s">
        <v>246</v>
      </c>
      <c r="C67" s="126">
        <f t="shared" ref="C67:Q67" si="168">C6/C54</f>
        <v>0</v>
      </c>
      <c r="D67" s="126">
        <f t="shared" si="168"/>
        <v>0</v>
      </c>
      <c r="E67" s="126">
        <f t="shared" si="168"/>
        <v>0</v>
      </c>
      <c r="F67" s="143">
        <f t="shared" si="168"/>
        <v>0</v>
      </c>
      <c r="G67" s="143">
        <f t="shared" si="168"/>
        <v>197.64705882352939</v>
      </c>
      <c r="H67" s="143">
        <f t="shared" si="168"/>
        <v>108.9213300892133</v>
      </c>
      <c r="I67" s="143">
        <f t="shared" si="168"/>
        <v>62.891255243626979</v>
      </c>
      <c r="J67" s="143">
        <f t="shared" si="168"/>
        <v>90.003066544004909</v>
      </c>
      <c r="K67" s="143">
        <f t="shared" si="168"/>
        <v>158.9959373186303</v>
      </c>
      <c r="L67" s="143">
        <f t="shared" si="168"/>
        <v>181.36574074074073</v>
      </c>
      <c r="M67" s="143">
        <f t="shared" si="168"/>
        <v>218.81643205975294</v>
      </c>
      <c r="N67" s="143">
        <f t="shared" si="168"/>
        <v>143.77027155400546</v>
      </c>
      <c r="O67" s="143">
        <f t="shared" si="168"/>
        <v>169.16681630211872</v>
      </c>
      <c r="P67" s="143">
        <f t="shared" si="168"/>
        <v>199.23392173144404</v>
      </c>
      <c r="Q67" s="143">
        <f t="shared" si="168"/>
        <v>243.04291287386215</v>
      </c>
      <c r="R67" s="118">
        <f>((Q67/G67)^(1/($H$2-$H$1) ))-1</f>
        <v>2.3238697416148035E-2</v>
      </c>
      <c r="S67" s="127"/>
      <c r="T67" s="156">
        <f t="shared" ref="T67:AC67" si="169">T6/T54</f>
        <v>289.33680104031208</v>
      </c>
      <c r="U67" s="156">
        <f t="shared" si="169"/>
        <v>344.44857266703821</v>
      </c>
      <c r="V67" s="156">
        <f t="shared" si="169"/>
        <v>410.05782460361689</v>
      </c>
      <c r="W67" s="156">
        <f t="shared" si="169"/>
        <v>488.16407690906766</v>
      </c>
      <c r="X67" s="156">
        <f t="shared" si="169"/>
        <v>581.14771060603289</v>
      </c>
      <c r="Y67" s="156">
        <f t="shared" si="169"/>
        <v>691.84251262622956</v>
      </c>
      <c r="Z67" s="156">
        <f t="shared" si="169"/>
        <v>823.6220388407495</v>
      </c>
      <c r="AA67" s="156">
        <f t="shared" si="169"/>
        <v>980.50242719136827</v>
      </c>
      <c r="AB67" s="156">
        <f t="shared" si="169"/>
        <v>1167.2647942754384</v>
      </c>
      <c r="AC67" s="156">
        <f t="shared" si="169"/>
        <v>1389.600945565998</v>
      </c>
      <c r="AD67" s="137">
        <f t="shared" si="164"/>
        <v>0.10242737077877151</v>
      </c>
      <c r="AE67" s="31">
        <f t="shared" si="17"/>
        <v>0.05</v>
      </c>
      <c r="AF67" s="145">
        <f t="shared" si="165"/>
        <v>8582.8293696723413</v>
      </c>
    </row>
    <row r="68" spans="2:32">
      <c r="B68" s="20" t="s">
        <v>247</v>
      </c>
      <c r="C68" s="126">
        <f t="shared" ref="C68:Q68" si="170">C10/C54</f>
        <v>0</v>
      </c>
      <c r="D68" s="126">
        <f t="shared" si="170"/>
        <v>0</v>
      </c>
      <c r="E68" s="126">
        <f t="shared" si="170"/>
        <v>0</v>
      </c>
      <c r="F68" s="143">
        <f t="shared" si="170"/>
        <v>0</v>
      </c>
      <c r="G68" s="143">
        <f t="shared" si="170"/>
        <v>1230.9243697478992</v>
      </c>
      <c r="H68" s="143">
        <f t="shared" si="170"/>
        <v>612.81427412814276</v>
      </c>
      <c r="I68" s="143">
        <f t="shared" si="170"/>
        <v>368.31235882542757</v>
      </c>
      <c r="J68" s="143">
        <f t="shared" si="170"/>
        <v>602.45323520392515</v>
      </c>
      <c r="K68" s="143">
        <f t="shared" si="170"/>
        <v>767.96285548461981</v>
      </c>
      <c r="L68" s="143">
        <f t="shared" si="170"/>
        <v>719.96527777777771</v>
      </c>
      <c r="M68" s="143">
        <f t="shared" si="170"/>
        <v>1025.6822752082735</v>
      </c>
      <c r="N68" s="143">
        <f t="shared" si="170"/>
        <v>670.2131990717495</v>
      </c>
      <c r="O68" s="143">
        <f t="shared" si="170"/>
        <v>886.40441534841204</v>
      </c>
      <c r="P68" s="143">
        <f t="shared" si="170"/>
        <v>1159.3094581201619</v>
      </c>
      <c r="Q68" s="143">
        <f t="shared" si="170"/>
        <v>1110.481144343303</v>
      </c>
      <c r="R68" s="118">
        <f>((Q68/G68)^(1/($H$2-$H$1) ))-1</f>
        <v>-1.1376132655286919E-2</v>
      </c>
      <c r="S68" s="127"/>
      <c r="T68" s="156">
        <f t="shared" ref="T68:AC68" si="171">T10/T54</f>
        <v>1322.001362313456</v>
      </c>
      <c r="U68" s="156">
        <f t="shared" si="171"/>
        <v>1573.811145611257</v>
      </c>
      <c r="V68" s="156">
        <f t="shared" si="171"/>
        <v>1873.5846971562582</v>
      </c>
      <c r="W68" s="156">
        <f t="shared" si="171"/>
        <v>2230.4579728050694</v>
      </c>
      <c r="X68" s="156">
        <f t="shared" si="171"/>
        <v>2655.3071104822252</v>
      </c>
      <c r="Y68" s="156">
        <f t="shared" si="171"/>
        <v>3161.0798934312202</v>
      </c>
      <c r="Z68" s="156">
        <f t="shared" si="171"/>
        <v>3763.1903493228806</v>
      </c>
      <c r="AA68" s="156">
        <f t="shared" si="171"/>
        <v>4479.988511098667</v>
      </c>
      <c r="AB68" s="156">
        <f t="shared" si="171"/>
        <v>5333.3196560698416</v>
      </c>
      <c r="AC68" s="156">
        <f t="shared" si="171"/>
        <v>6349.1900667498112</v>
      </c>
      <c r="AD68" s="137">
        <f t="shared" si="164"/>
        <v>8.5486303369385785E-2</v>
      </c>
      <c r="AE68" s="31">
        <f t="shared" si="17"/>
        <v>0.05</v>
      </c>
      <c r="AF68" s="145">
        <f t="shared" si="165"/>
        <v>39215.585706395897</v>
      </c>
    </row>
    <row r="69" spans="2:32">
      <c r="B69" s="20"/>
      <c r="C69" s="126"/>
      <c r="D69" s="126"/>
      <c r="E69" s="126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27"/>
      <c r="S69" s="127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38"/>
      <c r="AE69" s="136"/>
      <c r="AF69" s="145"/>
    </row>
    <row r="70" spans="2:32">
      <c r="B70" s="20" t="s">
        <v>271</v>
      </c>
      <c r="C70" s="126">
        <f t="shared" ref="C70:Q70" si="172">(C7-C10)/C54</f>
        <v>0</v>
      </c>
      <c r="D70" s="126">
        <f t="shared" si="172"/>
        <v>0</v>
      </c>
      <c r="E70" s="126">
        <f t="shared" si="172"/>
        <v>0</v>
      </c>
      <c r="F70" s="143">
        <f t="shared" si="172"/>
        <v>0</v>
      </c>
      <c r="G70" s="143">
        <f t="shared" si="172"/>
        <v>-1023.1932773109244</v>
      </c>
      <c r="H70" s="143">
        <f t="shared" si="172"/>
        <v>-493.43065693430657</v>
      </c>
      <c r="I70" s="143">
        <f t="shared" si="172"/>
        <v>-295.45014520813169</v>
      </c>
      <c r="J70" s="143">
        <f t="shared" si="172"/>
        <v>-502.4532352039252</v>
      </c>
      <c r="K70" s="143">
        <f t="shared" si="172"/>
        <v>-597.27219965177017</v>
      </c>
      <c r="L70" s="143">
        <f t="shared" si="172"/>
        <v>-528.58796296296293</v>
      </c>
      <c r="M70" s="143">
        <f t="shared" si="172"/>
        <v>-796.86871588623956</v>
      </c>
      <c r="N70" s="143">
        <f t="shared" si="172"/>
        <v>-520.94670701752011</v>
      </c>
      <c r="O70" s="143">
        <f t="shared" si="172"/>
        <v>-711.7697171147405</v>
      </c>
      <c r="P70" s="143">
        <f t="shared" si="172"/>
        <v>-954.83888249002223</v>
      </c>
      <c r="Q70" s="143">
        <f t="shared" si="172"/>
        <v>-862.31469440832245</v>
      </c>
      <c r="R70" s="118">
        <f>((Q70/G70)^(1/($H$2-$H$1) ))-1</f>
        <v>-1.8827549729819704E-2</v>
      </c>
      <c r="S70" s="127"/>
      <c r="T70" s="156">
        <f t="shared" ref="T70:AC70" si="173">(T7-T10)/T54</f>
        <v>-1026.5651123908601</v>
      </c>
      <c r="U70" s="156">
        <f t="shared" si="173"/>
        <v>-1222.1013242748334</v>
      </c>
      <c r="V70" s="156">
        <f t="shared" si="173"/>
        <v>-1454.8825288986111</v>
      </c>
      <c r="W70" s="156">
        <f t="shared" si="173"/>
        <v>-1732.0030105935846</v>
      </c>
      <c r="X70" s="156">
        <f t="shared" si="173"/>
        <v>-2061.9083459447434</v>
      </c>
      <c r="Y70" s="156">
        <f t="shared" si="173"/>
        <v>-2454.6527927913608</v>
      </c>
      <c r="Z70" s="156">
        <f t="shared" si="173"/>
        <v>-2922.205705704001</v>
      </c>
      <c r="AA70" s="156">
        <f t="shared" si="173"/>
        <v>-3478.8163163142867</v>
      </c>
      <c r="AB70" s="156">
        <f t="shared" si="173"/>
        <v>-4141.4479956122459</v>
      </c>
      <c r="AC70" s="156">
        <f t="shared" si="173"/>
        <v>-4930.2952328717211</v>
      </c>
      <c r="AD70" s="137">
        <f t="shared" si="164"/>
        <v>8.1796974270199607E-2</v>
      </c>
      <c r="AE70" s="31">
        <f t="shared" si="17"/>
        <v>0.05</v>
      </c>
      <c r="AF70" s="145">
        <f t="shared" si="165"/>
        <v>-30451.823497148867</v>
      </c>
    </row>
    <row r="71" spans="2:32">
      <c r="B71" s="20" t="s">
        <v>272</v>
      </c>
      <c r="C71" s="126">
        <f t="shared" ref="C71:Q71" si="174">(C7-C10-C9)/C54</f>
        <v>0</v>
      </c>
      <c r="D71" s="126">
        <f t="shared" si="174"/>
        <v>0</v>
      </c>
      <c r="E71" s="126">
        <f t="shared" si="174"/>
        <v>0</v>
      </c>
      <c r="F71" s="143">
        <f t="shared" si="174"/>
        <v>0</v>
      </c>
      <c r="G71" s="143">
        <f t="shared" si="174"/>
        <v>-1023.1932773109244</v>
      </c>
      <c r="H71" s="143">
        <f t="shared" si="174"/>
        <v>-493.43065693430657</v>
      </c>
      <c r="I71" s="143">
        <f t="shared" si="174"/>
        <v>-295.45014520813169</v>
      </c>
      <c r="J71" s="143">
        <f t="shared" si="174"/>
        <v>-502.4532352039252</v>
      </c>
      <c r="K71" s="143">
        <f t="shared" si="174"/>
        <v>-597.27219965177017</v>
      </c>
      <c r="L71" s="143">
        <f t="shared" si="174"/>
        <v>-528.58796296296293</v>
      </c>
      <c r="M71" s="143">
        <f t="shared" si="174"/>
        <v>-796.86871588623956</v>
      </c>
      <c r="N71" s="143">
        <f t="shared" si="174"/>
        <v>-520.94670701752011</v>
      </c>
      <c r="O71" s="143">
        <f t="shared" si="174"/>
        <v>-711.7697171147405</v>
      </c>
      <c r="P71" s="143">
        <f t="shared" si="174"/>
        <v>-954.83888249002223</v>
      </c>
      <c r="Q71" s="143">
        <f t="shared" si="174"/>
        <v>-862.31469440832245</v>
      </c>
      <c r="R71" s="118">
        <f>((Q71/G71)^(1/($H$2-$H$1) ))-1</f>
        <v>-1.8827549729819704E-2</v>
      </c>
      <c r="S71" s="127"/>
      <c r="T71" s="156">
        <f t="shared" ref="T71:AC71" si="175">(T7-T10-T9)/T54</f>
        <v>-1026.5651123908601</v>
      </c>
      <c r="U71" s="156">
        <f t="shared" si="175"/>
        <v>-1222.1013242748334</v>
      </c>
      <c r="V71" s="156">
        <f t="shared" si="175"/>
        <v>-1454.8825288986111</v>
      </c>
      <c r="W71" s="156">
        <f t="shared" si="175"/>
        <v>-1732.0030105935846</v>
      </c>
      <c r="X71" s="156">
        <f t="shared" si="175"/>
        <v>-2061.9083459447434</v>
      </c>
      <c r="Y71" s="156">
        <f t="shared" si="175"/>
        <v>-2454.6527927913608</v>
      </c>
      <c r="Z71" s="156">
        <f t="shared" si="175"/>
        <v>-2922.205705704001</v>
      </c>
      <c r="AA71" s="156">
        <f t="shared" si="175"/>
        <v>-3478.8163163142867</v>
      </c>
      <c r="AB71" s="156">
        <f t="shared" si="175"/>
        <v>-4141.4479956122459</v>
      </c>
      <c r="AC71" s="156">
        <f t="shared" si="175"/>
        <v>-4930.2952328717211</v>
      </c>
      <c r="AD71" s="137">
        <f t="shared" si="164"/>
        <v>8.1796974270199607E-2</v>
      </c>
      <c r="AE71" s="31">
        <f t="shared" si="17"/>
        <v>0.05</v>
      </c>
      <c r="AF71" s="145">
        <f t="shared" si="165"/>
        <v>-30451.823497148867</v>
      </c>
    </row>
    <row r="72" spans="2:32">
      <c r="B72" s="20" t="s">
        <v>277</v>
      </c>
      <c r="C72" s="126" t="e">
        <f>(C7+#REF!-C10-C9)/C54</f>
        <v>#REF!</v>
      </c>
      <c r="D72" s="126" t="e">
        <f>(D7+#REF!-D10-D9)/D54</f>
        <v>#REF!</v>
      </c>
      <c r="E72" s="126" t="e">
        <f>(E7+#REF!-E10-E9)/E54</f>
        <v>#REF!</v>
      </c>
      <c r="F72" s="143" t="e">
        <f>(F7+#REF!-F10-F9)/F54</f>
        <v>#REF!</v>
      </c>
      <c r="G72" s="143" t="e">
        <f>(G7+#REF!-G10-G9)/G54</f>
        <v>#REF!</v>
      </c>
      <c r="H72" s="143" t="e">
        <f>(H7+#REF!-H10-H9)/H54</f>
        <v>#REF!</v>
      </c>
      <c r="I72" s="143" t="e">
        <f>(I7+#REF!-I10-I9)/I54</f>
        <v>#REF!</v>
      </c>
      <c r="J72" s="143" t="e">
        <f>(J7+#REF!-J10-J9)/J54</f>
        <v>#REF!</v>
      </c>
      <c r="K72" s="143" t="e">
        <f>(K7+#REF!-K10-K9)/K54</f>
        <v>#REF!</v>
      </c>
      <c r="L72" s="143" t="e">
        <f>(L7+#REF!-L10-L9)/L54</f>
        <v>#REF!</v>
      </c>
      <c r="M72" s="143" t="e">
        <f>(M7+#REF!-M10-M9)/M54</f>
        <v>#REF!</v>
      </c>
      <c r="N72" s="143" t="e">
        <f>(N7+#REF!-N10-N9)/N54</f>
        <v>#REF!</v>
      </c>
      <c r="O72" s="143" t="e">
        <f>(O7+#REF!-O10-O9)/O54</f>
        <v>#REF!</v>
      </c>
      <c r="P72" s="143" t="e">
        <f>(P7+#REF!-P10-P9)/P54</f>
        <v>#REF!</v>
      </c>
      <c r="Q72" s="143" t="e">
        <f>(Q7+#REF!-Q10-Q9)/Q54</f>
        <v>#REF!</v>
      </c>
      <c r="R72" s="118" t="e">
        <f>((Q72/G72)^(1/($H$2-$H$1) ))-1</f>
        <v>#REF!</v>
      </c>
      <c r="S72" s="127"/>
      <c r="T72" s="156" t="e">
        <f>(T7+#REF!-T10-T9)/T54</f>
        <v>#REF!</v>
      </c>
      <c r="U72" s="156" t="e">
        <f>(U7+#REF!-U10-U9)/U54</f>
        <v>#REF!</v>
      </c>
      <c r="V72" s="156" t="e">
        <f>(V7+#REF!-V10-V9)/V54</f>
        <v>#REF!</v>
      </c>
      <c r="W72" s="156" t="e">
        <f>(W7+#REF!-W10-W9)/W54</f>
        <v>#REF!</v>
      </c>
      <c r="X72" s="156" t="e">
        <f>(X7+#REF!-X10-X9)/X54</f>
        <v>#REF!</v>
      </c>
      <c r="Y72" s="156" t="e">
        <f>(Y7+#REF!-Y10-Y9)/Y54</f>
        <v>#REF!</v>
      </c>
      <c r="Z72" s="156" t="e">
        <f>(Z7+#REF!-Z10-Z9)/Z54</f>
        <v>#REF!</v>
      </c>
      <c r="AA72" s="156" t="e">
        <f>(AA7+#REF!-AA10-AA9)/AA54</f>
        <v>#REF!</v>
      </c>
      <c r="AB72" s="156" t="e">
        <f>(AB7+#REF!-AB10-AB9)/AB54</f>
        <v>#REF!</v>
      </c>
      <c r="AC72" s="156" t="e">
        <f>(AC7+#REF!-AC10-AC9)/AC54</f>
        <v>#REF!</v>
      </c>
      <c r="AD72" s="137" t="e">
        <f t="shared" si="164"/>
        <v>#REF!</v>
      </c>
      <c r="AE72" s="31">
        <f t="shared" si="17"/>
        <v>0.05</v>
      </c>
      <c r="AF72" s="145" t="e">
        <f t="shared" si="165"/>
        <v>#REF!</v>
      </c>
    </row>
    <row r="73" spans="2:32">
      <c r="B73" s="20"/>
      <c r="C73" s="126"/>
      <c r="D73" s="126"/>
      <c r="E73" s="126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27"/>
      <c r="S73" s="127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38"/>
      <c r="AE73" s="136"/>
      <c r="AF73" s="153"/>
    </row>
    <row r="74" spans="2:32">
      <c r="B74" s="20" t="s">
        <v>248</v>
      </c>
      <c r="C74" s="126">
        <f t="shared" ref="C74:Q74" si="176">C12/C54</f>
        <v>0</v>
      </c>
      <c r="D74" s="126">
        <f t="shared" si="176"/>
        <v>0</v>
      </c>
      <c r="E74" s="126">
        <f t="shared" si="176"/>
        <v>0</v>
      </c>
      <c r="F74" s="143">
        <f t="shared" si="176"/>
        <v>0</v>
      </c>
      <c r="G74" s="143">
        <f t="shared" si="176"/>
        <v>0</v>
      </c>
      <c r="H74" s="143">
        <f t="shared" si="176"/>
        <v>0</v>
      </c>
      <c r="I74" s="143">
        <f t="shared" si="176"/>
        <v>0</v>
      </c>
      <c r="J74" s="143">
        <f t="shared" si="176"/>
        <v>0</v>
      </c>
      <c r="K74" s="143">
        <f t="shared" si="176"/>
        <v>0</v>
      </c>
      <c r="L74" s="143">
        <f t="shared" si="176"/>
        <v>0</v>
      </c>
      <c r="M74" s="143">
        <f t="shared" si="176"/>
        <v>0</v>
      </c>
      <c r="N74" s="143">
        <f t="shared" si="176"/>
        <v>0</v>
      </c>
      <c r="O74" s="143">
        <f t="shared" si="176"/>
        <v>0</v>
      </c>
      <c r="P74" s="143">
        <f t="shared" si="176"/>
        <v>0</v>
      </c>
      <c r="Q74" s="143">
        <f t="shared" si="176"/>
        <v>0</v>
      </c>
      <c r="R74" s="118" t="e">
        <f>((Q74/G74)^(1/($H$2-$H$1) ))-1</f>
        <v>#DIV/0!</v>
      </c>
      <c r="S74" s="127"/>
      <c r="T74" s="156">
        <f t="shared" ref="T74:AC74" si="177">T12/T54</f>
        <v>0</v>
      </c>
      <c r="U74" s="156">
        <f t="shared" si="177"/>
        <v>0</v>
      </c>
      <c r="V74" s="156">
        <f t="shared" si="177"/>
        <v>0</v>
      </c>
      <c r="W74" s="156">
        <f t="shared" si="177"/>
        <v>0</v>
      </c>
      <c r="X74" s="156">
        <f t="shared" si="177"/>
        <v>0</v>
      </c>
      <c r="Y74" s="156">
        <f t="shared" si="177"/>
        <v>0</v>
      </c>
      <c r="Z74" s="156">
        <f t="shared" si="177"/>
        <v>0</v>
      </c>
      <c r="AA74" s="156">
        <f t="shared" si="177"/>
        <v>0</v>
      </c>
      <c r="AB74" s="156">
        <f t="shared" si="177"/>
        <v>0</v>
      </c>
      <c r="AC74" s="156">
        <f t="shared" si="177"/>
        <v>0</v>
      </c>
      <c r="AD74" s="137" t="e">
        <f t="shared" si="164"/>
        <v>#DIV/0!</v>
      </c>
      <c r="AE74" s="31">
        <f t="shared" si="17"/>
        <v>0.05</v>
      </c>
      <c r="AF74" s="145">
        <f t="shared" si="165"/>
        <v>0</v>
      </c>
    </row>
    <row r="75" spans="2:32">
      <c r="B75" s="20" t="s">
        <v>255</v>
      </c>
      <c r="C75" s="126">
        <f t="shared" ref="C75:Q75" si="178">C15/C54</f>
        <v>0</v>
      </c>
      <c r="D75" s="126">
        <f t="shared" si="178"/>
        <v>0</v>
      </c>
      <c r="E75" s="126">
        <f t="shared" si="178"/>
        <v>0</v>
      </c>
      <c r="F75" s="143">
        <f t="shared" si="178"/>
        <v>0</v>
      </c>
      <c r="G75" s="143">
        <f t="shared" si="178"/>
        <v>606.55462184873943</v>
      </c>
      <c r="H75" s="143">
        <f t="shared" si="178"/>
        <v>219.38361719383616</v>
      </c>
      <c r="I75" s="143">
        <f t="shared" si="178"/>
        <v>162.89125524362697</v>
      </c>
      <c r="J75" s="143">
        <f t="shared" si="178"/>
        <v>279.9141367678626</v>
      </c>
      <c r="K75" s="143">
        <f t="shared" si="178"/>
        <v>364.74172954149736</v>
      </c>
      <c r="L75" s="143">
        <f t="shared" si="178"/>
        <v>385.21412037037032</v>
      </c>
      <c r="M75" s="143">
        <f t="shared" si="178"/>
        <v>559.72421717897157</v>
      </c>
      <c r="N75" s="143">
        <f t="shared" si="178"/>
        <v>353.49518911069794</v>
      </c>
      <c r="O75" s="143">
        <f t="shared" si="178"/>
        <v>427.41285478790695</v>
      </c>
      <c r="P75" s="143">
        <f t="shared" si="178"/>
        <v>547.86649880802509</v>
      </c>
      <c r="Q75" s="143">
        <f t="shared" si="178"/>
        <v>504.43433029908971</v>
      </c>
      <c r="R75" s="118">
        <f>((Q75/G75)^(1/($H$2-$H$1) ))-1</f>
        <v>-2.0275750162339401E-2</v>
      </c>
      <c r="S75" s="127"/>
      <c r="T75" s="156">
        <f t="shared" ref="T75:AC75" si="179">T15/T54</f>
        <v>600.51705987986873</v>
      </c>
      <c r="U75" s="156">
        <f t="shared" si="179"/>
        <v>714.9012617617484</v>
      </c>
      <c r="V75" s="156">
        <f t="shared" si="179"/>
        <v>851.07293066874809</v>
      </c>
      <c r="W75" s="156">
        <f t="shared" si="179"/>
        <v>1013.1820603199382</v>
      </c>
      <c r="X75" s="156">
        <f t="shared" si="179"/>
        <v>1206.1691194284977</v>
      </c>
      <c r="Y75" s="156">
        <f t="shared" si="179"/>
        <v>1435.915618367259</v>
      </c>
      <c r="Z75" s="156">
        <f t="shared" si="179"/>
        <v>1709.4233551991179</v>
      </c>
      <c r="AA75" s="156">
        <f t="shared" si="179"/>
        <v>2035.0278038084734</v>
      </c>
      <c r="AB75" s="156">
        <f t="shared" si="179"/>
        <v>2422.6521473910398</v>
      </c>
      <c r="AC75" s="156">
        <f t="shared" si="179"/>
        <v>2884.1096992750472</v>
      </c>
      <c r="AD75" s="137">
        <f t="shared" si="164"/>
        <v>8.107815786333461E-2</v>
      </c>
      <c r="AE75" s="31">
        <f t="shared" si="17"/>
        <v>0.05</v>
      </c>
      <c r="AF75" s="145">
        <f t="shared" si="165"/>
        <v>17813.61873081647</v>
      </c>
    </row>
    <row r="76" spans="2:32">
      <c r="B76" s="20" t="s">
        <v>256</v>
      </c>
      <c r="C76" s="126">
        <f>(C74+C75)</f>
        <v>0</v>
      </c>
      <c r="D76" s="126">
        <f t="shared" ref="D76:Q76" si="180">(D74+D75)</f>
        <v>0</v>
      </c>
      <c r="E76" s="126">
        <f t="shared" si="180"/>
        <v>0</v>
      </c>
      <c r="F76" s="143">
        <f t="shared" si="180"/>
        <v>0</v>
      </c>
      <c r="G76" s="143">
        <f t="shared" si="180"/>
        <v>606.55462184873943</v>
      </c>
      <c r="H76" s="143">
        <f t="shared" si="180"/>
        <v>219.38361719383616</v>
      </c>
      <c r="I76" s="143">
        <f t="shared" si="180"/>
        <v>162.89125524362697</v>
      </c>
      <c r="J76" s="143">
        <f t="shared" si="180"/>
        <v>279.9141367678626</v>
      </c>
      <c r="K76" s="143">
        <f t="shared" si="180"/>
        <v>364.74172954149736</v>
      </c>
      <c r="L76" s="143">
        <f t="shared" si="180"/>
        <v>385.21412037037032</v>
      </c>
      <c r="M76" s="143">
        <f t="shared" ref="M76" si="181">(M74+M75)</f>
        <v>559.72421717897157</v>
      </c>
      <c r="N76" s="143">
        <f t="shared" si="180"/>
        <v>353.49518911069794</v>
      </c>
      <c r="O76" s="143">
        <f t="shared" si="180"/>
        <v>427.41285478790695</v>
      </c>
      <c r="P76" s="143">
        <f t="shared" ref="P76" si="182">(P74+P75)</f>
        <v>547.86649880802509</v>
      </c>
      <c r="Q76" s="143">
        <f t="shared" si="180"/>
        <v>504.43433029908971</v>
      </c>
      <c r="R76" s="118">
        <f>((Q76/G76)^(1/($H$2-$H$1) ))-1</f>
        <v>-2.0275750162339401E-2</v>
      </c>
      <c r="S76" s="127"/>
      <c r="T76" s="156">
        <f t="shared" ref="T76:AC76" si="183">(T74+T75)</f>
        <v>600.51705987986873</v>
      </c>
      <c r="U76" s="156">
        <f t="shared" si="183"/>
        <v>714.9012617617484</v>
      </c>
      <c r="V76" s="156">
        <f t="shared" si="183"/>
        <v>851.07293066874809</v>
      </c>
      <c r="W76" s="156">
        <f t="shared" si="183"/>
        <v>1013.1820603199382</v>
      </c>
      <c r="X76" s="156">
        <f t="shared" si="183"/>
        <v>1206.1691194284977</v>
      </c>
      <c r="Y76" s="156">
        <f t="shared" si="183"/>
        <v>1435.915618367259</v>
      </c>
      <c r="Z76" s="156">
        <f t="shared" si="183"/>
        <v>1709.4233551991179</v>
      </c>
      <c r="AA76" s="156">
        <f t="shared" si="183"/>
        <v>2035.0278038084734</v>
      </c>
      <c r="AB76" s="156">
        <f t="shared" si="183"/>
        <v>2422.6521473910398</v>
      </c>
      <c r="AC76" s="156">
        <f t="shared" si="183"/>
        <v>2884.1096992750472</v>
      </c>
      <c r="AD76" s="137">
        <f t="shared" si="164"/>
        <v>8.107815786333461E-2</v>
      </c>
      <c r="AE76" s="31">
        <f t="shared" si="17"/>
        <v>0.05</v>
      </c>
      <c r="AF76" s="145">
        <f t="shared" si="165"/>
        <v>17813.61873081647</v>
      </c>
    </row>
    <row r="77" spans="2:32">
      <c r="B77" s="20" t="s">
        <v>249</v>
      </c>
      <c r="C77" s="126" t="e">
        <f>#REF!/C54</f>
        <v>#REF!</v>
      </c>
      <c r="D77" s="126" t="e">
        <f>#REF!/D54</f>
        <v>#REF!</v>
      </c>
      <c r="E77" s="126" t="e">
        <f>#REF!/E54</f>
        <v>#REF!</v>
      </c>
      <c r="F77" s="143" t="e">
        <f>#REF!/F54</f>
        <v>#REF!</v>
      </c>
      <c r="G77" s="143" t="e">
        <f>#REF!/G54</f>
        <v>#REF!</v>
      </c>
      <c r="H77" s="143" t="e">
        <f>#REF!/H54</f>
        <v>#REF!</v>
      </c>
      <c r="I77" s="143" t="e">
        <f>#REF!/I54</f>
        <v>#REF!</v>
      </c>
      <c r="J77" s="143" t="e">
        <f>#REF!/J54</f>
        <v>#REF!</v>
      </c>
      <c r="K77" s="143" t="e">
        <f>#REF!/K54</f>
        <v>#REF!</v>
      </c>
      <c r="L77" s="143" t="e">
        <f>#REF!/L54</f>
        <v>#REF!</v>
      </c>
      <c r="M77" s="143" t="e">
        <f>#REF!/M54</f>
        <v>#REF!</v>
      </c>
      <c r="N77" s="143" t="e">
        <f>#REF!/N54</f>
        <v>#REF!</v>
      </c>
      <c r="O77" s="143" t="e">
        <f>#REF!/O54</f>
        <v>#REF!</v>
      </c>
      <c r="P77" s="143" t="e">
        <f>#REF!/P54</f>
        <v>#REF!</v>
      </c>
      <c r="Q77" s="143" t="e">
        <f>#REF!/Q54</f>
        <v>#REF!</v>
      </c>
      <c r="R77" s="118" t="e">
        <f>((Q77/G77)^(1/($H$2-$H$1) ))-1</f>
        <v>#REF!</v>
      </c>
      <c r="S77" s="127"/>
      <c r="T77" s="156" t="e">
        <f>#REF!/T54</f>
        <v>#REF!</v>
      </c>
      <c r="U77" s="156" t="e">
        <f>#REF!/U54</f>
        <v>#REF!</v>
      </c>
      <c r="V77" s="156" t="e">
        <f>#REF!/V54</f>
        <v>#REF!</v>
      </c>
      <c r="W77" s="156" t="e">
        <f>#REF!/W54</f>
        <v>#REF!</v>
      </c>
      <c r="X77" s="156" t="e">
        <f>#REF!/X54</f>
        <v>#REF!</v>
      </c>
      <c r="Y77" s="156" t="e">
        <f>#REF!/Y54</f>
        <v>#REF!</v>
      </c>
      <c r="Z77" s="156" t="e">
        <f>#REF!/Z54</f>
        <v>#REF!</v>
      </c>
      <c r="AA77" s="156" t="e">
        <f>#REF!/AA54</f>
        <v>#REF!</v>
      </c>
      <c r="AB77" s="156" t="e">
        <f>#REF!/AB54</f>
        <v>#REF!</v>
      </c>
      <c r="AC77" s="156" t="e">
        <f>#REF!/AC54</f>
        <v>#REF!</v>
      </c>
      <c r="AD77" s="137" t="e">
        <f t="shared" si="164"/>
        <v>#REF!</v>
      </c>
      <c r="AE77" s="31">
        <f t="shared" si="17"/>
        <v>0.05</v>
      </c>
      <c r="AF77" s="145" t="e">
        <f t="shared" si="165"/>
        <v>#REF!</v>
      </c>
    </row>
    <row r="78" spans="2:32">
      <c r="B78" s="20" t="s">
        <v>250</v>
      </c>
      <c r="C78" s="126" t="e">
        <f>#REF!/C54</f>
        <v>#REF!</v>
      </c>
      <c r="D78" s="126" t="e">
        <f>#REF!/D54</f>
        <v>#REF!</v>
      </c>
      <c r="E78" s="126" t="e">
        <f>#REF!/E54</f>
        <v>#REF!</v>
      </c>
      <c r="F78" s="143" t="e">
        <f>#REF!/F54</f>
        <v>#REF!</v>
      </c>
      <c r="G78" s="143" t="e">
        <f>#REF!/G54</f>
        <v>#REF!</v>
      </c>
      <c r="H78" s="143" t="e">
        <f>#REF!/H54</f>
        <v>#REF!</v>
      </c>
      <c r="I78" s="143" t="e">
        <f>#REF!/I54</f>
        <v>#REF!</v>
      </c>
      <c r="J78" s="143" t="e">
        <f>#REF!/J54</f>
        <v>#REF!</v>
      </c>
      <c r="K78" s="143" t="e">
        <f>#REF!/K54</f>
        <v>#REF!</v>
      </c>
      <c r="L78" s="143" t="e">
        <f>#REF!/L54</f>
        <v>#REF!</v>
      </c>
      <c r="M78" s="143" t="e">
        <f>#REF!/M54</f>
        <v>#REF!</v>
      </c>
      <c r="N78" s="143" t="e">
        <f>#REF!/N54</f>
        <v>#REF!</v>
      </c>
      <c r="O78" s="143" t="e">
        <f>#REF!/O54</f>
        <v>#REF!</v>
      </c>
      <c r="P78" s="143" t="e">
        <f>#REF!/P54</f>
        <v>#REF!</v>
      </c>
      <c r="Q78" s="143" t="e">
        <f>#REF!/Q54</f>
        <v>#REF!</v>
      </c>
      <c r="R78" s="118" t="e">
        <f>((Q78/G78)^(1/($H$2-$H$1) ))-1</f>
        <v>#REF!</v>
      </c>
      <c r="S78" s="127"/>
      <c r="T78" s="156" t="e">
        <f>#REF!/T54</f>
        <v>#REF!</v>
      </c>
      <c r="U78" s="156" t="e">
        <f>#REF!/U54</f>
        <v>#REF!</v>
      </c>
      <c r="V78" s="156" t="e">
        <f>#REF!/V54</f>
        <v>#REF!</v>
      </c>
      <c r="W78" s="156" t="e">
        <f>#REF!/W54</f>
        <v>#REF!</v>
      </c>
      <c r="X78" s="156" t="e">
        <f>#REF!/X54</f>
        <v>#REF!</v>
      </c>
      <c r="Y78" s="156" t="e">
        <f>#REF!/Y54</f>
        <v>#REF!</v>
      </c>
      <c r="Z78" s="156" t="e">
        <f>#REF!/Z54</f>
        <v>#REF!</v>
      </c>
      <c r="AA78" s="156" t="e">
        <f>#REF!/AA54</f>
        <v>#REF!</v>
      </c>
      <c r="AB78" s="156" t="e">
        <f>#REF!/AB54</f>
        <v>#REF!</v>
      </c>
      <c r="AC78" s="156" t="e">
        <f>#REF!/AC54</f>
        <v>#REF!</v>
      </c>
      <c r="AD78" s="137" t="e">
        <f t="shared" si="164"/>
        <v>#REF!</v>
      </c>
      <c r="AE78" s="31">
        <f t="shared" si="17"/>
        <v>0.05</v>
      </c>
      <c r="AF78" s="145" t="e">
        <f t="shared" si="165"/>
        <v>#REF!</v>
      </c>
    </row>
    <row r="79" spans="2:32">
      <c r="B79" s="20"/>
      <c r="C79" s="126"/>
      <c r="D79" s="126"/>
      <c r="E79" s="126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27"/>
      <c r="S79" s="127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38"/>
      <c r="AE79" s="138"/>
      <c r="AF79" s="145">
        <f t="shared" si="165"/>
        <v>0</v>
      </c>
    </row>
    <row r="80" spans="2:32">
      <c r="B80" s="20" t="s">
        <v>283</v>
      </c>
      <c r="C80" s="158">
        <f>C56</f>
        <v>1</v>
      </c>
      <c r="D80" s="158">
        <f t="shared" ref="D80:Q80" si="184">D56</f>
        <v>1</v>
      </c>
      <c r="E80" s="158">
        <f t="shared" si="184"/>
        <v>1</v>
      </c>
      <c r="F80" s="158">
        <f t="shared" si="184"/>
        <v>0</v>
      </c>
      <c r="G80" s="158">
        <f t="shared" si="184"/>
        <v>2.4</v>
      </c>
      <c r="H80" s="158">
        <f t="shared" si="184"/>
        <v>1.25</v>
      </c>
      <c r="I80" s="158">
        <f t="shared" si="184"/>
        <v>0.6</v>
      </c>
      <c r="J80" s="158">
        <f t="shared" si="184"/>
        <v>0.7</v>
      </c>
      <c r="K80" s="158">
        <f t="shared" si="184"/>
        <v>0.75</v>
      </c>
      <c r="L80" s="158">
        <f t="shared" si="184"/>
        <v>0.75</v>
      </c>
      <c r="M80" s="158">
        <f t="shared" ref="M80" si="185">M56</f>
        <v>0.85</v>
      </c>
      <c r="N80" s="158">
        <f t="shared" si="184"/>
        <v>0.5</v>
      </c>
      <c r="O80" s="158">
        <f t="shared" si="184"/>
        <v>0.6</v>
      </c>
      <c r="P80" s="158">
        <f t="shared" si="184"/>
        <v>0.7</v>
      </c>
      <c r="Q80" s="158">
        <f t="shared" si="184"/>
        <v>0.8</v>
      </c>
      <c r="R80" s="118">
        <f>((Q80/G80)^(1/($H$2-$H$1) ))-1</f>
        <v>-0.1149118479285397</v>
      </c>
      <c r="S80" s="127"/>
      <c r="T80" s="158">
        <f t="shared" ref="T80:AC80" si="186">T56</f>
        <v>0.84000000000000008</v>
      </c>
      <c r="U80" s="158">
        <f t="shared" si="186"/>
        <v>0.88200000000000012</v>
      </c>
      <c r="V80" s="158">
        <f t="shared" si="186"/>
        <v>0.92610000000000015</v>
      </c>
      <c r="W80" s="158">
        <f t="shared" si="186"/>
        <v>0.97240500000000019</v>
      </c>
      <c r="X80" s="158">
        <f t="shared" si="186"/>
        <v>1.0210252500000003</v>
      </c>
      <c r="Y80" s="158">
        <f t="shared" si="186"/>
        <v>1.0720765125000005</v>
      </c>
      <c r="Z80" s="158">
        <f t="shared" si="186"/>
        <v>1.1256803381250005</v>
      </c>
      <c r="AA80" s="158">
        <f t="shared" si="186"/>
        <v>1.1819643550312506</v>
      </c>
      <c r="AB80" s="158">
        <f t="shared" si="186"/>
        <v>1.2410625727828133</v>
      </c>
      <c r="AC80" s="158">
        <f t="shared" si="186"/>
        <v>1.3031157014219541</v>
      </c>
      <c r="AD80" s="137">
        <f t="shared" ref="AD80" si="187">((AC80/G80)^(1/($AC$3-$H$1) ))-1</f>
        <v>-3.0074032292773167E-2</v>
      </c>
      <c r="AE80" s="31">
        <f t="shared" si="17"/>
        <v>0.05</v>
      </c>
      <c r="AF80" s="145">
        <f t="shared" si="165"/>
        <v>8.0486558029003064</v>
      </c>
    </row>
    <row r="81" spans="2:32">
      <c r="B81" s="20"/>
      <c r="C81" s="126"/>
      <c r="D81" s="126"/>
      <c r="E81" s="126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27"/>
      <c r="S81" s="127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38"/>
      <c r="AE81" s="136"/>
      <c r="AF81" s="153"/>
    </row>
    <row r="82" spans="2:32">
      <c r="B82" s="20" t="s">
        <v>317</v>
      </c>
      <c r="C82" s="126">
        <f t="shared" ref="C82:Q82" si="188">C22+C23</f>
        <v>0</v>
      </c>
      <c r="D82" s="126">
        <f t="shared" si="188"/>
        <v>0</v>
      </c>
      <c r="E82" s="126">
        <f t="shared" si="188"/>
        <v>0</v>
      </c>
      <c r="F82" s="143">
        <f t="shared" si="188"/>
        <v>0</v>
      </c>
      <c r="G82" s="143">
        <f t="shared" si="188"/>
        <v>110</v>
      </c>
      <c r="H82" s="143">
        <f t="shared" si="188"/>
        <v>-318</v>
      </c>
      <c r="I82" s="143">
        <f t="shared" si="188"/>
        <v>174</v>
      </c>
      <c r="J82" s="143">
        <f t="shared" si="188"/>
        <v>259</v>
      </c>
      <c r="K82" s="143">
        <f t="shared" si="188"/>
        <v>-835</v>
      </c>
      <c r="L82" s="143">
        <f t="shared" si="188"/>
        <v>-928</v>
      </c>
      <c r="M82" s="143">
        <f t="shared" si="188"/>
        <v>1297</v>
      </c>
      <c r="N82" s="143">
        <f t="shared" si="188"/>
        <v>-1553</v>
      </c>
      <c r="O82" s="143">
        <f t="shared" si="188"/>
        <v>-1469</v>
      </c>
      <c r="P82" s="143">
        <f t="shared" si="188"/>
        <v>-2883</v>
      </c>
      <c r="Q82" s="143">
        <f t="shared" si="188"/>
        <v>8452</v>
      </c>
      <c r="R82" s="118">
        <f>((Q82/G82)^(1/($H$2-$H$1) ))-1</f>
        <v>0.61997168080160803</v>
      </c>
      <c r="S82" s="127"/>
      <c r="T82" s="143">
        <f t="shared" ref="T82:AC82" si="189">T22+T23</f>
        <v>10565</v>
      </c>
      <c r="U82" s="143">
        <f t="shared" si="189"/>
        <v>13206.25</v>
      </c>
      <c r="V82" s="143">
        <f t="shared" si="189"/>
        <v>16507.8125</v>
      </c>
      <c r="W82" s="143">
        <f t="shared" si="189"/>
        <v>20634.765625</v>
      </c>
      <c r="X82" s="143">
        <f t="shared" si="189"/>
        <v>25793.45703125</v>
      </c>
      <c r="Y82" s="143">
        <f t="shared" si="189"/>
        <v>32241.8212890625</v>
      </c>
      <c r="Z82" s="143">
        <f t="shared" si="189"/>
        <v>40302.276611328125</v>
      </c>
      <c r="AA82" s="143">
        <f t="shared" si="189"/>
        <v>50377.845764160156</v>
      </c>
      <c r="AB82" s="143">
        <f t="shared" si="189"/>
        <v>62972.307205200195</v>
      </c>
      <c r="AC82" s="143">
        <f t="shared" si="189"/>
        <v>78715.384006500244</v>
      </c>
      <c r="AD82" s="137">
        <f t="shared" ref="AD82:AD87" si="190">((AC82/G82)^(1/($AC$3-$H$1) ))-1</f>
        <v>0.38909947336877915</v>
      </c>
      <c r="AE82" s="31">
        <f t="shared" si="17"/>
        <v>0.05</v>
      </c>
      <c r="AF82" s="145">
        <f t="shared" si="165"/>
        <v>486183.25415779569</v>
      </c>
    </row>
    <row r="83" spans="2:32">
      <c r="B83" s="20"/>
      <c r="C83" s="126"/>
      <c r="D83" s="126"/>
      <c r="E83" s="126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27"/>
      <c r="S83" s="127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38"/>
      <c r="AE83" s="136"/>
      <c r="AF83" s="145"/>
    </row>
    <row r="84" spans="2:32">
      <c r="B84" s="20" t="s">
        <v>318</v>
      </c>
      <c r="C84" s="126">
        <f t="shared" ref="C84:Q84" si="191">C82/C54</f>
        <v>0</v>
      </c>
      <c r="D84" s="126">
        <f t="shared" si="191"/>
        <v>0</v>
      </c>
      <c r="E84" s="126">
        <f t="shared" si="191"/>
        <v>0</v>
      </c>
      <c r="F84" s="143">
        <f t="shared" si="191"/>
        <v>0</v>
      </c>
      <c r="G84" s="143">
        <f t="shared" si="191"/>
        <v>18.487394957983192</v>
      </c>
      <c r="H84" s="143">
        <f t="shared" si="191"/>
        <v>-25.790754257907544</v>
      </c>
      <c r="I84" s="143">
        <f t="shared" si="191"/>
        <v>5.6147144240077447</v>
      </c>
      <c r="J84" s="143">
        <f t="shared" si="191"/>
        <v>7.9423489727077587</v>
      </c>
      <c r="K84" s="143">
        <f t="shared" si="191"/>
        <v>-24.230992455020314</v>
      </c>
      <c r="L84" s="143">
        <f t="shared" si="191"/>
        <v>-26.851851851851851</v>
      </c>
      <c r="M84" s="143">
        <f t="shared" si="191"/>
        <v>37.259408216029875</v>
      </c>
      <c r="N84" s="143">
        <f t="shared" si="191"/>
        <v>-21.075630708266043</v>
      </c>
      <c r="O84" s="143">
        <f t="shared" si="191"/>
        <v>-19.832885327040096</v>
      </c>
      <c r="P84" s="143">
        <f t="shared" si="191"/>
        <v>-38.611951892427612</v>
      </c>
      <c r="Q84" s="143">
        <f t="shared" si="191"/>
        <v>109.90897269180753</v>
      </c>
      <c r="R84" s="118">
        <f>((Q84/G84)^(1/($H$2-$H$1) ))-1</f>
        <v>0.21903869729478553</v>
      </c>
      <c r="S84" s="127"/>
      <c r="T84" s="145">
        <f t="shared" ref="T84:AC84" si="192">T82/T54</f>
        <v>130.84401510929467</v>
      </c>
      <c r="U84" s="145">
        <f t="shared" si="192"/>
        <v>155.76668465392225</v>
      </c>
      <c r="V84" s="145">
        <f t="shared" si="192"/>
        <v>185.43652934990743</v>
      </c>
      <c r="W84" s="145">
        <f t="shared" si="192"/>
        <v>220.75777303560406</v>
      </c>
      <c r="X84" s="145">
        <f t="shared" si="192"/>
        <v>262.80687266143337</v>
      </c>
      <c r="Y84" s="145">
        <f t="shared" si="192"/>
        <v>312.8653245969445</v>
      </c>
      <c r="Z84" s="145">
        <f t="shared" si="192"/>
        <v>372.45871975826719</v>
      </c>
      <c r="AA84" s="145">
        <f t="shared" si="192"/>
        <v>443.40323780746093</v>
      </c>
      <c r="AB84" s="145">
        <f t="shared" si="192"/>
        <v>527.86099738983444</v>
      </c>
      <c r="AC84" s="145">
        <f t="shared" si="192"/>
        <v>628.40594927361235</v>
      </c>
      <c r="AD84" s="137">
        <f t="shared" si="190"/>
        <v>0.19280164237159059</v>
      </c>
      <c r="AE84" s="31">
        <f t="shared" si="17"/>
        <v>0.05</v>
      </c>
      <c r="AF84" s="145">
        <f t="shared" si="165"/>
        <v>3881.3308631605473</v>
      </c>
    </row>
    <row r="85" spans="2:32">
      <c r="B85" s="20" t="s">
        <v>288</v>
      </c>
      <c r="C85" s="126">
        <f t="shared" ref="C85:Q85" si="193">C22/C54</f>
        <v>0</v>
      </c>
      <c r="D85" s="126">
        <f t="shared" si="193"/>
        <v>0</v>
      </c>
      <c r="E85" s="126">
        <f t="shared" si="193"/>
        <v>0</v>
      </c>
      <c r="F85" s="143">
        <f t="shared" si="193"/>
        <v>0</v>
      </c>
      <c r="G85" s="143">
        <f t="shared" si="193"/>
        <v>13.61344537815126</v>
      </c>
      <c r="H85" s="143">
        <f t="shared" si="193"/>
        <v>-21.330089213300891</v>
      </c>
      <c r="I85" s="143">
        <f t="shared" si="193"/>
        <v>3.8076798967408845</v>
      </c>
      <c r="J85" s="143">
        <f t="shared" si="193"/>
        <v>11.775528978840846</v>
      </c>
      <c r="K85" s="143">
        <f t="shared" si="193"/>
        <v>-19.007544979686593</v>
      </c>
      <c r="L85" s="143">
        <f t="shared" si="193"/>
        <v>-24.103009259259256</v>
      </c>
      <c r="M85" s="143">
        <f t="shared" si="193"/>
        <v>45.159436943407066</v>
      </c>
      <c r="N85" s="143">
        <f t="shared" si="193"/>
        <v>-20.003528437851998</v>
      </c>
      <c r="O85" s="143">
        <f t="shared" si="193"/>
        <v>-18.06426178868594</v>
      </c>
      <c r="P85" s="143">
        <f t="shared" si="193"/>
        <v>-18.81713229582407</v>
      </c>
      <c r="Q85" s="143">
        <f t="shared" si="193"/>
        <v>117.04811443433029</v>
      </c>
      <c r="R85" s="118">
        <f>((Q85/G85)^(1/($H$2-$H$1) ))-1</f>
        <v>0.27005292417527182</v>
      </c>
      <c r="S85" s="127"/>
      <c r="T85" s="145">
        <f t="shared" ref="T85:AC85" si="194">T22/T54</f>
        <v>139.34299337420273</v>
      </c>
      <c r="U85" s="145">
        <f t="shared" si="194"/>
        <v>165.8845159216699</v>
      </c>
      <c r="V85" s="145">
        <f t="shared" si="194"/>
        <v>197.48156657341656</v>
      </c>
      <c r="W85" s="145">
        <f t="shared" si="194"/>
        <v>235.09710306359113</v>
      </c>
      <c r="X85" s="145">
        <f t="shared" si="194"/>
        <v>279.8775036471323</v>
      </c>
      <c r="Y85" s="145">
        <f t="shared" si="194"/>
        <v>333.18750434182408</v>
      </c>
      <c r="Z85" s="145">
        <f t="shared" si="194"/>
        <v>396.65179088312391</v>
      </c>
      <c r="AA85" s="145">
        <f t="shared" si="194"/>
        <v>472.20451295609985</v>
      </c>
      <c r="AB85" s="145">
        <f t="shared" si="194"/>
        <v>562.14822970964269</v>
      </c>
      <c r="AC85" s="145">
        <f t="shared" si="194"/>
        <v>669.22408298766982</v>
      </c>
      <c r="AD85" s="137">
        <f t="shared" si="190"/>
        <v>0.21501090377653531</v>
      </c>
      <c r="AE85" s="31">
        <f t="shared" si="17"/>
        <v>0.05</v>
      </c>
      <c r="AF85" s="145">
        <f t="shared" si="165"/>
        <v>4133.4428655120792</v>
      </c>
    </row>
    <row r="86" spans="2:32">
      <c r="B86" s="20" t="s">
        <v>289</v>
      </c>
      <c r="C86" s="126">
        <f t="shared" ref="C86:Q86" si="195">C23/C54</f>
        <v>0</v>
      </c>
      <c r="D86" s="126">
        <f t="shared" si="195"/>
        <v>0</v>
      </c>
      <c r="E86" s="126">
        <f t="shared" si="195"/>
        <v>0</v>
      </c>
      <c r="F86" s="143">
        <f t="shared" si="195"/>
        <v>0</v>
      </c>
      <c r="G86" s="143">
        <f t="shared" si="195"/>
        <v>4.8739495798319323</v>
      </c>
      <c r="H86" s="143">
        <f t="shared" si="195"/>
        <v>-4.4606650446066505</v>
      </c>
      <c r="I86" s="143">
        <f t="shared" si="195"/>
        <v>1.8070345272668604</v>
      </c>
      <c r="J86" s="143">
        <f t="shared" si="195"/>
        <v>-3.8331800061330883</v>
      </c>
      <c r="K86" s="143">
        <f t="shared" si="195"/>
        <v>-5.2234474753337201</v>
      </c>
      <c r="L86" s="143">
        <f t="shared" si="195"/>
        <v>-2.7488425925925926</v>
      </c>
      <c r="M86" s="143">
        <f t="shared" si="195"/>
        <v>-7.9000287273771903</v>
      </c>
      <c r="N86" s="143">
        <f t="shared" si="195"/>
        <v>-1.0721022704140486</v>
      </c>
      <c r="O86" s="143">
        <f t="shared" si="195"/>
        <v>-1.768623538354154</v>
      </c>
      <c r="P86" s="143">
        <f t="shared" si="195"/>
        <v>-19.794819596603542</v>
      </c>
      <c r="Q86" s="143">
        <f t="shared" si="195"/>
        <v>-7.1391417425227566</v>
      </c>
      <c r="R86" s="118">
        <f>((Q86/G86)^(1/($H$2-$H$1) ))-1</f>
        <v>-2.0433219160383977</v>
      </c>
      <c r="S86" s="127"/>
      <c r="T86" s="145">
        <f t="shared" ref="T86:AC86" si="196">T23/T54</f>
        <v>-8.4989782649080432</v>
      </c>
      <c r="U86" s="145">
        <f t="shared" si="196"/>
        <v>-10.11783126774767</v>
      </c>
      <c r="V86" s="145">
        <f t="shared" si="196"/>
        <v>-12.045037223509132</v>
      </c>
      <c r="W86" s="145">
        <f t="shared" si="196"/>
        <v>-14.33933002798706</v>
      </c>
      <c r="X86" s="145">
        <f t="shared" si="196"/>
        <v>-17.07063098569888</v>
      </c>
      <c r="Y86" s="145">
        <f t="shared" si="196"/>
        <v>-20.322179744879616</v>
      </c>
      <c r="Z86" s="145">
        <f t="shared" si="196"/>
        <v>-24.193071124856687</v>
      </c>
      <c r="AA86" s="145">
        <f t="shared" si="196"/>
        <v>-28.801275148638908</v>
      </c>
      <c r="AB86" s="145">
        <f t="shared" si="196"/>
        <v>-34.287232319808226</v>
      </c>
      <c r="AC86" s="145">
        <f t="shared" si="196"/>
        <v>-40.81813371405741</v>
      </c>
      <c r="AD86" s="137" t="e">
        <f t="shared" si="190"/>
        <v>#NUM!</v>
      </c>
      <c r="AE86" s="31">
        <f t="shared" si="17"/>
        <v>0.05</v>
      </c>
      <c r="AF86" s="145">
        <f t="shared" si="165"/>
        <v>-252.11200235153109</v>
      </c>
    </row>
    <row r="87" spans="2:32">
      <c r="B87" s="20" t="s">
        <v>290</v>
      </c>
      <c r="C87" s="126">
        <f t="shared" ref="C87:Q87" si="197">C24/C54</f>
        <v>0</v>
      </c>
      <c r="D87" s="126">
        <f t="shared" si="197"/>
        <v>0</v>
      </c>
      <c r="E87" s="126">
        <f t="shared" si="197"/>
        <v>0</v>
      </c>
      <c r="F87" s="143">
        <f t="shared" si="197"/>
        <v>0</v>
      </c>
      <c r="G87" s="143">
        <f t="shared" si="197"/>
        <v>-2.0168067226890756</v>
      </c>
      <c r="H87" s="143">
        <f t="shared" si="197"/>
        <v>5.0283860502838609</v>
      </c>
      <c r="I87" s="143">
        <f t="shared" si="197"/>
        <v>-0.38722168441432725</v>
      </c>
      <c r="J87" s="143">
        <f t="shared" si="197"/>
        <v>13.400797301441276</v>
      </c>
      <c r="K87" s="143">
        <f t="shared" si="197"/>
        <v>49.013348810214744</v>
      </c>
      <c r="L87" s="143">
        <f t="shared" si="197"/>
        <v>-1.0416666666666665</v>
      </c>
      <c r="M87" s="143">
        <f t="shared" si="197"/>
        <v>-3.9356506750933637</v>
      </c>
      <c r="N87" s="143">
        <f t="shared" si="197"/>
        <v>23.396257141693923</v>
      </c>
      <c r="O87" s="143">
        <f t="shared" si="197"/>
        <v>22.047039985743005</v>
      </c>
      <c r="P87" s="143">
        <f t="shared" si="197"/>
        <v>52.741542335199426</v>
      </c>
      <c r="Q87" s="143">
        <f t="shared" si="197"/>
        <v>-80.117035110533152</v>
      </c>
      <c r="R87" s="118">
        <f>((Q87/G87)^(1/($H$2-$H$1) ))-1</f>
        <v>0.50547448262952788</v>
      </c>
      <c r="S87" s="127"/>
      <c r="T87" s="145">
        <f t="shared" ref="T87:AC87" si="198">T24/T54</f>
        <v>-95.377422750634707</v>
      </c>
      <c r="U87" s="145">
        <f t="shared" si="198"/>
        <v>-113.54455089361275</v>
      </c>
      <c r="V87" s="145">
        <f t="shared" si="198"/>
        <v>-135.17208439715802</v>
      </c>
      <c r="W87" s="145">
        <f t="shared" si="198"/>
        <v>-160.91914809185479</v>
      </c>
      <c r="X87" s="145">
        <f t="shared" si="198"/>
        <v>-191.5704143950652</v>
      </c>
      <c r="Y87" s="145">
        <f t="shared" si="198"/>
        <v>-228.06001713698237</v>
      </c>
      <c r="Z87" s="145">
        <f t="shared" si="198"/>
        <v>-271.50002040116948</v>
      </c>
      <c r="AA87" s="145">
        <f t="shared" si="198"/>
        <v>-323.21431000139222</v>
      </c>
      <c r="AB87" s="145">
        <f t="shared" si="198"/>
        <v>-384.77894047784781</v>
      </c>
      <c r="AC87" s="145">
        <f t="shared" si="198"/>
        <v>-458.07016723553312</v>
      </c>
      <c r="AD87" s="137">
        <f t="shared" si="190"/>
        <v>0.3116361761288986</v>
      </c>
      <c r="AE87" s="31">
        <f t="shared" si="17"/>
        <v>0.05</v>
      </c>
      <c r="AF87" s="145">
        <f t="shared" si="165"/>
        <v>-2829.256915278293</v>
      </c>
    </row>
    <row r="88" spans="2:32">
      <c r="B88" s="20" t="s">
        <v>297</v>
      </c>
      <c r="C88" s="126">
        <f t="shared" ref="C88:Q88" si="199">C25/C54</f>
        <v>0</v>
      </c>
      <c r="D88" s="126">
        <f t="shared" si="199"/>
        <v>0</v>
      </c>
      <c r="E88" s="126">
        <f t="shared" si="199"/>
        <v>0</v>
      </c>
      <c r="F88" s="143">
        <f t="shared" si="199"/>
        <v>0</v>
      </c>
      <c r="G88" s="143">
        <f t="shared" si="199"/>
        <v>11.596638655462185</v>
      </c>
      <c r="H88" s="143">
        <f t="shared" si="199"/>
        <v>33.982157339821576</v>
      </c>
      <c r="I88" s="143">
        <f t="shared" si="199"/>
        <v>18.747983220393678</v>
      </c>
      <c r="J88" s="143">
        <f t="shared" si="199"/>
        <v>39.190432382704692</v>
      </c>
      <c r="K88" s="143">
        <f t="shared" si="199"/>
        <v>61.839814277423095</v>
      </c>
      <c r="L88" s="143">
        <f t="shared" si="199"/>
        <v>32.986111111111107</v>
      </c>
      <c r="M88" s="143">
        <f t="shared" si="199"/>
        <v>66.072967538063764</v>
      </c>
      <c r="N88" s="143">
        <f t="shared" si="199"/>
        <v>33.520159593958233</v>
      </c>
      <c r="O88" s="143">
        <f t="shared" si="199"/>
        <v>35.561483969655278</v>
      </c>
      <c r="P88" s="143">
        <f t="shared" si="199"/>
        <v>49.406691131170817</v>
      </c>
      <c r="Q88" s="143">
        <f t="shared" si="199"/>
        <v>77.750325097529256</v>
      </c>
      <c r="R88" s="118">
        <f>((Q88/G88)^(1/($H$2-$H$1) ))-1</f>
        <v>0.23543214948132807</v>
      </c>
      <c r="S88" s="127"/>
      <c r="T88" s="145">
        <f t="shared" ref="T88:AC88" si="200">T25/T54</f>
        <v>92.559910830391971</v>
      </c>
      <c r="U88" s="145">
        <f t="shared" si="200"/>
        <v>110.19037003618092</v>
      </c>
      <c r="V88" s="145">
        <f t="shared" si="200"/>
        <v>131.17901194783443</v>
      </c>
      <c r="W88" s="145">
        <f t="shared" si="200"/>
        <v>156.16549041408859</v>
      </c>
      <c r="X88" s="145">
        <f t="shared" si="200"/>
        <v>185.9112981120102</v>
      </c>
      <c r="Y88" s="145">
        <f t="shared" si="200"/>
        <v>221.32297394286928</v>
      </c>
      <c r="Z88" s="145">
        <f t="shared" si="200"/>
        <v>263.47973088436817</v>
      </c>
      <c r="AA88" s="145">
        <f t="shared" si="200"/>
        <v>313.66634629091448</v>
      </c>
      <c r="AB88" s="145">
        <f t="shared" si="200"/>
        <v>373.41231701299336</v>
      </c>
      <c r="AC88" s="145">
        <f t="shared" si="200"/>
        <v>444.53847263451593</v>
      </c>
      <c r="AD88" s="137">
        <f t="shared" ref="AD88" si="201">((AC88/G88)^(1/($AC$3-$H$1) ))-1</f>
        <v>0.19999341099198586</v>
      </c>
      <c r="AE88" s="31">
        <f t="shared" si="17"/>
        <v>0.05</v>
      </c>
      <c r="AF88" s="145">
        <f t="shared" si="165"/>
        <v>2745.6788015661282</v>
      </c>
    </row>
    <row r="89" spans="2:32">
      <c r="B89" s="20"/>
      <c r="C89" s="126"/>
      <c r="D89" s="126"/>
      <c r="E89" s="126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27"/>
      <c r="S89" s="127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38"/>
      <c r="AE89" s="136"/>
      <c r="AF89" s="153"/>
    </row>
    <row r="90" spans="2:32">
      <c r="B90" s="20" t="s">
        <v>312</v>
      </c>
      <c r="C90" s="143">
        <f t="shared" ref="C90:Q90" si="202">C48/C54</f>
        <v>0</v>
      </c>
      <c r="D90" s="143">
        <f t="shared" si="202"/>
        <v>0</v>
      </c>
      <c r="E90" s="143">
        <f t="shared" si="202"/>
        <v>0</v>
      </c>
      <c r="F90" s="143">
        <f t="shared" si="202"/>
        <v>0</v>
      </c>
      <c r="G90" s="143">
        <f t="shared" si="202"/>
        <v>0</v>
      </c>
      <c r="H90" s="143">
        <f t="shared" si="202"/>
        <v>0</v>
      </c>
      <c r="I90" s="143">
        <f t="shared" si="202"/>
        <v>0</v>
      </c>
      <c r="J90" s="143">
        <f t="shared" si="202"/>
        <v>0</v>
      </c>
      <c r="K90" s="143">
        <f t="shared" si="202"/>
        <v>0</v>
      </c>
      <c r="L90" s="143">
        <f t="shared" si="202"/>
        <v>0</v>
      </c>
      <c r="M90" s="143">
        <f t="shared" si="202"/>
        <v>0</v>
      </c>
      <c r="N90" s="143">
        <f t="shared" si="202"/>
        <v>0</v>
      </c>
      <c r="O90" s="143">
        <f t="shared" si="202"/>
        <v>0</v>
      </c>
      <c r="P90" s="143">
        <f t="shared" si="202"/>
        <v>0</v>
      </c>
      <c r="Q90" s="143">
        <f t="shared" si="202"/>
        <v>0</v>
      </c>
      <c r="R90" s="118" t="e">
        <f>((Q90/G90)^(1/($H$2-$H$1) ))-1</f>
        <v>#DIV/0!</v>
      </c>
      <c r="S90" s="127"/>
      <c r="T90" s="143">
        <f t="shared" ref="T90:AC90" si="203">T48/T54</f>
        <v>0</v>
      </c>
      <c r="U90" s="143">
        <f t="shared" si="203"/>
        <v>0</v>
      </c>
      <c r="V90" s="143">
        <f t="shared" si="203"/>
        <v>0</v>
      </c>
      <c r="W90" s="143">
        <f t="shared" si="203"/>
        <v>0</v>
      </c>
      <c r="X90" s="143">
        <f t="shared" si="203"/>
        <v>0</v>
      </c>
      <c r="Y90" s="143">
        <f t="shared" si="203"/>
        <v>0</v>
      </c>
      <c r="Z90" s="143">
        <f t="shared" si="203"/>
        <v>0</v>
      </c>
      <c r="AA90" s="143">
        <f t="shared" si="203"/>
        <v>0</v>
      </c>
      <c r="AB90" s="143">
        <f t="shared" si="203"/>
        <v>0</v>
      </c>
      <c r="AC90" s="143">
        <f t="shared" si="203"/>
        <v>0</v>
      </c>
      <c r="AD90" s="137" t="e">
        <f t="shared" ref="AD90:AD92" si="204">((AC90/G90)^(1/($AC$3-$H$1) ))-1</f>
        <v>#DIV/0!</v>
      </c>
      <c r="AE90" s="31">
        <f t="shared" si="17"/>
        <v>0.05</v>
      </c>
      <c r="AF90" s="145">
        <f t="shared" si="165"/>
        <v>0</v>
      </c>
    </row>
    <row r="91" spans="2:32">
      <c r="B91" s="20" t="s">
        <v>313</v>
      </c>
      <c r="C91" s="143">
        <f t="shared" ref="C91:Q91" si="205">C52/C54</f>
        <v>0</v>
      </c>
      <c r="D91" s="143">
        <f t="shared" si="205"/>
        <v>0</v>
      </c>
      <c r="E91" s="143">
        <f t="shared" si="205"/>
        <v>0</v>
      </c>
      <c r="F91" s="143">
        <f t="shared" si="205"/>
        <v>0</v>
      </c>
      <c r="G91" s="143">
        <f t="shared" si="205"/>
        <v>33.680672268907564</v>
      </c>
      <c r="H91" s="143">
        <f t="shared" si="205"/>
        <v>15.733982157339822</v>
      </c>
      <c r="I91" s="143">
        <f t="shared" si="205"/>
        <v>17.070022587931593</v>
      </c>
      <c r="J91" s="143">
        <f t="shared" si="205"/>
        <v>16.068690585709906</v>
      </c>
      <c r="K91" s="143">
        <f t="shared" si="205"/>
        <v>27.800348229831688</v>
      </c>
      <c r="L91" s="143">
        <f t="shared" si="205"/>
        <v>18.86574074074074</v>
      </c>
      <c r="M91" s="143">
        <f t="shared" si="205"/>
        <v>38.121229531743751</v>
      </c>
      <c r="N91" s="143">
        <f t="shared" si="205"/>
        <v>21.292765345311928</v>
      </c>
      <c r="O91" s="143">
        <f t="shared" si="205"/>
        <v>24.976744625612099</v>
      </c>
      <c r="P91" s="143">
        <f t="shared" si="205"/>
        <v>29.51812069750623</v>
      </c>
      <c r="Q91" s="143">
        <f t="shared" si="205"/>
        <v>32.652795838751622</v>
      </c>
      <c r="R91" s="118">
        <f>((Q91/G91)^(1/($H$2-$H$1) ))-1</f>
        <v>-3.4378179041997248E-3</v>
      </c>
      <c r="S91" s="127"/>
      <c r="T91" s="143">
        <f t="shared" ref="T91:AC91" si="206">T52/T54</f>
        <v>38.872375998513839</v>
      </c>
      <c r="U91" s="143">
        <f t="shared" si="206"/>
        <v>46.276638093468854</v>
      </c>
      <c r="V91" s="143">
        <f t="shared" si="206"/>
        <v>55.091235825558158</v>
      </c>
      <c r="W91" s="143">
        <f t="shared" si="206"/>
        <v>65.584804554235902</v>
      </c>
      <c r="X91" s="143">
        <f t="shared" si="206"/>
        <v>78.077148278852249</v>
      </c>
      <c r="Y91" s="143">
        <f t="shared" si="206"/>
        <v>92.948986046252671</v>
      </c>
      <c r="Z91" s="143">
        <f t="shared" si="206"/>
        <v>110.65355481696746</v>
      </c>
      <c r="AA91" s="143">
        <f t="shared" si="206"/>
        <v>131.73042240115174</v>
      </c>
      <c r="AB91" s="143">
        <f t="shared" si="206"/>
        <v>156.82193142994254</v>
      </c>
      <c r="AC91" s="143">
        <f t="shared" si="206"/>
        <v>186.69277551183635</v>
      </c>
      <c r="AD91" s="137">
        <f t="shared" si="204"/>
        <v>8.9399917482956281E-2</v>
      </c>
      <c r="AE91" s="31">
        <f t="shared" si="17"/>
        <v>0.05</v>
      </c>
      <c r="AF91" s="145">
        <f t="shared" si="165"/>
        <v>1153.1024369848717</v>
      </c>
    </row>
    <row r="92" spans="2:32">
      <c r="B92" s="20" t="s">
        <v>314</v>
      </c>
      <c r="C92" s="143">
        <f t="shared" ref="C92:Q92" si="207">C6/C54</f>
        <v>0</v>
      </c>
      <c r="D92" s="143">
        <f t="shared" si="207"/>
        <v>0</v>
      </c>
      <c r="E92" s="143">
        <f t="shared" si="207"/>
        <v>0</v>
      </c>
      <c r="F92" s="143">
        <f t="shared" si="207"/>
        <v>0</v>
      </c>
      <c r="G92" s="143">
        <f t="shared" si="207"/>
        <v>197.64705882352939</v>
      </c>
      <c r="H92" s="143">
        <f t="shared" si="207"/>
        <v>108.9213300892133</v>
      </c>
      <c r="I92" s="143">
        <f t="shared" si="207"/>
        <v>62.891255243626979</v>
      </c>
      <c r="J92" s="143">
        <f t="shared" si="207"/>
        <v>90.003066544004909</v>
      </c>
      <c r="K92" s="143">
        <f t="shared" si="207"/>
        <v>158.9959373186303</v>
      </c>
      <c r="L92" s="143">
        <f t="shared" si="207"/>
        <v>181.36574074074073</v>
      </c>
      <c r="M92" s="143">
        <f t="shared" si="207"/>
        <v>218.81643205975294</v>
      </c>
      <c r="N92" s="143">
        <f t="shared" si="207"/>
        <v>143.77027155400546</v>
      </c>
      <c r="O92" s="143">
        <f t="shared" si="207"/>
        <v>169.16681630211872</v>
      </c>
      <c r="P92" s="143">
        <f t="shared" si="207"/>
        <v>199.23392173144404</v>
      </c>
      <c r="Q92" s="143">
        <f t="shared" si="207"/>
        <v>243.04291287386215</v>
      </c>
      <c r="R92" s="118">
        <f>((Q92/G92)^(1/($H$2-$H$1) ))-1</f>
        <v>2.3238697416148035E-2</v>
      </c>
      <c r="S92" s="127"/>
      <c r="T92" s="143">
        <f t="shared" ref="T92:AC92" si="208">T6/T54</f>
        <v>289.33680104031208</v>
      </c>
      <c r="U92" s="143">
        <f t="shared" si="208"/>
        <v>344.44857266703821</v>
      </c>
      <c r="V92" s="143">
        <f t="shared" si="208"/>
        <v>410.05782460361689</v>
      </c>
      <c r="W92" s="143">
        <f t="shared" si="208"/>
        <v>488.16407690906766</v>
      </c>
      <c r="X92" s="143">
        <f t="shared" si="208"/>
        <v>581.14771060603289</v>
      </c>
      <c r="Y92" s="143">
        <f t="shared" si="208"/>
        <v>691.84251262622956</v>
      </c>
      <c r="Z92" s="143">
        <f t="shared" si="208"/>
        <v>823.6220388407495</v>
      </c>
      <c r="AA92" s="143">
        <f t="shared" si="208"/>
        <v>980.50242719136827</v>
      </c>
      <c r="AB92" s="143">
        <f t="shared" si="208"/>
        <v>1167.2647942754384</v>
      </c>
      <c r="AC92" s="143">
        <f t="shared" si="208"/>
        <v>1389.600945565998</v>
      </c>
      <c r="AD92" s="137">
        <f t="shared" si="204"/>
        <v>0.10242737077877151</v>
      </c>
      <c r="AE92" s="31">
        <f t="shared" ref="AE92" si="209">$L$1</f>
        <v>0.05</v>
      </c>
      <c r="AF92" s="145">
        <f t="shared" si="165"/>
        <v>8582.8293696723413</v>
      </c>
    </row>
    <row r="93" spans="2:32">
      <c r="B93" s="20"/>
      <c r="C93" s="126"/>
      <c r="D93" s="126"/>
      <c r="E93" s="126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27"/>
      <c r="S93" s="127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38"/>
      <c r="AE93" s="20"/>
      <c r="AF93" s="153"/>
    </row>
    <row r="94" spans="2:32">
      <c r="B94" s="108" t="s">
        <v>311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17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spans="2:32">
      <c r="B95" s="20" t="s">
        <v>310</v>
      </c>
      <c r="C95" s="151" t="e">
        <f t="shared" ref="C95:Q95" si="210">C48/C35</f>
        <v>#DIV/0!</v>
      </c>
      <c r="D95" s="151" t="e">
        <f t="shared" si="210"/>
        <v>#DIV/0!</v>
      </c>
      <c r="E95" s="151" t="e">
        <f t="shared" si="210"/>
        <v>#DIV/0!</v>
      </c>
      <c r="F95" s="151" t="e">
        <f t="shared" si="210"/>
        <v>#DIV/0!</v>
      </c>
      <c r="G95" s="151">
        <f t="shared" si="210"/>
        <v>0</v>
      </c>
      <c r="H95" s="151">
        <f t="shared" si="210"/>
        <v>0</v>
      </c>
      <c r="I95" s="151">
        <f t="shared" si="210"/>
        <v>0</v>
      </c>
      <c r="J95" s="151">
        <f t="shared" si="210"/>
        <v>0</v>
      </c>
      <c r="K95" s="151">
        <f t="shared" si="210"/>
        <v>0</v>
      </c>
      <c r="L95" s="151">
        <f t="shared" si="210"/>
        <v>0</v>
      </c>
      <c r="M95" s="180">
        <f t="shared" si="210"/>
        <v>0</v>
      </c>
      <c r="N95" s="151">
        <f t="shared" si="210"/>
        <v>0</v>
      </c>
      <c r="O95" s="151">
        <f t="shared" si="210"/>
        <v>0</v>
      </c>
      <c r="P95" s="151">
        <f t="shared" si="210"/>
        <v>0</v>
      </c>
      <c r="Q95" s="151">
        <f t="shared" si="210"/>
        <v>0</v>
      </c>
      <c r="R95" s="118" t="e">
        <f t="shared" ref="R95:R135" si="211">((Q95/G95)^(1/($H$2-$H$1) ))-1</f>
        <v>#DIV/0!</v>
      </c>
      <c r="S95" s="151"/>
      <c r="T95" s="151">
        <f t="shared" ref="T95:AC95" si="212">T48/T35</f>
        <v>0</v>
      </c>
      <c r="U95" s="151">
        <f t="shared" si="212"/>
        <v>0</v>
      </c>
      <c r="V95" s="151">
        <f t="shared" si="212"/>
        <v>0</v>
      </c>
      <c r="W95" s="151">
        <f t="shared" si="212"/>
        <v>0</v>
      </c>
      <c r="X95" s="151">
        <f t="shared" si="212"/>
        <v>0</v>
      </c>
      <c r="Y95" s="151">
        <f t="shared" si="212"/>
        <v>0</v>
      </c>
      <c r="Z95" s="151">
        <f t="shared" si="212"/>
        <v>0</v>
      </c>
      <c r="AA95" s="151">
        <f t="shared" si="212"/>
        <v>0</v>
      </c>
      <c r="AB95" s="151">
        <f t="shared" si="212"/>
        <v>0</v>
      </c>
      <c r="AC95" s="151">
        <f t="shared" si="212"/>
        <v>0</v>
      </c>
      <c r="AD95" s="137" t="e">
        <f t="shared" ref="AD95:AD122" si="213">((AC95/G95)^(1/($AC$3-$H$1) ))-1</f>
        <v>#DIV/0!</v>
      </c>
      <c r="AE95" s="145"/>
      <c r="AF95" s="145"/>
    </row>
    <row r="96" spans="2:32">
      <c r="B96" s="20" t="s">
        <v>267</v>
      </c>
      <c r="C96" s="151" t="e">
        <f t="shared" ref="C96:Q96" si="214">C52/C35</f>
        <v>#DIV/0!</v>
      </c>
      <c r="D96" s="151" t="e">
        <f t="shared" si="214"/>
        <v>#DIV/0!</v>
      </c>
      <c r="E96" s="151" t="e">
        <f t="shared" si="214"/>
        <v>#DIV/0!</v>
      </c>
      <c r="F96" s="151" t="e">
        <f t="shared" si="214"/>
        <v>#DIV/0!</v>
      </c>
      <c r="G96" s="151">
        <f t="shared" si="214"/>
        <v>0.17216494845360825</v>
      </c>
      <c r="H96" s="151">
        <f t="shared" si="214"/>
        <v>0.11073059360730593</v>
      </c>
      <c r="I96" s="151">
        <f t="shared" si="214"/>
        <v>0.17727882037533513</v>
      </c>
      <c r="J96" s="151">
        <f t="shared" si="214"/>
        <v>0.12087658592848904</v>
      </c>
      <c r="K96" s="151">
        <f t="shared" si="214"/>
        <v>0.12478832877426078</v>
      </c>
      <c r="L96" s="151">
        <f t="shared" si="214"/>
        <v>9.079515387828993E-2</v>
      </c>
      <c r="M96" s="180">
        <f t="shared" si="214"/>
        <v>0.14245840042941493</v>
      </c>
      <c r="N96" s="151">
        <f t="shared" si="214"/>
        <v>0.14183691918278793</v>
      </c>
      <c r="O96" s="151">
        <f t="shared" si="214"/>
        <v>0.14216552678091141</v>
      </c>
      <c r="P96" s="151">
        <f t="shared" si="214"/>
        <v>0.13818181818181818</v>
      </c>
      <c r="Q96" s="151">
        <f t="shared" si="214"/>
        <v>0.14541348158443362</v>
      </c>
      <c r="R96" s="118">
        <f t="shared" si="211"/>
        <v>-1.8588587396620504E-2</v>
      </c>
      <c r="S96" s="151"/>
      <c r="T96" s="151">
        <f t="shared" ref="T96:AC96" si="215">T52/T35</f>
        <v>0.14541348158443362</v>
      </c>
      <c r="U96" s="151">
        <f t="shared" si="215"/>
        <v>0.14541348158443362</v>
      </c>
      <c r="V96" s="151">
        <f t="shared" si="215"/>
        <v>0.14541348158443362</v>
      </c>
      <c r="W96" s="151">
        <f t="shared" si="215"/>
        <v>0.14541348158443362</v>
      </c>
      <c r="X96" s="151">
        <f t="shared" si="215"/>
        <v>0.14541348158443362</v>
      </c>
      <c r="Y96" s="151">
        <f t="shared" si="215"/>
        <v>0.14541348158443362</v>
      </c>
      <c r="Z96" s="151">
        <f t="shared" si="215"/>
        <v>0.14541348158443362</v>
      </c>
      <c r="AA96" s="151">
        <f t="shared" si="215"/>
        <v>0.14541348158443362</v>
      </c>
      <c r="AB96" s="151">
        <f t="shared" si="215"/>
        <v>0.14541348158443362</v>
      </c>
      <c r="AC96" s="151">
        <f t="shared" si="215"/>
        <v>0.14541348158443362</v>
      </c>
      <c r="AD96" s="137">
        <f t="shared" si="213"/>
        <v>-8.4080399601130784E-3</v>
      </c>
      <c r="AE96" s="145"/>
      <c r="AF96" s="145"/>
    </row>
    <row r="97" spans="2:32">
      <c r="B97" s="20" t="s">
        <v>359</v>
      </c>
      <c r="C97" s="151" t="e">
        <f t="shared" ref="C97:Q97" si="216">C52/C7</f>
        <v>#DIV/0!</v>
      </c>
      <c r="D97" s="151" t="e">
        <f t="shared" si="216"/>
        <v>#DIV/0!</v>
      </c>
      <c r="E97" s="151" t="e">
        <f t="shared" si="216"/>
        <v>#DIV/0!</v>
      </c>
      <c r="F97" s="151" t="e">
        <f t="shared" si="216"/>
        <v>#DIV/0!</v>
      </c>
      <c r="G97" s="151">
        <f t="shared" si="216"/>
        <v>0.1621359223300971</v>
      </c>
      <c r="H97" s="151">
        <f t="shared" si="216"/>
        <v>0.13179347826086957</v>
      </c>
      <c r="I97" s="151">
        <f t="shared" si="216"/>
        <v>0.23427812223206376</v>
      </c>
      <c r="J97" s="151">
        <f t="shared" si="216"/>
        <v>0.16068690585709905</v>
      </c>
      <c r="K97" s="151">
        <f t="shared" si="216"/>
        <v>0.16286977218633117</v>
      </c>
      <c r="L97" s="151">
        <f t="shared" si="216"/>
        <v>9.8578772301179313E-2</v>
      </c>
      <c r="M97" s="180">
        <f t="shared" si="216"/>
        <v>0.16660389202762085</v>
      </c>
      <c r="N97" s="151">
        <f t="shared" si="216"/>
        <v>0.1426493317574325</v>
      </c>
      <c r="O97" s="151">
        <f t="shared" si="216"/>
        <v>0.14302280633938924</v>
      </c>
      <c r="P97" s="151">
        <f t="shared" si="216"/>
        <v>0.1443636601820921</v>
      </c>
      <c r="Q97" s="151">
        <f t="shared" si="216"/>
        <v>0.13157618947809682</v>
      </c>
      <c r="R97" s="118">
        <f t="shared" si="211"/>
        <v>-2.29382620943549E-2</v>
      </c>
      <c r="S97" s="20"/>
      <c r="T97" s="151">
        <f t="shared" ref="T97:AC97" si="217">T52/T7</f>
        <v>0.13157618947809682</v>
      </c>
      <c r="U97" s="151">
        <f t="shared" si="217"/>
        <v>0.13157618947809682</v>
      </c>
      <c r="V97" s="151">
        <f t="shared" si="217"/>
        <v>0.13157618947809682</v>
      </c>
      <c r="W97" s="151">
        <f t="shared" si="217"/>
        <v>0.13157618947809682</v>
      </c>
      <c r="X97" s="151">
        <f t="shared" si="217"/>
        <v>0.13157618947809682</v>
      </c>
      <c r="Y97" s="151">
        <f t="shared" si="217"/>
        <v>0.13157618947809682</v>
      </c>
      <c r="Z97" s="151">
        <f t="shared" si="217"/>
        <v>0.13157618947809682</v>
      </c>
      <c r="AA97" s="151">
        <f t="shared" si="217"/>
        <v>0.13157618947809682</v>
      </c>
      <c r="AB97" s="151">
        <f t="shared" si="217"/>
        <v>0.13157618947809682</v>
      </c>
      <c r="AC97" s="151">
        <f t="shared" si="217"/>
        <v>0.13157618947809682</v>
      </c>
      <c r="AD97" s="137">
        <f t="shared" si="213"/>
        <v>-1.0388113872424554E-2</v>
      </c>
      <c r="AE97" s="145"/>
      <c r="AF97" s="145"/>
    </row>
    <row r="98" spans="2:32">
      <c r="B98" s="20" t="s">
        <v>360</v>
      </c>
      <c r="C98" s="151" t="e">
        <f t="shared" ref="C98:Q98" si="218">(C52)/(C7+C10)</f>
        <v>#DIV/0!</v>
      </c>
      <c r="D98" s="151" t="e">
        <f t="shared" si="218"/>
        <v>#DIV/0!</v>
      </c>
      <c r="E98" s="151" t="e">
        <f t="shared" si="218"/>
        <v>#DIV/0!</v>
      </c>
      <c r="F98" s="151" t="e">
        <f t="shared" si="218"/>
        <v>#DIV/0!</v>
      </c>
      <c r="G98" s="151">
        <f t="shared" si="218"/>
        <v>2.3411214953271028E-2</v>
      </c>
      <c r="H98" s="151">
        <f t="shared" si="218"/>
        <v>2.1488701816570668E-2</v>
      </c>
      <c r="I98" s="151">
        <f t="shared" si="218"/>
        <v>3.8692217671152718E-2</v>
      </c>
      <c r="J98" s="151">
        <f t="shared" si="218"/>
        <v>2.2875103680097788E-2</v>
      </c>
      <c r="K98" s="151">
        <f t="shared" si="218"/>
        <v>2.9617263340134793E-2</v>
      </c>
      <c r="L98" s="151">
        <f t="shared" si="218"/>
        <v>2.0701041402082804E-2</v>
      </c>
      <c r="M98" s="180">
        <f t="shared" si="218"/>
        <v>3.038768920744693E-2</v>
      </c>
      <c r="N98" s="151">
        <f t="shared" si="218"/>
        <v>2.5983273991885401E-2</v>
      </c>
      <c r="O98" s="151">
        <f t="shared" si="218"/>
        <v>2.3539890571319506E-2</v>
      </c>
      <c r="P98" s="151">
        <f t="shared" si="218"/>
        <v>2.1644341438504144E-2</v>
      </c>
      <c r="Q98" s="151">
        <f t="shared" si="218"/>
        <v>2.4033307810107197E-2</v>
      </c>
      <c r="R98" s="118">
        <f t="shared" si="211"/>
        <v>2.918195731196116E-3</v>
      </c>
      <c r="S98" s="20"/>
      <c r="T98" s="151">
        <f t="shared" ref="T98:AC98" si="219">(T52)/(T7+T10)</f>
        <v>2.4033307810107197E-2</v>
      </c>
      <c r="U98" s="151">
        <f t="shared" si="219"/>
        <v>2.4033307810107197E-2</v>
      </c>
      <c r="V98" s="151">
        <f t="shared" si="219"/>
        <v>2.4033307810107197E-2</v>
      </c>
      <c r="W98" s="151">
        <f t="shared" si="219"/>
        <v>2.4033307810107197E-2</v>
      </c>
      <c r="X98" s="151">
        <f t="shared" si="219"/>
        <v>2.4033307810107197E-2</v>
      </c>
      <c r="Y98" s="151">
        <f t="shared" si="219"/>
        <v>2.4033307810107197E-2</v>
      </c>
      <c r="Z98" s="151">
        <f t="shared" si="219"/>
        <v>2.4033307810107197E-2</v>
      </c>
      <c r="AA98" s="151">
        <f t="shared" si="219"/>
        <v>2.4033307810107197E-2</v>
      </c>
      <c r="AB98" s="151">
        <f t="shared" si="219"/>
        <v>2.4033307810107197E-2</v>
      </c>
      <c r="AC98" s="151">
        <f t="shared" si="219"/>
        <v>2.4033307810107197E-2</v>
      </c>
      <c r="AD98" s="137">
        <f t="shared" si="213"/>
        <v>1.312135826539329E-3</v>
      </c>
      <c r="AE98" s="145"/>
      <c r="AF98" s="145"/>
    </row>
    <row r="99" spans="2:32">
      <c r="B99" s="175" t="s">
        <v>382</v>
      </c>
      <c r="C99" s="151"/>
      <c r="D99" s="151"/>
      <c r="E99" s="151"/>
      <c r="F99" s="151"/>
      <c r="G99" s="151">
        <f t="shared" ref="G99:Q99" si="220">G22/G35</f>
        <v>6.9587628865979384E-2</v>
      </c>
      <c r="H99" s="151">
        <f t="shared" si="220"/>
        <v>-0.15011415525114155</v>
      </c>
      <c r="I99" s="151">
        <f t="shared" si="220"/>
        <v>3.9544235924932974E-2</v>
      </c>
      <c r="J99" s="151">
        <f t="shared" si="220"/>
        <v>8.8581314878892731E-2</v>
      </c>
      <c r="K99" s="151">
        <f t="shared" si="220"/>
        <v>-8.531978637488602E-2</v>
      </c>
      <c r="L99" s="151">
        <f t="shared" si="220"/>
        <v>-0.11600055702548391</v>
      </c>
      <c r="M99" s="180">
        <f t="shared" si="220"/>
        <v>0.16876006441223831</v>
      </c>
      <c r="N99" s="151">
        <f t="shared" si="220"/>
        <v>-0.13324896040499007</v>
      </c>
      <c r="O99" s="151">
        <f t="shared" si="220"/>
        <v>-0.10282025666641051</v>
      </c>
      <c r="P99" s="151">
        <f t="shared" si="220"/>
        <v>-8.8087774294670851E-2</v>
      </c>
      <c r="Q99" s="151">
        <f t="shared" si="220"/>
        <v>0.52125318508223306</v>
      </c>
      <c r="R99" s="118">
        <f t="shared" si="211"/>
        <v>0.25074426542516015</v>
      </c>
      <c r="S99" s="20"/>
      <c r="T99" s="151">
        <f t="shared" ref="T99:AC99" si="221">T22/T35</f>
        <v>0.52125318508223306</v>
      </c>
      <c r="U99" s="151">
        <f t="shared" si="221"/>
        <v>0.52125318508223306</v>
      </c>
      <c r="V99" s="151">
        <f t="shared" si="221"/>
        <v>0.52125318508223306</v>
      </c>
      <c r="W99" s="151">
        <f t="shared" si="221"/>
        <v>0.52125318508223306</v>
      </c>
      <c r="X99" s="151">
        <f t="shared" si="221"/>
        <v>0.52125318508223306</v>
      </c>
      <c r="Y99" s="151">
        <f t="shared" si="221"/>
        <v>0.52125318508223306</v>
      </c>
      <c r="Z99" s="151">
        <f t="shared" si="221"/>
        <v>0.52125318508223306</v>
      </c>
      <c r="AA99" s="151">
        <f t="shared" si="221"/>
        <v>0.52125318508223306</v>
      </c>
      <c r="AB99" s="151">
        <f t="shared" si="221"/>
        <v>0.52125318508223306</v>
      </c>
      <c r="AC99" s="151">
        <f t="shared" si="221"/>
        <v>0.52125318508223306</v>
      </c>
      <c r="AD99" s="137">
        <f t="shared" si="213"/>
        <v>0.10592540371149628</v>
      </c>
      <c r="AE99" s="145"/>
      <c r="AF99" s="145"/>
    </row>
    <row r="100" spans="2:32">
      <c r="B100" s="20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80"/>
      <c r="N100" s="151"/>
      <c r="O100" s="151"/>
      <c r="P100" s="151"/>
      <c r="Q100" s="151"/>
      <c r="R100" s="151"/>
      <c r="S100" s="20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45"/>
      <c r="AF100" s="145"/>
    </row>
    <row r="101" spans="2:32">
      <c r="B101" s="20" t="s">
        <v>323</v>
      </c>
      <c r="C101" s="151"/>
      <c r="D101" s="151"/>
      <c r="E101" s="151"/>
      <c r="F101" s="151"/>
      <c r="G101" s="151">
        <f t="shared" ref="G101:Q101" si="222">G41/G35</f>
        <v>0.21649484536082475</v>
      </c>
      <c r="H101" s="151">
        <f t="shared" si="222"/>
        <v>0.18721461187214611</v>
      </c>
      <c r="I101" s="151">
        <f t="shared" si="222"/>
        <v>0.17392761394101877</v>
      </c>
      <c r="J101" s="151">
        <f t="shared" si="222"/>
        <v>0.22537485582468281</v>
      </c>
      <c r="K101" s="151">
        <f t="shared" si="222"/>
        <v>0.23655073596456949</v>
      </c>
      <c r="L101" s="151">
        <f t="shared" si="222"/>
        <v>0.27739869099011277</v>
      </c>
      <c r="M101" s="180">
        <f t="shared" si="222"/>
        <v>0.19023081052066559</v>
      </c>
      <c r="N101" s="151">
        <f t="shared" si="222"/>
        <v>0.24118604230699692</v>
      </c>
      <c r="O101" s="151">
        <f t="shared" si="222"/>
        <v>0.34895873357411816</v>
      </c>
      <c r="P101" s="151">
        <f t="shared" si="222"/>
        <v>0.37768025078369905</v>
      </c>
      <c r="Q101" s="151">
        <f t="shared" si="222"/>
        <v>0.36553161917998611</v>
      </c>
      <c r="R101" s="118">
        <f t="shared" si="211"/>
        <v>5.9925316622780223E-2</v>
      </c>
      <c r="S101" s="20"/>
      <c r="T101" s="151">
        <f t="shared" ref="T101:AC101" si="223">T41/T35</f>
        <v>0.36553161917998611</v>
      </c>
      <c r="U101" s="151">
        <f t="shared" si="223"/>
        <v>0.36553161917998611</v>
      </c>
      <c r="V101" s="151">
        <f t="shared" si="223"/>
        <v>0.36553161917998611</v>
      </c>
      <c r="W101" s="151">
        <f t="shared" si="223"/>
        <v>0.36553161917998611</v>
      </c>
      <c r="X101" s="151">
        <f t="shared" si="223"/>
        <v>0.36553161917998611</v>
      </c>
      <c r="Y101" s="151">
        <f t="shared" si="223"/>
        <v>0.36553161917998611</v>
      </c>
      <c r="Z101" s="151">
        <f t="shared" si="223"/>
        <v>0.36553161917998611</v>
      </c>
      <c r="AA101" s="151">
        <f t="shared" si="223"/>
        <v>0.36553161917998611</v>
      </c>
      <c r="AB101" s="151">
        <f t="shared" si="223"/>
        <v>0.36553161917998611</v>
      </c>
      <c r="AC101" s="151">
        <f t="shared" si="223"/>
        <v>0.36553161917998611</v>
      </c>
      <c r="AD101" s="137">
        <f t="shared" si="213"/>
        <v>2.6535255598733265E-2</v>
      </c>
      <c r="AE101" s="145"/>
      <c r="AF101" s="145"/>
    </row>
    <row r="102" spans="2:32">
      <c r="B102" s="20" t="s">
        <v>325</v>
      </c>
      <c r="C102" s="151"/>
      <c r="D102" s="151"/>
      <c r="E102" s="151"/>
      <c r="F102" s="151"/>
      <c r="G102" s="165" t="e">
        <f t="shared" ref="G102:Q102" si="224">G41/G12</f>
        <v>#DIV/0!</v>
      </c>
      <c r="H102" s="165" t="e">
        <f t="shared" si="224"/>
        <v>#DIV/0!</v>
      </c>
      <c r="I102" s="165" t="e">
        <f t="shared" si="224"/>
        <v>#DIV/0!</v>
      </c>
      <c r="J102" s="165" t="e">
        <f t="shared" si="224"/>
        <v>#DIV/0!</v>
      </c>
      <c r="K102" s="165" t="e">
        <f t="shared" si="224"/>
        <v>#DIV/0!</v>
      </c>
      <c r="L102" s="165" t="e">
        <f t="shared" si="224"/>
        <v>#DIV/0!</v>
      </c>
      <c r="M102" s="181" t="e">
        <f t="shared" si="224"/>
        <v>#DIV/0!</v>
      </c>
      <c r="N102" s="165" t="e">
        <f t="shared" si="224"/>
        <v>#DIV/0!</v>
      </c>
      <c r="O102" s="165" t="e">
        <f t="shared" si="224"/>
        <v>#DIV/0!</v>
      </c>
      <c r="P102" s="165" t="e">
        <f t="shared" si="224"/>
        <v>#DIV/0!</v>
      </c>
      <c r="Q102" s="165" t="e">
        <f t="shared" si="224"/>
        <v>#DIV/0!</v>
      </c>
      <c r="R102" s="118" t="e">
        <f t="shared" si="211"/>
        <v>#DIV/0!</v>
      </c>
      <c r="S102" s="20"/>
      <c r="T102" s="151" t="e">
        <f t="shared" ref="T102:AC102" si="225">T41/T12</f>
        <v>#DIV/0!</v>
      </c>
      <c r="U102" s="151" t="e">
        <f t="shared" si="225"/>
        <v>#DIV/0!</v>
      </c>
      <c r="V102" s="151" t="e">
        <f t="shared" si="225"/>
        <v>#DIV/0!</v>
      </c>
      <c r="W102" s="151" t="e">
        <f t="shared" si="225"/>
        <v>#DIV/0!</v>
      </c>
      <c r="X102" s="151" t="e">
        <f t="shared" si="225"/>
        <v>#DIV/0!</v>
      </c>
      <c r="Y102" s="151" t="e">
        <f t="shared" si="225"/>
        <v>#DIV/0!</v>
      </c>
      <c r="Z102" s="151" t="e">
        <f t="shared" si="225"/>
        <v>#DIV/0!</v>
      </c>
      <c r="AA102" s="151" t="e">
        <f t="shared" si="225"/>
        <v>#DIV/0!</v>
      </c>
      <c r="AB102" s="151" t="e">
        <f t="shared" si="225"/>
        <v>#DIV/0!</v>
      </c>
      <c r="AC102" s="151" t="e">
        <f t="shared" si="225"/>
        <v>#DIV/0!</v>
      </c>
      <c r="AD102" s="137" t="e">
        <f t="shared" si="213"/>
        <v>#DIV/0!</v>
      </c>
      <c r="AE102" s="145"/>
      <c r="AF102" s="145"/>
    </row>
    <row r="103" spans="2:32" s="176" customFormat="1">
      <c r="B103" s="175"/>
      <c r="C103" s="180"/>
      <c r="D103" s="180"/>
      <c r="E103" s="180"/>
      <c r="F103" s="180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77"/>
      <c r="S103" s="175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78"/>
      <c r="AE103" s="179"/>
      <c r="AF103" s="179"/>
    </row>
    <row r="104" spans="2:32">
      <c r="B104" s="20" t="s">
        <v>326</v>
      </c>
      <c r="C104" s="151"/>
      <c r="D104" s="151"/>
      <c r="E104" s="151"/>
      <c r="F104" s="162"/>
      <c r="G104" s="162">
        <f t="shared" ref="G104:Q104" si="226">G12+G15-G10</f>
        <v>-3715</v>
      </c>
      <c r="H104" s="162">
        <f t="shared" si="226"/>
        <v>-4851</v>
      </c>
      <c r="I104" s="162">
        <f t="shared" si="226"/>
        <v>-6366</v>
      </c>
      <c r="J104" s="162">
        <f t="shared" si="226"/>
        <v>-10518</v>
      </c>
      <c r="K104" s="162">
        <f t="shared" si="226"/>
        <v>-13895</v>
      </c>
      <c r="L104" s="162">
        <f t="shared" si="226"/>
        <v>-11569</v>
      </c>
      <c r="M104" s="162">
        <f t="shared" si="226"/>
        <v>-16220</v>
      </c>
      <c r="N104" s="162">
        <f t="shared" si="226"/>
        <v>-23338</v>
      </c>
      <c r="O104" s="162">
        <f t="shared" si="226"/>
        <v>-33997</v>
      </c>
      <c r="P104" s="162">
        <f t="shared" si="226"/>
        <v>-45654</v>
      </c>
      <c r="Q104" s="162">
        <f t="shared" si="226"/>
        <v>-46605</v>
      </c>
      <c r="R104" s="118">
        <f t="shared" si="211"/>
        <v>0.32450204352457823</v>
      </c>
      <c r="S104" s="20"/>
      <c r="T104" s="162">
        <f t="shared" ref="T104:AC104" si="227">T12+T15-T10</f>
        <v>-58256.25</v>
      </c>
      <c r="U104" s="162">
        <f t="shared" si="227"/>
        <v>-72820.3125</v>
      </c>
      <c r="V104" s="162">
        <f t="shared" si="227"/>
        <v>-91025.390625</v>
      </c>
      <c r="W104" s="162">
        <f t="shared" si="227"/>
        <v>-113781.73828125</v>
      </c>
      <c r="X104" s="162">
        <f t="shared" si="227"/>
        <v>-142227.1728515625</v>
      </c>
      <c r="Y104" s="162">
        <f t="shared" si="227"/>
        <v>-177783.96606445312</v>
      </c>
      <c r="Z104" s="162">
        <f t="shared" si="227"/>
        <v>-222229.95758056641</v>
      </c>
      <c r="AA104" s="162">
        <f t="shared" si="227"/>
        <v>-277787.44697570801</v>
      </c>
      <c r="AB104" s="162">
        <f t="shared" si="227"/>
        <v>-347234.30871963501</v>
      </c>
      <c r="AC104" s="162">
        <f t="shared" si="227"/>
        <v>-434042.88589954376</v>
      </c>
      <c r="AD104" s="137">
        <f t="shared" si="213"/>
        <v>0.26875770072219374</v>
      </c>
      <c r="AE104" s="145"/>
      <c r="AF104" s="145"/>
    </row>
    <row r="105" spans="2:32" ht="12" customHeight="1">
      <c r="B105" s="20" t="s">
        <v>321</v>
      </c>
      <c r="C105" s="20"/>
      <c r="D105" s="20"/>
      <c r="E105" s="20"/>
      <c r="F105" s="20"/>
      <c r="G105" s="151">
        <f t="shared" ref="G105:Q105" si="228">G52/G20</f>
        <v>1.4212765957446809</v>
      </c>
      <c r="H105" s="151">
        <f t="shared" si="228"/>
        <v>1.220125786163522</v>
      </c>
      <c r="I105" s="151">
        <f t="shared" si="228"/>
        <v>2.9553072625698324</v>
      </c>
      <c r="J105" s="151">
        <f t="shared" si="228"/>
        <v>2.1924686192468621</v>
      </c>
      <c r="K105" s="151">
        <f t="shared" si="228"/>
        <v>2.8511904761904763</v>
      </c>
      <c r="L105" s="151">
        <f t="shared" si="228"/>
        <v>1.9120234604105573</v>
      </c>
      <c r="M105" s="180">
        <f t="shared" si="228"/>
        <v>2.1612377850162865</v>
      </c>
      <c r="N105" s="151">
        <f t="shared" si="228"/>
        <v>2.6150000000000002</v>
      </c>
      <c r="O105" s="151">
        <f t="shared" si="228"/>
        <v>3.0081300813008132</v>
      </c>
      <c r="P105" s="151">
        <f t="shared" si="228"/>
        <v>3.5548387096774192</v>
      </c>
      <c r="Q105" s="151">
        <f t="shared" si="228"/>
        <v>1.9865506329113924</v>
      </c>
      <c r="R105" s="118">
        <f t="shared" si="211"/>
        <v>3.7905689635354012E-2</v>
      </c>
      <c r="S105" s="20"/>
      <c r="T105" s="151">
        <f t="shared" ref="T105:AC105" si="229">T52/T20</f>
        <v>1.9865506329113924</v>
      </c>
      <c r="U105" s="151">
        <f t="shared" si="229"/>
        <v>1.9865506329113924</v>
      </c>
      <c r="V105" s="151">
        <f t="shared" si="229"/>
        <v>1.9865506329113924</v>
      </c>
      <c r="W105" s="151">
        <f t="shared" si="229"/>
        <v>1.9865506329113924</v>
      </c>
      <c r="X105" s="151">
        <f t="shared" si="229"/>
        <v>1.9865506329113924</v>
      </c>
      <c r="Y105" s="151">
        <f t="shared" si="229"/>
        <v>1.9865506329113924</v>
      </c>
      <c r="Z105" s="151">
        <f t="shared" si="229"/>
        <v>1.9865506329113924</v>
      </c>
      <c r="AA105" s="151">
        <f t="shared" si="229"/>
        <v>1.9865506329113924</v>
      </c>
      <c r="AB105" s="151">
        <f t="shared" si="229"/>
        <v>1.9865506329113924</v>
      </c>
      <c r="AC105" s="151">
        <f t="shared" si="229"/>
        <v>1.9865506329113924</v>
      </c>
      <c r="AD105" s="137">
        <f t="shared" si="213"/>
        <v>1.6883151597309132E-2</v>
      </c>
      <c r="AE105" s="20"/>
      <c r="AF105" s="20"/>
    </row>
    <row r="106" spans="2:32">
      <c r="B106" s="20" t="s">
        <v>322</v>
      </c>
      <c r="C106" s="20"/>
      <c r="D106" s="20"/>
      <c r="E106" s="20"/>
      <c r="F106" s="20"/>
      <c r="G106" s="151">
        <f t="shared" ref="G106:Q106" si="230">G52/G35</f>
        <v>0.17216494845360825</v>
      </c>
      <c r="H106" s="151">
        <f t="shared" si="230"/>
        <v>0.11073059360730593</v>
      </c>
      <c r="I106" s="151">
        <f t="shared" si="230"/>
        <v>0.17727882037533513</v>
      </c>
      <c r="J106" s="151">
        <f t="shared" si="230"/>
        <v>0.12087658592848904</v>
      </c>
      <c r="K106" s="151">
        <f t="shared" si="230"/>
        <v>0.12478832877426078</v>
      </c>
      <c r="L106" s="151">
        <f t="shared" si="230"/>
        <v>9.079515387828993E-2</v>
      </c>
      <c r="M106" s="180">
        <f t="shared" si="230"/>
        <v>0.14245840042941493</v>
      </c>
      <c r="N106" s="151">
        <f t="shared" si="230"/>
        <v>0.14183691918278793</v>
      </c>
      <c r="O106" s="151">
        <f t="shared" si="230"/>
        <v>0.14216552678091141</v>
      </c>
      <c r="P106" s="151">
        <f t="shared" si="230"/>
        <v>0.13818181818181818</v>
      </c>
      <c r="Q106" s="151">
        <f t="shared" si="230"/>
        <v>0.14541348158443362</v>
      </c>
      <c r="R106" s="118">
        <f t="shared" si="211"/>
        <v>-1.8588587396620504E-2</v>
      </c>
      <c r="S106" s="20"/>
      <c r="T106" s="151">
        <f t="shared" ref="T106:AC106" si="231">T52/T35</f>
        <v>0.14541348158443362</v>
      </c>
      <c r="U106" s="151">
        <f t="shared" si="231"/>
        <v>0.14541348158443362</v>
      </c>
      <c r="V106" s="151">
        <f t="shared" si="231"/>
        <v>0.14541348158443362</v>
      </c>
      <c r="W106" s="151">
        <f t="shared" si="231"/>
        <v>0.14541348158443362</v>
      </c>
      <c r="X106" s="151">
        <f t="shared" si="231"/>
        <v>0.14541348158443362</v>
      </c>
      <c r="Y106" s="151">
        <f t="shared" si="231"/>
        <v>0.14541348158443362</v>
      </c>
      <c r="Z106" s="151">
        <f t="shared" si="231"/>
        <v>0.14541348158443362</v>
      </c>
      <c r="AA106" s="151">
        <f t="shared" si="231"/>
        <v>0.14541348158443362</v>
      </c>
      <c r="AB106" s="151">
        <f t="shared" si="231"/>
        <v>0.14541348158443362</v>
      </c>
      <c r="AC106" s="151">
        <f t="shared" si="231"/>
        <v>0.14541348158443362</v>
      </c>
      <c r="AD106" s="137">
        <f t="shared" si="213"/>
        <v>-8.4080399601130784E-3</v>
      </c>
      <c r="AE106" s="20"/>
      <c r="AF106" s="20"/>
    </row>
    <row r="107" spans="2:32">
      <c r="B107" s="20" t="s">
        <v>348</v>
      </c>
      <c r="C107" s="20"/>
      <c r="D107" s="20"/>
      <c r="E107" s="151"/>
      <c r="F107" s="151"/>
      <c r="G107" s="151">
        <f t="shared" ref="G107:Q107" si="232">G35/G20</f>
        <v>8.2553191489361701</v>
      </c>
      <c r="H107" s="151">
        <f t="shared" si="232"/>
        <v>11.018867924528301</v>
      </c>
      <c r="I107" s="151">
        <f t="shared" si="232"/>
        <v>16.670391061452513</v>
      </c>
      <c r="J107" s="151">
        <f t="shared" si="232"/>
        <v>18.13807531380753</v>
      </c>
      <c r="K107" s="151">
        <f t="shared" si="232"/>
        <v>22.848214285714285</v>
      </c>
      <c r="L107" s="151">
        <f t="shared" si="232"/>
        <v>21.058651026392962</v>
      </c>
      <c r="M107" s="180">
        <f t="shared" si="232"/>
        <v>15.17100977198697</v>
      </c>
      <c r="N107" s="151">
        <f t="shared" si="232"/>
        <v>18.436666666666667</v>
      </c>
      <c r="O107" s="151">
        <f t="shared" si="232"/>
        <v>21.159349593495936</v>
      </c>
      <c r="P107" s="151">
        <f t="shared" si="232"/>
        <v>25.725806451612904</v>
      </c>
      <c r="Q107" s="151">
        <f t="shared" si="232"/>
        <v>13.661392405063291</v>
      </c>
      <c r="R107" s="118">
        <f t="shared" si="211"/>
        <v>5.7564316357512801E-2</v>
      </c>
      <c r="S107" s="20"/>
      <c r="T107" s="151">
        <f t="shared" ref="T107:AC107" si="233">T35/T20</f>
        <v>13.661392405063291</v>
      </c>
      <c r="U107" s="151">
        <f t="shared" si="233"/>
        <v>13.661392405063291</v>
      </c>
      <c r="V107" s="151">
        <f t="shared" si="233"/>
        <v>13.661392405063291</v>
      </c>
      <c r="W107" s="151">
        <f t="shared" si="233"/>
        <v>13.661392405063291</v>
      </c>
      <c r="X107" s="151">
        <f t="shared" si="233"/>
        <v>13.661392405063291</v>
      </c>
      <c r="Y107" s="151">
        <f t="shared" si="233"/>
        <v>13.661392405063291</v>
      </c>
      <c r="Z107" s="151">
        <f t="shared" si="233"/>
        <v>13.661392405063291</v>
      </c>
      <c r="AA107" s="151">
        <f t="shared" si="233"/>
        <v>13.661392405063291</v>
      </c>
      <c r="AB107" s="151">
        <f t="shared" si="233"/>
        <v>13.661392405063291</v>
      </c>
      <c r="AC107" s="151">
        <f t="shared" si="233"/>
        <v>13.661392405063291</v>
      </c>
      <c r="AD107" s="137">
        <f t="shared" si="213"/>
        <v>2.5505644031648567E-2</v>
      </c>
      <c r="AE107" s="20"/>
      <c r="AF107" s="20"/>
    </row>
    <row r="108" spans="2:32">
      <c r="B108" s="20"/>
      <c r="C108" s="20"/>
      <c r="D108" s="20"/>
      <c r="E108" s="20"/>
      <c r="F108" s="20"/>
      <c r="G108" s="151"/>
      <c r="H108" s="151"/>
      <c r="I108" s="151"/>
      <c r="J108" s="151"/>
      <c r="K108" s="151"/>
      <c r="L108" s="151"/>
      <c r="M108" s="180"/>
      <c r="N108" s="151"/>
      <c r="O108" s="151"/>
      <c r="P108" s="151"/>
      <c r="Q108" s="151"/>
      <c r="R108" s="127"/>
      <c r="S108" s="20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27"/>
      <c r="AE108" s="20"/>
      <c r="AF108" s="20"/>
    </row>
    <row r="109" spans="2:32">
      <c r="B109" s="20" t="s">
        <v>334</v>
      </c>
      <c r="C109" s="20"/>
      <c r="D109" s="20"/>
      <c r="E109" s="164"/>
      <c r="F109" s="164"/>
      <c r="G109" s="164">
        <f t="shared" ref="G109:Q109" si="234">G80*G54</f>
        <v>14.28</v>
      </c>
      <c r="H109" s="164">
        <f t="shared" si="234"/>
        <v>15.4125</v>
      </c>
      <c r="I109" s="164">
        <f t="shared" si="234"/>
        <v>18.593999999999998</v>
      </c>
      <c r="J109" s="164">
        <f t="shared" si="234"/>
        <v>22.826999999999998</v>
      </c>
      <c r="K109" s="164">
        <f t="shared" si="234"/>
        <v>25.844999999999999</v>
      </c>
      <c r="L109" s="164">
        <f t="shared" si="234"/>
        <v>25.92</v>
      </c>
      <c r="M109" s="200">
        <f t="shared" si="234"/>
        <v>29.5885</v>
      </c>
      <c r="N109" s="164">
        <f t="shared" si="234"/>
        <v>36.843499999999999</v>
      </c>
      <c r="O109" s="164">
        <f t="shared" si="234"/>
        <v>44.441339999999997</v>
      </c>
      <c r="P109" s="164">
        <f t="shared" si="234"/>
        <v>52.266199999999998</v>
      </c>
      <c r="Q109" s="164">
        <f t="shared" si="234"/>
        <v>61.52000000000001</v>
      </c>
      <c r="R109" s="118">
        <f t="shared" si="211"/>
        <v>0.17618722404024711</v>
      </c>
      <c r="S109" s="20"/>
      <c r="T109" s="164">
        <f t="shared" ref="T109:AC109" si="235">T80*T54</f>
        <v>67.825800000000015</v>
      </c>
      <c r="U109" s="164">
        <f t="shared" si="235"/>
        <v>74.777944500000018</v>
      </c>
      <c r="V109" s="164">
        <f t="shared" si="235"/>
        <v>82.442683811250021</v>
      </c>
      <c r="W109" s="164">
        <f t="shared" si="235"/>
        <v>90.89305890190316</v>
      </c>
      <c r="X109" s="164">
        <f t="shared" si="235"/>
        <v>100.20959743934824</v>
      </c>
      <c r="Y109" s="164">
        <f t="shared" si="235"/>
        <v>110.48108117688147</v>
      </c>
      <c r="Z109" s="164">
        <f t="shared" si="235"/>
        <v>121.80539199751182</v>
      </c>
      <c r="AA109" s="164">
        <f t="shared" si="235"/>
        <v>134.29044467725683</v>
      </c>
      <c r="AB109" s="164">
        <f t="shared" si="235"/>
        <v>148.05521525667567</v>
      </c>
      <c r="AC109" s="164">
        <f t="shared" si="235"/>
        <v>163.23087482048493</v>
      </c>
      <c r="AD109" s="137">
        <f t="shared" si="213"/>
        <v>0.12954543579433109</v>
      </c>
      <c r="AE109" s="20"/>
      <c r="AF109" s="20"/>
    </row>
    <row r="110" spans="2:32">
      <c r="B110" s="20" t="s">
        <v>335</v>
      </c>
      <c r="C110" s="20"/>
      <c r="D110" s="20"/>
      <c r="E110" s="164"/>
      <c r="F110" s="164"/>
      <c r="G110" s="164">
        <f t="shared" ref="G110:Q110" si="236">(G109*0.17)+G109</f>
        <v>16.707599999999999</v>
      </c>
      <c r="H110" s="164">
        <f t="shared" si="236"/>
        <v>18.032624999999999</v>
      </c>
      <c r="I110" s="164">
        <f t="shared" si="236"/>
        <v>21.754979999999996</v>
      </c>
      <c r="J110" s="164">
        <f t="shared" si="236"/>
        <v>26.707589999999996</v>
      </c>
      <c r="K110" s="164">
        <f t="shared" si="236"/>
        <v>30.23865</v>
      </c>
      <c r="L110" s="164">
        <f t="shared" si="236"/>
        <v>30.326400000000003</v>
      </c>
      <c r="M110" s="200">
        <f t="shared" ref="M110" si="237">(M109*0.17)+M109</f>
        <v>34.618544999999997</v>
      </c>
      <c r="N110" s="164">
        <f t="shared" si="236"/>
        <v>43.106895000000002</v>
      </c>
      <c r="O110" s="164">
        <f t="shared" si="236"/>
        <v>51.996367799999994</v>
      </c>
      <c r="P110" s="164">
        <f t="shared" si="236"/>
        <v>61.151454000000001</v>
      </c>
      <c r="Q110" s="164">
        <f t="shared" si="236"/>
        <v>71.978400000000008</v>
      </c>
      <c r="R110" s="118">
        <f t="shared" si="211"/>
        <v>0.17618722404024711</v>
      </c>
      <c r="S110" s="20"/>
      <c r="T110" s="164">
        <f t="shared" ref="T110:AC110" si="238">(T109*0.17)+T109</f>
        <v>79.356186000000022</v>
      </c>
      <c r="U110" s="164">
        <f t="shared" si="238"/>
        <v>87.490195065000023</v>
      </c>
      <c r="V110" s="164">
        <f t="shared" si="238"/>
        <v>96.457940059162524</v>
      </c>
      <c r="W110" s="164">
        <f t="shared" si="238"/>
        <v>106.3448789152267</v>
      </c>
      <c r="X110" s="164">
        <f t="shared" si="238"/>
        <v>117.24522900403744</v>
      </c>
      <c r="Y110" s="164">
        <f t="shared" si="238"/>
        <v>129.26286497695133</v>
      </c>
      <c r="Z110" s="164">
        <f t="shared" si="238"/>
        <v>142.51230863708884</v>
      </c>
      <c r="AA110" s="164">
        <f t="shared" si="238"/>
        <v>157.11982027239048</v>
      </c>
      <c r="AB110" s="164">
        <f t="shared" si="238"/>
        <v>173.22460185031053</v>
      </c>
      <c r="AC110" s="164">
        <f t="shared" si="238"/>
        <v>190.98012353996737</v>
      </c>
      <c r="AD110" s="137">
        <f t="shared" si="213"/>
        <v>0.12954543579433109</v>
      </c>
      <c r="AE110" s="20"/>
      <c r="AF110" s="20"/>
    </row>
    <row r="111" spans="2:32">
      <c r="B111" s="20" t="s">
        <v>336</v>
      </c>
      <c r="C111" s="20"/>
      <c r="D111" s="20"/>
      <c r="E111" s="20"/>
      <c r="F111" s="151"/>
      <c r="G111" s="151">
        <f t="shared" ref="G111:Q111" si="239">G110/G52</f>
        <v>8.3371257485029937E-2</v>
      </c>
      <c r="H111" s="151">
        <f t="shared" si="239"/>
        <v>9.2951675257731958E-2</v>
      </c>
      <c r="I111" s="151">
        <f t="shared" si="239"/>
        <v>4.11247258979206E-2</v>
      </c>
      <c r="J111" s="151">
        <f t="shared" si="239"/>
        <v>5.0968683206106861E-2</v>
      </c>
      <c r="K111" s="151">
        <f t="shared" si="239"/>
        <v>3.156435281837161E-2</v>
      </c>
      <c r="L111" s="151">
        <f t="shared" si="239"/>
        <v>4.6512883435582825E-2</v>
      </c>
      <c r="M111" s="180">
        <f t="shared" si="239"/>
        <v>2.608782592313489E-2</v>
      </c>
      <c r="N111" s="151">
        <f t="shared" si="239"/>
        <v>2.7474120458891013E-2</v>
      </c>
      <c r="O111" s="151">
        <f t="shared" si="239"/>
        <v>2.8106144756756754E-2</v>
      </c>
      <c r="P111" s="151">
        <f t="shared" si="239"/>
        <v>2.7745668784029037E-2</v>
      </c>
      <c r="Q111" s="151">
        <f t="shared" si="239"/>
        <v>2.8665232974910398E-2</v>
      </c>
      <c r="R111" s="118">
        <f t="shared" si="211"/>
        <v>-0.11185857945151678</v>
      </c>
      <c r="S111" s="20"/>
      <c r="T111" s="151">
        <f t="shared" ref="T111:AC111" si="240">T110/T52</f>
        <v>2.5282735483870975E-2</v>
      </c>
      <c r="U111" s="151">
        <f t="shared" si="240"/>
        <v>2.2299372696774199E-2</v>
      </c>
      <c r="V111" s="151">
        <f t="shared" si="240"/>
        <v>1.9668046718554842E-2</v>
      </c>
      <c r="W111" s="151">
        <f t="shared" si="240"/>
        <v>1.7347217205765375E-2</v>
      </c>
      <c r="X111" s="151">
        <f t="shared" si="240"/>
        <v>1.5300245575485061E-2</v>
      </c>
      <c r="Y111" s="151">
        <f t="shared" si="240"/>
        <v>1.3494816597577829E-2</v>
      </c>
      <c r="Z111" s="151">
        <f t="shared" si="240"/>
        <v>1.1902428239063645E-2</v>
      </c>
      <c r="AA111" s="151">
        <f t="shared" si="240"/>
        <v>1.0497941706854138E-2</v>
      </c>
      <c r="AB111" s="151">
        <f t="shared" si="240"/>
        <v>9.2591845854453503E-3</v>
      </c>
      <c r="AC111" s="151">
        <f t="shared" si="240"/>
        <v>8.1666008043627999E-3</v>
      </c>
      <c r="AD111" s="137">
        <f t="shared" si="213"/>
        <v>-0.10966950507190454</v>
      </c>
      <c r="AE111" s="20"/>
      <c r="AF111" s="20"/>
    </row>
    <row r="112" spans="2:32">
      <c r="B112" s="20" t="s">
        <v>329</v>
      </c>
      <c r="C112" s="20"/>
      <c r="D112" s="20"/>
      <c r="E112" s="20"/>
      <c r="F112" s="151"/>
      <c r="G112" s="151">
        <f>1-G111</f>
        <v>0.91662874251497006</v>
      </c>
      <c r="H112" s="151">
        <f t="shared" ref="H112:Q112" si="241">1-H111</f>
        <v>0.90704832474226804</v>
      </c>
      <c r="I112" s="151">
        <f t="shared" si="241"/>
        <v>0.9588752741020794</v>
      </c>
      <c r="J112" s="151">
        <f t="shared" si="241"/>
        <v>0.94903131679389319</v>
      </c>
      <c r="K112" s="151">
        <f t="shared" si="241"/>
        <v>0.96843564718162845</v>
      </c>
      <c r="L112" s="151">
        <f t="shared" si="241"/>
        <v>0.9534871165644172</v>
      </c>
      <c r="M112" s="180">
        <f t="shared" ref="M112" si="242">1-M111</f>
        <v>0.97391217407686514</v>
      </c>
      <c r="N112" s="151">
        <f t="shared" si="241"/>
        <v>0.97252587954110903</v>
      </c>
      <c r="O112" s="151">
        <f t="shared" si="241"/>
        <v>0.97189385524324323</v>
      </c>
      <c r="P112" s="151">
        <f t="shared" si="241"/>
        <v>0.97225433121597093</v>
      </c>
      <c r="Q112" s="151">
        <f t="shared" si="241"/>
        <v>0.97133476702508958</v>
      </c>
      <c r="R112" s="118">
        <f t="shared" si="211"/>
        <v>6.4617481213198324E-3</v>
      </c>
      <c r="S112" s="20"/>
      <c r="T112" s="151">
        <f t="shared" ref="T112:AC112" si="243">1-T111</f>
        <v>0.97471726451612906</v>
      </c>
      <c r="U112" s="151">
        <f t="shared" si="243"/>
        <v>0.97770062730322582</v>
      </c>
      <c r="V112" s="151">
        <f t="shared" si="243"/>
        <v>0.98033195328144518</v>
      </c>
      <c r="W112" s="151">
        <f t="shared" si="243"/>
        <v>0.98265278279423462</v>
      </c>
      <c r="X112" s="151">
        <f t="shared" si="243"/>
        <v>0.98469975442451496</v>
      </c>
      <c r="Y112" s="151">
        <f t="shared" si="243"/>
        <v>0.98650518340242221</v>
      </c>
      <c r="Z112" s="151">
        <f t="shared" si="243"/>
        <v>0.98809757176093638</v>
      </c>
      <c r="AA112" s="151">
        <f t="shared" si="243"/>
        <v>0.98950205829314586</v>
      </c>
      <c r="AB112" s="151">
        <f t="shared" si="243"/>
        <v>0.99074081541455461</v>
      </c>
      <c r="AC112" s="151">
        <f t="shared" si="243"/>
        <v>0.99183339919563718</v>
      </c>
      <c r="AD112" s="137">
        <f t="shared" si="213"/>
        <v>3.950413368170036E-3</v>
      </c>
      <c r="AE112" s="20"/>
      <c r="AF112" s="20"/>
    </row>
    <row r="113" spans="2:32">
      <c r="B113" s="20"/>
      <c r="C113" s="20"/>
      <c r="D113" s="20"/>
      <c r="E113" s="20"/>
      <c r="F113" s="20"/>
      <c r="G113" s="151"/>
      <c r="H113" s="151"/>
      <c r="I113" s="151"/>
      <c r="J113" s="151"/>
      <c r="K113" s="151"/>
      <c r="L113" s="151"/>
      <c r="M113" s="180"/>
      <c r="N113" s="151"/>
      <c r="O113" s="151"/>
      <c r="P113" s="151"/>
      <c r="Q113" s="151"/>
      <c r="R113" s="127"/>
      <c r="S113" s="20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27"/>
      <c r="AE113" s="20"/>
      <c r="AF113" s="20"/>
    </row>
    <row r="114" spans="2:32">
      <c r="B114" s="20" t="s">
        <v>333</v>
      </c>
      <c r="C114" s="151"/>
      <c r="D114" s="151"/>
      <c r="E114" s="151"/>
      <c r="F114" s="151"/>
      <c r="G114" s="151">
        <f t="shared" ref="G114:Q114" si="244">G43/G35</f>
        <v>0</v>
      </c>
      <c r="H114" s="151">
        <f t="shared" si="244"/>
        <v>0</v>
      </c>
      <c r="I114" s="151">
        <f t="shared" si="244"/>
        <v>0</v>
      </c>
      <c r="J114" s="151">
        <f t="shared" si="244"/>
        <v>0</v>
      </c>
      <c r="K114" s="151">
        <f t="shared" si="244"/>
        <v>0</v>
      </c>
      <c r="L114" s="151">
        <f t="shared" si="244"/>
        <v>0</v>
      </c>
      <c r="M114" s="180">
        <f t="shared" si="244"/>
        <v>0</v>
      </c>
      <c r="N114" s="151">
        <f t="shared" si="244"/>
        <v>0</v>
      </c>
      <c r="O114" s="151">
        <f t="shared" si="244"/>
        <v>0</v>
      </c>
      <c r="P114" s="151">
        <f t="shared" si="244"/>
        <v>0</v>
      </c>
      <c r="Q114" s="151">
        <f t="shared" si="244"/>
        <v>0</v>
      </c>
      <c r="R114" s="118" t="e">
        <f t="shared" si="211"/>
        <v>#DIV/0!</v>
      </c>
      <c r="S114" s="20"/>
      <c r="T114" s="151">
        <f t="shared" ref="T114:AC114" si="245">T43/T35</f>
        <v>0</v>
      </c>
      <c r="U114" s="151">
        <f t="shared" si="245"/>
        <v>0</v>
      </c>
      <c r="V114" s="151">
        <f t="shared" si="245"/>
        <v>0</v>
      </c>
      <c r="W114" s="151">
        <f t="shared" si="245"/>
        <v>0</v>
      </c>
      <c r="X114" s="151">
        <f t="shared" si="245"/>
        <v>0</v>
      </c>
      <c r="Y114" s="151">
        <f t="shared" si="245"/>
        <v>0</v>
      </c>
      <c r="Z114" s="151">
        <f t="shared" si="245"/>
        <v>0</v>
      </c>
      <c r="AA114" s="151">
        <f t="shared" si="245"/>
        <v>0</v>
      </c>
      <c r="AB114" s="151">
        <f t="shared" si="245"/>
        <v>0</v>
      </c>
      <c r="AC114" s="151">
        <f t="shared" si="245"/>
        <v>0</v>
      </c>
      <c r="AD114" s="137" t="e">
        <f t="shared" si="213"/>
        <v>#DIV/0!</v>
      </c>
      <c r="AE114" s="20"/>
      <c r="AF114" s="20"/>
    </row>
    <row r="115" spans="2:32">
      <c r="B115" s="20" t="s">
        <v>330</v>
      </c>
      <c r="C115" s="151"/>
      <c r="D115" s="151"/>
      <c r="E115" s="151"/>
      <c r="F115" s="151"/>
      <c r="G115" s="151">
        <f t="shared" ref="G115:Q115" si="246">G44/G35</f>
        <v>0</v>
      </c>
      <c r="H115" s="151">
        <f t="shared" si="246"/>
        <v>0</v>
      </c>
      <c r="I115" s="151">
        <f t="shared" si="246"/>
        <v>0</v>
      </c>
      <c r="J115" s="151">
        <f t="shared" si="246"/>
        <v>0</v>
      </c>
      <c r="K115" s="151">
        <f t="shared" si="246"/>
        <v>0</v>
      </c>
      <c r="L115" s="151">
        <f t="shared" si="246"/>
        <v>0</v>
      </c>
      <c r="M115" s="180">
        <f t="shared" si="246"/>
        <v>0</v>
      </c>
      <c r="N115" s="151">
        <f t="shared" si="246"/>
        <v>0</v>
      </c>
      <c r="O115" s="151">
        <f t="shared" si="246"/>
        <v>0</v>
      </c>
      <c r="P115" s="151">
        <f t="shared" si="246"/>
        <v>0</v>
      </c>
      <c r="Q115" s="151">
        <f t="shared" si="246"/>
        <v>0</v>
      </c>
      <c r="R115" s="118" t="e">
        <f t="shared" si="211"/>
        <v>#DIV/0!</v>
      </c>
      <c r="S115" s="20"/>
      <c r="T115" s="151">
        <f t="shared" ref="T115:AC115" si="247">T44/T35</f>
        <v>0</v>
      </c>
      <c r="U115" s="151">
        <f t="shared" si="247"/>
        <v>0</v>
      </c>
      <c r="V115" s="151">
        <f t="shared" si="247"/>
        <v>0</v>
      </c>
      <c r="W115" s="151">
        <f t="shared" si="247"/>
        <v>0</v>
      </c>
      <c r="X115" s="151">
        <f t="shared" si="247"/>
        <v>0</v>
      </c>
      <c r="Y115" s="151">
        <f t="shared" si="247"/>
        <v>0</v>
      </c>
      <c r="Z115" s="151">
        <f t="shared" si="247"/>
        <v>0</v>
      </c>
      <c r="AA115" s="151">
        <f t="shared" si="247"/>
        <v>0</v>
      </c>
      <c r="AB115" s="151">
        <f t="shared" si="247"/>
        <v>0</v>
      </c>
      <c r="AC115" s="151">
        <f t="shared" si="247"/>
        <v>0</v>
      </c>
      <c r="AD115" s="137" t="e">
        <f t="shared" si="213"/>
        <v>#DIV/0!</v>
      </c>
      <c r="AE115" s="20"/>
      <c r="AF115" s="20"/>
    </row>
    <row r="116" spans="2:32">
      <c r="B116" s="20"/>
      <c r="C116" s="20"/>
      <c r="D116" s="20"/>
      <c r="E116" s="20"/>
      <c r="F116" s="20"/>
      <c r="G116" s="151"/>
      <c r="H116" s="151"/>
      <c r="I116" s="151"/>
      <c r="J116" s="151"/>
      <c r="K116" s="151"/>
      <c r="L116" s="151"/>
      <c r="M116" s="180"/>
      <c r="N116" s="151"/>
      <c r="O116" s="151"/>
      <c r="P116" s="151"/>
      <c r="Q116" s="151"/>
      <c r="R116" s="127"/>
      <c r="S116" s="20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27"/>
      <c r="AE116" s="20"/>
      <c r="AF116" s="20"/>
    </row>
    <row r="117" spans="2:32">
      <c r="B117" s="20" t="s">
        <v>354</v>
      </c>
      <c r="C117" s="20"/>
      <c r="D117" s="20"/>
      <c r="E117" s="20"/>
      <c r="F117" s="20"/>
      <c r="G117" s="151">
        <f t="shared" ref="G117:Q117" si="248">G37/G35</f>
        <v>0.82817869415807566</v>
      </c>
      <c r="H117" s="151">
        <f t="shared" si="248"/>
        <v>0.88926940639269403</v>
      </c>
      <c r="I117" s="151">
        <f t="shared" si="248"/>
        <v>0.82272117962466484</v>
      </c>
      <c r="J117" s="151">
        <f t="shared" si="248"/>
        <v>0.87889273356401387</v>
      </c>
      <c r="K117" s="151">
        <f t="shared" si="248"/>
        <v>0.87508141200989975</v>
      </c>
      <c r="L117" s="151">
        <f t="shared" si="248"/>
        <v>0.90906558975073115</v>
      </c>
      <c r="M117" s="180">
        <f t="shared" si="248"/>
        <v>0.85743424584004291</v>
      </c>
      <c r="N117" s="151">
        <f t="shared" si="248"/>
        <v>0.85816308081721204</v>
      </c>
      <c r="O117" s="151">
        <f t="shared" si="248"/>
        <v>0.85783447321908857</v>
      </c>
      <c r="P117" s="151">
        <f t="shared" si="248"/>
        <v>0.86181818181818182</v>
      </c>
      <c r="Q117" s="151">
        <f t="shared" si="248"/>
        <v>0.85452860782951123</v>
      </c>
      <c r="R117" s="118">
        <f t="shared" si="211"/>
        <v>3.4861777115569037E-3</v>
      </c>
      <c r="S117" s="20"/>
      <c r="T117" s="151">
        <f t="shared" ref="T117:AC117" si="249">T37/T35</f>
        <v>0.85452860782951123</v>
      </c>
      <c r="U117" s="151">
        <f t="shared" si="249"/>
        <v>0.85452860782951123</v>
      </c>
      <c r="V117" s="151">
        <f t="shared" si="249"/>
        <v>0.85452860782951123</v>
      </c>
      <c r="W117" s="151">
        <f t="shared" si="249"/>
        <v>0.85452860782951123</v>
      </c>
      <c r="X117" s="151">
        <f t="shared" si="249"/>
        <v>0.85452860782951123</v>
      </c>
      <c r="Y117" s="151">
        <f t="shared" si="249"/>
        <v>0.85452860782951123</v>
      </c>
      <c r="Z117" s="151">
        <f t="shared" si="249"/>
        <v>0.85452860782951123</v>
      </c>
      <c r="AA117" s="151">
        <f t="shared" si="249"/>
        <v>0.85452860782951123</v>
      </c>
      <c r="AB117" s="151">
        <f t="shared" si="249"/>
        <v>0.85452860782951123</v>
      </c>
      <c r="AC117" s="151">
        <f t="shared" si="249"/>
        <v>0.85452860782951123</v>
      </c>
      <c r="AD117" s="137">
        <f t="shared" si="213"/>
        <v>1.5672786855793763E-3</v>
      </c>
      <c r="AE117" s="20"/>
      <c r="AF117" s="20"/>
    </row>
    <row r="118" spans="2:32">
      <c r="B118" s="20" t="str">
        <f>B45</f>
        <v>Top Expenses ( Interest Out-go )</v>
      </c>
      <c r="C118" s="20"/>
      <c r="D118" s="20"/>
      <c r="E118" s="20"/>
      <c r="F118" s="20"/>
      <c r="G118" s="151">
        <f t="shared" ref="G118:Q118" si="250">G45/G35</f>
        <v>0</v>
      </c>
      <c r="H118" s="151">
        <f t="shared" si="250"/>
        <v>0</v>
      </c>
      <c r="I118" s="151">
        <f t="shared" si="250"/>
        <v>0</v>
      </c>
      <c r="J118" s="151">
        <f t="shared" si="250"/>
        <v>0</v>
      </c>
      <c r="K118" s="151">
        <f t="shared" si="250"/>
        <v>0</v>
      </c>
      <c r="L118" s="151">
        <f t="shared" si="250"/>
        <v>0</v>
      </c>
      <c r="M118" s="180">
        <f t="shared" si="250"/>
        <v>0</v>
      </c>
      <c r="N118" s="151">
        <f t="shared" si="250"/>
        <v>0</v>
      </c>
      <c r="O118" s="151">
        <f t="shared" si="250"/>
        <v>0</v>
      </c>
      <c r="P118" s="151">
        <f t="shared" si="250"/>
        <v>0</v>
      </c>
      <c r="Q118" s="151">
        <f t="shared" si="250"/>
        <v>0</v>
      </c>
      <c r="R118" s="118" t="e">
        <f t="shared" si="211"/>
        <v>#DIV/0!</v>
      </c>
      <c r="S118" s="20"/>
      <c r="T118" s="151">
        <f t="shared" ref="T118:AC118" si="251">T45/T35</f>
        <v>0</v>
      </c>
      <c r="U118" s="151">
        <f t="shared" si="251"/>
        <v>0</v>
      </c>
      <c r="V118" s="151">
        <f t="shared" si="251"/>
        <v>0</v>
      </c>
      <c r="W118" s="151">
        <f t="shared" si="251"/>
        <v>0</v>
      </c>
      <c r="X118" s="151">
        <f t="shared" si="251"/>
        <v>0</v>
      </c>
      <c r="Y118" s="151">
        <f t="shared" si="251"/>
        <v>0</v>
      </c>
      <c r="Z118" s="151">
        <f t="shared" si="251"/>
        <v>0</v>
      </c>
      <c r="AA118" s="151">
        <f t="shared" si="251"/>
        <v>0</v>
      </c>
      <c r="AB118" s="151">
        <f t="shared" si="251"/>
        <v>0</v>
      </c>
      <c r="AC118" s="151">
        <f t="shared" si="251"/>
        <v>0</v>
      </c>
      <c r="AD118" s="137" t="e">
        <f t="shared" si="213"/>
        <v>#DIV/0!</v>
      </c>
      <c r="AE118" s="20"/>
      <c r="AF118" s="20"/>
    </row>
    <row r="119" spans="2:32">
      <c r="B119" s="20" t="str">
        <f>B46</f>
        <v>2nd highest Expenses Comp. ( Empl )</v>
      </c>
      <c r="C119" s="20"/>
      <c r="D119" s="20"/>
      <c r="E119" s="20"/>
      <c r="F119" s="20"/>
      <c r="G119" s="151">
        <f t="shared" ref="G119:Q119" si="252">G46/G35</f>
        <v>0</v>
      </c>
      <c r="H119" s="151">
        <f t="shared" si="252"/>
        <v>0</v>
      </c>
      <c r="I119" s="151">
        <f t="shared" si="252"/>
        <v>0</v>
      </c>
      <c r="J119" s="151">
        <f t="shared" si="252"/>
        <v>0</v>
      </c>
      <c r="K119" s="151">
        <f t="shared" si="252"/>
        <v>0</v>
      </c>
      <c r="L119" s="151">
        <f t="shared" si="252"/>
        <v>0</v>
      </c>
      <c r="M119" s="180">
        <f t="shared" si="252"/>
        <v>0</v>
      </c>
      <c r="N119" s="151">
        <f t="shared" si="252"/>
        <v>0</v>
      </c>
      <c r="O119" s="151">
        <f t="shared" si="252"/>
        <v>0</v>
      </c>
      <c r="P119" s="151">
        <f t="shared" si="252"/>
        <v>0</v>
      </c>
      <c r="Q119" s="151">
        <f t="shared" si="252"/>
        <v>0</v>
      </c>
      <c r="R119" s="118" t="e">
        <f t="shared" si="211"/>
        <v>#DIV/0!</v>
      </c>
      <c r="S119" s="20"/>
      <c r="T119" s="151">
        <f t="shared" ref="T119:AC119" si="253">T46/T35</f>
        <v>0</v>
      </c>
      <c r="U119" s="151">
        <f t="shared" si="253"/>
        <v>0</v>
      </c>
      <c r="V119" s="151">
        <f t="shared" si="253"/>
        <v>0</v>
      </c>
      <c r="W119" s="151">
        <f t="shared" si="253"/>
        <v>0</v>
      </c>
      <c r="X119" s="151">
        <f t="shared" si="253"/>
        <v>0</v>
      </c>
      <c r="Y119" s="151">
        <f t="shared" si="253"/>
        <v>0</v>
      </c>
      <c r="Z119" s="151">
        <f t="shared" si="253"/>
        <v>0</v>
      </c>
      <c r="AA119" s="151">
        <f t="shared" si="253"/>
        <v>0</v>
      </c>
      <c r="AB119" s="151">
        <f t="shared" si="253"/>
        <v>0</v>
      </c>
      <c r="AC119" s="151">
        <f t="shared" si="253"/>
        <v>0</v>
      </c>
      <c r="AD119" s="137" t="e">
        <f t="shared" si="213"/>
        <v>#DIV/0!</v>
      </c>
      <c r="AE119" s="20"/>
      <c r="AF119" s="20"/>
    </row>
    <row r="120" spans="2:3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17"/>
      <c r="N120" s="20"/>
      <c r="O120" s="20"/>
      <c r="P120" s="20"/>
      <c r="Q120" s="20"/>
      <c r="R120" s="127"/>
      <c r="S120" s="127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38"/>
      <c r="AE120" s="20"/>
      <c r="AF120" s="20"/>
    </row>
    <row r="121" spans="2:32">
      <c r="B121" s="108" t="s">
        <v>372</v>
      </c>
      <c r="C121" s="20"/>
      <c r="D121" s="20"/>
      <c r="E121" s="20"/>
      <c r="F121" s="20"/>
      <c r="G121" s="25"/>
      <c r="H121" s="25"/>
      <c r="I121" s="25"/>
      <c r="J121" s="25"/>
      <c r="K121" s="25"/>
      <c r="L121" s="25"/>
      <c r="M121" s="197"/>
      <c r="N121" s="25"/>
      <c r="O121" s="25"/>
      <c r="P121" s="25"/>
      <c r="Q121" s="25"/>
      <c r="R121" s="127"/>
      <c r="S121" s="127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127"/>
      <c r="AE121" s="20"/>
      <c r="AF121" s="20"/>
    </row>
    <row r="122" spans="2:32">
      <c r="B122" s="20" t="s">
        <v>373</v>
      </c>
      <c r="C122" s="20"/>
      <c r="D122" s="20"/>
      <c r="E122" s="20"/>
      <c r="F122" s="20"/>
      <c r="G122" s="20" t="e">
        <f>#REF!/G9</f>
        <v>#REF!</v>
      </c>
      <c r="H122" s="20" t="e">
        <f>#REF!/H9</f>
        <v>#REF!</v>
      </c>
      <c r="I122" s="20" t="e">
        <f>#REF!/I9</f>
        <v>#REF!</v>
      </c>
      <c r="J122" s="20" t="e">
        <f>#REF!/J9</f>
        <v>#REF!</v>
      </c>
      <c r="K122" s="20" t="e">
        <f>#REF!/K9</f>
        <v>#REF!</v>
      </c>
      <c r="L122" s="20" t="e">
        <f>#REF!/L9</f>
        <v>#REF!</v>
      </c>
      <c r="M122" s="217" t="e">
        <f>#REF!/M9</f>
        <v>#REF!</v>
      </c>
      <c r="N122" s="20" t="e">
        <f>#REF!/N9</f>
        <v>#REF!</v>
      </c>
      <c r="O122" s="20" t="e">
        <f>#REF!/O9</f>
        <v>#REF!</v>
      </c>
      <c r="P122" s="20" t="e">
        <f>#REF!/P9</f>
        <v>#REF!</v>
      </c>
      <c r="Q122" s="20" t="e">
        <f>#REF!/Q9</f>
        <v>#REF!</v>
      </c>
      <c r="R122" s="118" t="e">
        <f t="shared" si="211"/>
        <v>#REF!</v>
      </c>
      <c r="S122" s="20"/>
      <c r="T122" s="20" t="e">
        <f>#REF!/T9</f>
        <v>#REF!</v>
      </c>
      <c r="U122" s="20" t="e">
        <f>#REF!/U9</f>
        <v>#REF!</v>
      </c>
      <c r="V122" s="20" t="e">
        <f>#REF!/V9</f>
        <v>#REF!</v>
      </c>
      <c r="W122" s="20" t="e">
        <f>#REF!/W9</f>
        <v>#REF!</v>
      </c>
      <c r="X122" s="20" t="e">
        <f>#REF!/X9</f>
        <v>#REF!</v>
      </c>
      <c r="Y122" s="20" t="e">
        <f>#REF!/Y9</f>
        <v>#REF!</v>
      </c>
      <c r="Z122" s="20" t="e">
        <f>#REF!/Z9</f>
        <v>#REF!</v>
      </c>
      <c r="AA122" s="20" t="e">
        <f>#REF!/AA9</f>
        <v>#REF!</v>
      </c>
      <c r="AB122" s="20" t="e">
        <f>#REF!/AB9</f>
        <v>#REF!</v>
      </c>
      <c r="AC122" s="20" t="e">
        <f>#REF!/AC9</f>
        <v>#REF!</v>
      </c>
      <c r="AD122" s="137" t="e">
        <f t="shared" si="213"/>
        <v>#REF!</v>
      </c>
      <c r="AE122" s="20"/>
      <c r="AF122" s="20"/>
    </row>
    <row r="123" spans="2:32">
      <c r="B123" s="20" t="s">
        <v>355</v>
      </c>
      <c r="C123" s="20"/>
      <c r="D123" s="20"/>
      <c r="E123" s="20"/>
      <c r="F123" s="20"/>
      <c r="G123" s="20" t="e">
        <f t="shared" ref="G123:Q123" si="254">G12/G9</f>
        <v>#DIV/0!</v>
      </c>
      <c r="H123" s="20" t="e">
        <f t="shared" si="254"/>
        <v>#DIV/0!</v>
      </c>
      <c r="I123" s="20" t="e">
        <f t="shared" si="254"/>
        <v>#DIV/0!</v>
      </c>
      <c r="J123" s="20" t="e">
        <f t="shared" si="254"/>
        <v>#DIV/0!</v>
      </c>
      <c r="K123" s="20" t="e">
        <f t="shared" si="254"/>
        <v>#DIV/0!</v>
      </c>
      <c r="L123" s="20" t="e">
        <f t="shared" si="254"/>
        <v>#DIV/0!</v>
      </c>
      <c r="M123" s="217" t="e">
        <f t="shared" si="254"/>
        <v>#DIV/0!</v>
      </c>
      <c r="N123" s="20" t="e">
        <f t="shared" si="254"/>
        <v>#DIV/0!</v>
      </c>
      <c r="O123" s="20" t="e">
        <f t="shared" si="254"/>
        <v>#DIV/0!</v>
      </c>
      <c r="P123" s="20" t="e">
        <f t="shared" si="254"/>
        <v>#DIV/0!</v>
      </c>
      <c r="Q123" s="20" t="e">
        <f t="shared" si="254"/>
        <v>#DIV/0!</v>
      </c>
      <c r="R123" s="118" t="e">
        <f t="shared" si="211"/>
        <v>#DIV/0!</v>
      </c>
      <c r="S123" s="127"/>
      <c r="T123" s="20" t="e">
        <f t="shared" ref="T123:AC123" si="255">T12/T9</f>
        <v>#DIV/0!</v>
      </c>
      <c r="U123" s="20" t="e">
        <f t="shared" si="255"/>
        <v>#DIV/0!</v>
      </c>
      <c r="V123" s="20" t="e">
        <f t="shared" si="255"/>
        <v>#DIV/0!</v>
      </c>
      <c r="W123" s="20" t="e">
        <f t="shared" si="255"/>
        <v>#DIV/0!</v>
      </c>
      <c r="X123" s="20" t="e">
        <f t="shared" si="255"/>
        <v>#DIV/0!</v>
      </c>
      <c r="Y123" s="20" t="e">
        <f t="shared" si="255"/>
        <v>#DIV/0!</v>
      </c>
      <c r="Z123" s="20" t="e">
        <f t="shared" si="255"/>
        <v>#DIV/0!</v>
      </c>
      <c r="AA123" s="20" t="e">
        <f t="shared" si="255"/>
        <v>#DIV/0!</v>
      </c>
      <c r="AB123" s="20" t="e">
        <f t="shared" si="255"/>
        <v>#DIV/0!</v>
      </c>
      <c r="AC123" s="20" t="e">
        <f t="shared" si="255"/>
        <v>#DIV/0!</v>
      </c>
      <c r="AD123" s="118" t="e">
        <f t="shared" ref="AD123" si="256">((AC123/T123)^(1/($H$2-$H$1) ))-1</f>
        <v>#DIV/0!</v>
      </c>
      <c r="AE123" s="20"/>
      <c r="AF123" s="20"/>
    </row>
    <row r="124" spans="2:32">
      <c r="B124" s="20" t="s">
        <v>357</v>
      </c>
      <c r="C124" s="20"/>
      <c r="D124" s="20"/>
      <c r="E124" s="20"/>
      <c r="F124" s="20"/>
      <c r="G124" s="25">
        <f t="shared" ref="G124:Q124" si="257">G35/360</f>
        <v>3.2333333333333334</v>
      </c>
      <c r="H124" s="25">
        <f t="shared" si="257"/>
        <v>4.8666666666666663</v>
      </c>
      <c r="I124" s="25">
        <f t="shared" si="257"/>
        <v>8.2888888888888896</v>
      </c>
      <c r="J124" s="25">
        <f t="shared" si="257"/>
        <v>12.041666666666666</v>
      </c>
      <c r="K124" s="25">
        <f t="shared" si="257"/>
        <v>21.324999999999999</v>
      </c>
      <c r="L124" s="25">
        <f t="shared" si="257"/>
        <v>19.947222222222223</v>
      </c>
      <c r="M124" s="197">
        <f t="shared" si="257"/>
        <v>25.875</v>
      </c>
      <c r="N124" s="25">
        <f t="shared" si="257"/>
        <v>30.727777777777778</v>
      </c>
      <c r="O124" s="25">
        <f t="shared" si="257"/>
        <v>36.147222222222226</v>
      </c>
      <c r="P124" s="25">
        <f t="shared" si="257"/>
        <v>44.305555555555557</v>
      </c>
      <c r="Q124" s="25">
        <f t="shared" si="257"/>
        <v>47.966666666666669</v>
      </c>
      <c r="R124" s="118">
        <f t="shared" si="211"/>
        <v>0.34940783935956654</v>
      </c>
      <c r="S124" s="127"/>
      <c r="T124" s="25">
        <f t="shared" ref="T124:AC124" si="258">T35/360</f>
        <v>59.958333333333336</v>
      </c>
      <c r="U124" s="25">
        <f t="shared" si="258"/>
        <v>74.947916666666671</v>
      </c>
      <c r="V124" s="25">
        <f t="shared" si="258"/>
        <v>93.684895833333329</v>
      </c>
      <c r="W124" s="25">
        <f t="shared" si="258"/>
        <v>117.10611979166667</v>
      </c>
      <c r="X124" s="25">
        <f t="shared" si="258"/>
        <v>146.38264973958334</v>
      </c>
      <c r="Y124" s="25">
        <f t="shared" si="258"/>
        <v>182.97831217447916</v>
      </c>
      <c r="Z124" s="25">
        <f t="shared" si="258"/>
        <v>228.72289021809897</v>
      </c>
      <c r="AA124" s="25">
        <f t="shared" si="258"/>
        <v>285.90361277262372</v>
      </c>
      <c r="AB124" s="25">
        <f t="shared" si="258"/>
        <v>357.3795159657796</v>
      </c>
      <c r="AC124" s="25">
        <f t="shared" si="258"/>
        <v>446.72439495722455</v>
      </c>
      <c r="AD124" s="118">
        <f t="shared" ref="AD124:AD131" si="259">((AC124/T124)^(1/($H$2-$H$1) ))-1</f>
        <v>0.25</v>
      </c>
      <c r="AE124" s="20"/>
      <c r="AF124" s="20"/>
    </row>
    <row r="125" spans="2:32">
      <c r="B125" s="20" t="s">
        <v>356</v>
      </c>
      <c r="C125" s="20"/>
      <c r="D125" s="20"/>
      <c r="E125" s="20"/>
      <c r="F125" s="20"/>
      <c r="G125" s="25">
        <f t="shared" ref="G125:Q125" si="260">G37/360</f>
        <v>2.6777777777777776</v>
      </c>
      <c r="H125" s="25">
        <f t="shared" si="260"/>
        <v>4.3277777777777775</v>
      </c>
      <c r="I125" s="25">
        <f t="shared" si="260"/>
        <v>6.8194444444444446</v>
      </c>
      <c r="J125" s="25">
        <f t="shared" si="260"/>
        <v>10.583333333333334</v>
      </c>
      <c r="K125" s="25">
        <f t="shared" si="260"/>
        <v>18.661111111111111</v>
      </c>
      <c r="L125" s="25">
        <f t="shared" si="260"/>
        <v>18.133333333333333</v>
      </c>
      <c r="M125" s="197">
        <f t="shared" si="260"/>
        <v>22.18611111111111</v>
      </c>
      <c r="N125" s="25">
        <f t="shared" si="260"/>
        <v>26.369444444444444</v>
      </c>
      <c r="O125" s="25">
        <f t="shared" si="260"/>
        <v>31.008333333333333</v>
      </c>
      <c r="P125" s="25">
        <f t="shared" si="260"/>
        <v>38.18333333333333</v>
      </c>
      <c r="Q125" s="25">
        <f t="shared" si="260"/>
        <v>40.988888888888887</v>
      </c>
      <c r="R125" s="118">
        <f t="shared" si="211"/>
        <v>0.35411211489294181</v>
      </c>
      <c r="S125" s="127"/>
      <c r="T125" s="25">
        <f t="shared" ref="T125:AC125" si="261">T37/360</f>
        <v>51.236111111111114</v>
      </c>
      <c r="U125" s="25">
        <f t="shared" si="261"/>
        <v>64.045138888888886</v>
      </c>
      <c r="V125" s="25">
        <f t="shared" si="261"/>
        <v>80.056423611111114</v>
      </c>
      <c r="W125" s="25">
        <f t="shared" si="261"/>
        <v>100.07052951388889</v>
      </c>
      <c r="X125" s="25">
        <f t="shared" si="261"/>
        <v>125.08816189236111</v>
      </c>
      <c r="Y125" s="25">
        <f t="shared" si="261"/>
        <v>156.36020236545139</v>
      </c>
      <c r="Z125" s="25">
        <f t="shared" si="261"/>
        <v>195.45025295681424</v>
      </c>
      <c r="AA125" s="25">
        <f t="shared" si="261"/>
        <v>244.31281619601779</v>
      </c>
      <c r="AB125" s="25">
        <f t="shared" si="261"/>
        <v>305.39102024502222</v>
      </c>
      <c r="AC125" s="25">
        <f t="shared" si="261"/>
        <v>381.73877530627783</v>
      </c>
      <c r="AD125" s="118">
        <f t="shared" si="259"/>
        <v>0.25</v>
      </c>
      <c r="AE125" s="20"/>
      <c r="AF125" s="20"/>
    </row>
    <row r="126" spans="2:32">
      <c r="B126" s="20"/>
      <c r="C126" s="20"/>
      <c r="D126" s="20"/>
      <c r="E126" s="20"/>
      <c r="F126" s="20"/>
      <c r="G126" s="25"/>
      <c r="H126" s="25"/>
      <c r="I126" s="25"/>
      <c r="J126" s="25"/>
      <c r="K126" s="25"/>
      <c r="L126" s="25"/>
      <c r="M126" s="197"/>
      <c r="N126" s="25"/>
      <c r="O126" s="25"/>
      <c r="P126" s="25"/>
      <c r="Q126" s="25"/>
      <c r="R126" s="25"/>
      <c r="S126" s="127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127"/>
      <c r="AE126" s="20"/>
      <c r="AF126" s="20"/>
    </row>
    <row r="127" spans="2:32">
      <c r="B127" s="20" t="s">
        <v>374</v>
      </c>
      <c r="C127" s="20"/>
      <c r="D127" s="20"/>
      <c r="E127" s="20"/>
      <c r="F127" s="20"/>
      <c r="G127" s="25">
        <f t="shared" ref="G127:Q127" si="262">G10/G7</f>
        <v>5.9255663430420711</v>
      </c>
      <c r="H127" s="25">
        <f t="shared" si="262"/>
        <v>5.1331521739130439</v>
      </c>
      <c r="I127" s="25">
        <f t="shared" si="262"/>
        <v>5.0549158547387067</v>
      </c>
      <c r="J127" s="25">
        <f t="shared" si="262"/>
        <v>6.0245323520392517</v>
      </c>
      <c r="K127" s="25">
        <f t="shared" si="262"/>
        <v>4.4991499489969398</v>
      </c>
      <c r="L127" s="25">
        <f t="shared" si="262"/>
        <v>3.762019957665558</v>
      </c>
      <c r="M127" s="197">
        <f t="shared" si="262"/>
        <v>4.4826114249843068</v>
      </c>
      <c r="N127" s="25">
        <f t="shared" si="262"/>
        <v>4.4900445495045007</v>
      </c>
      <c r="O127" s="25">
        <f t="shared" si="262"/>
        <v>5.075763432547352</v>
      </c>
      <c r="P127" s="25">
        <f t="shared" si="262"/>
        <v>5.6698107028230824</v>
      </c>
      <c r="Q127" s="25">
        <f t="shared" si="262"/>
        <v>4.4747432404108149</v>
      </c>
      <c r="R127" s="118">
        <f t="shared" si="211"/>
        <v>-3.0721242169344021E-2</v>
      </c>
      <c r="S127" s="127"/>
      <c r="T127" s="25">
        <f t="shared" ref="T127:AC127" si="263">T10/T7</f>
        <v>4.4747432404108149</v>
      </c>
      <c r="U127" s="25">
        <f t="shared" si="263"/>
        <v>4.4747432404108149</v>
      </c>
      <c r="V127" s="25">
        <f t="shared" si="263"/>
        <v>4.4747432404108149</v>
      </c>
      <c r="W127" s="25">
        <f t="shared" si="263"/>
        <v>4.4747432404108149</v>
      </c>
      <c r="X127" s="25">
        <f t="shared" si="263"/>
        <v>4.4747432404108149</v>
      </c>
      <c r="Y127" s="25">
        <f t="shared" si="263"/>
        <v>4.4747432404108149</v>
      </c>
      <c r="Z127" s="25">
        <f t="shared" si="263"/>
        <v>4.4747432404108149</v>
      </c>
      <c r="AA127" s="25">
        <f t="shared" si="263"/>
        <v>4.4747432404108149</v>
      </c>
      <c r="AB127" s="25">
        <f t="shared" si="263"/>
        <v>4.4747432404108149</v>
      </c>
      <c r="AC127" s="25">
        <f t="shared" si="263"/>
        <v>4.4747432404108149</v>
      </c>
      <c r="AD127" s="118">
        <f t="shared" si="259"/>
        <v>0</v>
      </c>
      <c r="AE127" s="20"/>
      <c r="AF127" s="20"/>
    </row>
    <row r="128" spans="2:32">
      <c r="B128" s="20" t="s">
        <v>358</v>
      </c>
      <c r="C128" s="20"/>
      <c r="D128" s="20"/>
      <c r="E128" s="20"/>
      <c r="F128" s="20"/>
      <c r="G128" s="25">
        <f t="shared" ref="G128:Q128" si="264">G10/(G10+G7)</f>
        <v>0.85560747663551406</v>
      </c>
      <c r="H128" s="25">
        <f t="shared" si="264"/>
        <v>0.83695170580416478</v>
      </c>
      <c r="I128" s="25">
        <f t="shared" si="264"/>
        <v>0.83484493856056174</v>
      </c>
      <c r="J128" s="25">
        <f t="shared" si="264"/>
        <v>0.85764176889160515</v>
      </c>
      <c r="K128" s="25">
        <f t="shared" si="264"/>
        <v>0.81815371297842088</v>
      </c>
      <c r="L128" s="25">
        <f t="shared" si="264"/>
        <v>0.79000508001016001</v>
      </c>
      <c r="M128" s="197">
        <f t="shared" si="264"/>
        <v>0.81760516613616063</v>
      </c>
      <c r="N128" s="25">
        <f t="shared" si="264"/>
        <v>0.81785211559162041</v>
      </c>
      <c r="O128" s="25">
        <f t="shared" si="264"/>
        <v>0.83541162997836871</v>
      </c>
      <c r="P128" s="25">
        <f t="shared" si="264"/>
        <v>0.85007070746749425</v>
      </c>
      <c r="Q128" s="25">
        <f t="shared" si="264"/>
        <v>0.81734303215926496</v>
      </c>
      <c r="R128" s="118">
        <f t="shared" si="211"/>
        <v>-5.0707491137340632E-3</v>
      </c>
      <c r="S128" s="127"/>
      <c r="T128" s="25">
        <f t="shared" ref="T128:AC128" si="265">T10/(T10+T7)</f>
        <v>0.81734303215926496</v>
      </c>
      <c r="U128" s="25">
        <f t="shared" si="265"/>
        <v>0.81734303215926496</v>
      </c>
      <c r="V128" s="25">
        <f t="shared" si="265"/>
        <v>0.81734303215926496</v>
      </c>
      <c r="W128" s="25">
        <f t="shared" si="265"/>
        <v>0.81734303215926496</v>
      </c>
      <c r="X128" s="25">
        <f t="shared" si="265"/>
        <v>0.81734303215926496</v>
      </c>
      <c r="Y128" s="25">
        <f t="shared" si="265"/>
        <v>0.81734303215926496</v>
      </c>
      <c r="Z128" s="25">
        <f t="shared" si="265"/>
        <v>0.81734303215926496</v>
      </c>
      <c r="AA128" s="25">
        <f t="shared" si="265"/>
        <v>0.81734303215926496</v>
      </c>
      <c r="AB128" s="25">
        <f t="shared" si="265"/>
        <v>0.81734303215926496</v>
      </c>
      <c r="AC128" s="25">
        <f t="shared" si="265"/>
        <v>0.81734303215926496</v>
      </c>
      <c r="AD128" s="118">
        <f t="shared" si="259"/>
        <v>0</v>
      </c>
      <c r="AE128" s="20"/>
      <c r="AF128" s="20"/>
    </row>
    <row r="129" spans="2:3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197"/>
      <c r="N129" s="25"/>
      <c r="O129" s="25"/>
      <c r="P129" s="25"/>
      <c r="Q129" s="25"/>
      <c r="R129" s="25"/>
      <c r="S129" s="127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7"/>
      <c r="AE129" s="20"/>
      <c r="AF129" s="20"/>
    </row>
    <row r="130" spans="2:32">
      <c r="B130" s="20" t="s">
        <v>375</v>
      </c>
      <c r="C130" s="20"/>
      <c r="D130" s="20"/>
      <c r="E130" s="20"/>
      <c r="F130" s="20"/>
      <c r="G130" s="25" t="e">
        <f>#REF!</f>
        <v>#REF!</v>
      </c>
      <c r="H130" s="25" t="e">
        <f>#REF!</f>
        <v>#REF!</v>
      </c>
      <c r="I130" s="25" t="e">
        <f>#REF!</f>
        <v>#REF!</v>
      </c>
      <c r="J130" s="25" t="e">
        <f>#REF!</f>
        <v>#REF!</v>
      </c>
      <c r="K130" s="25" t="e">
        <f>#REF!</f>
        <v>#REF!</v>
      </c>
      <c r="L130" s="25" t="e">
        <f>#REF!</f>
        <v>#REF!</v>
      </c>
      <c r="M130" s="197" t="e">
        <f>#REF!</f>
        <v>#REF!</v>
      </c>
      <c r="N130" s="25" t="e">
        <f>#REF!</f>
        <v>#REF!</v>
      </c>
      <c r="O130" s="25" t="e">
        <f>#REF!</f>
        <v>#REF!</v>
      </c>
      <c r="P130" s="25" t="e">
        <f>#REF!</f>
        <v>#REF!</v>
      </c>
      <c r="Q130" s="25" t="e">
        <f>#REF!</f>
        <v>#REF!</v>
      </c>
      <c r="R130" s="118" t="e">
        <f t="shared" si="211"/>
        <v>#REF!</v>
      </c>
      <c r="S130" s="127"/>
      <c r="T130" s="25" t="e">
        <f>#REF!</f>
        <v>#REF!</v>
      </c>
      <c r="U130" s="25" t="e">
        <f>#REF!</f>
        <v>#REF!</v>
      </c>
      <c r="V130" s="25" t="e">
        <f>#REF!</f>
        <v>#REF!</v>
      </c>
      <c r="W130" s="25" t="e">
        <f>#REF!</f>
        <v>#REF!</v>
      </c>
      <c r="X130" s="25" t="e">
        <f>#REF!</f>
        <v>#REF!</v>
      </c>
      <c r="Y130" s="25" t="e">
        <f>#REF!</f>
        <v>#REF!</v>
      </c>
      <c r="Z130" s="25" t="e">
        <f>#REF!</f>
        <v>#REF!</v>
      </c>
      <c r="AA130" s="25" t="e">
        <f>#REF!</f>
        <v>#REF!</v>
      </c>
      <c r="AB130" s="25" t="e">
        <f>#REF!</f>
        <v>#REF!</v>
      </c>
      <c r="AC130" s="25" t="e">
        <f>#REF!</f>
        <v>#REF!</v>
      </c>
      <c r="AD130" s="118" t="e">
        <f t="shared" si="259"/>
        <v>#REF!</v>
      </c>
      <c r="AE130" s="20"/>
      <c r="AF130" s="20"/>
    </row>
    <row r="131" spans="2:32">
      <c r="B131" s="20" t="s">
        <v>376</v>
      </c>
      <c r="C131" s="20"/>
      <c r="D131" s="20"/>
      <c r="E131" s="20"/>
      <c r="F131" s="20"/>
      <c r="G131" s="119" t="e">
        <f t="shared" ref="G131:Q131" si="266">G130*365/G39</f>
        <v>#REF!</v>
      </c>
      <c r="H131" s="119" t="e">
        <f t="shared" si="266"/>
        <v>#REF!</v>
      </c>
      <c r="I131" s="119" t="e">
        <f t="shared" si="266"/>
        <v>#REF!</v>
      </c>
      <c r="J131" s="119" t="e">
        <f t="shared" si="266"/>
        <v>#REF!</v>
      </c>
      <c r="K131" s="119" t="e">
        <f t="shared" si="266"/>
        <v>#REF!</v>
      </c>
      <c r="L131" s="119" t="e">
        <f t="shared" si="266"/>
        <v>#REF!</v>
      </c>
      <c r="M131" s="119" t="e">
        <f t="shared" si="266"/>
        <v>#REF!</v>
      </c>
      <c r="N131" s="119" t="e">
        <f t="shared" si="266"/>
        <v>#REF!</v>
      </c>
      <c r="O131" s="119" t="e">
        <f t="shared" si="266"/>
        <v>#REF!</v>
      </c>
      <c r="P131" s="119" t="e">
        <f t="shared" si="266"/>
        <v>#REF!</v>
      </c>
      <c r="Q131" s="119" t="e">
        <f t="shared" si="266"/>
        <v>#REF!</v>
      </c>
      <c r="R131" s="118" t="e">
        <f t="shared" si="211"/>
        <v>#REF!</v>
      </c>
      <c r="S131" s="127"/>
      <c r="T131" s="119" t="e">
        <f t="shared" ref="T131:AC131" si="267">T130*365/T39</f>
        <v>#REF!</v>
      </c>
      <c r="U131" s="119" t="e">
        <f t="shared" si="267"/>
        <v>#REF!</v>
      </c>
      <c r="V131" s="119" t="e">
        <f t="shared" si="267"/>
        <v>#REF!</v>
      </c>
      <c r="W131" s="119" t="e">
        <f t="shared" si="267"/>
        <v>#REF!</v>
      </c>
      <c r="X131" s="119" t="e">
        <f t="shared" si="267"/>
        <v>#REF!</v>
      </c>
      <c r="Y131" s="119" t="e">
        <f t="shared" si="267"/>
        <v>#REF!</v>
      </c>
      <c r="Z131" s="119" t="e">
        <f t="shared" si="267"/>
        <v>#REF!</v>
      </c>
      <c r="AA131" s="119" t="e">
        <f t="shared" si="267"/>
        <v>#REF!</v>
      </c>
      <c r="AB131" s="119" t="e">
        <f t="shared" si="267"/>
        <v>#REF!</v>
      </c>
      <c r="AC131" s="119" t="e">
        <f t="shared" si="267"/>
        <v>#REF!</v>
      </c>
      <c r="AD131" s="118" t="e">
        <f t="shared" si="259"/>
        <v>#REF!</v>
      </c>
      <c r="AE131" s="20"/>
      <c r="AF131" s="20"/>
    </row>
    <row r="132" spans="2:32">
      <c r="B132" s="20" t="s">
        <v>377</v>
      </c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197"/>
      <c r="N132" s="25"/>
      <c r="O132" s="25"/>
      <c r="P132" s="25"/>
      <c r="Q132" s="25"/>
      <c r="R132" s="118" t="e">
        <f t="shared" si="211"/>
        <v>#DIV/0!</v>
      </c>
      <c r="S132" s="127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>
      <c r="B133" s="20"/>
      <c r="C133" s="20"/>
      <c r="D133" s="20"/>
      <c r="E133" s="20"/>
      <c r="F133" s="20"/>
      <c r="G133" s="25"/>
      <c r="H133" s="25"/>
      <c r="I133" s="25"/>
      <c r="J133" s="25"/>
      <c r="K133" s="25"/>
      <c r="L133" s="25"/>
      <c r="M133" s="197"/>
      <c r="N133" s="25"/>
      <c r="O133" s="25"/>
      <c r="P133" s="25"/>
      <c r="Q133" s="25"/>
      <c r="R133" s="25"/>
      <c r="S133" s="127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127"/>
      <c r="AE133" s="20"/>
      <c r="AF133" s="20"/>
    </row>
    <row r="134" spans="2:32">
      <c r="B134" s="20" t="s">
        <v>378</v>
      </c>
      <c r="C134" s="20"/>
      <c r="D134" s="20"/>
      <c r="E134" s="20"/>
      <c r="F134" s="20"/>
      <c r="G134" s="25">
        <f t="shared" ref="G134:Q134" si="268">G39/G35</f>
        <v>0.45360824742268041</v>
      </c>
      <c r="H134" s="25">
        <f t="shared" si="268"/>
        <v>0.55707762557077622</v>
      </c>
      <c r="I134" s="25">
        <f t="shared" si="268"/>
        <v>0.60321715817694366</v>
      </c>
      <c r="J134" s="25">
        <f t="shared" si="268"/>
        <v>0.54279123414071506</v>
      </c>
      <c r="K134" s="25">
        <f t="shared" si="268"/>
        <v>0.52481438061742869</v>
      </c>
      <c r="L134" s="25">
        <f t="shared" si="268"/>
        <v>0.39186742793482804</v>
      </c>
      <c r="M134" s="197">
        <f t="shared" si="268"/>
        <v>0.50606548577563071</v>
      </c>
      <c r="N134" s="25">
        <f t="shared" si="268"/>
        <v>0.46004339179171938</v>
      </c>
      <c r="O134" s="25">
        <f t="shared" si="268"/>
        <v>0.34911242603550297</v>
      </c>
      <c r="P134" s="25">
        <f t="shared" si="268"/>
        <v>0.32050156739811914</v>
      </c>
      <c r="Q134" s="25">
        <f t="shared" si="268"/>
        <v>0.30588371554320132</v>
      </c>
      <c r="R134" s="118">
        <f t="shared" si="211"/>
        <v>-4.2836438070682825E-2</v>
      </c>
      <c r="S134" s="127"/>
      <c r="T134" s="25">
        <f t="shared" ref="T134:AC134" si="269">T39/T35</f>
        <v>0.26917766967801715</v>
      </c>
      <c r="U134" s="25">
        <f t="shared" si="269"/>
        <v>0.23687634931665513</v>
      </c>
      <c r="V134" s="25">
        <f t="shared" si="269"/>
        <v>0.20845118739865651</v>
      </c>
      <c r="W134" s="25">
        <f t="shared" si="269"/>
        <v>0.18343704491081775</v>
      </c>
      <c r="X134" s="25">
        <f t="shared" si="269"/>
        <v>0.16142459952151963</v>
      </c>
      <c r="Y134" s="25">
        <f t="shared" si="269"/>
        <v>0.14205364757893726</v>
      </c>
      <c r="Z134" s="25">
        <f t="shared" si="269"/>
        <v>0.12500720986946481</v>
      </c>
      <c r="AA134" s="25">
        <f t="shared" si="269"/>
        <v>0.11000634468512904</v>
      </c>
      <c r="AB134" s="25">
        <f t="shared" si="269"/>
        <v>9.6805583322913558E-2</v>
      </c>
      <c r="AC134" s="25">
        <f t="shared" si="269"/>
        <v>8.5188913324163937E-2</v>
      </c>
      <c r="AD134" s="118">
        <f t="shared" ref="AD134:AD135" si="270">((AC134/T134)^(1/($H$2-$H$1) ))-1</f>
        <v>-0.12</v>
      </c>
      <c r="AE134" s="20"/>
      <c r="AF134" s="20"/>
    </row>
    <row r="135" spans="2:32">
      <c r="B135" s="20" t="s">
        <v>379</v>
      </c>
      <c r="C135" s="20"/>
      <c r="D135" s="20"/>
      <c r="E135" s="20"/>
      <c r="F135" s="20"/>
      <c r="G135" s="25"/>
      <c r="H135" s="25"/>
      <c r="I135" s="25"/>
      <c r="J135" s="25"/>
      <c r="K135" s="25"/>
      <c r="L135" s="25"/>
      <c r="M135" s="197"/>
      <c r="N135" s="25"/>
      <c r="O135" s="25"/>
      <c r="P135" s="25"/>
      <c r="Q135" s="25"/>
      <c r="R135" s="118" t="e">
        <f t="shared" si="211"/>
        <v>#DIV/0!</v>
      </c>
      <c r="S135" s="127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118" t="e">
        <f t="shared" si="270"/>
        <v>#DIV/0!</v>
      </c>
      <c r="AE135" s="20"/>
      <c r="AF135" s="20"/>
    </row>
    <row r="136" spans="2:3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17"/>
      <c r="N136" s="20"/>
      <c r="O136" s="20"/>
      <c r="P136" s="20"/>
      <c r="Q136" s="20"/>
      <c r="R136" s="127"/>
      <c r="S136" s="127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38"/>
      <c r="AE136" s="20"/>
      <c r="AF136" s="20"/>
    </row>
    <row r="137" spans="2:32">
      <c r="B137" s="108" t="s">
        <v>244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17"/>
      <c r="N137" s="20"/>
      <c r="O137" s="20"/>
      <c r="P137" s="20"/>
      <c r="Q137" s="20"/>
      <c r="R137" s="23"/>
      <c r="S137" s="23"/>
      <c r="T137" s="121" t="s">
        <v>66</v>
      </c>
      <c r="U137" s="20"/>
      <c r="V137" s="20"/>
      <c r="W137" s="20"/>
      <c r="X137" s="20"/>
      <c r="Y137" s="20"/>
      <c r="Z137" s="20"/>
      <c r="AA137" s="20"/>
      <c r="AB137" s="20"/>
      <c r="AC137" s="20"/>
      <c r="AD137" s="136"/>
      <c r="AE137" s="20"/>
      <c r="AF137" s="20"/>
    </row>
    <row r="138" spans="2:32">
      <c r="B138" s="23" t="s">
        <v>281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17"/>
      <c r="N138" s="20"/>
      <c r="O138" s="20"/>
      <c r="P138" s="20"/>
      <c r="Q138" s="25"/>
      <c r="R138" s="159">
        <f>AVERAGE(G65:Q65)</f>
        <v>25.071010237216992</v>
      </c>
      <c r="S138" s="23"/>
      <c r="T138" s="133"/>
      <c r="U138" s="20"/>
      <c r="V138" s="20"/>
      <c r="W138" s="20"/>
      <c r="X138" s="20"/>
      <c r="Y138" s="20"/>
      <c r="Z138" s="20"/>
      <c r="AA138" s="20"/>
      <c r="AB138" s="20"/>
      <c r="AC138" s="20"/>
      <c r="AD138" s="136"/>
      <c r="AE138" s="20"/>
      <c r="AF138" s="20"/>
    </row>
    <row r="139" spans="2:32">
      <c r="B139" s="20" t="s">
        <v>25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7"/>
      <c r="N139" s="20"/>
      <c r="O139" s="20"/>
      <c r="P139" s="20"/>
      <c r="Q139" s="20"/>
      <c r="R139" s="20"/>
      <c r="S139" s="139">
        <f>T139+U139</f>
        <v>223.76901260119635</v>
      </c>
      <c r="T139" s="132">
        <f>PV($C$1, ($AC$3-$T$3), 0, -AC65)</f>
        <v>31.180927985412602</v>
      </c>
      <c r="U139" s="132">
        <f>PV($C$1, ($AC$3-$T$3), 0, -AF65)</f>
        <v>192.58808461578374</v>
      </c>
      <c r="V139" s="20"/>
      <c r="W139" s="20"/>
      <c r="X139" s="20"/>
      <c r="Y139" s="20"/>
      <c r="Z139" s="20"/>
      <c r="AA139" s="20"/>
      <c r="AB139" s="20"/>
      <c r="AC139" s="20"/>
      <c r="AD139" s="136"/>
      <c r="AE139" s="20"/>
      <c r="AF139" s="20"/>
    </row>
    <row r="140" spans="2:3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7"/>
      <c r="N140" s="20"/>
      <c r="O140" s="20"/>
      <c r="P140" s="20"/>
      <c r="Q140" s="20"/>
      <c r="R140" s="20"/>
      <c r="S140" s="139">
        <f t="shared" ref="S140:S158" si="271">T140+U140</f>
        <v>1700.6801419678341</v>
      </c>
      <c r="T140" s="132">
        <f>PV($C$1, ($AC$3-$T$3), 0, -AC66)</f>
        <v>236.98001978240305</v>
      </c>
      <c r="U140" s="132">
        <f>PV($C$1, ($AC$3-$T$3), 0, -AF66)</f>
        <v>1463.7001221854309</v>
      </c>
      <c r="V140" s="20"/>
      <c r="W140" s="20"/>
      <c r="X140" s="20"/>
      <c r="Y140" s="20"/>
      <c r="Z140" s="20"/>
      <c r="AA140" s="20"/>
      <c r="AB140" s="20"/>
      <c r="AC140" s="20"/>
      <c r="AD140" s="136"/>
      <c r="AE140" s="20"/>
      <c r="AF140" s="20"/>
    </row>
    <row r="141" spans="2:3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7"/>
      <c r="N141" s="20"/>
      <c r="O141" s="20"/>
      <c r="P141" s="20"/>
      <c r="Q141" s="20"/>
      <c r="R141" s="20"/>
      <c r="S141" s="139">
        <f t="shared" si="271"/>
        <v>1665.5686362072317</v>
      </c>
      <c r="T141" s="132">
        <f>PV($C$1, ($AC$3-$T$3), 0, -AC67)</f>
        <v>232.08743291412245</v>
      </c>
      <c r="U141" s="132">
        <f>PV($C$1, ($AC$3-$T$3), 0, -AF67)</f>
        <v>1433.4812032931093</v>
      </c>
      <c r="V141" s="20"/>
      <c r="W141" s="20"/>
      <c r="X141" s="20"/>
      <c r="Y141" s="20"/>
      <c r="Z141" s="20"/>
      <c r="AA141" s="20"/>
      <c r="AB141" s="20"/>
      <c r="AC141" s="20"/>
      <c r="AD141" s="136"/>
      <c r="AE141" s="20"/>
      <c r="AF141" s="20"/>
    </row>
    <row r="142" spans="2:3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7"/>
      <c r="N142" s="20"/>
      <c r="O142" s="20"/>
      <c r="P142" s="20"/>
      <c r="Q142" s="20"/>
      <c r="R142" s="20"/>
      <c r="S142" s="139">
        <f t="shared" si="271"/>
        <v>7610.1069693714699</v>
      </c>
      <c r="T142" s="132">
        <f>PV($C$1, ($AC$3-$T$3), 0, -AC68)</f>
        <v>1060.4247416337294</v>
      </c>
      <c r="U142" s="132">
        <f>PV($C$1, ($AC$3-$T$3), 0, -AF68)</f>
        <v>6549.6822277377405</v>
      </c>
      <c r="V142" s="20"/>
      <c r="W142" s="20"/>
      <c r="X142" s="20"/>
      <c r="Y142" s="20"/>
      <c r="Z142" s="20"/>
      <c r="AA142" s="20"/>
      <c r="AB142" s="20"/>
      <c r="AC142" s="20"/>
      <c r="AD142" s="136"/>
      <c r="AE142" s="20"/>
      <c r="AF142" s="20"/>
    </row>
    <row r="143" spans="2:32">
      <c r="B143" s="20" t="s">
        <v>276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7"/>
      <c r="N143" s="20"/>
      <c r="O143" s="20"/>
      <c r="P143" s="20"/>
      <c r="Q143" s="20"/>
      <c r="R143" s="20"/>
      <c r="S143" s="139">
        <f t="shared" si="271"/>
        <v>0</v>
      </c>
      <c r="T143" s="132">
        <f>PV($C$1, ($AC$3-$T$3), 0, -AC74)</f>
        <v>0</v>
      </c>
      <c r="U143" s="132">
        <f>PV($C$1, ($AC$3-$T$3), 0, -AF74)</f>
        <v>0</v>
      </c>
      <c r="V143" s="20"/>
      <c r="W143" s="20"/>
      <c r="X143" s="20"/>
      <c r="Y143" s="20"/>
      <c r="Z143" s="20"/>
      <c r="AA143" s="20"/>
      <c r="AB143" s="20"/>
      <c r="AC143" s="20"/>
      <c r="AD143" s="136"/>
      <c r="AE143" s="20"/>
      <c r="AF143" s="20"/>
    </row>
    <row r="144" spans="2:32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7"/>
      <c r="N144" s="20"/>
      <c r="O144" s="20"/>
      <c r="P144" s="20"/>
      <c r="Q144" s="20"/>
      <c r="R144" s="20"/>
      <c r="S144" s="139"/>
      <c r="T144" s="132"/>
      <c r="U144" s="20"/>
      <c r="V144" s="20"/>
      <c r="W144" s="20"/>
      <c r="X144" s="20"/>
      <c r="Y144" s="20"/>
      <c r="Z144" s="20"/>
      <c r="AA144" s="20"/>
      <c r="AB144" s="20"/>
      <c r="AC144" s="20"/>
      <c r="AD144" s="136"/>
      <c r="AE144" s="20"/>
      <c r="AF144" s="20"/>
    </row>
    <row r="145" spans="2:3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7"/>
      <c r="N145" s="20"/>
      <c r="O145" s="20"/>
      <c r="P145" s="20"/>
      <c r="Q145" s="20"/>
      <c r="R145" s="20"/>
      <c r="S145" s="139">
        <f t="shared" si="271"/>
        <v>-5909.4268274036358</v>
      </c>
      <c r="T145" s="132">
        <f>PV($C$1, ($AC$3-$T$3), 0, -AC70)</f>
        <v>-823.44472185132634</v>
      </c>
      <c r="U145" s="132">
        <f>PV($C$1, ($AC$3-$T$3), 0, -$AF$70)</f>
        <v>-5085.9821055523098</v>
      </c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>
      <c r="B146" s="20" t="s">
        <v>272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7"/>
      <c r="N146" s="20"/>
      <c r="O146" s="20"/>
      <c r="P146" s="20"/>
      <c r="Q146" s="20"/>
      <c r="R146" s="20"/>
      <c r="S146" s="139">
        <f t="shared" si="271"/>
        <v>-5909.4268274036358</v>
      </c>
      <c r="T146" s="132">
        <f>PV($C$1, ($AC$3-$T$3), 0, -AC71)</f>
        <v>-823.44472185132634</v>
      </c>
      <c r="U146" s="132">
        <f>PV($C$1, ($AC$3-$T$3), 0, -$AF$71)</f>
        <v>-5085.9821055523098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>
      <c r="B147" s="20" t="s">
        <v>277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7"/>
      <c r="N147" s="20"/>
      <c r="O147" s="20"/>
      <c r="P147" s="20"/>
      <c r="Q147" s="20"/>
      <c r="R147" s="20"/>
      <c r="S147" s="139" t="e">
        <f t="shared" si="271"/>
        <v>#REF!</v>
      </c>
      <c r="T147" s="132" t="e">
        <f>PV($C$1, ($AC$3-$T$3), 0, -AC72)</f>
        <v>#REF!</v>
      </c>
      <c r="U147" s="132" t="e">
        <f>PV($C$1, ($AC$3-$T$3), 0, -$AF$72)</f>
        <v>#REF!</v>
      </c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7"/>
      <c r="N148" s="20"/>
      <c r="O148" s="20"/>
      <c r="P148" s="20"/>
      <c r="Q148" s="20"/>
      <c r="R148" s="20"/>
      <c r="S148" s="139"/>
      <c r="T148" s="132"/>
      <c r="U148" s="20"/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>
      <c r="B149" s="20" t="s">
        <v>249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7"/>
      <c r="N149" s="20"/>
      <c r="O149" s="20"/>
      <c r="P149" s="20"/>
      <c r="Q149" s="20"/>
      <c r="R149" s="20"/>
      <c r="S149" s="139" t="e">
        <f t="shared" si="271"/>
        <v>#REF!</v>
      </c>
      <c r="T149" s="132" t="e">
        <f>PV($C$1, ($AC$3-$T$3), 0, -AC77)</f>
        <v>#REF!</v>
      </c>
      <c r="U149" s="132" t="e">
        <f>PV($C$1, ($AC$3-$T$3), 0, -AF77)</f>
        <v>#REF!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>
      <c r="B150" s="20" t="s">
        <v>250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7"/>
      <c r="N150" s="20"/>
      <c r="O150" s="20"/>
      <c r="P150" s="20"/>
      <c r="Q150" s="20"/>
      <c r="R150" s="20"/>
      <c r="S150" s="139" t="e">
        <f t="shared" si="271"/>
        <v>#REF!</v>
      </c>
      <c r="T150" s="132" t="e">
        <f>PV($C$1, ($AC$3-$T$3), 0, -AC78)</f>
        <v>#REF!</v>
      </c>
      <c r="U150" s="132" t="e">
        <f>PV($C$1, ($AC$3-$T$3), 0, -AF78)</f>
        <v>#REF!</v>
      </c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7"/>
      <c r="N151" s="20"/>
      <c r="O151" s="20"/>
      <c r="P151" s="20"/>
      <c r="Q151" s="20"/>
      <c r="R151" s="20"/>
      <c r="S151" s="139"/>
      <c r="T151" s="132"/>
      <c r="U151" s="132"/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7"/>
      <c r="N152" s="20"/>
      <c r="O152" s="20"/>
      <c r="P152" s="20"/>
      <c r="Q152" s="20"/>
      <c r="R152" s="20"/>
      <c r="S152" s="139">
        <f t="shared" ref="S152" si="272">T152+U152</f>
        <v>0</v>
      </c>
      <c r="T152" s="132">
        <f>PV($C$1, ($AC$3-$T$3), 0, -AC12)</f>
        <v>0</v>
      </c>
      <c r="U152" s="132">
        <f>PV($C$1, ($AC$3-$T$3), 0, -AF12)</f>
        <v>0</v>
      </c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>
      <c r="B153" s="20" t="s">
        <v>295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7"/>
      <c r="N153" s="20"/>
      <c r="O153" s="20"/>
      <c r="P153" s="20"/>
      <c r="Q153" s="20"/>
      <c r="R153" s="20"/>
      <c r="S153" s="139">
        <f>T153+U153</f>
        <v>0</v>
      </c>
      <c r="T153" s="139">
        <f>T152/Q54</f>
        <v>0</v>
      </c>
      <c r="U153" s="139">
        <f>U152/Q54</f>
        <v>0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7"/>
      <c r="N154" s="20"/>
      <c r="O154" s="20"/>
      <c r="P154" s="20"/>
      <c r="Q154" s="20"/>
      <c r="R154" s="20"/>
      <c r="S154" s="139"/>
      <c r="T154" s="139"/>
      <c r="U154" s="139"/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>
      <c r="B155" s="108" t="s">
        <v>298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7"/>
      <c r="N155" s="20"/>
      <c r="O155" s="20"/>
      <c r="P155" s="20"/>
      <c r="Q155" s="20"/>
      <c r="R155" s="20"/>
      <c r="S155" s="139"/>
      <c r="T155" s="132"/>
      <c r="U155" s="132"/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>
      <c r="B156" s="20" t="s">
        <v>283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7"/>
      <c r="N156" s="20"/>
      <c r="O156" s="20"/>
      <c r="P156" s="20"/>
      <c r="Q156" s="20"/>
      <c r="R156" s="20"/>
      <c r="S156" s="139">
        <f t="shared" ref="S156" si="273">T156+U156</f>
        <v>7.5813479492024776</v>
      </c>
      <c r="T156" s="132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6.2370829861820072</v>
      </c>
      <c r="U156" s="132">
        <f>PV($C$1, ($AC$3-$T$3), 0, -AF80)</f>
        <v>1.3442649630204706</v>
      </c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>
      <c r="B157" s="23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7"/>
      <c r="N157" s="20"/>
      <c r="O157" s="20"/>
      <c r="P157" s="20"/>
      <c r="Q157" s="20"/>
      <c r="R157" s="20"/>
      <c r="S157" s="139"/>
      <c r="T157" s="132"/>
      <c r="U157" s="132"/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>
      <c r="B158" s="20" t="s">
        <v>291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7"/>
      <c r="N158" s="20"/>
      <c r="O158" s="20"/>
      <c r="P158" s="20"/>
      <c r="Q158" s="20"/>
      <c r="R158" s="20"/>
      <c r="S158" s="139">
        <f t="shared" si="271"/>
        <v>457955.27937939414</v>
      </c>
      <c r="T158" s="132">
        <f>PV($C$1, ($AC$3-$T$3), 0, -AC82)+PV($C$1, ($AB$3-$T$3), 0, -AC82)+PV($C$1, ($AA$3-$T$3), 0, -AC82)+PV($C$1, ($Z$3-$T$3), 0, -AC82)+PV($C$1, ($Y$3-$T$3), 0, -AC82)+PV($C$1, ($X$3-$T$3), 0, -AC82)+PV($C$1, ($W$3-$T$3), 0, -AC82)+PV($C$1, ($V$3-$T$3), 0, -AC82)+PV($C$1, ($U$3-$T$3), 0, -AC82)+PV($C$1, ($T$3-$T$3), 0, -AC82)</f>
        <v>376754.25275130878</v>
      </c>
      <c r="U158" s="132">
        <f>PV($C$1, ($AC$3-$T$3), 0, -AF82)</f>
        <v>81201.026628085325</v>
      </c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7"/>
      <c r="N159" s="20"/>
      <c r="O159" s="20"/>
      <c r="P159" s="20"/>
      <c r="Q159" s="20"/>
      <c r="R159" s="20"/>
      <c r="S159" s="139"/>
      <c r="T159" s="132"/>
      <c r="U159" s="132"/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7"/>
      <c r="N160" s="20"/>
      <c r="O160" s="20"/>
      <c r="P160" s="20"/>
      <c r="Q160" s="20"/>
      <c r="R160" s="20"/>
      <c r="S160" s="139">
        <f t="shared" ref="S160:S163" si="274">T160+U160</f>
        <v>3655.9793958383752</v>
      </c>
      <c r="T160" s="132">
        <f>PV($C$1, ($AC$3-$T$3), 0, -AC84)+PV($C$1, ($AB$3-$T$3), 0, -AC84)+PV($C$1, ($AA$3-$T$3), 0, -AC84)+PV($C$1, ($Z$3-$T$3), 0, -AC84)+PV($C$1, ($Y$3-$T$3), 0, -AC84)+PV($C$1, ($X$3-$T$3), 0, -AC84)+PV($C$1, ($W$3-$T$3), 0, -AC84)+PV($C$1, ($V$3-$T$3), 0, -AC84)+PV($C$1, ($U$3-$T$3), 0, -AC84)+PV($C$1, ($T$3-$T$3), 0, -AC84)</f>
        <v>3007.7298971635032</v>
      </c>
      <c r="U160" s="132">
        <f>PV($C$1, ($AC$3-$T$3), 0, -AF84)</f>
        <v>648.24949867487214</v>
      </c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7"/>
      <c r="N161" s="20"/>
      <c r="O161" s="20"/>
      <c r="P161" s="20"/>
      <c r="Q161" s="20"/>
      <c r="R161" s="20"/>
      <c r="S161" s="139">
        <f t="shared" si="274"/>
        <v>3893.4536845647444</v>
      </c>
      <c r="T161" s="132">
        <f>PV($C$1, ($AC$3-$T$3), 0, -AC85)+PV($C$1, ($AB$3-$T$3), 0, -AC85)+PV($C$1, ($AA$3-$T$3), 0, -AC85)+PV($C$1, ($Z$3-$T$3), 0, -AC85)+PV($C$1, ($Y$3-$T$3), 0, -AC85)+PV($C$1, ($X$3-$T$3), 0, -AC85)+PV($C$1, ($W$3-$T$3), 0, -AC85)+PV($C$1, ($V$3-$T$3), 0, -AC85)+PV($C$1, ($U$3-$T$3), 0, -AC85)+PV($C$1, ($T$3-$T$3), 0, -AC85)</f>
        <v>3203.097113626206</v>
      </c>
      <c r="U161" s="132">
        <f>PV($C$1, ($AC$3-$T$3), 0, -AF85)</f>
        <v>690.3565709385382</v>
      </c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7"/>
      <c r="N162" s="20"/>
      <c r="O162" s="20"/>
      <c r="P162" s="20"/>
      <c r="Q162" s="20"/>
      <c r="R162" s="20"/>
      <c r="S162" s="139">
        <f t="shared" si="274"/>
        <v>-237.47428872636871</v>
      </c>
      <c r="T162" s="132">
        <f>PV($C$1, ($AC$3-$T$3), 0, -AC86)+PV($C$1, ($AB$3-$T$3), 0, -AC86)+PV($C$1, ($AA$3-$T$3), 0, -AC86)+PV($C$1, ($Z$3-$T$3), 0, -AC86)+PV($C$1, ($Y$3-$T$3), 0, -AC86)+PV($C$1, ($X$3-$T$3), 0, -AC86)+PV($C$1, ($W$3-$T$3), 0, -AC86)+PV($C$1, ($V$3-$T$3), 0, -AC86)+PV($C$1, ($U$3-$T$3), 0, -AC86)+PV($C$1, ($T$3-$T$3), 0, -AC86)</f>
        <v>-195.36721646270274</v>
      </c>
      <c r="U162" s="132">
        <f>PV($C$1, ($AC$3-$T$3), 0, -AF86)</f>
        <v>-42.107072263665977</v>
      </c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>
      <c r="B163" s="20" t="s">
        <v>290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7"/>
      <c r="N163" s="20"/>
      <c r="O163" s="20"/>
      <c r="P163" s="20"/>
      <c r="Q163" s="20"/>
      <c r="R163" s="20"/>
      <c r="S163" s="139">
        <f t="shared" si="274"/>
        <v>-2664.9892401514708</v>
      </c>
      <c r="T163" s="132">
        <f>PV($C$1, ($AC$3-$T$3), 0, -AC87)+PV($C$1, ($AB$3-$T$3), 0, -AC87)+PV($C$1, ($AA$3-$T$3), 0, -AC87)+PV($C$1, ($Z$3-$T$3), 0, -AC87)+PV($C$1, ($Y$3-$T$3), 0, -AC87)+PV($C$1, ($X$3-$T$3), 0, -AC87)+PV($C$1, ($W$3-$T$3), 0, -AC87)+PV($C$1, ($V$3-$T$3), 0, -AC87)+PV($C$1, ($U$3-$T$3), 0, -AC87)+PV($C$1, ($T$3-$T$3), 0, -AC87)</f>
        <v>-2192.4543180814417</v>
      </c>
      <c r="U163" s="132">
        <f>PV($C$1, ($AC$3-$T$3), 0, -AF87)</f>
        <v>-472.53492207002927</v>
      </c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7"/>
      <c r="N164" s="20"/>
      <c r="O164" s="20"/>
      <c r="P164" s="20"/>
      <c r="Q164" s="20"/>
      <c r="R164" s="20"/>
      <c r="S164" s="139"/>
      <c r="T164" s="132"/>
      <c r="U164" s="132"/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>
      <c r="B165" s="20" t="s">
        <v>299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7"/>
      <c r="N165" s="20"/>
      <c r="O165" s="20"/>
      <c r="P165" s="20"/>
      <c r="Q165" s="20"/>
      <c r="R165" s="20"/>
      <c r="S165" s="139">
        <f>T165+U165</f>
        <v>2586.263701812311</v>
      </c>
      <c r="T165" s="132">
        <f>PV($C$1, ($AC$3-$T$3), 0, -AC88)+PV($C$1, ($AB$3-$T$3), 0, -AC88)+PV($C$1, ($AA$3-$T$3), 0, -AC88)+PV($C$1, ($Z$3-$T$3), 0, -AC88)+PV($C$1, ($Y$3-$T$3), 0, -AC88)+PV($C$1, ($X$3-$T$3), 0, -AC88)+PV($C$1, ($W$3-$T$3), 0, -AC88)+PV($C$1, ($V$3-$T$3), 0, -AC88)+PV($C$1, ($U$3-$T$3), 0, -AC88)+PV($C$1, ($T$3-$T$3), 0, -AC88)</f>
        <v>2127.6877727331507</v>
      </c>
      <c r="U165" s="132">
        <f>PV($C$1, ($AC$3-$T$3), 0, -AF88)</f>
        <v>458.57592907916006</v>
      </c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17"/>
      <c r="N166" s="187">
        <v>41729</v>
      </c>
      <c r="O166" s="217">
        <v>750</v>
      </c>
      <c r="P166" s="217"/>
      <c r="Q166" s="217"/>
      <c r="R166" s="217"/>
      <c r="S166" s="217"/>
      <c r="T166" s="183"/>
      <c r="U166" s="20"/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>
      <c r="B167" s="108" t="s">
        <v>251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17"/>
      <c r="N167" s="195" t="s">
        <v>384</v>
      </c>
      <c r="O167" s="217">
        <v>1300</v>
      </c>
      <c r="P167" s="217"/>
      <c r="Q167" s="217">
        <v>550</v>
      </c>
      <c r="R167" s="195" t="s">
        <v>385</v>
      </c>
      <c r="S167" s="195"/>
      <c r="T167" s="184"/>
      <c r="U167" s="20"/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>
      <c r="B168" s="20" t="s">
        <v>204</v>
      </c>
      <c r="C168" s="22">
        <v>0</v>
      </c>
      <c r="D168" s="22">
        <v>0</v>
      </c>
      <c r="E168" s="22">
        <v>0</v>
      </c>
      <c r="F168" s="22">
        <v>0</v>
      </c>
      <c r="G168" s="194">
        <v>380</v>
      </c>
      <c r="H168" s="194">
        <v>300</v>
      </c>
      <c r="I168" s="194">
        <v>230</v>
      </c>
      <c r="J168" s="194">
        <v>420</v>
      </c>
      <c r="K168" s="194">
        <v>537</v>
      </c>
      <c r="L168" s="194">
        <v>230</v>
      </c>
      <c r="M168" s="194">
        <v>720</v>
      </c>
      <c r="N168" s="194">
        <v>465</v>
      </c>
      <c r="O168" s="194">
        <v>511</v>
      </c>
      <c r="P168" s="194">
        <v>620</v>
      </c>
      <c r="Q168" s="194">
        <v>1300</v>
      </c>
      <c r="R168" s="118">
        <f t="shared" ref="R168:R173" si="275">((Q168/G168)^(1/($H$2-$H$1) ))-1</f>
        <v>0.14643934931947955</v>
      </c>
      <c r="S168" s="31">
        <f>L2-3%</f>
        <v>0.22</v>
      </c>
      <c r="T168" s="119">
        <f t="shared" ref="T168" si="276">Q168*(1+$S168)</f>
        <v>1586</v>
      </c>
      <c r="U168" s="119">
        <f t="shared" ref="U168:AC168" si="277">T168*(1+$S168)</f>
        <v>1934.9199999999998</v>
      </c>
      <c r="V168" s="119">
        <f t="shared" si="277"/>
        <v>2360.6023999999998</v>
      </c>
      <c r="W168" s="119">
        <f t="shared" si="277"/>
        <v>2879.9349279999997</v>
      </c>
      <c r="X168" s="119">
        <f t="shared" si="277"/>
        <v>3513.5206121599995</v>
      </c>
      <c r="Y168" s="119">
        <f t="shared" si="277"/>
        <v>4286.4951468351992</v>
      </c>
      <c r="Z168" s="119">
        <f t="shared" si="277"/>
        <v>5229.5240791389433</v>
      </c>
      <c r="AA168" s="119">
        <f t="shared" si="277"/>
        <v>6380.0193765495105</v>
      </c>
      <c r="AB168" s="119">
        <f t="shared" si="277"/>
        <v>7783.6236393904028</v>
      </c>
      <c r="AC168" s="119">
        <f t="shared" si="277"/>
        <v>9496.0208400562915</v>
      </c>
      <c r="AD168" s="137">
        <f t="shared" ref="AD168:AD173" si="278">((AC168/G168)^(1/($AC$3-$H$1) ))-1</f>
        <v>0.17459433820996773</v>
      </c>
      <c r="AE168" s="31">
        <v>0.08</v>
      </c>
      <c r="AF168" s="126">
        <f t="shared" ref="AF168:AF174" si="279">(AC168*(1+AD168))/($C$1-AE168)</f>
        <v>79671.230816099851</v>
      </c>
    </row>
    <row r="169" spans="2:32">
      <c r="B169" s="20" t="s">
        <v>383</v>
      </c>
      <c r="C169" s="25" t="e">
        <f t="shared" ref="C169:Q169" si="280">C168/C62</f>
        <v>#DIV/0!</v>
      </c>
      <c r="D169" s="25" t="e">
        <f t="shared" si="280"/>
        <v>#DIV/0!</v>
      </c>
      <c r="E169" s="25" t="e">
        <f t="shared" si="280"/>
        <v>#DIV/0!</v>
      </c>
      <c r="F169" s="25" t="e">
        <f t="shared" si="280"/>
        <v>#DIV/0!</v>
      </c>
      <c r="G169" s="25">
        <f t="shared" si="280"/>
        <v>1.9424398625429555</v>
      </c>
      <c r="H169" s="25">
        <f t="shared" si="280"/>
        <v>2.1113013698630136</v>
      </c>
      <c r="I169" s="25">
        <f t="shared" si="280"/>
        <v>2.3886394101876673</v>
      </c>
      <c r="J169" s="25">
        <f t="shared" si="280"/>
        <v>3.159446366782007</v>
      </c>
      <c r="K169" s="25">
        <f t="shared" si="280"/>
        <v>2.4104493942946466</v>
      </c>
      <c r="L169" s="25">
        <f t="shared" si="280"/>
        <v>1.1069210416376549</v>
      </c>
      <c r="M169" s="197">
        <f t="shared" si="280"/>
        <v>2.6906280193236718</v>
      </c>
      <c r="N169" s="25">
        <f t="shared" si="280"/>
        <v>3.0974918640390525</v>
      </c>
      <c r="O169" s="25">
        <f t="shared" si="280"/>
        <v>2.9085689618074233</v>
      </c>
      <c r="P169" s="25">
        <f t="shared" si="280"/>
        <v>2.9023774294670845</v>
      </c>
      <c r="Q169" s="25">
        <f t="shared" si="280"/>
        <v>5.7893212879314344</v>
      </c>
      <c r="R169" s="118">
        <f t="shared" ref="R169" si="281">((Q169/G169)^(1/($H$2-$H$1) ))-1</f>
        <v>0.12900999204440033</v>
      </c>
      <c r="S169" s="127"/>
      <c r="T169" s="25">
        <f t="shared" ref="T169:AC169" si="282">T168/T62</f>
        <v>5.9328964558721333</v>
      </c>
      <c r="U169" s="25">
        <f t="shared" si="282"/>
        <v>6.0800322879777617</v>
      </c>
      <c r="V169" s="25">
        <f t="shared" si="282"/>
        <v>6.2308170887196113</v>
      </c>
      <c r="W169" s="25">
        <f t="shared" si="282"/>
        <v>6.3853413525198581</v>
      </c>
      <c r="X169" s="25">
        <f t="shared" si="282"/>
        <v>6.5436978180623502</v>
      </c>
      <c r="Y169" s="25">
        <f t="shared" si="282"/>
        <v>6.7059815239502969</v>
      </c>
      <c r="Z169" s="25">
        <f t="shared" si="282"/>
        <v>6.872289865744265</v>
      </c>
      <c r="AA169" s="25">
        <f t="shared" si="282"/>
        <v>7.0427226544147237</v>
      </c>
      <c r="AB169" s="25">
        <f t="shared" si="282"/>
        <v>7.2173821762442083</v>
      </c>
      <c r="AC169" s="25">
        <f t="shared" si="282"/>
        <v>7.3963732542150646</v>
      </c>
      <c r="AD169" s="137">
        <f t="shared" ref="AD169" si="283">((AC169/G169)^(1/($AC$3-$H$1) ))-1</f>
        <v>6.9137497980026996E-2</v>
      </c>
      <c r="AE169" s="31">
        <v>0.08</v>
      </c>
      <c r="AF169" s="126">
        <f t="shared" ref="AF169" si="284">(AC169*(1+AD169))/($C$1-AE169)</f>
        <v>56.483857108127744</v>
      </c>
    </row>
    <row r="170" spans="2:32">
      <c r="B170" s="20" t="s">
        <v>42</v>
      </c>
      <c r="C170" s="25" t="e">
        <f t="shared" ref="C170:Q170" si="285">C168/C65</f>
        <v>#DIV/0!</v>
      </c>
      <c r="D170" s="25" t="e">
        <f t="shared" si="285"/>
        <v>#DIV/0!</v>
      </c>
      <c r="E170" s="25" t="e">
        <f t="shared" si="285"/>
        <v>#DIV/0!</v>
      </c>
      <c r="F170" s="25" t="e">
        <f t="shared" si="285"/>
        <v>#DIV/0!</v>
      </c>
      <c r="G170" s="25">
        <f t="shared" si="285"/>
        <v>11.282435129740518</v>
      </c>
      <c r="H170" s="25">
        <f t="shared" si="285"/>
        <v>19.067010309278349</v>
      </c>
      <c r="I170" s="25">
        <f t="shared" si="285"/>
        <v>13.473913043478259</v>
      </c>
      <c r="J170" s="25">
        <f t="shared" si="285"/>
        <v>26.137786259541983</v>
      </c>
      <c r="K170" s="25">
        <f t="shared" si="285"/>
        <v>19.316304801670146</v>
      </c>
      <c r="L170" s="25">
        <f t="shared" si="285"/>
        <v>12.191411042944786</v>
      </c>
      <c r="M170" s="197">
        <f t="shared" si="285"/>
        <v>18.887113790504898</v>
      </c>
      <c r="N170" s="25">
        <f t="shared" si="285"/>
        <v>21.838403441682601</v>
      </c>
      <c r="O170" s="25">
        <f t="shared" si="285"/>
        <v>20.459031297297297</v>
      </c>
      <c r="P170" s="25">
        <f t="shared" si="285"/>
        <v>21.004047186932848</v>
      </c>
      <c r="Q170" s="25">
        <f t="shared" si="285"/>
        <v>39.812823576264442</v>
      </c>
      <c r="R170" s="118">
        <f t="shared" si="275"/>
        <v>0.15039419508021368</v>
      </c>
      <c r="S170" s="127"/>
      <c r="T170" s="119">
        <f t="shared" ref="T170:AC170" si="286">T168/T65</f>
        <v>40.800181600955796</v>
      </c>
      <c r="U170" s="119">
        <f t="shared" si="286"/>
        <v>41.812026104659495</v>
      </c>
      <c r="V170" s="119">
        <f t="shared" si="286"/>
        <v>42.848964352055056</v>
      </c>
      <c r="W170" s="119">
        <f t="shared" si="286"/>
        <v>43.911618667986019</v>
      </c>
      <c r="X170" s="119">
        <f t="shared" si="286"/>
        <v>45.000626810952078</v>
      </c>
      <c r="Y170" s="119">
        <f t="shared" si="286"/>
        <v>46.116642355863689</v>
      </c>
      <c r="Z170" s="119">
        <f t="shared" si="286"/>
        <v>47.260335086289118</v>
      </c>
      <c r="AA170" s="119">
        <f t="shared" si="286"/>
        <v>48.432391396429082</v>
      </c>
      <c r="AB170" s="119">
        <f t="shared" si="286"/>
        <v>49.633514703060527</v>
      </c>
      <c r="AC170" s="119">
        <f t="shared" si="286"/>
        <v>50.864425867696433</v>
      </c>
      <c r="AD170" s="137">
        <f t="shared" si="278"/>
        <v>7.8203072498713055E-2</v>
      </c>
      <c r="AE170" s="31">
        <v>0.08</v>
      </c>
      <c r="AF170" s="126">
        <f t="shared" si="279"/>
        <v>391.72985893880934</v>
      </c>
    </row>
    <row r="171" spans="2:32">
      <c r="B171" s="20" t="s">
        <v>259</v>
      </c>
      <c r="C171" s="25" t="e">
        <f t="shared" ref="C171:Q171" si="287">C168/C67</f>
        <v>#DIV/0!</v>
      </c>
      <c r="D171" s="25" t="e">
        <f t="shared" si="287"/>
        <v>#DIV/0!</v>
      </c>
      <c r="E171" s="25" t="e">
        <f t="shared" si="287"/>
        <v>#DIV/0!</v>
      </c>
      <c r="F171" s="25" t="e">
        <f t="shared" si="287"/>
        <v>#DIV/0!</v>
      </c>
      <c r="G171" s="25">
        <f t="shared" si="287"/>
        <v>1.9226190476190479</v>
      </c>
      <c r="H171" s="25">
        <f t="shared" si="287"/>
        <v>2.7542814594192109</v>
      </c>
      <c r="I171" s="25">
        <f t="shared" si="287"/>
        <v>3.6571062083119545</v>
      </c>
      <c r="J171" s="25">
        <f t="shared" si="287"/>
        <v>4.6665076660988074</v>
      </c>
      <c r="K171" s="25">
        <f t="shared" si="287"/>
        <v>3.3774447891951085</v>
      </c>
      <c r="L171" s="25">
        <f t="shared" si="287"/>
        <v>1.268155711550734</v>
      </c>
      <c r="M171" s="197">
        <f t="shared" si="287"/>
        <v>3.2904293028751477</v>
      </c>
      <c r="N171" s="25">
        <f t="shared" si="287"/>
        <v>3.2343265055691899</v>
      </c>
      <c r="O171" s="25">
        <f t="shared" si="287"/>
        <v>3.020686983240223</v>
      </c>
      <c r="P171" s="25">
        <f t="shared" si="287"/>
        <v>3.1119198709330465</v>
      </c>
      <c r="Q171" s="25">
        <f t="shared" si="287"/>
        <v>5.348849652220439</v>
      </c>
      <c r="R171" s="118">
        <f t="shared" si="275"/>
        <v>0.1204026511257188</v>
      </c>
      <c r="S171" s="127"/>
      <c r="T171" s="119">
        <f t="shared" ref="T171:AC171" si="288">T168/T67</f>
        <v>5.481501123595506</v>
      </c>
      <c r="U171" s="119">
        <f t="shared" si="288"/>
        <v>5.6174423514606735</v>
      </c>
      <c r="V171" s="119">
        <f t="shared" si="288"/>
        <v>5.7567549217768983</v>
      </c>
      <c r="W171" s="119">
        <f t="shared" si="288"/>
        <v>5.8995224438369664</v>
      </c>
      <c r="X171" s="119">
        <f t="shared" si="288"/>
        <v>6.0458306004441233</v>
      </c>
      <c r="Y171" s="119">
        <f t="shared" si="288"/>
        <v>6.1957671993351378</v>
      </c>
      <c r="Z171" s="119">
        <f t="shared" si="288"/>
        <v>6.3494222258786497</v>
      </c>
      <c r="AA171" s="119">
        <f t="shared" si="288"/>
        <v>6.5068878970804409</v>
      </c>
      <c r="AB171" s="119">
        <f t="shared" si="288"/>
        <v>6.6682587169280358</v>
      </c>
      <c r="AC171" s="119">
        <f t="shared" si="288"/>
        <v>6.8336315331078517</v>
      </c>
      <c r="AD171" s="137">
        <f t="shared" si="278"/>
        <v>6.5461879253067234E-2</v>
      </c>
      <c r="AE171" s="31">
        <v>0.08</v>
      </c>
      <c r="AF171" s="126">
        <f t="shared" si="279"/>
        <v>52.006956395629359</v>
      </c>
    </row>
    <row r="172" spans="2:32">
      <c r="B172" s="20" t="s">
        <v>260</v>
      </c>
      <c r="C172" s="25" t="e">
        <f t="shared" ref="C172:Q172" si="289">C168/C76</f>
        <v>#DIV/0!</v>
      </c>
      <c r="D172" s="25" t="e">
        <f t="shared" si="289"/>
        <v>#DIV/0!</v>
      </c>
      <c r="E172" s="25" t="e">
        <f t="shared" si="289"/>
        <v>#DIV/0!</v>
      </c>
      <c r="F172" s="25" t="e">
        <f t="shared" si="289"/>
        <v>#DIV/0!</v>
      </c>
      <c r="G172" s="25">
        <f t="shared" si="289"/>
        <v>0.62648933222499315</v>
      </c>
      <c r="H172" s="25">
        <f t="shared" si="289"/>
        <v>1.367467652495379</v>
      </c>
      <c r="I172" s="25">
        <f t="shared" si="289"/>
        <v>1.4119849445324881</v>
      </c>
      <c r="J172" s="25">
        <f t="shared" si="289"/>
        <v>1.5004601226993866</v>
      </c>
      <c r="K172" s="25">
        <f t="shared" si="289"/>
        <v>1.4722746439653116</v>
      </c>
      <c r="L172" s="25">
        <f t="shared" si="289"/>
        <v>0.59707053256215736</v>
      </c>
      <c r="M172" s="197">
        <f t="shared" si="289"/>
        <v>1.2863477725313077</v>
      </c>
      <c r="N172" s="25">
        <f t="shared" si="289"/>
        <v>1.3154351581695332</v>
      </c>
      <c r="O172" s="25">
        <f t="shared" si="289"/>
        <v>1.1955653515699034</v>
      </c>
      <c r="P172" s="25">
        <f t="shared" si="289"/>
        <v>1.1316625516415284</v>
      </c>
      <c r="Q172" s="25">
        <f t="shared" si="289"/>
        <v>2.5771441829290298</v>
      </c>
      <c r="R172" s="118">
        <f t="shared" si="275"/>
        <v>0.17016532918261773</v>
      </c>
      <c r="S172" s="127"/>
      <c r="T172" s="119">
        <f t="shared" ref="T172:AC172" si="290">T168/T76</f>
        <v>2.64105735866567</v>
      </c>
      <c r="U172" s="119">
        <f t="shared" si="290"/>
        <v>2.7065555811605786</v>
      </c>
      <c r="V172" s="119">
        <f t="shared" si="290"/>
        <v>2.7736781595733611</v>
      </c>
      <c r="W172" s="119">
        <f t="shared" si="290"/>
        <v>2.8424653779307802</v>
      </c>
      <c r="X172" s="119">
        <f t="shared" si="290"/>
        <v>2.9129585193034639</v>
      </c>
      <c r="Y172" s="119">
        <f t="shared" si="290"/>
        <v>2.9851998905821899</v>
      </c>
      <c r="Z172" s="119">
        <f t="shared" si="290"/>
        <v>3.0592328478686284</v>
      </c>
      <c r="AA172" s="119">
        <f t="shared" si="290"/>
        <v>3.1351018224957707</v>
      </c>
      <c r="AB172" s="119">
        <f t="shared" si="290"/>
        <v>3.2128523476936657</v>
      </c>
      <c r="AC172" s="119">
        <f t="shared" si="290"/>
        <v>3.2925310859164689</v>
      </c>
      <c r="AD172" s="137">
        <f t="shared" si="278"/>
        <v>8.6502700721898362E-2</v>
      </c>
      <c r="AE172" s="31">
        <v>0.08</v>
      </c>
      <c r="AF172" s="126">
        <f t="shared" si="279"/>
        <v>25.55245655042177</v>
      </c>
    </row>
    <row r="173" spans="2:32">
      <c r="B173" s="20" t="s">
        <v>261</v>
      </c>
      <c r="C173" s="25" t="e">
        <f t="shared" ref="C173:Q173" si="291">C168/C78</f>
        <v>#REF!</v>
      </c>
      <c r="D173" s="25" t="e">
        <f t="shared" si="291"/>
        <v>#REF!</v>
      </c>
      <c r="E173" s="25" t="e">
        <f t="shared" si="291"/>
        <v>#REF!</v>
      </c>
      <c r="F173" s="25" t="e">
        <f t="shared" si="291"/>
        <v>#REF!</v>
      </c>
      <c r="G173" s="25" t="e">
        <f t="shared" si="291"/>
        <v>#REF!</v>
      </c>
      <c r="H173" s="25" t="e">
        <f t="shared" si="291"/>
        <v>#REF!</v>
      </c>
      <c r="I173" s="25" t="e">
        <f t="shared" si="291"/>
        <v>#REF!</v>
      </c>
      <c r="J173" s="25" t="e">
        <f t="shared" si="291"/>
        <v>#REF!</v>
      </c>
      <c r="K173" s="25" t="e">
        <f t="shared" si="291"/>
        <v>#REF!</v>
      </c>
      <c r="L173" s="25" t="e">
        <f t="shared" si="291"/>
        <v>#REF!</v>
      </c>
      <c r="M173" s="197" t="e">
        <f t="shared" si="291"/>
        <v>#REF!</v>
      </c>
      <c r="N173" s="25" t="e">
        <f t="shared" si="291"/>
        <v>#REF!</v>
      </c>
      <c r="O173" s="25" t="e">
        <f t="shared" si="291"/>
        <v>#REF!</v>
      </c>
      <c r="P173" s="25" t="e">
        <f t="shared" si="291"/>
        <v>#REF!</v>
      </c>
      <c r="Q173" s="25" t="e">
        <f t="shared" si="291"/>
        <v>#REF!</v>
      </c>
      <c r="R173" s="118" t="e">
        <f t="shared" si="275"/>
        <v>#REF!</v>
      </c>
      <c r="S173" s="127"/>
      <c r="T173" s="119" t="e">
        <f t="shared" ref="T173:AC173" si="292">T168/T78</f>
        <v>#REF!</v>
      </c>
      <c r="U173" s="119" t="e">
        <f t="shared" si="292"/>
        <v>#REF!</v>
      </c>
      <c r="V173" s="119" t="e">
        <f t="shared" si="292"/>
        <v>#REF!</v>
      </c>
      <c r="W173" s="119" t="e">
        <f t="shared" si="292"/>
        <v>#REF!</v>
      </c>
      <c r="X173" s="119" t="e">
        <f t="shared" si="292"/>
        <v>#REF!</v>
      </c>
      <c r="Y173" s="119" t="e">
        <f t="shared" si="292"/>
        <v>#REF!</v>
      </c>
      <c r="Z173" s="119" t="e">
        <f t="shared" si="292"/>
        <v>#REF!</v>
      </c>
      <c r="AA173" s="119" t="e">
        <f t="shared" si="292"/>
        <v>#REF!</v>
      </c>
      <c r="AB173" s="119" t="e">
        <f t="shared" si="292"/>
        <v>#REF!</v>
      </c>
      <c r="AC173" s="119" t="e">
        <f t="shared" si="292"/>
        <v>#REF!</v>
      </c>
      <c r="AD173" s="137" t="e">
        <f t="shared" si="278"/>
        <v>#REF!</v>
      </c>
      <c r="AE173" s="31">
        <v>0.08</v>
      </c>
      <c r="AF173" s="126" t="e">
        <f t="shared" si="279"/>
        <v>#REF!</v>
      </c>
    </row>
    <row r="174" spans="2:32">
      <c r="B174" s="20" t="s">
        <v>282</v>
      </c>
      <c r="C174" s="25" t="e">
        <f>C170/C120</f>
        <v>#DIV/0!</v>
      </c>
      <c r="D174" s="25" t="e">
        <f>D170/D120</f>
        <v>#DIV/0!</v>
      </c>
      <c r="E174" s="25" t="e">
        <f>E170/E120</f>
        <v>#DIV/0!</v>
      </c>
      <c r="F174" s="25" t="e">
        <f>F170/F120</f>
        <v>#DIV/0!</v>
      </c>
      <c r="G174" s="25" t="e">
        <f t="shared" ref="G174:Q174" si="293">G168/G72</f>
        <v>#REF!</v>
      </c>
      <c r="H174" s="25" t="e">
        <f t="shared" si="293"/>
        <v>#REF!</v>
      </c>
      <c r="I174" s="25" t="e">
        <f t="shared" si="293"/>
        <v>#REF!</v>
      </c>
      <c r="J174" s="25" t="e">
        <f t="shared" si="293"/>
        <v>#REF!</v>
      </c>
      <c r="K174" s="25" t="e">
        <f t="shared" si="293"/>
        <v>#REF!</v>
      </c>
      <c r="L174" s="25" t="e">
        <f t="shared" si="293"/>
        <v>#REF!</v>
      </c>
      <c r="M174" s="197" t="e">
        <f t="shared" si="293"/>
        <v>#REF!</v>
      </c>
      <c r="N174" s="25" t="e">
        <f t="shared" si="293"/>
        <v>#REF!</v>
      </c>
      <c r="O174" s="25" t="e">
        <f t="shared" si="293"/>
        <v>#REF!</v>
      </c>
      <c r="P174" s="25" t="e">
        <f t="shared" si="293"/>
        <v>#REF!</v>
      </c>
      <c r="Q174" s="25" t="e">
        <f t="shared" si="293"/>
        <v>#REF!</v>
      </c>
      <c r="R174" s="118" t="e">
        <f t="shared" ref="R174:R178" si="294">((Q174/G174)^(1/($H$2-$H$1) ))-1</f>
        <v>#REF!</v>
      </c>
      <c r="S174" s="127"/>
      <c r="T174" s="134" t="e">
        <f t="shared" ref="T174:AC174" si="295">T168/T72</f>
        <v>#REF!</v>
      </c>
      <c r="U174" s="134" t="e">
        <f t="shared" si="295"/>
        <v>#REF!</v>
      </c>
      <c r="V174" s="134" t="e">
        <f t="shared" si="295"/>
        <v>#REF!</v>
      </c>
      <c r="W174" s="134" t="e">
        <f t="shared" si="295"/>
        <v>#REF!</v>
      </c>
      <c r="X174" s="134" t="e">
        <f t="shared" si="295"/>
        <v>#REF!</v>
      </c>
      <c r="Y174" s="134" t="e">
        <f t="shared" si="295"/>
        <v>#REF!</v>
      </c>
      <c r="Z174" s="134" t="e">
        <f t="shared" si="295"/>
        <v>#REF!</v>
      </c>
      <c r="AA174" s="134" t="e">
        <f t="shared" si="295"/>
        <v>#REF!</v>
      </c>
      <c r="AB174" s="134" t="e">
        <f t="shared" si="295"/>
        <v>#REF!</v>
      </c>
      <c r="AC174" s="134" t="e">
        <f t="shared" si="295"/>
        <v>#REF!</v>
      </c>
      <c r="AD174" s="137" t="e">
        <f t="shared" ref="AD174" si="296">((AC174/G174)^(1/($AC$3-$H$1) ))-1</f>
        <v>#REF!</v>
      </c>
      <c r="AE174" s="31">
        <v>0.08</v>
      </c>
      <c r="AF174" s="126" t="e">
        <f t="shared" si="279"/>
        <v>#REF!</v>
      </c>
    </row>
    <row r="175" spans="2:32">
      <c r="B175" s="182" t="s">
        <v>371</v>
      </c>
      <c r="C175" s="160" t="e">
        <f t="shared" ref="C175:Q175" si="297">C65/C168</f>
        <v>#DIV/0!</v>
      </c>
      <c r="D175" s="160" t="e">
        <f t="shared" si="297"/>
        <v>#DIV/0!</v>
      </c>
      <c r="E175" s="160" t="e">
        <f t="shared" si="297"/>
        <v>#DIV/0!</v>
      </c>
      <c r="F175" s="160" t="e">
        <f t="shared" si="297"/>
        <v>#DIV/0!</v>
      </c>
      <c r="G175" s="160">
        <f t="shared" si="297"/>
        <v>8.8633348076072538E-2</v>
      </c>
      <c r="H175" s="160">
        <f t="shared" si="297"/>
        <v>5.2446607191132741E-2</v>
      </c>
      <c r="I175" s="160">
        <f t="shared" si="297"/>
        <v>7.4217489512746052E-2</v>
      </c>
      <c r="J175" s="160">
        <f t="shared" si="297"/>
        <v>3.8258787108833112E-2</v>
      </c>
      <c r="K175" s="160">
        <f t="shared" si="297"/>
        <v>5.1769735995962171E-2</v>
      </c>
      <c r="L175" s="160">
        <f t="shared" si="297"/>
        <v>8.202495974235105E-2</v>
      </c>
      <c r="M175" s="160">
        <f t="shared" si="297"/>
        <v>5.2946152127421875E-2</v>
      </c>
      <c r="N175" s="160">
        <f t="shared" si="297"/>
        <v>4.5790893215724576E-2</v>
      </c>
      <c r="O175" s="160">
        <f t="shared" si="297"/>
        <v>4.8878169521745791E-2</v>
      </c>
      <c r="P175" s="160">
        <f t="shared" si="297"/>
        <v>4.7609872092751984E-2</v>
      </c>
      <c r="Q175" s="160">
        <f t="shared" si="297"/>
        <v>2.511753526057817E-2</v>
      </c>
      <c r="R175" s="177">
        <f t="shared" si="294"/>
        <v>-0.13073274858599848</v>
      </c>
      <c r="S175" s="127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7"/>
      <c r="AE175" s="31"/>
      <c r="AF175" s="126"/>
    </row>
    <row r="176" spans="2:32">
      <c r="B176" s="20" t="s">
        <v>320</v>
      </c>
      <c r="C176" s="127" t="e">
        <f t="shared" ref="C176:Q176" si="298">C56/C168</f>
        <v>#DIV/0!</v>
      </c>
      <c r="D176" s="127" t="e">
        <f t="shared" si="298"/>
        <v>#DIV/0!</v>
      </c>
      <c r="E176" s="127" t="e">
        <f t="shared" si="298"/>
        <v>#DIV/0!</v>
      </c>
      <c r="F176" s="127" t="e">
        <f t="shared" si="298"/>
        <v>#DIV/0!</v>
      </c>
      <c r="G176" s="127">
        <f t="shared" si="298"/>
        <v>6.3157894736842104E-3</v>
      </c>
      <c r="H176" s="127">
        <f t="shared" si="298"/>
        <v>4.1666666666666666E-3</v>
      </c>
      <c r="I176" s="127">
        <f t="shared" si="298"/>
        <v>2.6086956521739128E-3</v>
      </c>
      <c r="J176" s="127">
        <f t="shared" si="298"/>
        <v>1.6666666666666666E-3</v>
      </c>
      <c r="K176" s="127">
        <f t="shared" si="298"/>
        <v>1.3966480446927375E-3</v>
      </c>
      <c r="L176" s="127">
        <f t="shared" si="298"/>
        <v>3.2608695652173911E-3</v>
      </c>
      <c r="M176" s="127">
        <f t="shared" si="298"/>
        <v>1.1805555555555556E-3</v>
      </c>
      <c r="N176" s="127">
        <f t="shared" si="298"/>
        <v>1.0752688172043011E-3</v>
      </c>
      <c r="O176" s="127">
        <f t="shared" si="298"/>
        <v>1.1741682974559687E-3</v>
      </c>
      <c r="P176" s="127">
        <f t="shared" si="298"/>
        <v>1.129032258064516E-3</v>
      </c>
      <c r="Q176" s="127">
        <f t="shared" si="298"/>
        <v>6.1538461538461541E-4</v>
      </c>
      <c r="R176" s="177">
        <f t="shared" si="294"/>
        <v>-0.22796774849289314</v>
      </c>
      <c r="S176" s="127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7"/>
      <c r="AE176" s="31"/>
      <c r="AF176" s="126"/>
    </row>
    <row r="177" spans="2:49" s="186" customFormat="1">
      <c r="B177" s="217" t="s">
        <v>430</v>
      </c>
      <c r="C177" s="227" t="e">
        <f t="shared" ref="C177:P177" si="299">(C170)/($L$2*100)</f>
        <v>#DIV/0!</v>
      </c>
      <c r="D177" s="227" t="e">
        <f t="shared" si="299"/>
        <v>#DIV/0!</v>
      </c>
      <c r="E177" s="227" t="e">
        <f t="shared" si="299"/>
        <v>#DIV/0!</v>
      </c>
      <c r="F177" s="227" t="e">
        <f t="shared" si="299"/>
        <v>#DIV/0!</v>
      </c>
      <c r="G177" s="227">
        <f t="shared" si="299"/>
        <v>0.45129740518962075</v>
      </c>
      <c r="H177" s="227">
        <f t="shared" si="299"/>
        <v>0.76268041237113393</v>
      </c>
      <c r="I177" s="227">
        <f t="shared" si="299"/>
        <v>0.53895652173913033</v>
      </c>
      <c r="J177" s="227">
        <f t="shared" si="299"/>
        <v>1.0455114503816794</v>
      </c>
      <c r="K177" s="227">
        <f t="shared" si="299"/>
        <v>0.7726521920668058</v>
      </c>
      <c r="L177" s="227">
        <f t="shared" si="299"/>
        <v>0.48765644171779143</v>
      </c>
      <c r="M177" s="227">
        <f t="shared" si="299"/>
        <v>0.7554845516201959</v>
      </c>
      <c r="N177" s="227">
        <f t="shared" si="299"/>
        <v>0.87353613766730409</v>
      </c>
      <c r="O177" s="227">
        <f t="shared" si="299"/>
        <v>0.81836125189189191</v>
      </c>
      <c r="P177" s="227">
        <f t="shared" si="299"/>
        <v>0.84016188747731391</v>
      </c>
      <c r="Q177" s="227">
        <f>(Q170)/($L$2*100)</f>
        <v>1.5925129430505778</v>
      </c>
      <c r="R177" s="177">
        <f t="shared" si="294"/>
        <v>0.15039419508021368</v>
      </c>
      <c r="S177" s="127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78"/>
      <c r="AE177" s="31"/>
      <c r="AF177" s="198"/>
    </row>
    <row r="178" spans="2:49" s="186" customFormat="1">
      <c r="B178" s="217" t="s">
        <v>431</v>
      </c>
      <c r="C178" s="180" t="e">
        <f t="shared" ref="C178:P178" si="300">C177-1</f>
        <v>#DIV/0!</v>
      </c>
      <c r="D178" s="180" t="e">
        <f t="shared" si="300"/>
        <v>#DIV/0!</v>
      </c>
      <c r="E178" s="180" t="e">
        <f t="shared" si="300"/>
        <v>#DIV/0!</v>
      </c>
      <c r="F178" s="180" t="e">
        <f t="shared" si="300"/>
        <v>#DIV/0!</v>
      </c>
      <c r="G178" s="180">
        <f t="shared" si="300"/>
        <v>-0.5487025948103792</v>
      </c>
      <c r="H178" s="180">
        <f t="shared" si="300"/>
        <v>-0.23731958762886607</v>
      </c>
      <c r="I178" s="180">
        <f t="shared" si="300"/>
        <v>-0.46104347826086967</v>
      </c>
      <c r="J178" s="180">
        <f t="shared" si="300"/>
        <v>4.5511450381679364E-2</v>
      </c>
      <c r="K178" s="180">
        <f t="shared" si="300"/>
        <v>-0.2273478079331942</v>
      </c>
      <c r="L178" s="180">
        <f t="shared" si="300"/>
        <v>-0.51234355828220857</v>
      </c>
      <c r="M178" s="180">
        <f t="shared" si="300"/>
        <v>-0.2445154483798041</v>
      </c>
      <c r="N178" s="180">
        <f t="shared" si="300"/>
        <v>-0.12646386233269591</v>
      </c>
      <c r="O178" s="180">
        <f t="shared" si="300"/>
        <v>-0.18163874810810809</v>
      </c>
      <c r="P178" s="180">
        <f t="shared" si="300"/>
        <v>-0.15983811252268609</v>
      </c>
      <c r="Q178" s="180">
        <f>Q177-1</f>
        <v>0.59251294305057778</v>
      </c>
      <c r="R178" s="177">
        <f t="shared" si="294"/>
        <v>-2.0085716552159205</v>
      </c>
      <c r="S178" s="127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78"/>
      <c r="AE178" s="31"/>
      <c r="AF178" s="198"/>
    </row>
    <row r="179" spans="2:49" s="186" customFormat="1">
      <c r="B179" s="217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27"/>
      <c r="S179" s="127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78"/>
      <c r="AE179" s="31"/>
      <c r="AF179" s="198"/>
    </row>
    <row r="180" spans="2:49">
      <c r="B180" s="20"/>
      <c r="C180" s="128"/>
      <c r="D180" s="128"/>
      <c r="E180" s="128"/>
      <c r="F180" s="128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27"/>
      <c r="S180" s="127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6"/>
      <c r="AE180" s="20"/>
      <c r="AF180" s="126"/>
    </row>
    <row r="181" spans="2:49">
      <c r="B181" s="108" t="s">
        <v>302</v>
      </c>
      <c r="C181" s="20"/>
      <c r="D181" s="20"/>
      <c r="E181" s="20"/>
      <c r="F181" s="20"/>
      <c r="G181" s="20"/>
      <c r="H181" s="20"/>
      <c r="I181" s="20"/>
      <c r="J181" s="20"/>
      <c r="K181" s="243" t="s">
        <v>351</v>
      </c>
      <c r="L181" s="244"/>
      <c r="M181" s="217"/>
      <c r="N181" s="20"/>
      <c r="O181" s="20"/>
      <c r="P181" s="20"/>
      <c r="Q181" s="108" t="s">
        <v>437</v>
      </c>
      <c r="R181" s="108" t="s">
        <v>438</v>
      </c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136"/>
      <c r="AE181" s="20"/>
      <c r="AF181" s="20"/>
    </row>
    <row r="182" spans="2:49">
      <c r="B182" s="20" t="s">
        <v>300</v>
      </c>
      <c r="C182" s="20" t="s">
        <v>315</v>
      </c>
      <c r="D182" s="20"/>
      <c r="E182" s="20"/>
      <c r="F182" s="20"/>
      <c r="G182" s="20"/>
      <c r="H182" s="20"/>
      <c r="I182" s="20"/>
      <c r="J182" s="20"/>
      <c r="K182" s="20" t="s">
        <v>352</v>
      </c>
      <c r="L182" s="22">
        <v>1</v>
      </c>
      <c r="M182" s="217"/>
      <c r="N182" s="20"/>
      <c r="O182" s="20"/>
      <c r="P182" s="20"/>
      <c r="Q182" s="127">
        <f>(Q168-S156)/Q168</f>
        <v>0.99416819388522892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36"/>
      <c r="AE182" s="20"/>
      <c r="AF182" s="20"/>
    </row>
    <row r="183" spans="2:49">
      <c r="B183" s="20" t="s">
        <v>349</v>
      </c>
      <c r="C183" s="20" t="s">
        <v>315</v>
      </c>
      <c r="D183" s="20"/>
      <c r="E183" s="20"/>
      <c r="F183" s="20"/>
      <c r="G183" s="20"/>
      <c r="H183" s="20"/>
      <c r="I183" s="20"/>
      <c r="J183" s="20"/>
      <c r="K183" s="166">
        <f>L182</f>
        <v>1</v>
      </c>
      <c r="L183" s="20"/>
      <c r="M183" s="217"/>
      <c r="N183" s="127" t="e">
        <f>(Q168-(K183*S147))/Q168</f>
        <v>#REF!</v>
      </c>
      <c r="O183" s="20"/>
      <c r="P183" s="20"/>
      <c r="Q183" s="127" t="e">
        <f>(Q168-S147)/Q168</f>
        <v>#REF!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6"/>
      <c r="AE183" s="20"/>
      <c r="AF183" s="20"/>
    </row>
    <row r="184" spans="2:49">
      <c r="B184" s="20" t="s">
        <v>350</v>
      </c>
      <c r="C184" s="20" t="s">
        <v>315</v>
      </c>
      <c r="D184" s="20"/>
      <c r="E184" s="20"/>
      <c r="F184" s="20"/>
      <c r="G184" s="20"/>
      <c r="H184" s="20"/>
      <c r="I184" s="20"/>
      <c r="J184" s="20"/>
      <c r="K184" s="166">
        <f>L182</f>
        <v>1</v>
      </c>
      <c r="L184" s="20"/>
      <c r="M184" s="217"/>
      <c r="N184" s="127">
        <f>(Q168-(K183*S140))/Q168</f>
        <v>-0.30821549382141084</v>
      </c>
      <c r="O184" s="20"/>
      <c r="P184" s="20"/>
      <c r="Q184" s="127">
        <f>(Q168-S140)/Q168</f>
        <v>-0.30821549382141084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6"/>
      <c r="AE184" s="20"/>
      <c r="AF184" s="20"/>
    </row>
    <row r="185" spans="2:49">
      <c r="B185" s="20" t="s">
        <v>353</v>
      </c>
      <c r="C185" s="20" t="s">
        <v>315</v>
      </c>
      <c r="D185" s="20"/>
      <c r="E185" s="20"/>
      <c r="F185" s="20"/>
      <c r="G185" s="20"/>
      <c r="H185" s="20"/>
      <c r="I185" s="20"/>
      <c r="J185" s="20"/>
      <c r="K185" s="166">
        <f>L182</f>
        <v>1</v>
      </c>
      <c r="L185" s="20"/>
      <c r="M185" s="217"/>
      <c r="N185" s="127">
        <f>(Q168-(K183*S153))/Q168</f>
        <v>1</v>
      </c>
      <c r="O185" s="20"/>
      <c r="P185" s="20"/>
      <c r="Q185" s="127">
        <f>(Q168-S153)/Q168</f>
        <v>1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6"/>
      <c r="AE185" s="20"/>
      <c r="AF185" s="20"/>
    </row>
    <row r="186" spans="2:49">
      <c r="B186" s="20" t="s">
        <v>301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17"/>
      <c r="N186" s="20"/>
      <c r="O186" s="20"/>
      <c r="P186" s="20"/>
      <c r="Q186" s="25">
        <f>Q168/S139</f>
        <v>5.8095622127844599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6"/>
      <c r="AE186" s="20"/>
      <c r="AF186" s="20"/>
    </row>
    <row r="187" spans="2:49">
      <c r="B187" s="20" t="s">
        <v>371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7"/>
      <c r="N187" s="20"/>
      <c r="O187" s="20"/>
      <c r="P187" s="20"/>
      <c r="Q187" s="151">
        <f>1/Q186</f>
        <v>0.17213000969322798</v>
      </c>
      <c r="R187" s="20"/>
      <c r="S187" s="20"/>
      <c r="T187" s="218" t="s">
        <v>11</v>
      </c>
      <c r="U187" s="218" t="s">
        <v>12</v>
      </c>
      <c r="V187" s="218" t="s">
        <v>13</v>
      </c>
      <c r="W187" s="218" t="s">
        <v>14</v>
      </c>
      <c r="X187" s="218" t="s">
        <v>15</v>
      </c>
      <c r="Y187" s="218" t="s">
        <v>234</v>
      </c>
      <c r="Z187" s="218" t="s">
        <v>235</v>
      </c>
      <c r="AA187" s="218" t="s">
        <v>236</v>
      </c>
      <c r="AB187" s="218" t="s">
        <v>237</v>
      </c>
      <c r="AC187" s="218" t="s">
        <v>238</v>
      </c>
      <c r="AD187" s="218" t="s">
        <v>403</v>
      </c>
      <c r="AE187" s="218" t="s">
        <v>404</v>
      </c>
      <c r="AF187" s="218" t="s">
        <v>405</v>
      </c>
      <c r="AG187" s="218" t="s">
        <v>406</v>
      </c>
      <c r="AH187" s="218" t="s">
        <v>407</v>
      </c>
      <c r="AI187" s="218" t="s">
        <v>408</v>
      </c>
      <c r="AJ187" s="218" t="s">
        <v>409</v>
      </c>
      <c r="AK187" s="218" t="s">
        <v>410</v>
      </c>
      <c r="AL187" s="218" t="s">
        <v>411</v>
      </c>
      <c r="AM187" s="218" t="s">
        <v>412</v>
      </c>
      <c r="AN187" s="218" t="s">
        <v>413</v>
      </c>
      <c r="AO187" s="218" t="s">
        <v>414</v>
      </c>
      <c r="AP187" s="218" t="s">
        <v>415</v>
      </c>
      <c r="AQ187" s="218" t="s">
        <v>416</v>
      </c>
      <c r="AR187" s="218" t="s">
        <v>417</v>
      </c>
      <c r="AS187" s="218" t="s">
        <v>418</v>
      </c>
      <c r="AT187" s="218" t="s">
        <v>419</v>
      </c>
      <c r="AU187" s="218" t="s">
        <v>420</v>
      </c>
      <c r="AV187" s="218" t="s">
        <v>421</v>
      </c>
      <c r="AW187" s="218" t="s">
        <v>422</v>
      </c>
    </row>
    <row r="188" spans="2:49">
      <c r="B188" s="20"/>
      <c r="C188" s="20"/>
      <c r="D188" s="20"/>
      <c r="E188" s="217"/>
      <c r="F188" s="217"/>
      <c r="G188" s="229" t="s">
        <v>432</v>
      </c>
      <c r="H188" s="230"/>
      <c r="I188" s="229" t="s">
        <v>433</v>
      </c>
      <c r="J188" s="230"/>
      <c r="K188" s="217"/>
      <c r="L188" s="229" t="s">
        <v>434</v>
      </c>
      <c r="M188" s="230"/>
      <c r="N188" s="229" t="s">
        <v>435</v>
      </c>
      <c r="O188" s="20"/>
      <c r="P188" s="20"/>
      <c r="Q188" s="25"/>
      <c r="R188" s="20"/>
      <c r="S188" s="20"/>
      <c r="T188" s="20">
        <f>$Q$168-T189</f>
        <v>1273.6754392509222</v>
      </c>
      <c r="U188" s="213">
        <f t="shared" ref="U188:AF188" si="301">$Q$168-U189</f>
        <v>1272.3592112134684</v>
      </c>
      <c r="V188" s="213">
        <f t="shared" si="301"/>
        <v>1270.9771717741417</v>
      </c>
      <c r="W188" s="213">
        <f t="shared" si="301"/>
        <v>1269.5260303628488</v>
      </c>
      <c r="X188" s="213">
        <f t="shared" si="301"/>
        <v>1268.0023318809913</v>
      </c>
      <c r="Y188" s="213">
        <f t="shared" si="301"/>
        <v>1266.4024484750407</v>
      </c>
      <c r="Z188" s="213">
        <f t="shared" si="301"/>
        <v>1264.7225708987928</v>
      </c>
      <c r="AA188" s="213">
        <f t="shared" si="301"/>
        <v>1262.9586994437325</v>
      </c>
      <c r="AB188" s="213">
        <f t="shared" si="301"/>
        <v>1261.106634415919</v>
      </c>
      <c r="AC188" s="213">
        <f t="shared" si="301"/>
        <v>1259.1619661367149</v>
      </c>
      <c r="AD188" s="213">
        <f t="shared" si="301"/>
        <v>1257.1200644435507</v>
      </c>
      <c r="AE188" s="213">
        <f t="shared" si="301"/>
        <v>1254.9760676657284</v>
      </c>
      <c r="AF188" s="213">
        <f t="shared" si="301"/>
        <v>1252.7248710490146</v>
      </c>
      <c r="AG188" s="217">
        <f t="shared" ref="AG188" si="302">$Q$168-AG189</f>
        <v>1250.3611146014655</v>
      </c>
      <c r="AH188" s="217">
        <f t="shared" ref="AH188" si="303">$Q$168-AH189</f>
        <v>1247.8791703315387</v>
      </c>
      <c r="AI188" s="217">
        <f t="shared" ref="AI188" si="304">$Q$168-AI189</f>
        <v>1245.2731288481157</v>
      </c>
      <c r="AJ188" s="217">
        <f t="shared" ref="AJ188" si="305">$Q$168-AJ189</f>
        <v>1242.5367852905215</v>
      </c>
      <c r="AK188" s="217">
        <f t="shared" ref="AK188" si="306">$Q$168-AK189</f>
        <v>1239.6636245550476</v>
      </c>
      <c r="AL188" s="217">
        <f t="shared" ref="AL188" si="307">$Q$168-AL189</f>
        <v>1236.6468057827999</v>
      </c>
      <c r="AM188" s="217">
        <f t="shared" ref="AM188" si="308">$Q$168-AM189</f>
        <v>1233.4791460719398</v>
      </c>
      <c r="AN188" s="217">
        <f t="shared" ref="AN188" si="309">$Q$168-AN189</f>
        <v>1230.1531033755368</v>
      </c>
      <c r="AO188" s="217">
        <f t="shared" ref="AO188" si="310">$Q$168-AO189</f>
        <v>1226.6607585443137</v>
      </c>
      <c r="AP188" s="217">
        <f t="shared" ref="AP188" si="311">$Q$168-AP189</f>
        <v>1222.9937964715293</v>
      </c>
      <c r="AQ188" s="217">
        <f t="shared" ref="AQ188" si="312">$Q$168-AQ189</f>
        <v>1219.1434862951057</v>
      </c>
      <c r="AR188" s="217">
        <f t="shared" ref="AR188" si="313">$Q$168-AR189</f>
        <v>1215.1006606098611</v>
      </c>
      <c r="AS188" s="217">
        <f t="shared" ref="AS188" si="314">$Q$168-AS189</f>
        <v>1210.8556936403543</v>
      </c>
      <c r="AT188" s="217">
        <f t="shared" ref="AT188" si="315">$Q$168-AT189</f>
        <v>1206.3984783223718</v>
      </c>
      <c r="AU188" s="217">
        <f t="shared" ref="AU188" si="316">$Q$168-AU189</f>
        <v>1201.7184022384904</v>
      </c>
      <c r="AV188" s="217">
        <f t="shared" ref="AV188" si="317">$Q$168-AV189</f>
        <v>1196.8043223504151</v>
      </c>
      <c r="AW188" s="217">
        <f t="shared" ref="AW188" si="318">$Q$168-AW189</f>
        <v>1191.6445384679357</v>
      </c>
    </row>
    <row r="189" spans="2:49" s="186" customFormat="1">
      <c r="B189" s="188" t="s">
        <v>386</v>
      </c>
      <c r="C189" s="188"/>
      <c r="D189" s="188"/>
      <c r="E189" s="217"/>
      <c r="F189" s="217"/>
      <c r="G189" s="231">
        <v>0</v>
      </c>
      <c r="H189" s="230"/>
      <c r="I189" s="231">
        <v>0.05</v>
      </c>
      <c r="J189" s="230"/>
      <c r="K189" s="189">
        <f>Q1</f>
        <v>0.05</v>
      </c>
      <c r="L189" s="231">
        <v>0.12</v>
      </c>
      <c r="M189" s="230"/>
      <c r="N189" s="231">
        <v>0.2</v>
      </c>
      <c r="O189" s="183"/>
      <c r="P189" s="183"/>
      <c r="Q189" s="185"/>
      <c r="R189" s="183"/>
      <c r="S189" s="183"/>
      <c r="T189" s="183">
        <f>R138*(1+$K$189)</f>
        <v>26.324560749077843</v>
      </c>
      <c r="U189" s="213">
        <f>T189*(1+$K$189)</f>
        <v>27.640788786531736</v>
      </c>
      <c r="V189" s="213">
        <f t="shared" ref="V189:AF189" si="319">U189*(1+$K$189)</f>
        <v>29.022828225858323</v>
      </c>
      <c r="W189" s="213">
        <f t="shared" si="319"/>
        <v>30.473969637151239</v>
      </c>
      <c r="X189" s="213">
        <f t="shared" si="319"/>
        <v>31.997668119008804</v>
      </c>
      <c r="Y189" s="213">
        <f t="shared" si="319"/>
        <v>33.597551524959243</v>
      </c>
      <c r="Z189" s="213">
        <f t="shared" si="319"/>
        <v>35.277429101207204</v>
      </c>
      <c r="AA189" s="213">
        <f t="shared" si="319"/>
        <v>37.041300556267565</v>
      </c>
      <c r="AB189" s="213">
        <f t="shared" si="319"/>
        <v>38.893365584080946</v>
      </c>
      <c r="AC189" s="213">
        <f t="shared" si="319"/>
        <v>40.838033863284998</v>
      </c>
      <c r="AD189" s="213">
        <f t="shared" si="319"/>
        <v>42.879935556449247</v>
      </c>
      <c r="AE189" s="213">
        <f t="shared" si="319"/>
        <v>45.023932334271713</v>
      </c>
      <c r="AF189" s="213">
        <f t="shared" si="319"/>
        <v>47.275128950985298</v>
      </c>
      <c r="AG189" s="217">
        <f t="shared" ref="AG189:AW189" si="320">AF189*(1+$K$189)</f>
        <v>49.638885398534562</v>
      </c>
      <c r="AH189" s="217">
        <f t="shared" si="320"/>
        <v>52.12082966846129</v>
      </c>
      <c r="AI189" s="217">
        <f t="shared" si="320"/>
        <v>54.72687115188436</v>
      </c>
      <c r="AJ189" s="217">
        <f t="shared" si="320"/>
        <v>57.463214709478578</v>
      </c>
      <c r="AK189" s="217">
        <f t="shared" si="320"/>
        <v>60.336375444952509</v>
      </c>
      <c r="AL189" s="217">
        <f t="shared" si="320"/>
        <v>63.353194217200134</v>
      </c>
      <c r="AM189" s="217">
        <f t="shared" si="320"/>
        <v>66.520853928060149</v>
      </c>
      <c r="AN189" s="217">
        <f t="shared" si="320"/>
        <v>69.846896624463156</v>
      </c>
      <c r="AO189" s="217">
        <f t="shared" si="320"/>
        <v>73.33924145568632</v>
      </c>
      <c r="AP189" s="217">
        <f t="shared" si="320"/>
        <v>77.006203528470635</v>
      </c>
      <c r="AQ189" s="217">
        <f t="shared" si="320"/>
        <v>80.856513704894169</v>
      </c>
      <c r="AR189" s="217">
        <f t="shared" si="320"/>
        <v>84.899339390138877</v>
      </c>
      <c r="AS189" s="217">
        <f t="shared" si="320"/>
        <v>89.144306359645825</v>
      </c>
      <c r="AT189" s="217">
        <f t="shared" si="320"/>
        <v>93.601521677628114</v>
      </c>
      <c r="AU189" s="217">
        <f t="shared" si="320"/>
        <v>98.281597761509516</v>
      </c>
      <c r="AV189" s="217">
        <f t="shared" si="320"/>
        <v>103.19567764958499</v>
      </c>
      <c r="AW189" s="217">
        <f t="shared" si="320"/>
        <v>108.35546153206425</v>
      </c>
    </row>
    <row r="190" spans="2:49" s="186" customFormat="1">
      <c r="B190" s="188" t="s">
        <v>387</v>
      </c>
      <c r="C190" s="188"/>
      <c r="D190" s="188"/>
      <c r="E190" s="195" t="s">
        <v>385</v>
      </c>
      <c r="F190" s="194"/>
      <c r="G190" s="231">
        <v>0</v>
      </c>
      <c r="H190" s="232">
        <f>Q171</f>
        <v>5.348849652220439</v>
      </c>
      <c r="I190" s="231">
        <v>0.05</v>
      </c>
      <c r="J190" s="230"/>
      <c r="K190" s="189">
        <f>Q1</f>
        <v>0.05</v>
      </c>
      <c r="L190" s="231">
        <v>0.12</v>
      </c>
      <c r="M190" s="230"/>
      <c r="N190" s="231">
        <v>0.2</v>
      </c>
      <c r="O190" s="183"/>
      <c r="P190" s="183"/>
      <c r="Q190" s="185"/>
      <c r="R190" s="183"/>
      <c r="S190" s="183"/>
      <c r="T190" s="214">
        <f>Q65*(1+$K$190)</f>
        <v>34.285435630689207</v>
      </c>
      <c r="U190" s="183">
        <f>T190*(1+$K$190)</f>
        <v>35.999707412223671</v>
      </c>
      <c r="V190" s="213">
        <f t="shared" ref="V190:AF190" si="321">U190*(1+$K$190)</f>
        <v>37.799692782834853</v>
      </c>
      <c r="W190" s="213">
        <f t="shared" si="321"/>
        <v>39.689677421976597</v>
      </c>
      <c r="X190" s="213">
        <f t="shared" si="321"/>
        <v>41.674161293075429</v>
      </c>
      <c r="Y190" s="213">
        <f t="shared" si="321"/>
        <v>43.757869357729199</v>
      </c>
      <c r="Z190" s="213">
        <f t="shared" si="321"/>
        <v>45.94576282561566</v>
      </c>
      <c r="AA190" s="213">
        <f t="shared" si="321"/>
        <v>48.243050966896448</v>
      </c>
      <c r="AB190" s="213">
        <f t="shared" si="321"/>
        <v>50.655203515241276</v>
      </c>
      <c r="AC190" s="213">
        <f t="shared" si="321"/>
        <v>53.18796369100334</v>
      </c>
      <c r="AD190" s="213">
        <f t="shared" si="321"/>
        <v>55.84736187555351</v>
      </c>
      <c r="AE190" s="213">
        <f t="shared" si="321"/>
        <v>58.639729969331185</v>
      </c>
      <c r="AF190" s="213">
        <f t="shared" si="321"/>
        <v>61.571716467797749</v>
      </c>
      <c r="AG190" s="217">
        <f t="shared" ref="AG190:AW190" si="322">AF190*(1+$K$190)</f>
        <v>64.650302291187643</v>
      </c>
      <c r="AH190" s="217">
        <f t="shared" si="322"/>
        <v>67.882817405747033</v>
      </c>
      <c r="AI190" s="217">
        <f t="shared" si="322"/>
        <v>71.276958276034392</v>
      </c>
      <c r="AJ190" s="217">
        <f t="shared" si="322"/>
        <v>74.840806189836115</v>
      </c>
      <c r="AK190" s="217">
        <f t="shared" si="322"/>
        <v>78.582846499327928</v>
      </c>
      <c r="AL190" s="217">
        <f t="shared" si="322"/>
        <v>82.511988824294335</v>
      </c>
      <c r="AM190" s="217">
        <f t="shared" si="322"/>
        <v>86.637588265509052</v>
      </c>
      <c r="AN190" s="217">
        <f t="shared" si="322"/>
        <v>90.969467678784511</v>
      </c>
      <c r="AO190" s="217">
        <f t="shared" si="322"/>
        <v>95.517941062723736</v>
      </c>
      <c r="AP190" s="217">
        <f t="shared" si="322"/>
        <v>100.29383811585993</v>
      </c>
      <c r="AQ190" s="217">
        <f t="shared" si="322"/>
        <v>105.30853002165293</v>
      </c>
      <c r="AR190" s="217">
        <f t="shared" si="322"/>
        <v>110.57395652273559</v>
      </c>
      <c r="AS190" s="217">
        <f t="shared" si="322"/>
        <v>116.10265434887236</v>
      </c>
      <c r="AT190" s="217">
        <f t="shared" si="322"/>
        <v>121.90778706631599</v>
      </c>
      <c r="AU190" s="217">
        <f t="shared" si="322"/>
        <v>128.00317641963179</v>
      </c>
      <c r="AV190" s="217">
        <f t="shared" si="322"/>
        <v>134.40333524061339</v>
      </c>
      <c r="AW190" s="217">
        <f t="shared" si="322"/>
        <v>141.12350200264407</v>
      </c>
    </row>
    <row r="191" spans="2:49">
      <c r="B191" s="20"/>
      <c r="C191" s="20"/>
      <c r="D191" s="20"/>
      <c r="E191" s="195" t="s">
        <v>436</v>
      </c>
      <c r="F191" s="194"/>
      <c r="G191" s="231">
        <v>0</v>
      </c>
      <c r="H191" s="232"/>
      <c r="I191" s="231">
        <v>0.05</v>
      </c>
      <c r="J191" s="230"/>
      <c r="K191" s="230"/>
      <c r="L191" s="231">
        <v>0.12</v>
      </c>
      <c r="M191" s="230"/>
      <c r="N191" s="231">
        <v>0.2</v>
      </c>
      <c r="O191" s="20"/>
      <c r="P191" s="20"/>
      <c r="Q191" s="20"/>
      <c r="R191" s="20"/>
      <c r="S191" s="20"/>
      <c r="T191" s="214">
        <f>$Q$168-T190</f>
        <v>1265.7145643693109</v>
      </c>
      <c r="U191" s="214">
        <f t="shared" ref="U191:AF191" si="323">$Q$168-U190</f>
        <v>1264.0002925877764</v>
      </c>
      <c r="V191" s="214">
        <f t="shared" si="323"/>
        <v>1262.2003072171651</v>
      </c>
      <c r="W191" s="214">
        <f t="shared" si="323"/>
        <v>1260.3103225780235</v>
      </c>
      <c r="X191" s="214">
        <f t="shared" si="323"/>
        <v>1258.3258387069245</v>
      </c>
      <c r="Y191" s="214">
        <f t="shared" si="323"/>
        <v>1256.2421306422707</v>
      </c>
      <c r="Z191" s="214">
        <f t="shared" si="323"/>
        <v>1254.0542371743843</v>
      </c>
      <c r="AA191" s="214">
        <f t="shared" si="323"/>
        <v>1251.7569490331036</v>
      </c>
      <c r="AB191" s="214">
        <f t="shared" si="323"/>
        <v>1249.3447964847587</v>
      </c>
      <c r="AC191" s="214">
        <f t="shared" si="323"/>
        <v>1246.8120363089968</v>
      </c>
      <c r="AD191" s="214">
        <f t="shared" si="323"/>
        <v>1244.1526381244464</v>
      </c>
      <c r="AE191" s="214">
        <f t="shared" si="323"/>
        <v>1241.3602700306687</v>
      </c>
      <c r="AF191" s="214">
        <f t="shared" si="323"/>
        <v>1238.4282835322022</v>
      </c>
      <c r="AG191" s="219">
        <f t="shared" ref="AG191" si="324">$Q$168-AG190</f>
        <v>1235.3496977088123</v>
      </c>
      <c r="AH191" s="219">
        <f t="shared" ref="AH191" si="325">$Q$168-AH190</f>
        <v>1232.1171825942529</v>
      </c>
      <c r="AI191" s="219">
        <f t="shared" ref="AI191" si="326">$Q$168-AI190</f>
        <v>1228.7230417239657</v>
      </c>
      <c r="AJ191" s="219">
        <f t="shared" ref="AJ191" si="327">$Q$168-AJ190</f>
        <v>1225.159193810164</v>
      </c>
      <c r="AK191" s="219">
        <f t="shared" ref="AK191" si="328">$Q$168-AK190</f>
        <v>1221.4171535006722</v>
      </c>
      <c r="AL191" s="219">
        <f t="shared" ref="AL191" si="329">$Q$168-AL190</f>
        <v>1217.4880111757057</v>
      </c>
      <c r="AM191" s="219">
        <f t="shared" ref="AM191" si="330">$Q$168-AM190</f>
        <v>1213.3624117344909</v>
      </c>
      <c r="AN191" s="219">
        <f t="shared" ref="AN191" si="331">$Q$168-AN190</f>
        <v>1209.0305323212156</v>
      </c>
      <c r="AO191" s="219">
        <f t="shared" ref="AO191" si="332">$Q$168-AO190</f>
        <v>1204.4820589372762</v>
      </c>
      <c r="AP191" s="219">
        <f t="shared" ref="AP191" si="333">$Q$168-AP190</f>
        <v>1199.7061618841401</v>
      </c>
      <c r="AQ191" s="219">
        <f t="shared" ref="AQ191" si="334">$Q$168-AQ190</f>
        <v>1194.691469978347</v>
      </c>
      <c r="AR191" s="219">
        <f t="shared" ref="AR191" si="335">$Q$168-AR190</f>
        <v>1189.4260434772643</v>
      </c>
      <c r="AS191" s="219">
        <f t="shared" ref="AS191" si="336">$Q$168-AS190</f>
        <v>1183.8973456511276</v>
      </c>
      <c r="AT191" s="219">
        <f t="shared" ref="AT191" si="337">$Q$168-AT190</f>
        <v>1178.0922129336841</v>
      </c>
      <c r="AU191" s="219">
        <f t="shared" ref="AU191" si="338">$Q$168-AU190</f>
        <v>1171.9968235803683</v>
      </c>
      <c r="AV191" s="219">
        <f t="shared" ref="AV191" si="339">$Q$168-AV190</f>
        <v>1165.5966647593866</v>
      </c>
      <c r="AW191" s="219">
        <f t="shared" ref="AW191" si="340">$Q$168-AW190</f>
        <v>1158.876497997356</v>
      </c>
    </row>
    <row r="192" spans="2:49">
      <c r="B192" s="108" t="s">
        <v>303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7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spans="2:32">
      <c r="B193" s="20" t="s">
        <v>306</v>
      </c>
      <c r="C193" s="25" t="e">
        <f t="shared" ref="C193:L193" si="341">C10/C7</f>
        <v>#DIV/0!</v>
      </c>
      <c r="D193" s="25" t="e">
        <f t="shared" si="341"/>
        <v>#DIV/0!</v>
      </c>
      <c r="E193" s="25" t="e">
        <f t="shared" si="341"/>
        <v>#DIV/0!</v>
      </c>
      <c r="F193" s="25" t="e">
        <f t="shared" si="341"/>
        <v>#DIV/0!</v>
      </c>
      <c r="G193" s="25">
        <f t="shared" si="341"/>
        <v>5.9255663430420711</v>
      </c>
      <c r="H193" s="25">
        <f t="shared" si="341"/>
        <v>5.1331521739130439</v>
      </c>
      <c r="I193" s="25">
        <f t="shared" si="341"/>
        <v>5.0549158547387067</v>
      </c>
      <c r="J193" s="25">
        <f t="shared" si="341"/>
        <v>6.0245323520392517</v>
      </c>
      <c r="K193" s="25">
        <f t="shared" si="341"/>
        <v>4.4991499489969398</v>
      </c>
      <c r="L193" s="25">
        <f t="shared" si="341"/>
        <v>3.762019957665558</v>
      </c>
      <c r="M193" s="197">
        <f t="shared" ref="M193:N193" si="342">M10/M7</f>
        <v>4.4826114249843068</v>
      </c>
      <c r="N193" s="197">
        <f t="shared" si="342"/>
        <v>4.4900445495045007</v>
      </c>
      <c r="O193" s="25">
        <f>O10/O7</f>
        <v>5.075763432547352</v>
      </c>
      <c r="P193" s="25">
        <f>P10/P7</f>
        <v>5.6698107028230824</v>
      </c>
      <c r="Q193" s="25">
        <f>Q10/Q7</f>
        <v>4.4747432404108149</v>
      </c>
      <c r="R193" s="118">
        <f t="shared" ref="R193:R195" si="343">((Q193/G193)^(1/($H$2-$H$1) ))-1</f>
        <v>-3.0721242169344021E-2</v>
      </c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2:32">
      <c r="B194" s="20" t="s">
        <v>307</v>
      </c>
      <c r="C194" s="112" t="e">
        <f t="shared" ref="C194:L194" si="344">C10/C12</f>
        <v>#DIV/0!</v>
      </c>
      <c r="D194" s="112" t="e">
        <f t="shared" si="344"/>
        <v>#DIV/0!</v>
      </c>
      <c r="E194" s="112" t="e">
        <f t="shared" si="344"/>
        <v>#DIV/0!</v>
      </c>
      <c r="F194" s="112" t="e">
        <f t="shared" si="344"/>
        <v>#DIV/0!</v>
      </c>
      <c r="G194" s="112" t="e">
        <f t="shared" si="344"/>
        <v>#DIV/0!</v>
      </c>
      <c r="H194" s="112" t="e">
        <f t="shared" si="344"/>
        <v>#DIV/0!</v>
      </c>
      <c r="I194" s="112" t="e">
        <f t="shared" si="344"/>
        <v>#DIV/0!</v>
      </c>
      <c r="J194" s="112" t="e">
        <f t="shared" si="344"/>
        <v>#DIV/0!</v>
      </c>
      <c r="K194" s="112" t="e">
        <f t="shared" si="344"/>
        <v>#DIV/0!</v>
      </c>
      <c r="L194" s="112" t="e">
        <f t="shared" si="344"/>
        <v>#DIV/0!</v>
      </c>
      <c r="M194" s="112" t="e">
        <f t="shared" ref="M194:N194" si="345">M10/M12</f>
        <v>#DIV/0!</v>
      </c>
      <c r="N194" s="112" t="e">
        <f t="shared" si="345"/>
        <v>#DIV/0!</v>
      </c>
      <c r="O194" s="112" t="e">
        <f>O10/O12</f>
        <v>#DIV/0!</v>
      </c>
      <c r="P194" s="112" t="e">
        <f>P10/P12</f>
        <v>#DIV/0!</v>
      </c>
      <c r="Q194" s="112" t="e">
        <f>Q10/Q12</f>
        <v>#DIV/0!</v>
      </c>
      <c r="R194" s="118" t="e">
        <f t="shared" si="343"/>
        <v>#DIV/0!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32">
      <c r="B195" s="20" t="s">
        <v>308</v>
      </c>
      <c r="C195" s="25" t="e">
        <f t="shared" ref="C195:L195" si="346">C10/(C12+C15)</f>
        <v>#DIV/0!</v>
      </c>
      <c r="D195" s="25" t="e">
        <f t="shared" si="346"/>
        <v>#DIV/0!</v>
      </c>
      <c r="E195" s="25" t="e">
        <f t="shared" si="346"/>
        <v>#DIV/0!</v>
      </c>
      <c r="F195" s="25" t="e">
        <f t="shared" si="346"/>
        <v>#DIV/0!</v>
      </c>
      <c r="G195" s="25">
        <f t="shared" si="346"/>
        <v>2.0293710169021888</v>
      </c>
      <c r="H195" s="25">
        <f t="shared" si="346"/>
        <v>2.7933456561922365</v>
      </c>
      <c r="I195" s="25">
        <f t="shared" si="346"/>
        <v>2.2610935023771792</v>
      </c>
      <c r="J195" s="25">
        <f t="shared" si="346"/>
        <v>2.1522787028921999</v>
      </c>
      <c r="K195" s="25">
        <f t="shared" si="346"/>
        <v>2.1054976529556848</v>
      </c>
      <c r="L195" s="25">
        <f t="shared" si="346"/>
        <v>1.8690002253436491</v>
      </c>
      <c r="M195" s="197">
        <f t="shared" ref="M195:N195" si="347">M10/(M12+M15)</f>
        <v>1.832477930609731</v>
      </c>
      <c r="N195" s="197">
        <f t="shared" si="347"/>
        <v>1.8959613022113022</v>
      </c>
      <c r="O195" s="25">
        <f>O10/(O12+O15)</f>
        <v>2.0738833786088824</v>
      </c>
      <c r="P195" s="25">
        <f>P10/(P12+P15)</f>
        <v>2.1160437089006772</v>
      </c>
      <c r="Q195" s="25">
        <f>Q10/(Q12+Q15)</f>
        <v>2.2014384779974736</v>
      </c>
      <c r="R195" s="118">
        <f t="shared" si="343"/>
        <v>9.0837983325686711E-3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32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17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3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17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32">
      <c r="B198" s="20"/>
      <c r="C198" s="207" t="s">
        <v>388</v>
      </c>
      <c r="D198" s="208"/>
      <c r="E198" s="208"/>
      <c r="F198" s="208"/>
      <c r="G198" s="208"/>
      <c r="H198" s="208"/>
      <c r="I198" s="208"/>
      <c r="J198" s="208"/>
      <c r="K198" s="192"/>
      <c r="L198" s="236" t="s">
        <v>337</v>
      </c>
      <c r="M198" s="237"/>
      <c r="N198" s="237"/>
      <c r="O198" s="238"/>
      <c r="P198" s="195" t="s">
        <v>340</v>
      </c>
      <c r="Q198" s="192"/>
      <c r="R198" s="236" t="s">
        <v>338</v>
      </c>
      <c r="S198" s="237"/>
      <c r="T198" s="238"/>
      <c r="U198" s="195" t="s">
        <v>340</v>
      </c>
      <c r="V198" s="192"/>
      <c r="W198" s="192"/>
      <c r="X198" s="192"/>
      <c r="Y198" s="192"/>
      <c r="Z198" s="20"/>
      <c r="AA198" s="20"/>
      <c r="AB198" s="20"/>
      <c r="AC198" s="20"/>
      <c r="AD198" s="20"/>
      <c r="AE198" s="20"/>
      <c r="AF198" s="20"/>
    </row>
    <row r="199" spans="2:32">
      <c r="B199" s="20"/>
      <c r="C199" s="201" t="s">
        <v>339</v>
      </c>
      <c r="D199" s="201" t="s">
        <v>0</v>
      </c>
      <c r="E199" s="201" t="s">
        <v>389</v>
      </c>
      <c r="F199" s="201" t="s">
        <v>390</v>
      </c>
      <c r="G199" s="201" t="s">
        <v>391</v>
      </c>
      <c r="H199" s="201" t="s">
        <v>392</v>
      </c>
      <c r="I199" s="201" t="s">
        <v>393</v>
      </c>
      <c r="J199" s="201" t="s">
        <v>394</v>
      </c>
      <c r="K199" s="192"/>
      <c r="L199" s="201" t="s">
        <v>339</v>
      </c>
      <c r="M199" s="201"/>
      <c r="N199" s="201"/>
      <c r="O199" s="201" t="s">
        <v>0</v>
      </c>
      <c r="P199" s="201" t="s">
        <v>370</v>
      </c>
      <c r="Q199" s="192"/>
      <c r="R199" s="201" t="s">
        <v>339</v>
      </c>
      <c r="S199" s="201"/>
      <c r="T199" s="201" t="s">
        <v>0</v>
      </c>
      <c r="U199" s="201" t="s">
        <v>370</v>
      </c>
      <c r="V199" s="192"/>
      <c r="W199" s="192"/>
      <c r="X199" s="192"/>
      <c r="Y199" s="192"/>
      <c r="Z199" s="20"/>
      <c r="AA199" s="20"/>
      <c r="AB199" s="20"/>
      <c r="AC199" s="20"/>
      <c r="AD199" s="20"/>
      <c r="AE199" s="20"/>
      <c r="AF199" s="20"/>
    </row>
    <row r="200" spans="2:32">
      <c r="B200" s="20"/>
      <c r="C200" s="202" t="s">
        <v>341</v>
      </c>
      <c r="D200" s="193">
        <v>380</v>
      </c>
      <c r="E200" s="209" t="s">
        <v>395</v>
      </c>
      <c r="F200" s="194">
        <v>1</v>
      </c>
      <c r="G200" s="194">
        <v>1</v>
      </c>
      <c r="H200" s="215">
        <f>F200/G200</f>
        <v>1</v>
      </c>
      <c r="I200" s="216">
        <f>D201*H200</f>
        <v>3</v>
      </c>
      <c r="J200" s="216">
        <f>SUM(H200:I200)</f>
        <v>4</v>
      </c>
      <c r="K200" s="192"/>
      <c r="L200" s="202" t="s">
        <v>341</v>
      </c>
      <c r="M200" s="215"/>
      <c r="N200" s="202"/>
      <c r="O200" s="193">
        <v>40</v>
      </c>
      <c r="P200" s="206">
        <f>O200</f>
        <v>40</v>
      </c>
      <c r="Q200" s="192"/>
      <c r="R200" s="202" t="s">
        <v>341</v>
      </c>
      <c r="S200" s="202"/>
      <c r="T200" s="193">
        <v>1</v>
      </c>
      <c r="U200" s="206">
        <f>T200</f>
        <v>1</v>
      </c>
      <c r="V200" s="192"/>
      <c r="W200" s="192"/>
      <c r="X200" s="192"/>
      <c r="Y200" s="192"/>
      <c r="Z200" s="20"/>
      <c r="AA200" s="20"/>
      <c r="AB200" s="20"/>
      <c r="AC200" s="20"/>
      <c r="AD200" s="20"/>
      <c r="AE200" s="20"/>
      <c r="AF200" s="20"/>
    </row>
    <row r="201" spans="2:32">
      <c r="B201" s="20"/>
      <c r="C201" s="202" t="s">
        <v>342</v>
      </c>
      <c r="D201" s="193">
        <v>3</v>
      </c>
      <c r="E201" s="209" t="s">
        <v>396</v>
      </c>
      <c r="F201" s="194">
        <v>3</v>
      </c>
      <c r="G201" s="194">
        <v>2</v>
      </c>
      <c r="H201" s="215">
        <f>F201/G201</f>
        <v>1.5</v>
      </c>
      <c r="I201" s="216">
        <f>H201*J200</f>
        <v>6</v>
      </c>
      <c r="J201" s="216">
        <f>I201+J200</f>
        <v>10</v>
      </c>
      <c r="K201" s="192"/>
      <c r="L201" s="202" t="s">
        <v>342</v>
      </c>
      <c r="M201" s="215"/>
      <c r="N201" s="202"/>
      <c r="O201" s="193">
        <v>1</v>
      </c>
      <c r="P201" s="206">
        <f>O201</f>
        <v>1</v>
      </c>
      <c r="Q201" s="192"/>
      <c r="R201" s="202" t="s">
        <v>342</v>
      </c>
      <c r="S201" s="202"/>
      <c r="T201" s="193">
        <v>1</v>
      </c>
      <c r="U201" s="206">
        <f>T201</f>
        <v>1</v>
      </c>
      <c r="V201" s="192"/>
      <c r="W201" s="192"/>
      <c r="X201" s="192"/>
      <c r="Y201" s="192"/>
      <c r="Z201" s="20"/>
      <c r="AA201" s="20"/>
      <c r="AB201" s="20"/>
      <c r="AC201" s="20"/>
      <c r="AD201" s="20"/>
      <c r="AE201" s="20"/>
      <c r="AF201" s="20"/>
    </row>
    <row r="202" spans="2:32">
      <c r="B202" s="20"/>
      <c r="C202" s="202" t="s">
        <v>344</v>
      </c>
      <c r="D202" s="203">
        <f>D200*D201</f>
        <v>1140</v>
      </c>
      <c r="E202" s="209" t="s">
        <v>397</v>
      </c>
      <c r="F202" s="194">
        <v>0</v>
      </c>
      <c r="G202" s="194">
        <v>2</v>
      </c>
      <c r="H202" s="215">
        <f>F202/G202</f>
        <v>0</v>
      </c>
      <c r="I202" s="216">
        <f>H202*J201</f>
        <v>0</v>
      </c>
      <c r="J202" s="216">
        <f>I202+J201</f>
        <v>10</v>
      </c>
      <c r="K202" s="192"/>
      <c r="L202" s="202" t="s">
        <v>343</v>
      </c>
      <c r="M202" s="215"/>
      <c r="N202" s="202"/>
      <c r="O202" s="203">
        <f>O200*O201</f>
        <v>40</v>
      </c>
      <c r="P202" s="203">
        <f>P200*P201</f>
        <v>40</v>
      </c>
      <c r="Q202" s="192"/>
      <c r="R202" s="202" t="s">
        <v>344</v>
      </c>
      <c r="S202" s="202"/>
      <c r="T202" s="203">
        <f>T200*T201</f>
        <v>1</v>
      </c>
      <c r="U202" s="203">
        <f>U200*U201</f>
        <v>1</v>
      </c>
      <c r="V202" s="192"/>
      <c r="W202" s="192"/>
      <c r="X202" s="192"/>
      <c r="Y202" s="192"/>
      <c r="Z202" s="20"/>
      <c r="AA202" s="20"/>
      <c r="AB202" s="20"/>
      <c r="AC202" s="20"/>
      <c r="AD202" s="20"/>
      <c r="AE202" s="20"/>
      <c r="AF202" s="20"/>
    </row>
    <row r="203" spans="2:32">
      <c r="B203" s="20"/>
      <c r="C203" s="202"/>
      <c r="D203" s="203"/>
      <c r="E203" s="209" t="s">
        <v>398</v>
      </c>
      <c r="F203" s="194">
        <v>10</v>
      </c>
      <c r="G203" s="194">
        <v>5</v>
      </c>
      <c r="H203" s="215">
        <f>F203/G203</f>
        <v>2</v>
      </c>
      <c r="I203" s="216">
        <f>H203*J202</f>
        <v>20</v>
      </c>
      <c r="J203" s="216">
        <f>I203</f>
        <v>20</v>
      </c>
      <c r="K203" s="192"/>
      <c r="L203" s="202" t="s">
        <v>345</v>
      </c>
      <c r="M203" s="215"/>
      <c r="N203" s="202"/>
      <c r="O203" s="193">
        <v>1030</v>
      </c>
      <c r="P203" s="193">
        <v>1565</v>
      </c>
      <c r="Q203" s="192"/>
      <c r="R203" s="202" t="s">
        <v>345</v>
      </c>
      <c r="S203" s="202"/>
      <c r="T203" s="193">
        <v>1</v>
      </c>
      <c r="U203" s="193">
        <v>1</v>
      </c>
      <c r="V203" s="192"/>
      <c r="W203" s="192"/>
      <c r="X203" s="192"/>
      <c r="Y203" s="192"/>
      <c r="Z203" s="20"/>
      <c r="AA203" s="20"/>
      <c r="AB203" s="20"/>
      <c r="AC203" s="20"/>
      <c r="AD203" s="20"/>
      <c r="AE203" s="20"/>
      <c r="AF203" s="20"/>
    </row>
    <row r="204" spans="2:32">
      <c r="B204" s="20"/>
      <c r="C204" s="202" t="s">
        <v>345</v>
      </c>
      <c r="D204" s="193">
        <v>1030</v>
      </c>
      <c r="E204" s="209"/>
      <c r="F204" s="202"/>
      <c r="G204" s="202"/>
      <c r="H204" s="204" t="s">
        <v>399</v>
      </c>
      <c r="I204" s="202"/>
      <c r="J204" s="216">
        <f>J203</f>
        <v>20</v>
      </c>
      <c r="K204" s="192"/>
      <c r="L204" s="202" t="s">
        <v>346</v>
      </c>
      <c r="M204" s="215"/>
      <c r="N204" s="202"/>
      <c r="O204" s="203">
        <f>O203*O201</f>
        <v>1030</v>
      </c>
      <c r="P204" s="203">
        <f>P203*P201</f>
        <v>1565</v>
      </c>
      <c r="Q204" s="192"/>
      <c r="R204" s="202" t="s">
        <v>342</v>
      </c>
      <c r="S204" s="202"/>
      <c r="T204" s="193">
        <v>1</v>
      </c>
      <c r="U204" s="198">
        <f>T204</f>
        <v>1</v>
      </c>
      <c r="V204" s="192"/>
      <c r="W204" s="192"/>
      <c r="X204" s="192"/>
      <c r="Y204" s="192"/>
      <c r="Z204" s="20"/>
      <c r="AA204" s="20"/>
      <c r="AB204" s="20"/>
      <c r="AC204" s="20"/>
      <c r="AD204" s="20"/>
      <c r="AE204" s="20"/>
      <c r="AF204" s="20"/>
    </row>
    <row r="205" spans="2:32">
      <c r="B205" s="20"/>
      <c r="C205" s="202" t="s">
        <v>342</v>
      </c>
      <c r="D205" s="193">
        <v>20</v>
      </c>
      <c r="E205" s="209" t="s">
        <v>398</v>
      </c>
      <c r="F205" s="194">
        <v>10</v>
      </c>
      <c r="G205" s="194">
        <v>2</v>
      </c>
      <c r="H205" s="202">
        <f>F205/G205</f>
        <v>5</v>
      </c>
      <c r="I205" s="210">
        <f>H205*D201</f>
        <v>15</v>
      </c>
      <c r="J205" s="210">
        <f>I205</f>
        <v>15</v>
      </c>
      <c r="K205" s="192"/>
      <c r="L205" s="202"/>
      <c r="M205" s="215"/>
      <c r="N205" s="202"/>
      <c r="O205" s="203"/>
      <c r="P205" s="203"/>
      <c r="Q205" s="192"/>
      <c r="R205" s="202" t="s">
        <v>344</v>
      </c>
      <c r="S205" s="202"/>
      <c r="T205" s="203">
        <f>T203*T204</f>
        <v>1</v>
      </c>
      <c r="U205" s="203">
        <f>U203*U204</f>
        <v>1</v>
      </c>
      <c r="V205" s="192"/>
      <c r="W205" s="192"/>
      <c r="X205" s="192"/>
      <c r="Y205" s="192"/>
      <c r="Z205" s="20"/>
      <c r="AA205" s="20"/>
      <c r="AB205" s="20"/>
      <c r="AC205" s="20"/>
      <c r="AD205" s="20"/>
      <c r="AE205" s="20"/>
      <c r="AF205" s="20"/>
    </row>
    <row r="206" spans="2:32">
      <c r="B206" s="20"/>
      <c r="C206" s="202" t="s">
        <v>344</v>
      </c>
      <c r="D206" s="203">
        <f>D204*D205</f>
        <v>20600</v>
      </c>
      <c r="E206" s="202"/>
      <c r="F206" s="202"/>
      <c r="G206" s="202"/>
      <c r="H206" s="204" t="s">
        <v>399</v>
      </c>
      <c r="I206" s="202"/>
      <c r="J206" s="216">
        <f>J205</f>
        <v>15</v>
      </c>
      <c r="K206" s="192"/>
      <c r="L206" s="202"/>
      <c r="M206" s="215"/>
      <c r="N206" s="202"/>
      <c r="O206" s="203"/>
      <c r="P206" s="203"/>
      <c r="Q206" s="192"/>
      <c r="R206" s="202"/>
      <c r="S206" s="202"/>
      <c r="T206" s="203"/>
      <c r="U206" s="203"/>
      <c r="V206" s="192"/>
      <c r="W206" s="192"/>
      <c r="X206" s="192"/>
      <c r="Y206" s="192"/>
      <c r="Z206" s="20"/>
      <c r="AA206" s="20"/>
      <c r="AB206" s="20"/>
      <c r="AC206" s="20"/>
      <c r="AD206" s="20"/>
      <c r="AE206" s="20"/>
      <c r="AF206" s="20"/>
    </row>
    <row r="207" spans="2:32">
      <c r="B207" s="20"/>
      <c r="C207" s="202"/>
      <c r="D207" s="203"/>
      <c r="E207" s="209" t="s">
        <v>398</v>
      </c>
      <c r="F207" s="194">
        <v>10</v>
      </c>
      <c r="G207" s="194">
        <v>2</v>
      </c>
      <c r="H207" s="202">
        <f>F207/G207</f>
        <v>5</v>
      </c>
      <c r="I207" s="216">
        <f>H207*J206</f>
        <v>75</v>
      </c>
      <c r="J207" s="216">
        <f>I207</f>
        <v>75</v>
      </c>
      <c r="K207" s="192"/>
      <c r="L207" s="204" t="s">
        <v>347</v>
      </c>
      <c r="M207" s="204"/>
      <c r="N207" s="204"/>
      <c r="O207" s="205">
        <f>O204/O202</f>
        <v>25.75</v>
      </c>
      <c r="P207" s="205">
        <f>P204/P202</f>
        <v>39.125</v>
      </c>
      <c r="Q207" s="192"/>
      <c r="R207" s="204" t="s">
        <v>347</v>
      </c>
      <c r="S207" s="204"/>
      <c r="T207" s="205">
        <f>T205/T202</f>
        <v>1</v>
      </c>
      <c r="U207" s="205">
        <f>U205/U202</f>
        <v>1</v>
      </c>
      <c r="V207" s="192"/>
      <c r="W207" s="192"/>
      <c r="X207" s="192"/>
      <c r="Y207" s="192"/>
      <c r="Z207" s="20"/>
      <c r="AA207" s="20"/>
      <c r="AB207" s="20"/>
      <c r="AC207" s="20"/>
      <c r="AD207" s="20"/>
      <c r="AE207" s="20"/>
      <c r="AF207" s="20"/>
    </row>
    <row r="208" spans="2:32">
      <c r="B208" s="20"/>
      <c r="C208" s="204" t="s">
        <v>347</v>
      </c>
      <c r="D208" s="205">
        <f>D206/D202</f>
        <v>18.07017543859649</v>
      </c>
      <c r="E208" s="209"/>
      <c r="F208" s="202"/>
      <c r="G208" s="202"/>
      <c r="H208" s="204" t="s">
        <v>399</v>
      </c>
      <c r="I208" s="202"/>
      <c r="J208" s="216">
        <f>J207</f>
        <v>75</v>
      </c>
      <c r="K208" s="192"/>
      <c r="L208" s="192"/>
      <c r="M208" s="217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20"/>
      <c r="AA208" s="20"/>
      <c r="AB208" s="20"/>
      <c r="AC208" s="20"/>
      <c r="AD208" s="20"/>
      <c r="AE208" s="20"/>
      <c r="AF208" s="20"/>
    </row>
    <row r="209" spans="2:25"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217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</row>
    <row r="210" spans="2:25">
      <c r="B210" s="192"/>
      <c r="C210" s="192"/>
      <c r="D210" s="199"/>
      <c r="E210" s="211"/>
      <c r="F210" s="211"/>
      <c r="G210" s="212"/>
      <c r="H210" s="192"/>
      <c r="I210" s="199"/>
      <c r="J210" s="211"/>
      <c r="K210" s="212"/>
      <c r="L210" s="192"/>
      <c r="M210" s="217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</row>
    <row r="211" spans="2:25" ht="14.25">
      <c r="B211" s="192"/>
      <c r="C211" s="192"/>
      <c r="D211" s="233" t="s">
        <v>27</v>
      </c>
      <c r="E211" s="234"/>
      <c r="F211" s="234"/>
      <c r="G211" s="235"/>
      <c r="H211" s="192"/>
      <c r="I211" s="233" t="s">
        <v>400</v>
      </c>
      <c r="J211" s="234"/>
      <c r="K211" s="235"/>
      <c r="L211" s="192"/>
      <c r="M211" s="217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</row>
    <row r="212" spans="2:25">
      <c r="B212" s="192"/>
      <c r="C212" s="192"/>
      <c r="D212" s="192" t="s">
        <v>28</v>
      </c>
      <c r="E212" s="198"/>
      <c r="F212" s="198"/>
      <c r="G212" s="193">
        <f>D202</f>
        <v>1140</v>
      </c>
      <c r="H212" s="192"/>
      <c r="I212" s="192" t="s">
        <v>28</v>
      </c>
      <c r="J212" s="198"/>
      <c r="K212" s="193">
        <f>D202</f>
        <v>1140</v>
      </c>
      <c r="L212" s="192"/>
      <c r="M212" s="217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</row>
    <row r="213" spans="2:25">
      <c r="B213" s="192"/>
      <c r="C213" s="192"/>
      <c r="D213" s="192" t="s">
        <v>29</v>
      </c>
      <c r="E213" s="198"/>
      <c r="F213" s="198"/>
      <c r="G213" s="193">
        <f>D206</f>
        <v>20600</v>
      </c>
      <c r="H213" s="192"/>
      <c r="I213" s="192" t="s">
        <v>29</v>
      </c>
      <c r="J213" s="192"/>
      <c r="K213" s="193">
        <f>D206</f>
        <v>20600</v>
      </c>
      <c r="L213" s="192"/>
      <c r="M213" s="217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</row>
    <row r="214" spans="2:25">
      <c r="B214" s="192"/>
      <c r="C214" s="192"/>
      <c r="D214" s="192" t="s">
        <v>30</v>
      </c>
      <c r="E214" s="192"/>
      <c r="F214" s="192"/>
      <c r="G214" s="194">
        <v>10</v>
      </c>
      <c r="H214" s="192"/>
      <c r="I214" s="192"/>
      <c r="J214" s="192"/>
      <c r="K214" s="192"/>
      <c r="L214" s="192"/>
      <c r="M214" s="217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</row>
    <row r="215" spans="2:25">
      <c r="B215" s="192"/>
      <c r="C215" s="192"/>
      <c r="D215" s="195" t="s">
        <v>31</v>
      </c>
      <c r="E215" s="191"/>
      <c r="F215" s="191"/>
      <c r="G215" s="191">
        <f>((G213/G212)^(1/G214))-1</f>
        <v>0.33566097453897314</v>
      </c>
      <c r="H215" s="192"/>
      <c r="I215" s="195" t="s">
        <v>401</v>
      </c>
      <c r="J215" s="195"/>
      <c r="K215" s="228">
        <f>(K213-K212)/K212</f>
        <v>17.07017543859649</v>
      </c>
      <c r="L215" s="192"/>
      <c r="M215" s="217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</row>
    <row r="216" spans="2:25">
      <c r="B216" s="192"/>
      <c r="C216" s="192"/>
      <c r="D216" s="195" t="s">
        <v>32</v>
      </c>
      <c r="E216" s="200"/>
      <c r="F216" s="200"/>
      <c r="G216" s="196">
        <f>G214*12</f>
        <v>120</v>
      </c>
      <c r="H216" s="192"/>
      <c r="I216" s="195" t="s">
        <v>402</v>
      </c>
      <c r="J216" s="195"/>
      <c r="K216" s="195">
        <f>K213/K212</f>
        <v>18.07017543859649</v>
      </c>
      <c r="L216" s="192"/>
      <c r="M216" s="217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</row>
    <row r="217" spans="2:25">
      <c r="B217" s="192"/>
      <c r="C217" s="192"/>
      <c r="D217" s="192" t="s">
        <v>30</v>
      </c>
      <c r="E217" s="197"/>
      <c r="F217" s="197"/>
      <c r="G217" s="197">
        <f>G216/12</f>
        <v>10</v>
      </c>
      <c r="H217" s="192"/>
      <c r="I217" s="192"/>
      <c r="J217" s="192"/>
      <c r="K217" s="192"/>
      <c r="L217" s="192"/>
      <c r="M217" s="217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</row>
    <row r="218" spans="2:25">
      <c r="B218" s="192"/>
      <c r="C218" s="192"/>
      <c r="D218" s="195" t="s">
        <v>33</v>
      </c>
      <c r="E218" s="191"/>
      <c r="F218" s="191"/>
      <c r="G218" s="191">
        <v>0</v>
      </c>
      <c r="H218" s="192"/>
      <c r="I218" s="192"/>
      <c r="J218" s="192"/>
      <c r="K218" s="192"/>
      <c r="L218" s="192"/>
      <c r="M218" s="217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</row>
    <row r="219" spans="2:25"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217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</row>
    <row r="220" spans="2:25" ht="15"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</row>
  </sheetData>
  <mergeCells count="7">
    <mergeCell ref="D211:G211"/>
    <mergeCell ref="I211:K211"/>
    <mergeCell ref="L198:O198"/>
    <mergeCell ref="R198:T198"/>
    <mergeCell ref="AE2:AF2"/>
    <mergeCell ref="AE3:AF3"/>
    <mergeCell ref="K181:L181"/>
  </mergeCells>
  <pageMargins left="0.7" right="0.7" top="0.75" bottom="0.75" header="0.3" footer="0.3"/>
  <pageSetup orientation="portrait" r:id="rId1"/>
  <ignoredErrors>
    <ignoredError sqref="C170" evalError="1"/>
    <ignoredError sqref="U43 J206 J204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45" t="s">
        <v>27</v>
      </c>
      <c r="K5" s="245"/>
      <c r="M5" s="245" t="s">
        <v>65</v>
      </c>
      <c r="N5" s="245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45" t="s">
        <v>36</v>
      </c>
      <c r="K14" s="245"/>
      <c r="L14" s="245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45" t="s">
        <v>27</v>
      </c>
      <c r="S5" s="245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45" t="s">
        <v>36</v>
      </c>
      <c r="S14" s="245"/>
      <c r="T14" s="245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45" t="s">
        <v>27</v>
      </c>
      <c r="C2" s="245"/>
      <c r="E2" s="245" t="s">
        <v>65</v>
      </c>
      <c r="F2" s="245"/>
      <c r="H2" s="249" t="s">
        <v>36</v>
      </c>
      <c r="I2" s="250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46" t="s">
        <v>68</v>
      </c>
      <c r="E10" s="247"/>
      <c r="F10" s="247"/>
      <c r="G10" s="247"/>
      <c r="H10" s="248"/>
      <c r="I10" s="246" t="s">
        <v>72</v>
      </c>
      <c r="J10" s="247"/>
      <c r="K10" s="247"/>
      <c r="L10" s="248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2016-10-02T02:03:57Z</dcterms:modified>
</cp:coreProperties>
</file>
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232" i="18" l="1"/>
  <c r="G234" i="18"/>
  <c r="G233" i="18"/>
  <c r="K233" i="18"/>
  <c r="K232" i="18"/>
  <c r="J225" i="18"/>
  <c r="J221" i="18"/>
  <c r="I224" i="18"/>
  <c r="J223" i="18"/>
  <c r="J224" i="18"/>
  <c r="H224" i="18"/>
  <c r="J222" i="18"/>
  <c r="I222" i="18"/>
  <c r="H222" i="18"/>
  <c r="J220" i="18"/>
  <c r="I220" i="18"/>
  <c r="H220" i="18"/>
  <c r="H219" i="18"/>
  <c r="I219" i="18"/>
  <c r="J219" i="18"/>
  <c r="J218" i="18"/>
  <c r="I218" i="18"/>
  <c r="H218" i="18"/>
  <c r="J217" i="18"/>
  <c r="I217" i="18"/>
  <c r="H217" i="18"/>
  <c r="D223" i="18"/>
  <c r="D219" i="18"/>
  <c r="AD65" i="18"/>
  <c r="R65" i="18"/>
  <c r="S65" i="18" s="1"/>
  <c r="T65" i="18" s="1"/>
  <c r="U65" i="18" s="1"/>
  <c r="V65" i="18" s="1"/>
  <c r="W65" i="18" s="1"/>
  <c r="X65" i="18" s="1"/>
  <c r="Y65" i="18" s="1"/>
  <c r="Z65" i="18" s="1"/>
  <c r="AA65" i="18" s="1"/>
  <c r="AB65" i="18" s="1"/>
  <c r="AC65" i="18" s="1"/>
  <c r="Q65" i="18"/>
  <c r="P66" i="18"/>
  <c r="O66" i="18"/>
  <c r="N66" i="18"/>
  <c r="M66" i="18"/>
  <c r="L66" i="18"/>
  <c r="K66" i="18"/>
  <c r="J66" i="18"/>
  <c r="I66" i="18"/>
  <c r="H66" i="18"/>
  <c r="G66" i="18"/>
  <c r="AD16" i="18"/>
  <c r="R16" i="18"/>
  <c r="S16" i="18" s="1"/>
  <c r="T16" i="18" s="1"/>
  <c r="Q16" i="18"/>
  <c r="AE65" i="18" l="1"/>
  <c r="U16" i="18"/>
  <c r="V16" i="18" s="1"/>
  <c r="W16" i="18" s="1"/>
  <c r="X16" i="18" s="1"/>
  <c r="Y16" i="18" s="1"/>
  <c r="Z16" i="18" s="1"/>
  <c r="AA16" i="18" s="1"/>
  <c r="AB16" i="18" s="1"/>
  <c r="AC16" i="18" s="1"/>
  <c r="AC152" i="18"/>
  <c r="H151" i="18"/>
  <c r="I151" i="18"/>
  <c r="J151" i="18"/>
  <c r="K151" i="18"/>
  <c r="L151" i="18"/>
  <c r="M151" i="18"/>
  <c r="N151" i="18"/>
  <c r="O151" i="18"/>
  <c r="P151" i="18"/>
  <c r="G151" i="18"/>
  <c r="H147" i="18"/>
  <c r="H148" i="18" s="1"/>
  <c r="I147" i="18"/>
  <c r="I148" i="18" s="1"/>
  <c r="J147" i="18"/>
  <c r="J148" i="18" s="1"/>
  <c r="K147" i="18"/>
  <c r="K148" i="18" s="1"/>
  <c r="L147" i="18"/>
  <c r="L148" i="18" s="1"/>
  <c r="M147" i="18"/>
  <c r="M148" i="18" s="1"/>
  <c r="N147" i="18"/>
  <c r="N148" i="18" s="1"/>
  <c r="O147" i="18"/>
  <c r="O148" i="18" s="1"/>
  <c r="P147" i="18"/>
  <c r="Q147" i="18" s="1"/>
  <c r="G147" i="18"/>
  <c r="G148" i="18" s="1"/>
  <c r="Q152" i="18"/>
  <c r="Q149" i="18"/>
  <c r="H112" i="18"/>
  <c r="I112" i="18"/>
  <c r="J112" i="18"/>
  <c r="K112" i="18"/>
  <c r="L112" i="18"/>
  <c r="M112" i="18"/>
  <c r="N112" i="18"/>
  <c r="O112" i="18"/>
  <c r="P112" i="18"/>
  <c r="G112" i="18"/>
  <c r="AD33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D32" i="18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D31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D30" i="18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AD90" i="18"/>
  <c r="AD61" i="18"/>
  <c r="S61" i="18"/>
  <c r="T61" i="18" s="1"/>
  <c r="U61" i="18" s="1"/>
  <c r="V61" i="18" s="1"/>
  <c r="W61" i="18" s="1"/>
  <c r="X61" i="18" s="1"/>
  <c r="Y61" i="18" s="1"/>
  <c r="Z61" i="18" s="1"/>
  <c r="AA61" i="18" s="1"/>
  <c r="AB61" i="18" s="1"/>
  <c r="AD60" i="18"/>
  <c r="S60" i="18"/>
  <c r="T60" i="18" s="1"/>
  <c r="U60" i="18" s="1"/>
  <c r="V60" i="18" s="1"/>
  <c r="W60" i="18" s="1"/>
  <c r="X60" i="18" s="1"/>
  <c r="Y60" i="18" s="1"/>
  <c r="Z60" i="18" s="1"/>
  <c r="AA60" i="18" s="1"/>
  <c r="AB60" i="18" s="1"/>
  <c r="AD59" i="18"/>
  <c r="S59" i="18"/>
  <c r="T59" i="18" s="1"/>
  <c r="U59" i="18" s="1"/>
  <c r="V59" i="18" s="1"/>
  <c r="W59" i="18" s="1"/>
  <c r="X59" i="18" s="1"/>
  <c r="Y59" i="18" s="1"/>
  <c r="Z59" i="18" s="1"/>
  <c r="AA59" i="18" s="1"/>
  <c r="AB59" i="18" s="1"/>
  <c r="AD58" i="18"/>
  <c r="S58" i="18"/>
  <c r="T58" i="18" s="1"/>
  <c r="U58" i="18" s="1"/>
  <c r="V58" i="18" s="1"/>
  <c r="W58" i="18" s="1"/>
  <c r="X58" i="18" s="1"/>
  <c r="Y58" i="18" s="1"/>
  <c r="Z58" i="18" s="1"/>
  <c r="AA58" i="18" s="1"/>
  <c r="AB58" i="18" s="1"/>
  <c r="S20" i="18"/>
  <c r="T20" i="18" s="1"/>
  <c r="U20" i="18" s="1"/>
  <c r="V20" i="18" s="1"/>
  <c r="W20" i="18" s="1"/>
  <c r="X20" i="18" s="1"/>
  <c r="Y20" i="18" s="1"/>
  <c r="Z20" i="18" s="1"/>
  <c r="AA20" i="18" s="1"/>
  <c r="AB20" i="18" s="1"/>
  <c r="AE20" i="18" s="1"/>
  <c r="Q20" i="18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AE70" i="18" s="1"/>
  <c r="Q70" i="18"/>
  <c r="Q61" i="18"/>
  <c r="Q60" i="18"/>
  <c r="Q59" i="18"/>
  <c r="Q58" i="18"/>
  <c r="P34" i="18"/>
  <c r="O34" i="18"/>
  <c r="N34" i="18"/>
  <c r="M34" i="18"/>
  <c r="L34" i="18"/>
  <c r="K34" i="18"/>
  <c r="J34" i="18"/>
  <c r="I34" i="18"/>
  <c r="H34" i="18"/>
  <c r="G34" i="18"/>
  <c r="Q33" i="18"/>
  <c r="Q32" i="18"/>
  <c r="Q31" i="18"/>
  <c r="Q30" i="18"/>
  <c r="P50" i="18"/>
  <c r="O50" i="18"/>
  <c r="N50" i="18"/>
  <c r="M50" i="18"/>
  <c r="L50" i="18"/>
  <c r="K50" i="18"/>
  <c r="J50" i="18"/>
  <c r="I50" i="18"/>
  <c r="H50" i="18"/>
  <c r="G50" i="18"/>
  <c r="S49" i="18"/>
  <c r="T49" i="18" s="1"/>
  <c r="U49" i="18" s="1"/>
  <c r="V49" i="18" s="1"/>
  <c r="W49" i="18" s="1"/>
  <c r="X49" i="18" s="1"/>
  <c r="Y49" i="18" s="1"/>
  <c r="Z49" i="18" s="1"/>
  <c r="AA49" i="18" s="1"/>
  <c r="AB49" i="18" s="1"/>
  <c r="AE49" i="18" s="1"/>
  <c r="Q49" i="18"/>
  <c r="P43" i="18"/>
  <c r="O43" i="18"/>
  <c r="N43" i="18"/>
  <c r="M43" i="18"/>
  <c r="L43" i="18"/>
  <c r="K43" i="18"/>
  <c r="J43" i="18"/>
  <c r="I43" i="18"/>
  <c r="H43" i="18"/>
  <c r="G43" i="18"/>
  <c r="S42" i="18"/>
  <c r="T42" i="18" s="1"/>
  <c r="U42" i="18" s="1"/>
  <c r="V42" i="18" s="1"/>
  <c r="W42" i="18" s="1"/>
  <c r="X42" i="18" s="1"/>
  <c r="Y42" i="18" s="1"/>
  <c r="Z42" i="18" s="1"/>
  <c r="AA42" i="18" s="1"/>
  <c r="AB42" i="18" s="1"/>
  <c r="AE42" i="18" s="1"/>
  <c r="Q42" i="18"/>
  <c r="P41" i="18"/>
  <c r="O41" i="18"/>
  <c r="N41" i="18"/>
  <c r="M41" i="18"/>
  <c r="L41" i="18"/>
  <c r="K41" i="18"/>
  <c r="J41" i="18"/>
  <c r="I41" i="18"/>
  <c r="H41" i="18"/>
  <c r="G41" i="18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AE40" i="18" s="1"/>
  <c r="Q40" i="18"/>
  <c r="P39" i="18"/>
  <c r="O39" i="18"/>
  <c r="N39" i="18"/>
  <c r="M39" i="18"/>
  <c r="L39" i="18"/>
  <c r="K39" i="18"/>
  <c r="J39" i="18"/>
  <c r="I39" i="18"/>
  <c r="H39" i="18"/>
  <c r="G39" i="18"/>
  <c r="S38" i="18"/>
  <c r="T38" i="18" s="1"/>
  <c r="U38" i="18" s="1"/>
  <c r="V38" i="18" s="1"/>
  <c r="W38" i="18" s="1"/>
  <c r="X38" i="18" s="1"/>
  <c r="Y38" i="18" s="1"/>
  <c r="Z38" i="18" s="1"/>
  <c r="AA38" i="18" s="1"/>
  <c r="AB38" i="18" s="1"/>
  <c r="AE38" i="18" s="1"/>
  <c r="Q38" i="18"/>
  <c r="P37" i="18"/>
  <c r="O37" i="18"/>
  <c r="N37" i="18"/>
  <c r="M37" i="18"/>
  <c r="L37" i="18"/>
  <c r="K37" i="18"/>
  <c r="J37" i="18"/>
  <c r="I37" i="18"/>
  <c r="H37" i="18"/>
  <c r="G37" i="18"/>
  <c r="S36" i="18"/>
  <c r="T36" i="18" s="1"/>
  <c r="U36" i="18" s="1"/>
  <c r="V36" i="18" s="1"/>
  <c r="W36" i="18" s="1"/>
  <c r="X36" i="18" s="1"/>
  <c r="Y36" i="18" s="1"/>
  <c r="Z36" i="18" s="1"/>
  <c r="AA36" i="18" s="1"/>
  <c r="AB36" i="18" s="1"/>
  <c r="AE36" i="18" s="1"/>
  <c r="Q36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E21" i="18" s="1"/>
  <c r="Q21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AE14" i="18" s="1"/>
  <c r="Q14" i="18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AE13" i="18" s="1"/>
  <c r="Q13" i="18"/>
  <c r="AE16" i="18" l="1"/>
  <c r="P148" i="18"/>
  <c r="Q148" i="18" s="1"/>
  <c r="Q112" i="18"/>
  <c r="Q151" i="18"/>
  <c r="AC33" i="18"/>
  <c r="AE33" i="18"/>
  <c r="AC32" i="18"/>
  <c r="AE32" i="18"/>
  <c r="AE31" i="18"/>
  <c r="AC31" i="18"/>
  <c r="AE30" i="18"/>
  <c r="AC30" i="18"/>
  <c r="AC61" i="18"/>
  <c r="AE61" i="18"/>
  <c r="AC60" i="18"/>
  <c r="AE60" i="18"/>
  <c r="AE59" i="18"/>
  <c r="AC59" i="18"/>
  <c r="AC58" i="18"/>
  <c r="AE58" i="18"/>
  <c r="AC20" i="18"/>
  <c r="AC70" i="18"/>
  <c r="AC49" i="18"/>
  <c r="AC36" i="18"/>
  <c r="AC42" i="18"/>
  <c r="AC38" i="18"/>
  <c r="AC40" i="18"/>
  <c r="AC21" i="18"/>
  <c r="AC14" i="18"/>
  <c r="AC13" i="18"/>
  <c r="P111" i="18" l="1"/>
  <c r="P110" i="18"/>
  <c r="C111" i="18"/>
  <c r="D111" i="18"/>
  <c r="E111" i="18"/>
  <c r="F111" i="18"/>
  <c r="H111" i="18"/>
  <c r="I111" i="18"/>
  <c r="J111" i="18"/>
  <c r="K111" i="18"/>
  <c r="L111" i="18"/>
  <c r="M111" i="18"/>
  <c r="N111" i="18"/>
  <c r="O111" i="18"/>
  <c r="G111" i="18"/>
  <c r="G110" i="18"/>
  <c r="H145" i="18"/>
  <c r="I145" i="18"/>
  <c r="J145" i="18"/>
  <c r="K145" i="18"/>
  <c r="L145" i="18"/>
  <c r="M145" i="18"/>
  <c r="N145" i="18"/>
  <c r="O145" i="18"/>
  <c r="P145" i="18"/>
  <c r="G145" i="18"/>
  <c r="H144" i="18"/>
  <c r="I144" i="18"/>
  <c r="J144" i="18"/>
  <c r="K144" i="18"/>
  <c r="L144" i="18"/>
  <c r="M144" i="18"/>
  <c r="N144" i="18"/>
  <c r="O144" i="18"/>
  <c r="P144" i="18"/>
  <c r="G144" i="18"/>
  <c r="H141" i="18"/>
  <c r="I141" i="18"/>
  <c r="J141" i="18"/>
  <c r="K141" i="18"/>
  <c r="L141" i="18"/>
  <c r="M141" i="18"/>
  <c r="N141" i="18"/>
  <c r="O141" i="18"/>
  <c r="P141" i="18"/>
  <c r="G141" i="18"/>
  <c r="H142" i="18"/>
  <c r="I142" i="18"/>
  <c r="J142" i="18"/>
  <c r="K142" i="18"/>
  <c r="L142" i="18"/>
  <c r="M142" i="18"/>
  <c r="N142" i="18"/>
  <c r="O142" i="18"/>
  <c r="P142" i="18"/>
  <c r="G142" i="18"/>
  <c r="H140" i="18"/>
  <c r="I140" i="18"/>
  <c r="J140" i="18"/>
  <c r="K140" i="18"/>
  <c r="L140" i="18"/>
  <c r="M140" i="18"/>
  <c r="N140" i="18"/>
  <c r="O140" i="18"/>
  <c r="P140" i="18"/>
  <c r="G140" i="18"/>
  <c r="H139" i="18"/>
  <c r="I139" i="18"/>
  <c r="J139" i="18"/>
  <c r="K139" i="18"/>
  <c r="L139" i="18"/>
  <c r="M139" i="18"/>
  <c r="N139" i="18"/>
  <c r="O139" i="18"/>
  <c r="P139" i="18"/>
  <c r="Q139" i="18" s="1"/>
  <c r="G139" i="18"/>
  <c r="R187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B136" i="18"/>
  <c r="B135" i="18"/>
  <c r="K202" i="18"/>
  <c r="K201" i="18"/>
  <c r="K200" i="18"/>
  <c r="S69" i="18"/>
  <c r="AD54" i="18"/>
  <c r="R54" i="18"/>
  <c r="S54" i="18" s="1"/>
  <c r="T54" i="18" s="1"/>
  <c r="U54" i="18" s="1"/>
  <c r="V54" i="18" s="1"/>
  <c r="W54" i="18" s="1"/>
  <c r="X54" i="18" s="1"/>
  <c r="Y54" i="18" s="1"/>
  <c r="Z54" i="18" s="1"/>
  <c r="AA54" i="18" s="1"/>
  <c r="AB54" i="18" s="1"/>
  <c r="Q54" i="18"/>
  <c r="G124" i="18"/>
  <c r="H124" i="18"/>
  <c r="I124" i="18"/>
  <c r="J124" i="18"/>
  <c r="K124" i="18"/>
  <c r="L124" i="18"/>
  <c r="M124" i="18"/>
  <c r="N124" i="18"/>
  <c r="O124" i="18"/>
  <c r="P124" i="18"/>
  <c r="F132" i="18"/>
  <c r="H132" i="18"/>
  <c r="I132" i="18"/>
  <c r="J132" i="18"/>
  <c r="K132" i="18"/>
  <c r="L132" i="18"/>
  <c r="M132" i="18"/>
  <c r="N132" i="18"/>
  <c r="O132" i="18"/>
  <c r="P132" i="18"/>
  <c r="G132" i="18"/>
  <c r="F131" i="18"/>
  <c r="H131" i="18"/>
  <c r="I131" i="18"/>
  <c r="J131" i="18"/>
  <c r="K131" i="18"/>
  <c r="L131" i="18"/>
  <c r="M131" i="18"/>
  <c r="N131" i="18"/>
  <c r="O131" i="18"/>
  <c r="P131" i="18"/>
  <c r="G131" i="18"/>
  <c r="Q111" i="18" l="1"/>
  <c r="Q144" i="18"/>
  <c r="Q140" i="18"/>
  <c r="Q141" i="18"/>
  <c r="Q145" i="18"/>
  <c r="Q142" i="18"/>
  <c r="Q134" i="18"/>
  <c r="Q135" i="18"/>
  <c r="Q136" i="18"/>
  <c r="Q124" i="18"/>
  <c r="AC54" i="18"/>
  <c r="AE54" i="18"/>
  <c r="Q132" i="18"/>
  <c r="Q131" i="18"/>
  <c r="R9" i="18"/>
  <c r="R10" i="18"/>
  <c r="R12" i="18"/>
  <c r="R15" i="18"/>
  <c r="R17" i="18"/>
  <c r="R18" i="18"/>
  <c r="R23" i="18"/>
  <c r="R25" i="18"/>
  <c r="R26" i="18"/>
  <c r="R27" i="18"/>
  <c r="R28" i="18"/>
  <c r="R45" i="18"/>
  <c r="R47" i="18"/>
  <c r="R51" i="18"/>
  <c r="R53" i="18"/>
  <c r="S53" i="18" s="1"/>
  <c r="T53" i="18" s="1"/>
  <c r="U53" i="18" s="1"/>
  <c r="V53" i="18" s="1"/>
  <c r="W53" i="18" s="1"/>
  <c r="X53" i="18" s="1"/>
  <c r="Y53" i="18" s="1"/>
  <c r="Z53" i="18" s="1"/>
  <c r="AA53" i="18" s="1"/>
  <c r="AB53" i="18" s="1"/>
  <c r="R55" i="18"/>
  <c r="R56" i="18"/>
  <c r="R63" i="18"/>
  <c r="R67" i="18"/>
  <c r="R7" i="18"/>
  <c r="R6" i="18"/>
  <c r="AD9" i="18"/>
  <c r="AD10" i="18"/>
  <c r="AD11" i="18"/>
  <c r="AD12" i="18"/>
  <c r="AD15" i="18"/>
  <c r="AD17" i="18"/>
  <c r="AD18" i="18"/>
  <c r="AD23" i="18"/>
  <c r="AD25" i="18"/>
  <c r="AD26" i="18"/>
  <c r="AD27" i="18"/>
  <c r="AD28" i="18"/>
  <c r="AD45" i="18"/>
  <c r="AD47" i="18"/>
  <c r="AD51" i="18"/>
  <c r="AD53" i="18"/>
  <c r="AD55" i="18"/>
  <c r="AD56" i="18"/>
  <c r="AD63" i="18"/>
  <c r="AD67" i="18"/>
  <c r="AD69" i="18"/>
  <c r="AD71" i="18"/>
  <c r="AD74" i="18"/>
  <c r="AD75" i="18"/>
  <c r="AD77" i="18"/>
  <c r="AD78" i="18"/>
  <c r="AD79" i="18"/>
  <c r="AD80" i="18"/>
  <c r="AD82" i="18"/>
  <c r="AD83" i="18"/>
  <c r="AD84" i="18"/>
  <c r="AD86" i="18"/>
  <c r="AD87" i="18"/>
  <c r="AD88" i="18"/>
  <c r="AD89" i="18"/>
  <c r="AD92" i="18"/>
  <c r="AD94" i="18"/>
  <c r="AD96" i="18"/>
  <c r="AD97" i="18"/>
  <c r="AD98" i="18"/>
  <c r="AD99" i="18"/>
  <c r="AD100" i="18"/>
  <c r="AD102" i="18"/>
  <c r="AD103" i="18"/>
  <c r="AD104" i="18"/>
  <c r="AD7" i="18"/>
  <c r="AD6" i="18"/>
  <c r="G121" i="18" l="1"/>
  <c r="F121" i="18"/>
  <c r="H121" i="18"/>
  <c r="I121" i="18"/>
  <c r="J121" i="18"/>
  <c r="K121" i="18"/>
  <c r="L121" i="18"/>
  <c r="M121" i="18"/>
  <c r="N121" i="18"/>
  <c r="O121" i="18"/>
  <c r="P121" i="18"/>
  <c r="Q121" i="18" l="1"/>
  <c r="H114" i="18"/>
  <c r="I114" i="18"/>
  <c r="J114" i="18"/>
  <c r="K114" i="18"/>
  <c r="L114" i="18"/>
  <c r="M114" i="18"/>
  <c r="N114" i="18"/>
  <c r="O114" i="18"/>
  <c r="P114" i="18"/>
  <c r="H115" i="18"/>
  <c r="I115" i="18"/>
  <c r="J115" i="18"/>
  <c r="K115" i="18"/>
  <c r="L115" i="18"/>
  <c r="M115" i="18"/>
  <c r="N115" i="18"/>
  <c r="O115" i="18"/>
  <c r="P115" i="18"/>
  <c r="G115" i="18"/>
  <c r="G114" i="18"/>
  <c r="S51" i="18"/>
  <c r="T51" i="18" s="1"/>
  <c r="U51" i="18" s="1"/>
  <c r="V51" i="18" s="1"/>
  <c r="W51" i="18" s="1"/>
  <c r="X51" i="18" s="1"/>
  <c r="Y51" i="18" s="1"/>
  <c r="Z51" i="18" s="1"/>
  <c r="AA51" i="18" s="1"/>
  <c r="AB51" i="18" s="1"/>
  <c r="Q51" i="18"/>
  <c r="P52" i="18"/>
  <c r="O52" i="18"/>
  <c r="N52" i="18"/>
  <c r="M52" i="18"/>
  <c r="L52" i="18"/>
  <c r="K52" i="18"/>
  <c r="J52" i="18"/>
  <c r="I52" i="18"/>
  <c r="H52" i="18"/>
  <c r="G52" i="18"/>
  <c r="Q115" i="18" l="1"/>
  <c r="Q114" i="18"/>
  <c r="AE51" i="18"/>
  <c r="AC51" i="18"/>
  <c r="H123" i="18"/>
  <c r="I123" i="18"/>
  <c r="J123" i="18"/>
  <c r="K123" i="18"/>
  <c r="L123" i="18"/>
  <c r="M123" i="18"/>
  <c r="N123" i="18"/>
  <c r="O123" i="18"/>
  <c r="P123" i="18"/>
  <c r="G123" i="18"/>
  <c r="H122" i="18"/>
  <c r="I122" i="18"/>
  <c r="J122" i="18"/>
  <c r="K122" i="18"/>
  <c r="L122" i="18"/>
  <c r="M122" i="18"/>
  <c r="N122" i="18"/>
  <c r="O122" i="18"/>
  <c r="P122" i="18"/>
  <c r="G122" i="18"/>
  <c r="Q122" i="18" l="1"/>
  <c r="Q123" i="18"/>
  <c r="AE91" i="18"/>
  <c r="C195" i="18" l="1"/>
  <c r="D195" i="18"/>
  <c r="E195" i="18"/>
  <c r="F195" i="18"/>
  <c r="G195" i="18"/>
  <c r="H195" i="18"/>
  <c r="I195" i="18"/>
  <c r="J195" i="18"/>
  <c r="K195" i="18"/>
  <c r="L195" i="18"/>
  <c r="M195" i="18"/>
  <c r="N195" i="18"/>
  <c r="O195" i="18"/>
  <c r="P195" i="18"/>
  <c r="C9" i="15"/>
  <c r="D92" i="18"/>
  <c r="E92" i="18"/>
  <c r="E126" i="18" s="1"/>
  <c r="E127" i="18" s="1"/>
  <c r="F92" i="18"/>
  <c r="F126" i="18" s="1"/>
  <c r="F127" i="18" s="1"/>
  <c r="G92" i="18"/>
  <c r="G126" i="18" s="1"/>
  <c r="G127" i="18" s="1"/>
  <c r="H92" i="18"/>
  <c r="H126" i="18" s="1"/>
  <c r="H127" i="18" s="1"/>
  <c r="I92" i="18"/>
  <c r="I126" i="18" s="1"/>
  <c r="I127" i="18" s="1"/>
  <c r="J92" i="18"/>
  <c r="J126" i="18" s="1"/>
  <c r="J127" i="18" s="1"/>
  <c r="K92" i="18"/>
  <c r="K126" i="18" s="1"/>
  <c r="K127" i="18" s="1"/>
  <c r="L92" i="18"/>
  <c r="L126" i="18" s="1"/>
  <c r="L127" i="18" s="1"/>
  <c r="M92" i="18"/>
  <c r="M126" i="18" s="1"/>
  <c r="M127" i="18" s="1"/>
  <c r="N92" i="18"/>
  <c r="N126" i="18" s="1"/>
  <c r="N127" i="18" s="1"/>
  <c r="O92" i="18"/>
  <c r="O126" i="18" s="1"/>
  <c r="O127" i="18" s="1"/>
  <c r="P92" i="18"/>
  <c r="P126" i="18" s="1"/>
  <c r="C92" i="18"/>
  <c r="S71" i="18"/>
  <c r="S92" i="18" s="1"/>
  <c r="S126" i="18" s="1"/>
  <c r="S127" i="18" s="1"/>
  <c r="Q71" i="18"/>
  <c r="N128" i="18" l="1"/>
  <c r="N129" i="18" s="1"/>
  <c r="J128" i="18"/>
  <c r="J129" i="18" s="1"/>
  <c r="L128" i="18"/>
  <c r="L129" i="18" s="1"/>
  <c r="H128" i="18"/>
  <c r="H129" i="18" s="1"/>
  <c r="M128" i="18"/>
  <c r="M129" i="18" s="1"/>
  <c r="I128" i="18"/>
  <c r="I129" i="18" s="1"/>
  <c r="F128" i="18"/>
  <c r="F129" i="18" s="1"/>
  <c r="O128" i="18"/>
  <c r="O129" i="18" s="1"/>
  <c r="K128" i="18"/>
  <c r="K129" i="18" s="1"/>
  <c r="G128" i="18"/>
  <c r="G129" i="18" s="1"/>
  <c r="P127" i="18"/>
  <c r="Q126" i="18"/>
  <c r="T71" i="18"/>
  <c r="U71" i="18" s="1"/>
  <c r="V71" i="18" s="1"/>
  <c r="W71" i="18" s="1"/>
  <c r="P128" i="18" l="1"/>
  <c r="Q127" i="18"/>
  <c r="U92" i="18"/>
  <c r="X71" i="18"/>
  <c r="W92" i="18"/>
  <c r="V92" i="18"/>
  <c r="T92" i="18"/>
  <c r="C102" i="18"/>
  <c r="D102" i="18"/>
  <c r="E102" i="18"/>
  <c r="F102" i="18"/>
  <c r="G102" i="18"/>
  <c r="H102" i="18"/>
  <c r="I102" i="18"/>
  <c r="J102" i="18"/>
  <c r="K102" i="18"/>
  <c r="L102" i="18"/>
  <c r="M102" i="18"/>
  <c r="N102" i="18"/>
  <c r="O102" i="18"/>
  <c r="C103" i="18"/>
  <c r="D103" i="18"/>
  <c r="E103" i="18"/>
  <c r="F103" i="18"/>
  <c r="G103" i="18"/>
  <c r="H103" i="18"/>
  <c r="I103" i="18"/>
  <c r="J103" i="18"/>
  <c r="K103" i="18"/>
  <c r="L103" i="18"/>
  <c r="M103" i="18"/>
  <c r="N103" i="18"/>
  <c r="O103" i="18"/>
  <c r="C104" i="18"/>
  <c r="D104" i="18"/>
  <c r="E104" i="18"/>
  <c r="F104" i="18"/>
  <c r="G104" i="18"/>
  <c r="H104" i="18"/>
  <c r="I104" i="18"/>
  <c r="J104" i="18"/>
  <c r="K104" i="18"/>
  <c r="L104" i="18"/>
  <c r="M104" i="18"/>
  <c r="N104" i="18"/>
  <c r="O104" i="18"/>
  <c r="P104" i="18"/>
  <c r="P103" i="18"/>
  <c r="P102" i="18"/>
  <c r="C110" i="18"/>
  <c r="D110" i="18"/>
  <c r="E110" i="18"/>
  <c r="F110" i="18"/>
  <c r="H110" i="18"/>
  <c r="I110" i="18"/>
  <c r="J110" i="18"/>
  <c r="K110" i="18"/>
  <c r="L110" i="18"/>
  <c r="M110" i="18"/>
  <c r="N110" i="18"/>
  <c r="O110" i="18"/>
  <c r="C108" i="18"/>
  <c r="D108" i="18"/>
  <c r="E108" i="18"/>
  <c r="C109" i="18"/>
  <c r="D109" i="18"/>
  <c r="E109" i="18"/>
  <c r="F109" i="18"/>
  <c r="G109" i="18"/>
  <c r="H109" i="18"/>
  <c r="I109" i="18"/>
  <c r="J109" i="18"/>
  <c r="K109" i="18"/>
  <c r="L109" i="18"/>
  <c r="M109" i="18"/>
  <c r="N109" i="18"/>
  <c r="O109" i="18"/>
  <c r="F108" i="18"/>
  <c r="G108" i="18"/>
  <c r="H108" i="18"/>
  <c r="I108" i="18"/>
  <c r="J108" i="18"/>
  <c r="K108" i="18"/>
  <c r="L108" i="18"/>
  <c r="M108" i="18"/>
  <c r="N108" i="18"/>
  <c r="O108" i="18"/>
  <c r="P109" i="18"/>
  <c r="G68" i="18"/>
  <c r="G64" i="18"/>
  <c r="G48" i="18"/>
  <c r="G11" i="18"/>
  <c r="G8" i="18"/>
  <c r="G46" i="18"/>
  <c r="Q104" i="18" l="1"/>
  <c r="Y71" i="18"/>
  <c r="X92" i="18"/>
  <c r="Q102" i="18"/>
  <c r="Q103" i="18"/>
  <c r="Q109" i="18"/>
  <c r="Q110" i="18"/>
  <c r="P108" i="18"/>
  <c r="Q108" i="18" s="1"/>
  <c r="C210" i="18"/>
  <c r="D210" i="18"/>
  <c r="E210" i="18"/>
  <c r="F210" i="18"/>
  <c r="C211" i="18"/>
  <c r="D211" i="18"/>
  <c r="E211" i="18"/>
  <c r="F211" i="18"/>
  <c r="C212" i="18"/>
  <c r="D212" i="18"/>
  <c r="E212" i="18"/>
  <c r="F212" i="18"/>
  <c r="H212" i="18"/>
  <c r="I212" i="18"/>
  <c r="J212" i="18"/>
  <c r="K212" i="18"/>
  <c r="L212" i="18"/>
  <c r="M212" i="18"/>
  <c r="N212" i="18"/>
  <c r="O212" i="18"/>
  <c r="P212" i="18"/>
  <c r="G212" i="18"/>
  <c r="H211" i="18"/>
  <c r="I211" i="18"/>
  <c r="J211" i="18"/>
  <c r="K211" i="18"/>
  <c r="L211" i="18"/>
  <c r="M211" i="18"/>
  <c r="N211" i="18"/>
  <c r="O211" i="18"/>
  <c r="P211" i="18"/>
  <c r="G211" i="18"/>
  <c r="H210" i="18"/>
  <c r="I210" i="18"/>
  <c r="J210" i="18"/>
  <c r="K210" i="18"/>
  <c r="L210" i="18"/>
  <c r="M210" i="18"/>
  <c r="N210" i="18"/>
  <c r="O210" i="18"/>
  <c r="P210" i="18"/>
  <c r="G210" i="18"/>
  <c r="H75" i="18"/>
  <c r="I75" i="18"/>
  <c r="J75" i="18"/>
  <c r="K75" i="18"/>
  <c r="L75" i="18"/>
  <c r="M75" i="18"/>
  <c r="N75" i="18"/>
  <c r="O75" i="18"/>
  <c r="P75" i="18"/>
  <c r="C75" i="18"/>
  <c r="D75" i="18"/>
  <c r="E75" i="18"/>
  <c r="F75" i="18"/>
  <c r="G75" i="18"/>
  <c r="G77" i="18"/>
  <c r="G194" i="18" s="1"/>
  <c r="H74" i="18"/>
  <c r="H188" i="18" s="1"/>
  <c r="I74" i="18"/>
  <c r="I188" i="18" s="1"/>
  <c r="J74" i="18"/>
  <c r="J188" i="18" s="1"/>
  <c r="K74" i="18"/>
  <c r="K188" i="18" s="1"/>
  <c r="L74" i="18"/>
  <c r="L188" i="18" s="1"/>
  <c r="M74" i="18"/>
  <c r="M188" i="18" s="1"/>
  <c r="N74" i="18"/>
  <c r="N188" i="18" s="1"/>
  <c r="O74" i="18"/>
  <c r="O188" i="18" s="1"/>
  <c r="P74" i="18"/>
  <c r="P188" i="18" s="1"/>
  <c r="C74" i="18"/>
  <c r="C188" i="18" s="1"/>
  <c r="D74" i="18"/>
  <c r="D188" i="18" s="1"/>
  <c r="E74" i="18"/>
  <c r="E188" i="18" s="1"/>
  <c r="F74" i="18"/>
  <c r="F188" i="18" s="1"/>
  <c r="G74" i="18"/>
  <c r="G188" i="18" s="1"/>
  <c r="P68" i="18"/>
  <c r="O68" i="18"/>
  <c r="N68" i="18"/>
  <c r="M68" i="18"/>
  <c r="L68" i="18"/>
  <c r="K68" i="18"/>
  <c r="J68" i="18"/>
  <c r="I68" i="18"/>
  <c r="H68" i="18"/>
  <c r="P64" i="18"/>
  <c r="O64" i="18"/>
  <c r="N64" i="18"/>
  <c r="M64" i="18"/>
  <c r="L64" i="18"/>
  <c r="K64" i="18"/>
  <c r="J64" i="18"/>
  <c r="I64" i="18"/>
  <c r="H64" i="18"/>
  <c r="P48" i="18"/>
  <c r="O48" i="18"/>
  <c r="N48" i="18"/>
  <c r="M48" i="18"/>
  <c r="L48" i="18"/>
  <c r="K48" i="18"/>
  <c r="J48" i="18"/>
  <c r="I48" i="18"/>
  <c r="H48" i="18"/>
  <c r="P46" i="18"/>
  <c r="O46" i="18"/>
  <c r="N46" i="18"/>
  <c r="M46" i="18"/>
  <c r="L46" i="18"/>
  <c r="K46" i="18"/>
  <c r="J46" i="18"/>
  <c r="I46" i="18"/>
  <c r="H46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69" i="18"/>
  <c r="S63" i="18"/>
  <c r="Q63" i="18"/>
  <c r="Q188" i="18" l="1"/>
  <c r="Z71" i="18"/>
  <c r="Y92" i="18"/>
  <c r="T63" i="18"/>
  <c r="Q212" i="18"/>
  <c r="Q75" i="18"/>
  <c r="Q74" i="18"/>
  <c r="Q211" i="18"/>
  <c r="Q210" i="18"/>
  <c r="Q53" i="18"/>
  <c r="Q56" i="18"/>
  <c r="AA71" i="18" l="1"/>
  <c r="Z92" i="18"/>
  <c r="U63" i="18"/>
  <c r="I99" i="18"/>
  <c r="J99" i="18"/>
  <c r="K99" i="18"/>
  <c r="L99" i="18"/>
  <c r="M99" i="18"/>
  <c r="N99" i="18"/>
  <c r="O99" i="18"/>
  <c r="P99" i="18"/>
  <c r="I100" i="18"/>
  <c r="J100" i="18"/>
  <c r="K100" i="18"/>
  <c r="L100" i="18"/>
  <c r="M100" i="18"/>
  <c r="N100" i="18"/>
  <c r="O100" i="18"/>
  <c r="P100" i="18"/>
  <c r="I94" i="18"/>
  <c r="I96" i="18" s="1"/>
  <c r="J94" i="18"/>
  <c r="J96" i="18" s="1"/>
  <c r="K94" i="18"/>
  <c r="K96" i="18" s="1"/>
  <c r="L94" i="18"/>
  <c r="L96" i="18" s="1"/>
  <c r="M94" i="18"/>
  <c r="M96" i="18" s="1"/>
  <c r="N94" i="18"/>
  <c r="N96" i="18" s="1"/>
  <c r="O94" i="18"/>
  <c r="O96" i="18" s="1"/>
  <c r="P94" i="18"/>
  <c r="P96" i="18" s="1"/>
  <c r="I97" i="18"/>
  <c r="J97" i="18"/>
  <c r="K97" i="18"/>
  <c r="L97" i="18"/>
  <c r="M97" i="18"/>
  <c r="N97" i="18"/>
  <c r="O97" i="18"/>
  <c r="P97" i="18"/>
  <c r="I98" i="18"/>
  <c r="J98" i="18"/>
  <c r="K98" i="18"/>
  <c r="L98" i="18"/>
  <c r="M98" i="18"/>
  <c r="N98" i="18"/>
  <c r="O98" i="18"/>
  <c r="P98" i="18"/>
  <c r="C97" i="18"/>
  <c r="D97" i="18"/>
  <c r="E97" i="18"/>
  <c r="F97" i="18"/>
  <c r="G97" i="18"/>
  <c r="C98" i="18"/>
  <c r="D98" i="18"/>
  <c r="E98" i="18"/>
  <c r="F98" i="18"/>
  <c r="G98" i="18"/>
  <c r="C99" i="18"/>
  <c r="D99" i="18"/>
  <c r="E99" i="18"/>
  <c r="F99" i="18"/>
  <c r="G99" i="18"/>
  <c r="C100" i="18"/>
  <c r="D100" i="18"/>
  <c r="E100" i="18"/>
  <c r="F100" i="18"/>
  <c r="G100" i="18"/>
  <c r="H100" i="18"/>
  <c r="H99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AE28" i="18" s="1"/>
  <c r="Q28" i="18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S26" i="18"/>
  <c r="Q25" i="18"/>
  <c r="C94" i="18"/>
  <c r="C96" i="18" s="1"/>
  <c r="D94" i="18"/>
  <c r="D96" i="18" s="1"/>
  <c r="E94" i="18"/>
  <c r="E96" i="18" s="1"/>
  <c r="F94" i="18"/>
  <c r="F96" i="18" s="1"/>
  <c r="G94" i="18"/>
  <c r="G96" i="18" s="1"/>
  <c r="H94" i="18"/>
  <c r="H96" i="18" s="1"/>
  <c r="H98" i="18"/>
  <c r="H97" i="18"/>
  <c r="AE53" i="18" l="1"/>
  <c r="AC53" i="18"/>
  <c r="AC27" i="18"/>
  <c r="AE27" i="18"/>
  <c r="AB71" i="18"/>
  <c r="AE71" i="18" s="1"/>
  <c r="AA92" i="18"/>
  <c r="V63" i="18"/>
  <c r="Q99" i="18"/>
  <c r="Q100" i="18"/>
  <c r="Q98" i="18"/>
  <c r="Q96" i="18"/>
  <c r="Q97" i="18"/>
  <c r="AC28" i="18"/>
  <c r="Q27" i="18"/>
  <c r="Q26" i="18"/>
  <c r="Q94" i="18"/>
  <c r="S25" i="18"/>
  <c r="T26" i="18"/>
  <c r="Q92" i="18"/>
  <c r="Q187" i="18"/>
  <c r="T25" i="18" l="1"/>
  <c r="S94" i="18"/>
  <c r="AB92" i="18"/>
  <c r="AC71" i="18"/>
  <c r="U26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67" i="18"/>
  <c r="Q55" i="18"/>
  <c r="Q47" i="18"/>
  <c r="Q45" i="18"/>
  <c r="Q23" i="18"/>
  <c r="Q18" i="18"/>
  <c r="Q17" i="18"/>
  <c r="Q15" i="18"/>
  <c r="Q12" i="18"/>
  <c r="Q10" i="18"/>
  <c r="Q9" i="18"/>
  <c r="Q7" i="18"/>
  <c r="Q6" i="18"/>
  <c r="S23" i="18"/>
  <c r="S45" i="18"/>
  <c r="S47" i="18"/>
  <c r="S142" i="18" s="1"/>
  <c r="S55" i="18"/>
  <c r="T55" i="18" s="1"/>
  <c r="U55" i="18" s="1"/>
  <c r="V55" i="18" s="1"/>
  <c r="W55" i="18" s="1"/>
  <c r="X55" i="18" s="1"/>
  <c r="Y55" i="18" s="1"/>
  <c r="Z55" i="18" s="1"/>
  <c r="AA55" i="18" s="1"/>
  <c r="AB55" i="18" s="1"/>
  <c r="AE55" i="18" s="1"/>
  <c r="S56" i="18"/>
  <c r="T56" i="18" s="1"/>
  <c r="U56" i="18" s="1"/>
  <c r="V56" i="18" s="1"/>
  <c r="W56" i="18" s="1"/>
  <c r="X56" i="18" s="1"/>
  <c r="Y56" i="18" s="1"/>
  <c r="Z56" i="18" s="1"/>
  <c r="AA56" i="18" s="1"/>
  <c r="AB56" i="18" s="1"/>
  <c r="AE56" i="18" s="1"/>
  <c r="W63" i="18"/>
  <c r="O90" i="18"/>
  <c r="O192" i="18" s="1"/>
  <c r="O89" i="18"/>
  <c r="O87" i="18"/>
  <c r="O86" i="18"/>
  <c r="O84" i="18"/>
  <c r="O193" i="18" s="1"/>
  <c r="O83" i="18"/>
  <c r="O82" i="18"/>
  <c r="O80" i="18"/>
  <c r="O79" i="18"/>
  <c r="O190" i="18" s="1"/>
  <c r="O78" i="18"/>
  <c r="O77" i="18"/>
  <c r="S141" i="18" l="1"/>
  <c r="S151" i="18"/>
  <c r="S112" i="18"/>
  <c r="T94" i="18"/>
  <c r="S135" i="18"/>
  <c r="S136" i="18"/>
  <c r="S134" i="18"/>
  <c r="S124" i="18"/>
  <c r="P129" i="18"/>
  <c r="Q129" i="18" s="1"/>
  <c r="Q128" i="18"/>
  <c r="S114" i="18"/>
  <c r="S132" i="18"/>
  <c r="S131" i="18"/>
  <c r="T23" i="18"/>
  <c r="S175" i="18"/>
  <c r="AE92" i="18"/>
  <c r="O189" i="18"/>
  <c r="O194" i="18"/>
  <c r="U25" i="18"/>
  <c r="AC92" i="18"/>
  <c r="T175" i="18" s="1"/>
  <c r="T47" i="18"/>
  <c r="T142" i="18" s="1"/>
  <c r="X63" i="18"/>
  <c r="T45" i="18"/>
  <c r="S108" i="18"/>
  <c r="V26" i="18"/>
  <c r="AC55" i="18"/>
  <c r="AC56" i="18"/>
  <c r="AC9" i="18"/>
  <c r="O88" i="18"/>
  <c r="O191" i="18" s="1"/>
  <c r="D84" i="18"/>
  <c r="E84" i="18"/>
  <c r="F84" i="18"/>
  <c r="G84" i="18"/>
  <c r="G193" i="18" s="1"/>
  <c r="H84" i="18"/>
  <c r="H193" i="18" s="1"/>
  <c r="I84" i="18"/>
  <c r="I193" i="18" s="1"/>
  <c r="J84" i="18"/>
  <c r="J193" i="18" s="1"/>
  <c r="K84" i="18"/>
  <c r="K193" i="18" s="1"/>
  <c r="L84" i="18"/>
  <c r="L193" i="18" s="1"/>
  <c r="M84" i="18"/>
  <c r="M193" i="18" s="1"/>
  <c r="N84" i="18"/>
  <c r="N193" i="18" s="1"/>
  <c r="P84" i="18"/>
  <c r="C84" i="18"/>
  <c r="C83" i="18"/>
  <c r="T141" i="18" l="1"/>
  <c r="T151" i="18"/>
  <c r="T112" i="18"/>
  <c r="T134" i="18"/>
  <c r="T136" i="18"/>
  <c r="T135" i="18"/>
  <c r="T124" i="18"/>
  <c r="T114" i="18"/>
  <c r="T132" i="18"/>
  <c r="T131" i="18"/>
  <c r="U23" i="18"/>
  <c r="R175" i="18"/>
  <c r="P199" i="18" s="1"/>
  <c r="V25" i="18"/>
  <c r="U94" i="18"/>
  <c r="U47" i="18"/>
  <c r="U142" i="18" s="1"/>
  <c r="U45" i="18"/>
  <c r="U112" i="18" s="1"/>
  <c r="T108" i="18"/>
  <c r="Y63" i="18"/>
  <c r="W26" i="18"/>
  <c r="P193" i="18"/>
  <c r="Q193" i="18" s="1"/>
  <c r="Q84" i="18"/>
  <c r="D83" i="18"/>
  <c r="E83" i="18"/>
  <c r="F83" i="18"/>
  <c r="G83" i="18"/>
  <c r="H83" i="18"/>
  <c r="I83" i="18"/>
  <c r="J83" i="18"/>
  <c r="K83" i="18"/>
  <c r="L83" i="18"/>
  <c r="M83" i="18"/>
  <c r="N83" i="18"/>
  <c r="P83" i="18"/>
  <c r="D82" i="18"/>
  <c r="E82" i="18"/>
  <c r="F82" i="18"/>
  <c r="G82" i="18"/>
  <c r="H82" i="18"/>
  <c r="I82" i="18"/>
  <c r="J82" i="18"/>
  <c r="K82" i="18"/>
  <c r="L82" i="18"/>
  <c r="M82" i="18"/>
  <c r="N82" i="18"/>
  <c r="P82" i="18"/>
  <c r="C82" i="18"/>
  <c r="U141" i="18" l="1"/>
  <c r="U151" i="18"/>
  <c r="U136" i="18"/>
  <c r="U135" i="18"/>
  <c r="U134" i="18"/>
  <c r="U124" i="18"/>
  <c r="U114" i="18"/>
  <c r="U132" i="18"/>
  <c r="U131" i="18"/>
  <c r="V23" i="18"/>
  <c r="W25" i="18"/>
  <c r="V94" i="18"/>
  <c r="V47" i="18"/>
  <c r="V142" i="18" s="1"/>
  <c r="V45" i="18"/>
  <c r="U108" i="18"/>
  <c r="Z63" i="18"/>
  <c r="X26" i="18"/>
  <c r="Q82" i="18"/>
  <c r="Q83" i="18"/>
  <c r="C46" i="15"/>
  <c r="V141" i="18" l="1"/>
  <c r="V151" i="18"/>
  <c r="V112" i="18"/>
  <c r="V124" i="18"/>
  <c r="V136" i="18"/>
  <c r="V135" i="18"/>
  <c r="V134" i="18"/>
  <c r="V114" i="18"/>
  <c r="V132" i="18"/>
  <c r="V131" i="18"/>
  <c r="W23" i="18"/>
  <c r="X25" i="18"/>
  <c r="W94" i="18"/>
  <c r="W47" i="18"/>
  <c r="W142" i="18" s="1"/>
  <c r="W45" i="18"/>
  <c r="V108" i="18"/>
  <c r="AA63" i="18"/>
  <c r="Y26" i="18"/>
  <c r="S187" i="18"/>
  <c r="C77" i="18"/>
  <c r="D77" i="18"/>
  <c r="E77" i="18"/>
  <c r="F77" i="18"/>
  <c r="H77" i="18"/>
  <c r="I77" i="18"/>
  <c r="J77" i="18"/>
  <c r="K77" i="18"/>
  <c r="L77" i="18"/>
  <c r="L194" i="18" s="1"/>
  <c r="M77" i="18"/>
  <c r="N77" i="18"/>
  <c r="N194" i="18" s="1"/>
  <c r="P77" i="18"/>
  <c r="D90" i="18"/>
  <c r="D192" i="18" s="1"/>
  <c r="E90" i="18"/>
  <c r="E192" i="18" s="1"/>
  <c r="F90" i="18"/>
  <c r="F192" i="18" s="1"/>
  <c r="G90" i="18"/>
  <c r="H90" i="18"/>
  <c r="H192" i="18" s="1"/>
  <c r="I90" i="18"/>
  <c r="I192" i="18" s="1"/>
  <c r="J90" i="18"/>
  <c r="J192" i="18" s="1"/>
  <c r="K90" i="18"/>
  <c r="K192" i="18" s="1"/>
  <c r="L90" i="18"/>
  <c r="L192" i="18" s="1"/>
  <c r="M90" i="18"/>
  <c r="M192" i="18" s="1"/>
  <c r="N90" i="18"/>
  <c r="P90" i="18"/>
  <c r="D89" i="18"/>
  <c r="E89" i="18"/>
  <c r="F89" i="18"/>
  <c r="G89" i="18"/>
  <c r="H89" i="18"/>
  <c r="I89" i="18"/>
  <c r="J89" i="18"/>
  <c r="K89" i="18"/>
  <c r="L89" i="18"/>
  <c r="M89" i="18"/>
  <c r="N89" i="18"/>
  <c r="P89" i="18"/>
  <c r="D87" i="18"/>
  <c r="E87" i="18"/>
  <c r="F87" i="18"/>
  <c r="G87" i="18"/>
  <c r="H87" i="18"/>
  <c r="I87" i="18"/>
  <c r="J87" i="18"/>
  <c r="K87" i="18"/>
  <c r="L87" i="18"/>
  <c r="M87" i="18"/>
  <c r="N87" i="18"/>
  <c r="P87" i="18"/>
  <c r="D86" i="18"/>
  <c r="D88" i="18" s="1"/>
  <c r="D191" i="18" s="1"/>
  <c r="E86" i="18"/>
  <c r="E88" i="18" s="1"/>
  <c r="E191" i="18" s="1"/>
  <c r="F86" i="18"/>
  <c r="G86" i="18"/>
  <c r="H86" i="18"/>
  <c r="I86" i="18"/>
  <c r="J86" i="18"/>
  <c r="K86" i="18"/>
  <c r="L86" i="18"/>
  <c r="M86" i="18"/>
  <c r="N86" i="18"/>
  <c r="P86" i="18"/>
  <c r="D80" i="18"/>
  <c r="E80" i="18"/>
  <c r="F80" i="18"/>
  <c r="G80" i="18"/>
  <c r="H80" i="18"/>
  <c r="I80" i="18"/>
  <c r="J80" i="18"/>
  <c r="K80" i="18"/>
  <c r="L80" i="18"/>
  <c r="M80" i="18"/>
  <c r="N80" i="18"/>
  <c r="P80" i="18"/>
  <c r="D79" i="18"/>
  <c r="D190" i="18" s="1"/>
  <c r="E79" i="18"/>
  <c r="E190" i="18" s="1"/>
  <c r="F79" i="18"/>
  <c r="F190" i="18" s="1"/>
  <c r="G79" i="18"/>
  <c r="H79" i="18"/>
  <c r="H190" i="18" s="1"/>
  <c r="I79" i="18"/>
  <c r="I190" i="18" s="1"/>
  <c r="J79" i="18"/>
  <c r="J190" i="18" s="1"/>
  <c r="K79" i="18"/>
  <c r="K190" i="18" s="1"/>
  <c r="L79" i="18"/>
  <c r="L190" i="18" s="1"/>
  <c r="M79" i="18"/>
  <c r="M190" i="18" s="1"/>
  <c r="N79" i="18"/>
  <c r="P79" i="18"/>
  <c r="C90" i="18"/>
  <c r="C192" i="18" s="1"/>
  <c r="C89" i="18"/>
  <c r="C87" i="18"/>
  <c r="C86" i="18"/>
  <c r="C80" i="18"/>
  <c r="C79" i="18"/>
  <c r="C190" i="18" s="1"/>
  <c r="D78" i="18"/>
  <c r="E78" i="18"/>
  <c r="F78" i="18"/>
  <c r="G78" i="18"/>
  <c r="H78" i="18"/>
  <c r="I78" i="18"/>
  <c r="J78" i="18"/>
  <c r="K78" i="18"/>
  <c r="L78" i="18"/>
  <c r="M78" i="18"/>
  <c r="N78" i="18"/>
  <c r="P78" i="18"/>
  <c r="C78" i="18"/>
  <c r="S17" i="18"/>
  <c r="S139" i="18" s="1"/>
  <c r="S18" i="18"/>
  <c r="S147" i="18" s="1"/>
  <c r="S148" i="18" s="1"/>
  <c r="S67" i="18"/>
  <c r="S10" i="18"/>
  <c r="S12" i="18"/>
  <c r="S15" i="18"/>
  <c r="S7" i="18"/>
  <c r="S6" i="18"/>
  <c r="M207" i="18" l="1"/>
  <c r="P207" i="18"/>
  <c r="S207" i="18"/>
  <c r="W141" i="18"/>
  <c r="W151" i="18"/>
  <c r="W112" i="18"/>
  <c r="S110" i="18"/>
  <c r="S111" i="18"/>
  <c r="S145" i="18"/>
  <c r="S144" i="18"/>
  <c r="S115" i="18"/>
  <c r="S140" i="18"/>
  <c r="H194" i="18"/>
  <c r="H189" i="18"/>
  <c r="W124" i="18"/>
  <c r="W135" i="18"/>
  <c r="W134" i="18"/>
  <c r="W136" i="18"/>
  <c r="S123" i="18"/>
  <c r="S128" i="18"/>
  <c r="S129" i="18" s="1"/>
  <c r="W114" i="18"/>
  <c r="W132" i="18"/>
  <c r="W131" i="18"/>
  <c r="S121" i="18"/>
  <c r="S122" i="18"/>
  <c r="X23" i="18"/>
  <c r="D189" i="18"/>
  <c r="D193" i="18" s="1"/>
  <c r="D194" i="18"/>
  <c r="E189" i="18"/>
  <c r="E193" i="18" s="1"/>
  <c r="E194" i="18"/>
  <c r="C189" i="18"/>
  <c r="C193" i="18" s="1"/>
  <c r="C194" i="18"/>
  <c r="P189" i="18"/>
  <c r="P194" i="18"/>
  <c r="K189" i="18"/>
  <c r="K194" i="18"/>
  <c r="F189" i="18"/>
  <c r="F193" i="18" s="1"/>
  <c r="F194" i="18"/>
  <c r="J189" i="18"/>
  <c r="J194" i="18"/>
  <c r="M189" i="18"/>
  <c r="M194" i="18"/>
  <c r="I189" i="18"/>
  <c r="I194" i="18"/>
  <c r="Q157" i="18"/>
  <c r="Y25" i="18"/>
  <c r="X94" i="18"/>
  <c r="H88" i="18"/>
  <c r="H191" i="18" s="1"/>
  <c r="X47" i="18"/>
  <c r="X142" i="18" s="1"/>
  <c r="T12" i="18"/>
  <c r="T17" i="18"/>
  <c r="T139" i="18" s="1"/>
  <c r="T15" i="18"/>
  <c r="T10" i="18"/>
  <c r="T18" i="18"/>
  <c r="T147" i="18" s="1"/>
  <c r="T148" i="18" s="1"/>
  <c r="T6" i="18"/>
  <c r="T7" i="18"/>
  <c r="X45" i="18"/>
  <c r="W108" i="18"/>
  <c r="T67" i="18"/>
  <c r="S109" i="18"/>
  <c r="AB63" i="18"/>
  <c r="AE63" i="18" s="1"/>
  <c r="F88" i="18"/>
  <c r="F191" i="18" s="1"/>
  <c r="L88" i="18"/>
  <c r="L191" i="18" s="1"/>
  <c r="K88" i="18"/>
  <c r="K191" i="18" s="1"/>
  <c r="J88" i="18"/>
  <c r="J191" i="18" s="1"/>
  <c r="Z26" i="18"/>
  <c r="C88" i="18"/>
  <c r="C191" i="18" s="1"/>
  <c r="T187" i="18"/>
  <c r="I88" i="18"/>
  <c r="I191" i="18" s="1"/>
  <c r="Q78" i="18"/>
  <c r="G190" i="18"/>
  <c r="Q79" i="18"/>
  <c r="Q80" i="18"/>
  <c r="Q87" i="18"/>
  <c r="Q89" i="18"/>
  <c r="G189" i="18"/>
  <c r="Q77" i="18"/>
  <c r="G192" i="18"/>
  <c r="Q90" i="18"/>
  <c r="G88" i="18"/>
  <c r="Q86" i="18"/>
  <c r="N190" i="18"/>
  <c r="N189" i="18"/>
  <c r="N192" i="18"/>
  <c r="P190" i="18"/>
  <c r="L189" i="18"/>
  <c r="N88" i="18"/>
  <c r="M88" i="18"/>
  <c r="M191" i="18" s="1"/>
  <c r="P192" i="18"/>
  <c r="P88" i="18"/>
  <c r="S87" i="18"/>
  <c r="C6" i="12"/>
  <c r="C26" i="15"/>
  <c r="C58" i="15"/>
  <c r="C57" i="15"/>
  <c r="C54" i="15"/>
  <c r="C53" i="15"/>
  <c r="C50" i="15"/>
  <c r="C49" i="15"/>
  <c r="C45" i="15"/>
  <c r="T207" i="18" l="1"/>
  <c r="S208" i="18"/>
  <c r="S206" i="18"/>
  <c r="P206" i="18"/>
  <c r="M206" i="18"/>
  <c r="X141" i="18"/>
  <c r="X151" i="18"/>
  <c r="X112" i="18"/>
  <c r="T145" i="18"/>
  <c r="T144" i="18"/>
  <c r="T115" i="18"/>
  <c r="T140" i="18"/>
  <c r="T111" i="18"/>
  <c r="X134" i="18"/>
  <c r="X135" i="18"/>
  <c r="X136" i="18"/>
  <c r="X124" i="18"/>
  <c r="X114" i="18"/>
  <c r="X132" i="18"/>
  <c r="X131" i="18"/>
  <c r="T121" i="18"/>
  <c r="T122" i="18"/>
  <c r="T123" i="18"/>
  <c r="Y23" i="18"/>
  <c r="Z25" i="18"/>
  <c r="Y94" i="18"/>
  <c r="S86" i="18"/>
  <c r="S103" i="18"/>
  <c r="S82" i="18"/>
  <c r="S84" i="18"/>
  <c r="S193" i="18" s="1"/>
  <c r="S90" i="18"/>
  <c r="S192" i="18" s="1"/>
  <c r="S100" i="18"/>
  <c r="S102" i="18"/>
  <c r="S75" i="18"/>
  <c r="S74" i="18"/>
  <c r="S188" i="18" s="1"/>
  <c r="S83" i="18"/>
  <c r="S79" i="18"/>
  <c r="S80" i="18"/>
  <c r="S89" i="18"/>
  <c r="S78" i="18"/>
  <c r="S104" i="18"/>
  <c r="S77" i="18"/>
  <c r="Y47" i="18"/>
  <c r="Y142" i="18" s="1"/>
  <c r="U17" i="18"/>
  <c r="U139" i="18" s="1"/>
  <c r="U15" i="18"/>
  <c r="U12" i="18"/>
  <c r="S88" i="18"/>
  <c r="U18" i="18"/>
  <c r="U147" i="18" s="1"/>
  <c r="U148" i="18" s="1"/>
  <c r="U10" i="18"/>
  <c r="U7" i="18"/>
  <c r="U6" i="18"/>
  <c r="AC63" i="18"/>
  <c r="Y45" i="18"/>
  <c r="X108" i="18"/>
  <c r="U67" i="18"/>
  <c r="T110" i="18"/>
  <c r="T109" i="18"/>
  <c r="T69" i="18"/>
  <c r="T126" i="18" s="1"/>
  <c r="T127" i="18" s="1"/>
  <c r="T128" i="18" s="1"/>
  <c r="T129" i="18" s="1"/>
  <c r="S97" i="18"/>
  <c r="S98" i="18"/>
  <c r="S99" i="18"/>
  <c r="S96" i="18"/>
  <c r="AA26" i="18"/>
  <c r="U187" i="18"/>
  <c r="Q190" i="18"/>
  <c r="Q189" i="18"/>
  <c r="Q192" i="18"/>
  <c r="G191" i="18"/>
  <c r="Q88" i="18"/>
  <c r="N191" i="18"/>
  <c r="P191" i="18"/>
  <c r="C16" i="15"/>
  <c r="C21" i="15"/>
  <c r="C10" i="15"/>
  <c r="T208" i="18" l="1"/>
  <c r="U208" i="18" s="1"/>
  <c r="U207" i="18"/>
  <c r="S205" i="18"/>
  <c r="T205" i="18" s="1"/>
  <c r="T206" i="18"/>
  <c r="Y141" i="18"/>
  <c r="Y151" i="18"/>
  <c r="Y112" i="18"/>
  <c r="U115" i="18"/>
  <c r="U140" i="18"/>
  <c r="U145" i="18"/>
  <c r="U144" i="18"/>
  <c r="U111" i="18"/>
  <c r="Y136" i="18"/>
  <c r="Y135" i="18"/>
  <c r="Y134" i="18"/>
  <c r="Y124" i="18"/>
  <c r="T86" i="18"/>
  <c r="Y114" i="18"/>
  <c r="Y132" i="18"/>
  <c r="Y131" i="18"/>
  <c r="U121" i="18"/>
  <c r="U122" i="18"/>
  <c r="U123" i="18"/>
  <c r="T82" i="18"/>
  <c r="Z23" i="18"/>
  <c r="AA25" i="18"/>
  <c r="Z94" i="18"/>
  <c r="T84" i="18"/>
  <c r="T193" i="18" s="1"/>
  <c r="T90" i="18"/>
  <c r="T192" i="18" s="1"/>
  <c r="T100" i="18"/>
  <c r="T102" i="18"/>
  <c r="T74" i="18"/>
  <c r="T188" i="18" s="1"/>
  <c r="T75" i="18"/>
  <c r="T79" i="18"/>
  <c r="T78" i="18"/>
  <c r="T89" i="18"/>
  <c r="T104" i="18"/>
  <c r="T83" i="18"/>
  <c r="T80" i="18"/>
  <c r="T77" i="18"/>
  <c r="T87" i="18"/>
  <c r="T103" i="18"/>
  <c r="Z47" i="18"/>
  <c r="Z142" i="18" s="1"/>
  <c r="V15" i="18"/>
  <c r="V12" i="18"/>
  <c r="V17" i="18"/>
  <c r="V139" i="18" s="1"/>
  <c r="V10" i="18"/>
  <c r="V18" i="18"/>
  <c r="V147" i="18" s="1"/>
  <c r="V148" i="18" s="1"/>
  <c r="V6" i="18"/>
  <c r="V7" i="18"/>
  <c r="V67" i="18"/>
  <c r="U110" i="18"/>
  <c r="U109" i="18"/>
  <c r="Z45" i="18"/>
  <c r="Y108" i="18"/>
  <c r="U69" i="18"/>
  <c r="U126" i="18" s="1"/>
  <c r="U127" i="18" s="1"/>
  <c r="U128" i="18" s="1"/>
  <c r="U129" i="18" s="1"/>
  <c r="T99" i="18"/>
  <c r="T98" i="18"/>
  <c r="T97" i="18"/>
  <c r="T96" i="18"/>
  <c r="AB26" i="18"/>
  <c r="AE26" i="18" s="1"/>
  <c r="S191" i="18"/>
  <c r="V187" i="18"/>
  <c r="S189" i="18"/>
  <c r="S190" i="18"/>
  <c r="Q191" i="18"/>
  <c r="D31" i="8"/>
  <c r="D29" i="8"/>
  <c r="D28" i="8"/>
  <c r="D13" i="8"/>
  <c r="D30" i="8" s="1"/>
  <c r="E14" i="8"/>
  <c r="F14" i="8" s="1"/>
  <c r="G14" i="8" s="1"/>
  <c r="H14" i="8" s="1"/>
  <c r="I14" i="8" s="1"/>
  <c r="V208" i="18" l="1"/>
  <c r="V207" i="18"/>
  <c r="U206" i="18"/>
  <c r="U205" i="18" s="1"/>
  <c r="Z141" i="18"/>
  <c r="Z151" i="18"/>
  <c r="Z112" i="18"/>
  <c r="V111" i="18"/>
  <c r="V144" i="18"/>
  <c r="V145" i="18"/>
  <c r="V115" i="18"/>
  <c r="V140" i="18"/>
  <c r="Z136" i="18"/>
  <c r="Z135" i="18"/>
  <c r="Z134" i="18"/>
  <c r="Z124" i="18"/>
  <c r="U86" i="18"/>
  <c r="T88" i="18"/>
  <c r="T191" i="18" s="1"/>
  <c r="Z114" i="18"/>
  <c r="Z132" i="18"/>
  <c r="Z131" i="18"/>
  <c r="V121" i="18"/>
  <c r="V123" i="18"/>
  <c r="V122" i="18"/>
  <c r="AA23" i="18"/>
  <c r="AB25" i="18"/>
  <c r="AA94" i="18"/>
  <c r="U104" i="18"/>
  <c r="U103" i="18"/>
  <c r="U82" i="18"/>
  <c r="U90" i="18"/>
  <c r="U192" i="18" s="1"/>
  <c r="U89" i="18"/>
  <c r="U84" i="18"/>
  <c r="U193" i="18" s="1"/>
  <c r="U87" i="18"/>
  <c r="U78" i="18"/>
  <c r="U100" i="18"/>
  <c r="U102" i="18"/>
  <c r="U75" i="18"/>
  <c r="U74" i="18"/>
  <c r="U188" i="18" s="1"/>
  <c r="U83" i="18"/>
  <c r="U79" i="18"/>
  <c r="U80" i="18"/>
  <c r="U77" i="18"/>
  <c r="AA47" i="18"/>
  <c r="AA142" i="18" s="1"/>
  <c r="W12" i="18"/>
  <c r="W17" i="18"/>
  <c r="W139" i="18" s="1"/>
  <c r="W15" i="18"/>
  <c r="W18" i="18"/>
  <c r="W147" i="18" s="1"/>
  <c r="W148" i="18" s="1"/>
  <c r="W10" i="18"/>
  <c r="W7" i="18"/>
  <c r="W6" i="18"/>
  <c r="AA45" i="18"/>
  <c r="AA112" i="18" s="1"/>
  <c r="Z108" i="18"/>
  <c r="W67" i="18"/>
  <c r="V109" i="18"/>
  <c r="V110" i="18"/>
  <c r="V69" i="18"/>
  <c r="V126" i="18" s="1"/>
  <c r="V127" i="18" s="1"/>
  <c r="V128" i="18" s="1"/>
  <c r="V129" i="18" s="1"/>
  <c r="U99" i="18"/>
  <c r="U97" i="18"/>
  <c r="U98" i="18"/>
  <c r="U96" i="18"/>
  <c r="AC26" i="18"/>
  <c r="W187" i="18"/>
  <c r="T189" i="18"/>
  <c r="T19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08" i="18" l="1"/>
  <c r="W207" i="18"/>
  <c r="V206" i="18"/>
  <c r="V205" i="18" s="1"/>
  <c r="AA141" i="18"/>
  <c r="AA151" i="18"/>
  <c r="AE25" i="18"/>
  <c r="W145" i="18"/>
  <c r="W144" i="18"/>
  <c r="W115" i="18"/>
  <c r="W140" i="18"/>
  <c r="W111" i="18"/>
  <c r="AA135" i="18"/>
  <c r="AA134" i="18"/>
  <c r="AA136" i="18"/>
  <c r="AA124" i="18"/>
  <c r="U88" i="18"/>
  <c r="U191" i="18" s="1"/>
  <c r="AA114" i="18"/>
  <c r="AA132" i="18"/>
  <c r="AA131" i="18"/>
  <c r="V89" i="18"/>
  <c r="W121" i="18"/>
  <c r="W123" i="18"/>
  <c r="W122" i="18"/>
  <c r="AB23" i="18"/>
  <c r="V104" i="18"/>
  <c r="V80" i="18"/>
  <c r="V87" i="18"/>
  <c r="AC25" i="18"/>
  <c r="AB94" i="18"/>
  <c r="V78" i="18"/>
  <c r="V86" i="18"/>
  <c r="V83" i="18"/>
  <c r="V103" i="18"/>
  <c r="V79" i="18"/>
  <c r="V84" i="18"/>
  <c r="V193" i="18" s="1"/>
  <c r="V100" i="18"/>
  <c r="V102" i="18"/>
  <c r="V74" i="18"/>
  <c r="V188" i="18" s="1"/>
  <c r="V75" i="18"/>
  <c r="V82" i="18"/>
  <c r="V90" i="18"/>
  <c r="V192" i="18" s="1"/>
  <c r="V77" i="18"/>
  <c r="AB47" i="18"/>
  <c r="X17" i="18"/>
  <c r="X139" i="18" s="1"/>
  <c r="X15" i="18"/>
  <c r="X12" i="18"/>
  <c r="X10" i="18"/>
  <c r="X18" i="18"/>
  <c r="X147" i="18" s="1"/>
  <c r="X148" i="18" s="1"/>
  <c r="X6" i="18"/>
  <c r="X7" i="18"/>
  <c r="X67" i="18"/>
  <c r="W110" i="18"/>
  <c r="W109" i="18"/>
  <c r="AB45" i="18"/>
  <c r="AA108" i="18"/>
  <c r="W69" i="18"/>
  <c r="W126" i="18" s="1"/>
  <c r="W127" i="18" s="1"/>
  <c r="W128" i="18" s="1"/>
  <c r="W129" i="18" s="1"/>
  <c r="V99" i="18"/>
  <c r="V97" i="18"/>
  <c r="V98" i="18"/>
  <c r="V96" i="18"/>
  <c r="X187" i="18"/>
  <c r="U189" i="18"/>
  <c r="U19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208" i="18" l="1"/>
  <c r="X207" i="18"/>
  <c r="W206" i="18"/>
  <c r="W205" i="18" s="1"/>
  <c r="AB141" i="18"/>
  <c r="AC141" i="18" s="1"/>
  <c r="AB151" i="18"/>
  <c r="AC151" i="18" s="1"/>
  <c r="AB112" i="18"/>
  <c r="AC112" i="18" s="1"/>
  <c r="X115" i="18"/>
  <c r="X140" i="18"/>
  <c r="X145" i="18"/>
  <c r="X144" i="18"/>
  <c r="AE47" i="18"/>
  <c r="AB142" i="18"/>
  <c r="AC142" i="18" s="1"/>
  <c r="X111" i="18"/>
  <c r="AB134" i="18"/>
  <c r="AC134" i="18" s="1"/>
  <c r="AB136" i="18"/>
  <c r="AC136" i="18" s="1"/>
  <c r="AB135" i="18"/>
  <c r="AC13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24" i="18"/>
  <c r="AC124" i="18" s="1"/>
  <c r="V88" i="18"/>
  <c r="V191" i="18" s="1"/>
  <c r="W87" i="18"/>
  <c r="AB114" i="18"/>
  <c r="AC114" i="18" s="1"/>
  <c r="AB132" i="18"/>
  <c r="AC132" i="18" s="1"/>
  <c r="AB131" i="18"/>
  <c r="AC131" i="18" s="1"/>
  <c r="X121" i="18"/>
  <c r="X123" i="18"/>
  <c r="X122" i="18"/>
  <c r="AE45" i="18"/>
  <c r="AE23" i="18"/>
  <c r="AC23" i="18"/>
  <c r="S177" i="18"/>
  <c r="AE94" i="18"/>
  <c r="AC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90" i="18"/>
  <c r="W192" i="18" s="1"/>
  <c r="W89" i="18"/>
  <c r="W84" i="18"/>
  <c r="W193" i="18" s="1"/>
  <c r="W86" i="18"/>
  <c r="W83" i="18"/>
  <c r="W103" i="18"/>
  <c r="W82" i="18"/>
  <c r="W104" i="18"/>
  <c r="W100" i="18"/>
  <c r="W102" i="18"/>
  <c r="W75" i="18"/>
  <c r="W74" i="18"/>
  <c r="W188" i="18" s="1"/>
  <c r="W78" i="18"/>
  <c r="W79" i="18"/>
  <c r="W80" i="18"/>
  <c r="W77" i="18"/>
  <c r="AC47" i="18"/>
  <c r="Y12" i="18"/>
  <c r="Y17" i="18"/>
  <c r="Y139" i="18" s="1"/>
  <c r="Y15" i="18"/>
  <c r="Y10" i="18"/>
  <c r="Y18" i="18"/>
  <c r="Y147" i="18" s="1"/>
  <c r="Y148" i="18" s="1"/>
  <c r="Y7" i="18"/>
  <c r="Y6" i="18"/>
  <c r="AC45" i="18"/>
  <c r="AB108" i="18"/>
  <c r="AC108" i="18" s="1"/>
  <c r="Y67" i="18"/>
  <c r="X110" i="18"/>
  <c r="X109" i="18"/>
  <c r="O31" i="9"/>
  <c r="O32" i="9" s="1"/>
  <c r="X69" i="18"/>
  <c r="X126" i="18" s="1"/>
  <c r="X127" i="18" s="1"/>
  <c r="X128" i="18" s="1"/>
  <c r="X129" i="18" s="1"/>
  <c r="W99" i="18"/>
  <c r="W97" i="18"/>
  <c r="W98" i="18"/>
  <c r="W96" i="18"/>
  <c r="Y187" i="18"/>
  <c r="V189" i="18"/>
  <c r="V190" i="18"/>
  <c r="P31" i="11"/>
  <c r="N32" i="11"/>
  <c r="T19" i="9"/>
  <c r="D22" i="9"/>
  <c r="Y208" i="18" l="1"/>
  <c r="Y207" i="18"/>
  <c r="X206" i="18"/>
  <c r="X205" i="18" s="1"/>
  <c r="Y145" i="18"/>
  <c r="Y144" i="18"/>
  <c r="Y115" i="18"/>
  <c r="Y140" i="18"/>
  <c r="Y111" i="18"/>
  <c r="W88" i="18"/>
  <c r="W191" i="18" s="1"/>
  <c r="X80" i="18"/>
  <c r="Y121" i="18"/>
  <c r="Y122" i="18"/>
  <c r="Y123" i="18"/>
  <c r="T177" i="18"/>
  <c r="R177" i="18" s="1"/>
  <c r="X82" i="18"/>
  <c r="X89" i="18"/>
  <c r="X77" i="18"/>
  <c r="X84" i="18"/>
  <c r="X193" i="18" s="1"/>
  <c r="X79" i="18"/>
  <c r="X78" i="18"/>
  <c r="X100" i="18"/>
  <c r="X102" i="18"/>
  <c r="X75" i="18"/>
  <c r="X74" i="18"/>
  <c r="X188" i="18" s="1"/>
  <c r="X104" i="18"/>
  <c r="X83" i="18"/>
  <c r="X90" i="18"/>
  <c r="X192" i="18" s="1"/>
  <c r="X87" i="18"/>
  <c r="X86" i="18"/>
  <c r="X103" i="18"/>
  <c r="Z15" i="18"/>
  <c r="Z12" i="18"/>
  <c r="Z17" i="18"/>
  <c r="Z139" i="18" s="1"/>
  <c r="Z10" i="18"/>
  <c r="Z18" i="18"/>
  <c r="Z147" i="18" s="1"/>
  <c r="Z148" i="18" s="1"/>
  <c r="Z6" i="18"/>
  <c r="Z7" i="18"/>
  <c r="Z67" i="18"/>
  <c r="Y110" i="18"/>
  <c r="Y109" i="18"/>
  <c r="Y69" i="18"/>
  <c r="Y126" i="18" s="1"/>
  <c r="Y127" i="18" s="1"/>
  <c r="Y128" i="18" s="1"/>
  <c r="Y129" i="18" s="1"/>
  <c r="X99" i="18"/>
  <c r="X97" i="18"/>
  <c r="X98" i="18"/>
  <c r="X96" i="18"/>
  <c r="Z187" i="18"/>
  <c r="W189" i="18"/>
  <c r="W19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207" i="18" l="1"/>
  <c r="Z208" i="18" s="1"/>
  <c r="Y206" i="18"/>
  <c r="Y205" i="18" s="1"/>
  <c r="Z115" i="18"/>
  <c r="Z140" i="18"/>
  <c r="Z144" i="18"/>
  <c r="Z145" i="18"/>
  <c r="Z111" i="18"/>
  <c r="Z121" i="18"/>
  <c r="Z122" i="18"/>
  <c r="Z123" i="18"/>
  <c r="X88" i="18"/>
  <c r="X191" i="18" s="1"/>
  <c r="Y100" i="18"/>
  <c r="Y102" i="18"/>
  <c r="Y74" i="18"/>
  <c r="Y188" i="18" s="1"/>
  <c r="Y75" i="18"/>
  <c r="Y84" i="18"/>
  <c r="Y193" i="18" s="1"/>
  <c r="Y90" i="18"/>
  <c r="Y192" i="18" s="1"/>
  <c r="Y89" i="18"/>
  <c r="Y87" i="18"/>
  <c r="Y78" i="18"/>
  <c r="Y77" i="18"/>
  <c r="Y83" i="18"/>
  <c r="Y79" i="18"/>
  <c r="Y80" i="18"/>
  <c r="Y86" i="18"/>
  <c r="Y103" i="18"/>
  <c r="Y82" i="18"/>
  <c r="Y104" i="18"/>
  <c r="AA12" i="18"/>
  <c r="AA17" i="18"/>
  <c r="AA139" i="18" s="1"/>
  <c r="AA15" i="18"/>
  <c r="AA10" i="18"/>
  <c r="AA18" i="18"/>
  <c r="AA147" i="18" s="1"/>
  <c r="AA148" i="18" s="1"/>
  <c r="AA7" i="18"/>
  <c r="AA6" i="18"/>
  <c r="AA67" i="18"/>
  <c r="Z109" i="18"/>
  <c r="Z110" i="18"/>
  <c r="Z69" i="18"/>
  <c r="Z126" i="18" s="1"/>
  <c r="Z127" i="18" s="1"/>
  <c r="Z128" i="18" s="1"/>
  <c r="Z129" i="18" s="1"/>
  <c r="Y99" i="18"/>
  <c r="Y97" i="18"/>
  <c r="Y98" i="18"/>
  <c r="Y96" i="18"/>
  <c r="AA187" i="18"/>
  <c r="X189" i="18"/>
  <c r="X190" i="18"/>
  <c r="N34" i="11"/>
  <c r="O33" i="11"/>
  <c r="D25" i="8"/>
  <c r="D23" i="8"/>
  <c r="AA207" i="18" l="1"/>
  <c r="AA208" i="18" s="1"/>
  <c r="Z206" i="18"/>
  <c r="Z205" i="18" s="1"/>
  <c r="AA111" i="18"/>
  <c r="AA144" i="18"/>
  <c r="AA145" i="18"/>
  <c r="AA115" i="18"/>
  <c r="AA140" i="18"/>
  <c r="AA121" i="18"/>
  <c r="AA122" i="18"/>
  <c r="AA123" i="18"/>
  <c r="Y88" i="18"/>
  <c r="Y191" i="18" s="1"/>
  <c r="Z100" i="18"/>
  <c r="Z102" i="18"/>
  <c r="Z75" i="18"/>
  <c r="Z74" i="18"/>
  <c r="Z188" i="18" s="1"/>
  <c r="Z78" i="18"/>
  <c r="Z89" i="18"/>
  <c r="Z79" i="18"/>
  <c r="Z84" i="18"/>
  <c r="Z193" i="18" s="1"/>
  <c r="Z87" i="18"/>
  <c r="Z86" i="18"/>
  <c r="Z104" i="18"/>
  <c r="Z90" i="18"/>
  <c r="Z192" i="18" s="1"/>
  <c r="Z77" i="18"/>
  <c r="Z83" i="18"/>
  <c r="Z103" i="18"/>
  <c r="Z82" i="18"/>
  <c r="Z80" i="18"/>
  <c r="AB17" i="18"/>
  <c r="AE17" i="18" s="1"/>
  <c r="AB15" i="18"/>
  <c r="AE15" i="18" s="1"/>
  <c r="AB12" i="18"/>
  <c r="AB140" i="18" s="1"/>
  <c r="AC140" i="18" s="1"/>
  <c r="AB10" i="18"/>
  <c r="AB18" i="18"/>
  <c r="AB6" i="18"/>
  <c r="AE6" i="18" s="1"/>
  <c r="AB7" i="18"/>
  <c r="AE7" i="18" s="1"/>
  <c r="AB67" i="18"/>
  <c r="AA110" i="18"/>
  <c r="AA109" i="18"/>
  <c r="AA69" i="18"/>
  <c r="AA126" i="18" s="1"/>
  <c r="AA127" i="18" s="1"/>
  <c r="AA128" i="18" s="1"/>
  <c r="AA129" i="18" s="1"/>
  <c r="Z99" i="18"/>
  <c r="Z97" i="18"/>
  <c r="Z98" i="18"/>
  <c r="Z96" i="18"/>
  <c r="AB187" i="18"/>
  <c r="Y189" i="18"/>
  <c r="Y190" i="18"/>
  <c r="N35" i="11"/>
  <c r="O34" i="11"/>
  <c r="D35" i="8"/>
  <c r="E5" i="8"/>
  <c r="E18" i="8" s="1"/>
  <c r="D18" i="8"/>
  <c r="D19" i="8"/>
  <c r="D21" i="8"/>
  <c r="D20" i="8"/>
  <c r="AB207" i="18" l="1"/>
  <c r="AB208" i="18" s="1"/>
  <c r="AA206" i="18"/>
  <c r="AA205" i="18" s="1"/>
  <c r="AE18" i="18"/>
  <c r="AB147" i="18"/>
  <c r="AB145" i="18"/>
  <c r="AC145" i="18" s="1"/>
  <c r="AB144" i="18"/>
  <c r="AC144" i="18" s="1"/>
  <c r="AB139" i="18"/>
  <c r="AC139" i="18" s="1"/>
  <c r="AB111" i="18"/>
  <c r="AC111" i="18" s="1"/>
  <c r="AE10" i="18"/>
  <c r="AB121" i="18"/>
  <c r="AC121" i="18" s="1"/>
  <c r="AE12" i="18"/>
  <c r="AB115" i="18"/>
  <c r="AC115" i="18" s="1"/>
  <c r="AE67" i="18"/>
  <c r="AB122" i="18"/>
  <c r="AC122" i="18" s="1"/>
  <c r="AB123" i="18"/>
  <c r="AC123" i="18" s="1"/>
  <c r="Z88" i="18"/>
  <c r="Z191" i="18" s="1"/>
  <c r="AA100" i="18"/>
  <c r="AA102" i="18"/>
  <c r="AA74" i="18"/>
  <c r="AA188" i="18" s="1"/>
  <c r="AA75" i="18"/>
  <c r="AA82" i="18"/>
  <c r="AA90" i="18"/>
  <c r="AA192" i="18" s="1"/>
  <c r="AA77" i="18"/>
  <c r="AA84" i="18"/>
  <c r="AA193" i="18" s="1"/>
  <c r="AA87" i="18"/>
  <c r="AA103" i="18"/>
  <c r="AA78" i="18"/>
  <c r="AA79" i="18"/>
  <c r="AA80" i="18"/>
  <c r="AA83" i="18"/>
  <c r="AA104" i="18"/>
  <c r="AA86" i="18"/>
  <c r="AA89" i="18"/>
  <c r="AC17" i="18"/>
  <c r="AC15" i="18"/>
  <c r="S171" i="18"/>
  <c r="AC12" i="18"/>
  <c r="AC10" i="18"/>
  <c r="AC18" i="18"/>
  <c r="AC7" i="18"/>
  <c r="AC6" i="18"/>
  <c r="AB110" i="18"/>
  <c r="AC110" i="18" s="1"/>
  <c r="AB109" i="18"/>
  <c r="AC109" i="18" s="1"/>
  <c r="AC67" i="18"/>
  <c r="AB69" i="18"/>
  <c r="AB126" i="18" s="1"/>
  <c r="AB127" i="18" s="1"/>
  <c r="AB128" i="18" s="1"/>
  <c r="AB129" i="18" s="1"/>
  <c r="AA99" i="18"/>
  <c r="AA97" i="18"/>
  <c r="AA98" i="18"/>
  <c r="AA96" i="18"/>
  <c r="AC187" i="18"/>
  <c r="AE187" i="18" s="1"/>
  <c r="Z189" i="18"/>
  <c r="Z190" i="18"/>
  <c r="N36" i="11"/>
  <c r="O35" i="11"/>
  <c r="F5" i="8"/>
  <c r="G5" i="8" s="1"/>
  <c r="H5" i="8" s="1"/>
  <c r="I5" i="8" s="1"/>
  <c r="AC207" i="18" l="1"/>
  <c r="AC208" i="18" s="1"/>
  <c r="AB206" i="18"/>
  <c r="AB205" i="18" s="1"/>
  <c r="AB148" i="18"/>
  <c r="AC148" i="18" s="1"/>
  <c r="AC147" i="18"/>
  <c r="AE69" i="18"/>
  <c r="T171" i="18"/>
  <c r="T172" i="18" s="1"/>
  <c r="AA88" i="18"/>
  <c r="AA191" i="18" s="1"/>
  <c r="AB100" i="18"/>
  <c r="AB102" i="18"/>
  <c r="AE102" i="18" s="1"/>
  <c r="AB74" i="18"/>
  <c r="AB75" i="18"/>
  <c r="AB82" i="18"/>
  <c r="AB87" i="18"/>
  <c r="AB77" i="18"/>
  <c r="AE77" i="18" s="1"/>
  <c r="AB84" i="18"/>
  <c r="AB80" i="18"/>
  <c r="AB103" i="18"/>
  <c r="AB79" i="18"/>
  <c r="AE79" i="18" s="1"/>
  <c r="AB78" i="18"/>
  <c r="AB89" i="18"/>
  <c r="AB104" i="18"/>
  <c r="AB83" i="18"/>
  <c r="AB90" i="18"/>
  <c r="AB86" i="18"/>
  <c r="S172" i="18"/>
  <c r="AB99" i="18"/>
  <c r="AB97" i="18"/>
  <c r="AC69" i="18"/>
  <c r="AB98" i="18"/>
  <c r="AB96" i="18"/>
  <c r="AA189" i="18"/>
  <c r="AA190" i="18"/>
  <c r="N37" i="11"/>
  <c r="O36" i="11"/>
  <c r="F18" i="8"/>
  <c r="G18" i="8"/>
  <c r="AD207" i="18" l="1"/>
  <c r="AD208" i="18" s="1"/>
  <c r="AC206" i="18"/>
  <c r="AC205" i="18" s="1"/>
  <c r="AB188" i="18"/>
  <c r="AC188" i="18" s="1"/>
  <c r="AE188" i="18" s="1"/>
  <c r="AE74" i="18"/>
  <c r="AC126" i="18"/>
  <c r="R171" i="18"/>
  <c r="R172" i="18"/>
  <c r="AC103" i="18"/>
  <c r="AE103" i="18"/>
  <c r="AC75" i="18"/>
  <c r="AE75" i="18"/>
  <c r="S168" i="18"/>
  <c r="AE89" i="18"/>
  <c r="AB192" i="18"/>
  <c r="AC192" i="18" s="1"/>
  <c r="AE192" i="18" s="1"/>
  <c r="AE90" i="18"/>
  <c r="AC74" i="18"/>
  <c r="AC87" i="18"/>
  <c r="AE87" i="18"/>
  <c r="S162" i="18"/>
  <c r="AE86" i="18"/>
  <c r="S161" i="18"/>
  <c r="AE80" i="18"/>
  <c r="AB193" i="18"/>
  <c r="AC193" i="18" s="1"/>
  <c r="AE193" i="18" s="1"/>
  <c r="AE84" i="18"/>
  <c r="AC83" i="18"/>
  <c r="AE83" i="18"/>
  <c r="S159" i="18"/>
  <c r="AE78" i="18"/>
  <c r="S164" i="18"/>
  <c r="AE82" i="18"/>
  <c r="AC104" i="18"/>
  <c r="AE104" i="18"/>
  <c r="S184" i="18"/>
  <c r="AE100" i="18"/>
  <c r="S182" i="18"/>
  <c r="AE99" i="18"/>
  <c r="S181" i="18"/>
  <c r="AE98" i="18"/>
  <c r="S179" i="18"/>
  <c r="AE96" i="18"/>
  <c r="S180" i="18"/>
  <c r="AE97" i="18"/>
  <c r="AC89" i="18"/>
  <c r="S165" i="18"/>
  <c r="AC78" i="18"/>
  <c r="AC80" i="18"/>
  <c r="T161" i="18" s="1"/>
  <c r="AC82" i="18"/>
  <c r="S166" i="18"/>
  <c r="AC100" i="18"/>
  <c r="AC86" i="18"/>
  <c r="S169" i="18"/>
  <c r="AB88" i="18"/>
  <c r="AC84" i="18"/>
  <c r="AC90" i="18"/>
  <c r="AC102" i="18"/>
  <c r="AC98" i="18"/>
  <c r="AC97" i="18"/>
  <c r="AC96" i="18"/>
  <c r="AC99" i="18"/>
  <c r="S158" i="18"/>
  <c r="AC77" i="18"/>
  <c r="T158" i="18" s="1"/>
  <c r="AB189" i="18"/>
  <c r="AC79" i="18"/>
  <c r="T160" i="18" s="1"/>
  <c r="AB190" i="18"/>
  <c r="S160" i="18"/>
  <c r="N38" i="11"/>
  <c r="O37" i="11"/>
  <c r="H18" i="8"/>
  <c r="AE207" i="18" l="1"/>
  <c r="AE208" i="18" s="1"/>
  <c r="AD206" i="18"/>
  <c r="AD205" i="18" s="1"/>
  <c r="P202" i="18"/>
  <c r="M202" i="18"/>
  <c r="AC127" i="18"/>
  <c r="T169" i="18"/>
  <c r="R169" i="18" s="1"/>
  <c r="T159" i="18"/>
  <c r="R159" i="18" s="1"/>
  <c r="T168" i="18"/>
  <c r="R168" i="18" s="1"/>
  <c r="T164" i="18"/>
  <c r="R164" i="18" s="1"/>
  <c r="T166" i="18"/>
  <c r="R166" i="18" s="1"/>
  <c r="T184" i="18"/>
  <c r="R184" i="18" s="1"/>
  <c r="T181" i="18"/>
  <c r="R181" i="18" s="1"/>
  <c r="AC88" i="18"/>
  <c r="AE88" i="18"/>
  <c r="T162" i="18"/>
  <c r="R162" i="18" s="1"/>
  <c r="R161" i="18"/>
  <c r="T165" i="18"/>
  <c r="R165" i="18" s="1"/>
  <c r="T179" i="18"/>
  <c r="R179" i="18" s="1"/>
  <c r="AB191" i="18"/>
  <c r="AC191" i="18" s="1"/>
  <c r="AE191" i="18" s="1"/>
  <c r="T182" i="18"/>
  <c r="R182" i="18" s="1"/>
  <c r="T180" i="18"/>
  <c r="R180" i="18" s="1"/>
  <c r="R158" i="18"/>
  <c r="P203" i="18" s="1"/>
  <c r="P204" i="18" s="1"/>
  <c r="AC190" i="18"/>
  <c r="AE190" i="18" s="1"/>
  <c r="AC189" i="18"/>
  <c r="AE189" i="18" s="1"/>
  <c r="R160" i="18"/>
  <c r="N39" i="11"/>
  <c r="O38" i="11"/>
  <c r="I18" i="8"/>
  <c r="AF207" i="18" l="1"/>
  <c r="AF208" i="18" s="1"/>
  <c r="AE206" i="18"/>
  <c r="AE205" i="18" s="1"/>
  <c r="P201" i="18"/>
  <c r="M201" i="18"/>
  <c r="P200" i="18"/>
  <c r="M200" i="18"/>
  <c r="AC129" i="18"/>
  <c r="AC128" i="18"/>
  <c r="N40" i="11"/>
  <c r="O39" i="11"/>
  <c r="AG207" i="18" l="1"/>
  <c r="AG208" i="18" s="1"/>
  <c r="AF206" i="18"/>
  <c r="AF205" i="18" s="1"/>
  <c r="N41" i="11"/>
  <c r="O40" i="11"/>
  <c r="AH207" i="18" l="1"/>
  <c r="AH208" i="18" s="1"/>
  <c r="AG206" i="18"/>
  <c r="AG205" i="18" s="1"/>
  <c r="N42" i="11"/>
  <c r="O41" i="11"/>
  <c r="AI207" i="18" l="1"/>
  <c r="AI208" i="18" s="1"/>
  <c r="AH206" i="18"/>
  <c r="AH205" i="18" s="1"/>
  <c r="AJ207" i="18" l="1"/>
  <c r="AJ208" i="18" s="1"/>
  <c r="AI206" i="18"/>
  <c r="AI205" i="18" s="1"/>
  <c r="AK207" i="18" l="1"/>
  <c r="AK208" i="18" s="1"/>
  <c r="AJ206" i="18"/>
  <c r="AJ205" i="18" s="1"/>
  <c r="AL207" i="18" l="1"/>
  <c r="AL208" i="18" s="1"/>
  <c r="AK206" i="18"/>
  <c r="AK205" i="18" s="1"/>
  <c r="AM207" i="18" l="1"/>
  <c r="AM208" i="18" s="1"/>
  <c r="AL206" i="18"/>
  <c r="AL205" i="18" s="1"/>
  <c r="AN207" i="18" l="1"/>
  <c r="AN208" i="18" s="1"/>
  <c r="AM206" i="18"/>
  <c r="AM205" i="18" s="1"/>
  <c r="AO207" i="18" l="1"/>
  <c r="AO208" i="18" s="1"/>
  <c r="AN206" i="18"/>
  <c r="AN205" i="18" s="1"/>
  <c r="AP207" i="18" l="1"/>
  <c r="AP208" i="18" s="1"/>
  <c r="AO206" i="18"/>
  <c r="AO205" i="18" s="1"/>
  <c r="AQ207" i="18" l="1"/>
  <c r="AQ208" i="18" s="1"/>
  <c r="AP206" i="18"/>
  <c r="AP205" i="18" s="1"/>
  <c r="AR207" i="18" l="1"/>
  <c r="AR208" i="18" s="1"/>
  <c r="AQ206" i="18"/>
  <c r="AQ205" i="18" s="1"/>
  <c r="AS207" i="18" l="1"/>
  <c r="AS208" i="18" s="1"/>
  <c r="AR206" i="18"/>
  <c r="AR205" i="18" s="1"/>
  <c r="AT207" i="18" l="1"/>
  <c r="AT208" i="18" s="1"/>
  <c r="AS206" i="18"/>
  <c r="AS205" i="18" s="1"/>
  <c r="AU207" i="18" l="1"/>
  <c r="AU208" i="18" s="1"/>
  <c r="AT206" i="18"/>
  <c r="AT205" i="18" s="1"/>
  <c r="AV207" i="18" l="1"/>
  <c r="AV208" i="18" s="1"/>
  <c r="AU206" i="18"/>
  <c r="AU205" i="18" s="1"/>
  <c r="AV206" i="18" l="1"/>
  <c r="AV205" i="18" s="1"/>
</calcChain>
</file>

<file path=xl/comments1.xml><?xml version="1.0" encoding="utf-8"?>
<comments xmlns="http://schemas.openxmlformats.org/spreadsheetml/2006/main">
  <authors>
    <author>Author</author>
  </authors>
  <commentList>
    <comment ref="B1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<sst xmlns="http://schemas.openxmlformats.org/spreadsheetml/2006/main" count="624" uniqueCount="435">
  <si>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</si>
  <si>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</si>
  <si>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</si>
  <si>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</si>
  <si>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</si>
  <si>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</si>
  <si>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</si>
  <si>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</si>
  <si>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</si>
  <si>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</si>
  <si>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</si>
  <si>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</si>
  <si>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</si>
  <si>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</si>
  <si>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</si>
  <si>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</si>
  <si>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</si>
  <si>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</si>
  <si>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</si>
  <si>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</si>
  <si>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</si>
  <si>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</si>
  <si>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</si>
  <si>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</si>
  <si>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</si>
  <si>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</si>
  <si>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</si>
  <si>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</si>
  <si>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</si>
  <si>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</si>
  <si>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</si>
  <si>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</si>
  <si>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</si>
  <si>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</si>
  <si>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</si>
  <si>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</si>
  <si>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</si>
  <si>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</si>
  <si>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</si>
  <si>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</si>
  <si>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</si>
  <si>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</si>
  <si>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</si>
  <si>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</si>
  <si>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</si>
  <si>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</si>
  <si>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</si>
  <si>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</si>
  <si>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</si>
  <si>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</si>
  <si>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</si>
  <si>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</si>
  <si>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</si>
  <si>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</si>
  <si>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</si>
  <si>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</si>
  <si>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</si>
  <si>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</si>
  <si>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</si>
  <si>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</si>
  <si>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</si>
  <si>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</si>
  <si>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</si>
  <si>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</si>
  <si>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</si>
  <si>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</si>
  <si>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</si>
  <si>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</si>
  <si>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</si>
  <si>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</si>
  <si>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</si>
  <si>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</si>
  <si>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</si>
  <si>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</si>
  <si>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</si>
  <si>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</si>
  <si>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</si>
  <si>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</si>
  <si>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</si>
  <si>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</si>
  <si>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</si>
  <si>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</si>
  <si>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</si>
  <si>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</si>
  <si>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</si>
  <si>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</si>
  <si>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</si>
  <si>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</si>
  <si>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</si>
  <si>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</si>
  <si>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</si>
  <si>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</si>
  <si>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</si>
  <si>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</si>
  <si>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</si>
  <si>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</si>
  <si>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</si>
  <si>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</si>
  <si>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</si>
  <si>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</si>
  <si>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</si>
  <si>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</si>
  <si>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</si>
  <si>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</si>
  <si>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</si>
  <si>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</si>
  <si>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</si>
  <si>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</si>
  <si>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</si>
  <si>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</si>
  <si>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</si>
  <si>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</si>
  <si>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</si>
  <si>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</si>
  <si>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</si>
  <si>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</si>
  <si>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</si>
  <si>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</si>
  <si>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</si>
  <si>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</si>
  <si>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</si>
  <si>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</si>
  <si>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</si>
  <si>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</si>
  <si>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</si>
  <si>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</si>
  <si>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</si>
  <si>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</si>
  <si>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</si>
  <si>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</si>
  <si>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</si>
  <si>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</si>
  <si>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</si>
  <si>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</si>
  <si>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</si>
  <si>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</si>
  <si>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</si>
  <si>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</si>
  <si>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</si>
  <si>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</si>
  <si>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</si>
  <si>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</si>
  <si>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</si>
  <si>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</si>
  <si>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</si>
  <si>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</si>
  <si>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</si>
  <si>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</si>
  <si>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</si>
  <si>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</si>
  <si>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</si>
  <si>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</si>
  <si>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</si>
  <si>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</si>
  <si>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</si>
  <si>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</si>
  <si>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</si>
  <si>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</si>
  <si>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</si>
  <si>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</si>
  <si>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</si>
  <si>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</si>
  <si>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</si>
  <si>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</si>
  <si>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</si>
  <si>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</si>
  <si>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</si>
  <si>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</si>
  <si>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</si>
  <si>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</si>
  <si>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</si>
  <si>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</si>
  <si>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</si>
  <si>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</si>
  <si>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</si>
  <si>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</si>
  <si>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</si>
  <si>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</si>
  <si>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</si>
  <si>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</si>
  <si>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</si>
  <si>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</si>
  <si>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</si>
  <si>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</si>
  <si>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</si>
  <si>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</si>
  <si>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</si>
  <si>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</si>
  <si>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</si>
  <si>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</si>
  <si>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</si>
  <si>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</si>
  <si>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</si>
  <si>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</si>
  <si>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</si>
  <si>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</si>
  <si>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</si>
  <si>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</si>
  <si>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</si>
  <si>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</si>
  <si>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</si>
  <si>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</si>
  <si>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</si>
  <si>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</si>
  <si>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</si>
  <si>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</si>
  <si>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</si>
  <si>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</si>
  <si>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</si>
  <si>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</si>
  <si>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</si>
  <si>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</si>
  <si>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</si>
  <si>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</si>
  <si>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</si>
  <si>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</si>
  <si>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</si>
  <si>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</si>
  <si>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</si>
  <si>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</si>
  <si>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</si>
  <si>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</si>
  <si>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</si>
  <si>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</si>
  <si>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</si>
  <si>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</si>
  <si>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</si>
  <si>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</si>
  <si>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</si>
  <si>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</si>
  <si>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</si>
  <si>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</si>
  <si>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</si>
  <si>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</si>
  <si>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</si>
  <si>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</si>
  <si>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</si>
  <si>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</si>
  <si>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</si>
  <si>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</si>
  <si>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</si>
  <si>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</si>
  <si>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</si>
  <si>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</si>
  <si>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</si>
  <si>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</si>
  <si>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</si>
  <si>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</si>
  <si>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</si>
  <si>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</si>
  <si>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</si>
  <si>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</si>
  <si>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</si>
  <si>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</si>
  <si>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</si>
  <si>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</si>
  <si>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</si>
  <si>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</si>
  <si>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</si>
  <si>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</si>
  <si>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</si>
  <si>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</si>
  <si>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</si>
  <si>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</si>
  <si>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</si>
  <si>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</si>
  <si>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</si>
  <si>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</si>
  <si>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</si>
  <si>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</si>
  <si>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</si>
  <si>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</si>
  <si>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</si>
  <si>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</si>
  <si>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</si>
  <si>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</si>
  <si>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</si>
  <si>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</si>
  <si>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</si>
  <si>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</si>
  <si>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</si>
  <si>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</si>
  <si>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</si>
  <si>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</si>
  <si>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</si>
  <si>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</si>
  <si>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</si>
  <si>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</si>
  <si>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</si>
  <si>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</si>
  <si>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</si>
  <si>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</si>
  <si>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</si>
  <si>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</si>
  <si>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</si>
  <si>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</si>
  <si>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</si>
  <si>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</si>
  <si>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</si>
  <si>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</si>
  <si>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</si>
  <si>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</si>
  <si>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</si>
  <si>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</si>
  <si>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</si>
  <si>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</si>
  <si>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</si>
  <si>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</si>
  <si>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</si>
  <si>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</si>
  <si>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</si>
  <si>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</si>
  <si>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</si>
  <si>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</si>
  <si>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</si>
  <si>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</si>
  <si>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</si>
  <si>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</si>
  <si>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</si>
  <si>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</si>
  <si>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</si>
  <si>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</si>
  <si>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</si>
  <si>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</si>
  <si>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</si>
  <si>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</si>
  <si>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</si>
  <si>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</si>
  <si>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</si>
  <si>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</si>
  <si>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</si>
  <si>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</si>
  <si>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</si>
  <si>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</si>
  <si>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</si>
  <si>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</si>
  <si>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</si>
  <si>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</si>
  <si>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</si>
  <si>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</si>
  <si>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</si>
  <si>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</si>
  <si>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</si>
  <si>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</si>
  <si>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</si>
  <si>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</si>
  <si>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</si>
  <si>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</si>
  <si>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</si>
  <si>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</si>
  <si>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</si>
  <si>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</si>
  <si>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</si>
  <si>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</si>
  <si>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</si>
  <si>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</si>
  <si>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</si>
  <si>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</si>
  <si>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</si>
  <si>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</si>
  <si>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</si>
  <si>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</si>
  <si>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</si>
  <si>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</si>
  <si>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</si>
  <si>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</si>
  <si>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</si>
  <si>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</si>
  <si>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</si>
  <si>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</si>
  <si>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</si>
  <si>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</si>
  <si>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</si>
  <si>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</si>
  <si>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</si>
  <si>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</si>
  <si>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</si>
  <si>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</si>
  <si>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</si>
  <si>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</si>
  <si>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Peak</t>
  </si>
  <si>
    <t>Earnings yield/ratio (to compare with other investment options)</t>
  </si>
  <si>
    <t>Other Ratio's</t>
  </si>
  <si>
    <t>Cuurent Ratio (CA/CL) - preferred &gt;=1.25-1.33</t>
  </si>
  <si>
    <t>Debt to Equity Ratio &lt; 1/1 (For heaving ind &lt; 4/1)</t>
  </si>
  <si>
    <t>Avg Working Capital (CA-CL) i.e. Net Current Assets</t>
  </si>
  <si>
    <t>Days Working Capital (W.C*365/Sales)</t>
  </si>
  <si>
    <t>Interest Coverage ratio - EBITDA/Interest &gt; 1.5 to 2</t>
  </si>
  <si>
    <t>Other Income/Revenue</t>
  </si>
  <si>
    <t>Net Interest Margin</t>
  </si>
  <si>
    <t>Inventories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</si>
  <si>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</si>
  <si>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</si>
  <si>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</si>
  <si>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</si>
  <si>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</si>
  <si>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xxxx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</si>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</sst>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4" fontId="5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1104"/>
        <c:axId val="96032640"/>
      </c:lineChart>
      <c:catAx>
        <c:axId val="9603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96032640"/>
        <c:crosses val="autoZero"/>
        <c:auto val="1"/>
        <c:lblAlgn val="ctr"/>
        <c:lblOffset val="100"/>
        <c:noMultiLvlLbl val="0"/>
      </c:catAx>
      <c:valAx>
        <c:axId val="9603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03110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268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V237"/>
  <sheetViews>
    <sheetView tabSelected="1" zoomScale="80" zoomScaleNormal="80" workbookViewId="0">
      <pane xSplit="2" ySplit="3" topLeftCell="C48" activePane="bottomRight" state="frozen"/>
      <selection pane="topRight" activeCell="C1" sqref="C1"/>
      <selection pane="bottomLeft" activeCell="A5" sqref="A5"/>
      <selection pane="bottomRight" activeCell="J69" sqref="J69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ht="15" x14ac:dyDescent="0.25">
      <c r="B1" s="122" t="s">
        <v>241</v>
      </c>
      <c r="C1" s="123">
        <v>0.22</v>
      </c>
      <c r="F1" s="104" t="s">
        <v>252</v>
      </c>
      <c r="H1" s="125">
        <v>2004</v>
      </c>
      <c r="J1" s="104" t="s">
        <v>328</v>
      </c>
      <c r="L1" s="164">
        <v>0.05</v>
      </c>
      <c r="N1" s="174" t="s">
        <v>392</v>
      </c>
      <c r="O1" s="172"/>
      <c r="P1" s="175">
        <v>0.05</v>
      </c>
    </row>
    <row r="2" spans="2:31" x14ac:dyDescent="0.2">
      <c r="B2" s="153" t="s">
        <v>316</v>
      </c>
      <c r="C2" s="120"/>
      <c r="F2" s="104" t="s">
        <v>253</v>
      </c>
      <c r="H2" s="125">
        <v>2013</v>
      </c>
      <c r="J2" s="104" t="s">
        <v>329</v>
      </c>
      <c r="L2" s="164">
        <v>0.15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225" t="s">
        <v>292</v>
      </c>
      <c r="AE2" s="22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5" t="s">
        <v>1</v>
      </c>
      <c r="AD3" s="227" t="s">
        <v>293</v>
      </c>
      <c r="AE3" s="22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6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6"/>
      <c r="AD5" s="20"/>
      <c r="AE5" s="154"/>
    </row>
    <row r="6" spans="2:31" x14ac:dyDescent="0.2">
      <c r="B6" s="20" t="s">
        <v>16</v>
      </c>
      <c r="C6" s="140"/>
      <c r="D6" s="140"/>
      <c r="E6" s="146"/>
      <c r="F6" s="146"/>
      <c r="G6" s="169">
        <v>1176</v>
      </c>
      <c r="H6" s="169">
        <v>1343</v>
      </c>
      <c r="I6" s="169">
        <v>1949</v>
      </c>
      <c r="J6" s="169">
        <v>2935</v>
      </c>
      <c r="K6" s="169">
        <v>5479</v>
      </c>
      <c r="L6" s="169">
        <v>6268</v>
      </c>
      <c r="M6" s="169">
        <v>7617</v>
      </c>
      <c r="N6" s="169">
        <v>10594</v>
      </c>
      <c r="O6" s="169">
        <v>12530</v>
      </c>
      <c r="P6" s="169">
        <v>14876</v>
      </c>
      <c r="Q6" s="118">
        <f>((P6/G6)^(1/($H$2-$H$1) ))-1</f>
        <v>0.32572426497792994</v>
      </c>
      <c r="R6" s="31">
        <f>$L$2</f>
        <v>0.15</v>
      </c>
      <c r="S6" s="154">
        <f>P6*(1+$R6)</f>
        <v>17107.399999999998</v>
      </c>
      <c r="T6" s="154">
        <f>S6*(1+$R6)</f>
        <v>19673.509999999995</v>
      </c>
      <c r="U6" s="154">
        <f t="shared" ref="U6:AB6" si="0">T6*(1+$R6)</f>
        <v>22624.536499999991</v>
      </c>
      <c r="V6" s="154">
        <f t="shared" si="0"/>
        <v>26018.216974999988</v>
      </c>
      <c r="W6" s="154">
        <f t="shared" si="0"/>
        <v>29920.949521249986</v>
      </c>
      <c r="X6" s="154">
        <f t="shared" si="0"/>
        <v>34409.091949437483</v>
      </c>
      <c r="Y6" s="154">
        <f t="shared" si="0"/>
        <v>39570.455741853104</v>
      </c>
      <c r="Z6" s="154">
        <f t="shared" si="0"/>
        <v>45506.024103131065</v>
      </c>
      <c r="AA6" s="154">
        <f t="shared" si="0"/>
        <v>52331.927718600724</v>
      </c>
      <c r="AB6" s="154">
        <f t="shared" si="0"/>
        <v>60181.716876390827</v>
      </c>
      <c r="AC6" s="137">
        <f>((AB6/G6)^(1/($AB$3-$H$1) ))-1</f>
        <v>0.23012822007230427</v>
      </c>
      <c r="AD6" s="31">
        <f>$L$1</f>
        <v>0.05</v>
      </c>
      <c r="AE6" s="145">
        <f t="shared" ref="AE6:AE71" si="1">(AB6*(1+AD6))/($C$1-AD6)</f>
        <v>371710.6042365316</v>
      </c>
    </row>
    <row r="7" spans="2:31" x14ac:dyDescent="0.2">
      <c r="B7" s="20" t="s">
        <v>240</v>
      </c>
      <c r="C7" s="140"/>
      <c r="D7" s="140"/>
      <c r="E7" s="146"/>
      <c r="F7" s="146"/>
      <c r="G7" s="169">
        <v>1236</v>
      </c>
      <c r="H7" s="169">
        <v>1472</v>
      </c>
      <c r="I7" s="169">
        <v>2258</v>
      </c>
      <c r="J7" s="169">
        <v>3261</v>
      </c>
      <c r="K7" s="169">
        <v>5882</v>
      </c>
      <c r="L7" s="169">
        <v>6614</v>
      </c>
      <c r="M7" s="169">
        <v>7965</v>
      </c>
      <c r="N7" s="169">
        <v>10999</v>
      </c>
      <c r="O7" s="169">
        <v>12935</v>
      </c>
      <c r="P7" s="169">
        <v>15267</v>
      </c>
      <c r="Q7" s="118">
        <f>((P7/G7)^(1/($H$2-$H$1) ))-1</f>
        <v>0.32222058739945925</v>
      </c>
      <c r="R7" s="31">
        <f>$L$2</f>
        <v>0.15</v>
      </c>
      <c r="S7" s="154">
        <f t="shared" ref="S7:S18" si="2">P7*(1+$R7)</f>
        <v>17557.05</v>
      </c>
      <c r="T7" s="154">
        <f t="shared" ref="T7:AB7" si="3">S7*(1+$R7)</f>
        <v>20190.607499999998</v>
      </c>
      <c r="U7" s="154">
        <f t="shared" si="3"/>
        <v>23219.198624999997</v>
      </c>
      <c r="V7" s="154">
        <f t="shared" si="3"/>
        <v>26702.078418749996</v>
      </c>
      <c r="W7" s="154">
        <f t="shared" si="3"/>
        <v>30707.390181562492</v>
      </c>
      <c r="X7" s="154">
        <f t="shared" si="3"/>
        <v>35313.498708796862</v>
      </c>
      <c r="Y7" s="154">
        <f t="shared" si="3"/>
        <v>40610.523515116387</v>
      </c>
      <c r="Z7" s="154">
        <f t="shared" si="3"/>
        <v>46702.102042383842</v>
      </c>
      <c r="AA7" s="154">
        <f t="shared" si="3"/>
        <v>53707.417348741415</v>
      </c>
      <c r="AB7" s="154">
        <f t="shared" si="3"/>
        <v>61763.529951052624</v>
      </c>
      <c r="AC7" s="137">
        <f>((AB7/G7)^(1/($AB$3-$H$1) ))-1</f>
        <v>0.22858718484963503</v>
      </c>
      <c r="AD7" s="31">
        <f>$L$1</f>
        <v>0.05</v>
      </c>
      <c r="AE7" s="145">
        <f t="shared" si="1"/>
        <v>381480.62616826623</v>
      </c>
    </row>
    <row r="8" spans="2:31" x14ac:dyDescent="0.2">
      <c r="B8" s="20"/>
      <c r="C8" s="140"/>
      <c r="D8" s="140"/>
      <c r="E8" s="146"/>
      <c r="F8" s="146"/>
      <c r="G8" s="148">
        <f>(G7-F7)/G7</f>
        <v>1</v>
      </c>
      <c r="H8" s="151">
        <f>(H7-G7)/H7</f>
        <v>0.16032608695652173</v>
      </c>
      <c r="I8" s="151">
        <f t="shared" ref="I8:P8" si="4">(I7-H7)/I7</f>
        <v>0.34809565987599644</v>
      </c>
      <c r="J8" s="151">
        <f t="shared" si="4"/>
        <v>0.30757436369211899</v>
      </c>
      <c r="K8" s="151">
        <f t="shared" si="4"/>
        <v>0.44559673580414827</v>
      </c>
      <c r="L8" s="151">
        <f t="shared" si="4"/>
        <v>0.1106743271847596</v>
      </c>
      <c r="M8" s="151">
        <f t="shared" si="4"/>
        <v>0.16961707470182047</v>
      </c>
      <c r="N8" s="151">
        <f t="shared" si="4"/>
        <v>0.27584325847804347</v>
      </c>
      <c r="O8" s="151">
        <f t="shared" si="4"/>
        <v>0.14967143409354464</v>
      </c>
      <c r="P8" s="151">
        <f t="shared" si="4"/>
        <v>0.1527477565992009</v>
      </c>
      <c r="Q8" s="127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6"/>
      <c r="AD8" s="136"/>
      <c r="AE8" s="145"/>
    </row>
    <row r="9" spans="2:31" x14ac:dyDescent="0.2">
      <c r="B9" s="20" t="s">
        <v>270</v>
      </c>
      <c r="C9" s="140"/>
      <c r="D9" s="140"/>
      <c r="E9" s="146"/>
      <c r="F9" s="146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18" t="e">
        <f t="shared" ref="Q9:Q18" si="5">((P9/G9)^(1/($H$2-$H$1) ))-1</f>
        <v>#DIV/0!</v>
      </c>
      <c r="R9" s="31">
        <f t="shared" ref="R9:R67" si="6">$L$2</f>
        <v>0.15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7" t="e">
        <f>((AB9/G9)^(1/($AB$3-$H$1) ))-1</f>
        <v>#DIV/0!</v>
      </c>
      <c r="AD9" s="31">
        <f t="shared" ref="AD9:AD103" si="17">$L$1</f>
        <v>0.05</v>
      </c>
      <c r="AE9" s="145">
        <f t="shared" si="1"/>
        <v>0</v>
      </c>
    </row>
    <row r="10" spans="2:31" x14ac:dyDescent="0.2">
      <c r="B10" s="20" t="s">
        <v>4</v>
      </c>
      <c r="C10" s="140"/>
      <c r="D10" s="140"/>
      <c r="E10" s="146"/>
      <c r="F10" s="146"/>
      <c r="G10" s="169">
        <v>7324</v>
      </c>
      <c r="H10" s="169">
        <v>7556</v>
      </c>
      <c r="I10" s="169">
        <v>11414</v>
      </c>
      <c r="J10" s="169">
        <v>19646</v>
      </c>
      <c r="K10" s="169">
        <v>26464</v>
      </c>
      <c r="L10" s="169">
        <v>24882</v>
      </c>
      <c r="M10" s="169">
        <v>35704</v>
      </c>
      <c r="N10" s="169">
        <v>49386</v>
      </c>
      <c r="O10" s="169">
        <v>65655</v>
      </c>
      <c r="P10" s="169">
        <v>86561</v>
      </c>
      <c r="Q10" s="118">
        <f t="shared" si="5"/>
        <v>0.31575455157214538</v>
      </c>
      <c r="R10" s="31">
        <f t="shared" si="6"/>
        <v>0.15</v>
      </c>
      <c r="S10" s="154">
        <f t="shared" si="2"/>
        <v>99545.15</v>
      </c>
      <c r="T10" s="154">
        <f t="shared" ref="T10:AB10" si="18">S10*(1+$R10)</f>
        <v>114476.92249999999</v>
      </c>
      <c r="U10" s="154">
        <f t="shared" si="18"/>
        <v>131648.46087499996</v>
      </c>
      <c r="V10" s="154">
        <f t="shared" si="18"/>
        <v>151395.73000624994</v>
      </c>
      <c r="W10" s="154">
        <f t="shared" si="18"/>
        <v>174105.08950718743</v>
      </c>
      <c r="X10" s="154">
        <f t="shared" si="18"/>
        <v>200220.85293326553</v>
      </c>
      <c r="Y10" s="154">
        <f t="shared" si="18"/>
        <v>230253.98087325535</v>
      </c>
      <c r="Z10" s="154">
        <f t="shared" si="18"/>
        <v>264792.07800424361</v>
      </c>
      <c r="AA10" s="154">
        <f t="shared" si="18"/>
        <v>304510.88970488013</v>
      </c>
      <c r="AB10" s="154">
        <f t="shared" si="18"/>
        <v>350187.52316061209</v>
      </c>
      <c r="AC10" s="137">
        <f t="shared" ref="AC10:AC70" si="19">((AB10/G10)^(1/($AB$3-$H$1) ))-1</f>
        <v>0.22573755129564144</v>
      </c>
      <c r="AD10" s="31">
        <f t="shared" si="17"/>
        <v>0.05</v>
      </c>
      <c r="AE10" s="145">
        <f t="shared" si="1"/>
        <v>2162922.9371684869</v>
      </c>
    </row>
    <row r="11" spans="2:31" x14ac:dyDescent="0.2">
      <c r="B11" s="20"/>
      <c r="C11" s="140"/>
      <c r="D11" s="140"/>
      <c r="E11" s="146"/>
      <c r="F11" s="146"/>
      <c r="G11" s="148">
        <f>(G10-F10)/G10</f>
        <v>1</v>
      </c>
      <c r="H11" s="147">
        <f>(H10-G10)/H10</f>
        <v>3.0704076230809951E-2</v>
      </c>
      <c r="I11" s="147">
        <f t="shared" ref="I11" si="20">(I10-H10)/I10</f>
        <v>0.33800595759593483</v>
      </c>
      <c r="J11" s="147">
        <f t="shared" ref="J11" si="21">(J10-I10)/J10</f>
        <v>0.41901659370864297</v>
      </c>
      <c r="K11" s="147">
        <f t="shared" ref="K11" si="22">(K10-J10)/K10</f>
        <v>0.25763301088270857</v>
      </c>
      <c r="L11" s="147">
        <f t="shared" ref="L11" si="23">(L10-K10)/L10</f>
        <v>-6.358009806285668E-2</v>
      </c>
      <c r="M11" s="147">
        <f t="shared" ref="M11" si="24">(M10-L10)/M10</f>
        <v>0.30310329374859962</v>
      </c>
      <c r="N11" s="147">
        <f t="shared" ref="N11" si="25">(N10-M10)/N10</f>
        <v>0.27704207670189934</v>
      </c>
      <c r="O11" s="147">
        <f t="shared" ref="O11" si="26">(O10-N10)/O10</f>
        <v>0.24779529358007768</v>
      </c>
      <c r="P11" s="147">
        <f t="shared" ref="P11" si="27">(P10-O10)/P10</f>
        <v>0.24151754254225344</v>
      </c>
      <c r="Q11" s="127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0"/>
      <c r="D12" s="140"/>
      <c r="E12" s="146"/>
      <c r="F12" s="146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18" t="e">
        <f t="shared" si="5"/>
        <v>#DIV/0!</v>
      </c>
      <c r="R12" s="31">
        <f t="shared" si="6"/>
        <v>0.15</v>
      </c>
      <c r="S12" s="154">
        <f t="shared" si="2"/>
        <v>0</v>
      </c>
      <c r="T12" s="154">
        <f t="shared" ref="T12:AB14" si="28">S12*(1+$R12)</f>
        <v>0</v>
      </c>
      <c r="U12" s="154">
        <f t="shared" si="28"/>
        <v>0</v>
      </c>
      <c r="V12" s="154">
        <f t="shared" si="28"/>
        <v>0</v>
      </c>
      <c r="W12" s="154">
        <f t="shared" si="28"/>
        <v>0</v>
      </c>
      <c r="X12" s="154">
        <f t="shared" si="28"/>
        <v>0</v>
      </c>
      <c r="Y12" s="154">
        <f t="shared" si="28"/>
        <v>0</v>
      </c>
      <c r="Z12" s="154">
        <f t="shared" si="28"/>
        <v>0</v>
      </c>
      <c r="AA12" s="154">
        <f t="shared" si="28"/>
        <v>0</v>
      </c>
      <c r="AB12" s="154">
        <f t="shared" si="28"/>
        <v>0</v>
      </c>
      <c r="AC12" s="137" t="e">
        <f t="shared" si="19"/>
        <v>#DIV/0!</v>
      </c>
      <c r="AD12" s="31">
        <f t="shared" si="17"/>
        <v>0.05</v>
      </c>
      <c r="AE12" s="145">
        <f t="shared" si="1"/>
        <v>0</v>
      </c>
    </row>
    <row r="13" spans="2:31" x14ac:dyDescent="0.2">
      <c r="B13" s="20" t="s">
        <v>362</v>
      </c>
      <c r="C13" s="140"/>
      <c r="D13" s="140"/>
      <c r="E13" s="146"/>
      <c r="F13" s="146"/>
      <c r="G13" s="146">
        <v>127</v>
      </c>
      <c r="H13" s="146">
        <v>239</v>
      </c>
      <c r="I13" s="146">
        <v>449</v>
      </c>
      <c r="J13" s="146">
        <v>791</v>
      </c>
      <c r="K13" s="146">
        <v>1764</v>
      </c>
      <c r="L13" s="146">
        <v>1007</v>
      </c>
      <c r="M13" s="146">
        <v>2094</v>
      </c>
      <c r="N13" s="146">
        <v>2114</v>
      </c>
      <c r="O13" s="146">
        <v>2030</v>
      </c>
      <c r="P13" s="146">
        <v>2220</v>
      </c>
      <c r="Q13" s="118">
        <f t="shared" si="5"/>
        <v>0.37423507245536558</v>
      </c>
      <c r="R13" s="31">
        <v>0.1</v>
      </c>
      <c r="S13" s="154">
        <f t="shared" si="2"/>
        <v>2442</v>
      </c>
      <c r="T13" s="154">
        <f t="shared" si="28"/>
        <v>2686.2000000000003</v>
      </c>
      <c r="U13" s="154">
        <f t="shared" si="28"/>
        <v>2954.8200000000006</v>
      </c>
      <c r="V13" s="154">
        <f t="shared" si="28"/>
        <v>3250.302000000001</v>
      </c>
      <c r="W13" s="154">
        <f t="shared" si="28"/>
        <v>3575.3322000000016</v>
      </c>
      <c r="X13" s="154">
        <f t="shared" si="28"/>
        <v>3932.8654200000019</v>
      </c>
      <c r="Y13" s="154">
        <f t="shared" si="28"/>
        <v>4326.1519620000026</v>
      </c>
      <c r="Z13" s="154">
        <f t="shared" si="28"/>
        <v>4758.767158200003</v>
      </c>
      <c r="AA13" s="154">
        <f t="shared" si="28"/>
        <v>5234.6438740200038</v>
      </c>
      <c r="AB13" s="154">
        <f t="shared" si="28"/>
        <v>5758.1082614220049</v>
      </c>
      <c r="AC13" s="137">
        <f>((AB13/G13)^(1/($AB$3-$H$1) ))-1</f>
        <v>0.22231446955920742</v>
      </c>
      <c r="AD13" s="31">
        <v>0.08</v>
      </c>
      <c r="AE13" s="145">
        <f t="shared" si="1"/>
        <v>44419.692302398325</v>
      </c>
    </row>
    <row r="14" spans="2:31" x14ac:dyDescent="0.2">
      <c r="B14" s="20" t="s">
        <v>363</v>
      </c>
      <c r="C14" s="140"/>
      <c r="D14" s="140"/>
      <c r="E14" s="146"/>
      <c r="F14" s="146"/>
      <c r="G14" s="146">
        <v>777</v>
      </c>
      <c r="H14" s="146">
        <v>494</v>
      </c>
      <c r="I14" s="146">
        <v>617</v>
      </c>
      <c r="J14" s="146">
        <v>1350</v>
      </c>
      <c r="K14" s="146">
        <v>1605</v>
      </c>
      <c r="L14" s="146">
        <v>430</v>
      </c>
      <c r="M14" s="146">
        <v>412</v>
      </c>
      <c r="N14" s="146">
        <v>879</v>
      </c>
      <c r="O14" s="146">
        <v>1545</v>
      </c>
      <c r="P14" s="146">
        <v>2297</v>
      </c>
      <c r="Q14" s="118">
        <f t="shared" si="5"/>
        <v>0.12798790221958511</v>
      </c>
      <c r="R14" s="31">
        <v>0.1</v>
      </c>
      <c r="S14" s="154">
        <f t="shared" si="2"/>
        <v>2526.7000000000003</v>
      </c>
      <c r="T14" s="154">
        <f t="shared" si="28"/>
        <v>2779.3700000000003</v>
      </c>
      <c r="U14" s="154">
        <f t="shared" si="28"/>
        <v>3057.3070000000007</v>
      </c>
      <c r="V14" s="154">
        <f t="shared" si="28"/>
        <v>3363.0377000000012</v>
      </c>
      <c r="W14" s="154">
        <f t="shared" si="28"/>
        <v>3699.3414700000017</v>
      </c>
      <c r="X14" s="154">
        <f t="shared" si="28"/>
        <v>4069.2756170000021</v>
      </c>
      <c r="Y14" s="154">
        <f t="shared" si="28"/>
        <v>4476.2031787000024</v>
      </c>
      <c r="Z14" s="154">
        <f t="shared" si="28"/>
        <v>4923.823496570003</v>
      </c>
      <c r="AA14" s="154">
        <f t="shared" si="28"/>
        <v>5416.2058462270033</v>
      </c>
      <c r="AB14" s="154">
        <f t="shared" si="28"/>
        <v>5957.8264308497046</v>
      </c>
      <c r="AC14" s="137">
        <f t="shared" ref="AC14" si="29">((AB14/G14)^(1/($AB$3-$H$1) ))-1</f>
        <v>0.11316979095323965</v>
      </c>
      <c r="AD14" s="31">
        <v>0.08</v>
      </c>
      <c r="AE14" s="145">
        <f t="shared" si="1"/>
        <v>45960.375323697721</v>
      </c>
    </row>
    <row r="15" spans="2:31" x14ac:dyDescent="0.2">
      <c r="B15" s="20" t="s">
        <v>218</v>
      </c>
      <c r="C15" s="140"/>
      <c r="D15" s="140"/>
      <c r="E15" s="146"/>
      <c r="F15" s="146"/>
      <c r="G15" s="169">
        <v>3609</v>
      </c>
      <c r="H15" s="169">
        <v>2705</v>
      </c>
      <c r="I15" s="169">
        <v>5048</v>
      </c>
      <c r="J15" s="169">
        <v>9128</v>
      </c>
      <c r="K15" s="169">
        <v>12569</v>
      </c>
      <c r="L15" s="169">
        <v>13313</v>
      </c>
      <c r="M15" s="169">
        <v>19484</v>
      </c>
      <c r="N15" s="169">
        <v>26048</v>
      </c>
      <c r="O15" s="169">
        <v>31658</v>
      </c>
      <c r="P15" s="169">
        <v>40907</v>
      </c>
      <c r="Q15" s="118">
        <f t="shared" si="5"/>
        <v>0.30965453116443542</v>
      </c>
      <c r="R15" s="31">
        <f t="shared" si="6"/>
        <v>0.15</v>
      </c>
      <c r="S15" s="154">
        <f t="shared" si="2"/>
        <v>47043.049999999996</v>
      </c>
      <c r="T15" s="154">
        <f t="shared" ref="T15:AB16" si="30">S15*(1+$R15)</f>
        <v>54099.507499999992</v>
      </c>
      <c r="U15" s="154">
        <f t="shared" si="30"/>
        <v>62214.433624999983</v>
      </c>
      <c r="V15" s="154">
        <f t="shared" si="30"/>
        <v>71546.598668749968</v>
      </c>
      <c r="W15" s="154">
        <f t="shared" si="30"/>
        <v>82278.588469062452</v>
      </c>
      <c r="X15" s="154">
        <f t="shared" si="30"/>
        <v>94620.376739421816</v>
      </c>
      <c r="Y15" s="154">
        <f t="shared" si="30"/>
        <v>108813.43325033507</v>
      </c>
      <c r="Z15" s="154">
        <f t="shared" si="30"/>
        <v>125135.44823788533</v>
      </c>
      <c r="AA15" s="154">
        <f t="shared" si="30"/>
        <v>143905.76547356811</v>
      </c>
      <c r="AB15" s="154">
        <f t="shared" si="30"/>
        <v>165491.63029460332</v>
      </c>
      <c r="AC15" s="137">
        <f t="shared" si="19"/>
        <v>0.22304245932187983</v>
      </c>
      <c r="AD15" s="31">
        <f t="shared" si="17"/>
        <v>0.05</v>
      </c>
      <c r="AE15" s="145">
        <f t="shared" si="1"/>
        <v>1022154.1871137266</v>
      </c>
    </row>
    <row r="16" spans="2:31" x14ac:dyDescent="0.2">
      <c r="B16" s="20" t="s">
        <v>390</v>
      </c>
      <c r="C16" s="140"/>
      <c r="D16" s="140"/>
      <c r="E16" s="146"/>
      <c r="F16" s="146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18" t="e">
        <f t="shared" ref="Q16" si="31">((P16/G16)^(1/($H$2-$H$1) ))-1</f>
        <v>#DIV/0!</v>
      </c>
      <c r="R16" s="31">
        <f t="shared" si="6"/>
        <v>0.15</v>
      </c>
      <c r="S16" s="154">
        <f t="shared" ref="S16" si="32">P16*(1+$R16)</f>
        <v>0</v>
      </c>
      <c r="T16" s="154">
        <f t="shared" ref="T16" si="33">S16*(1+$R16)</f>
        <v>0</v>
      </c>
      <c r="U16" s="154">
        <f t="shared" ref="U16" si="34">T16*(1+$R16)</f>
        <v>0</v>
      </c>
      <c r="V16" s="154">
        <f t="shared" si="30"/>
        <v>0</v>
      </c>
      <c r="W16" s="154">
        <f t="shared" si="30"/>
        <v>0</v>
      </c>
      <c r="X16" s="154">
        <f t="shared" si="30"/>
        <v>0</v>
      </c>
      <c r="Y16" s="154">
        <f t="shared" si="30"/>
        <v>0</v>
      </c>
      <c r="Z16" s="154">
        <f t="shared" si="30"/>
        <v>0</v>
      </c>
      <c r="AA16" s="154">
        <f t="shared" si="30"/>
        <v>0</v>
      </c>
      <c r="AB16" s="154">
        <f t="shared" si="30"/>
        <v>0</v>
      </c>
      <c r="AC16" s="137" t="e">
        <f t="shared" ref="AC16" si="35">((AB16/G16)^(1/($AB$3-$H$1) ))-1</f>
        <v>#DIV/0!</v>
      </c>
      <c r="AD16" s="31">
        <f t="shared" si="17"/>
        <v>0.05</v>
      </c>
      <c r="AE16" s="145">
        <f t="shared" ref="AE16" si="36">(AB16*(1+AD16))/($C$1-AD16)</f>
        <v>0</v>
      </c>
    </row>
    <row r="17" spans="2:31" x14ac:dyDescent="0.2">
      <c r="B17" s="20" t="s">
        <v>19</v>
      </c>
      <c r="C17" s="140"/>
      <c r="D17" s="140"/>
      <c r="E17" s="146"/>
      <c r="F17" s="146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18" t="e">
        <f t="shared" si="5"/>
        <v>#DIV/0!</v>
      </c>
      <c r="R17" s="31">
        <f t="shared" si="6"/>
        <v>0.15</v>
      </c>
      <c r="S17" s="154">
        <f t="shared" si="2"/>
        <v>0</v>
      </c>
      <c r="T17" s="154">
        <f t="shared" ref="T17:AB17" si="37">S17*(1+$R17)</f>
        <v>0</v>
      </c>
      <c r="U17" s="154">
        <f t="shared" si="37"/>
        <v>0</v>
      </c>
      <c r="V17" s="154">
        <f t="shared" si="37"/>
        <v>0</v>
      </c>
      <c r="W17" s="154">
        <f t="shared" si="37"/>
        <v>0</v>
      </c>
      <c r="X17" s="154">
        <f t="shared" si="37"/>
        <v>0</v>
      </c>
      <c r="Y17" s="154">
        <f t="shared" si="37"/>
        <v>0</v>
      </c>
      <c r="Z17" s="154">
        <f t="shared" si="37"/>
        <v>0</v>
      </c>
      <c r="AA17" s="154">
        <f t="shared" si="37"/>
        <v>0</v>
      </c>
      <c r="AB17" s="154">
        <f t="shared" si="37"/>
        <v>0</v>
      </c>
      <c r="AC17" s="137" t="e">
        <f t="shared" si="19"/>
        <v>#DIV/0!</v>
      </c>
      <c r="AD17" s="31">
        <f t="shared" si="17"/>
        <v>0.05</v>
      </c>
      <c r="AE17" s="145">
        <f t="shared" si="1"/>
        <v>0</v>
      </c>
    </row>
    <row r="18" spans="2:31" x14ac:dyDescent="0.2">
      <c r="B18" s="20" t="s">
        <v>23</v>
      </c>
      <c r="C18" s="140"/>
      <c r="D18" s="140"/>
      <c r="E18" s="146"/>
      <c r="F18" s="146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18" t="e">
        <f t="shared" si="5"/>
        <v>#DIV/0!</v>
      </c>
      <c r="R18" s="31">
        <f t="shared" si="6"/>
        <v>0.15</v>
      </c>
      <c r="S18" s="154">
        <f t="shared" si="2"/>
        <v>0</v>
      </c>
      <c r="T18" s="154">
        <f t="shared" ref="T18:AB18" si="38">S18*(1+$R18)</f>
        <v>0</v>
      </c>
      <c r="U18" s="154">
        <f t="shared" si="38"/>
        <v>0</v>
      </c>
      <c r="V18" s="154">
        <f t="shared" si="38"/>
        <v>0</v>
      </c>
      <c r="W18" s="154">
        <f t="shared" si="38"/>
        <v>0</v>
      </c>
      <c r="X18" s="154">
        <f t="shared" si="38"/>
        <v>0</v>
      </c>
      <c r="Y18" s="154">
        <f t="shared" si="38"/>
        <v>0</v>
      </c>
      <c r="Z18" s="154">
        <f t="shared" si="38"/>
        <v>0</v>
      </c>
      <c r="AA18" s="154">
        <f t="shared" si="38"/>
        <v>0</v>
      </c>
      <c r="AB18" s="154">
        <f t="shared" si="38"/>
        <v>0</v>
      </c>
      <c r="AC18" s="137" t="e">
        <f t="shared" si="19"/>
        <v>#DIV/0!</v>
      </c>
      <c r="AD18" s="31">
        <f t="shared" si="17"/>
        <v>0.05</v>
      </c>
      <c r="AE18" s="145">
        <f t="shared" si="1"/>
        <v>0</v>
      </c>
    </row>
    <row r="19" spans="2:31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27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8"/>
      <c r="AD19" s="136"/>
      <c r="AE19" s="154"/>
    </row>
    <row r="20" spans="2:31" x14ac:dyDescent="0.2">
      <c r="B20" s="20" t="s">
        <v>364</v>
      </c>
      <c r="C20" s="140"/>
      <c r="D20" s="140"/>
      <c r="E20" s="146"/>
      <c r="F20" s="146"/>
      <c r="G20" s="146">
        <v>2429</v>
      </c>
      <c r="H20" s="146">
        <v>4599</v>
      </c>
      <c r="I20" s="146">
        <v>12901</v>
      </c>
      <c r="J20" s="146">
        <v>18613</v>
      </c>
      <c r="K20" s="146">
        <v>133182</v>
      </c>
      <c r="L20" s="146">
        <v>59590</v>
      </c>
      <c r="M20" s="146">
        <v>35690</v>
      </c>
      <c r="N20" s="146">
        <v>37693</v>
      </c>
      <c r="O20" s="146">
        <v>42221</v>
      </c>
      <c r="P20" s="146">
        <v>43980</v>
      </c>
      <c r="Q20" s="118">
        <f>((P20/G20)^(1/($H$2-$H$1) ))-1</f>
        <v>0.37961730893526013</v>
      </c>
      <c r="R20" s="31">
        <v>0.1</v>
      </c>
      <c r="S20" s="154">
        <f t="shared" ref="S20" si="39">P20*(1+$R20)</f>
        <v>48378.000000000007</v>
      </c>
      <c r="T20" s="154">
        <f t="shared" ref="T20" si="40">S20*(1+$R20)</f>
        <v>53215.80000000001</v>
      </c>
      <c r="U20" s="154">
        <f t="shared" ref="U20" si="41">T20*(1+$R20)</f>
        <v>58537.380000000019</v>
      </c>
      <c r="V20" s="154">
        <f t="shared" ref="V20" si="42">U20*(1+$R20)</f>
        <v>64391.118000000024</v>
      </c>
      <c r="W20" s="154">
        <f t="shared" ref="W20" si="43">V20*(1+$R20)</f>
        <v>70830.22980000003</v>
      </c>
      <c r="X20" s="154">
        <f t="shared" ref="X20" si="44">W20*(1+$R20)</f>
        <v>77913.252780000039</v>
      </c>
      <c r="Y20" s="154">
        <f t="shared" ref="Y20" si="45">X20*(1+$R20)</f>
        <v>85704.578058000043</v>
      </c>
      <c r="Z20" s="154">
        <f t="shared" ref="Z20" si="46">Y20*(1+$R20)</f>
        <v>94275.035863800062</v>
      </c>
      <c r="AA20" s="154">
        <f t="shared" ref="AA20" si="47">Z20*(1+$R20)</f>
        <v>103702.53945018008</v>
      </c>
      <c r="AB20" s="154">
        <f t="shared" ref="AB20" si="48">AA20*(1+$R20)</f>
        <v>114072.7933951981</v>
      </c>
      <c r="AC20" s="137">
        <f t="shared" ref="AC20" si="49">((AB20/G20)^(1/($AB$3-$H$1) ))-1</f>
        <v>0.22457977441414578</v>
      </c>
      <c r="AD20" s="31">
        <v>0.08</v>
      </c>
      <c r="AE20" s="145">
        <f t="shared" si="1"/>
        <v>879990.12047724251</v>
      </c>
    </row>
    <row r="21" spans="2:31" x14ac:dyDescent="0.2">
      <c r="B21" s="20" t="s">
        <v>365</v>
      </c>
      <c r="C21" s="140"/>
      <c r="D21" s="140"/>
      <c r="E21" s="146"/>
      <c r="F21" s="146"/>
      <c r="G21" s="146">
        <v>6.66</v>
      </c>
      <c r="H21" s="146">
        <v>49.7</v>
      </c>
      <c r="I21" s="146">
        <v>303</v>
      </c>
      <c r="J21" s="146">
        <v>512</v>
      </c>
      <c r="K21" s="146">
        <v>843</v>
      </c>
      <c r="L21" s="146">
        <v>1205</v>
      </c>
      <c r="M21" s="146">
        <v>3063</v>
      </c>
      <c r="N21" s="146">
        <v>0</v>
      </c>
      <c r="O21" s="146">
        <v>0</v>
      </c>
      <c r="P21" s="146">
        <v>0</v>
      </c>
      <c r="Q21" s="118">
        <f>((P21/G21)^(1/($H$2-$H$1) ))-1</f>
        <v>-1</v>
      </c>
      <c r="R21" s="31">
        <v>0.1</v>
      </c>
      <c r="S21" s="154">
        <f t="shared" ref="S21" si="50">P21*(1+$R21)</f>
        <v>0</v>
      </c>
      <c r="T21" s="154">
        <f t="shared" ref="T21:AB21" si="51">S21*(1+$R21)</f>
        <v>0</v>
      </c>
      <c r="U21" s="154">
        <f t="shared" si="51"/>
        <v>0</v>
      </c>
      <c r="V21" s="154">
        <f t="shared" si="51"/>
        <v>0</v>
      </c>
      <c r="W21" s="154">
        <f t="shared" si="51"/>
        <v>0</v>
      </c>
      <c r="X21" s="154">
        <f t="shared" si="51"/>
        <v>0</v>
      </c>
      <c r="Y21" s="154">
        <f t="shared" si="51"/>
        <v>0</v>
      </c>
      <c r="Z21" s="154">
        <f t="shared" si="51"/>
        <v>0</v>
      </c>
      <c r="AA21" s="154">
        <f t="shared" si="51"/>
        <v>0</v>
      </c>
      <c r="AB21" s="154">
        <f t="shared" si="51"/>
        <v>0</v>
      </c>
      <c r="AC21" s="137">
        <f t="shared" ref="AC21" si="52">((AB21/G21)^(1/($AB$3-$H$1) ))-1</f>
        <v>-1</v>
      </c>
      <c r="AD21" s="31">
        <v>0.08</v>
      </c>
      <c r="AE21" s="145">
        <f t="shared" si="1"/>
        <v>0</v>
      </c>
    </row>
    <row r="22" spans="2:31" x14ac:dyDescent="0.2">
      <c r="B22" s="20"/>
      <c r="C22" s="140"/>
      <c r="D22" s="140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27"/>
      <c r="R22" s="20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38"/>
      <c r="AD22" s="136"/>
      <c r="AE22" s="154"/>
    </row>
    <row r="23" spans="2:31" x14ac:dyDescent="0.2">
      <c r="B23" s="20" t="s">
        <v>278</v>
      </c>
      <c r="C23" s="140"/>
      <c r="D23" s="140"/>
      <c r="E23" s="146"/>
      <c r="F23" s="146"/>
      <c r="G23" s="169">
        <v>141</v>
      </c>
      <c r="H23" s="169">
        <v>159</v>
      </c>
      <c r="I23" s="169">
        <v>179</v>
      </c>
      <c r="J23" s="169">
        <v>239</v>
      </c>
      <c r="K23" s="169">
        <v>336</v>
      </c>
      <c r="L23" s="169">
        <v>341</v>
      </c>
      <c r="M23" s="169">
        <v>614</v>
      </c>
      <c r="N23" s="169">
        <v>600</v>
      </c>
      <c r="O23" s="169">
        <v>615</v>
      </c>
      <c r="P23" s="169">
        <v>620</v>
      </c>
      <c r="Q23" s="118">
        <f>((P23/G23)^(1/($H$2-$H$1) ))-1</f>
        <v>0.17886376704140328</v>
      </c>
      <c r="R23" s="31">
        <f t="shared" si="6"/>
        <v>0.15</v>
      </c>
      <c r="S23" s="154">
        <f t="shared" ref="S23:S56" si="53">P23*(1+$R23)</f>
        <v>713</v>
      </c>
      <c r="T23" s="154">
        <f t="shared" ref="T23:T56" si="54">S23*(1+$R23)</f>
        <v>819.94999999999993</v>
      </c>
      <c r="U23" s="154">
        <f t="shared" ref="U23:U56" si="55">T23*(1+$R23)</f>
        <v>942.94249999999988</v>
      </c>
      <c r="V23" s="154">
        <f t="shared" ref="V23:V56" si="56">U23*(1+$R23)</f>
        <v>1084.3838749999998</v>
      </c>
      <c r="W23" s="154">
        <f t="shared" ref="W23:W63" si="57">V23*(1+$R23)</f>
        <v>1247.0414562499996</v>
      </c>
      <c r="X23" s="154">
        <f t="shared" ref="X23:X63" si="58">W23*(1+$R23)</f>
        <v>1434.0976746874994</v>
      </c>
      <c r="Y23" s="154">
        <f t="shared" ref="Y23:Y63" si="59">X23*(1+$R23)</f>
        <v>1649.2123258906242</v>
      </c>
      <c r="Z23" s="154">
        <f t="shared" ref="Z23:Z63" si="60">Y23*(1+$R23)</f>
        <v>1896.5941747742177</v>
      </c>
      <c r="AA23" s="154">
        <f t="shared" ref="AA23:AA63" si="61">Z23*(1+$R23)</f>
        <v>2181.0833009903499</v>
      </c>
      <c r="AB23" s="154">
        <f t="shared" ref="AB23:AB63" si="62">AA23*(1+$R23)</f>
        <v>2508.2457961389023</v>
      </c>
      <c r="AC23" s="137">
        <f t="shared" si="19"/>
        <v>0.16358314055474943</v>
      </c>
      <c r="AD23" s="31">
        <f t="shared" si="17"/>
        <v>0.05</v>
      </c>
      <c r="AE23" s="145">
        <f t="shared" si="1"/>
        <v>15492.106387916752</v>
      </c>
    </row>
    <row r="24" spans="2:31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27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38"/>
      <c r="AD24" s="136"/>
      <c r="AE24" s="154"/>
    </row>
    <row r="25" spans="2:31" x14ac:dyDescent="0.2">
      <c r="B25" s="20" t="s">
        <v>284</v>
      </c>
      <c r="C25" s="140"/>
      <c r="D25" s="140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18" t="e">
        <f>((P25/G25)^(1/($H$2-$H$1) ))-1</f>
        <v>#DIV/0!</v>
      </c>
      <c r="R25" s="31">
        <f t="shared" si="6"/>
        <v>0.15</v>
      </c>
      <c r="S25" s="154">
        <f t="shared" ref="S25:S27" si="63">P25*(1+$R25)</f>
        <v>0</v>
      </c>
      <c r="T25" s="154">
        <f t="shared" ref="T25:T27" si="64">S25*(1+$R25)</f>
        <v>0</v>
      </c>
      <c r="U25" s="154">
        <f t="shared" ref="U25:U27" si="65">T25*(1+$R25)</f>
        <v>0</v>
      </c>
      <c r="V25" s="154">
        <f t="shared" ref="V25:V27" si="66">U25*(1+$R25)</f>
        <v>0</v>
      </c>
      <c r="W25" s="154">
        <f t="shared" ref="W25:W27" si="67">V25*(1+$R25)</f>
        <v>0</v>
      </c>
      <c r="X25" s="154">
        <f t="shared" ref="X25:X27" si="68">W25*(1+$R25)</f>
        <v>0</v>
      </c>
      <c r="Y25" s="154">
        <f t="shared" ref="Y25:Y27" si="69">X25*(1+$R25)</f>
        <v>0</v>
      </c>
      <c r="Z25" s="154">
        <f t="shared" ref="Z25:Z27" si="70">Y25*(1+$R25)</f>
        <v>0</v>
      </c>
      <c r="AA25" s="154">
        <f t="shared" ref="AA25:AA27" si="71">Z25*(1+$R25)</f>
        <v>0</v>
      </c>
      <c r="AB25" s="154">
        <f t="shared" ref="AB25:AB27" si="72">AA25*(1+$R25)</f>
        <v>0</v>
      </c>
      <c r="AC25" s="137" t="e">
        <f t="shared" ref="AC25:AC27" si="73">((AB25/G25)^(1/($AB$3-$H$1) ))-1</f>
        <v>#DIV/0!</v>
      </c>
      <c r="AD25" s="31">
        <f t="shared" si="17"/>
        <v>0.05</v>
      </c>
      <c r="AE25" s="145">
        <f t="shared" si="1"/>
        <v>0</v>
      </c>
    </row>
    <row r="26" spans="2:31" x14ac:dyDescent="0.2">
      <c r="B26" s="20" t="s">
        <v>285</v>
      </c>
      <c r="C26" s="140"/>
      <c r="D26" s="140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18" t="e">
        <f>((P26/G26)^(1/($H$2-$H$1) ))-1</f>
        <v>#DIV/0!</v>
      </c>
      <c r="R26" s="31">
        <f t="shared" si="6"/>
        <v>0.15</v>
      </c>
      <c r="S26" s="154">
        <f t="shared" si="63"/>
        <v>0</v>
      </c>
      <c r="T26" s="154">
        <f t="shared" si="64"/>
        <v>0</v>
      </c>
      <c r="U26" s="154">
        <f t="shared" si="65"/>
        <v>0</v>
      </c>
      <c r="V26" s="154">
        <f t="shared" si="66"/>
        <v>0</v>
      </c>
      <c r="W26" s="154">
        <f t="shared" si="67"/>
        <v>0</v>
      </c>
      <c r="X26" s="154">
        <f t="shared" si="68"/>
        <v>0</v>
      </c>
      <c r="Y26" s="154">
        <f t="shared" si="69"/>
        <v>0</v>
      </c>
      <c r="Z26" s="154">
        <f t="shared" si="70"/>
        <v>0</v>
      </c>
      <c r="AA26" s="154">
        <f t="shared" si="71"/>
        <v>0</v>
      </c>
      <c r="AB26" s="154">
        <f t="shared" si="72"/>
        <v>0</v>
      </c>
      <c r="AC26" s="137" t="e">
        <f t="shared" si="73"/>
        <v>#DIV/0!</v>
      </c>
      <c r="AD26" s="31">
        <f t="shared" si="17"/>
        <v>0.05</v>
      </c>
      <c r="AE26" s="145">
        <f t="shared" si="1"/>
        <v>0</v>
      </c>
    </row>
    <row r="27" spans="2:31" x14ac:dyDescent="0.2">
      <c r="B27" s="20" t="s">
        <v>286</v>
      </c>
      <c r="C27" s="140"/>
      <c r="D27" s="140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18" t="e">
        <f>((P27/G27)^(1/($H$2-$H$1) ))-1</f>
        <v>#DIV/0!</v>
      </c>
      <c r="R27" s="31">
        <f t="shared" si="6"/>
        <v>0.15</v>
      </c>
      <c r="S27" s="154">
        <f t="shared" si="63"/>
        <v>0</v>
      </c>
      <c r="T27" s="154">
        <f t="shared" si="64"/>
        <v>0</v>
      </c>
      <c r="U27" s="154">
        <f t="shared" si="65"/>
        <v>0</v>
      </c>
      <c r="V27" s="154">
        <f t="shared" si="66"/>
        <v>0</v>
      </c>
      <c r="W27" s="154">
        <f t="shared" si="67"/>
        <v>0</v>
      </c>
      <c r="X27" s="154">
        <f t="shared" si="68"/>
        <v>0</v>
      </c>
      <c r="Y27" s="154">
        <f t="shared" si="69"/>
        <v>0</v>
      </c>
      <c r="Z27" s="154">
        <f t="shared" si="70"/>
        <v>0</v>
      </c>
      <c r="AA27" s="154">
        <f t="shared" si="71"/>
        <v>0</v>
      </c>
      <c r="AB27" s="154">
        <f t="shared" si="72"/>
        <v>0</v>
      </c>
      <c r="AC27" s="137" t="e">
        <f t="shared" si="73"/>
        <v>#DIV/0!</v>
      </c>
      <c r="AD27" s="31">
        <f t="shared" si="17"/>
        <v>0.05</v>
      </c>
      <c r="AE27" s="145">
        <f t="shared" si="1"/>
        <v>0</v>
      </c>
    </row>
    <row r="28" spans="2:31" x14ac:dyDescent="0.2">
      <c r="B28" s="20" t="s">
        <v>296</v>
      </c>
      <c r="C28" s="140"/>
      <c r="D28" s="140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18" t="e">
        <f>((P28/G28)^(1/($H$2-$H$1) ))-1</f>
        <v>#DIV/0!</v>
      </c>
      <c r="R28" s="31">
        <f t="shared" si="6"/>
        <v>0.15</v>
      </c>
      <c r="S28" s="154">
        <f t="shared" ref="S28" si="74">P28*(1+$R28)</f>
        <v>0</v>
      </c>
      <c r="T28" s="154">
        <f t="shared" ref="T28" si="75">S28*(1+$R28)</f>
        <v>0</v>
      </c>
      <c r="U28" s="154">
        <f t="shared" ref="U28" si="76">T28*(1+$R28)</f>
        <v>0</v>
      </c>
      <c r="V28" s="154">
        <f t="shared" ref="V28" si="77">U28*(1+$R28)</f>
        <v>0</v>
      </c>
      <c r="W28" s="154">
        <f t="shared" ref="W28" si="78">V28*(1+$R28)</f>
        <v>0</v>
      </c>
      <c r="X28" s="154">
        <f t="shared" ref="X28" si="79">W28*(1+$R28)</f>
        <v>0</v>
      </c>
      <c r="Y28" s="154">
        <f t="shared" ref="Y28" si="80">X28*(1+$R28)</f>
        <v>0</v>
      </c>
      <c r="Z28" s="154">
        <f t="shared" ref="Z28" si="81">Y28*(1+$R28)</f>
        <v>0</v>
      </c>
      <c r="AA28" s="154">
        <f t="shared" ref="AA28" si="82">Z28*(1+$R28)</f>
        <v>0</v>
      </c>
      <c r="AB28" s="154">
        <f t="shared" ref="AB28" si="83">AA28*(1+$R28)</f>
        <v>0</v>
      </c>
      <c r="AC28" s="137" t="e">
        <f t="shared" ref="AC28" si="84">((AB28/G28)^(1/($AB$3-$H$1) ))-1</f>
        <v>#DIV/0!</v>
      </c>
      <c r="AD28" s="31">
        <f t="shared" si="17"/>
        <v>0.05</v>
      </c>
      <c r="AE28" s="145">
        <f t="shared" si="1"/>
        <v>0</v>
      </c>
    </row>
    <row r="29" spans="2:31" x14ac:dyDescent="0.2">
      <c r="B29" s="20"/>
      <c r="C29" s="140"/>
      <c r="D29" s="140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62"/>
      <c r="AD29" s="119"/>
      <c r="AE29" s="154"/>
    </row>
    <row r="30" spans="2:31" s="122" customFormat="1" x14ac:dyDescent="0.2">
      <c r="B30" s="20" t="s">
        <v>371</v>
      </c>
      <c r="C30" s="149"/>
      <c r="D30" s="149"/>
      <c r="E30" s="150"/>
      <c r="F30" s="146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v>0.1</v>
      </c>
      <c r="S30" s="154">
        <f t="shared" ref="S30:S33" si="85">P30*(1+$R30)</f>
        <v>0</v>
      </c>
      <c r="T30" s="154">
        <f t="shared" ref="T30:T33" si="86">S30*(1+$R30)</f>
        <v>0</v>
      </c>
      <c r="U30" s="154">
        <f t="shared" ref="U30:U33" si="87">T30*(1+$R30)</f>
        <v>0</v>
      </c>
      <c r="V30" s="154">
        <f t="shared" ref="V30:V33" si="88">U30*(1+$R30)</f>
        <v>0</v>
      </c>
      <c r="W30" s="154">
        <f t="shared" ref="W30:W33" si="89">V30*(1+$R30)</f>
        <v>0</v>
      </c>
      <c r="X30" s="154">
        <f t="shared" ref="X30:X33" si="90">W30*(1+$R30)</f>
        <v>0</v>
      </c>
      <c r="Y30" s="154">
        <f t="shared" ref="Y30:Y33" si="91">X30*(1+$R30)</f>
        <v>0</v>
      </c>
      <c r="Z30" s="154">
        <f t="shared" ref="Z30:Z33" si="92">Y30*(1+$R30)</f>
        <v>0</v>
      </c>
      <c r="AA30" s="154">
        <f t="shared" ref="AA30:AA33" si="93">Z30*(1+$R30)</f>
        <v>0</v>
      </c>
      <c r="AB30" s="154">
        <f t="shared" ref="AB30:AB33" si="94">AA30*(1+$R30)</f>
        <v>0</v>
      </c>
      <c r="AC30" s="137" t="e">
        <f t="shared" ref="AC30:AC33" si="95">((AB30/G30)^(1/($AB$3-$H$1) ))-1</f>
        <v>#DIV/0!</v>
      </c>
      <c r="AD30" s="31">
        <f t="shared" si="17"/>
        <v>0.05</v>
      </c>
      <c r="AE30" s="145">
        <f t="shared" ref="AE30:AE33" si="96">(AB30*(1+AD30))/($C$1-AD30)</f>
        <v>0</v>
      </c>
    </row>
    <row r="31" spans="2:31" s="122" customFormat="1" x14ac:dyDescent="0.2">
      <c r="B31" s="20" t="s">
        <v>372</v>
      </c>
      <c r="C31" s="149"/>
      <c r="D31" s="149"/>
      <c r="E31" s="150"/>
      <c r="F31" s="146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v>0.1</v>
      </c>
      <c r="S31" s="154">
        <f t="shared" si="85"/>
        <v>0</v>
      </c>
      <c r="T31" s="154">
        <f t="shared" si="86"/>
        <v>0</v>
      </c>
      <c r="U31" s="154">
        <f t="shared" si="87"/>
        <v>0</v>
      </c>
      <c r="V31" s="154">
        <f t="shared" si="88"/>
        <v>0</v>
      </c>
      <c r="W31" s="154">
        <f t="shared" si="89"/>
        <v>0</v>
      </c>
      <c r="X31" s="154">
        <f t="shared" si="90"/>
        <v>0</v>
      </c>
      <c r="Y31" s="154">
        <f t="shared" si="91"/>
        <v>0</v>
      </c>
      <c r="Z31" s="154">
        <f t="shared" si="92"/>
        <v>0</v>
      </c>
      <c r="AA31" s="154">
        <f t="shared" si="93"/>
        <v>0</v>
      </c>
      <c r="AB31" s="154">
        <f t="shared" si="94"/>
        <v>0</v>
      </c>
      <c r="AC31" s="137" t="e">
        <f t="shared" si="95"/>
        <v>#DIV/0!</v>
      </c>
      <c r="AD31" s="31">
        <f t="shared" si="17"/>
        <v>0.05</v>
      </c>
      <c r="AE31" s="145">
        <f t="shared" si="96"/>
        <v>0</v>
      </c>
    </row>
    <row r="32" spans="2:31" s="122" customFormat="1" x14ac:dyDescent="0.2">
      <c r="B32" s="20" t="s">
        <v>373</v>
      </c>
      <c r="C32" s="149"/>
      <c r="D32" s="149"/>
      <c r="E32" s="150"/>
      <c r="F32" s="146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v>0.1</v>
      </c>
      <c r="S32" s="154">
        <f t="shared" si="85"/>
        <v>0</v>
      </c>
      <c r="T32" s="154">
        <f t="shared" si="86"/>
        <v>0</v>
      </c>
      <c r="U32" s="154">
        <f t="shared" si="87"/>
        <v>0</v>
      </c>
      <c r="V32" s="154">
        <f t="shared" si="88"/>
        <v>0</v>
      </c>
      <c r="W32" s="154">
        <f t="shared" si="89"/>
        <v>0</v>
      </c>
      <c r="X32" s="154">
        <f t="shared" si="90"/>
        <v>0</v>
      </c>
      <c r="Y32" s="154">
        <f t="shared" si="91"/>
        <v>0</v>
      </c>
      <c r="Z32" s="154">
        <f t="shared" si="92"/>
        <v>0</v>
      </c>
      <c r="AA32" s="154">
        <f t="shared" si="93"/>
        <v>0</v>
      </c>
      <c r="AB32" s="154">
        <f t="shared" si="94"/>
        <v>0</v>
      </c>
      <c r="AC32" s="137" t="e">
        <f t="shared" si="95"/>
        <v>#DIV/0!</v>
      </c>
      <c r="AD32" s="31">
        <f t="shared" si="17"/>
        <v>0.05</v>
      </c>
      <c r="AE32" s="145">
        <f t="shared" si="96"/>
        <v>0</v>
      </c>
    </row>
    <row r="33" spans="2:31" x14ac:dyDescent="0.2">
      <c r="B33" s="20" t="s">
        <v>374</v>
      </c>
      <c r="C33" s="140"/>
      <c r="D33" s="140"/>
      <c r="E33" s="146"/>
      <c r="F33" s="146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v>0.1</v>
      </c>
      <c r="S33" s="154">
        <f t="shared" si="85"/>
        <v>0</v>
      </c>
      <c r="T33" s="154">
        <f t="shared" si="86"/>
        <v>0</v>
      </c>
      <c r="U33" s="154">
        <f t="shared" si="87"/>
        <v>0</v>
      </c>
      <c r="V33" s="154">
        <f t="shared" si="88"/>
        <v>0</v>
      </c>
      <c r="W33" s="154">
        <f t="shared" si="89"/>
        <v>0</v>
      </c>
      <c r="X33" s="154">
        <f t="shared" si="90"/>
        <v>0</v>
      </c>
      <c r="Y33" s="154">
        <f t="shared" si="91"/>
        <v>0</v>
      </c>
      <c r="Z33" s="154">
        <f t="shared" si="92"/>
        <v>0</v>
      </c>
      <c r="AA33" s="154">
        <f t="shared" si="93"/>
        <v>0</v>
      </c>
      <c r="AB33" s="154">
        <f t="shared" si="94"/>
        <v>0</v>
      </c>
      <c r="AC33" s="137" t="e">
        <f t="shared" si="95"/>
        <v>#DIV/0!</v>
      </c>
      <c r="AD33" s="31">
        <f t="shared" si="17"/>
        <v>0.05</v>
      </c>
      <c r="AE33" s="145">
        <f t="shared" si="96"/>
        <v>0</v>
      </c>
    </row>
    <row r="34" spans="2:31" x14ac:dyDescent="0.2">
      <c r="B34" s="20"/>
      <c r="C34" s="140"/>
      <c r="D34" s="140"/>
      <c r="E34" s="146"/>
      <c r="F34" s="146"/>
      <c r="G34" s="148" t="e">
        <f>(G33-F33)/G33</f>
        <v>#DIV/0!</v>
      </c>
      <c r="H34" s="148" t="e">
        <f>(H33-G33)/H33</f>
        <v>#DIV/0!</v>
      </c>
      <c r="I34" s="148" t="e">
        <f t="shared" ref="I34:P34" si="97">(I33-H33)/I33</f>
        <v>#DIV/0!</v>
      </c>
      <c r="J34" s="148" t="e">
        <f t="shared" si="97"/>
        <v>#DIV/0!</v>
      </c>
      <c r="K34" s="148" t="e">
        <f t="shared" si="97"/>
        <v>#DIV/0!</v>
      </c>
      <c r="L34" s="148" t="e">
        <f t="shared" si="97"/>
        <v>#DIV/0!</v>
      </c>
      <c r="M34" s="148" t="e">
        <f t="shared" si="97"/>
        <v>#DIV/0!</v>
      </c>
      <c r="N34" s="148" t="e">
        <f t="shared" si="97"/>
        <v>#DIV/0!</v>
      </c>
      <c r="O34" s="148" t="e">
        <f t="shared" si="97"/>
        <v>#DIV/0!</v>
      </c>
      <c r="P34" s="148" t="e">
        <f t="shared" si="97"/>
        <v>#DIV/0!</v>
      </c>
      <c r="Q34" s="3"/>
      <c r="R34" s="3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45"/>
    </row>
    <row r="35" spans="2:31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27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19"/>
      <c r="AD35" s="136"/>
      <c r="AE35" s="154"/>
    </row>
    <row r="36" spans="2:31" x14ac:dyDescent="0.2">
      <c r="B36" s="20" t="s">
        <v>366</v>
      </c>
      <c r="C36" s="140"/>
      <c r="D36" s="140"/>
      <c r="E36" s="146"/>
      <c r="F36" s="146"/>
      <c r="G36" s="146">
        <v>4220</v>
      </c>
      <c r="H36" s="146">
        <v>3832</v>
      </c>
      <c r="I36" s="146">
        <v>5616</v>
      </c>
      <c r="J36" s="146">
        <v>9660</v>
      </c>
      <c r="K36" s="146">
        <v>13691</v>
      </c>
      <c r="L36" s="146">
        <v>13822</v>
      </c>
      <c r="M36" s="146">
        <v>21819</v>
      </c>
      <c r="N36" s="146">
        <v>27312</v>
      </c>
      <c r="O36" s="146">
        <v>36460</v>
      </c>
      <c r="P36" s="146">
        <v>49389</v>
      </c>
      <c r="Q36" s="118">
        <f>((P36/G36)^(1/($H$2-$H$1) ))-1</f>
        <v>0.31432260012804547</v>
      </c>
      <c r="R36" s="31">
        <v>0.11</v>
      </c>
      <c r="S36" s="154">
        <f t="shared" ref="S36:S42" si="98">P36*(1+$R36)</f>
        <v>54821.790000000008</v>
      </c>
      <c r="T36" s="154">
        <f t="shared" ref="T36:AB42" si="99">S36*(1+$R36)</f>
        <v>60852.186900000015</v>
      </c>
      <c r="U36" s="154">
        <f t="shared" si="99"/>
        <v>67545.927459000028</v>
      </c>
      <c r="V36" s="154">
        <f t="shared" si="99"/>
        <v>74975.979479490037</v>
      </c>
      <c r="W36" s="154">
        <f t="shared" si="99"/>
        <v>83223.337222233953</v>
      </c>
      <c r="X36" s="154">
        <f t="shared" si="99"/>
        <v>92377.904316679691</v>
      </c>
      <c r="Y36" s="154">
        <f t="shared" si="99"/>
        <v>102539.47379151447</v>
      </c>
      <c r="Z36" s="154">
        <f t="shared" si="99"/>
        <v>113818.81590858106</v>
      </c>
      <c r="AA36" s="154">
        <f t="shared" si="99"/>
        <v>126338.88565852499</v>
      </c>
      <c r="AB36" s="154">
        <f t="shared" si="99"/>
        <v>140236.16308096275</v>
      </c>
      <c r="AC36" s="137">
        <f t="shared" ref="AC36:AC42" si="100">((AB36/G36)^(1/($AB$3-$H$1) ))-1</f>
        <v>0.20248993800124304</v>
      </c>
      <c r="AD36" s="31">
        <v>0.05</v>
      </c>
      <c r="AE36" s="145">
        <f t="shared" si="1"/>
        <v>866164.53667653468</v>
      </c>
    </row>
    <row r="37" spans="2:31" x14ac:dyDescent="0.2">
      <c r="B37" s="20"/>
      <c r="C37" s="140"/>
      <c r="D37" s="140"/>
      <c r="E37" s="146"/>
      <c r="F37" s="146"/>
      <c r="G37" s="148">
        <f>(G36-F36)/G36</f>
        <v>1</v>
      </c>
      <c r="H37" s="148">
        <f>(H36-G36)/H36</f>
        <v>-0.10125260960334029</v>
      </c>
      <c r="I37" s="148">
        <f t="shared" ref="I37:P37" si="101">(I36-H36)/I36</f>
        <v>0.31766381766381768</v>
      </c>
      <c r="J37" s="148">
        <f t="shared" si="101"/>
        <v>0.41863354037267081</v>
      </c>
      <c r="K37" s="148">
        <f t="shared" si="101"/>
        <v>0.29442699583668103</v>
      </c>
      <c r="L37" s="148">
        <f t="shared" si="101"/>
        <v>9.4776443351179285E-3</v>
      </c>
      <c r="M37" s="148">
        <f t="shared" si="101"/>
        <v>0.36651542233832896</v>
      </c>
      <c r="N37" s="148">
        <f t="shared" si="101"/>
        <v>0.20112038664323376</v>
      </c>
      <c r="O37" s="148">
        <f t="shared" si="101"/>
        <v>0.25090510148107514</v>
      </c>
      <c r="P37" s="148">
        <f t="shared" si="101"/>
        <v>0.2617789386300593</v>
      </c>
      <c r="Q37" s="3"/>
      <c r="R37" s="3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38"/>
      <c r="AD37" s="127"/>
      <c r="AE37" s="145"/>
    </row>
    <row r="38" spans="2:31" x14ac:dyDescent="0.2">
      <c r="B38" s="20" t="s">
        <v>367</v>
      </c>
      <c r="C38" s="140"/>
      <c r="D38" s="140"/>
      <c r="E38" s="146"/>
      <c r="F38" s="146"/>
      <c r="G38" s="146">
        <v>3103</v>
      </c>
      <c r="H38" s="146">
        <v>3723</v>
      </c>
      <c r="I38" s="146">
        <v>5797</v>
      </c>
      <c r="J38" s="146">
        <v>9985</v>
      </c>
      <c r="K38" s="146">
        <v>12772</v>
      </c>
      <c r="L38" s="146">
        <v>11059</v>
      </c>
      <c r="M38" s="146">
        <v>13885</v>
      </c>
      <c r="N38" s="146">
        <v>22073</v>
      </c>
      <c r="O38" s="146">
        <v>29194</v>
      </c>
      <c r="P38" s="146">
        <v>36171</v>
      </c>
      <c r="Q38" s="118">
        <f>((P38/G38)^(1/($H$2-$H$1) ))-1</f>
        <v>0.3137379600408754</v>
      </c>
      <c r="R38" s="31">
        <v>0.1</v>
      </c>
      <c r="S38" s="154">
        <f t="shared" ref="S38" si="102">P38*(1+$R38)</f>
        <v>39788.100000000006</v>
      </c>
      <c r="T38" s="154">
        <f t="shared" ref="T38:AB38" si="103">S38*(1+$R38)</f>
        <v>43766.910000000011</v>
      </c>
      <c r="U38" s="154">
        <f t="shared" si="103"/>
        <v>48143.601000000017</v>
      </c>
      <c r="V38" s="154">
        <f t="shared" si="103"/>
        <v>52957.961100000022</v>
      </c>
      <c r="W38" s="154">
        <f t="shared" si="103"/>
        <v>58253.757210000033</v>
      </c>
      <c r="X38" s="154">
        <f t="shared" si="103"/>
        <v>64079.132931000044</v>
      </c>
      <c r="Y38" s="154">
        <f t="shared" si="103"/>
        <v>70487.04622410005</v>
      </c>
      <c r="Z38" s="154">
        <f t="shared" si="103"/>
        <v>77535.750846510055</v>
      </c>
      <c r="AA38" s="154">
        <f t="shared" si="103"/>
        <v>85289.32593116106</v>
      </c>
      <c r="AB38" s="154">
        <f t="shared" si="103"/>
        <v>93818.258524277175</v>
      </c>
      <c r="AC38" s="137">
        <f t="shared" ref="AC38" si="104">((AB38/G38)^(1/($AB$3-$H$1) ))-1</f>
        <v>0.19652381476975789</v>
      </c>
      <c r="AD38" s="31">
        <v>0.05</v>
      </c>
      <c r="AE38" s="145">
        <f t="shared" si="1"/>
        <v>579465.71441465325</v>
      </c>
    </row>
    <row r="39" spans="2:31" x14ac:dyDescent="0.2">
      <c r="B39" s="20"/>
      <c r="C39" s="140"/>
      <c r="D39" s="140"/>
      <c r="E39" s="146"/>
      <c r="F39" s="146"/>
      <c r="G39" s="148">
        <f>(G38-F38)/G38</f>
        <v>1</v>
      </c>
      <c r="H39" s="148">
        <f>(H38-G38)/H38</f>
        <v>0.16653236637120603</v>
      </c>
      <c r="I39" s="148">
        <f t="shared" ref="I39:P39" si="105">(I38-H38)/I38</f>
        <v>0.35777126099706746</v>
      </c>
      <c r="J39" s="148">
        <f t="shared" si="105"/>
        <v>0.41942914371557338</v>
      </c>
      <c r="K39" s="148">
        <f t="shared" si="105"/>
        <v>0.21821171312245538</v>
      </c>
      <c r="L39" s="148">
        <f t="shared" si="105"/>
        <v>-0.15489646441812099</v>
      </c>
      <c r="M39" s="148">
        <f t="shared" si="105"/>
        <v>0.20352898811667267</v>
      </c>
      <c r="N39" s="148">
        <f t="shared" si="105"/>
        <v>0.37095093553209801</v>
      </c>
      <c r="O39" s="148">
        <f t="shared" si="105"/>
        <v>0.24391998355826539</v>
      </c>
      <c r="P39" s="148">
        <f t="shared" si="105"/>
        <v>0.19288933123220259</v>
      </c>
      <c r="Q39" s="3"/>
      <c r="R39" s="3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38"/>
      <c r="AD39" s="127"/>
      <c r="AE39" s="145"/>
    </row>
    <row r="40" spans="2:31" x14ac:dyDescent="0.2">
      <c r="B40" s="20" t="s">
        <v>368</v>
      </c>
      <c r="C40" s="140"/>
      <c r="D40" s="140"/>
      <c r="E40" s="146"/>
      <c r="F40" s="146"/>
      <c r="G40" s="146">
        <v>927</v>
      </c>
      <c r="H40" s="146">
        <v>1565</v>
      </c>
      <c r="I40" s="146">
        <v>2983</v>
      </c>
      <c r="J40" s="146">
        <v>4011</v>
      </c>
      <c r="K40" s="146">
        <v>5357</v>
      </c>
      <c r="L40" s="146">
        <v>4935</v>
      </c>
      <c r="M40" s="146">
        <v>4992</v>
      </c>
      <c r="N40" s="146">
        <v>5042</v>
      </c>
      <c r="O40" s="146">
        <v>4586</v>
      </c>
      <c r="P40" s="146">
        <v>4720</v>
      </c>
      <c r="Q40" s="118">
        <f>((P40/G40)^(1/($H$2-$H$1) ))-1</f>
        <v>0.19823017331978265</v>
      </c>
      <c r="R40" s="31">
        <v>0.1</v>
      </c>
      <c r="S40" s="154">
        <f t="shared" ref="S40" si="106">P40*(1+$R40)</f>
        <v>5192</v>
      </c>
      <c r="T40" s="154">
        <f t="shared" ref="T40:AB40" si="107">S40*(1+$R40)</f>
        <v>5711.2000000000007</v>
      </c>
      <c r="U40" s="154">
        <f t="shared" si="107"/>
        <v>6282.3200000000015</v>
      </c>
      <c r="V40" s="154">
        <f t="shared" si="107"/>
        <v>6910.5520000000024</v>
      </c>
      <c r="W40" s="154">
        <f t="shared" si="107"/>
        <v>7601.6072000000031</v>
      </c>
      <c r="X40" s="154">
        <f t="shared" si="107"/>
        <v>8361.7679200000039</v>
      </c>
      <c r="Y40" s="154">
        <f t="shared" si="107"/>
        <v>9197.9447120000059</v>
      </c>
      <c r="Z40" s="154">
        <f t="shared" si="107"/>
        <v>10117.739183200007</v>
      </c>
      <c r="AA40" s="154">
        <f t="shared" si="107"/>
        <v>11129.513101520008</v>
      </c>
      <c r="AB40" s="154">
        <f t="shared" si="107"/>
        <v>12242.46441167201</v>
      </c>
      <c r="AC40" s="137">
        <f t="shared" ref="AC40" si="108">((AB40/G40)^(1/($AB$3-$H$1) ))-1</f>
        <v>0.14548366623541842</v>
      </c>
      <c r="AD40" s="31">
        <v>0.05</v>
      </c>
      <c r="AE40" s="145">
        <f t="shared" si="1"/>
        <v>75615.221366209487</v>
      </c>
    </row>
    <row r="41" spans="2:31" x14ac:dyDescent="0.2">
      <c r="B41" s="20"/>
      <c r="C41" s="140"/>
      <c r="D41" s="140"/>
      <c r="E41" s="146"/>
      <c r="F41" s="146"/>
      <c r="G41" s="148">
        <f>(G40-F40)/G40</f>
        <v>1</v>
      </c>
      <c r="H41" s="148">
        <f>(H40-G40)/H40</f>
        <v>0.40766773162939296</v>
      </c>
      <c r="I41" s="148">
        <f t="shared" ref="I41:P41" si="109">(I40-H40)/I40</f>
        <v>0.47536037546094534</v>
      </c>
      <c r="J41" s="148">
        <f t="shared" si="109"/>
        <v>0.25629518823236103</v>
      </c>
      <c r="K41" s="148">
        <f t="shared" si="109"/>
        <v>0.25126003360089605</v>
      </c>
      <c r="L41" s="148">
        <f t="shared" si="109"/>
        <v>-8.5511651469098282E-2</v>
      </c>
      <c r="M41" s="148">
        <f t="shared" si="109"/>
        <v>1.141826923076923E-2</v>
      </c>
      <c r="N41" s="148">
        <f t="shared" si="109"/>
        <v>9.9166997223324085E-3</v>
      </c>
      <c r="O41" s="148">
        <f t="shared" si="109"/>
        <v>-9.9433057130396865E-2</v>
      </c>
      <c r="P41" s="148">
        <f t="shared" si="109"/>
        <v>2.8389830508474576E-2</v>
      </c>
      <c r="Q41" s="3"/>
      <c r="R41" s="3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127"/>
      <c r="AE41" s="145"/>
    </row>
    <row r="42" spans="2:31" x14ac:dyDescent="0.2">
      <c r="B42" s="20" t="s">
        <v>369</v>
      </c>
      <c r="C42" s="140"/>
      <c r="D42" s="140"/>
      <c r="E42" s="146"/>
      <c r="F42" s="146"/>
      <c r="G42" s="146">
        <v>4650</v>
      </c>
      <c r="H42" s="146">
        <v>7142</v>
      </c>
      <c r="I42" s="146">
        <v>10419</v>
      </c>
      <c r="J42" s="146">
        <v>15573</v>
      </c>
      <c r="K42" s="146">
        <v>21984</v>
      </c>
      <c r="L42" s="146">
        <v>22497</v>
      </c>
      <c r="M42" s="146">
        <v>29724</v>
      </c>
      <c r="N42" s="146">
        <v>41241</v>
      </c>
      <c r="O42" s="146">
        <v>53141</v>
      </c>
      <c r="P42" s="146">
        <v>66257</v>
      </c>
      <c r="Q42" s="118">
        <f>((P42/G42)^(1/($H$2-$H$1) ))-1</f>
        <v>0.3433761885067983</v>
      </c>
      <c r="R42" s="31">
        <v>0.1</v>
      </c>
      <c r="S42" s="154">
        <f t="shared" si="98"/>
        <v>72882.700000000012</v>
      </c>
      <c r="T42" s="154">
        <f t="shared" si="99"/>
        <v>80170.970000000016</v>
      </c>
      <c r="U42" s="154">
        <f t="shared" si="99"/>
        <v>88188.067000000025</v>
      </c>
      <c r="V42" s="154">
        <f t="shared" si="99"/>
        <v>97006.87370000004</v>
      </c>
      <c r="W42" s="154">
        <f t="shared" si="99"/>
        <v>106707.56107000005</v>
      </c>
      <c r="X42" s="154">
        <f t="shared" si="99"/>
        <v>117378.31717700006</v>
      </c>
      <c r="Y42" s="154">
        <f t="shared" si="99"/>
        <v>129116.14889470008</v>
      </c>
      <c r="Z42" s="154">
        <f t="shared" si="99"/>
        <v>142027.76378417009</v>
      </c>
      <c r="AA42" s="154">
        <f t="shared" si="99"/>
        <v>156230.5401625871</v>
      </c>
      <c r="AB42" s="154">
        <f t="shared" si="99"/>
        <v>171853.59417884581</v>
      </c>
      <c r="AC42" s="137">
        <f t="shared" si="100"/>
        <v>0.20923532211124929</v>
      </c>
      <c r="AD42" s="31">
        <v>0.05</v>
      </c>
      <c r="AE42" s="145">
        <f t="shared" si="1"/>
        <v>1061448.6699281656</v>
      </c>
    </row>
    <row r="43" spans="2:31" x14ac:dyDescent="0.2">
      <c r="B43" s="20"/>
      <c r="C43" s="140"/>
      <c r="D43" s="140"/>
      <c r="E43" s="146"/>
      <c r="F43" s="146"/>
      <c r="G43" s="148">
        <f>(G42-F42)/G42</f>
        <v>1</v>
      </c>
      <c r="H43" s="148">
        <f>(H42-G42)/H42</f>
        <v>0.34892187062447494</v>
      </c>
      <c r="I43" s="148">
        <f t="shared" ref="I43:P43" si="110">(I42-H42)/I42</f>
        <v>0.31452154717343317</v>
      </c>
      <c r="J43" s="148">
        <f t="shared" si="110"/>
        <v>0.33095742631477559</v>
      </c>
      <c r="K43" s="148">
        <f t="shared" si="110"/>
        <v>0.29162117903930129</v>
      </c>
      <c r="L43" s="148">
        <f t="shared" si="110"/>
        <v>2.2803040405387383E-2</v>
      </c>
      <c r="M43" s="148">
        <f t="shared" si="110"/>
        <v>0.24313685910375454</v>
      </c>
      <c r="N43" s="148">
        <f t="shared" si="110"/>
        <v>0.27926092965737981</v>
      </c>
      <c r="O43" s="148">
        <f t="shared" si="110"/>
        <v>0.22393255678289833</v>
      </c>
      <c r="P43" s="148">
        <f t="shared" si="110"/>
        <v>0.19795644233816803</v>
      </c>
      <c r="Q43" s="3"/>
      <c r="R43" s="3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7"/>
      <c r="AD43" s="31"/>
      <c r="AE43" s="145"/>
    </row>
    <row r="44" spans="2:31" s="187" customFormat="1" x14ac:dyDescent="0.2">
      <c r="B44" s="217"/>
      <c r="C44" s="140"/>
      <c r="D44" s="140"/>
      <c r="E44" s="146"/>
      <c r="F44" s="146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92"/>
      <c r="R44" s="192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79"/>
      <c r="AD44" s="31"/>
      <c r="AE44" s="180"/>
    </row>
    <row r="45" spans="2:31" x14ac:dyDescent="0.2">
      <c r="B45" s="20" t="s">
        <v>89</v>
      </c>
      <c r="C45" s="140"/>
      <c r="D45" s="140"/>
      <c r="E45" s="146"/>
      <c r="F45" s="146"/>
      <c r="G45" s="170">
        <v>1164</v>
      </c>
      <c r="H45" s="170">
        <v>1752</v>
      </c>
      <c r="I45" s="170">
        <v>2984</v>
      </c>
      <c r="J45" s="142">
        <v>4335</v>
      </c>
      <c r="K45" s="142">
        <v>7677</v>
      </c>
      <c r="L45" s="171">
        <v>7181</v>
      </c>
      <c r="M45" s="171">
        <v>9315</v>
      </c>
      <c r="N45" s="171">
        <v>11062</v>
      </c>
      <c r="O45" s="171">
        <v>13013</v>
      </c>
      <c r="P45" s="171">
        <v>15950</v>
      </c>
      <c r="Q45" s="118">
        <f>((P45/G45)^(1/($H$2-$H$1) ))-1</f>
        <v>0.33755598027667855</v>
      </c>
      <c r="R45" s="31">
        <f t="shared" si="6"/>
        <v>0.15</v>
      </c>
      <c r="S45" s="154">
        <f t="shared" si="53"/>
        <v>18342.5</v>
      </c>
      <c r="T45" s="154">
        <f t="shared" si="54"/>
        <v>21093.875</v>
      </c>
      <c r="U45" s="154">
        <f t="shared" si="55"/>
        <v>24257.956249999999</v>
      </c>
      <c r="V45" s="154">
        <f t="shared" si="56"/>
        <v>27896.649687499998</v>
      </c>
      <c r="W45" s="154">
        <f t="shared" si="57"/>
        <v>32081.147140624995</v>
      </c>
      <c r="X45" s="154">
        <f t="shared" si="58"/>
        <v>36893.319211718743</v>
      </c>
      <c r="Y45" s="154">
        <f t="shared" si="59"/>
        <v>42427.317093476551</v>
      </c>
      <c r="Z45" s="154">
        <f t="shared" si="60"/>
        <v>48791.414657498033</v>
      </c>
      <c r="AA45" s="154">
        <f t="shared" si="61"/>
        <v>56110.126856122733</v>
      </c>
      <c r="AB45" s="154">
        <f t="shared" si="62"/>
        <v>64526.64588454114</v>
      </c>
      <c r="AC45" s="137">
        <f t="shared" si="19"/>
        <v>0.23531642621976934</v>
      </c>
      <c r="AD45" s="31">
        <f t="shared" si="17"/>
        <v>0.05</v>
      </c>
      <c r="AE45" s="145">
        <f t="shared" si="1"/>
        <v>398546.9304633424</v>
      </c>
    </row>
    <row r="46" spans="2:31" s="122" customFormat="1" x14ac:dyDescent="0.2">
      <c r="B46" s="23"/>
      <c r="C46" s="149"/>
      <c r="D46" s="149"/>
      <c r="E46" s="150"/>
      <c r="F46" s="150"/>
      <c r="G46" s="148">
        <f>(G45-F45)/G45</f>
        <v>1</v>
      </c>
      <c r="H46" s="148">
        <f>(H45-G45)/H45</f>
        <v>0.33561643835616439</v>
      </c>
      <c r="I46" s="148">
        <f t="shared" ref="I46" si="111">(I45-H45)/I45</f>
        <v>0.4128686327077748</v>
      </c>
      <c r="J46" s="148">
        <f t="shared" ref="J46" si="112">(J45-I45)/J45</f>
        <v>0.3116493656286044</v>
      </c>
      <c r="K46" s="148">
        <f t="shared" ref="K46" si="113">(K45-J45)/K45</f>
        <v>0.43532629933567801</v>
      </c>
      <c r="L46" s="148">
        <f t="shared" ref="L46" si="114">(L45-K45)/L45</f>
        <v>-6.9071160005570259E-2</v>
      </c>
      <c r="M46" s="148">
        <f t="shared" ref="M46" si="115">(M45-L45)/M45</f>
        <v>0.22909286097691894</v>
      </c>
      <c r="N46" s="148">
        <f t="shared" ref="N46" si="116">(N45-M45)/N45</f>
        <v>0.15792804194539867</v>
      </c>
      <c r="O46" s="148">
        <f t="shared" ref="O46" si="117">(O45-N45)/O45</f>
        <v>0.14992699608084223</v>
      </c>
      <c r="P46" s="148">
        <f t="shared" ref="P46" si="118">(P45-O45)/P45</f>
        <v>0.18413793103448275</v>
      </c>
      <c r="Q46" s="127"/>
      <c r="R46" s="20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19"/>
      <c r="AD46" s="136"/>
      <c r="AE46" s="154"/>
    </row>
    <row r="47" spans="2:31" x14ac:dyDescent="0.2">
      <c r="B47" s="20" t="s">
        <v>262</v>
      </c>
      <c r="C47" s="140"/>
      <c r="D47" s="140"/>
      <c r="E47" s="146"/>
      <c r="F47" s="146"/>
      <c r="G47" s="170">
        <v>964</v>
      </c>
      <c r="H47" s="170">
        <v>1558</v>
      </c>
      <c r="I47" s="170">
        <v>2455</v>
      </c>
      <c r="J47" s="142">
        <v>3810</v>
      </c>
      <c r="K47" s="142">
        <v>6718</v>
      </c>
      <c r="L47" s="171">
        <v>6528</v>
      </c>
      <c r="M47" s="171">
        <v>7987</v>
      </c>
      <c r="N47" s="171">
        <v>9493</v>
      </c>
      <c r="O47" s="171">
        <v>11163</v>
      </c>
      <c r="P47" s="171">
        <v>13746</v>
      </c>
      <c r="Q47" s="118">
        <f>((P47/G47)^(1/($H$2-$H$1) ))-1</f>
        <v>0.34348634345316165</v>
      </c>
      <c r="R47" s="31">
        <f t="shared" si="6"/>
        <v>0.15</v>
      </c>
      <c r="S47" s="154">
        <f t="shared" si="53"/>
        <v>15807.9</v>
      </c>
      <c r="T47" s="154">
        <f t="shared" si="54"/>
        <v>18179.084999999999</v>
      </c>
      <c r="U47" s="154">
        <f t="shared" si="55"/>
        <v>20905.947749999996</v>
      </c>
      <c r="V47" s="154">
        <f t="shared" si="56"/>
        <v>24041.839912499992</v>
      </c>
      <c r="W47" s="154">
        <f t="shared" si="57"/>
        <v>27648.115899374989</v>
      </c>
      <c r="X47" s="154">
        <f t="shared" si="58"/>
        <v>31795.333284281234</v>
      </c>
      <c r="Y47" s="154">
        <f t="shared" si="59"/>
        <v>36564.633276923414</v>
      </c>
      <c r="Z47" s="154">
        <f t="shared" si="60"/>
        <v>42049.328268461926</v>
      </c>
      <c r="AA47" s="154">
        <f t="shared" si="61"/>
        <v>48356.727508731208</v>
      </c>
      <c r="AB47" s="154">
        <f t="shared" si="62"/>
        <v>55610.236635040885</v>
      </c>
      <c r="AC47" s="137">
        <f t="shared" si="19"/>
        <v>0.23790780304682291</v>
      </c>
      <c r="AD47" s="31">
        <f t="shared" si="17"/>
        <v>0.05</v>
      </c>
      <c r="AE47" s="145">
        <f t="shared" si="1"/>
        <v>343474.99098113494</v>
      </c>
    </row>
    <row r="48" spans="2:31" s="122" customFormat="1" x14ac:dyDescent="0.2">
      <c r="B48" s="23"/>
      <c r="C48" s="149"/>
      <c r="D48" s="149"/>
      <c r="E48" s="150"/>
      <c r="F48" s="150"/>
      <c r="G48" s="148">
        <f t="shared" ref="G48:P48" si="119">(G47-F47)/G47</f>
        <v>1</v>
      </c>
      <c r="H48" s="148">
        <f t="shared" si="119"/>
        <v>0.38125802310654683</v>
      </c>
      <c r="I48" s="148">
        <f t="shared" si="119"/>
        <v>0.3653767820773931</v>
      </c>
      <c r="J48" s="148">
        <f t="shared" si="119"/>
        <v>0.35564304461942259</v>
      </c>
      <c r="K48" s="148">
        <f t="shared" si="119"/>
        <v>0.43286692467996429</v>
      </c>
      <c r="L48" s="148">
        <f t="shared" si="119"/>
        <v>-2.9105392156862746E-2</v>
      </c>
      <c r="M48" s="148">
        <f t="shared" si="119"/>
        <v>0.1826718417428321</v>
      </c>
      <c r="N48" s="148">
        <f t="shared" si="119"/>
        <v>0.15864321078689561</v>
      </c>
      <c r="O48" s="148">
        <f t="shared" si="119"/>
        <v>0.14960136164113588</v>
      </c>
      <c r="P48" s="148">
        <f t="shared" si="119"/>
        <v>0.18790920995198604</v>
      </c>
      <c r="Q48" s="127"/>
      <c r="R48" s="20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19"/>
      <c r="AD48" s="136"/>
      <c r="AE48" s="154"/>
    </row>
    <row r="49" spans="2:31" x14ac:dyDescent="0.2">
      <c r="B49" s="20" t="s">
        <v>370</v>
      </c>
      <c r="C49" s="140"/>
      <c r="D49" s="140"/>
      <c r="E49" s="146"/>
      <c r="F49" s="146"/>
      <c r="G49" s="146">
        <v>528</v>
      </c>
      <c r="H49" s="146">
        <v>976</v>
      </c>
      <c r="I49" s="146">
        <v>1800</v>
      </c>
      <c r="J49" s="146">
        <v>2353</v>
      </c>
      <c r="K49" s="146">
        <v>4029</v>
      </c>
      <c r="L49" s="146">
        <v>2814</v>
      </c>
      <c r="M49" s="146">
        <v>4714</v>
      </c>
      <c r="N49" s="146">
        <v>5089</v>
      </c>
      <c r="O49" s="146">
        <v>4543</v>
      </c>
      <c r="P49" s="146">
        <v>5112</v>
      </c>
      <c r="Q49" s="118">
        <f>((P49/G49)^(1/($H$2-$H$1) ))-1</f>
        <v>0.28691768537247753</v>
      </c>
      <c r="R49" s="31">
        <v>0.1</v>
      </c>
      <c r="S49" s="154">
        <f t="shared" ref="S49" si="120">P49*(1+$R49)</f>
        <v>5623.2000000000007</v>
      </c>
      <c r="T49" s="154">
        <f t="shared" ref="T49:AB49" si="121">S49*(1+$R49)</f>
        <v>6185.5200000000013</v>
      </c>
      <c r="U49" s="154">
        <f t="shared" si="121"/>
        <v>6804.0720000000019</v>
      </c>
      <c r="V49" s="154">
        <f t="shared" si="121"/>
        <v>7484.4792000000025</v>
      </c>
      <c r="W49" s="154">
        <f t="shared" si="121"/>
        <v>8232.9271200000039</v>
      </c>
      <c r="X49" s="154">
        <f t="shared" si="121"/>
        <v>9056.2198320000043</v>
      </c>
      <c r="Y49" s="154">
        <f t="shared" si="121"/>
        <v>9961.8418152000049</v>
      </c>
      <c r="Z49" s="154">
        <f t="shared" si="121"/>
        <v>10958.025996720005</v>
      </c>
      <c r="AA49" s="154">
        <f t="shared" si="121"/>
        <v>12053.828596392006</v>
      </c>
      <c r="AB49" s="154">
        <f t="shared" si="121"/>
        <v>13259.211456031207</v>
      </c>
      <c r="AC49" s="137">
        <f t="shared" ref="AC49" si="122">((AB49/G49)^(1/($AB$3-$H$1) ))-1</f>
        <v>0.18489016140603232</v>
      </c>
      <c r="AD49" s="31">
        <v>0.05</v>
      </c>
      <c r="AE49" s="145">
        <f t="shared" si="1"/>
        <v>81895.129581369241</v>
      </c>
    </row>
    <row r="50" spans="2:31" x14ac:dyDescent="0.2">
      <c r="B50" s="20"/>
      <c r="C50" s="140"/>
      <c r="D50" s="140"/>
      <c r="E50" s="146"/>
      <c r="F50" s="146"/>
      <c r="G50" s="148">
        <f>(G49-F49)/G49</f>
        <v>1</v>
      </c>
      <c r="H50" s="148">
        <f>(H49-G49)/H49</f>
        <v>0.45901639344262296</v>
      </c>
      <c r="I50" s="148">
        <f t="shared" ref="I50:P50" si="123">(I49-H49)/I49</f>
        <v>0.45777777777777778</v>
      </c>
      <c r="J50" s="148">
        <f t="shared" si="123"/>
        <v>0.23501912452188695</v>
      </c>
      <c r="K50" s="148">
        <f t="shared" si="123"/>
        <v>0.41598411516505335</v>
      </c>
      <c r="L50" s="148">
        <f t="shared" si="123"/>
        <v>-0.43176972281449894</v>
      </c>
      <c r="M50" s="148">
        <f t="shared" si="123"/>
        <v>0.40305473058973273</v>
      </c>
      <c r="N50" s="148">
        <f t="shared" si="123"/>
        <v>7.3688347415995281E-2</v>
      </c>
      <c r="O50" s="148">
        <f t="shared" si="123"/>
        <v>-0.12018489984591679</v>
      </c>
      <c r="P50" s="148">
        <f t="shared" si="123"/>
        <v>0.11130672926447574</v>
      </c>
      <c r="Q50" s="3"/>
      <c r="R50" s="3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37"/>
      <c r="AD50" s="31"/>
      <c r="AE50" s="145"/>
    </row>
    <row r="51" spans="2:31" s="122" customFormat="1" x14ac:dyDescent="0.2">
      <c r="B51" s="20" t="s">
        <v>325</v>
      </c>
      <c r="C51" s="149"/>
      <c r="D51" s="149"/>
      <c r="E51" s="150"/>
      <c r="F51" s="146"/>
      <c r="G51" s="146">
        <v>252</v>
      </c>
      <c r="H51" s="146">
        <v>328</v>
      </c>
      <c r="I51" s="146">
        <v>519</v>
      </c>
      <c r="J51" s="146">
        <v>977</v>
      </c>
      <c r="K51" s="146">
        <v>1816</v>
      </c>
      <c r="L51" s="146">
        <v>1992</v>
      </c>
      <c r="M51" s="146">
        <v>1772</v>
      </c>
      <c r="N51" s="146">
        <v>2668</v>
      </c>
      <c r="O51" s="146">
        <v>4541</v>
      </c>
      <c r="P51" s="146">
        <v>6024</v>
      </c>
      <c r="Q51" s="118">
        <f>((P51/G51)^(1/($H$2-$H$1) ))-1</f>
        <v>0.42286905998342528</v>
      </c>
      <c r="R51" s="31">
        <f t="shared" si="6"/>
        <v>0.15</v>
      </c>
      <c r="S51" s="154">
        <f t="shared" ref="S51" si="124">P51*(1+$R51)</f>
        <v>6927.5999999999995</v>
      </c>
      <c r="T51" s="154">
        <f t="shared" ref="T51" si="125">S51*(1+$R51)</f>
        <v>7966.7399999999989</v>
      </c>
      <c r="U51" s="154">
        <f t="shared" ref="U51" si="126">T51*(1+$R51)</f>
        <v>9161.7509999999984</v>
      </c>
      <c r="V51" s="154">
        <f t="shared" ref="V51" si="127">U51*(1+$R51)</f>
        <v>10536.013649999997</v>
      </c>
      <c r="W51" s="154">
        <f t="shared" ref="W51" si="128">V51*(1+$R51)</f>
        <v>12116.415697499995</v>
      </c>
      <c r="X51" s="154">
        <f t="shared" ref="X51" si="129">W51*(1+$R51)</f>
        <v>13933.878052124994</v>
      </c>
      <c r="Y51" s="154">
        <f t="shared" ref="Y51" si="130">X51*(1+$R51)</f>
        <v>16023.959759943742</v>
      </c>
      <c r="Z51" s="154">
        <f t="shared" ref="Z51" si="131">Y51*(1+$R51)</f>
        <v>18427.553723935303</v>
      </c>
      <c r="AA51" s="154">
        <f t="shared" ref="AA51" si="132">Z51*(1+$R51)</f>
        <v>21191.686782525598</v>
      </c>
      <c r="AB51" s="154">
        <f t="shared" ref="AB51" si="133">AA51*(1+$R51)</f>
        <v>24370.439799904434</v>
      </c>
      <c r="AC51" s="137">
        <f t="shared" ref="AC51" si="134">((AB51/G51)^(1/($AB$3-$H$1) ))-1</f>
        <v>0.2720320194734811</v>
      </c>
      <c r="AD51" s="31">
        <f t="shared" si="17"/>
        <v>0.05</v>
      </c>
      <c r="AE51" s="145">
        <f t="shared" ref="AE51" si="135">(AB51*(1+AD51))/($C$1-AD51)</f>
        <v>150523.3046464686</v>
      </c>
    </row>
    <row r="52" spans="2:31" s="122" customFormat="1" x14ac:dyDescent="0.2">
      <c r="B52" s="23"/>
      <c r="C52" s="149"/>
      <c r="D52" s="149"/>
      <c r="E52" s="150"/>
      <c r="F52" s="150"/>
      <c r="G52" s="148">
        <f t="shared" ref="G52:P52" si="136">(G51-F51)/G51</f>
        <v>1</v>
      </c>
      <c r="H52" s="148">
        <f t="shared" si="136"/>
        <v>0.23170731707317074</v>
      </c>
      <c r="I52" s="148">
        <f t="shared" si="136"/>
        <v>0.36801541425818884</v>
      </c>
      <c r="J52" s="148">
        <f t="shared" si="136"/>
        <v>0.46878198567041968</v>
      </c>
      <c r="K52" s="148">
        <f t="shared" si="136"/>
        <v>0.46200440528634362</v>
      </c>
      <c r="L52" s="148">
        <f t="shared" si="136"/>
        <v>8.8353413654618476E-2</v>
      </c>
      <c r="M52" s="148">
        <f t="shared" si="136"/>
        <v>-0.12415349887133183</v>
      </c>
      <c r="N52" s="148">
        <f t="shared" si="136"/>
        <v>0.335832083958021</v>
      </c>
      <c r="O52" s="148">
        <f t="shared" si="136"/>
        <v>0.41246421493063201</v>
      </c>
      <c r="P52" s="148">
        <f t="shared" si="136"/>
        <v>0.24618193891102258</v>
      </c>
      <c r="Q52" s="127"/>
      <c r="R52" s="20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62"/>
      <c r="AD52" s="136"/>
      <c r="AE52" s="154"/>
    </row>
    <row r="53" spans="2:31" x14ac:dyDescent="0.2">
      <c r="B53" s="20" t="s">
        <v>333</v>
      </c>
      <c r="C53" s="140"/>
      <c r="D53" s="140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18" t="e">
        <f>((P53/G53)^(1/($H$2-$H$1) ))-1</f>
        <v>#DIV/0!</v>
      </c>
      <c r="R53" s="31">
        <f t="shared" si="6"/>
        <v>0.15</v>
      </c>
      <c r="S53" s="154">
        <f>P53*(1+$R53)</f>
        <v>0</v>
      </c>
      <c r="T53" s="154">
        <f>S53*(1+$R53)</f>
        <v>0</v>
      </c>
      <c r="U53" s="154">
        <f t="shared" ref="U53:AB54" si="137">T53*(1+$R53)</f>
        <v>0</v>
      </c>
      <c r="V53" s="154">
        <f t="shared" si="137"/>
        <v>0</v>
      </c>
      <c r="W53" s="154">
        <f t="shared" si="137"/>
        <v>0</v>
      </c>
      <c r="X53" s="154">
        <f t="shared" si="137"/>
        <v>0</v>
      </c>
      <c r="Y53" s="154">
        <f t="shared" si="137"/>
        <v>0</v>
      </c>
      <c r="Z53" s="154">
        <f t="shared" si="137"/>
        <v>0</v>
      </c>
      <c r="AA53" s="154">
        <f t="shared" si="137"/>
        <v>0</v>
      </c>
      <c r="AB53" s="154">
        <f t="shared" si="137"/>
        <v>0</v>
      </c>
      <c r="AC53" s="137" t="e">
        <f t="shared" ref="AC53" si="138">((AB53/G53)^(1/($AB$3-$H$1) ))-1</f>
        <v>#DIV/0!</v>
      </c>
      <c r="AD53" s="31">
        <f t="shared" si="17"/>
        <v>0.05</v>
      </c>
      <c r="AE53" s="145">
        <f t="shared" si="1"/>
        <v>0</v>
      </c>
    </row>
    <row r="54" spans="2:31" x14ac:dyDescent="0.2">
      <c r="B54" s="20" t="s">
        <v>332</v>
      </c>
      <c r="C54" s="140"/>
      <c r="D54" s="140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18" t="e">
        <f>((P54/G54)^(1/($H$2-$H$1) ))-1</f>
        <v>#DIV/0!</v>
      </c>
      <c r="R54" s="31">
        <f t="shared" si="6"/>
        <v>0.15</v>
      </c>
      <c r="S54" s="154">
        <f>P54*(1+$R54)</f>
        <v>0</v>
      </c>
      <c r="T54" s="154">
        <f>S54*(1+$R54)</f>
        <v>0</v>
      </c>
      <c r="U54" s="154">
        <f t="shared" si="137"/>
        <v>0</v>
      </c>
      <c r="V54" s="154">
        <f t="shared" si="137"/>
        <v>0</v>
      </c>
      <c r="W54" s="154">
        <f t="shared" si="137"/>
        <v>0</v>
      </c>
      <c r="X54" s="154">
        <f t="shared" si="137"/>
        <v>0</v>
      </c>
      <c r="Y54" s="154">
        <f t="shared" si="137"/>
        <v>0</v>
      </c>
      <c r="Z54" s="154">
        <f t="shared" si="137"/>
        <v>0</v>
      </c>
      <c r="AA54" s="154">
        <f t="shared" si="137"/>
        <v>0</v>
      </c>
      <c r="AB54" s="154">
        <f t="shared" si="137"/>
        <v>0</v>
      </c>
      <c r="AC54" s="137" t="e">
        <f t="shared" ref="AC54" si="139">((AB54/G54)^(1/($AB$3-$H$1) ))-1</f>
        <v>#DIV/0!</v>
      </c>
      <c r="AD54" s="31">
        <f t="shared" si="17"/>
        <v>0.05</v>
      </c>
      <c r="AE54" s="145">
        <f t="shared" si="1"/>
        <v>0</v>
      </c>
    </row>
    <row r="55" spans="2:31" x14ac:dyDescent="0.2">
      <c r="B55" s="20" t="s">
        <v>317</v>
      </c>
      <c r="C55" s="140"/>
      <c r="D55" s="140"/>
      <c r="E55" s="146"/>
      <c r="F55" s="146"/>
      <c r="G55" s="170"/>
      <c r="H55" s="170"/>
      <c r="I55" s="170"/>
      <c r="J55" s="142"/>
      <c r="K55" s="142"/>
      <c r="L55" s="171"/>
      <c r="M55" s="171"/>
      <c r="N55" s="171"/>
      <c r="O55" s="171"/>
      <c r="P55" s="171"/>
      <c r="Q55" s="118" t="e">
        <f>((P55/G55)^(1/($H$2-$H$1) ))-1</f>
        <v>#DIV/0!</v>
      </c>
      <c r="R55" s="31">
        <f t="shared" si="6"/>
        <v>0.15</v>
      </c>
      <c r="S55" s="154">
        <f t="shared" si="53"/>
        <v>0</v>
      </c>
      <c r="T55" s="154">
        <f t="shared" si="54"/>
        <v>0</v>
      </c>
      <c r="U55" s="154">
        <f t="shared" si="55"/>
        <v>0</v>
      </c>
      <c r="V55" s="154">
        <f t="shared" si="56"/>
        <v>0</v>
      </c>
      <c r="W55" s="154">
        <f t="shared" si="57"/>
        <v>0</v>
      </c>
      <c r="X55" s="154">
        <f t="shared" si="58"/>
        <v>0</v>
      </c>
      <c r="Y55" s="154">
        <f t="shared" si="59"/>
        <v>0</v>
      </c>
      <c r="Z55" s="154">
        <f t="shared" si="60"/>
        <v>0</v>
      </c>
      <c r="AA55" s="154">
        <f t="shared" si="61"/>
        <v>0</v>
      </c>
      <c r="AB55" s="154">
        <f t="shared" si="62"/>
        <v>0</v>
      </c>
      <c r="AC55" s="137" t="e">
        <f t="shared" si="19"/>
        <v>#DIV/0!</v>
      </c>
      <c r="AD55" s="31">
        <f t="shared" si="17"/>
        <v>0.05</v>
      </c>
      <c r="AE55" s="145">
        <f t="shared" si="1"/>
        <v>0</v>
      </c>
    </row>
    <row r="56" spans="2:31" x14ac:dyDescent="0.2">
      <c r="B56" s="20" t="s">
        <v>309</v>
      </c>
      <c r="C56" s="140"/>
      <c r="D56" s="140"/>
      <c r="E56" s="146"/>
      <c r="F56" s="146"/>
      <c r="G56" s="170"/>
      <c r="H56" s="170"/>
      <c r="I56" s="170"/>
      <c r="J56" s="142"/>
      <c r="K56" s="142"/>
      <c r="L56" s="171"/>
      <c r="M56" s="171"/>
      <c r="N56" s="171"/>
      <c r="O56" s="171"/>
      <c r="P56" s="171"/>
      <c r="Q56" s="118" t="e">
        <f>((P56/G56)^(1/($H$2-$H$1) ))-1</f>
        <v>#DIV/0!</v>
      </c>
      <c r="R56" s="31">
        <f t="shared" si="6"/>
        <v>0.15</v>
      </c>
      <c r="S56" s="154">
        <f t="shared" si="53"/>
        <v>0</v>
      </c>
      <c r="T56" s="154">
        <f t="shared" si="54"/>
        <v>0</v>
      </c>
      <c r="U56" s="154">
        <f t="shared" si="55"/>
        <v>0</v>
      </c>
      <c r="V56" s="154">
        <f t="shared" si="56"/>
        <v>0</v>
      </c>
      <c r="W56" s="154">
        <f t="shared" si="57"/>
        <v>0</v>
      </c>
      <c r="X56" s="154">
        <f t="shared" si="58"/>
        <v>0</v>
      </c>
      <c r="Y56" s="154">
        <f t="shared" si="59"/>
        <v>0</v>
      </c>
      <c r="Z56" s="154">
        <f t="shared" si="60"/>
        <v>0</v>
      </c>
      <c r="AA56" s="154">
        <f t="shared" si="61"/>
        <v>0</v>
      </c>
      <c r="AB56" s="154">
        <f t="shared" si="62"/>
        <v>0</v>
      </c>
      <c r="AC56" s="137" t="e">
        <f t="shared" si="19"/>
        <v>#DIV/0!</v>
      </c>
      <c r="AD56" s="31">
        <f t="shared" si="17"/>
        <v>0.05</v>
      </c>
      <c r="AE56" s="145">
        <f t="shared" si="1"/>
        <v>0</v>
      </c>
    </row>
    <row r="57" spans="2:31" x14ac:dyDescent="0.2">
      <c r="B57" s="20"/>
      <c r="C57" s="140"/>
      <c r="D57" s="140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27"/>
      <c r="R57" s="20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38"/>
      <c r="AD57" s="136"/>
      <c r="AE57" s="154"/>
    </row>
    <row r="58" spans="2:31" x14ac:dyDescent="0.2">
      <c r="B58" s="20" t="s">
        <v>375</v>
      </c>
      <c r="C58" s="140"/>
      <c r="D58" s="140"/>
      <c r="E58" s="146"/>
      <c r="F58" s="146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18" t="e">
        <f>((P58/G58)^(1/($H$2-$H$1) ))-1</f>
        <v>#DIV/0!</v>
      </c>
      <c r="R58" s="31">
        <v>0.1</v>
      </c>
      <c r="S58" s="154">
        <f t="shared" ref="S58:S61" si="140">P58*(1+$R58)</f>
        <v>0</v>
      </c>
      <c r="T58" s="154">
        <f t="shared" ref="T58:T61" si="141">S58*(1+$R58)</f>
        <v>0</v>
      </c>
      <c r="U58" s="154">
        <f t="shared" ref="U58:U61" si="142">T58*(1+$R58)</f>
        <v>0</v>
      </c>
      <c r="V58" s="154">
        <f t="shared" ref="V58:V61" si="143">U58*(1+$R58)</f>
        <v>0</v>
      </c>
      <c r="W58" s="154">
        <f t="shared" ref="W58:W61" si="144">V58*(1+$R58)</f>
        <v>0</v>
      </c>
      <c r="X58" s="154">
        <f t="shared" ref="X58:X61" si="145">W58*(1+$R58)</f>
        <v>0</v>
      </c>
      <c r="Y58" s="154">
        <f t="shared" ref="Y58:Y61" si="146">X58*(1+$R58)</f>
        <v>0</v>
      </c>
      <c r="Z58" s="154">
        <f t="shared" ref="Z58:Z61" si="147">Y58*(1+$R58)</f>
        <v>0</v>
      </c>
      <c r="AA58" s="154">
        <f t="shared" ref="AA58:AA61" si="148">Z58*(1+$R58)</f>
        <v>0</v>
      </c>
      <c r="AB58" s="154">
        <f t="shared" ref="AB58:AB61" si="149">AA58*(1+$R58)</f>
        <v>0</v>
      </c>
      <c r="AC58" s="137" t="e">
        <f t="shared" ref="AC58:AC61" si="150">((AB58/G58)^(1/($AB$3-$H$1) ))-1</f>
        <v>#DIV/0!</v>
      </c>
      <c r="AD58" s="31">
        <f t="shared" si="17"/>
        <v>0.05</v>
      </c>
      <c r="AE58" s="145">
        <f t="shared" ref="AE58:AE61" si="151">(AB58*(1+AD58))/($C$1-AD58)</f>
        <v>0</v>
      </c>
    </row>
    <row r="59" spans="2:31" x14ac:dyDescent="0.2">
      <c r="B59" s="20" t="s">
        <v>376</v>
      </c>
      <c r="C59" s="140"/>
      <c r="D59" s="140"/>
      <c r="E59" s="146"/>
      <c r="F59" s="146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18" t="e">
        <f>((P59/G59)^(1/($H$2-$H$1) ))-1</f>
        <v>#DIV/0!</v>
      </c>
      <c r="R59" s="31">
        <v>0.1</v>
      </c>
      <c r="S59" s="154">
        <f t="shared" si="140"/>
        <v>0</v>
      </c>
      <c r="T59" s="154">
        <f t="shared" si="141"/>
        <v>0</v>
      </c>
      <c r="U59" s="154">
        <f t="shared" si="142"/>
        <v>0</v>
      </c>
      <c r="V59" s="154">
        <f t="shared" si="143"/>
        <v>0</v>
      </c>
      <c r="W59" s="154">
        <f t="shared" si="144"/>
        <v>0</v>
      </c>
      <c r="X59" s="154">
        <f t="shared" si="145"/>
        <v>0</v>
      </c>
      <c r="Y59" s="154">
        <f t="shared" si="146"/>
        <v>0</v>
      </c>
      <c r="Z59" s="154">
        <f t="shared" si="147"/>
        <v>0</v>
      </c>
      <c r="AA59" s="154">
        <f t="shared" si="148"/>
        <v>0</v>
      </c>
      <c r="AB59" s="154">
        <f t="shared" si="149"/>
        <v>0</v>
      </c>
      <c r="AC59" s="137" t="e">
        <f t="shared" si="150"/>
        <v>#DIV/0!</v>
      </c>
      <c r="AD59" s="31">
        <f t="shared" si="17"/>
        <v>0.05</v>
      </c>
      <c r="AE59" s="145">
        <f t="shared" si="151"/>
        <v>0</v>
      </c>
    </row>
    <row r="60" spans="2:31" x14ac:dyDescent="0.2">
      <c r="B60" s="20" t="s">
        <v>377</v>
      </c>
      <c r="C60" s="140"/>
      <c r="D60" s="140"/>
      <c r="E60" s="146"/>
      <c r="F60" s="146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18" t="e">
        <f>((P60/G60)^(1/($H$2-$H$1) ))-1</f>
        <v>#DIV/0!</v>
      </c>
      <c r="R60" s="31">
        <v>0.1</v>
      </c>
      <c r="S60" s="154">
        <f t="shared" si="140"/>
        <v>0</v>
      </c>
      <c r="T60" s="154">
        <f t="shared" si="141"/>
        <v>0</v>
      </c>
      <c r="U60" s="154">
        <f t="shared" si="142"/>
        <v>0</v>
      </c>
      <c r="V60" s="154">
        <f t="shared" si="143"/>
        <v>0</v>
      </c>
      <c r="W60" s="154">
        <f t="shared" si="144"/>
        <v>0</v>
      </c>
      <c r="X60" s="154">
        <f t="shared" si="145"/>
        <v>0</v>
      </c>
      <c r="Y60" s="154">
        <f t="shared" si="146"/>
        <v>0</v>
      </c>
      <c r="Z60" s="154">
        <f t="shared" si="147"/>
        <v>0</v>
      </c>
      <c r="AA60" s="154">
        <f t="shared" si="148"/>
        <v>0</v>
      </c>
      <c r="AB60" s="154">
        <f t="shared" si="149"/>
        <v>0</v>
      </c>
      <c r="AC60" s="137" t="e">
        <f t="shared" si="150"/>
        <v>#DIV/0!</v>
      </c>
      <c r="AD60" s="31">
        <f t="shared" si="17"/>
        <v>0.05</v>
      </c>
      <c r="AE60" s="145">
        <f t="shared" si="151"/>
        <v>0</v>
      </c>
    </row>
    <row r="61" spans="2:31" x14ac:dyDescent="0.2">
      <c r="B61" s="20" t="s">
        <v>378</v>
      </c>
      <c r="C61" s="140"/>
      <c r="D61" s="140"/>
      <c r="E61" s="146"/>
      <c r="F61" s="146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18" t="e">
        <f>((P61/G61)^(1/($H$2-$H$1) ))-1</f>
        <v>#DIV/0!</v>
      </c>
      <c r="R61" s="31">
        <v>0.1</v>
      </c>
      <c r="S61" s="154">
        <f t="shared" si="140"/>
        <v>0</v>
      </c>
      <c r="T61" s="154">
        <f t="shared" si="141"/>
        <v>0</v>
      </c>
      <c r="U61" s="154">
        <f t="shared" si="142"/>
        <v>0</v>
      </c>
      <c r="V61" s="154">
        <f t="shared" si="143"/>
        <v>0</v>
      </c>
      <c r="W61" s="154">
        <f t="shared" si="144"/>
        <v>0</v>
      </c>
      <c r="X61" s="154">
        <f t="shared" si="145"/>
        <v>0</v>
      </c>
      <c r="Y61" s="154">
        <f t="shared" si="146"/>
        <v>0</v>
      </c>
      <c r="Z61" s="154">
        <f t="shared" si="147"/>
        <v>0</v>
      </c>
      <c r="AA61" s="154">
        <f t="shared" si="148"/>
        <v>0</v>
      </c>
      <c r="AB61" s="154">
        <f t="shared" si="149"/>
        <v>0</v>
      </c>
      <c r="AC61" s="137" t="e">
        <f t="shared" si="150"/>
        <v>#DIV/0!</v>
      </c>
      <c r="AD61" s="31">
        <f t="shared" si="17"/>
        <v>0.05</v>
      </c>
      <c r="AE61" s="145">
        <f t="shared" si="151"/>
        <v>0</v>
      </c>
    </row>
    <row r="62" spans="2:31" x14ac:dyDescent="0.2">
      <c r="B62" s="20"/>
      <c r="C62" s="140"/>
      <c r="D62" s="140"/>
      <c r="E62" s="146"/>
      <c r="F62" s="146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3"/>
      <c r="R62" s="3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3"/>
      <c r="AD62" s="3"/>
      <c r="AE62" s="145"/>
    </row>
    <row r="63" spans="2:31" x14ac:dyDescent="0.2">
      <c r="B63" s="20" t="s">
        <v>279</v>
      </c>
      <c r="C63" s="140"/>
      <c r="D63" s="140"/>
      <c r="E63" s="146"/>
      <c r="F63" s="146"/>
      <c r="G63" s="170"/>
      <c r="H63" s="170"/>
      <c r="I63" s="170"/>
      <c r="J63" s="142"/>
      <c r="K63" s="142"/>
      <c r="L63" s="171"/>
      <c r="M63" s="171"/>
      <c r="N63" s="171"/>
      <c r="O63" s="171"/>
      <c r="P63" s="171"/>
      <c r="Q63" s="118" t="e">
        <f>((P63/G63)^(1/($H$2-$H$1) ))-1</f>
        <v>#DIV/0!</v>
      </c>
      <c r="R63" s="31">
        <f t="shared" si="6"/>
        <v>0.15</v>
      </c>
      <c r="S63" s="154">
        <f t="shared" ref="S63" si="152">P63*(1+$R63)</f>
        <v>0</v>
      </c>
      <c r="T63" s="154">
        <f t="shared" ref="T63" si="153">S63*(1+$R63)</f>
        <v>0</v>
      </c>
      <c r="U63" s="154">
        <f t="shared" ref="U63" si="154">T63*(1+$R63)</f>
        <v>0</v>
      </c>
      <c r="V63" s="154">
        <f t="shared" ref="V63" si="155">U63*(1+$R63)</f>
        <v>0</v>
      </c>
      <c r="W63" s="154">
        <f t="shared" si="57"/>
        <v>0</v>
      </c>
      <c r="X63" s="154">
        <f t="shared" si="58"/>
        <v>0</v>
      </c>
      <c r="Y63" s="154">
        <f t="shared" si="59"/>
        <v>0</v>
      </c>
      <c r="Z63" s="154">
        <f t="shared" si="60"/>
        <v>0</v>
      </c>
      <c r="AA63" s="154">
        <f t="shared" si="61"/>
        <v>0</v>
      </c>
      <c r="AB63" s="154">
        <f t="shared" si="62"/>
        <v>0</v>
      </c>
      <c r="AC63" s="137" t="e">
        <f t="shared" si="19"/>
        <v>#DIV/0!</v>
      </c>
      <c r="AD63" s="31">
        <f t="shared" si="17"/>
        <v>0.05</v>
      </c>
      <c r="AE63" s="145">
        <f t="shared" si="1"/>
        <v>0</v>
      </c>
    </row>
    <row r="64" spans="2:31" s="122" customFormat="1" x14ac:dyDescent="0.2">
      <c r="B64" s="23"/>
      <c r="C64" s="149"/>
      <c r="D64" s="149"/>
      <c r="E64" s="150"/>
      <c r="F64" s="150"/>
      <c r="G64" s="148" t="e">
        <f>(G63-F63)/G63</f>
        <v>#DIV/0!</v>
      </c>
      <c r="H64" s="148" t="e">
        <f>(H63-G63)/H63</f>
        <v>#DIV/0!</v>
      </c>
      <c r="I64" s="148" t="e">
        <f t="shared" ref="I64" si="156">(I63-H63)/I63</f>
        <v>#DIV/0!</v>
      </c>
      <c r="J64" s="148" t="e">
        <f t="shared" ref="J64" si="157">(J63-I63)/J63</f>
        <v>#DIV/0!</v>
      </c>
      <c r="K64" s="148" t="e">
        <f t="shared" ref="K64" si="158">(K63-J63)/K63</f>
        <v>#DIV/0!</v>
      </c>
      <c r="L64" s="148" t="e">
        <f t="shared" ref="L64" si="159">(L63-K63)/L63</f>
        <v>#DIV/0!</v>
      </c>
      <c r="M64" s="148" t="e">
        <f t="shared" ref="M64" si="160">(M63-L63)/M63</f>
        <v>#DIV/0!</v>
      </c>
      <c r="N64" s="148" t="e">
        <f t="shared" ref="N64" si="161">(N63-M63)/N63</f>
        <v>#DIV/0!</v>
      </c>
      <c r="O64" s="148" t="e">
        <f t="shared" ref="O64" si="162">(O63-N63)/O63</f>
        <v>#DIV/0!</v>
      </c>
      <c r="P64" s="148" t="e">
        <f t="shared" ref="P64" si="163">(P63-O63)/P63</f>
        <v>#DIV/0!</v>
      </c>
      <c r="Q64" s="127"/>
      <c r="R64" s="20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38"/>
      <c r="AD64" s="136"/>
      <c r="AE64" s="156"/>
    </row>
    <row r="65" spans="2:31" s="122" customFormat="1" x14ac:dyDescent="0.2">
      <c r="B65" s="173" t="s">
        <v>391</v>
      </c>
      <c r="C65" s="149"/>
      <c r="D65" s="149"/>
      <c r="E65" s="150"/>
      <c r="F65" s="150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18" t="e">
        <f>((P65/G65)^(1/($H$2-$H$1) ))-1</f>
        <v>#DIV/0!</v>
      </c>
      <c r="R65" s="31">
        <f t="shared" si="6"/>
        <v>0.15</v>
      </c>
      <c r="S65" s="154">
        <f t="shared" ref="S65" si="164">P65*(1+$R65)</f>
        <v>0</v>
      </c>
      <c r="T65" s="154">
        <f t="shared" ref="T65" si="165">S65*(1+$R65)</f>
        <v>0</v>
      </c>
      <c r="U65" s="154">
        <f t="shared" ref="U65" si="166">T65*(1+$R65)</f>
        <v>0</v>
      </c>
      <c r="V65" s="154">
        <f t="shared" ref="V65" si="167">U65*(1+$R65)</f>
        <v>0</v>
      </c>
      <c r="W65" s="154">
        <f t="shared" ref="W65" si="168">V65*(1+$R65)</f>
        <v>0</v>
      </c>
      <c r="X65" s="154">
        <f t="shared" ref="X65" si="169">W65*(1+$R65)</f>
        <v>0</v>
      </c>
      <c r="Y65" s="154">
        <f t="shared" ref="Y65" si="170">X65*(1+$R65)</f>
        <v>0</v>
      </c>
      <c r="Z65" s="154">
        <f t="shared" ref="Z65" si="171">Y65*(1+$R65)</f>
        <v>0</v>
      </c>
      <c r="AA65" s="154">
        <f t="shared" ref="AA65" si="172">Z65*(1+$R65)</f>
        <v>0</v>
      </c>
      <c r="AB65" s="154">
        <f t="shared" ref="AB65" si="173">AA65*(1+$R65)</f>
        <v>0</v>
      </c>
      <c r="AC65" s="137" t="e">
        <f t="shared" ref="AC65" si="174">((AB65/G65)^(1/($AB$3-$H$1) ))-1</f>
        <v>#DIV/0!</v>
      </c>
      <c r="AD65" s="31">
        <f t="shared" si="17"/>
        <v>0.05</v>
      </c>
      <c r="AE65" s="145">
        <f t="shared" ref="AE65" si="175">(AB65*(1+AD65))/($C$1-AD65)</f>
        <v>0</v>
      </c>
    </row>
    <row r="66" spans="2:31" s="122" customFormat="1" x14ac:dyDescent="0.2">
      <c r="B66" s="23"/>
      <c r="C66" s="149"/>
      <c r="D66" s="149"/>
      <c r="E66" s="150"/>
      <c r="F66" s="150"/>
      <c r="G66" s="148" t="e">
        <f>(G65-F65)/G65</f>
        <v>#DIV/0!</v>
      </c>
      <c r="H66" s="148" t="e">
        <f>(H65-G65)/H65</f>
        <v>#DIV/0!</v>
      </c>
      <c r="I66" s="148" t="e">
        <f t="shared" ref="I66" si="176">(I65-H65)/I65</f>
        <v>#DIV/0!</v>
      </c>
      <c r="J66" s="148" t="e">
        <f t="shared" ref="J66" si="177">(J65-I65)/J65</f>
        <v>#DIV/0!</v>
      </c>
      <c r="K66" s="148" t="e">
        <f t="shared" ref="K66" si="178">(K65-J65)/K65</f>
        <v>#DIV/0!</v>
      </c>
      <c r="L66" s="148" t="e">
        <f t="shared" ref="L66" si="179">(L65-K65)/L65</f>
        <v>#DIV/0!</v>
      </c>
      <c r="M66" s="148" t="e">
        <f t="shared" ref="M66" si="180">(M65-L65)/M65</f>
        <v>#DIV/0!</v>
      </c>
      <c r="N66" s="148" t="e">
        <f t="shared" ref="N66" si="181">(N65-M65)/N65</f>
        <v>#DIV/0!</v>
      </c>
      <c r="O66" s="148" t="e">
        <f t="shared" ref="O66" si="182">(O65-N65)/O65</f>
        <v>#DIV/0!</v>
      </c>
      <c r="P66" s="148" t="e">
        <f t="shared" ref="P66" si="183">(P65-O65)/P65</f>
        <v>#DIV/0!</v>
      </c>
      <c r="Q66" s="127"/>
      <c r="R66" s="20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38"/>
      <c r="AD66" s="136"/>
      <c r="AE66" s="156"/>
    </row>
    <row r="67" spans="2:31" x14ac:dyDescent="0.2">
      <c r="B67" s="20" t="s">
        <v>257</v>
      </c>
      <c r="C67" s="140"/>
      <c r="D67" s="140"/>
      <c r="E67" s="146"/>
      <c r="F67" s="146"/>
      <c r="G67" s="170">
        <v>200.4</v>
      </c>
      <c r="H67" s="170">
        <v>194</v>
      </c>
      <c r="I67" s="170">
        <v>529</v>
      </c>
      <c r="J67" s="142">
        <v>524</v>
      </c>
      <c r="K67" s="142">
        <v>958</v>
      </c>
      <c r="L67" s="171">
        <v>652</v>
      </c>
      <c r="M67" s="171">
        <v>1327</v>
      </c>
      <c r="N67" s="171">
        <v>1569</v>
      </c>
      <c r="O67" s="171">
        <v>1850</v>
      </c>
      <c r="P67" s="171">
        <v>2204</v>
      </c>
      <c r="Q67" s="118">
        <f>((P67/G67)^(1/($H$2-$H$1) ))-1</f>
        <v>0.30527356161185026</v>
      </c>
      <c r="R67" s="31">
        <f t="shared" si="6"/>
        <v>0.15</v>
      </c>
      <c r="S67" s="154">
        <f>P67*(1+$R67)</f>
        <v>2534.6</v>
      </c>
      <c r="T67" s="154">
        <f t="shared" ref="T67:AB67" si="184">S67*(1+$R67)</f>
        <v>2914.7899999999995</v>
      </c>
      <c r="U67" s="154">
        <f t="shared" si="184"/>
        <v>3352.008499999999</v>
      </c>
      <c r="V67" s="154">
        <f t="shared" si="184"/>
        <v>3854.8097749999984</v>
      </c>
      <c r="W67" s="154">
        <f t="shared" si="184"/>
        <v>4433.0312412499979</v>
      </c>
      <c r="X67" s="154">
        <f t="shared" si="184"/>
        <v>5097.9859274374976</v>
      </c>
      <c r="Y67" s="154">
        <f t="shared" si="184"/>
        <v>5862.6838165531217</v>
      </c>
      <c r="Z67" s="154">
        <f t="shared" si="184"/>
        <v>6742.0863890360897</v>
      </c>
      <c r="AA67" s="154">
        <f t="shared" si="184"/>
        <v>7753.3993473915025</v>
      </c>
      <c r="AB67" s="154">
        <f t="shared" si="184"/>
        <v>8916.4092495002278</v>
      </c>
      <c r="AC67" s="137">
        <f t="shared" si="19"/>
        <v>0.22110279436417879</v>
      </c>
      <c r="AD67" s="31">
        <f t="shared" si="17"/>
        <v>0.05</v>
      </c>
      <c r="AE67" s="145">
        <f t="shared" si="1"/>
        <v>55071.939482207301</v>
      </c>
    </row>
    <row r="68" spans="2:31" s="122" customFormat="1" x14ac:dyDescent="0.2">
      <c r="B68" s="23"/>
      <c r="C68" s="149"/>
      <c r="D68" s="149"/>
      <c r="E68" s="150"/>
      <c r="F68" s="150"/>
      <c r="G68" s="148">
        <f>(G67-F67)/G67</f>
        <v>1</v>
      </c>
      <c r="H68" s="148">
        <f>(H67-G67)/H67</f>
        <v>-3.2989690721649513E-2</v>
      </c>
      <c r="I68" s="148">
        <f t="shared" ref="I68" si="185">(I67-H67)/I67</f>
        <v>0.63327032136105865</v>
      </c>
      <c r="J68" s="148">
        <f t="shared" ref="J68" si="186">(J67-I67)/J67</f>
        <v>-9.5419847328244278E-3</v>
      </c>
      <c r="K68" s="148">
        <f t="shared" ref="K68" si="187">(K67-J67)/K67</f>
        <v>0.45302713987473903</v>
      </c>
      <c r="L68" s="148">
        <f t="shared" ref="L68" si="188">(L67-K67)/L67</f>
        <v>-0.46932515337423314</v>
      </c>
      <c r="M68" s="148">
        <f t="shared" ref="M68" si="189">(M67-L67)/M67</f>
        <v>0.50866616428033162</v>
      </c>
      <c r="N68" s="148">
        <f t="shared" ref="N68" si="190">(N67-M67)/N67</f>
        <v>0.15423836838750796</v>
      </c>
      <c r="O68" s="148">
        <f t="shared" ref="O68" si="191">(O67-N67)/O67</f>
        <v>0.15189189189189189</v>
      </c>
      <c r="P68" s="148">
        <f t="shared" ref="P68" si="192">(P67-O67)/P67</f>
        <v>0.16061705989110708</v>
      </c>
      <c r="Q68" s="127"/>
      <c r="R68" s="20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38"/>
      <c r="AD68" s="136"/>
      <c r="AE68" s="156"/>
    </row>
    <row r="69" spans="2:31" x14ac:dyDescent="0.2">
      <c r="B69" s="20" t="s">
        <v>239</v>
      </c>
      <c r="C69" s="141">
        <v>1</v>
      </c>
      <c r="D69" s="141">
        <v>1</v>
      </c>
      <c r="E69" s="142">
        <v>1</v>
      </c>
      <c r="F69" s="168">
        <v>5.95</v>
      </c>
      <c r="G69" s="170">
        <v>5.95</v>
      </c>
      <c r="H69" s="170">
        <v>12.33</v>
      </c>
      <c r="I69" s="170">
        <v>30.99</v>
      </c>
      <c r="J69" s="170">
        <v>32.61</v>
      </c>
      <c r="K69" s="142">
        <v>34.46</v>
      </c>
      <c r="L69" s="142">
        <v>34.56</v>
      </c>
      <c r="M69" s="171">
        <v>34.81</v>
      </c>
      <c r="N69" s="171">
        <v>73.686999999999998</v>
      </c>
      <c r="O69" s="171">
        <v>740.68899999999996</v>
      </c>
      <c r="P69" s="171">
        <v>74.66</v>
      </c>
      <c r="Q69" s="118">
        <f>((P69/G69)^(1/($H$2-$H$1) ))-1</f>
        <v>0.32453502412223623</v>
      </c>
      <c r="R69" s="31">
        <v>0.15</v>
      </c>
      <c r="S69" s="154">
        <f>P69*(1+$R69)</f>
        <v>85.858999999999995</v>
      </c>
      <c r="T69" s="154">
        <f t="shared" ref="T69:AB70" si="193">S69*(1+$R69)</f>
        <v>98.73784999999998</v>
      </c>
      <c r="U69" s="154">
        <f t="shared" si="193"/>
        <v>113.54852749999996</v>
      </c>
      <c r="V69" s="154">
        <f t="shared" si="193"/>
        <v>130.58080662499995</v>
      </c>
      <c r="W69" s="154">
        <f t="shared" si="193"/>
        <v>150.16792761874993</v>
      </c>
      <c r="X69" s="154">
        <f t="shared" si="193"/>
        <v>172.69311676156241</v>
      </c>
      <c r="Y69" s="154">
        <f t="shared" si="193"/>
        <v>198.59708427579676</v>
      </c>
      <c r="Z69" s="154">
        <f t="shared" si="193"/>
        <v>228.38664691716625</v>
      </c>
      <c r="AA69" s="154">
        <f t="shared" si="193"/>
        <v>262.64464395474118</v>
      </c>
      <c r="AB69" s="154">
        <f t="shared" si="193"/>
        <v>302.04134054795236</v>
      </c>
      <c r="AC69" s="137">
        <f t="shared" si="19"/>
        <v>0.22960539252473011</v>
      </c>
      <c r="AD69" s="31">
        <f t="shared" si="17"/>
        <v>0.05</v>
      </c>
      <c r="AE69" s="145">
        <f t="shared" si="1"/>
        <v>1865.5494563255884</v>
      </c>
    </row>
    <row r="70" spans="2:31" x14ac:dyDescent="0.2">
      <c r="B70" s="20" t="s">
        <v>379</v>
      </c>
      <c r="C70" s="146">
        <v>1</v>
      </c>
      <c r="D70" s="146">
        <v>1</v>
      </c>
      <c r="E70" s="146">
        <v>1</v>
      </c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18" t="e">
        <f>((P70/G70)^(1/($H$2-$H$1) ))-1</f>
        <v>#DIV/0!</v>
      </c>
      <c r="R70" s="31">
        <v>0.1</v>
      </c>
      <c r="S70" s="154">
        <f t="shared" ref="S70" si="194">P70*(1+$R70)</f>
        <v>0</v>
      </c>
      <c r="T70" s="154">
        <f t="shared" si="193"/>
        <v>0</v>
      </c>
      <c r="U70" s="154">
        <f t="shared" si="193"/>
        <v>0</v>
      </c>
      <c r="V70" s="154">
        <f t="shared" si="193"/>
        <v>0</v>
      </c>
      <c r="W70" s="154">
        <f t="shared" si="193"/>
        <v>0</v>
      </c>
      <c r="X70" s="154">
        <f t="shared" si="193"/>
        <v>0</v>
      </c>
      <c r="Y70" s="154">
        <f t="shared" si="193"/>
        <v>0</v>
      </c>
      <c r="Z70" s="154">
        <f t="shared" si="193"/>
        <v>0</v>
      </c>
      <c r="AA70" s="154">
        <f t="shared" si="193"/>
        <v>0</v>
      </c>
      <c r="AB70" s="154">
        <f t="shared" si="193"/>
        <v>0</v>
      </c>
      <c r="AC70" s="137" t="e">
        <f t="shared" si="19"/>
        <v>#DIV/0!</v>
      </c>
      <c r="AD70" s="31">
        <v>0.08</v>
      </c>
      <c r="AE70" s="145">
        <f t="shared" si="1"/>
        <v>0</v>
      </c>
    </row>
    <row r="71" spans="2:31" x14ac:dyDescent="0.2">
      <c r="B71" s="20" t="s">
        <v>283</v>
      </c>
      <c r="C71" s="144">
        <v>1</v>
      </c>
      <c r="D71" s="144">
        <v>1</v>
      </c>
      <c r="E71" s="168">
        <v>1</v>
      </c>
      <c r="F71" s="168"/>
      <c r="G71" s="168">
        <v>2.4</v>
      </c>
      <c r="H71" s="168">
        <v>1.25</v>
      </c>
      <c r="I71" s="168">
        <v>0.6</v>
      </c>
      <c r="J71" s="168">
        <v>0.7</v>
      </c>
      <c r="K71" s="168">
        <v>0.75</v>
      </c>
      <c r="L71" s="168">
        <v>0.75</v>
      </c>
      <c r="M71" s="168">
        <v>0.85</v>
      </c>
      <c r="N71" s="168">
        <v>0.5</v>
      </c>
      <c r="O71" s="168">
        <v>0.6</v>
      </c>
      <c r="P71" s="168">
        <v>0.7</v>
      </c>
      <c r="Q71" s="118">
        <f>((P71/G71)^(1/($H$2-$H$1) ))-1</f>
        <v>-0.12794680498564115</v>
      </c>
      <c r="R71" s="31">
        <v>0.05</v>
      </c>
      <c r="S71" s="154">
        <f t="shared" ref="S71" si="195">P71*(1+$R71)</f>
        <v>0.73499999999999999</v>
      </c>
      <c r="T71" s="154">
        <f t="shared" ref="T71" si="196">S71*(1+$R71)</f>
        <v>0.77175000000000005</v>
      </c>
      <c r="U71" s="154">
        <f t="shared" ref="U71" si="197">T71*(1+$R71)</f>
        <v>0.81033750000000004</v>
      </c>
      <c r="V71" s="154">
        <f t="shared" ref="V71" si="198">U71*(1+$R71)</f>
        <v>0.85085437500000005</v>
      </c>
      <c r="W71" s="154">
        <f t="shared" ref="W71" si="199">V71*(1+$R71)</f>
        <v>0.89339709375000009</v>
      </c>
      <c r="X71" s="154">
        <f t="shared" ref="X71" si="200">W71*(1+$R71)</f>
        <v>0.93806694843750016</v>
      </c>
      <c r="Y71" s="154">
        <f t="shared" ref="Y71" si="201">X71*(1+$R71)</f>
        <v>0.98497029585937523</v>
      </c>
      <c r="Z71" s="154">
        <f t="shared" ref="Z71" si="202">Y71*(1+$R71)</f>
        <v>1.034218810652344</v>
      </c>
      <c r="AA71" s="154">
        <f t="shared" ref="AA71" si="203">Z71*(1+$R71)</f>
        <v>1.0859297511849613</v>
      </c>
      <c r="AB71" s="154">
        <f t="shared" ref="AB71" si="204">AA71*(1+$R71)</f>
        <v>1.1402262387442095</v>
      </c>
      <c r="AC71" s="137">
        <f t="shared" ref="AC71" si="205">((AB71/G71)^(1/($AB$3-$H$1) ))-1</f>
        <v>-3.8413383899797204E-2</v>
      </c>
      <c r="AD71" s="31">
        <f t="shared" si="17"/>
        <v>0.05</v>
      </c>
      <c r="AE71" s="145">
        <f t="shared" si="1"/>
        <v>7.0425738275377645</v>
      </c>
    </row>
    <row r="72" spans="2:31" x14ac:dyDescent="0.2">
      <c r="B72" s="20"/>
      <c r="C72" s="20"/>
      <c r="D72" s="20"/>
      <c r="E72" s="126"/>
      <c r="F72" s="126"/>
      <c r="G72" s="126"/>
      <c r="H72" s="20"/>
      <c r="I72" s="20"/>
      <c r="J72" s="20"/>
      <c r="K72" s="20"/>
      <c r="L72" s="20"/>
      <c r="M72" s="20"/>
      <c r="N72" s="20"/>
      <c r="O72" s="20"/>
      <c r="P72" s="20"/>
      <c r="Q72" s="127"/>
      <c r="R72" s="127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38"/>
      <c r="AD72" s="136"/>
      <c r="AE72" s="154"/>
    </row>
    <row r="73" spans="2:31" x14ac:dyDescent="0.2">
      <c r="B73" s="108" t="s">
        <v>243</v>
      </c>
      <c r="C73" s="20"/>
      <c r="D73" s="20"/>
      <c r="E73" s="126"/>
      <c r="F73" s="126"/>
      <c r="G73" s="126"/>
      <c r="H73" s="20"/>
      <c r="I73" s="20"/>
      <c r="J73" s="20"/>
      <c r="K73" s="20"/>
      <c r="L73" s="20"/>
      <c r="M73" s="20"/>
      <c r="N73" s="20"/>
      <c r="O73" s="20"/>
      <c r="P73" s="20"/>
      <c r="Q73" s="127"/>
      <c r="R73" s="127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38"/>
      <c r="AD73" s="136"/>
      <c r="AE73" s="154"/>
    </row>
    <row r="74" spans="2:31" x14ac:dyDescent="0.2">
      <c r="B74" s="20" t="s">
        <v>304</v>
      </c>
      <c r="C74" s="132">
        <f t="shared" ref="C74:P74" si="206">C45/C69</f>
        <v>0</v>
      </c>
      <c r="D74" s="132">
        <f t="shared" si="206"/>
        <v>0</v>
      </c>
      <c r="E74" s="132">
        <f t="shared" si="206"/>
        <v>0</v>
      </c>
      <c r="F74" s="132">
        <f t="shared" si="206"/>
        <v>0</v>
      </c>
      <c r="G74" s="132">
        <f t="shared" si="206"/>
        <v>195.63025210084032</v>
      </c>
      <c r="H74" s="132">
        <f t="shared" si="206"/>
        <v>142.09245742092457</v>
      </c>
      <c r="I74" s="132">
        <f t="shared" si="206"/>
        <v>96.289125524362703</v>
      </c>
      <c r="J74" s="132">
        <f t="shared" si="206"/>
        <v>132.9346826126955</v>
      </c>
      <c r="K74" s="132">
        <f t="shared" si="206"/>
        <v>222.78003482298317</v>
      </c>
      <c r="L74" s="132">
        <f t="shared" si="206"/>
        <v>207.78356481481481</v>
      </c>
      <c r="M74" s="132">
        <f t="shared" si="206"/>
        <v>267.59551852915826</v>
      </c>
      <c r="N74" s="132">
        <f t="shared" si="206"/>
        <v>150.12145968759754</v>
      </c>
      <c r="O74" s="132">
        <f t="shared" si="206"/>
        <v>17.568777179085959</v>
      </c>
      <c r="P74" s="132">
        <f t="shared" si="206"/>
        <v>213.63514599517816</v>
      </c>
      <c r="Q74" s="118">
        <f>((P74/G74)^(1/($H$2-$H$1) ))-1</f>
        <v>9.830586520783946E-3</v>
      </c>
      <c r="R74" s="127"/>
      <c r="S74" s="158">
        <f t="shared" ref="S74:AB74" si="207">S45/S69</f>
        <v>213.63514599517816</v>
      </c>
      <c r="T74" s="158">
        <f t="shared" si="207"/>
        <v>213.63514599517819</v>
      </c>
      <c r="U74" s="158">
        <f t="shared" si="207"/>
        <v>213.63514599517819</v>
      </c>
      <c r="V74" s="158">
        <f t="shared" si="207"/>
        <v>213.63514599517819</v>
      </c>
      <c r="W74" s="158">
        <f t="shared" si="207"/>
        <v>213.63514599517822</v>
      </c>
      <c r="X74" s="158">
        <f t="shared" si="207"/>
        <v>213.63514599517822</v>
      </c>
      <c r="Y74" s="158">
        <f t="shared" si="207"/>
        <v>213.63514599517822</v>
      </c>
      <c r="Z74" s="158">
        <f t="shared" si="207"/>
        <v>213.63514599517822</v>
      </c>
      <c r="AA74" s="158">
        <f t="shared" si="207"/>
        <v>213.63514599517822</v>
      </c>
      <c r="AB74" s="158">
        <f t="shared" si="207"/>
        <v>213.63514599517819</v>
      </c>
      <c r="AC74" s="137">
        <f t="shared" ref="AC74" si="208">((AB74/G74)^(1/($AB$3-$H$1) ))-1</f>
        <v>4.6446069037746618E-3</v>
      </c>
      <c r="AD74" s="31">
        <f t="shared" si="17"/>
        <v>0.05</v>
      </c>
      <c r="AE74" s="145">
        <f t="shared" ref="AE74" si="209">(AB74*(1+AD74))/($C$1-AD74)</f>
        <v>1319.5111958525713</v>
      </c>
    </row>
    <row r="75" spans="2:31" x14ac:dyDescent="0.2">
      <c r="B75" s="20" t="s">
        <v>305</v>
      </c>
      <c r="C75" s="132">
        <f t="shared" ref="C75:P75" si="210">C47/C69</f>
        <v>0</v>
      </c>
      <c r="D75" s="132">
        <f t="shared" si="210"/>
        <v>0</v>
      </c>
      <c r="E75" s="132">
        <f t="shared" si="210"/>
        <v>0</v>
      </c>
      <c r="F75" s="132">
        <f t="shared" si="210"/>
        <v>0</v>
      </c>
      <c r="G75" s="132">
        <f t="shared" si="210"/>
        <v>162.01680672268907</v>
      </c>
      <c r="H75" s="132">
        <f t="shared" si="210"/>
        <v>126.35847526358475</v>
      </c>
      <c r="I75" s="132">
        <f t="shared" si="210"/>
        <v>79.219102936431113</v>
      </c>
      <c r="J75" s="132">
        <f t="shared" si="210"/>
        <v>116.83532658693653</v>
      </c>
      <c r="K75" s="132">
        <f t="shared" si="210"/>
        <v>194.95066744051073</v>
      </c>
      <c r="L75" s="132">
        <f t="shared" si="210"/>
        <v>188.88888888888889</v>
      </c>
      <c r="M75" s="132">
        <f t="shared" si="210"/>
        <v>229.44556162022405</v>
      </c>
      <c r="N75" s="132">
        <f t="shared" si="210"/>
        <v>128.82869434228562</v>
      </c>
      <c r="O75" s="132">
        <f t="shared" si="210"/>
        <v>15.07110271652475</v>
      </c>
      <c r="P75" s="132">
        <f t="shared" si="210"/>
        <v>184.11465309402627</v>
      </c>
      <c r="Q75" s="118">
        <f>((P75/G75)^(1/($H$2-$H$1) ))-1</f>
        <v>1.4307903517677412E-2</v>
      </c>
      <c r="R75" s="127"/>
      <c r="S75" s="158">
        <f t="shared" ref="S75:AB75" si="211">S47/S69</f>
        <v>184.11465309402627</v>
      </c>
      <c r="T75" s="158">
        <f t="shared" si="211"/>
        <v>184.11465309402627</v>
      </c>
      <c r="U75" s="158">
        <f t="shared" si="211"/>
        <v>184.11465309402627</v>
      </c>
      <c r="V75" s="158">
        <f t="shared" si="211"/>
        <v>184.11465309402627</v>
      </c>
      <c r="W75" s="158">
        <f t="shared" si="211"/>
        <v>184.11465309402627</v>
      </c>
      <c r="X75" s="158">
        <f t="shared" si="211"/>
        <v>184.11465309402627</v>
      </c>
      <c r="Y75" s="158">
        <f t="shared" si="211"/>
        <v>184.11465309402624</v>
      </c>
      <c r="Z75" s="158">
        <f t="shared" si="211"/>
        <v>184.11465309402627</v>
      </c>
      <c r="AA75" s="158">
        <f t="shared" si="211"/>
        <v>184.11465309402624</v>
      </c>
      <c r="AB75" s="158">
        <f t="shared" si="211"/>
        <v>184.11465309402621</v>
      </c>
      <c r="AC75" s="137">
        <f t="shared" ref="AC75" si="212">((AB75/G75)^(1/($AB$3-$H$1) ))-1</f>
        <v>6.7520934541815958E-3</v>
      </c>
      <c r="AD75" s="31">
        <f t="shared" si="17"/>
        <v>0.05</v>
      </c>
      <c r="AE75" s="145">
        <f t="shared" ref="AE75" si="213">(AB75*(1+AD75))/($C$1-AD75)</f>
        <v>1137.1787396983973</v>
      </c>
    </row>
    <row r="76" spans="2:31" x14ac:dyDescent="0.2">
      <c r="B76" s="20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27"/>
      <c r="R76" s="127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19"/>
      <c r="AD76" s="136"/>
      <c r="AE76" s="145"/>
    </row>
    <row r="77" spans="2:31" x14ac:dyDescent="0.2">
      <c r="B77" s="20" t="s">
        <v>258</v>
      </c>
      <c r="C77" s="25">
        <f t="shared" ref="C77:P77" si="214">C67/C69</f>
        <v>0</v>
      </c>
      <c r="D77" s="25">
        <f t="shared" si="214"/>
        <v>0</v>
      </c>
      <c r="E77" s="25">
        <f t="shared" si="214"/>
        <v>0</v>
      </c>
      <c r="F77" s="132">
        <f t="shared" si="214"/>
        <v>0</v>
      </c>
      <c r="G77" s="132">
        <f t="shared" si="214"/>
        <v>33.680672268907564</v>
      </c>
      <c r="H77" s="132">
        <f t="shared" si="214"/>
        <v>15.733982157339822</v>
      </c>
      <c r="I77" s="132">
        <f t="shared" si="214"/>
        <v>17.070022587931593</v>
      </c>
      <c r="J77" s="132">
        <f t="shared" si="214"/>
        <v>16.068690585709906</v>
      </c>
      <c r="K77" s="132">
        <f t="shared" si="214"/>
        <v>27.800348229831688</v>
      </c>
      <c r="L77" s="132">
        <f t="shared" si="214"/>
        <v>18.86574074074074</v>
      </c>
      <c r="M77" s="132">
        <f t="shared" si="214"/>
        <v>38.121229531743751</v>
      </c>
      <c r="N77" s="132">
        <f t="shared" si="214"/>
        <v>21.292765345311928</v>
      </c>
      <c r="O77" s="132">
        <f t="shared" si="214"/>
        <v>2.4976744625612102</v>
      </c>
      <c r="P77" s="132">
        <f t="shared" si="214"/>
        <v>29.52049290115189</v>
      </c>
      <c r="Q77" s="118">
        <f>((P77/G77)^(1/($H$2-$H$1) ))-1</f>
        <v>-1.4542056011807247E-2</v>
      </c>
      <c r="R77" s="127"/>
      <c r="S77" s="158">
        <f t="shared" ref="S77:AB77" si="215">S67/S69</f>
        <v>29.52049290115189</v>
      </c>
      <c r="T77" s="158">
        <f t="shared" si="215"/>
        <v>29.52049290115189</v>
      </c>
      <c r="U77" s="158">
        <f t="shared" si="215"/>
        <v>29.52049290115189</v>
      </c>
      <c r="V77" s="158">
        <f t="shared" si="215"/>
        <v>29.520492901151886</v>
      </c>
      <c r="W77" s="158">
        <f t="shared" si="215"/>
        <v>29.52049290115189</v>
      </c>
      <c r="X77" s="158">
        <f t="shared" si="215"/>
        <v>29.52049290115189</v>
      </c>
      <c r="Y77" s="158">
        <f t="shared" si="215"/>
        <v>29.52049290115189</v>
      </c>
      <c r="Z77" s="158">
        <f t="shared" si="215"/>
        <v>29.52049290115189</v>
      </c>
      <c r="AA77" s="158">
        <f t="shared" si="215"/>
        <v>29.52049290115189</v>
      </c>
      <c r="AB77" s="158">
        <f t="shared" si="215"/>
        <v>29.52049290115189</v>
      </c>
      <c r="AC77" s="137">
        <f t="shared" ref="AC77:AC90" si="216">((AB77/G77)^(1/($AB$3-$H$1) ))-1</f>
        <v>-6.9148998631937131E-3</v>
      </c>
      <c r="AD77" s="31">
        <f t="shared" si="17"/>
        <v>0.05</v>
      </c>
      <c r="AE77" s="145">
        <f t="shared" ref="AE77:AE104" si="217">(AB77*(1+AD77))/($C$1-AD77)</f>
        <v>182.33245615417346</v>
      </c>
    </row>
    <row r="78" spans="2:31" x14ac:dyDescent="0.2">
      <c r="B78" s="20" t="s">
        <v>245</v>
      </c>
      <c r="C78" s="25">
        <f t="shared" ref="C78:P78" si="218">C7/C69</f>
        <v>0</v>
      </c>
      <c r="D78" s="25">
        <f t="shared" si="218"/>
        <v>0</v>
      </c>
      <c r="E78" s="25">
        <f t="shared" si="218"/>
        <v>0</v>
      </c>
      <c r="F78" s="132">
        <f t="shared" si="218"/>
        <v>0</v>
      </c>
      <c r="G78" s="132">
        <f t="shared" si="218"/>
        <v>207.73109243697479</v>
      </c>
      <c r="H78" s="132">
        <f t="shared" si="218"/>
        <v>119.38361719383617</v>
      </c>
      <c r="I78" s="132">
        <f t="shared" si="218"/>
        <v>72.862213617295907</v>
      </c>
      <c r="J78" s="132">
        <f t="shared" si="218"/>
        <v>100</v>
      </c>
      <c r="K78" s="132">
        <f t="shared" si="218"/>
        <v>170.69065583284967</v>
      </c>
      <c r="L78" s="132">
        <f t="shared" si="218"/>
        <v>191.37731481481481</v>
      </c>
      <c r="M78" s="132">
        <f t="shared" si="218"/>
        <v>228.81355932203388</v>
      </c>
      <c r="N78" s="132">
        <f t="shared" si="218"/>
        <v>149.26649205422939</v>
      </c>
      <c r="O78" s="132">
        <f t="shared" si="218"/>
        <v>17.463469823367163</v>
      </c>
      <c r="P78" s="132">
        <f t="shared" si="218"/>
        <v>204.48700776855077</v>
      </c>
      <c r="Q78" s="118">
        <f>((P78/G78)^(1/($H$2-$H$1) ))-1</f>
        <v>-1.7473578883357987E-3</v>
      </c>
      <c r="R78" s="127"/>
      <c r="S78" s="158">
        <f t="shared" ref="S78:AB78" si="219">S7/S69</f>
        <v>204.48700776855077</v>
      </c>
      <c r="T78" s="158">
        <f t="shared" si="219"/>
        <v>204.4870077685508</v>
      </c>
      <c r="U78" s="158">
        <f t="shared" si="219"/>
        <v>204.4870077685508</v>
      </c>
      <c r="V78" s="158">
        <f t="shared" si="219"/>
        <v>204.4870077685508</v>
      </c>
      <c r="W78" s="158">
        <f t="shared" si="219"/>
        <v>204.4870077685508</v>
      </c>
      <c r="X78" s="158">
        <f t="shared" si="219"/>
        <v>204.4870077685508</v>
      </c>
      <c r="Y78" s="158">
        <f t="shared" si="219"/>
        <v>204.4870077685508</v>
      </c>
      <c r="Z78" s="158">
        <f t="shared" si="219"/>
        <v>204.4870077685508</v>
      </c>
      <c r="AA78" s="158">
        <f t="shared" si="219"/>
        <v>204.4870077685508</v>
      </c>
      <c r="AB78" s="158">
        <f t="shared" si="219"/>
        <v>204.48700776855077</v>
      </c>
      <c r="AC78" s="137">
        <f t="shared" si="216"/>
        <v>-8.2807678079910296E-4</v>
      </c>
      <c r="AD78" s="31">
        <f t="shared" si="17"/>
        <v>0.05</v>
      </c>
      <c r="AE78" s="145">
        <f t="shared" si="217"/>
        <v>1263.0079891586961</v>
      </c>
    </row>
    <row r="79" spans="2:31" x14ac:dyDescent="0.2">
      <c r="B79" s="20" t="s">
        <v>246</v>
      </c>
      <c r="C79" s="126">
        <f t="shared" ref="C79:P79" si="220">C6/C69</f>
        <v>0</v>
      </c>
      <c r="D79" s="126">
        <f t="shared" si="220"/>
        <v>0</v>
      </c>
      <c r="E79" s="126">
        <f t="shared" si="220"/>
        <v>0</v>
      </c>
      <c r="F79" s="143">
        <f t="shared" si="220"/>
        <v>0</v>
      </c>
      <c r="G79" s="143">
        <f t="shared" si="220"/>
        <v>197.64705882352939</v>
      </c>
      <c r="H79" s="143">
        <f t="shared" si="220"/>
        <v>108.9213300892133</v>
      </c>
      <c r="I79" s="143">
        <f t="shared" si="220"/>
        <v>62.891255243626979</v>
      </c>
      <c r="J79" s="143">
        <f t="shared" si="220"/>
        <v>90.003066544004909</v>
      </c>
      <c r="K79" s="143">
        <f t="shared" si="220"/>
        <v>158.9959373186303</v>
      </c>
      <c r="L79" s="143">
        <f t="shared" si="220"/>
        <v>181.36574074074073</v>
      </c>
      <c r="M79" s="143">
        <f t="shared" si="220"/>
        <v>218.81643205975294</v>
      </c>
      <c r="N79" s="143">
        <f t="shared" si="220"/>
        <v>143.77027155400546</v>
      </c>
      <c r="O79" s="143">
        <f t="shared" si="220"/>
        <v>16.916681630211873</v>
      </c>
      <c r="P79" s="143">
        <f t="shared" si="220"/>
        <v>199.24993302973482</v>
      </c>
      <c r="Q79" s="118">
        <f>((P79/G79)^(1/($H$2-$H$1) ))-1</f>
        <v>8.9785534850750359E-4</v>
      </c>
      <c r="R79" s="127"/>
      <c r="S79" s="157">
        <f t="shared" ref="S79:AB79" si="221">S6/S69</f>
        <v>199.24993302973479</v>
      </c>
      <c r="T79" s="157">
        <f t="shared" si="221"/>
        <v>199.24993302973479</v>
      </c>
      <c r="U79" s="157">
        <f t="shared" si="221"/>
        <v>199.24993302973479</v>
      </c>
      <c r="V79" s="157">
        <f t="shared" si="221"/>
        <v>199.24993302973479</v>
      </c>
      <c r="W79" s="157">
        <f t="shared" si="221"/>
        <v>199.24993302973479</v>
      </c>
      <c r="X79" s="157">
        <f t="shared" si="221"/>
        <v>199.24993302973482</v>
      </c>
      <c r="Y79" s="157">
        <f t="shared" si="221"/>
        <v>199.24993302973482</v>
      </c>
      <c r="Z79" s="157">
        <f t="shared" si="221"/>
        <v>199.24993302973482</v>
      </c>
      <c r="AA79" s="157">
        <f t="shared" si="221"/>
        <v>199.24993302973482</v>
      </c>
      <c r="AB79" s="157">
        <f t="shared" si="221"/>
        <v>199.24993302973479</v>
      </c>
      <c r="AC79" s="137">
        <f t="shared" si="216"/>
        <v>4.2519945890973077E-4</v>
      </c>
      <c r="AD79" s="31">
        <f t="shared" si="17"/>
        <v>0.05</v>
      </c>
      <c r="AE79" s="145">
        <f t="shared" si="217"/>
        <v>1230.6613510660093</v>
      </c>
    </row>
    <row r="80" spans="2:31" x14ac:dyDescent="0.2">
      <c r="B80" s="20" t="s">
        <v>247</v>
      </c>
      <c r="C80" s="126">
        <f t="shared" ref="C80:P80" si="222">C10/C69</f>
        <v>0</v>
      </c>
      <c r="D80" s="126">
        <f t="shared" si="222"/>
        <v>0</v>
      </c>
      <c r="E80" s="126">
        <f t="shared" si="222"/>
        <v>0</v>
      </c>
      <c r="F80" s="143">
        <f t="shared" si="222"/>
        <v>0</v>
      </c>
      <c r="G80" s="143">
        <f t="shared" si="222"/>
        <v>1230.9243697478992</v>
      </c>
      <c r="H80" s="143">
        <f t="shared" si="222"/>
        <v>612.81427412814276</v>
      </c>
      <c r="I80" s="143">
        <f t="shared" si="222"/>
        <v>368.31235882542757</v>
      </c>
      <c r="J80" s="143">
        <f t="shared" si="222"/>
        <v>602.45323520392515</v>
      </c>
      <c r="K80" s="143">
        <f t="shared" si="222"/>
        <v>767.96285548461981</v>
      </c>
      <c r="L80" s="143">
        <f t="shared" si="222"/>
        <v>719.96527777777771</v>
      </c>
      <c r="M80" s="143">
        <f t="shared" si="222"/>
        <v>1025.6822752082735</v>
      </c>
      <c r="N80" s="143">
        <f t="shared" si="222"/>
        <v>670.2131990717495</v>
      </c>
      <c r="O80" s="143">
        <f t="shared" si="222"/>
        <v>88.640441534841216</v>
      </c>
      <c r="P80" s="143">
        <f t="shared" si="222"/>
        <v>1159.4026252343961</v>
      </c>
      <c r="Q80" s="118">
        <f>((P80/G80)^(1/($H$2-$H$1) ))-1</f>
        <v>-6.6290980534164934E-3</v>
      </c>
      <c r="R80" s="127"/>
      <c r="S80" s="157">
        <f t="shared" ref="S80:AB80" si="223">S10/S69</f>
        <v>1159.4026252343958</v>
      </c>
      <c r="T80" s="157">
        <f t="shared" si="223"/>
        <v>1159.4026252343961</v>
      </c>
      <c r="U80" s="157">
        <f t="shared" si="223"/>
        <v>1159.4026252343961</v>
      </c>
      <c r="V80" s="157">
        <f t="shared" si="223"/>
        <v>1159.4026252343958</v>
      </c>
      <c r="W80" s="157">
        <f t="shared" si="223"/>
        <v>1159.4026252343961</v>
      </c>
      <c r="X80" s="157">
        <f t="shared" si="223"/>
        <v>1159.4026252343961</v>
      </c>
      <c r="Y80" s="157">
        <f t="shared" si="223"/>
        <v>1159.4026252343961</v>
      </c>
      <c r="Z80" s="157">
        <f t="shared" si="223"/>
        <v>1159.4026252343961</v>
      </c>
      <c r="AA80" s="157">
        <f t="shared" si="223"/>
        <v>1159.4026252343958</v>
      </c>
      <c r="AB80" s="157">
        <f t="shared" si="223"/>
        <v>1159.4026252343956</v>
      </c>
      <c r="AC80" s="137">
        <f t="shared" si="216"/>
        <v>-3.1455955321950668E-3</v>
      </c>
      <c r="AD80" s="31">
        <f t="shared" si="17"/>
        <v>0.05</v>
      </c>
      <c r="AE80" s="145">
        <f t="shared" si="217"/>
        <v>7161.0162146830326</v>
      </c>
    </row>
    <row r="81" spans="2:31" x14ac:dyDescent="0.2">
      <c r="B81" s="20"/>
      <c r="C81" s="126"/>
      <c r="D81" s="126"/>
      <c r="E81" s="126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27"/>
      <c r="R81" s="12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38"/>
      <c r="AD81" s="136"/>
      <c r="AE81" s="145"/>
    </row>
    <row r="82" spans="2:31" x14ac:dyDescent="0.2">
      <c r="B82" s="20" t="s">
        <v>271</v>
      </c>
      <c r="C82" s="126">
        <f t="shared" ref="C82:P82" si="224">(C7-C10)/C69</f>
        <v>0</v>
      </c>
      <c r="D82" s="126">
        <f t="shared" si="224"/>
        <v>0</v>
      </c>
      <c r="E82" s="126">
        <f t="shared" si="224"/>
        <v>0</v>
      </c>
      <c r="F82" s="143">
        <f t="shared" si="224"/>
        <v>0</v>
      </c>
      <c r="G82" s="143">
        <f t="shared" si="224"/>
        <v>-1023.1932773109244</v>
      </c>
      <c r="H82" s="143">
        <f t="shared" si="224"/>
        <v>-493.43065693430657</v>
      </c>
      <c r="I82" s="143">
        <f t="shared" si="224"/>
        <v>-295.45014520813169</v>
      </c>
      <c r="J82" s="143">
        <f t="shared" si="224"/>
        <v>-502.4532352039252</v>
      </c>
      <c r="K82" s="143">
        <f t="shared" si="224"/>
        <v>-597.27219965177017</v>
      </c>
      <c r="L82" s="143">
        <f t="shared" si="224"/>
        <v>-528.58796296296293</v>
      </c>
      <c r="M82" s="143">
        <f t="shared" si="224"/>
        <v>-796.86871588623956</v>
      </c>
      <c r="N82" s="143">
        <f t="shared" si="224"/>
        <v>-520.94670701752011</v>
      </c>
      <c r="O82" s="143">
        <f t="shared" si="224"/>
        <v>-71.176971711474053</v>
      </c>
      <c r="P82" s="143">
        <f t="shared" si="224"/>
        <v>-954.91561746584523</v>
      </c>
      <c r="Q82" s="118">
        <f>((P82/G82)^(1/($H$2-$H$1) ))-1</f>
        <v>-7.6440458806814604E-3</v>
      </c>
      <c r="R82" s="127"/>
      <c r="S82" s="157">
        <f t="shared" ref="S82:AB82" si="225">(S7-S10)/S69</f>
        <v>-954.91561746584512</v>
      </c>
      <c r="T82" s="157">
        <f t="shared" si="225"/>
        <v>-954.91561746584523</v>
      </c>
      <c r="U82" s="157">
        <f t="shared" si="225"/>
        <v>-954.91561746584523</v>
      </c>
      <c r="V82" s="157">
        <f t="shared" si="225"/>
        <v>-954.91561746584512</v>
      </c>
      <c r="W82" s="157">
        <f t="shared" si="225"/>
        <v>-954.91561746584523</v>
      </c>
      <c r="X82" s="157">
        <f t="shared" si="225"/>
        <v>-954.91561746584523</v>
      </c>
      <c r="Y82" s="157">
        <f t="shared" si="225"/>
        <v>-954.91561746584523</v>
      </c>
      <c r="Z82" s="157">
        <f t="shared" si="225"/>
        <v>-954.91561746584523</v>
      </c>
      <c r="AA82" s="157">
        <f t="shared" si="225"/>
        <v>-954.91561746584512</v>
      </c>
      <c r="AB82" s="157">
        <f t="shared" si="225"/>
        <v>-954.91561746584489</v>
      </c>
      <c r="AC82" s="137">
        <f t="shared" si="216"/>
        <v>-3.6281759997538465E-3</v>
      </c>
      <c r="AD82" s="31">
        <f t="shared" si="17"/>
        <v>0.05</v>
      </c>
      <c r="AE82" s="145">
        <f t="shared" si="217"/>
        <v>-5898.0082255243369</v>
      </c>
    </row>
    <row r="83" spans="2:31" x14ac:dyDescent="0.2">
      <c r="B83" s="20" t="s">
        <v>272</v>
      </c>
      <c r="C83" s="126">
        <f t="shared" ref="C83:P83" si="226">(C7-C10-C9)/C69</f>
        <v>0</v>
      </c>
      <c r="D83" s="126">
        <f t="shared" si="226"/>
        <v>0</v>
      </c>
      <c r="E83" s="126">
        <f t="shared" si="226"/>
        <v>0</v>
      </c>
      <c r="F83" s="143">
        <f t="shared" si="226"/>
        <v>0</v>
      </c>
      <c r="G83" s="143">
        <f t="shared" si="226"/>
        <v>-1023.1932773109244</v>
      </c>
      <c r="H83" s="143">
        <f t="shared" si="226"/>
        <v>-493.43065693430657</v>
      </c>
      <c r="I83" s="143">
        <f t="shared" si="226"/>
        <v>-295.45014520813169</v>
      </c>
      <c r="J83" s="143">
        <f t="shared" si="226"/>
        <v>-502.4532352039252</v>
      </c>
      <c r="K83" s="143">
        <f t="shared" si="226"/>
        <v>-597.27219965177017</v>
      </c>
      <c r="L83" s="143">
        <f t="shared" si="226"/>
        <v>-528.58796296296293</v>
      </c>
      <c r="M83" s="143">
        <f t="shared" si="226"/>
        <v>-796.86871588623956</v>
      </c>
      <c r="N83" s="143">
        <f t="shared" si="226"/>
        <v>-520.94670701752011</v>
      </c>
      <c r="O83" s="143">
        <f t="shared" si="226"/>
        <v>-71.176971711474053</v>
      </c>
      <c r="P83" s="143">
        <f t="shared" si="226"/>
        <v>-954.91561746584523</v>
      </c>
      <c r="Q83" s="118">
        <f>((P83/G83)^(1/($H$2-$H$1) ))-1</f>
        <v>-7.6440458806814604E-3</v>
      </c>
      <c r="R83" s="127"/>
      <c r="S83" s="157">
        <f t="shared" ref="S83:AB83" si="227">(S7-S10-S9)/S69</f>
        <v>-954.91561746584512</v>
      </c>
      <c r="T83" s="157">
        <f t="shared" si="227"/>
        <v>-954.91561746584523</v>
      </c>
      <c r="U83" s="157">
        <f t="shared" si="227"/>
        <v>-954.91561746584523</v>
      </c>
      <c r="V83" s="157">
        <f t="shared" si="227"/>
        <v>-954.91561746584512</v>
      </c>
      <c r="W83" s="157">
        <f t="shared" si="227"/>
        <v>-954.91561746584523</v>
      </c>
      <c r="X83" s="157">
        <f t="shared" si="227"/>
        <v>-954.91561746584523</v>
      </c>
      <c r="Y83" s="157">
        <f t="shared" si="227"/>
        <v>-954.91561746584523</v>
      </c>
      <c r="Z83" s="157">
        <f t="shared" si="227"/>
        <v>-954.91561746584523</v>
      </c>
      <c r="AA83" s="157">
        <f t="shared" si="227"/>
        <v>-954.91561746584512</v>
      </c>
      <c r="AB83" s="157">
        <f t="shared" si="227"/>
        <v>-954.91561746584489</v>
      </c>
      <c r="AC83" s="137">
        <f t="shared" si="216"/>
        <v>-3.6281759997538465E-3</v>
      </c>
      <c r="AD83" s="31">
        <f t="shared" si="17"/>
        <v>0.05</v>
      </c>
      <c r="AE83" s="145">
        <f t="shared" si="217"/>
        <v>-5898.0082255243369</v>
      </c>
    </row>
    <row r="84" spans="2:31" x14ac:dyDescent="0.2">
      <c r="B84" s="20" t="s">
        <v>277</v>
      </c>
      <c r="C84" s="126">
        <f t="shared" ref="C84:P84" si="228">(C7+C17-C10-C9)/C69</f>
        <v>0</v>
      </c>
      <c r="D84" s="126">
        <f t="shared" si="228"/>
        <v>0</v>
      </c>
      <c r="E84" s="126">
        <f t="shared" si="228"/>
        <v>0</v>
      </c>
      <c r="F84" s="143">
        <f t="shared" si="228"/>
        <v>0</v>
      </c>
      <c r="G84" s="143">
        <f t="shared" si="228"/>
        <v>-1023.1932773109244</v>
      </c>
      <c r="H84" s="143">
        <f t="shared" si="228"/>
        <v>-493.43065693430657</v>
      </c>
      <c r="I84" s="143">
        <f t="shared" si="228"/>
        <v>-295.45014520813169</v>
      </c>
      <c r="J84" s="143">
        <f t="shared" si="228"/>
        <v>-502.4532352039252</v>
      </c>
      <c r="K84" s="143">
        <f t="shared" si="228"/>
        <v>-597.27219965177017</v>
      </c>
      <c r="L84" s="143">
        <f t="shared" si="228"/>
        <v>-528.58796296296293</v>
      </c>
      <c r="M84" s="143">
        <f t="shared" si="228"/>
        <v>-796.86871588623956</v>
      </c>
      <c r="N84" s="143">
        <f t="shared" si="228"/>
        <v>-520.94670701752011</v>
      </c>
      <c r="O84" s="143">
        <f t="shared" si="228"/>
        <v>-71.176971711474053</v>
      </c>
      <c r="P84" s="143">
        <f t="shared" si="228"/>
        <v>-954.91561746584523</v>
      </c>
      <c r="Q84" s="118">
        <f>((P84/G84)^(1/($H$2-$H$1) ))-1</f>
        <v>-7.6440458806814604E-3</v>
      </c>
      <c r="R84" s="127"/>
      <c r="S84" s="157">
        <f t="shared" ref="S84:AB84" si="229">(S7+S17-S10-S9)/S69</f>
        <v>-954.91561746584512</v>
      </c>
      <c r="T84" s="157">
        <f t="shared" si="229"/>
        <v>-954.91561746584523</v>
      </c>
      <c r="U84" s="157">
        <f t="shared" si="229"/>
        <v>-954.91561746584523</v>
      </c>
      <c r="V84" s="157">
        <f t="shared" si="229"/>
        <v>-954.91561746584512</v>
      </c>
      <c r="W84" s="157">
        <f t="shared" si="229"/>
        <v>-954.91561746584523</v>
      </c>
      <c r="X84" s="157">
        <f t="shared" si="229"/>
        <v>-954.91561746584523</v>
      </c>
      <c r="Y84" s="157">
        <f t="shared" si="229"/>
        <v>-954.91561746584523</v>
      </c>
      <c r="Z84" s="157">
        <f t="shared" si="229"/>
        <v>-954.91561746584523</v>
      </c>
      <c r="AA84" s="157">
        <f t="shared" si="229"/>
        <v>-954.91561746584512</v>
      </c>
      <c r="AB84" s="157">
        <f t="shared" si="229"/>
        <v>-954.91561746584489</v>
      </c>
      <c r="AC84" s="137">
        <f t="shared" si="216"/>
        <v>-3.6281759997538465E-3</v>
      </c>
      <c r="AD84" s="31">
        <f t="shared" si="17"/>
        <v>0.05</v>
      </c>
      <c r="AE84" s="145">
        <f t="shared" si="217"/>
        <v>-5898.0082255243369</v>
      </c>
    </row>
    <row r="85" spans="2:31" x14ac:dyDescent="0.2">
      <c r="B85" s="20"/>
      <c r="C85" s="126"/>
      <c r="D85" s="126"/>
      <c r="E85" s="126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27"/>
      <c r="R85" s="127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38"/>
      <c r="AD85" s="136"/>
      <c r="AE85" s="154"/>
    </row>
    <row r="86" spans="2:31" x14ac:dyDescent="0.2">
      <c r="B86" s="20" t="s">
        <v>248</v>
      </c>
      <c r="C86" s="126">
        <f t="shared" ref="C86:P86" si="230">C12/C69</f>
        <v>0</v>
      </c>
      <c r="D86" s="126">
        <f t="shared" si="230"/>
        <v>0</v>
      </c>
      <c r="E86" s="126">
        <f t="shared" si="230"/>
        <v>0</v>
      </c>
      <c r="F86" s="143">
        <f t="shared" si="230"/>
        <v>0</v>
      </c>
      <c r="G86" s="143">
        <f t="shared" si="230"/>
        <v>0</v>
      </c>
      <c r="H86" s="143">
        <f t="shared" si="230"/>
        <v>0</v>
      </c>
      <c r="I86" s="143">
        <f t="shared" si="230"/>
        <v>0</v>
      </c>
      <c r="J86" s="143">
        <f t="shared" si="230"/>
        <v>0</v>
      </c>
      <c r="K86" s="143">
        <f t="shared" si="230"/>
        <v>0</v>
      </c>
      <c r="L86" s="143">
        <f t="shared" si="230"/>
        <v>0</v>
      </c>
      <c r="M86" s="143">
        <f t="shared" si="230"/>
        <v>0</v>
      </c>
      <c r="N86" s="143">
        <f t="shared" si="230"/>
        <v>0</v>
      </c>
      <c r="O86" s="143">
        <f t="shared" si="230"/>
        <v>0</v>
      </c>
      <c r="P86" s="143">
        <f t="shared" si="230"/>
        <v>0</v>
      </c>
      <c r="Q86" s="118" t="e">
        <f>((P86/G86)^(1/($H$2-$H$1) ))-1</f>
        <v>#DIV/0!</v>
      </c>
      <c r="R86" s="127"/>
      <c r="S86" s="157">
        <f t="shared" ref="S86:AB86" si="231">S12/S69</f>
        <v>0</v>
      </c>
      <c r="T86" s="157">
        <f t="shared" si="231"/>
        <v>0</v>
      </c>
      <c r="U86" s="157">
        <f t="shared" si="231"/>
        <v>0</v>
      </c>
      <c r="V86" s="157">
        <f t="shared" si="231"/>
        <v>0</v>
      </c>
      <c r="W86" s="157">
        <f t="shared" si="231"/>
        <v>0</v>
      </c>
      <c r="X86" s="157">
        <f t="shared" si="231"/>
        <v>0</v>
      </c>
      <c r="Y86" s="157">
        <f t="shared" si="231"/>
        <v>0</v>
      </c>
      <c r="Z86" s="157">
        <f t="shared" si="231"/>
        <v>0</v>
      </c>
      <c r="AA86" s="157">
        <f t="shared" si="231"/>
        <v>0</v>
      </c>
      <c r="AB86" s="157">
        <f t="shared" si="231"/>
        <v>0</v>
      </c>
      <c r="AC86" s="137" t="e">
        <f t="shared" si="216"/>
        <v>#DIV/0!</v>
      </c>
      <c r="AD86" s="31">
        <f t="shared" si="17"/>
        <v>0.05</v>
      </c>
      <c r="AE86" s="145">
        <f t="shared" si="217"/>
        <v>0</v>
      </c>
    </row>
    <row r="87" spans="2:31" x14ac:dyDescent="0.2">
      <c r="B87" s="20" t="s">
        <v>255</v>
      </c>
      <c r="C87" s="126">
        <f t="shared" ref="C87:P87" si="232">C15/C69</f>
        <v>0</v>
      </c>
      <c r="D87" s="126">
        <f t="shared" si="232"/>
        <v>0</v>
      </c>
      <c r="E87" s="126">
        <f t="shared" si="232"/>
        <v>0</v>
      </c>
      <c r="F87" s="143">
        <f t="shared" si="232"/>
        <v>0</v>
      </c>
      <c r="G87" s="143">
        <f t="shared" si="232"/>
        <v>606.55462184873943</v>
      </c>
      <c r="H87" s="143">
        <f t="shared" si="232"/>
        <v>219.38361719383616</v>
      </c>
      <c r="I87" s="143">
        <f t="shared" si="232"/>
        <v>162.89125524362697</v>
      </c>
      <c r="J87" s="143">
        <f t="shared" si="232"/>
        <v>279.9141367678626</v>
      </c>
      <c r="K87" s="143">
        <f t="shared" si="232"/>
        <v>364.74172954149736</v>
      </c>
      <c r="L87" s="143">
        <f t="shared" si="232"/>
        <v>385.21412037037032</v>
      </c>
      <c r="M87" s="143">
        <f t="shared" si="232"/>
        <v>559.72421717897157</v>
      </c>
      <c r="N87" s="143">
        <f t="shared" si="232"/>
        <v>353.49518911069794</v>
      </c>
      <c r="O87" s="143">
        <f t="shared" si="232"/>
        <v>42.741285478790694</v>
      </c>
      <c r="P87" s="143">
        <f t="shared" si="232"/>
        <v>547.9105277256898</v>
      </c>
      <c r="Q87" s="118">
        <f>((P87/G87)^(1/($H$2-$H$1) ))-1</f>
        <v>-1.1234503193044643E-2</v>
      </c>
      <c r="R87" s="127"/>
      <c r="S87" s="157">
        <f t="shared" ref="S87:AB87" si="233">S15/S69</f>
        <v>547.9105277256898</v>
      </c>
      <c r="T87" s="157">
        <f t="shared" si="233"/>
        <v>547.9105277256898</v>
      </c>
      <c r="U87" s="157">
        <f t="shared" si="233"/>
        <v>547.9105277256898</v>
      </c>
      <c r="V87" s="157">
        <f t="shared" si="233"/>
        <v>547.9105277256898</v>
      </c>
      <c r="W87" s="157">
        <f t="shared" si="233"/>
        <v>547.91052772568969</v>
      </c>
      <c r="X87" s="157">
        <f t="shared" si="233"/>
        <v>547.91052772568969</v>
      </c>
      <c r="Y87" s="157">
        <f t="shared" si="233"/>
        <v>547.91052772568969</v>
      </c>
      <c r="Z87" s="157">
        <f t="shared" si="233"/>
        <v>547.91052772568969</v>
      </c>
      <c r="AA87" s="157">
        <f t="shared" si="233"/>
        <v>547.91052772568969</v>
      </c>
      <c r="AB87" s="157">
        <f t="shared" si="233"/>
        <v>547.91052772568969</v>
      </c>
      <c r="AC87" s="137">
        <f t="shared" si="216"/>
        <v>-5.3374304006383877E-3</v>
      </c>
      <c r="AD87" s="31">
        <f t="shared" si="17"/>
        <v>0.05</v>
      </c>
      <c r="AE87" s="145">
        <f t="shared" si="217"/>
        <v>3384.1532594822011</v>
      </c>
    </row>
    <row r="88" spans="2:31" x14ac:dyDescent="0.2">
      <c r="B88" s="20" t="s">
        <v>256</v>
      </c>
      <c r="C88" s="126">
        <f>(C86+C87)</f>
        <v>0</v>
      </c>
      <c r="D88" s="126">
        <f t="shared" ref="D88:P88" si="234">(D86+D87)</f>
        <v>0</v>
      </c>
      <c r="E88" s="126">
        <f t="shared" si="234"/>
        <v>0</v>
      </c>
      <c r="F88" s="143">
        <f t="shared" si="234"/>
        <v>0</v>
      </c>
      <c r="G88" s="143">
        <f t="shared" si="234"/>
        <v>606.55462184873943</v>
      </c>
      <c r="H88" s="143">
        <f t="shared" si="234"/>
        <v>219.38361719383616</v>
      </c>
      <c r="I88" s="143">
        <f t="shared" si="234"/>
        <v>162.89125524362697</v>
      </c>
      <c r="J88" s="143">
        <f t="shared" si="234"/>
        <v>279.9141367678626</v>
      </c>
      <c r="K88" s="143">
        <f t="shared" si="234"/>
        <v>364.74172954149736</v>
      </c>
      <c r="L88" s="143">
        <f t="shared" si="234"/>
        <v>385.21412037037032</v>
      </c>
      <c r="M88" s="143">
        <f t="shared" si="234"/>
        <v>559.72421717897157</v>
      </c>
      <c r="N88" s="143">
        <f t="shared" si="234"/>
        <v>353.49518911069794</v>
      </c>
      <c r="O88" s="143">
        <f t="shared" ref="O88" si="235">(O86+O87)</f>
        <v>42.741285478790694</v>
      </c>
      <c r="P88" s="143">
        <f t="shared" si="234"/>
        <v>547.9105277256898</v>
      </c>
      <c r="Q88" s="118">
        <f>((P88/G88)^(1/($H$2-$H$1) ))-1</f>
        <v>-1.1234503193044643E-2</v>
      </c>
      <c r="R88" s="127"/>
      <c r="S88" s="157">
        <f t="shared" ref="S88:AB88" si="236">(S86+S87)</f>
        <v>547.9105277256898</v>
      </c>
      <c r="T88" s="157">
        <f t="shared" si="236"/>
        <v>547.9105277256898</v>
      </c>
      <c r="U88" s="157">
        <f t="shared" si="236"/>
        <v>547.9105277256898</v>
      </c>
      <c r="V88" s="157">
        <f t="shared" si="236"/>
        <v>547.9105277256898</v>
      </c>
      <c r="W88" s="157">
        <f t="shared" si="236"/>
        <v>547.91052772568969</v>
      </c>
      <c r="X88" s="157">
        <f t="shared" si="236"/>
        <v>547.91052772568969</v>
      </c>
      <c r="Y88" s="157">
        <f t="shared" si="236"/>
        <v>547.91052772568969</v>
      </c>
      <c r="Z88" s="157">
        <f t="shared" si="236"/>
        <v>547.91052772568969</v>
      </c>
      <c r="AA88" s="157">
        <f t="shared" si="236"/>
        <v>547.91052772568969</v>
      </c>
      <c r="AB88" s="157">
        <f t="shared" si="236"/>
        <v>547.91052772568969</v>
      </c>
      <c r="AC88" s="137">
        <f t="shared" si="216"/>
        <v>-5.3374304006383877E-3</v>
      </c>
      <c r="AD88" s="31">
        <f t="shared" si="17"/>
        <v>0.05</v>
      </c>
      <c r="AE88" s="145">
        <f t="shared" si="217"/>
        <v>3384.1532594822011</v>
      </c>
    </row>
    <row r="89" spans="2:31" x14ac:dyDescent="0.2">
      <c r="B89" s="20" t="s">
        <v>249</v>
      </c>
      <c r="C89" s="126">
        <f t="shared" ref="C89:P89" si="237">C17/C69</f>
        <v>0</v>
      </c>
      <c r="D89" s="126">
        <f t="shared" si="237"/>
        <v>0</v>
      </c>
      <c r="E89" s="126">
        <f t="shared" si="237"/>
        <v>0</v>
      </c>
      <c r="F89" s="143">
        <f t="shared" si="237"/>
        <v>0</v>
      </c>
      <c r="G89" s="143">
        <f t="shared" si="237"/>
        <v>0</v>
      </c>
      <c r="H89" s="143">
        <f t="shared" si="237"/>
        <v>0</v>
      </c>
      <c r="I89" s="143">
        <f t="shared" si="237"/>
        <v>0</v>
      </c>
      <c r="J89" s="143">
        <f t="shared" si="237"/>
        <v>0</v>
      </c>
      <c r="K89" s="143">
        <f t="shared" si="237"/>
        <v>0</v>
      </c>
      <c r="L89" s="143">
        <f t="shared" si="237"/>
        <v>0</v>
      </c>
      <c r="M89" s="143">
        <f t="shared" si="237"/>
        <v>0</v>
      </c>
      <c r="N89" s="143">
        <f t="shared" si="237"/>
        <v>0</v>
      </c>
      <c r="O89" s="143">
        <f t="shared" si="237"/>
        <v>0</v>
      </c>
      <c r="P89" s="143">
        <f t="shared" si="237"/>
        <v>0</v>
      </c>
      <c r="Q89" s="118" t="e">
        <f>((P89/G89)^(1/($H$2-$H$1) ))-1</f>
        <v>#DIV/0!</v>
      </c>
      <c r="R89" s="127"/>
      <c r="S89" s="157">
        <f t="shared" ref="S89:AB89" si="238">S17/S69</f>
        <v>0</v>
      </c>
      <c r="T89" s="157">
        <f t="shared" si="238"/>
        <v>0</v>
      </c>
      <c r="U89" s="157">
        <f t="shared" si="238"/>
        <v>0</v>
      </c>
      <c r="V89" s="157">
        <f t="shared" si="238"/>
        <v>0</v>
      </c>
      <c r="W89" s="157">
        <f t="shared" si="238"/>
        <v>0</v>
      </c>
      <c r="X89" s="157">
        <f t="shared" si="238"/>
        <v>0</v>
      </c>
      <c r="Y89" s="157">
        <f t="shared" si="238"/>
        <v>0</v>
      </c>
      <c r="Z89" s="157">
        <f t="shared" si="238"/>
        <v>0</v>
      </c>
      <c r="AA89" s="157">
        <f t="shared" si="238"/>
        <v>0</v>
      </c>
      <c r="AB89" s="157">
        <f t="shared" si="238"/>
        <v>0</v>
      </c>
      <c r="AC89" s="137" t="e">
        <f t="shared" si="216"/>
        <v>#DIV/0!</v>
      </c>
      <c r="AD89" s="31">
        <f t="shared" si="17"/>
        <v>0.05</v>
      </c>
      <c r="AE89" s="145">
        <f t="shared" si="217"/>
        <v>0</v>
      </c>
    </row>
    <row r="90" spans="2:31" x14ac:dyDescent="0.2">
      <c r="B90" s="20" t="s">
        <v>250</v>
      </c>
      <c r="C90" s="126">
        <f t="shared" ref="C90:P90" si="239">C18/C69</f>
        <v>0</v>
      </c>
      <c r="D90" s="126">
        <f t="shared" si="239"/>
        <v>0</v>
      </c>
      <c r="E90" s="126">
        <f t="shared" si="239"/>
        <v>0</v>
      </c>
      <c r="F90" s="143">
        <f t="shared" si="239"/>
        <v>0</v>
      </c>
      <c r="G90" s="143">
        <f t="shared" si="239"/>
        <v>0</v>
      </c>
      <c r="H90" s="143">
        <f t="shared" si="239"/>
        <v>0</v>
      </c>
      <c r="I90" s="143">
        <f t="shared" si="239"/>
        <v>0</v>
      </c>
      <c r="J90" s="143">
        <f t="shared" si="239"/>
        <v>0</v>
      </c>
      <c r="K90" s="143">
        <f t="shared" si="239"/>
        <v>0</v>
      </c>
      <c r="L90" s="143">
        <f t="shared" si="239"/>
        <v>0</v>
      </c>
      <c r="M90" s="143">
        <f t="shared" si="239"/>
        <v>0</v>
      </c>
      <c r="N90" s="143">
        <f t="shared" si="239"/>
        <v>0</v>
      </c>
      <c r="O90" s="143">
        <f t="shared" si="239"/>
        <v>0</v>
      </c>
      <c r="P90" s="143">
        <f t="shared" si="239"/>
        <v>0</v>
      </c>
      <c r="Q90" s="118" t="e">
        <f>((P90/G90)^(1/($H$2-$H$1) ))-1</f>
        <v>#DIV/0!</v>
      </c>
      <c r="R90" s="127"/>
      <c r="S90" s="157">
        <f t="shared" ref="S90:AB90" si="240">S18/S69</f>
        <v>0</v>
      </c>
      <c r="T90" s="157">
        <f t="shared" si="240"/>
        <v>0</v>
      </c>
      <c r="U90" s="157">
        <f t="shared" si="240"/>
        <v>0</v>
      </c>
      <c r="V90" s="157">
        <f t="shared" si="240"/>
        <v>0</v>
      </c>
      <c r="W90" s="157">
        <f t="shared" si="240"/>
        <v>0</v>
      </c>
      <c r="X90" s="157">
        <f t="shared" si="240"/>
        <v>0</v>
      </c>
      <c r="Y90" s="157">
        <f t="shared" si="240"/>
        <v>0</v>
      </c>
      <c r="Z90" s="157">
        <f t="shared" si="240"/>
        <v>0</v>
      </c>
      <c r="AA90" s="157">
        <f t="shared" si="240"/>
        <v>0</v>
      </c>
      <c r="AB90" s="157">
        <f t="shared" si="240"/>
        <v>0</v>
      </c>
      <c r="AC90" s="137" t="e">
        <f t="shared" si="216"/>
        <v>#DIV/0!</v>
      </c>
      <c r="AD90" s="31">
        <f t="shared" si="17"/>
        <v>0.05</v>
      </c>
      <c r="AE90" s="145">
        <f t="shared" si="217"/>
        <v>0</v>
      </c>
    </row>
    <row r="91" spans="2:31" x14ac:dyDescent="0.2">
      <c r="B91" s="20"/>
      <c r="C91" s="126"/>
      <c r="D91" s="126"/>
      <c r="E91" s="126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27"/>
      <c r="R91" s="127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38"/>
      <c r="AD91" s="138"/>
      <c r="AE91" s="145">
        <f t="shared" si="217"/>
        <v>0</v>
      </c>
    </row>
    <row r="92" spans="2:31" x14ac:dyDescent="0.2">
      <c r="B92" s="20" t="s">
        <v>283</v>
      </c>
      <c r="C92" s="159">
        <f>C71</f>
        <v>1</v>
      </c>
      <c r="D92" s="159">
        <f t="shared" ref="D92:P92" si="241">D71</f>
        <v>1</v>
      </c>
      <c r="E92" s="159">
        <f t="shared" si="241"/>
        <v>1</v>
      </c>
      <c r="F92" s="159">
        <f t="shared" si="241"/>
        <v>0</v>
      </c>
      <c r="G92" s="159">
        <f t="shared" si="241"/>
        <v>2.4</v>
      </c>
      <c r="H92" s="159">
        <f t="shared" si="241"/>
        <v>1.25</v>
      </c>
      <c r="I92" s="159">
        <f t="shared" si="241"/>
        <v>0.6</v>
      </c>
      <c r="J92" s="159">
        <f t="shared" si="241"/>
        <v>0.7</v>
      </c>
      <c r="K92" s="159">
        <f t="shared" si="241"/>
        <v>0.75</v>
      </c>
      <c r="L92" s="159">
        <f t="shared" si="241"/>
        <v>0.75</v>
      </c>
      <c r="M92" s="159">
        <f t="shared" si="241"/>
        <v>0.85</v>
      </c>
      <c r="N92" s="159">
        <f t="shared" si="241"/>
        <v>0.5</v>
      </c>
      <c r="O92" s="159">
        <f t="shared" si="241"/>
        <v>0.6</v>
      </c>
      <c r="P92" s="159">
        <f t="shared" si="241"/>
        <v>0.7</v>
      </c>
      <c r="Q92" s="118">
        <f>((P92/G92)^(1/($H$2-$H$1) ))-1</f>
        <v>-0.12794680498564115</v>
      </c>
      <c r="R92" s="127"/>
      <c r="S92" s="159">
        <f t="shared" ref="S92:AB92" si="242">S71</f>
        <v>0.73499999999999999</v>
      </c>
      <c r="T92" s="159">
        <f t="shared" si="242"/>
        <v>0.77175000000000005</v>
      </c>
      <c r="U92" s="159">
        <f t="shared" si="242"/>
        <v>0.81033750000000004</v>
      </c>
      <c r="V92" s="159">
        <f t="shared" si="242"/>
        <v>0.85085437500000005</v>
      </c>
      <c r="W92" s="159">
        <f t="shared" si="242"/>
        <v>0.89339709375000009</v>
      </c>
      <c r="X92" s="159">
        <f t="shared" si="242"/>
        <v>0.93806694843750016</v>
      </c>
      <c r="Y92" s="159">
        <f t="shared" si="242"/>
        <v>0.98497029585937523</v>
      </c>
      <c r="Z92" s="159">
        <f t="shared" si="242"/>
        <v>1.034218810652344</v>
      </c>
      <c r="AA92" s="159">
        <f t="shared" si="242"/>
        <v>1.0859297511849613</v>
      </c>
      <c r="AB92" s="159">
        <f t="shared" si="242"/>
        <v>1.1402262387442095</v>
      </c>
      <c r="AC92" s="137">
        <f t="shared" ref="AC92" si="243">((AB92/G92)^(1/($AB$3-$H$1) ))-1</f>
        <v>-3.8413383899797204E-2</v>
      </c>
      <c r="AD92" s="31">
        <f t="shared" si="17"/>
        <v>0.05</v>
      </c>
      <c r="AE92" s="145">
        <f t="shared" si="217"/>
        <v>7.0425738275377645</v>
      </c>
    </row>
    <row r="93" spans="2:31" x14ac:dyDescent="0.2">
      <c r="B93" s="20"/>
      <c r="C93" s="126"/>
      <c r="D93" s="126"/>
      <c r="E93" s="126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27"/>
      <c r="R93" s="127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38"/>
      <c r="AD93" s="136"/>
      <c r="AE93" s="154"/>
    </row>
    <row r="94" spans="2:31" x14ac:dyDescent="0.2">
      <c r="B94" s="20" t="s">
        <v>318</v>
      </c>
      <c r="C94" s="126">
        <f t="shared" ref="C94:P94" si="244">C25+C26</f>
        <v>0</v>
      </c>
      <c r="D94" s="126">
        <f t="shared" si="244"/>
        <v>0</v>
      </c>
      <c r="E94" s="126">
        <f t="shared" si="244"/>
        <v>0</v>
      </c>
      <c r="F94" s="143">
        <f t="shared" si="244"/>
        <v>0</v>
      </c>
      <c r="G94" s="143">
        <f t="shared" si="244"/>
        <v>0</v>
      </c>
      <c r="H94" s="143">
        <f t="shared" si="244"/>
        <v>0</v>
      </c>
      <c r="I94" s="143">
        <f t="shared" si="244"/>
        <v>0</v>
      </c>
      <c r="J94" s="143">
        <f t="shared" si="244"/>
        <v>0</v>
      </c>
      <c r="K94" s="143">
        <f t="shared" si="244"/>
        <v>0</v>
      </c>
      <c r="L94" s="143">
        <f t="shared" si="244"/>
        <v>0</v>
      </c>
      <c r="M94" s="143">
        <f t="shared" si="244"/>
        <v>0</v>
      </c>
      <c r="N94" s="143">
        <f t="shared" si="244"/>
        <v>0</v>
      </c>
      <c r="O94" s="143">
        <f t="shared" si="244"/>
        <v>0</v>
      </c>
      <c r="P94" s="143">
        <f t="shared" si="244"/>
        <v>0</v>
      </c>
      <c r="Q94" s="118" t="e">
        <f>((P94/G94)^(1/($H$2-$H$1) ))-1</f>
        <v>#DIV/0!</v>
      </c>
      <c r="R94" s="127"/>
      <c r="S94" s="143">
        <f t="shared" ref="S94:AB94" si="245">S25+S26</f>
        <v>0</v>
      </c>
      <c r="T94" s="143">
        <f t="shared" si="245"/>
        <v>0</v>
      </c>
      <c r="U94" s="143">
        <f t="shared" si="245"/>
        <v>0</v>
      </c>
      <c r="V94" s="143">
        <f t="shared" si="245"/>
        <v>0</v>
      </c>
      <c r="W94" s="143">
        <f t="shared" si="245"/>
        <v>0</v>
      </c>
      <c r="X94" s="143">
        <f t="shared" si="245"/>
        <v>0</v>
      </c>
      <c r="Y94" s="143">
        <f t="shared" si="245"/>
        <v>0</v>
      </c>
      <c r="Z94" s="143">
        <f t="shared" si="245"/>
        <v>0</v>
      </c>
      <c r="AA94" s="143">
        <f t="shared" si="245"/>
        <v>0</v>
      </c>
      <c r="AB94" s="143">
        <f t="shared" si="245"/>
        <v>0</v>
      </c>
      <c r="AC94" s="137" t="e">
        <f t="shared" ref="AC94:AC99" si="246">((AB94/G94)^(1/($AB$3-$H$1) ))-1</f>
        <v>#DIV/0!</v>
      </c>
      <c r="AD94" s="31">
        <f t="shared" si="17"/>
        <v>0.05</v>
      </c>
      <c r="AE94" s="145">
        <f t="shared" si="217"/>
        <v>0</v>
      </c>
    </row>
    <row r="95" spans="2:31" x14ac:dyDescent="0.2">
      <c r="B95" s="20"/>
      <c r="C95" s="126"/>
      <c r="D95" s="126"/>
      <c r="E95" s="126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27"/>
      <c r="R95" s="127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38"/>
      <c r="AD95" s="136"/>
      <c r="AE95" s="145"/>
    </row>
    <row r="96" spans="2:31" x14ac:dyDescent="0.2">
      <c r="B96" s="20" t="s">
        <v>319</v>
      </c>
      <c r="C96" s="126">
        <f t="shared" ref="C96:P96" si="247">C94/C69</f>
        <v>0</v>
      </c>
      <c r="D96" s="126">
        <f t="shared" si="247"/>
        <v>0</v>
      </c>
      <c r="E96" s="126">
        <f t="shared" si="247"/>
        <v>0</v>
      </c>
      <c r="F96" s="143">
        <f t="shared" si="247"/>
        <v>0</v>
      </c>
      <c r="G96" s="143">
        <f t="shared" si="247"/>
        <v>0</v>
      </c>
      <c r="H96" s="143">
        <f t="shared" si="247"/>
        <v>0</v>
      </c>
      <c r="I96" s="143">
        <f t="shared" si="247"/>
        <v>0</v>
      </c>
      <c r="J96" s="143">
        <f t="shared" si="247"/>
        <v>0</v>
      </c>
      <c r="K96" s="143">
        <f t="shared" si="247"/>
        <v>0</v>
      </c>
      <c r="L96" s="143">
        <f t="shared" si="247"/>
        <v>0</v>
      </c>
      <c r="M96" s="143">
        <f t="shared" si="247"/>
        <v>0</v>
      </c>
      <c r="N96" s="143">
        <f t="shared" si="247"/>
        <v>0</v>
      </c>
      <c r="O96" s="143">
        <f t="shared" si="247"/>
        <v>0</v>
      </c>
      <c r="P96" s="143">
        <f t="shared" si="247"/>
        <v>0</v>
      </c>
      <c r="Q96" s="118" t="e">
        <f>((P96/G96)^(1/($H$2-$H$1) ))-1</f>
        <v>#DIV/0!</v>
      </c>
      <c r="R96" s="127"/>
      <c r="S96" s="145">
        <f t="shared" ref="S96:AB96" si="248">S94/S69</f>
        <v>0</v>
      </c>
      <c r="T96" s="145">
        <f t="shared" si="248"/>
        <v>0</v>
      </c>
      <c r="U96" s="145">
        <f t="shared" si="248"/>
        <v>0</v>
      </c>
      <c r="V96" s="145">
        <f t="shared" si="248"/>
        <v>0</v>
      </c>
      <c r="W96" s="145">
        <f t="shared" si="248"/>
        <v>0</v>
      </c>
      <c r="X96" s="145">
        <f t="shared" si="248"/>
        <v>0</v>
      </c>
      <c r="Y96" s="145">
        <f t="shared" si="248"/>
        <v>0</v>
      </c>
      <c r="Z96" s="145">
        <f t="shared" si="248"/>
        <v>0</v>
      </c>
      <c r="AA96" s="145">
        <f t="shared" si="248"/>
        <v>0</v>
      </c>
      <c r="AB96" s="145">
        <f t="shared" si="248"/>
        <v>0</v>
      </c>
      <c r="AC96" s="137" t="e">
        <f t="shared" si="246"/>
        <v>#DIV/0!</v>
      </c>
      <c r="AD96" s="31">
        <f t="shared" si="17"/>
        <v>0.05</v>
      </c>
      <c r="AE96" s="145">
        <f t="shared" si="217"/>
        <v>0</v>
      </c>
    </row>
    <row r="97" spans="2:31" x14ac:dyDescent="0.2">
      <c r="B97" s="20" t="s">
        <v>288</v>
      </c>
      <c r="C97" s="126">
        <f t="shared" ref="C97:P97" si="249">C25/C69</f>
        <v>0</v>
      </c>
      <c r="D97" s="126">
        <f t="shared" si="249"/>
        <v>0</v>
      </c>
      <c r="E97" s="126">
        <f t="shared" si="249"/>
        <v>0</v>
      </c>
      <c r="F97" s="143">
        <f t="shared" si="249"/>
        <v>0</v>
      </c>
      <c r="G97" s="143">
        <f t="shared" si="249"/>
        <v>0</v>
      </c>
      <c r="H97" s="143">
        <f t="shared" si="249"/>
        <v>0</v>
      </c>
      <c r="I97" s="143">
        <f t="shared" si="249"/>
        <v>0</v>
      </c>
      <c r="J97" s="143">
        <f t="shared" si="249"/>
        <v>0</v>
      </c>
      <c r="K97" s="143">
        <f t="shared" si="249"/>
        <v>0</v>
      </c>
      <c r="L97" s="143">
        <f t="shared" si="249"/>
        <v>0</v>
      </c>
      <c r="M97" s="143">
        <f t="shared" si="249"/>
        <v>0</v>
      </c>
      <c r="N97" s="143">
        <f t="shared" si="249"/>
        <v>0</v>
      </c>
      <c r="O97" s="143">
        <f t="shared" si="249"/>
        <v>0</v>
      </c>
      <c r="P97" s="143">
        <f t="shared" si="249"/>
        <v>0</v>
      </c>
      <c r="Q97" s="118" t="e">
        <f>((P97/G97)^(1/($H$2-$H$1) ))-1</f>
        <v>#DIV/0!</v>
      </c>
      <c r="R97" s="127"/>
      <c r="S97" s="145">
        <f t="shared" ref="S97:AB97" si="250">S25/S69</f>
        <v>0</v>
      </c>
      <c r="T97" s="145">
        <f t="shared" si="250"/>
        <v>0</v>
      </c>
      <c r="U97" s="145">
        <f t="shared" si="250"/>
        <v>0</v>
      </c>
      <c r="V97" s="145">
        <f t="shared" si="250"/>
        <v>0</v>
      </c>
      <c r="W97" s="145">
        <f t="shared" si="250"/>
        <v>0</v>
      </c>
      <c r="X97" s="145">
        <f t="shared" si="250"/>
        <v>0</v>
      </c>
      <c r="Y97" s="145">
        <f t="shared" si="250"/>
        <v>0</v>
      </c>
      <c r="Z97" s="145">
        <f t="shared" si="250"/>
        <v>0</v>
      </c>
      <c r="AA97" s="145">
        <f t="shared" si="250"/>
        <v>0</v>
      </c>
      <c r="AB97" s="145">
        <f t="shared" si="250"/>
        <v>0</v>
      </c>
      <c r="AC97" s="137" t="e">
        <f t="shared" si="246"/>
        <v>#DIV/0!</v>
      </c>
      <c r="AD97" s="31">
        <f t="shared" si="17"/>
        <v>0.05</v>
      </c>
      <c r="AE97" s="145">
        <f t="shared" si="217"/>
        <v>0</v>
      </c>
    </row>
    <row r="98" spans="2:31" x14ac:dyDescent="0.2">
      <c r="B98" s="20" t="s">
        <v>289</v>
      </c>
      <c r="C98" s="126">
        <f t="shared" ref="C98:P98" si="251">C26/C69</f>
        <v>0</v>
      </c>
      <c r="D98" s="126">
        <f t="shared" si="251"/>
        <v>0</v>
      </c>
      <c r="E98" s="126">
        <f t="shared" si="251"/>
        <v>0</v>
      </c>
      <c r="F98" s="143">
        <f t="shared" si="251"/>
        <v>0</v>
      </c>
      <c r="G98" s="143">
        <f t="shared" si="251"/>
        <v>0</v>
      </c>
      <c r="H98" s="143">
        <f t="shared" si="251"/>
        <v>0</v>
      </c>
      <c r="I98" s="143">
        <f t="shared" si="251"/>
        <v>0</v>
      </c>
      <c r="J98" s="143">
        <f t="shared" si="251"/>
        <v>0</v>
      </c>
      <c r="K98" s="143">
        <f t="shared" si="251"/>
        <v>0</v>
      </c>
      <c r="L98" s="143">
        <f t="shared" si="251"/>
        <v>0</v>
      </c>
      <c r="M98" s="143">
        <f t="shared" si="251"/>
        <v>0</v>
      </c>
      <c r="N98" s="143">
        <f t="shared" si="251"/>
        <v>0</v>
      </c>
      <c r="O98" s="143">
        <f t="shared" si="251"/>
        <v>0</v>
      </c>
      <c r="P98" s="143">
        <f t="shared" si="251"/>
        <v>0</v>
      </c>
      <c r="Q98" s="118" t="e">
        <f>((P98/G98)^(1/($H$2-$H$1) ))-1</f>
        <v>#DIV/0!</v>
      </c>
      <c r="R98" s="127"/>
      <c r="S98" s="145">
        <f t="shared" ref="S98:AB98" si="252">S26/S69</f>
        <v>0</v>
      </c>
      <c r="T98" s="145">
        <f t="shared" si="252"/>
        <v>0</v>
      </c>
      <c r="U98" s="145">
        <f t="shared" si="252"/>
        <v>0</v>
      </c>
      <c r="V98" s="145">
        <f t="shared" si="252"/>
        <v>0</v>
      </c>
      <c r="W98" s="145">
        <f t="shared" si="252"/>
        <v>0</v>
      </c>
      <c r="X98" s="145">
        <f t="shared" si="252"/>
        <v>0</v>
      </c>
      <c r="Y98" s="145">
        <f t="shared" si="252"/>
        <v>0</v>
      </c>
      <c r="Z98" s="145">
        <f t="shared" si="252"/>
        <v>0</v>
      </c>
      <c r="AA98" s="145">
        <f t="shared" si="252"/>
        <v>0</v>
      </c>
      <c r="AB98" s="145">
        <f t="shared" si="252"/>
        <v>0</v>
      </c>
      <c r="AC98" s="137" t="e">
        <f t="shared" si="246"/>
        <v>#DIV/0!</v>
      </c>
      <c r="AD98" s="31">
        <f t="shared" si="17"/>
        <v>0.05</v>
      </c>
      <c r="AE98" s="145">
        <f t="shared" si="217"/>
        <v>0</v>
      </c>
    </row>
    <row r="99" spans="2:31" x14ac:dyDescent="0.2">
      <c r="B99" s="20" t="s">
        <v>290</v>
      </c>
      <c r="C99" s="126">
        <f t="shared" ref="C99:P99" si="253">C27/C69</f>
        <v>0</v>
      </c>
      <c r="D99" s="126">
        <f t="shared" si="253"/>
        <v>0</v>
      </c>
      <c r="E99" s="126">
        <f t="shared" si="253"/>
        <v>0</v>
      </c>
      <c r="F99" s="143">
        <f t="shared" si="253"/>
        <v>0</v>
      </c>
      <c r="G99" s="143">
        <f t="shared" si="253"/>
        <v>0</v>
      </c>
      <c r="H99" s="143">
        <f t="shared" si="253"/>
        <v>0</v>
      </c>
      <c r="I99" s="143">
        <f t="shared" si="253"/>
        <v>0</v>
      </c>
      <c r="J99" s="143">
        <f t="shared" si="253"/>
        <v>0</v>
      </c>
      <c r="K99" s="143">
        <f t="shared" si="253"/>
        <v>0</v>
      </c>
      <c r="L99" s="143">
        <f t="shared" si="253"/>
        <v>0</v>
      </c>
      <c r="M99" s="143">
        <f t="shared" si="253"/>
        <v>0</v>
      </c>
      <c r="N99" s="143">
        <f t="shared" si="253"/>
        <v>0</v>
      </c>
      <c r="O99" s="143">
        <f t="shared" si="253"/>
        <v>0</v>
      </c>
      <c r="P99" s="143">
        <f t="shared" si="253"/>
        <v>0</v>
      </c>
      <c r="Q99" s="118" t="e">
        <f>((P99/G99)^(1/($H$2-$H$1) ))-1</f>
        <v>#DIV/0!</v>
      </c>
      <c r="R99" s="127"/>
      <c r="S99" s="145">
        <f t="shared" ref="S99:AB99" si="254">S27/S69</f>
        <v>0</v>
      </c>
      <c r="T99" s="145">
        <f t="shared" si="254"/>
        <v>0</v>
      </c>
      <c r="U99" s="145">
        <f t="shared" si="254"/>
        <v>0</v>
      </c>
      <c r="V99" s="145">
        <f t="shared" si="254"/>
        <v>0</v>
      </c>
      <c r="W99" s="145">
        <f t="shared" si="254"/>
        <v>0</v>
      </c>
      <c r="X99" s="145">
        <f t="shared" si="254"/>
        <v>0</v>
      </c>
      <c r="Y99" s="145">
        <f t="shared" si="254"/>
        <v>0</v>
      </c>
      <c r="Z99" s="145">
        <f t="shared" si="254"/>
        <v>0</v>
      </c>
      <c r="AA99" s="145">
        <f t="shared" si="254"/>
        <v>0</v>
      </c>
      <c r="AB99" s="145">
        <f t="shared" si="254"/>
        <v>0</v>
      </c>
      <c r="AC99" s="137" t="e">
        <f t="shared" si="246"/>
        <v>#DIV/0!</v>
      </c>
      <c r="AD99" s="31">
        <f t="shared" si="17"/>
        <v>0.05</v>
      </c>
      <c r="AE99" s="145">
        <f t="shared" si="217"/>
        <v>0</v>
      </c>
    </row>
    <row r="100" spans="2:31" x14ac:dyDescent="0.2">
      <c r="B100" s="20" t="s">
        <v>297</v>
      </c>
      <c r="C100" s="126">
        <f t="shared" ref="C100:P100" si="255">C28/C69</f>
        <v>0</v>
      </c>
      <c r="D100" s="126">
        <f t="shared" si="255"/>
        <v>0</v>
      </c>
      <c r="E100" s="126">
        <f t="shared" si="255"/>
        <v>0</v>
      </c>
      <c r="F100" s="143">
        <f t="shared" si="255"/>
        <v>0</v>
      </c>
      <c r="G100" s="143">
        <f t="shared" si="255"/>
        <v>0</v>
      </c>
      <c r="H100" s="143">
        <f t="shared" si="255"/>
        <v>0</v>
      </c>
      <c r="I100" s="143">
        <f t="shared" si="255"/>
        <v>0</v>
      </c>
      <c r="J100" s="143">
        <f t="shared" si="255"/>
        <v>0</v>
      </c>
      <c r="K100" s="143">
        <f t="shared" si="255"/>
        <v>0</v>
      </c>
      <c r="L100" s="143">
        <f t="shared" si="255"/>
        <v>0</v>
      </c>
      <c r="M100" s="143">
        <f t="shared" si="255"/>
        <v>0</v>
      </c>
      <c r="N100" s="143">
        <f t="shared" si="255"/>
        <v>0</v>
      </c>
      <c r="O100" s="143">
        <f t="shared" si="255"/>
        <v>0</v>
      </c>
      <c r="P100" s="143">
        <f t="shared" si="255"/>
        <v>0</v>
      </c>
      <c r="Q100" s="118" t="e">
        <f>((P100/G100)^(1/($H$2-$H$1) ))-1</f>
        <v>#DIV/0!</v>
      </c>
      <c r="R100" s="127"/>
      <c r="S100" s="145">
        <f t="shared" ref="S100:AB100" si="256">S28/S69</f>
        <v>0</v>
      </c>
      <c r="T100" s="145">
        <f t="shared" si="256"/>
        <v>0</v>
      </c>
      <c r="U100" s="145">
        <f t="shared" si="256"/>
        <v>0</v>
      </c>
      <c r="V100" s="145">
        <f t="shared" si="256"/>
        <v>0</v>
      </c>
      <c r="W100" s="145">
        <f t="shared" si="256"/>
        <v>0</v>
      </c>
      <c r="X100" s="145">
        <f t="shared" si="256"/>
        <v>0</v>
      </c>
      <c r="Y100" s="145">
        <f t="shared" si="256"/>
        <v>0</v>
      </c>
      <c r="Z100" s="145">
        <f t="shared" si="256"/>
        <v>0</v>
      </c>
      <c r="AA100" s="145">
        <f t="shared" si="256"/>
        <v>0</v>
      </c>
      <c r="AB100" s="145">
        <f t="shared" si="256"/>
        <v>0</v>
      </c>
      <c r="AC100" s="137" t="e">
        <f t="shared" ref="AC100" si="257">((AB100/G100)^(1/($AB$3-$H$1) ))-1</f>
        <v>#DIV/0!</v>
      </c>
      <c r="AD100" s="31">
        <f t="shared" si="17"/>
        <v>0.05</v>
      </c>
      <c r="AE100" s="145">
        <f t="shared" si="217"/>
        <v>0</v>
      </c>
    </row>
    <row r="101" spans="2:31" x14ac:dyDescent="0.2">
      <c r="B101" s="20"/>
      <c r="C101" s="126"/>
      <c r="D101" s="126"/>
      <c r="E101" s="126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27"/>
      <c r="R101" s="127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38"/>
      <c r="AD101" s="136"/>
      <c r="AE101" s="154"/>
    </row>
    <row r="102" spans="2:31" x14ac:dyDescent="0.2">
      <c r="B102" s="20" t="s">
        <v>312</v>
      </c>
      <c r="C102" s="143">
        <f t="shared" ref="C102:P102" si="258">C63/C69</f>
        <v>0</v>
      </c>
      <c r="D102" s="143">
        <f t="shared" si="258"/>
        <v>0</v>
      </c>
      <c r="E102" s="143">
        <f t="shared" si="258"/>
        <v>0</v>
      </c>
      <c r="F102" s="143">
        <f t="shared" si="258"/>
        <v>0</v>
      </c>
      <c r="G102" s="143">
        <f t="shared" si="258"/>
        <v>0</v>
      </c>
      <c r="H102" s="143">
        <f t="shared" si="258"/>
        <v>0</v>
      </c>
      <c r="I102" s="143">
        <f t="shared" si="258"/>
        <v>0</v>
      </c>
      <c r="J102" s="143">
        <f t="shared" si="258"/>
        <v>0</v>
      </c>
      <c r="K102" s="143">
        <f t="shared" si="258"/>
        <v>0</v>
      </c>
      <c r="L102" s="143">
        <f t="shared" si="258"/>
        <v>0</v>
      </c>
      <c r="M102" s="143">
        <f t="shared" si="258"/>
        <v>0</v>
      </c>
      <c r="N102" s="143">
        <f t="shared" si="258"/>
        <v>0</v>
      </c>
      <c r="O102" s="143">
        <f t="shared" si="258"/>
        <v>0</v>
      </c>
      <c r="P102" s="143">
        <f t="shared" si="258"/>
        <v>0</v>
      </c>
      <c r="Q102" s="118" t="e">
        <f>((P102/G102)^(1/($H$2-$H$1) ))-1</f>
        <v>#DIV/0!</v>
      </c>
      <c r="R102" s="127"/>
      <c r="S102" s="143">
        <f t="shared" ref="S102:AB102" si="259">S63/S69</f>
        <v>0</v>
      </c>
      <c r="T102" s="143">
        <f t="shared" si="259"/>
        <v>0</v>
      </c>
      <c r="U102" s="143">
        <f t="shared" si="259"/>
        <v>0</v>
      </c>
      <c r="V102" s="143">
        <f t="shared" si="259"/>
        <v>0</v>
      </c>
      <c r="W102" s="143">
        <f t="shared" si="259"/>
        <v>0</v>
      </c>
      <c r="X102" s="143">
        <f t="shared" si="259"/>
        <v>0</v>
      </c>
      <c r="Y102" s="143">
        <f t="shared" si="259"/>
        <v>0</v>
      </c>
      <c r="Z102" s="143">
        <f t="shared" si="259"/>
        <v>0</v>
      </c>
      <c r="AA102" s="143">
        <f t="shared" si="259"/>
        <v>0</v>
      </c>
      <c r="AB102" s="143">
        <f t="shared" si="259"/>
        <v>0</v>
      </c>
      <c r="AC102" s="137" t="e">
        <f t="shared" ref="AC102:AC104" si="260">((AB102/G102)^(1/($AB$3-$H$1) ))-1</f>
        <v>#DIV/0!</v>
      </c>
      <c r="AD102" s="31">
        <f t="shared" si="17"/>
        <v>0.05</v>
      </c>
      <c r="AE102" s="145">
        <f t="shared" si="217"/>
        <v>0</v>
      </c>
    </row>
    <row r="103" spans="2:31" x14ac:dyDescent="0.2">
      <c r="B103" s="20" t="s">
        <v>313</v>
      </c>
      <c r="C103" s="143">
        <f t="shared" ref="C103:P103" si="261">C67/C69</f>
        <v>0</v>
      </c>
      <c r="D103" s="143">
        <f t="shared" si="261"/>
        <v>0</v>
      </c>
      <c r="E103" s="143">
        <f t="shared" si="261"/>
        <v>0</v>
      </c>
      <c r="F103" s="143">
        <f t="shared" si="261"/>
        <v>0</v>
      </c>
      <c r="G103" s="143">
        <f t="shared" si="261"/>
        <v>33.680672268907564</v>
      </c>
      <c r="H103" s="143">
        <f t="shared" si="261"/>
        <v>15.733982157339822</v>
      </c>
      <c r="I103" s="143">
        <f t="shared" si="261"/>
        <v>17.070022587931593</v>
      </c>
      <c r="J103" s="143">
        <f t="shared" si="261"/>
        <v>16.068690585709906</v>
      </c>
      <c r="K103" s="143">
        <f t="shared" si="261"/>
        <v>27.800348229831688</v>
      </c>
      <c r="L103" s="143">
        <f t="shared" si="261"/>
        <v>18.86574074074074</v>
      </c>
      <c r="M103" s="143">
        <f t="shared" si="261"/>
        <v>38.121229531743751</v>
      </c>
      <c r="N103" s="143">
        <f t="shared" si="261"/>
        <v>21.292765345311928</v>
      </c>
      <c r="O103" s="143">
        <f t="shared" si="261"/>
        <v>2.4976744625612102</v>
      </c>
      <c r="P103" s="143">
        <f t="shared" si="261"/>
        <v>29.52049290115189</v>
      </c>
      <c r="Q103" s="118">
        <f>((P103/G103)^(1/($H$2-$H$1) ))-1</f>
        <v>-1.4542056011807247E-2</v>
      </c>
      <c r="R103" s="127"/>
      <c r="S103" s="143">
        <f t="shared" ref="S103:AB103" si="262">S67/S69</f>
        <v>29.52049290115189</v>
      </c>
      <c r="T103" s="143">
        <f t="shared" si="262"/>
        <v>29.52049290115189</v>
      </c>
      <c r="U103" s="143">
        <f t="shared" si="262"/>
        <v>29.52049290115189</v>
      </c>
      <c r="V103" s="143">
        <f t="shared" si="262"/>
        <v>29.520492901151886</v>
      </c>
      <c r="W103" s="143">
        <f t="shared" si="262"/>
        <v>29.52049290115189</v>
      </c>
      <c r="X103" s="143">
        <f t="shared" si="262"/>
        <v>29.52049290115189</v>
      </c>
      <c r="Y103" s="143">
        <f t="shared" si="262"/>
        <v>29.52049290115189</v>
      </c>
      <c r="Z103" s="143">
        <f t="shared" si="262"/>
        <v>29.52049290115189</v>
      </c>
      <c r="AA103" s="143">
        <f t="shared" si="262"/>
        <v>29.52049290115189</v>
      </c>
      <c r="AB103" s="143">
        <f t="shared" si="262"/>
        <v>29.52049290115189</v>
      </c>
      <c r="AC103" s="137">
        <f t="shared" si="260"/>
        <v>-6.9148998631937131E-3</v>
      </c>
      <c r="AD103" s="31">
        <f t="shared" si="17"/>
        <v>0.05</v>
      </c>
      <c r="AE103" s="145">
        <f t="shared" si="217"/>
        <v>182.33245615417346</v>
      </c>
    </row>
    <row r="104" spans="2:31" x14ac:dyDescent="0.2">
      <c r="B104" s="20" t="s">
        <v>314</v>
      </c>
      <c r="C104" s="143">
        <f t="shared" ref="C104:P104" si="263">C6/C69</f>
        <v>0</v>
      </c>
      <c r="D104" s="143">
        <f t="shared" si="263"/>
        <v>0</v>
      </c>
      <c r="E104" s="143">
        <f t="shared" si="263"/>
        <v>0</v>
      </c>
      <c r="F104" s="143">
        <f t="shared" si="263"/>
        <v>0</v>
      </c>
      <c r="G104" s="143">
        <f t="shared" si="263"/>
        <v>197.64705882352939</v>
      </c>
      <c r="H104" s="143">
        <f t="shared" si="263"/>
        <v>108.9213300892133</v>
      </c>
      <c r="I104" s="143">
        <f t="shared" si="263"/>
        <v>62.891255243626979</v>
      </c>
      <c r="J104" s="143">
        <f t="shared" si="263"/>
        <v>90.003066544004909</v>
      </c>
      <c r="K104" s="143">
        <f t="shared" si="263"/>
        <v>158.9959373186303</v>
      </c>
      <c r="L104" s="143">
        <f t="shared" si="263"/>
        <v>181.36574074074073</v>
      </c>
      <c r="M104" s="143">
        <f t="shared" si="263"/>
        <v>218.81643205975294</v>
      </c>
      <c r="N104" s="143">
        <f t="shared" si="263"/>
        <v>143.77027155400546</v>
      </c>
      <c r="O104" s="143">
        <f t="shared" si="263"/>
        <v>16.916681630211873</v>
      </c>
      <c r="P104" s="143">
        <f t="shared" si="263"/>
        <v>199.24993302973482</v>
      </c>
      <c r="Q104" s="118">
        <f>((P104/G104)^(1/($H$2-$H$1) ))-1</f>
        <v>8.9785534850750359E-4</v>
      </c>
      <c r="R104" s="127"/>
      <c r="S104" s="143">
        <f t="shared" ref="S104:AB104" si="264">S6/S69</f>
        <v>199.24993302973479</v>
      </c>
      <c r="T104" s="143">
        <f t="shared" si="264"/>
        <v>199.24993302973479</v>
      </c>
      <c r="U104" s="143">
        <f t="shared" si="264"/>
        <v>199.24993302973479</v>
      </c>
      <c r="V104" s="143">
        <f t="shared" si="264"/>
        <v>199.24993302973479</v>
      </c>
      <c r="W104" s="143">
        <f t="shared" si="264"/>
        <v>199.24993302973479</v>
      </c>
      <c r="X104" s="143">
        <f t="shared" si="264"/>
        <v>199.24993302973482</v>
      </c>
      <c r="Y104" s="143">
        <f t="shared" si="264"/>
        <v>199.24993302973482</v>
      </c>
      <c r="Z104" s="143">
        <f t="shared" si="264"/>
        <v>199.24993302973482</v>
      </c>
      <c r="AA104" s="143">
        <f t="shared" si="264"/>
        <v>199.24993302973482</v>
      </c>
      <c r="AB104" s="143">
        <f t="shared" si="264"/>
        <v>199.24993302973479</v>
      </c>
      <c r="AC104" s="137">
        <f t="shared" si="260"/>
        <v>4.2519945890973077E-4</v>
      </c>
      <c r="AD104" s="31">
        <f t="shared" ref="AD104" si="265">$L$1</f>
        <v>0.05</v>
      </c>
      <c r="AE104" s="145">
        <f t="shared" si="217"/>
        <v>1230.6613510660093</v>
      </c>
    </row>
    <row r="105" spans="2:31" x14ac:dyDescent="0.2">
      <c r="B105" s="20"/>
      <c r="C105" s="126"/>
      <c r="D105" s="126"/>
      <c r="E105" s="126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27"/>
      <c r="R105" s="127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38"/>
      <c r="AD105" s="20"/>
      <c r="AE105" s="154"/>
    </row>
    <row r="106" spans="2:31" x14ac:dyDescent="0.2">
      <c r="B106" s="20"/>
      <c r="C106" s="126"/>
      <c r="D106" s="126"/>
      <c r="E106" s="126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27"/>
      <c r="R106" s="127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38"/>
      <c r="AD106" s="20"/>
      <c r="AE106" s="154"/>
    </row>
    <row r="107" spans="2:31" x14ac:dyDescent="0.2">
      <c r="B107" s="108" t="s">
        <v>311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spans="2:31" x14ac:dyDescent="0.2">
      <c r="B108" s="20" t="s">
        <v>310</v>
      </c>
      <c r="C108" s="152" t="e">
        <f t="shared" ref="C108:P108" si="266">C63/C45</f>
        <v>#DIV/0!</v>
      </c>
      <c r="D108" s="152" t="e">
        <f t="shared" si="266"/>
        <v>#DIV/0!</v>
      </c>
      <c r="E108" s="152" t="e">
        <f t="shared" si="266"/>
        <v>#DIV/0!</v>
      </c>
      <c r="F108" s="152" t="e">
        <f t="shared" si="266"/>
        <v>#DIV/0!</v>
      </c>
      <c r="G108" s="152">
        <f t="shared" si="266"/>
        <v>0</v>
      </c>
      <c r="H108" s="152">
        <f t="shared" si="266"/>
        <v>0</v>
      </c>
      <c r="I108" s="152">
        <f t="shared" si="266"/>
        <v>0</v>
      </c>
      <c r="J108" s="152">
        <f t="shared" si="266"/>
        <v>0</v>
      </c>
      <c r="K108" s="152">
        <f t="shared" si="266"/>
        <v>0</v>
      </c>
      <c r="L108" s="152">
        <f t="shared" si="266"/>
        <v>0</v>
      </c>
      <c r="M108" s="152">
        <f t="shared" si="266"/>
        <v>0</v>
      </c>
      <c r="N108" s="152">
        <f t="shared" si="266"/>
        <v>0</v>
      </c>
      <c r="O108" s="152">
        <f t="shared" si="266"/>
        <v>0</v>
      </c>
      <c r="P108" s="152">
        <f t="shared" si="266"/>
        <v>0</v>
      </c>
      <c r="Q108" s="118" t="e">
        <f t="shared" ref="Q108:Q152" si="267">((P108/G108)^(1/($H$2-$H$1) ))-1</f>
        <v>#DIV/0!</v>
      </c>
      <c r="R108" s="152"/>
      <c r="S108" s="152">
        <f t="shared" ref="S108:AB108" si="268">S63/S45</f>
        <v>0</v>
      </c>
      <c r="T108" s="152">
        <f t="shared" si="268"/>
        <v>0</v>
      </c>
      <c r="U108" s="152">
        <f t="shared" si="268"/>
        <v>0</v>
      </c>
      <c r="V108" s="152">
        <f t="shared" si="268"/>
        <v>0</v>
      </c>
      <c r="W108" s="152">
        <f t="shared" si="268"/>
        <v>0</v>
      </c>
      <c r="X108" s="152">
        <f t="shared" si="268"/>
        <v>0</v>
      </c>
      <c r="Y108" s="152">
        <f t="shared" si="268"/>
        <v>0</v>
      </c>
      <c r="Z108" s="152">
        <f t="shared" si="268"/>
        <v>0</v>
      </c>
      <c r="AA108" s="152">
        <f t="shared" si="268"/>
        <v>0</v>
      </c>
      <c r="AB108" s="152">
        <f t="shared" si="268"/>
        <v>0</v>
      </c>
      <c r="AC108" s="137" t="e">
        <f t="shared" ref="AC108:AC139" si="269">((AB108/G108)^(1/($AB$3-$H$1) ))-1</f>
        <v>#DIV/0!</v>
      </c>
      <c r="AD108" s="145"/>
      <c r="AE108" s="145"/>
    </row>
    <row r="109" spans="2:31" x14ac:dyDescent="0.2">
      <c r="B109" s="20" t="s">
        <v>267</v>
      </c>
      <c r="C109" s="152" t="e">
        <f t="shared" ref="C109:P109" si="270">C67/C45</f>
        <v>#DIV/0!</v>
      </c>
      <c r="D109" s="152" t="e">
        <f t="shared" si="270"/>
        <v>#DIV/0!</v>
      </c>
      <c r="E109" s="152" t="e">
        <f t="shared" si="270"/>
        <v>#DIV/0!</v>
      </c>
      <c r="F109" s="152" t="e">
        <f t="shared" si="270"/>
        <v>#DIV/0!</v>
      </c>
      <c r="G109" s="152">
        <f t="shared" si="270"/>
        <v>0.17216494845360825</v>
      </c>
      <c r="H109" s="152">
        <f t="shared" si="270"/>
        <v>0.11073059360730593</v>
      </c>
      <c r="I109" s="152">
        <f t="shared" si="270"/>
        <v>0.17727882037533513</v>
      </c>
      <c r="J109" s="152">
        <f t="shared" si="270"/>
        <v>0.12087658592848904</v>
      </c>
      <c r="K109" s="152">
        <f t="shared" si="270"/>
        <v>0.12478832877426078</v>
      </c>
      <c r="L109" s="152">
        <f t="shared" si="270"/>
        <v>9.079515387828993E-2</v>
      </c>
      <c r="M109" s="152">
        <f t="shared" si="270"/>
        <v>0.14245840042941493</v>
      </c>
      <c r="N109" s="152">
        <f t="shared" si="270"/>
        <v>0.14183691918278793</v>
      </c>
      <c r="O109" s="152">
        <f t="shared" si="270"/>
        <v>0.14216552678091141</v>
      </c>
      <c r="P109" s="152">
        <f t="shared" si="270"/>
        <v>0.13818181818181818</v>
      </c>
      <c r="Q109" s="118">
        <f t="shared" si="267"/>
        <v>-2.4135377614737719E-2</v>
      </c>
      <c r="R109" s="152"/>
      <c r="S109" s="152">
        <f t="shared" ref="S109:AB109" si="271">S67/S45</f>
        <v>0.13818181818181818</v>
      </c>
      <c r="T109" s="152">
        <f t="shared" si="271"/>
        <v>0.13818181818181816</v>
      </c>
      <c r="U109" s="152">
        <f t="shared" si="271"/>
        <v>0.13818181818181816</v>
      </c>
      <c r="V109" s="152">
        <f t="shared" si="271"/>
        <v>0.13818181818181813</v>
      </c>
      <c r="W109" s="152">
        <f t="shared" si="271"/>
        <v>0.13818181818181813</v>
      </c>
      <c r="X109" s="152">
        <f t="shared" si="271"/>
        <v>0.13818181818181816</v>
      </c>
      <c r="Y109" s="152">
        <f t="shared" si="271"/>
        <v>0.13818181818181813</v>
      </c>
      <c r="Z109" s="152">
        <f t="shared" si="271"/>
        <v>0.13818181818181813</v>
      </c>
      <c r="AA109" s="152">
        <f t="shared" si="271"/>
        <v>0.13818181818181813</v>
      </c>
      <c r="AB109" s="152">
        <f t="shared" si="271"/>
        <v>0.13818181818181816</v>
      </c>
      <c r="AC109" s="137">
        <f t="shared" si="269"/>
        <v>-1.1506065615176864E-2</v>
      </c>
      <c r="AD109" s="145"/>
      <c r="AE109" s="145"/>
    </row>
    <row r="110" spans="2:31" x14ac:dyDescent="0.2">
      <c r="B110" s="20" t="s">
        <v>360</v>
      </c>
      <c r="C110" s="152" t="e">
        <f t="shared" ref="C110:P110" si="272">C67/C7</f>
        <v>#DIV/0!</v>
      </c>
      <c r="D110" s="152" t="e">
        <f t="shared" si="272"/>
        <v>#DIV/0!</v>
      </c>
      <c r="E110" s="152" t="e">
        <f t="shared" si="272"/>
        <v>#DIV/0!</v>
      </c>
      <c r="F110" s="152" t="e">
        <f t="shared" si="272"/>
        <v>#DIV/0!</v>
      </c>
      <c r="G110" s="152">
        <f t="shared" si="272"/>
        <v>0.1621359223300971</v>
      </c>
      <c r="H110" s="152">
        <f t="shared" si="272"/>
        <v>0.13179347826086957</v>
      </c>
      <c r="I110" s="152">
        <f t="shared" si="272"/>
        <v>0.23427812223206376</v>
      </c>
      <c r="J110" s="152">
        <f t="shared" si="272"/>
        <v>0.16068690585709905</v>
      </c>
      <c r="K110" s="152">
        <f t="shared" si="272"/>
        <v>0.16286977218633117</v>
      </c>
      <c r="L110" s="152">
        <f t="shared" si="272"/>
        <v>9.8578772301179313E-2</v>
      </c>
      <c r="M110" s="152">
        <f t="shared" si="272"/>
        <v>0.16660389202762085</v>
      </c>
      <c r="N110" s="152">
        <f t="shared" si="272"/>
        <v>0.1426493317574325</v>
      </c>
      <c r="O110" s="152">
        <f t="shared" si="272"/>
        <v>0.14302280633938924</v>
      </c>
      <c r="P110" s="152">
        <f t="shared" si="272"/>
        <v>0.1443636601820921</v>
      </c>
      <c r="Q110" s="118">
        <f t="shared" si="267"/>
        <v>-1.2817094174082055E-2</v>
      </c>
      <c r="R110" s="20"/>
      <c r="S110" s="152">
        <f t="shared" ref="S110:AB110" si="273">S67/S7</f>
        <v>0.1443636601820921</v>
      </c>
      <c r="T110" s="152">
        <f t="shared" si="273"/>
        <v>0.14436366018209207</v>
      </c>
      <c r="U110" s="152">
        <f t="shared" si="273"/>
        <v>0.14436366018209207</v>
      </c>
      <c r="V110" s="152">
        <f t="shared" si="273"/>
        <v>0.14436366018209207</v>
      </c>
      <c r="W110" s="152">
        <f t="shared" si="273"/>
        <v>0.14436366018209207</v>
      </c>
      <c r="X110" s="152">
        <f t="shared" si="273"/>
        <v>0.14436366018209207</v>
      </c>
      <c r="Y110" s="152">
        <f t="shared" si="273"/>
        <v>0.14436366018209207</v>
      </c>
      <c r="Z110" s="152">
        <f t="shared" si="273"/>
        <v>0.1443636601820921</v>
      </c>
      <c r="AA110" s="152">
        <f t="shared" si="273"/>
        <v>0.14436366018209207</v>
      </c>
      <c r="AB110" s="152">
        <f t="shared" si="273"/>
        <v>0.1443636601820921</v>
      </c>
      <c r="AC110" s="137">
        <f t="shared" si="269"/>
        <v>-6.0918676165194752E-3</v>
      </c>
      <c r="AD110" s="145"/>
      <c r="AE110" s="145"/>
    </row>
    <row r="111" spans="2:31" x14ac:dyDescent="0.2">
      <c r="B111" s="20" t="s">
        <v>361</v>
      </c>
      <c r="C111" s="152" t="e">
        <f t="shared" ref="C111:P111" si="274">(C67)/(C7+C10)</f>
        <v>#DIV/0!</v>
      </c>
      <c r="D111" s="152" t="e">
        <f t="shared" si="274"/>
        <v>#DIV/0!</v>
      </c>
      <c r="E111" s="152" t="e">
        <f t="shared" si="274"/>
        <v>#DIV/0!</v>
      </c>
      <c r="F111" s="152" t="e">
        <f t="shared" si="274"/>
        <v>#DIV/0!</v>
      </c>
      <c r="G111" s="152">
        <f t="shared" si="274"/>
        <v>2.3411214953271028E-2</v>
      </c>
      <c r="H111" s="152">
        <f t="shared" si="274"/>
        <v>2.1488701816570668E-2</v>
      </c>
      <c r="I111" s="152">
        <f t="shared" si="274"/>
        <v>3.8692217671152718E-2</v>
      </c>
      <c r="J111" s="152">
        <f t="shared" si="274"/>
        <v>2.2875103680097788E-2</v>
      </c>
      <c r="K111" s="152">
        <f t="shared" si="274"/>
        <v>2.9617263340134793E-2</v>
      </c>
      <c r="L111" s="152">
        <f t="shared" si="274"/>
        <v>2.0701041402082804E-2</v>
      </c>
      <c r="M111" s="152">
        <f t="shared" si="274"/>
        <v>3.038768920744693E-2</v>
      </c>
      <c r="N111" s="152">
        <f t="shared" si="274"/>
        <v>2.5983273991885401E-2</v>
      </c>
      <c r="O111" s="152">
        <f t="shared" si="274"/>
        <v>2.3539890571319506E-2</v>
      </c>
      <c r="P111" s="152">
        <f t="shared" si="274"/>
        <v>2.1644341438504144E-2</v>
      </c>
      <c r="Q111" s="118">
        <f t="shared" si="267"/>
        <v>-8.681113430173526E-3</v>
      </c>
      <c r="R111" s="20"/>
      <c r="S111" s="152">
        <f t="shared" ref="S111:AB111" si="275">(S67)/(S7+S10)</f>
        <v>2.1644341438504144E-2</v>
      </c>
      <c r="T111" s="152">
        <f t="shared" si="275"/>
        <v>2.1644341438504147E-2</v>
      </c>
      <c r="U111" s="152">
        <f t="shared" si="275"/>
        <v>2.1644341438504144E-2</v>
      </c>
      <c r="V111" s="152">
        <f t="shared" si="275"/>
        <v>2.1644341438504144E-2</v>
      </c>
      <c r="W111" s="152">
        <f t="shared" si="275"/>
        <v>2.1644341438504144E-2</v>
      </c>
      <c r="X111" s="152">
        <f t="shared" si="275"/>
        <v>2.1644341438504144E-2</v>
      </c>
      <c r="Y111" s="152">
        <f t="shared" si="275"/>
        <v>2.1644341438504144E-2</v>
      </c>
      <c r="Z111" s="152">
        <f t="shared" si="275"/>
        <v>2.1644341438504144E-2</v>
      </c>
      <c r="AA111" s="152">
        <f t="shared" si="275"/>
        <v>2.1644341438504144E-2</v>
      </c>
      <c r="AB111" s="152">
        <f t="shared" si="275"/>
        <v>2.1644341438504147E-2</v>
      </c>
      <c r="AC111" s="137">
        <f t="shared" si="269"/>
        <v>-4.1215422031478655E-3</v>
      </c>
      <c r="AD111" s="145"/>
      <c r="AE111" s="145"/>
    </row>
    <row r="112" spans="2:31" x14ac:dyDescent="0.2">
      <c r="B112" s="176" t="s">
        <v>393</v>
      </c>
      <c r="C112" s="152"/>
      <c r="D112" s="152"/>
      <c r="E112" s="152"/>
      <c r="F112" s="152"/>
      <c r="G112" s="152">
        <f>G25/G45</f>
        <v>0</v>
      </c>
      <c r="H112" s="152">
        <f t="shared" ref="H112:P112" si="276">H25/H45</f>
        <v>0</v>
      </c>
      <c r="I112" s="152">
        <f t="shared" si="276"/>
        <v>0</v>
      </c>
      <c r="J112" s="152">
        <f t="shared" si="276"/>
        <v>0</v>
      </c>
      <c r="K112" s="152">
        <f t="shared" si="276"/>
        <v>0</v>
      </c>
      <c r="L112" s="152">
        <f t="shared" si="276"/>
        <v>0</v>
      </c>
      <c r="M112" s="152">
        <f t="shared" si="276"/>
        <v>0</v>
      </c>
      <c r="N112" s="152">
        <f t="shared" si="276"/>
        <v>0</v>
      </c>
      <c r="O112" s="152">
        <f t="shared" si="276"/>
        <v>0</v>
      </c>
      <c r="P112" s="152">
        <f t="shared" si="276"/>
        <v>0</v>
      </c>
      <c r="Q112" s="118" t="e">
        <f t="shared" si="267"/>
        <v>#DIV/0!</v>
      </c>
      <c r="R112" s="20"/>
      <c r="S112" s="152">
        <f t="shared" ref="S112:AB112" si="277">S25/S45</f>
        <v>0</v>
      </c>
      <c r="T112" s="152">
        <f t="shared" si="277"/>
        <v>0</v>
      </c>
      <c r="U112" s="152">
        <f t="shared" si="277"/>
        <v>0</v>
      </c>
      <c r="V112" s="152">
        <f t="shared" si="277"/>
        <v>0</v>
      </c>
      <c r="W112" s="152">
        <f t="shared" si="277"/>
        <v>0</v>
      </c>
      <c r="X112" s="152">
        <f t="shared" si="277"/>
        <v>0</v>
      </c>
      <c r="Y112" s="152">
        <f t="shared" si="277"/>
        <v>0</v>
      </c>
      <c r="Z112" s="152">
        <f t="shared" si="277"/>
        <v>0</v>
      </c>
      <c r="AA112" s="152">
        <f t="shared" si="277"/>
        <v>0</v>
      </c>
      <c r="AB112" s="152">
        <f t="shared" si="277"/>
        <v>0</v>
      </c>
      <c r="AC112" s="137" t="e">
        <f t="shared" si="269"/>
        <v>#DIV/0!</v>
      </c>
      <c r="AD112" s="145"/>
      <c r="AE112" s="145"/>
    </row>
    <row r="113" spans="2:31" x14ac:dyDescent="0.2">
      <c r="B113" s="20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20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45"/>
      <c r="AE113" s="145"/>
    </row>
    <row r="114" spans="2:31" x14ac:dyDescent="0.2">
      <c r="B114" s="20" t="s">
        <v>324</v>
      </c>
      <c r="C114" s="152"/>
      <c r="D114" s="152"/>
      <c r="E114" s="152"/>
      <c r="F114" s="152"/>
      <c r="G114" s="152">
        <f>G51/G45</f>
        <v>0.21649484536082475</v>
      </c>
      <c r="H114" s="152">
        <f t="shared" ref="H114:P114" si="278">H51/H45</f>
        <v>0.18721461187214611</v>
      </c>
      <c r="I114" s="152">
        <f t="shared" si="278"/>
        <v>0.17392761394101877</v>
      </c>
      <c r="J114" s="152">
        <f t="shared" si="278"/>
        <v>0.22537485582468281</v>
      </c>
      <c r="K114" s="152">
        <f t="shared" si="278"/>
        <v>0.23655073596456949</v>
      </c>
      <c r="L114" s="152">
        <f t="shared" si="278"/>
        <v>0.27739869099011277</v>
      </c>
      <c r="M114" s="152">
        <f t="shared" si="278"/>
        <v>0.19023081052066559</v>
      </c>
      <c r="N114" s="152">
        <f t="shared" si="278"/>
        <v>0.24118604230699692</v>
      </c>
      <c r="O114" s="152">
        <f t="shared" si="278"/>
        <v>0.34895873357411816</v>
      </c>
      <c r="P114" s="152">
        <f t="shared" si="278"/>
        <v>0.37768025078369905</v>
      </c>
      <c r="Q114" s="118">
        <f t="shared" si="267"/>
        <v>6.3782810562515113E-2</v>
      </c>
      <c r="R114" s="20"/>
      <c r="S114" s="152">
        <f t="shared" ref="S114:AB114" si="279">S51/S45</f>
        <v>0.37768025078369905</v>
      </c>
      <c r="T114" s="152">
        <f t="shared" si="279"/>
        <v>0.37768025078369899</v>
      </c>
      <c r="U114" s="152">
        <f t="shared" si="279"/>
        <v>0.37768025078369899</v>
      </c>
      <c r="V114" s="152">
        <f t="shared" si="279"/>
        <v>0.37768025078369899</v>
      </c>
      <c r="W114" s="152">
        <f t="shared" si="279"/>
        <v>0.37768025078369899</v>
      </c>
      <c r="X114" s="152">
        <f t="shared" si="279"/>
        <v>0.37768025078369899</v>
      </c>
      <c r="Y114" s="152">
        <f t="shared" si="279"/>
        <v>0.37768025078369899</v>
      </c>
      <c r="Z114" s="152">
        <f t="shared" si="279"/>
        <v>0.37768025078369899</v>
      </c>
      <c r="AA114" s="152">
        <f t="shared" si="279"/>
        <v>0.37768025078369899</v>
      </c>
      <c r="AB114" s="152">
        <f t="shared" si="279"/>
        <v>0.37768025078369893</v>
      </c>
      <c r="AC114" s="137">
        <f t="shared" si="269"/>
        <v>2.9721610167579904E-2</v>
      </c>
      <c r="AD114" s="145"/>
      <c r="AE114" s="145"/>
    </row>
    <row r="115" spans="2:31" x14ac:dyDescent="0.2">
      <c r="B115" s="20" t="s">
        <v>326</v>
      </c>
      <c r="C115" s="152"/>
      <c r="D115" s="152"/>
      <c r="E115" s="152"/>
      <c r="F115" s="152"/>
      <c r="G115" s="166" t="e">
        <f t="shared" ref="G115:P115" si="280">G51/G12</f>
        <v>#DIV/0!</v>
      </c>
      <c r="H115" s="166" t="e">
        <f t="shared" si="280"/>
        <v>#DIV/0!</v>
      </c>
      <c r="I115" s="166" t="e">
        <f t="shared" si="280"/>
        <v>#DIV/0!</v>
      </c>
      <c r="J115" s="166" t="e">
        <f t="shared" si="280"/>
        <v>#DIV/0!</v>
      </c>
      <c r="K115" s="166" t="e">
        <f t="shared" si="280"/>
        <v>#DIV/0!</v>
      </c>
      <c r="L115" s="166" t="e">
        <f t="shared" si="280"/>
        <v>#DIV/0!</v>
      </c>
      <c r="M115" s="166" t="e">
        <f t="shared" si="280"/>
        <v>#DIV/0!</v>
      </c>
      <c r="N115" s="166" t="e">
        <f t="shared" si="280"/>
        <v>#DIV/0!</v>
      </c>
      <c r="O115" s="166" t="e">
        <f t="shared" si="280"/>
        <v>#DIV/0!</v>
      </c>
      <c r="P115" s="166" t="e">
        <f t="shared" si="280"/>
        <v>#DIV/0!</v>
      </c>
      <c r="Q115" s="118" t="e">
        <f t="shared" si="267"/>
        <v>#DIV/0!</v>
      </c>
      <c r="R115" s="20"/>
      <c r="S115" s="152" t="e">
        <f t="shared" ref="S115:AB115" si="281">S51/S12</f>
        <v>#DIV/0!</v>
      </c>
      <c r="T115" s="152" t="e">
        <f t="shared" si="281"/>
        <v>#DIV/0!</v>
      </c>
      <c r="U115" s="152" t="e">
        <f t="shared" si="281"/>
        <v>#DIV/0!</v>
      </c>
      <c r="V115" s="152" t="e">
        <f t="shared" si="281"/>
        <v>#DIV/0!</v>
      </c>
      <c r="W115" s="152" t="e">
        <f t="shared" si="281"/>
        <v>#DIV/0!</v>
      </c>
      <c r="X115" s="152" t="e">
        <f t="shared" si="281"/>
        <v>#DIV/0!</v>
      </c>
      <c r="Y115" s="152" t="e">
        <f t="shared" si="281"/>
        <v>#DIV/0!</v>
      </c>
      <c r="Z115" s="152" t="e">
        <f t="shared" si="281"/>
        <v>#DIV/0!</v>
      </c>
      <c r="AA115" s="152" t="e">
        <f t="shared" si="281"/>
        <v>#DIV/0!</v>
      </c>
      <c r="AB115" s="152" t="e">
        <f t="shared" si="281"/>
        <v>#DIV/0!</v>
      </c>
      <c r="AC115" s="137" t="e">
        <f t="shared" si="269"/>
        <v>#DIV/0!</v>
      </c>
      <c r="AD115" s="145"/>
      <c r="AE115" s="145"/>
    </row>
    <row r="116" spans="2:31" s="177" customFormat="1" x14ac:dyDescent="0.2">
      <c r="B116" s="176"/>
      <c r="C116" s="181"/>
      <c r="D116" s="181"/>
      <c r="E116" s="181"/>
      <c r="F116" s="181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78"/>
      <c r="R116" s="176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79"/>
      <c r="AD116" s="180"/>
      <c r="AE116" s="180"/>
    </row>
    <row r="117" spans="2:31" s="177" customFormat="1" x14ac:dyDescent="0.2">
      <c r="B117" s="176"/>
      <c r="C117" s="181"/>
      <c r="D117" s="181"/>
      <c r="E117" s="181"/>
      <c r="F117" s="181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78"/>
      <c r="R117" s="176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79"/>
      <c r="AD117" s="180"/>
      <c r="AE117" s="180"/>
    </row>
    <row r="118" spans="2:31" s="177" customFormat="1" x14ac:dyDescent="0.2">
      <c r="B118" s="176"/>
      <c r="C118" s="181"/>
      <c r="D118" s="181"/>
      <c r="E118" s="181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78"/>
      <c r="R118" s="176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79"/>
      <c r="AD118" s="180"/>
      <c r="AE118" s="180"/>
    </row>
    <row r="119" spans="2:31" s="177" customFormat="1" x14ac:dyDescent="0.2">
      <c r="B119" s="176"/>
      <c r="C119" s="181"/>
      <c r="D119" s="181"/>
      <c r="E119" s="181"/>
      <c r="F119" s="181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78"/>
      <c r="R119" s="176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79"/>
      <c r="AD119" s="180"/>
      <c r="AE119" s="180"/>
    </row>
    <row r="120" spans="2:31" s="177" customFormat="1" x14ac:dyDescent="0.2">
      <c r="B120" s="176"/>
      <c r="C120" s="181"/>
      <c r="D120" s="181"/>
      <c r="E120" s="181"/>
      <c r="F120" s="181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78"/>
      <c r="R120" s="176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79"/>
      <c r="AD120" s="180"/>
      <c r="AE120" s="180"/>
    </row>
    <row r="121" spans="2:31" x14ac:dyDescent="0.2">
      <c r="B121" s="20" t="s">
        <v>327</v>
      </c>
      <c r="C121" s="152"/>
      <c r="D121" s="152"/>
      <c r="E121" s="152"/>
      <c r="F121" s="163">
        <f>F12+F15-F10</f>
        <v>0</v>
      </c>
      <c r="G121" s="163">
        <f>G12+G15-G10</f>
        <v>-3715</v>
      </c>
      <c r="H121" s="163">
        <f t="shared" ref="H121:P121" si="282">H12+H15-H10</f>
        <v>-4851</v>
      </c>
      <c r="I121" s="163">
        <f t="shared" si="282"/>
        <v>-6366</v>
      </c>
      <c r="J121" s="163">
        <f t="shared" si="282"/>
        <v>-10518</v>
      </c>
      <c r="K121" s="163">
        <f t="shared" si="282"/>
        <v>-13895</v>
      </c>
      <c r="L121" s="163">
        <f t="shared" si="282"/>
        <v>-11569</v>
      </c>
      <c r="M121" s="163">
        <f t="shared" si="282"/>
        <v>-16220</v>
      </c>
      <c r="N121" s="163">
        <f t="shared" si="282"/>
        <v>-23338</v>
      </c>
      <c r="O121" s="163">
        <f t="shared" si="282"/>
        <v>-33997</v>
      </c>
      <c r="P121" s="163">
        <f t="shared" si="282"/>
        <v>-45654</v>
      </c>
      <c r="Q121" s="118">
        <f t="shared" si="267"/>
        <v>0.32147143427914582</v>
      </c>
      <c r="R121" s="20"/>
      <c r="S121" s="163">
        <f t="shared" ref="S121:AB121" si="283">S12+S15-S10</f>
        <v>-52502.1</v>
      </c>
      <c r="T121" s="163">
        <f t="shared" si="283"/>
        <v>-60377.414999999994</v>
      </c>
      <c r="U121" s="163">
        <f t="shared" si="283"/>
        <v>-69434.027249999985</v>
      </c>
      <c r="V121" s="163">
        <f t="shared" si="283"/>
        <v>-79849.131337499974</v>
      </c>
      <c r="W121" s="163">
        <f t="shared" si="283"/>
        <v>-91826.501038124974</v>
      </c>
      <c r="X121" s="163">
        <f t="shared" si="283"/>
        <v>-105600.47619384372</v>
      </c>
      <c r="Y121" s="163">
        <f t="shared" si="283"/>
        <v>-121440.54762292028</v>
      </c>
      <c r="Z121" s="163">
        <f t="shared" si="283"/>
        <v>-139656.6297663583</v>
      </c>
      <c r="AA121" s="163">
        <f t="shared" si="283"/>
        <v>-160605.12423131202</v>
      </c>
      <c r="AB121" s="163">
        <f t="shared" si="283"/>
        <v>-184695.89286600877</v>
      </c>
      <c r="AC121" s="137">
        <f t="shared" si="269"/>
        <v>0.22825740331460542</v>
      </c>
      <c r="AD121" s="145"/>
      <c r="AE121" s="145"/>
    </row>
    <row r="122" spans="2:31" ht="12" customHeight="1" x14ac:dyDescent="0.2">
      <c r="B122" s="20" t="s">
        <v>322</v>
      </c>
      <c r="C122" s="20"/>
      <c r="D122" s="20"/>
      <c r="E122" s="20"/>
      <c r="F122" s="20"/>
      <c r="G122" s="152">
        <f t="shared" ref="G122:P122" si="284">G67/G23</f>
        <v>1.4212765957446809</v>
      </c>
      <c r="H122" s="152">
        <f t="shared" si="284"/>
        <v>1.220125786163522</v>
      </c>
      <c r="I122" s="152">
        <f t="shared" si="284"/>
        <v>2.9553072625698324</v>
      </c>
      <c r="J122" s="152">
        <f t="shared" si="284"/>
        <v>2.1924686192468621</v>
      </c>
      <c r="K122" s="152">
        <f t="shared" si="284"/>
        <v>2.8511904761904763</v>
      </c>
      <c r="L122" s="152">
        <f t="shared" si="284"/>
        <v>1.9120234604105573</v>
      </c>
      <c r="M122" s="152">
        <f t="shared" si="284"/>
        <v>2.1612377850162865</v>
      </c>
      <c r="N122" s="152">
        <f t="shared" si="284"/>
        <v>2.6150000000000002</v>
      </c>
      <c r="O122" s="152">
        <f t="shared" si="284"/>
        <v>3.0081300813008132</v>
      </c>
      <c r="P122" s="152">
        <f t="shared" si="284"/>
        <v>3.5548387096774192</v>
      </c>
      <c r="Q122" s="118">
        <f t="shared" si="267"/>
        <v>0.10723019750424401</v>
      </c>
      <c r="R122" s="20"/>
      <c r="S122" s="152">
        <f t="shared" ref="S122:AB122" si="285">S67/S23</f>
        <v>3.5548387096774192</v>
      </c>
      <c r="T122" s="152">
        <f t="shared" si="285"/>
        <v>3.5548387096774192</v>
      </c>
      <c r="U122" s="152">
        <f t="shared" si="285"/>
        <v>3.5548387096774188</v>
      </c>
      <c r="V122" s="152">
        <f t="shared" si="285"/>
        <v>3.5548387096774188</v>
      </c>
      <c r="W122" s="152">
        <f t="shared" si="285"/>
        <v>3.5548387096774188</v>
      </c>
      <c r="X122" s="152">
        <f t="shared" si="285"/>
        <v>3.5548387096774192</v>
      </c>
      <c r="Y122" s="152">
        <f t="shared" si="285"/>
        <v>3.5548387096774188</v>
      </c>
      <c r="Z122" s="152">
        <f t="shared" si="285"/>
        <v>3.5548387096774192</v>
      </c>
      <c r="AA122" s="152">
        <f t="shared" si="285"/>
        <v>3.5548387096774197</v>
      </c>
      <c r="AB122" s="152">
        <f t="shared" si="285"/>
        <v>3.5548387096774197</v>
      </c>
      <c r="AC122" s="137">
        <f t="shared" si="269"/>
        <v>4.9433213497753536E-2</v>
      </c>
      <c r="AD122" s="20"/>
      <c r="AE122" s="20"/>
    </row>
    <row r="123" spans="2:31" x14ac:dyDescent="0.2">
      <c r="B123" s="20" t="s">
        <v>323</v>
      </c>
      <c r="C123" s="20"/>
      <c r="D123" s="20"/>
      <c r="E123" s="20"/>
      <c r="F123" s="20"/>
      <c r="G123" s="152">
        <f t="shared" ref="G123:P123" si="286">G67/G45</f>
        <v>0.17216494845360825</v>
      </c>
      <c r="H123" s="152">
        <f t="shared" si="286"/>
        <v>0.11073059360730593</v>
      </c>
      <c r="I123" s="152">
        <f t="shared" si="286"/>
        <v>0.17727882037533513</v>
      </c>
      <c r="J123" s="152">
        <f t="shared" si="286"/>
        <v>0.12087658592848904</v>
      </c>
      <c r="K123" s="152">
        <f t="shared" si="286"/>
        <v>0.12478832877426078</v>
      </c>
      <c r="L123" s="152">
        <f t="shared" si="286"/>
        <v>9.079515387828993E-2</v>
      </c>
      <c r="M123" s="152">
        <f t="shared" si="286"/>
        <v>0.14245840042941493</v>
      </c>
      <c r="N123" s="152">
        <f t="shared" si="286"/>
        <v>0.14183691918278793</v>
      </c>
      <c r="O123" s="152">
        <f t="shared" si="286"/>
        <v>0.14216552678091141</v>
      </c>
      <c r="P123" s="152">
        <f t="shared" si="286"/>
        <v>0.13818181818181818</v>
      </c>
      <c r="Q123" s="118">
        <f t="shared" si="267"/>
        <v>-2.4135377614737719E-2</v>
      </c>
      <c r="R123" s="20"/>
      <c r="S123" s="152">
        <f t="shared" ref="S123:AB123" si="287">S67/S45</f>
        <v>0.13818181818181818</v>
      </c>
      <c r="T123" s="152">
        <f t="shared" si="287"/>
        <v>0.13818181818181816</v>
      </c>
      <c r="U123" s="152">
        <f t="shared" si="287"/>
        <v>0.13818181818181816</v>
      </c>
      <c r="V123" s="152">
        <f t="shared" si="287"/>
        <v>0.13818181818181813</v>
      </c>
      <c r="W123" s="152">
        <f t="shared" si="287"/>
        <v>0.13818181818181813</v>
      </c>
      <c r="X123" s="152">
        <f t="shared" si="287"/>
        <v>0.13818181818181816</v>
      </c>
      <c r="Y123" s="152">
        <f t="shared" si="287"/>
        <v>0.13818181818181813</v>
      </c>
      <c r="Z123" s="152">
        <f t="shared" si="287"/>
        <v>0.13818181818181813</v>
      </c>
      <c r="AA123" s="152">
        <f t="shared" si="287"/>
        <v>0.13818181818181813</v>
      </c>
      <c r="AB123" s="152">
        <f t="shared" si="287"/>
        <v>0.13818181818181816</v>
      </c>
      <c r="AC123" s="137">
        <f t="shared" si="269"/>
        <v>-1.1506065615176864E-2</v>
      </c>
      <c r="AD123" s="20"/>
      <c r="AE123" s="20"/>
    </row>
    <row r="124" spans="2:31" x14ac:dyDescent="0.2">
      <c r="B124" s="20" t="s">
        <v>349</v>
      </c>
      <c r="C124" s="20"/>
      <c r="D124" s="20"/>
      <c r="E124" s="152"/>
      <c r="F124" s="152"/>
      <c r="G124" s="152">
        <f t="shared" ref="G124:P124" si="288">G45/G23</f>
        <v>8.2553191489361701</v>
      </c>
      <c r="H124" s="152">
        <f t="shared" si="288"/>
        <v>11.018867924528301</v>
      </c>
      <c r="I124" s="152">
        <f t="shared" si="288"/>
        <v>16.670391061452513</v>
      </c>
      <c r="J124" s="152">
        <f t="shared" si="288"/>
        <v>18.13807531380753</v>
      </c>
      <c r="K124" s="152">
        <f t="shared" si="288"/>
        <v>22.848214285714285</v>
      </c>
      <c r="L124" s="152">
        <f t="shared" si="288"/>
        <v>21.058651026392962</v>
      </c>
      <c r="M124" s="152">
        <f t="shared" si="288"/>
        <v>15.17100977198697</v>
      </c>
      <c r="N124" s="152">
        <f t="shared" si="288"/>
        <v>18.436666666666667</v>
      </c>
      <c r="O124" s="152">
        <f t="shared" si="288"/>
        <v>21.159349593495936</v>
      </c>
      <c r="P124" s="152">
        <f t="shared" si="288"/>
        <v>25.725806451612904</v>
      </c>
      <c r="Q124" s="118">
        <f t="shared" si="267"/>
        <v>0.13461454806906614</v>
      </c>
      <c r="R124" s="20"/>
      <c r="S124" s="152">
        <f t="shared" ref="S124:AB124" si="289">S45/S23</f>
        <v>25.725806451612904</v>
      </c>
      <c r="T124" s="152">
        <f t="shared" si="289"/>
        <v>25.725806451612904</v>
      </c>
      <c r="U124" s="152">
        <f t="shared" si="289"/>
        <v>25.725806451612904</v>
      </c>
      <c r="V124" s="152">
        <f t="shared" si="289"/>
        <v>25.725806451612907</v>
      </c>
      <c r="W124" s="152">
        <f t="shared" si="289"/>
        <v>25.725806451612907</v>
      </c>
      <c r="X124" s="152">
        <f t="shared" si="289"/>
        <v>25.725806451612907</v>
      </c>
      <c r="Y124" s="152">
        <f t="shared" si="289"/>
        <v>25.725806451612907</v>
      </c>
      <c r="Z124" s="152">
        <f t="shared" si="289"/>
        <v>25.725806451612911</v>
      </c>
      <c r="AA124" s="152">
        <f t="shared" si="289"/>
        <v>25.725806451612915</v>
      </c>
      <c r="AB124" s="152">
        <f t="shared" si="289"/>
        <v>25.725806451612915</v>
      </c>
      <c r="AC124" s="137">
        <f t="shared" si="269"/>
        <v>6.1648612088707644E-2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27"/>
      <c r="R125" s="20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27"/>
      <c r="AD125" s="20"/>
      <c r="AE125" s="20"/>
    </row>
    <row r="126" spans="2:31" x14ac:dyDescent="0.2">
      <c r="B126" s="20" t="s">
        <v>335</v>
      </c>
      <c r="C126" s="20"/>
      <c r="D126" s="20"/>
      <c r="E126" s="165">
        <f t="shared" ref="E126:P126" si="290">E92*E69</f>
        <v>1</v>
      </c>
      <c r="F126" s="165">
        <f t="shared" si="290"/>
        <v>0</v>
      </c>
      <c r="G126" s="165">
        <f t="shared" si="290"/>
        <v>14.28</v>
      </c>
      <c r="H126" s="165">
        <f t="shared" si="290"/>
        <v>15.4125</v>
      </c>
      <c r="I126" s="165">
        <f t="shared" si="290"/>
        <v>18.593999999999998</v>
      </c>
      <c r="J126" s="165">
        <f t="shared" si="290"/>
        <v>22.826999999999998</v>
      </c>
      <c r="K126" s="165">
        <f t="shared" si="290"/>
        <v>25.844999999999999</v>
      </c>
      <c r="L126" s="165">
        <f t="shared" si="290"/>
        <v>25.92</v>
      </c>
      <c r="M126" s="165">
        <f t="shared" si="290"/>
        <v>29.5885</v>
      </c>
      <c r="N126" s="165">
        <f t="shared" si="290"/>
        <v>36.843499999999999</v>
      </c>
      <c r="O126" s="165">
        <f t="shared" si="290"/>
        <v>444.41339999999997</v>
      </c>
      <c r="P126" s="165">
        <f t="shared" si="290"/>
        <v>52.261999999999993</v>
      </c>
      <c r="Q126" s="118">
        <f t="shared" si="267"/>
        <v>0.15506499969421683</v>
      </c>
      <c r="R126" s="20"/>
      <c r="S126" s="165">
        <f t="shared" ref="S126:AB126" si="291">S92*S69</f>
        <v>63.106364999999997</v>
      </c>
      <c r="T126" s="165">
        <f t="shared" si="291"/>
        <v>76.200935737499989</v>
      </c>
      <c r="U126" s="165">
        <f t="shared" si="291"/>
        <v>92.012629903031225</v>
      </c>
      <c r="V126" s="165">
        <f t="shared" si="291"/>
        <v>111.10525060791019</v>
      </c>
      <c r="W126" s="165">
        <f t="shared" si="291"/>
        <v>134.15959010905155</v>
      </c>
      <c r="X126" s="165">
        <f t="shared" si="291"/>
        <v>161.99770505667976</v>
      </c>
      <c r="Y126" s="165">
        <f t="shared" si="291"/>
        <v>195.6122288559408</v>
      </c>
      <c r="Z126" s="165">
        <f t="shared" si="291"/>
        <v>236.20176634354851</v>
      </c>
      <c r="AA126" s="165">
        <f t="shared" si="291"/>
        <v>285.21363285983483</v>
      </c>
      <c r="AB126" s="165">
        <f t="shared" si="291"/>
        <v>344.39546167825063</v>
      </c>
      <c r="AC126" s="137">
        <f t="shared" si="269"/>
        <v>0.18237208853641684</v>
      </c>
      <c r="AD126" s="20"/>
      <c r="AE126" s="20"/>
    </row>
    <row r="127" spans="2:31" x14ac:dyDescent="0.2">
      <c r="B127" s="20" t="s">
        <v>336</v>
      </c>
      <c r="C127" s="20"/>
      <c r="D127" s="20"/>
      <c r="E127" s="165">
        <f>(E126*0.17)+E126</f>
        <v>1.17</v>
      </c>
      <c r="F127" s="165">
        <f>(F126*0.17)+F126</f>
        <v>0</v>
      </c>
      <c r="G127" s="165">
        <f t="shared" ref="G127:P127" si="292">(G126*0.17)+G126</f>
        <v>16.707599999999999</v>
      </c>
      <c r="H127" s="165">
        <f t="shared" si="292"/>
        <v>18.032624999999999</v>
      </c>
      <c r="I127" s="165">
        <f t="shared" si="292"/>
        <v>21.754979999999996</v>
      </c>
      <c r="J127" s="165">
        <f t="shared" si="292"/>
        <v>26.707589999999996</v>
      </c>
      <c r="K127" s="165">
        <f t="shared" si="292"/>
        <v>30.23865</v>
      </c>
      <c r="L127" s="165">
        <f t="shared" si="292"/>
        <v>30.326400000000003</v>
      </c>
      <c r="M127" s="165">
        <f t="shared" si="292"/>
        <v>34.618544999999997</v>
      </c>
      <c r="N127" s="165">
        <f t="shared" si="292"/>
        <v>43.106895000000002</v>
      </c>
      <c r="O127" s="165">
        <f t="shared" si="292"/>
        <v>519.96367799999996</v>
      </c>
      <c r="P127" s="165">
        <f t="shared" si="292"/>
        <v>61.146539999999995</v>
      </c>
      <c r="Q127" s="118">
        <f t="shared" si="267"/>
        <v>0.15506499969421683</v>
      </c>
      <c r="R127" s="20"/>
      <c r="S127" s="165">
        <f t="shared" ref="S127:AB127" si="293">(S126*0.17)+S126</f>
        <v>73.834447049999994</v>
      </c>
      <c r="T127" s="165">
        <f t="shared" si="293"/>
        <v>89.155094812874992</v>
      </c>
      <c r="U127" s="165">
        <f t="shared" si="293"/>
        <v>107.65477698654654</v>
      </c>
      <c r="V127" s="165">
        <f t="shared" si="293"/>
        <v>129.99314321125493</v>
      </c>
      <c r="W127" s="165">
        <f t="shared" si="293"/>
        <v>156.9667204275903</v>
      </c>
      <c r="X127" s="165">
        <f t="shared" si="293"/>
        <v>189.53731491631532</v>
      </c>
      <c r="Y127" s="165">
        <f t="shared" si="293"/>
        <v>228.86630776145074</v>
      </c>
      <c r="Z127" s="165">
        <f t="shared" si="293"/>
        <v>276.35606662195175</v>
      </c>
      <c r="AA127" s="165">
        <f t="shared" si="293"/>
        <v>333.69995044600677</v>
      </c>
      <c r="AB127" s="165">
        <f t="shared" si="293"/>
        <v>402.94269016355327</v>
      </c>
      <c r="AC127" s="137">
        <f t="shared" si="269"/>
        <v>0.18237208853641684</v>
      </c>
      <c r="AD127" s="20"/>
      <c r="AE127" s="20"/>
    </row>
    <row r="128" spans="2:31" x14ac:dyDescent="0.2">
      <c r="B128" s="20" t="s">
        <v>337</v>
      </c>
      <c r="C128" s="20"/>
      <c r="D128" s="20"/>
      <c r="E128" s="20"/>
      <c r="F128" s="152" t="e">
        <f t="shared" ref="F128:P128" si="294">F127/F67</f>
        <v>#DIV/0!</v>
      </c>
      <c r="G128" s="152">
        <f t="shared" si="294"/>
        <v>8.3371257485029937E-2</v>
      </c>
      <c r="H128" s="152">
        <f t="shared" si="294"/>
        <v>9.2951675257731958E-2</v>
      </c>
      <c r="I128" s="152">
        <f t="shared" si="294"/>
        <v>4.11247258979206E-2</v>
      </c>
      <c r="J128" s="152">
        <f t="shared" si="294"/>
        <v>5.0968683206106861E-2</v>
      </c>
      <c r="K128" s="152">
        <f t="shared" si="294"/>
        <v>3.156435281837161E-2</v>
      </c>
      <c r="L128" s="152">
        <f t="shared" si="294"/>
        <v>4.6512883435582825E-2</v>
      </c>
      <c r="M128" s="152">
        <f t="shared" si="294"/>
        <v>2.608782592313489E-2</v>
      </c>
      <c r="N128" s="152">
        <f t="shared" si="294"/>
        <v>2.7474120458891013E-2</v>
      </c>
      <c r="O128" s="152">
        <f t="shared" si="294"/>
        <v>0.28106144756756757</v>
      </c>
      <c r="P128" s="152">
        <f t="shared" si="294"/>
        <v>2.7743439201451902E-2</v>
      </c>
      <c r="Q128" s="118">
        <f t="shared" si="267"/>
        <v>-0.11507822293753078</v>
      </c>
      <c r="R128" s="20"/>
      <c r="S128" s="152">
        <f t="shared" ref="S128:AB128" si="295">S127/S67</f>
        <v>2.9130611161524499E-2</v>
      </c>
      <c r="T128" s="152">
        <f t="shared" si="295"/>
        <v>3.0587141719600728E-2</v>
      </c>
      <c r="U128" s="152">
        <f t="shared" si="295"/>
        <v>3.2116498805580762E-2</v>
      </c>
      <c r="V128" s="152">
        <f t="shared" si="295"/>
        <v>3.3722323745859803E-2</v>
      </c>
      <c r="W128" s="152">
        <f t="shared" si="295"/>
        <v>3.5408439933152791E-2</v>
      </c>
      <c r="X128" s="152">
        <f t="shared" si="295"/>
        <v>3.7178861929810438E-2</v>
      </c>
      <c r="Y128" s="152">
        <f t="shared" si="295"/>
        <v>3.9037805026300956E-2</v>
      </c>
      <c r="Z128" s="152">
        <f t="shared" si="295"/>
        <v>4.0989695277616006E-2</v>
      </c>
      <c r="AA128" s="152">
        <f t="shared" si="295"/>
        <v>4.3039180041496816E-2</v>
      </c>
      <c r="AB128" s="152">
        <f t="shared" si="295"/>
        <v>4.5191139043571665E-2</v>
      </c>
      <c r="AC128" s="137">
        <f t="shared" si="269"/>
        <v>-3.1717809513267636E-2</v>
      </c>
      <c r="AD128" s="20"/>
      <c r="AE128" s="20"/>
    </row>
    <row r="129" spans="2:31" x14ac:dyDescent="0.2">
      <c r="B129" s="20" t="s">
        <v>330</v>
      </c>
      <c r="C129" s="20"/>
      <c r="D129" s="20"/>
      <c r="E129" s="20"/>
      <c r="F129" s="152" t="e">
        <f>1-F128</f>
        <v>#DIV/0!</v>
      </c>
      <c r="G129" s="152">
        <f>1-G128</f>
        <v>0.91662874251497006</v>
      </c>
      <c r="H129" s="152">
        <f t="shared" ref="H129:P129" si="296">1-H128</f>
        <v>0.90704832474226804</v>
      </c>
      <c r="I129" s="152">
        <f t="shared" si="296"/>
        <v>0.9588752741020794</v>
      </c>
      <c r="J129" s="152">
        <f t="shared" si="296"/>
        <v>0.94903131679389319</v>
      </c>
      <c r="K129" s="152">
        <f t="shared" si="296"/>
        <v>0.96843564718162845</v>
      </c>
      <c r="L129" s="152">
        <f t="shared" si="296"/>
        <v>0.9534871165644172</v>
      </c>
      <c r="M129" s="152">
        <f t="shared" si="296"/>
        <v>0.97391217407686514</v>
      </c>
      <c r="N129" s="152">
        <f t="shared" si="296"/>
        <v>0.97252587954110903</v>
      </c>
      <c r="O129" s="152">
        <f t="shared" si="296"/>
        <v>0.71893855243243243</v>
      </c>
      <c r="P129" s="152">
        <f t="shared" si="296"/>
        <v>0.97225656079854805</v>
      </c>
      <c r="Q129" s="118">
        <f t="shared" si="267"/>
        <v>6.5678288504829041E-3</v>
      </c>
      <c r="R129" s="20"/>
      <c r="S129" s="152">
        <f t="shared" ref="S129:AB129" si="297">1-S128</f>
        <v>0.97086938883847551</v>
      </c>
      <c r="T129" s="152">
        <f t="shared" si="297"/>
        <v>0.96941285828039925</v>
      </c>
      <c r="U129" s="152">
        <f t="shared" si="297"/>
        <v>0.96788350119441924</v>
      </c>
      <c r="V129" s="152">
        <f t="shared" si="297"/>
        <v>0.96627767625414018</v>
      </c>
      <c r="W129" s="152">
        <f t="shared" si="297"/>
        <v>0.96459156006684721</v>
      </c>
      <c r="X129" s="152">
        <f t="shared" si="297"/>
        <v>0.96282113807018954</v>
      </c>
      <c r="Y129" s="152">
        <f t="shared" si="297"/>
        <v>0.96096219497369906</v>
      </c>
      <c r="Z129" s="152">
        <f t="shared" si="297"/>
        <v>0.95901030472238402</v>
      </c>
      <c r="AA129" s="152">
        <f t="shared" si="297"/>
        <v>0.95696081995850313</v>
      </c>
      <c r="AB129" s="152">
        <f t="shared" si="297"/>
        <v>0.95480886095642836</v>
      </c>
      <c r="AC129" s="137">
        <f t="shared" si="269"/>
        <v>2.1501316733951725E-3</v>
      </c>
      <c r="AD129" s="20"/>
      <c r="AE129" s="20"/>
    </row>
    <row r="130" spans="2:31" x14ac:dyDescent="0.2">
      <c r="B130" s="20"/>
      <c r="C130" s="20"/>
      <c r="D130" s="20"/>
      <c r="E130" s="20"/>
      <c r="F130" s="20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27"/>
      <c r="R130" s="20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27"/>
      <c r="AD130" s="20"/>
      <c r="AE130" s="20"/>
    </row>
    <row r="131" spans="2:31" x14ac:dyDescent="0.2">
      <c r="B131" s="20" t="s">
        <v>334</v>
      </c>
      <c r="C131" s="152"/>
      <c r="D131" s="152"/>
      <c r="E131" s="152"/>
      <c r="F131" s="152" t="e">
        <f>F53/F45</f>
        <v>#DIV/0!</v>
      </c>
      <c r="G131" s="152">
        <f>G53/G45</f>
        <v>0</v>
      </c>
      <c r="H131" s="152">
        <f t="shared" ref="H131:P131" si="298">H53/H45</f>
        <v>0</v>
      </c>
      <c r="I131" s="152">
        <f t="shared" si="298"/>
        <v>0</v>
      </c>
      <c r="J131" s="152">
        <f t="shared" si="298"/>
        <v>0</v>
      </c>
      <c r="K131" s="152">
        <f t="shared" si="298"/>
        <v>0</v>
      </c>
      <c r="L131" s="152">
        <f t="shared" si="298"/>
        <v>0</v>
      </c>
      <c r="M131" s="152">
        <f t="shared" si="298"/>
        <v>0</v>
      </c>
      <c r="N131" s="152">
        <f t="shared" si="298"/>
        <v>0</v>
      </c>
      <c r="O131" s="152">
        <f t="shared" si="298"/>
        <v>0</v>
      </c>
      <c r="P131" s="152">
        <f t="shared" si="298"/>
        <v>0</v>
      </c>
      <c r="Q131" s="118" t="e">
        <f t="shared" si="267"/>
        <v>#DIV/0!</v>
      </c>
      <c r="R131" s="20"/>
      <c r="S131" s="152">
        <f t="shared" ref="S131:AB131" si="299">S53/S45</f>
        <v>0</v>
      </c>
      <c r="T131" s="152">
        <f t="shared" si="299"/>
        <v>0</v>
      </c>
      <c r="U131" s="152">
        <f t="shared" si="299"/>
        <v>0</v>
      </c>
      <c r="V131" s="152">
        <f t="shared" si="299"/>
        <v>0</v>
      </c>
      <c r="W131" s="152">
        <f t="shared" si="299"/>
        <v>0</v>
      </c>
      <c r="X131" s="152">
        <f t="shared" si="299"/>
        <v>0</v>
      </c>
      <c r="Y131" s="152">
        <f t="shared" si="299"/>
        <v>0</v>
      </c>
      <c r="Z131" s="152">
        <f t="shared" si="299"/>
        <v>0</v>
      </c>
      <c r="AA131" s="152">
        <f t="shared" si="299"/>
        <v>0</v>
      </c>
      <c r="AB131" s="152">
        <f t="shared" si="299"/>
        <v>0</v>
      </c>
      <c r="AC131" s="137" t="e">
        <f t="shared" si="269"/>
        <v>#DIV/0!</v>
      </c>
      <c r="AD131" s="20"/>
      <c r="AE131" s="20"/>
    </row>
    <row r="132" spans="2:31" x14ac:dyDescent="0.2">
      <c r="B132" s="20" t="s">
        <v>331</v>
      </c>
      <c r="C132" s="152"/>
      <c r="D132" s="152"/>
      <c r="E132" s="152"/>
      <c r="F132" s="152" t="e">
        <f>F54/F45</f>
        <v>#DIV/0!</v>
      </c>
      <c r="G132" s="152">
        <f>G54/G45</f>
        <v>0</v>
      </c>
      <c r="H132" s="152">
        <f t="shared" ref="H132:P132" si="300">H54/H45</f>
        <v>0</v>
      </c>
      <c r="I132" s="152">
        <f t="shared" si="300"/>
        <v>0</v>
      </c>
      <c r="J132" s="152">
        <f t="shared" si="300"/>
        <v>0</v>
      </c>
      <c r="K132" s="152">
        <f t="shared" si="300"/>
        <v>0</v>
      </c>
      <c r="L132" s="152">
        <f t="shared" si="300"/>
        <v>0</v>
      </c>
      <c r="M132" s="152">
        <f t="shared" si="300"/>
        <v>0</v>
      </c>
      <c r="N132" s="152">
        <f t="shared" si="300"/>
        <v>0</v>
      </c>
      <c r="O132" s="152">
        <f t="shared" si="300"/>
        <v>0</v>
      </c>
      <c r="P132" s="152">
        <f t="shared" si="300"/>
        <v>0</v>
      </c>
      <c r="Q132" s="118" t="e">
        <f t="shared" si="267"/>
        <v>#DIV/0!</v>
      </c>
      <c r="R132" s="20"/>
      <c r="S132" s="152">
        <f t="shared" ref="S132:AB132" si="301">S54/S45</f>
        <v>0</v>
      </c>
      <c r="T132" s="152">
        <f t="shared" si="301"/>
        <v>0</v>
      </c>
      <c r="U132" s="152">
        <f t="shared" si="301"/>
        <v>0</v>
      </c>
      <c r="V132" s="152">
        <f t="shared" si="301"/>
        <v>0</v>
      </c>
      <c r="W132" s="152">
        <f t="shared" si="301"/>
        <v>0</v>
      </c>
      <c r="X132" s="152">
        <f t="shared" si="301"/>
        <v>0</v>
      </c>
      <c r="Y132" s="152">
        <f t="shared" si="301"/>
        <v>0</v>
      </c>
      <c r="Z132" s="152">
        <f t="shared" si="301"/>
        <v>0</v>
      </c>
      <c r="AA132" s="152">
        <f t="shared" si="301"/>
        <v>0</v>
      </c>
      <c r="AB132" s="152">
        <f t="shared" si="301"/>
        <v>0</v>
      </c>
      <c r="AC132" s="137" t="e">
        <f t="shared" si="269"/>
        <v>#DIV/0!</v>
      </c>
      <c r="AD132" s="20"/>
      <c r="AE132" s="20"/>
    </row>
    <row r="133" spans="2:31" x14ac:dyDescent="0.2">
      <c r="B133" s="20"/>
      <c r="C133" s="20"/>
      <c r="D133" s="20"/>
      <c r="E133" s="20"/>
      <c r="F133" s="20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27"/>
      <c r="R133" s="20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27"/>
      <c r="AD133" s="20"/>
      <c r="AE133" s="20"/>
    </row>
    <row r="134" spans="2:31" x14ac:dyDescent="0.2">
      <c r="B134" s="20" t="s">
        <v>355</v>
      </c>
      <c r="C134" s="20"/>
      <c r="D134" s="20"/>
      <c r="E134" s="20"/>
      <c r="F134" s="20"/>
      <c r="G134" s="152">
        <f>G47/G45</f>
        <v>0.82817869415807566</v>
      </c>
      <c r="H134" s="152">
        <f t="shared" ref="H134:P134" si="302">H47/H45</f>
        <v>0.88926940639269403</v>
      </c>
      <c r="I134" s="152">
        <f t="shared" si="302"/>
        <v>0.82272117962466484</v>
      </c>
      <c r="J134" s="152">
        <f t="shared" si="302"/>
        <v>0.87889273356401387</v>
      </c>
      <c r="K134" s="152">
        <f t="shared" si="302"/>
        <v>0.87508141200989975</v>
      </c>
      <c r="L134" s="152">
        <f t="shared" si="302"/>
        <v>0.90906558975073115</v>
      </c>
      <c r="M134" s="152">
        <f t="shared" si="302"/>
        <v>0.85743424584004291</v>
      </c>
      <c r="N134" s="152">
        <f t="shared" si="302"/>
        <v>0.85816308081721204</v>
      </c>
      <c r="O134" s="152">
        <f t="shared" si="302"/>
        <v>0.85783447321908857</v>
      </c>
      <c r="P134" s="152">
        <f t="shared" si="302"/>
        <v>0.86181818181818182</v>
      </c>
      <c r="Q134" s="118">
        <f t="shared" si="267"/>
        <v>4.4337308224335903E-3</v>
      </c>
      <c r="R134" s="20"/>
      <c r="S134" s="152">
        <f t="shared" ref="S134:AB134" si="303">S47/S45</f>
        <v>0.86181818181818182</v>
      </c>
      <c r="T134" s="152">
        <f t="shared" si="303"/>
        <v>0.86181818181818182</v>
      </c>
      <c r="U134" s="152">
        <f t="shared" si="303"/>
        <v>0.86181818181818171</v>
      </c>
      <c r="V134" s="152">
        <f t="shared" si="303"/>
        <v>0.86181818181818159</v>
      </c>
      <c r="W134" s="152">
        <f t="shared" si="303"/>
        <v>0.86181818181818159</v>
      </c>
      <c r="X134" s="152">
        <f t="shared" si="303"/>
        <v>0.86181818181818159</v>
      </c>
      <c r="Y134" s="152">
        <f t="shared" si="303"/>
        <v>0.86181818181818148</v>
      </c>
      <c r="Z134" s="152">
        <f t="shared" si="303"/>
        <v>0.86181818181818148</v>
      </c>
      <c r="AA134" s="152">
        <f t="shared" si="303"/>
        <v>0.86181818181818148</v>
      </c>
      <c r="AB134" s="152">
        <f t="shared" si="303"/>
        <v>0.86181818181818148</v>
      </c>
      <c r="AC134" s="137">
        <f t="shared" si="269"/>
        <v>2.0977433571280901E-3</v>
      </c>
      <c r="AD134" s="20"/>
      <c r="AE134" s="20"/>
    </row>
    <row r="135" spans="2:31" x14ac:dyDescent="0.2">
      <c r="B135" s="20" t="str">
        <f>B55</f>
        <v>Top Expenses ( Raw material )</v>
      </c>
      <c r="C135" s="20"/>
      <c r="D135" s="20"/>
      <c r="E135" s="20"/>
      <c r="F135" s="20"/>
      <c r="G135" s="152">
        <f>G55/G45</f>
        <v>0</v>
      </c>
      <c r="H135" s="152">
        <f t="shared" ref="H135:P135" si="304">H55/H45</f>
        <v>0</v>
      </c>
      <c r="I135" s="152">
        <f t="shared" si="304"/>
        <v>0</v>
      </c>
      <c r="J135" s="152">
        <f t="shared" si="304"/>
        <v>0</v>
      </c>
      <c r="K135" s="152">
        <f t="shared" si="304"/>
        <v>0</v>
      </c>
      <c r="L135" s="152">
        <f t="shared" si="304"/>
        <v>0</v>
      </c>
      <c r="M135" s="152">
        <f t="shared" si="304"/>
        <v>0</v>
      </c>
      <c r="N135" s="152">
        <f t="shared" si="304"/>
        <v>0</v>
      </c>
      <c r="O135" s="152">
        <f t="shared" si="304"/>
        <v>0</v>
      </c>
      <c r="P135" s="152">
        <f t="shared" si="304"/>
        <v>0</v>
      </c>
      <c r="Q135" s="118" t="e">
        <f t="shared" si="267"/>
        <v>#DIV/0!</v>
      </c>
      <c r="R135" s="20"/>
      <c r="S135" s="152">
        <f t="shared" ref="S135:AB135" si="305">S55/S45</f>
        <v>0</v>
      </c>
      <c r="T135" s="152">
        <f t="shared" si="305"/>
        <v>0</v>
      </c>
      <c r="U135" s="152">
        <f t="shared" si="305"/>
        <v>0</v>
      </c>
      <c r="V135" s="152">
        <f t="shared" si="305"/>
        <v>0</v>
      </c>
      <c r="W135" s="152">
        <f t="shared" si="305"/>
        <v>0</v>
      </c>
      <c r="X135" s="152">
        <f t="shared" si="305"/>
        <v>0</v>
      </c>
      <c r="Y135" s="152">
        <f t="shared" si="305"/>
        <v>0</v>
      </c>
      <c r="Z135" s="152">
        <f t="shared" si="305"/>
        <v>0</v>
      </c>
      <c r="AA135" s="152">
        <f t="shared" si="305"/>
        <v>0</v>
      </c>
      <c r="AB135" s="152">
        <f t="shared" si="305"/>
        <v>0</v>
      </c>
      <c r="AC135" s="137" t="e">
        <f t="shared" si="269"/>
        <v>#DIV/0!</v>
      </c>
      <c r="AD135" s="20"/>
      <c r="AE135" s="20"/>
    </row>
    <row r="136" spans="2:31" x14ac:dyDescent="0.2">
      <c r="B136" s="20" t="str">
        <f>B56</f>
        <v>2nd highest Expenses Comp. ( Empl )</v>
      </c>
      <c r="C136" s="20"/>
      <c r="D136" s="20"/>
      <c r="E136" s="20"/>
      <c r="F136" s="20"/>
      <c r="G136" s="152">
        <f>G56/G45</f>
        <v>0</v>
      </c>
      <c r="H136" s="152">
        <f t="shared" ref="H136:P136" si="306">H56/H45</f>
        <v>0</v>
      </c>
      <c r="I136" s="152">
        <f t="shared" si="306"/>
        <v>0</v>
      </c>
      <c r="J136" s="152">
        <f t="shared" si="306"/>
        <v>0</v>
      </c>
      <c r="K136" s="152">
        <f t="shared" si="306"/>
        <v>0</v>
      </c>
      <c r="L136" s="152">
        <f t="shared" si="306"/>
        <v>0</v>
      </c>
      <c r="M136" s="152">
        <f t="shared" si="306"/>
        <v>0</v>
      </c>
      <c r="N136" s="152">
        <f t="shared" si="306"/>
        <v>0</v>
      </c>
      <c r="O136" s="152">
        <f t="shared" si="306"/>
        <v>0</v>
      </c>
      <c r="P136" s="152">
        <f t="shared" si="306"/>
        <v>0</v>
      </c>
      <c r="Q136" s="118" t="e">
        <f t="shared" si="267"/>
        <v>#DIV/0!</v>
      </c>
      <c r="R136" s="20"/>
      <c r="S136" s="152">
        <f t="shared" ref="S136:AB136" si="307">S56/S45</f>
        <v>0</v>
      </c>
      <c r="T136" s="152">
        <f t="shared" si="307"/>
        <v>0</v>
      </c>
      <c r="U136" s="152">
        <f t="shared" si="307"/>
        <v>0</v>
      </c>
      <c r="V136" s="152">
        <f t="shared" si="307"/>
        <v>0</v>
      </c>
      <c r="W136" s="152">
        <f t="shared" si="307"/>
        <v>0</v>
      </c>
      <c r="X136" s="152">
        <f t="shared" si="307"/>
        <v>0</v>
      </c>
      <c r="Y136" s="152">
        <f t="shared" si="307"/>
        <v>0</v>
      </c>
      <c r="Z136" s="152">
        <f t="shared" si="307"/>
        <v>0</v>
      </c>
      <c r="AA136" s="152">
        <f t="shared" si="307"/>
        <v>0</v>
      </c>
      <c r="AB136" s="152">
        <f t="shared" si="307"/>
        <v>0</v>
      </c>
      <c r="AC136" s="137" t="e">
        <f t="shared" si="269"/>
        <v>#DIV/0!</v>
      </c>
      <c r="AD136" s="20"/>
      <c r="AE136" s="20"/>
    </row>
    <row r="137" spans="2:31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127"/>
      <c r="R137" s="127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38"/>
      <c r="AD137" s="20"/>
      <c r="AE137" s="20"/>
    </row>
    <row r="138" spans="2:31" x14ac:dyDescent="0.2">
      <c r="B138" s="108" t="s">
        <v>382</v>
      </c>
      <c r="C138" s="20"/>
      <c r="D138" s="20"/>
      <c r="E138" s="20"/>
      <c r="F138" s="20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127"/>
      <c r="R138" s="127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127"/>
      <c r="AD138" s="20"/>
      <c r="AE138" s="20"/>
    </row>
    <row r="139" spans="2:31" x14ac:dyDescent="0.2">
      <c r="B139" s="20" t="s">
        <v>383</v>
      </c>
      <c r="C139" s="20"/>
      <c r="D139" s="20"/>
      <c r="E139" s="20"/>
      <c r="F139" s="20"/>
      <c r="G139" s="20" t="e">
        <f>G17/G9</f>
        <v>#DIV/0!</v>
      </c>
      <c r="H139" s="20" t="e">
        <f t="shared" ref="H139:AB139" si="308">H17/H9</f>
        <v>#DIV/0!</v>
      </c>
      <c r="I139" s="20" t="e">
        <f t="shared" si="308"/>
        <v>#DIV/0!</v>
      </c>
      <c r="J139" s="20" t="e">
        <f t="shared" si="308"/>
        <v>#DIV/0!</v>
      </c>
      <c r="K139" s="20" t="e">
        <f t="shared" si="308"/>
        <v>#DIV/0!</v>
      </c>
      <c r="L139" s="20" t="e">
        <f t="shared" si="308"/>
        <v>#DIV/0!</v>
      </c>
      <c r="M139" s="20" t="e">
        <f t="shared" si="308"/>
        <v>#DIV/0!</v>
      </c>
      <c r="N139" s="20" t="e">
        <f t="shared" si="308"/>
        <v>#DIV/0!</v>
      </c>
      <c r="O139" s="20" t="e">
        <f t="shared" si="308"/>
        <v>#DIV/0!</v>
      </c>
      <c r="P139" s="20" t="e">
        <f t="shared" si="308"/>
        <v>#DIV/0!</v>
      </c>
      <c r="Q139" s="118" t="e">
        <f t="shared" si="267"/>
        <v>#DIV/0!</v>
      </c>
      <c r="R139" s="20"/>
      <c r="S139" s="20" t="e">
        <f t="shared" si="308"/>
        <v>#DIV/0!</v>
      </c>
      <c r="T139" s="20" t="e">
        <f t="shared" si="308"/>
        <v>#DIV/0!</v>
      </c>
      <c r="U139" s="20" t="e">
        <f t="shared" si="308"/>
        <v>#DIV/0!</v>
      </c>
      <c r="V139" s="20" t="e">
        <f t="shared" si="308"/>
        <v>#DIV/0!</v>
      </c>
      <c r="W139" s="20" t="e">
        <f t="shared" si="308"/>
        <v>#DIV/0!</v>
      </c>
      <c r="X139" s="20" t="e">
        <f t="shared" si="308"/>
        <v>#DIV/0!</v>
      </c>
      <c r="Y139" s="20" t="e">
        <f t="shared" si="308"/>
        <v>#DIV/0!</v>
      </c>
      <c r="Z139" s="20" t="e">
        <f t="shared" si="308"/>
        <v>#DIV/0!</v>
      </c>
      <c r="AA139" s="20" t="e">
        <f t="shared" si="308"/>
        <v>#DIV/0!</v>
      </c>
      <c r="AB139" s="20" t="e">
        <f t="shared" si="308"/>
        <v>#DIV/0!</v>
      </c>
      <c r="AC139" s="137" t="e">
        <f t="shared" si="269"/>
        <v>#DIV/0!</v>
      </c>
      <c r="AD139" s="20"/>
      <c r="AE139" s="20"/>
    </row>
    <row r="140" spans="2:31" x14ac:dyDescent="0.2">
      <c r="B140" s="20" t="s">
        <v>356</v>
      </c>
      <c r="C140" s="20"/>
      <c r="D140" s="20"/>
      <c r="E140" s="20"/>
      <c r="F140" s="20"/>
      <c r="G140" s="20" t="e">
        <f>G12/G9</f>
        <v>#DIV/0!</v>
      </c>
      <c r="H140" s="20" t="e">
        <f t="shared" ref="H140:P140" si="309">H12/H9</f>
        <v>#DIV/0!</v>
      </c>
      <c r="I140" s="20" t="e">
        <f t="shared" si="309"/>
        <v>#DIV/0!</v>
      </c>
      <c r="J140" s="20" t="e">
        <f t="shared" si="309"/>
        <v>#DIV/0!</v>
      </c>
      <c r="K140" s="20" t="e">
        <f t="shared" si="309"/>
        <v>#DIV/0!</v>
      </c>
      <c r="L140" s="20" t="e">
        <f t="shared" si="309"/>
        <v>#DIV/0!</v>
      </c>
      <c r="M140" s="20" t="e">
        <f t="shared" si="309"/>
        <v>#DIV/0!</v>
      </c>
      <c r="N140" s="20" t="e">
        <f t="shared" si="309"/>
        <v>#DIV/0!</v>
      </c>
      <c r="O140" s="20" t="e">
        <f t="shared" si="309"/>
        <v>#DIV/0!</v>
      </c>
      <c r="P140" s="20" t="e">
        <f t="shared" si="309"/>
        <v>#DIV/0!</v>
      </c>
      <c r="Q140" s="118" t="e">
        <f t="shared" si="267"/>
        <v>#DIV/0!</v>
      </c>
      <c r="R140" s="127"/>
      <c r="S140" s="20" t="e">
        <f t="shared" ref="S140:AB140" si="310">S12/S9</f>
        <v>#DIV/0!</v>
      </c>
      <c r="T140" s="20" t="e">
        <f t="shared" si="310"/>
        <v>#DIV/0!</v>
      </c>
      <c r="U140" s="20" t="e">
        <f t="shared" si="310"/>
        <v>#DIV/0!</v>
      </c>
      <c r="V140" s="20" t="e">
        <f t="shared" si="310"/>
        <v>#DIV/0!</v>
      </c>
      <c r="W140" s="20" t="e">
        <f t="shared" si="310"/>
        <v>#DIV/0!</v>
      </c>
      <c r="X140" s="20" t="e">
        <f t="shared" si="310"/>
        <v>#DIV/0!</v>
      </c>
      <c r="Y140" s="20" t="e">
        <f t="shared" si="310"/>
        <v>#DIV/0!</v>
      </c>
      <c r="Z140" s="20" t="e">
        <f t="shared" si="310"/>
        <v>#DIV/0!</v>
      </c>
      <c r="AA140" s="20" t="e">
        <f t="shared" si="310"/>
        <v>#DIV/0!</v>
      </c>
      <c r="AB140" s="20" t="e">
        <f t="shared" si="310"/>
        <v>#DIV/0!</v>
      </c>
      <c r="AC140" s="118" t="e">
        <f t="shared" ref="AC140" si="311">((AB140/S140)^(1/($H$2-$H$1) ))-1</f>
        <v>#DIV/0!</v>
      </c>
      <c r="AD140" s="20"/>
      <c r="AE140" s="20"/>
    </row>
    <row r="141" spans="2:31" x14ac:dyDescent="0.2">
      <c r="B141" s="20" t="s">
        <v>358</v>
      </c>
      <c r="C141" s="20"/>
      <c r="D141" s="20"/>
      <c r="E141" s="20"/>
      <c r="F141" s="20"/>
      <c r="G141" s="25">
        <f>G45/360</f>
        <v>3.2333333333333334</v>
      </c>
      <c r="H141" s="25">
        <f t="shared" ref="H141:P141" si="312">H45/360</f>
        <v>4.8666666666666663</v>
      </c>
      <c r="I141" s="25">
        <f t="shared" si="312"/>
        <v>8.2888888888888896</v>
      </c>
      <c r="J141" s="25">
        <f t="shared" si="312"/>
        <v>12.041666666666666</v>
      </c>
      <c r="K141" s="25">
        <f t="shared" si="312"/>
        <v>21.324999999999999</v>
      </c>
      <c r="L141" s="25">
        <f t="shared" si="312"/>
        <v>19.947222222222223</v>
      </c>
      <c r="M141" s="25">
        <f t="shared" si="312"/>
        <v>25.875</v>
      </c>
      <c r="N141" s="25">
        <f t="shared" si="312"/>
        <v>30.727777777777778</v>
      </c>
      <c r="O141" s="25">
        <f t="shared" si="312"/>
        <v>36.147222222222226</v>
      </c>
      <c r="P141" s="25">
        <f t="shared" si="312"/>
        <v>44.305555555555557</v>
      </c>
      <c r="Q141" s="118">
        <f t="shared" si="267"/>
        <v>0.33755598027667855</v>
      </c>
      <c r="R141" s="127"/>
      <c r="S141" s="25">
        <f t="shared" ref="S141:AB141" si="313">S45/360</f>
        <v>50.951388888888886</v>
      </c>
      <c r="T141" s="25">
        <f t="shared" si="313"/>
        <v>58.594097222222224</v>
      </c>
      <c r="U141" s="25">
        <f t="shared" si="313"/>
        <v>67.383211805555547</v>
      </c>
      <c r="V141" s="25">
        <f t="shared" si="313"/>
        <v>77.490693576388878</v>
      </c>
      <c r="W141" s="25">
        <f t="shared" si="313"/>
        <v>89.11429761284721</v>
      </c>
      <c r="X141" s="25">
        <f t="shared" si="313"/>
        <v>102.48144225477428</v>
      </c>
      <c r="Y141" s="25">
        <f t="shared" si="313"/>
        <v>117.85365859299041</v>
      </c>
      <c r="Z141" s="25">
        <f t="shared" si="313"/>
        <v>135.53170738193899</v>
      </c>
      <c r="AA141" s="25">
        <f t="shared" si="313"/>
        <v>155.86146348922981</v>
      </c>
      <c r="AB141" s="25">
        <f t="shared" si="313"/>
        <v>179.24068301261428</v>
      </c>
      <c r="AC141" s="118">
        <f t="shared" ref="AC141:AC148" si="314">((AB141/S141)^(1/($H$2-$H$1) ))-1</f>
        <v>0.14999999999999991</v>
      </c>
      <c r="AD141" s="20"/>
      <c r="AE141" s="20"/>
    </row>
    <row r="142" spans="2:31" x14ac:dyDescent="0.2">
      <c r="B142" s="20" t="s">
        <v>357</v>
      </c>
      <c r="C142" s="20"/>
      <c r="D142" s="20"/>
      <c r="E142" s="20"/>
      <c r="F142" s="20"/>
      <c r="G142" s="25">
        <f>G47/360</f>
        <v>2.6777777777777776</v>
      </c>
      <c r="H142" s="25">
        <f t="shared" ref="H142:P142" si="315">H47/360</f>
        <v>4.3277777777777775</v>
      </c>
      <c r="I142" s="25">
        <f t="shared" si="315"/>
        <v>6.8194444444444446</v>
      </c>
      <c r="J142" s="25">
        <f t="shared" si="315"/>
        <v>10.583333333333334</v>
      </c>
      <c r="K142" s="25">
        <f t="shared" si="315"/>
        <v>18.661111111111111</v>
      </c>
      <c r="L142" s="25">
        <f t="shared" si="315"/>
        <v>18.133333333333333</v>
      </c>
      <c r="M142" s="25">
        <f t="shared" si="315"/>
        <v>22.18611111111111</v>
      </c>
      <c r="N142" s="25">
        <f t="shared" si="315"/>
        <v>26.369444444444444</v>
      </c>
      <c r="O142" s="25">
        <f t="shared" si="315"/>
        <v>31.008333333333333</v>
      </c>
      <c r="P142" s="25">
        <f t="shared" si="315"/>
        <v>38.18333333333333</v>
      </c>
      <c r="Q142" s="118">
        <f t="shared" si="267"/>
        <v>0.34348634345316165</v>
      </c>
      <c r="R142" s="127"/>
      <c r="S142" s="25">
        <f t="shared" ref="S142:AB142" si="316">S47/360</f>
        <v>43.910833333333329</v>
      </c>
      <c r="T142" s="25">
        <f t="shared" si="316"/>
        <v>50.497458333333334</v>
      </c>
      <c r="U142" s="25">
        <f t="shared" si="316"/>
        <v>58.072077083333319</v>
      </c>
      <c r="V142" s="25">
        <f t="shared" si="316"/>
        <v>66.78288864583331</v>
      </c>
      <c r="W142" s="25">
        <f t="shared" si="316"/>
        <v>76.800321942708308</v>
      </c>
      <c r="X142" s="25">
        <f t="shared" si="316"/>
        <v>88.320370234114534</v>
      </c>
      <c r="Y142" s="25">
        <f t="shared" si="316"/>
        <v>101.56842576923171</v>
      </c>
      <c r="Z142" s="25">
        <f t="shared" si="316"/>
        <v>116.80368963461646</v>
      </c>
      <c r="AA142" s="25">
        <f t="shared" si="316"/>
        <v>134.32424307980892</v>
      </c>
      <c r="AB142" s="25">
        <f t="shared" si="316"/>
        <v>154.47287954178023</v>
      </c>
      <c r="AC142" s="118">
        <f t="shared" si="314"/>
        <v>0.14999999999999991</v>
      </c>
      <c r="AD142" s="20"/>
      <c r="AE142" s="20"/>
    </row>
    <row r="143" spans="2:31" x14ac:dyDescent="0.2">
      <c r="B143" s="20"/>
      <c r="C143" s="20"/>
      <c r="D143" s="20"/>
      <c r="E143" s="20"/>
      <c r="F143" s="20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127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127"/>
      <c r="AD143" s="20"/>
      <c r="AE143" s="20"/>
    </row>
    <row r="144" spans="2:31" x14ac:dyDescent="0.2">
      <c r="B144" s="20" t="s">
        <v>384</v>
      </c>
      <c r="C144" s="20"/>
      <c r="D144" s="20"/>
      <c r="E144" s="20"/>
      <c r="F144" s="20"/>
      <c r="G144" s="25">
        <f>G10/G7</f>
        <v>5.9255663430420711</v>
      </c>
      <c r="H144" s="25">
        <f t="shared" ref="H144:P144" si="317">H10/H7</f>
        <v>5.1331521739130439</v>
      </c>
      <c r="I144" s="25">
        <f t="shared" si="317"/>
        <v>5.0549158547387067</v>
      </c>
      <c r="J144" s="25">
        <f t="shared" si="317"/>
        <v>6.0245323520392517</v>
      </c>
      <c r="K144" s="25">
        <f t="shared" si="317"/>
        <v>4.4991499489969398</v>
      </c>
      <c r="L144" s="25">
        <f t="shared" si="317"/>
        <v>3.762019957665558</v>
      </c>
      <c r="M144" s="25">
        <f t="shared" si="317"/>
        <v>4.4826114249843068</v>
      </c>
      <c r="N144" s="25">
        <f t="shared" si="317"/>
        <v>4.4900445495045007</v>
      </c>
      <c r="O144" s="25">
        <f t="shared" si="317"/>
        <v>5.075763432547352</v>
      </c>
      <c r="P144" s="25">
        <f t="shared" si="317"/>
        <v>5.6698107028230824</v>
      </c>
      <c r="Q144" s="118">
        <f t="shared" si="267"/>
        <v>-4.8902852435773747E-3</v>
      </c>
      <c r="R144" s="127"/>
      <c r="S144" s="25">
        <f t="shared" ref="S144:AB144" si="318">S10/S7</f>
        <v>5.6698107028230824</v>
      </c>
      <c r="T144" s="25">
        <f t="shared" si="318"/>
        <v>5.6698107028230824</v>
      </c>
      <c r="U144" s="25">
        <f t="shared" si="318"/>
        <v>5.6698107028230815</v>
      </c>
      <c r="V144" s="25">
        <f t="shared" si="318"/>
        <v>5.6698107028230815</v>
      </c>
      <c r="W144" s="25">
        <f t="shared" si="318"/>
        <v>5.6698107028230815</v>
      </c>
      <c r="X144" s="25">
        <f t="shared" si="318"/>
        <v>5.6698107028230815</v>
      </c>
      <c r="Y144" s="25">
        <f t="shared" si="318"/>
        <v>5.6698107028230824</v>
      </c>
      <c r="Z144" s="25">
        <f t="shared" si="318"/>
        <v>5.6698107028230815</v>
      </c>
      <c r="AA144" s="25">
        <f t="shared" si="318"/>
        <v>5.6698107028230815</v>
      </c>
      <c r="AB144" s="25">
        <f t="shared" si="318"/>
        <v>5.6698107028230806</v>
      </c>
      <c r="AC144" s="118">
        <f t="shared" si="314"/>
        <v>0</v>
      </c>
      <c r="AD144" s="20"/>
      <c r="AE144" s="20"/>
    </row>
    <row r="145" spans="2:31" x14ac:dyDescent="0.2">
      <c r="B145" s="20" t="s">
        <v>359</v>
      </c>
      <c r="C145" s="20"/>
      <c r="D145" s="20"/>
      <c r="E145" s="20"/>
      <c r="F145" s="20"/>
      <c r="G145" s="25">
        <f>G10/(G10+G7)</f>
        <v>0.85560747663551406</v>
      </c>
      <c r="H145" s="25">
        <f t="shared" ref="H145:P145" si="319">H10/(H10+H7)</f>
        <v>0.83695170580416478</v>
      </c>
      <c r="I145" s="25">
        <f t="shared" si="319"/>
        <v>0.83484493856056174</v>
      </c>
      <c r="J145" s="25">
        <f t="shared" si="319"/>
        <v>0.85764176889160515</v>
      </c>
      <c r="K145" s="25">
        <f t="shared" si="319"/>
        <v>0.81815371297842088</v>
      </c>
      <c r="L145" s="25">
        <f t="shared" si="319"/>
        <v>0.79000508001016001</v>
      </c>
      <c r="M145" s="25">
        <f t="shared" si="319"/>
        <v>0.81760516613616063</v>
      </c>
      <c r="N145" s="25">
        <f t="shared" si="319"/>
        <v>0.81785211559162041</v>
      </c>
      <c r="O145" s="25">
        <f t="shared" si="319"/>
        <v>0.83541162997836871</v>
      </c>
      <c r="P145" s="25">
        <f t="shared" si="319"/>
        <v>0.85007070746749425</v>
      </c>
      <c r="Q145" s="118">
        <f t="shared" si="267"/>
        <v>-7.2109370468464995E-4</v>
      </c>
      <c r="R145" s="127"/>
      <c r="S145" s="25">
        <f t="shared" ref="S145:AB145" si="320">S10/(S10+S7)</f>
        <v>0.85007070746749414</v>
      </c>
      <c r="T145" s="25">
        <f t="shared" si="320"/>
        <v>0.85007070746749425</v>
      </c>
      <c r="U145" s="25">
        <f t="shared" si="320"/>
        <v>0.85007070746749425</v>
      </c>
      <c r="V145" s="25">
        <f t="shared" si="320"/>
        <v>0.85007070746749414</v>
      </c>
      <c r="W145" s="25">
        <f t="shared" si="320"/>
        <v>0.85007070746749425</v>
      </c>
      <c r="X145" s="25">
        <f t="shared" si="320"/>
        <v>0.85007070746749425</v>
      </c>
      <c r="Y145" s="25">
        <f t="shared" si="320"/>
        <v>0.85007070746749425</v>
      </c>
      <c r="Z145" s="25">
        <f t="shared" si="320"/>
        <v>0.85007070746749414</v>
      </c>
      <c r="AA145" s="25">
        <f t="shared" si="320"/>
        <v>0.85007070746749414</v>
      </c>
      <c r="AB145" s="25">
        <f t="shared" si="320"/>
        <v>0.85007070746749414</v>
      </c>
      <c r="AC145" s="118">
        <f t="shared" si="314"/>
        <v>0</v>
      </c>
      <c r="AD145" s="20"/>
      <c r="AE145" s="20"/>
    </row>
    <row r="146" spans="2:31" x14ac:dyDescent="0.2">
      <c r="B146" s="20"/>
      <c r="C146" s="20"/>
      <c r="D146" s="20"/>
      <c r="E146" s="20"/>
      <c r="F146" s="20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127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127"/>
      <c r="AD146" s="20"/>
      <c r="AE146" s="20"/>
    </row>
    <row r="147" spans="2:31" x14ac:dyDescent="0.2">
      <c r="B147" s="20" t="s">
        <v>385</v>
      </c>
      <c r="C147" s="20"/>
      <c r="D147" s="20"/>
      <c r="E147" s="20"/>
      <c r="F147" s="20"/>
      <c r="G147" s="25">
        <f>G18</f>
        <v>0</v>
      </c>
      <c r="H147" s="25">
        <f t="shared" ref="H147:P147" si="321">H18</f>
        <v>0</v>
      </c>
      <c r="I147" s="25">
        <f t="shared" si="321"/>
        <v>0</v>
      </c>
      <c r="J147" s="25">
        <f t="shared" si="321"/>
        <v>0</v>
      </c>
      <c r="K147" s="25">
        <f t="shared" si="321"/>
        <v>0</v>
      </c>
      <c r="L147" s="25">
        <f t="shared" si="321"/>
        <v>0</v>
      </c>
      <c r="M147" s="25">
        <f t="shared" si="321"/>
        <v>0</v>
      </c>
      <c r="N147" s="25">
        <f t="shared" si="321"/>
        <v>0</v>
      </c>
      <c r="O147" s="25">
        <f t="shared" si="321"/>
        <v>0</v>
      </c>
      <c r="P147" s="25">
        <f t="shared" si="321"/>
        <v>0</v>
      </c>
      <c r="Q147" s="118" t="e">
        <f t="shared" si="267"/>
        <v>#DIV/0!</v>
      </c>
      <c r="R147" s="127"/>
      <c r="S147" s="25">
        <f t="shared" ref="S147:AB147" si="322">S18</f>
        <v>0</v>
      </c>
      <c r="T147" s="25">
        <f t="shared" si="322"/>
        <v>0</v>
      </c>
      <c r="U147" s="25">
        <f t="shared" si="322"/>
        <v>0</v>
      </c>
      <c r="V147" s="25">
        <f t="shared" si="322"/>
        <v>0</v>
      </c>
      <c r="W147" s="25">
        <f t="shared" si="322"/>
        <v>0</v>
      </c>
      <c r="X147" s="25">
        <f t="shared" si="322"/>
        <v>0</v>
      </c>
      <c r="Y147" s="25">
        <f t="shared" si="322"/>
        <v>0</v>
      </c>
      <c r="Z147" s="25">
        <f t="shared" si="322"/>
        <v>0</v>
      </c>
      <c r="AA147" s="25">
        <f t="shared" si="322"/>
        <v>0</v>
      </c>
      <c r="AB147" s="25">
        <f t="shared" si="322"/>
        <v>0</v>
      </c>
      <c r="AC147" s="118" t="e">
        <f t="shared" si="314"/>
        <v>#DIV/0!</v>
      </c>
      <c r="AD147" s="20"/>
      <c r="AE147" s="20"/>
    </row>
    <row r="148" spans="2:31" x14ac:dyDescent="0.2">
      <c r="B148" s="20" t="s">
        <v>386</v>
      </c>
      <c r="C148" s="20"/>
      <c r="D148" s="20"/>
      <c r="E148" s="20"/>
      <c r="F148" s="20"/>
      <c r="G148" s="119">
        <f t="shared" ref="G148:P148" si="323">G147*365/G49</f>
        <v>0</v>
      </c>
      <c r="H148" s="119">
        <f t="shared" si="323"/>
        <v>0</v>
      </c>
      <c r="I148" s="119">
        <f t="shared" si="323"/>
        <v>0</v>
      </c>
      <c r="J148" s="119">
        <f t="shared" si="323"/>
        <v>0</v>
      </c>
      <c r="K148" s="119">
        <f t="shared" si="323"/>
        <v>0</v>
      </c>
      <c r="L148" s="119">
        <f t="shared" si="323"/>
        <v>0</v>
      </c>
      <c r="M148" s="119">
        <f t="shared" si="323"/>
        <v>0</v>
      </c>
      <c r="N148" s="119">
        <f t="shared" si="323"/>
        <v>0</v>
      </c>
      <c r="O148" s="119">
        <f t="shared" si="323"/>
        <v>0</v>
      </c>
      <c r="P148" s="119">
        <f t="shared" si="323"/>
        <v>0</v>
      </c>
      <c r="Q148" s="118" t="e">
        <f t="shared" si="267"/>
        <v>#DIV/0!</v>
      </c>
      <c r="R148" s="127"/>
      <c r="S148" s="119">
        <f t="shared" ref="S148:AB148" si="324">S147*365/S49</f>
        <v>0</v>
      </c>
      <c r="T148" s="119">
        <f t="shared" si="324"/>
        <v>0</v>
      </c>
      <c r="U148" s="119">
        <f t="shared" si="324"/>
        <v>0</v>
      </c>
      <c r="V148" s="119">
        <f t="shared" si="324"/>
        <v>0</v>
      </c>
      <c r="W148" s="119">
        <f t="shared" si="324"/>
        <v>0</v>
      </c>
      <c r="X148" s="119">
        <f t="shared" si="324"/>
        <v>0</v>
      </c>
      <c r="Y148" s="119">
        <f t="shared" si="324"/>
        <v>0</v>
      </c>
      <c r="Z148" s="119">
        <f t="shared" si="324"/>
        <v>0</v>
      </c>
      <c r="AA148" s="119">
        <f t="shared" si="324"/>
        <v>0</v>
      </c>
      <c r="AB148" s="119">
        <f t="shared" si="324"/>
        <v>0</v>
      </c>
      <c r="AC148" s="118" t="e">
        <f t="shared" si="314"/>
        <v>#DIV/0!</v>
      </c>
      <c r="AD148" s="20"/>
      <c r="AE148" s="20"/>
    </row>
    <row r="149" spans="2:31" x14ac:dyDescent="0.2">
      <c r="B149" s="20" t="s">
        <v>387</v>
      </c>
      <c r="C149" s="20"/>
      <c r="D149" s="20"/>
      <c r="E149" s="20"/>
      <c r="F149" s="20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118" t="e">
        <f t="shared" si="267"/>
        <v>#DIV/0!</v>
      </c>
      <c r="R149" s="127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127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127"/>
      <c r="AD150" s="20"/>
      <c r="AE150" s="20"/>
    </row>
    <row r="151" spans="2:31" x14ac:dyDescent="0.2">
      <c r="B151" s="20" t="s">
        <v>388</v>
      </c>
      <c r="C151" s="20"/>
      <c r="D151" s="20"/>
      <c r="E151" s="20"/>
      <c r="F151" s="20"/>
      <c r="G151" s="25">
        <f>G49/G45</f>
        <v>0.45360824742268041</v>
      </c>
      <c r="H151" s="25">
        <f t="shared" ref="H151:P151" si="325">H49/H45</f>
        <v>0.55707762557077622</v>
      </c>
      <c r="I151" s="25">
        <f t="shared" si="325"/>
        <v>0.60321715817694366</v>
      </c>
      <c r="J151" s="25">
        <f t="shared" si="325"/>
        <v>0.54279123414071506</v>
      </c>
      <c r="K151" s="25">
        <f t="shared" si="325"/>
        <v>0.52481438061742869</v>
      </c>
      <c r="L151" s="25">
        <f t="shared" si="325"/>
        <v>0.39186742793482804</v>
      </c>
      <c r="M151" s="25">
        <f t="shared" si="325"/>
        <v>0.50606548577563071</v>
      </c>
      <c r="N151" s="25">
        <f t="shared" si="325"/>
        <v>0.46004339179171938</v>
      </c>
      <c r="O151" s="25">
        <f t="shared" si="325"/>
        <v>0.34911242603550297</v>
      </c>
      <c r="P151" s="25">
        <f t="shared" si="325"/>
        <v>0.32050156739811914</v>
      </c>
      <c r="Q151" s="118">
        <f t="shared" si="267"/>
        <v>-3.7858822846223106E-2</v>
      </c>
      <c r="R151" s="127"/>
      <c r="S151" s="25">
        <f t="shared" ref="S151:AB151" si="326">S49/S45</f>
        <v>0.30656671664167923</v>
      </c>
      <c r="T151" s="25">
        <f t="shared" si="326"/>
        <v>0.29323772896160621</v>
      </c>
      <c r="U151" s="25">
        <f t="shared" si="326"/>
        <v>0.28048826248501468</v>
      </c>
      <c r="V151" s="25">
        <f t="shared" si="326"/>
        <v>0.26829312063784017</v>
      </c>
      <c r="W151" s="25">
        <f t="shared" si="326"/>
        <v>0.25662820234923844</v>
      </c>
      <c r="X151" s="25">
        <f t="shared" si="326"/>
        <v>0.2454704544210107</v>
      </c>
      <c r="Y151" s="25">
        <f t="shared" si="326"/>
        <v>0.23479782596792331</v>
      </c>
      <c r="Z151" s="25">
        <f t="shared" si="326"/>
        <v>0.22458922483888316</v>
      </c>
      <c r="AA151" s="25">
        <f t="shared" si="326"/>
        <v>0.21482447593284479</v>
      </c>
      <c r="AB151" s="25">
        <f t="shared" si="326"/>
        <v>0.20548428132706895</v>
      </c>
      <c r="AC151" s="118">
        <f t="shared" ref="AC151:AC152" si="327">((AB151/S151)^(1/($H$2-$H$1) ))-1</f>
        <v>-4.3478260869565188E-2</v>
      </c>
      <c r="AD151" s="20"/>
      <c r="AE151" s="20"/>
    </row>
    <row r="152" spans="2:31" x14ac:dyDescent="0.2">
      <c r="B152" s="20" t="s">
        <v>389</v>
      </c>
      <c r="C152" s="20"/>
      <c r="D152" s="20"/>
      <c r="E152" s="20"/>
      <c r="F152" s="20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118" t="e">
        <f t="shared" si="267"/>
        <v>#DIV/0!</v>
      </c>
      <c r="R152" s="127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118" t="e">
        <f t="shared" si="327"/>
        <v>#DIV/0!</v>
      </c>
      <c r="AD152" s="20"/>
      <c r="AE152" s="20"/>
    </row>
    <row r="153" spans="2:31" x14ac:dyDescent="0.2">
      <c r="B153" s="20"/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127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127"/>
      <c r="AD153" s="20"/>
      <c r="AE153" s="20"/>
    </row>
    <row r="154" spans="2:31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127"/>
      <c r="R154" s="127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38"/>
      <c r="AD154" s="20"/>
      <c r="AE154" s="20"/>
    </row>
    <row r="155" spans="2:31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127"/>
      <c r="R155" s="127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38"/>
      <c r="AD155" s="20"/>
      <c r="AE155" s="20"/>
    </row>
    <row r="156" spans="2:31" x14ac:dyDescent="0.2">
      <c r="B156" s="108" t="s">
        <v>244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3"/>
      <c r="R156" s="23"/>
      <c r="S156" s="121" t="s">
        <v>66</v>
      </c>
      <c r="T156" s="20"/>
      <c r="U156" s="20"/>
      <c r="V156" s="20"/>
      <c r="W156" s="20"/>
      <c r="X156" s="20"/>
      <c r="Y156" s="20"/>
      <c r="Z156" s="20"/>
      <c r="AA156" s="20"/>
      <c r="AB156" s="20"/>
      <c r="AC156" s="136"/>
      <c r="AD156" s="20"/>
      <c r="AE156" s="20"/>
    </row>
    <row r="157" spans="2:31" x14ac:dyDescent="0.2">
      <c r="B157" s="23" t="s">
        <v>281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5"/>
      <c r="Q157" s="160">
        <f>AVERAGE(G77:P77)</f>
        <v>22.065161881123011</v>
      </c>
      <c r="R157" s="23"/>
      <c r="S157" s="133"/>
      <c r="T157" s="20"/>
      <c r="U157" s="20"/>
      <c r="V157" s="20"/>
      <c r="W157" s="20"/>
      <c r="X157" s="20"/>
      <c r="Y157" s="20"/>
      <c r="Z157" s="20"/>
      <c r="AA157" s="20"/>
      <c r="AB157" s="20"/>
      <c r="AC157" s="136"/>
      <c r="AD157" s="20"/>
      <c r="AE157" s="20"/>
    </row>
    <row r="158" spans="2:31" x14ac:dyDescent="0.2">
      <c r="B158" s="20" t="s">
        <v>25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39">
        <f>S158+T158</f>
        <v>35.383112870227684</v>
      </c>
      <c r="S158" s="132">
        <f>PV($C$1, ($AB$3-$S$3), 0, -AB77)</f>
        <v>4.9304337606054967</v>
      </c>
      <c r="T158" s="132">
        <f>PV($C$1, ($AB$3-$S$3), 0, -AE77)</f>
        <v>30.452679109622185</v>
      </c>
      <c r="U158" s="20"/>
      <c r="V158" s="20"/>
      <c r="W158" s="20"/>
      <c r="X158" s="20"/>
      <c r="Y158" s="20"/>
      <c r="Z158" s="20"/>
      <c r="AA158" s="20"/>
      <c r="AB158" s="20"/>
      <c r="AC158" s="136"/>
      <c r="AD158" s="20"/>
      <c r="AE158" s="20"/>
    </row>
    <row r="159" spans="2:31" x14ac:dyDescent="0.2">
      <c r="B159" s="20" t="s">
        <v>273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39">
        <f t="shared" ref="R159:R177" si="328">S159+T159</f>
        <v>245.09708901532034</v>
      </c>
      <c r="S159" s="132">
        <f>PV($C$1, ($AB$3-$S$3), 0, -AB78)</f>
        <v>34.152873059511847</v>
      </c>
      <c r="T159" s="132">
        <f>PV($C$1, ($AB$3-$S$3), 0, -AE78)</f>
        <v>210.94421595580849</v>
      </c>
      <c r="U159" s="20"/>
      <c r="V159" s="20"/>
      <c r="W159" s="20"/>
      <c r="X159" s="20"/>
      <c r="Y159" s="20"/>
      <c r="Z159" s="20"/>
      <c r="AA159" s="20"/>
      <c r="AB159" s="20"/>
      <c r="AC159" s="136"/>
      <c r="AD159" s="20"/>
      <c r="AE159" s="20"/>
    </row>
    <row r="160" spans="2:31" x14ac:dyDescent="0.2">
      <c r="B160" s="20" t="s">
        <v>274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39">
        <f t="shared" si="328"/>
        <v>238.81995783008483</v>
      </c>
      <c r="S160" s="132">
        <f>PV($C$1, ($AB$3-$S$3), 0, -AB79)</f>
        <v>33.27819084517575</v>
      </c>
      <c r="T160" s="132">
        <f>PV($C$1, ($AB$3-$S$3), 0, -AE79)</f>
        <v>205.54176698490909</v>
      </c>
      <c r="U160" s="20"/>
      <c r="V160" s="20"/>
      <c r="W160" s="20"/>
      <c r="X160" s="20"/>
      <c r="Y160" s="20"/>
      <c r="Z160" s="20"/>
      <c r="AA160" s="20"/>
      <c r="AB160" s="20"/>
      <c r="AC160" s="136"/>
      <c r="AD160" s="20"/>
      <c r="AE160" s="20"/>
    </row>
    <row r="161" spans="2:31" x14ac:dyDescent="0.2">
      <c r="B161" s="20" t="s">
        <v>275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39">
        <f t="shared" si="328"/>
        <v>1389.6540985298445</v>
      </c>
      <c r="S161" s="132">
        <f>PV($C$1, ($AB$3-$S$3), 0, -AB80)</f>
        <v>193.64032520497832</v>
      </c>
      <c r="T161" s="132">
        <f>PV($C$1, ($AB$3-$S$3), 0, -AE80)</f>
        <v>1196.0137733248662</v>
      </c>
      <c r="U161" s="20"/>
      <c r="V161" s="20"/>
      <c r="W161" s="20"/>
      <c r="X161" s="20"/>
      <c r="Y161" s="20"/>
      <c r="Z161" s="20"/>
      <c r="AA161" s="20"/>
      <c r="AB161" s="20"/>
      <c r="AC161" s="136"/>
      <c r="AD161" s="20"/>
      <c r="AE161" s="20"/>
    </row>
    <row r="162" spans="2:31" x14ac:dyDescent="0.2">
      <c r="B162" s="20" t="s">
        <v>276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39">
        <f t="shared" si="328"/>
        <v>0</v>
      </c>
      <c r="S162" s="132">
        <f>PV($C$1, ($AB$3-$S$3), 0, -AB86)</f>
        <v>0</v>
      </c>
      <c r="T162" s="132">
        <f>PV($C$1, ($AB$3-$S$3), 0, -AE86)</f>
        <v>0</v>
      </c>
      <c r="U162" s="20"/>
      <c r="V162" s="20"/>
      <c r="W162" s="20"/>
      <c r="X162" s="20"/>
      <c r="Y162" s="20"/>
      <c r="Z162" s="20"/>
      <c r="AA162" s="20"/>
      <c r="AB162" s="20"/>
      <c r="AC162" s="136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39"/>
      <c r="S163" s="132"/>
      <c r="T163" s="20"/>
      <c r="U163" s="20"/>
      <c r="V163" s="20"/>
      <c r="W163" s="20"/>
      <c r="X163" s="20"/>
      <c r="Y163" s="20"/>
      <c r="Z163" s="20"/>
      <c r="AA163" s="20"/>
      <c r="AB163" s="20"/>
      <c r="AC163" s="136"/>
      <c r="AD163" s="20"/>
      <c r="AE163" s="20"/>
    </row>
    <row r="164" spans="2:31" x14ac:dyDescent="0.2">
      <c r="B164" s="20" t="s">
        <v>271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39">
        <f t="shared" si="328"/>
        <v>-1144.5570095145245</v>
      </c>
      <c r="S164" s="132">
        <f>PV($C$1, ($AB$3-$S$3), 0, -AB82)</f>
        <v>-159.48745214546648</v>
      </c>
      <c r="T164" s="132">
        <f>PV($C$1, ($AB$3-$S$3), 0, -$AE$82)</f>
        <v>-985.06955736905786</v>
      </c>
      <c r="U164" s="20"/>
      <c r="V164" s="20"/>
      <c r="W164" s="20"/>
      <c r="X164" s="20"/>
      <c r="Y164" s="20"/>
      <c r="Z164" s="20"/>
      <c r="AA164" s="20"/>
      <c r="AB164" s="20"/>
      <c r="AC164" s="136"/>
      <c r="AD164" s="20"/>
      <c r="AE164" s="20"/>
    </row>
    <row r="165" spans="2:31" x14ac:dyDescent="0.2">
      <c r="B165" s="20" t="s">
        <v>272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39">
        <f t="shared" si="328"/>
        <v>-1144.5570095145245</v>
      </c>
      <c r="S165" s="132">
        <f>PV($C$1, ($AB$3-$S$3), 0, -AB83)</f>
        <v>-159.48745214546648</v>
      </c>
      <c r="T165" s="132">
        <f>PV($C$1, ($AB$3-$S$3), 0, -$AE$83)</f>
        <v>-985.06955736905786</v>
      </c>
      <c r="U165" s="20"/>
      <c r="V165" s="20"/>
      <c r="W165" s="20"/>
      <c r="X165" s="20"/>
      <c r="Y165" s="20"/>
      <c r="Z165" s="20"/>
      <c r="AA165" s="20"/>
      <c r="AB165" s="20"/>
      <c r="AC165" s="136"/>
      <c r="AD165" s="20"/>
      <c r="AE165" s="20"/>
    </row>
    <row r="166" spans="2:31" x14ac:dyDescent="0.2">
      <c r="B166" s="20" t="s">
        <v>277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39">
        <f t="shared" si="328"/>
        <v>-1144.5570095145245</v>
      </c>
      <c r="S166" s="132">
        <f>PV($C$1, ($AB$3-$S$3), 0, -AB84)</f>
        <v>-159.48745214546648</v>
      </c>
      <c r="T166" s="132">
        <f>PV($C$1, ($AB$3-$S$3), 0, -$AE$84)</f>
        <v>-985.06955736905786</v>
      </c>
      <c r="U166" s="20"/>
      <c r="V166" s="20"/>
      <c r="W166" s="20"/>
      <c r="X166" s="20"/>
      <c r="Y166" s="20"/>
      <c r="Z166" s="20"/>
      <c r="AA166" s="20"/>
      <c r="AB166" s="20"/>
      <c r="AC166" s="136"/>
      <c r="AD166" s="20"/>
      <c r="AE166" s="20"/>
    </row>
    <row r="167" spans="2:31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39"/>
      <c r="S167" s="132"/>
      <c r="T167" s="20"/>
      <c r="U167" s="20"/>
      <c r="V167" s="20"/>
      <c r="W167" s="20"/>
      <c r="X167" s="20"/>
      <c r="Y167" s="20"/>
      <c r="Z167" s="20"/>
      <c r="AA167" s="20"/>
      <c r="AB167" s="20"/>
      <c r="AC167" s="136"/>
      <c r="AD167" s="20"/>
      <c r="AE167" s="20"/>
    </row>
    <row r="168" spans="2:31" x14ac:dyDescent="0.2">
      <c r="B168" s="20" t="s">
        <v>249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39">
        <f t="shared" si="328"/>
        <v>0</v>
      </c>
      <c r="S168" s="132">
        <f>PV($C$1, ($AB$3-$S$3), 0, -AB89)</f>
        <v>0</v>
      </c>
      <c r="T168" s="132">
        <f>PV($C$1, ($AB$3-$S$3), 0, -AE89)</f>
        <v>0</v>
      </c>
      <c r="U168" s="20"/>
      <c r="V168" s="20"/>
      <c r="W168" s="20"/>
      <c r="X168" s="20"/>
      <c r="Y168" s="20"/>
      <c r="Z168" s="20"/>
      <c r="AA168" s="20"/>
      <c r="AB168" s="20"/>
      <c r="AC168" s="136"/>
      <c r="AD168" s="20"/>
      <c r="AE168" s="20"/>
    </row>
    <row r="169" spans="2:31" x14ac:dyDescent="0.2">
      <c r="B169" s="20" t="s">
        <v>250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39">
        <f t="shared" si="328"/>
        <v>0</v>
      </c>
      <c r="S169" s="132">
        <f>PV($C$1, ($AB$3-$S$3), 0, -AB90)</f>
        <v>0</v>
      </c>
      <c r="T169" s="132">
        <f>PV($C$1, ($AB$3-$S$3), 0, -AE90)</f>
        <v>0</v>
      </c>
      <c r="U169" s="20"/>
      <c r="V169" s="20"/>
      <c r="W169" s="20"/>
      <c r="X169" s="20"/>
      <c r="Y169" s="20"/>
      <c r="Z169" s="20"/>
      <c r="AA169" s="20"/>
      <c r="AB169" s="20"/>
      <c r="AC169" s="136"/>
      <c r="AD169" s="20"/>
      <c r="AE169" s="20"/>
    </row>
    <row r="170" spans="2:31" x14ac:dyDescent="0.2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39"/>
      <c r="S170" s="132"/>
      <c r="T170" s="132"/>
      <c r="U170" s="20"/>
      <c r="V170" s="20"/>
      <c r="W170" s="20"/>
      <c r="X170" s="20"/>
      <c r="Y170" s="20"/>
      <c r="Z170" s="20"/>
      <c r="AA170" s="20"/>
      <c r="AB170" s="20"/>
      <c r="AC170" s="136"/>
      <c r="AD170" s="20"/>
      <c r="AE170" s="20"/>
    </row>
    <row r="171" spans="2:31" x14ac:dyDescent="0.2">
      <c r="B171" s="20" t="s">
        <v>294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39">
        <f t="shared" ref="R171" si="329">S171+T171</f>
        <v>0</v>
      </c>
      <c r="S171" s="132">
        <f>PV($C$1, ($AB$3-$S$3), 0, -AB12)</f>
        <v>0</v>
      </c>
      <c r="T171" s="132">
        <f>PV($C$1, ($AB$3-$S$3), 0, -AE12)</f>
        <v>0</v>
      </c>
      <c r="U171" s="20"/>
      <c r="V171" s="20"/>
      <c r="W171" s="20"/>
      <c r="X171" s="20"/>
      <c r="Y171" s="20"/>
      <c r="Z171" s="20"/>
      <c r="AA171" s="20"/>
      <c r="AB171" s="20"/>
      <c r="AC171" s="136"/>
      <c r="AD171" s="20"/>
      <c r="AE171" s="20"/>
    </row>
    <row r="172" spans="2:31" x14ac:dyDescent="0.2">
      <c r="B172" s="20" t="s">
        <v>295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39">
        <f>S172+T172</f>
        <v>0</v>
      </c>
      <c r="S172" s="139">
        <f>S171/P69</f>
        <v>0</v>
      </c>
      <c r="T172" s="139">
        <f>T171/P69</f>
        <v>0</v>
      </c>
      <c r="U172" s="20"/>
      <c r="V172" s="20"/>
      <c r="W172" s="20"/>
      <c r="X172" s="20"/>
      <c r="Y172" s="20"/>
      <c r="Z172" s="20"/>
      <c r="AA172" s="20"/>
      <c r="AB172" s="20"/>
      <c r="AC172" s="136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39"/>
      <c r="S173" s="139"/>
      <c r="T173" s="139"/>
      <c r="U173" s="20"/>
      <c r="V173" s="20"/>
      <c r="W173" s="20"/>
      <c r="X173" s="20"/>
      <c r="Y173" s="20"/>
      <c r="Z173" s="20"/>
      <c r="AA173" s="20"/>
      <c r="AB173" s="20"/>
      <c r="AC173" s="136"/>
      <c r="AD173" s="20"/>
      <c r="AE173" s="20"/>
    </row>
    <row r="174" spans="2:31" x14ac:dyDescent="0.2">
      <c r="B174" s="108" t="s">
        <v>298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39"/>
      <c r="S174" s="132"/>
      <c r="T174" s="132"/>
      <c r="U174" s="20"/>
      <c r="V174" s="20"/>
      <c r="W174" s="20"/>
      <c r="X174" s="20"/>
      <c r="Y174" s="20"/>
      <c r="Z174" s="20"/>
      <c r="AA174" s="20"/>
      <c r="AB174" s="20"/>
      <c r="AC174" s="136"/>
      <c r="AD174" s="20"/>
      <c r="AE174" s="20"/>
    </row>
    <row r="175" spans="2:31" x14ac:dyDescent="0.2">
      <c r="B175" s="20" t="s">
        <v>283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39">
        <f t="shared" ref="R175" si="330">S175+T175</f>
        <v>6.6336794555521656</v>
      </c>
      <c r="S175" s="132">
        <f>PV($C$1, ($AB$3-$S$3), 0, -AB92)+PV($C$1, ($AA$3-$S$3), 0, -AB92)+PV($C$1, ($Z$3-$S$3), 0, -AB92)+PV($C$1, ($Y$3-$S$3), 0, -AB92)+PV($C$1, ($X$3-$S$3), 0, -AB92)+PV($C$1, ($W$3-$S$3), 0, -AB92)+PV($C$1, ($V$3-$S$3), 0, -AB92)+PV($C$1, ($U$3-$S$3), 0, -AB92)+PV($C$1, ($T$3-$S$3), 0, -AB92)+PV($C$1, ($S$3-$S$3), 0, -AB92)</f>
        <v>5.4574476129092542</v>
      </c>
      <c r="T175" s="132">
        <f>PV($C$1, ($AB$3-$S$3), 0, -AE92)</f>
        <v>1.176231842642911</v>
      </c>
      <c r="U175" s="20"/>
      <c r="V175" s="20"/>
      <c r="W175" s="20"/>
      <c r="X175" s="20"/>
      <c r="Y175" s="20"/>
      <c r="Z175" s="20"/>
      <c r="AA175" s="20"/>
      <c r="AB175" s="20"/>
      <c r="AC175" s="136"/>
      <c r="AD175" s="20"/>
      <c r="AE175" s="20"/>
    </row>
    <row r="176" spans="2:31" x14ac:dyDescent="0.2">
      <c r="B176" s="23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39"/>
      <c r="S176" s="132"/>
      <c r="T176" s="132"/>
      <c r="U176" s="20"/>
      <c r="V176" s="20"/>
      <c r="W176" s="20"/>
      <c r="X176" s="20"/>
      <c r="Y176" s="20"/>
      <c r="Z176" s="20"/>
      <c r="AA176" s="20"/>
      <c r="AB176" s="20"/>
      <c r="AC176" s="136"/>
      <c r="AD176" s="20"/>
      <c r="AE176" s="20"/>
    </row>
    <row r="177" spans="2:31" x14ac:dyDescent="0.2">
      <c r="B177" s="20" t="s">
        <v>291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39">
        <f t="shared" si="328"/>
        <v>0</v>
      </c>
      <c r="S177" s="132">
        <f>PV($C$1, ($AB$3-$S$3), 0, -AB94)+PV($C$1, ($AA$3-$S$3), 0, -AB94)+PV($C$1, ($Z$3-$S$3), 0, -AB94)+PV($C$1, ($Y$3-$S$3), 0, -AB94)+PV($C$1, ($X$3-$S$3), 0, -AB94)+PV($C$1, ($W$3-$S$3), 0, -AB94)+PV($C$1, ($V$3-$S$3), 0, -AB94)+PV($C$1, ($U$3-$S$3), 0, -AB94)+PV($C$1, ($T$3-$S$3), 0, -AB94)+PV($C$1, ($S$3-$S$3), 0, -AB94)</f>
        <v>0</v>
      </c>
      <c r="T177" s="132">
        <f>PV($C$1, ($AB$3-$S$3), 0, -AE94)</f>
        <v>0</v>
      </c>
      <c r="U177" s="20"/>
      <c r="V177" s="20"/>
      <c r="W177" s="20"/>
      <c r="X177" s="20"/>
      <c r="Y177" s="20"/>
      <c r="Z177" s="20"/>
      <c r="AA177" s="20"/>
      <c r="AB177" s="20"/>
      <c r="AC177" s="136"/>
      <c r="AD177" s="20"/>
      <c r="AE177" s="20"/>
    </row>
    <row r="178" spans="2:31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39"/>
      <c r="S178" s="132"/>
      <c r="T178" s="132"/>
      <c r="U178" s="20"/>
      <c r="V178" s="20"/>
      <c r="W178" s="20"/>
      <c r="X178" s="20"/>
      <c r="Y178" s="20"/>
      <c r="Z178" s="20"/>
      <c r="AA178" s="20"/>
      <c r="AB178" s="20"/>
      <c r="AC178" s="136"/>
      <c r="AD178" s="20"/>
      <c r="AE178" s="20"/>
    </row>
    <row r="179" spans="2:31" x14ac:dyDescent="0.2">
      <c r="B179" s="20" t="s">
        <v>287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39">
        <f t="shared" ref="R179:R182" si="331">S179+T179</f>
        <v>0</v>
      </c>
      <c r="S179" s="132">
        <f>PV($C$1, ($AB$3-$S$3), 0, -AB96)+PV($C$1, ($AA$3-$S$3), 0, -AB96)+PV($C$1, ($Z$3-$S$3), 0, -AB96)+PV($C$1, ($Y$3-$S$3), 0, -AB96)+PV($C$1, ($X$3-$S$3), 0, -AB96)+PV($C$1, ($W$3-$S$3), 0, -AB96)+PV($C$1, ($V$3-$S$3), 0, -AB96)+PV($C$1, ($U$3-$S$3), 0, -AB96)+PV($C$1, ($T$3-$S$3), 0, -AB96)+PV($C$1, ($S$3-$S$3), 0, -AB96)</f>
        <v>0</v>
      </c>
      <c r="T179" s="132">
        <f>PV($C$1, ($AB$3-$S$3), 0, -AE96)</f>
        <v>0</v>
      </c>
      <c r="U179" s="20"/>
      <c r="V179" s="20"/>
      <c r="W179" s="20"/>
      <c r="X179" s="20"/>
      <c r="Y179" s="20"/>
      <c r="Z179" s="20"/>
      <c r="AA179" s="20"/>
      <c r="AB179" s="20"/>
      <c r="AC179" s="136"/>
      <c r="AD179" s="20"/>
      <c r="AE179" s="20"/>
    </row>
    <row r="180" spans="2:31" x14ac:dyDescent="0.2">
      <c r="B180" s="20" t="s">
        <v>288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39">
        <f t="shared" si="331"/>
        <v>0</v>
      </c>
      <c r="S180" s="132">
        <f>PV($C$1, ($AB$3-$S$3), 0, -AB97)+PV($C$1, ($AA$3-$S$3), 0, -AB97)+PV($C$1, ($Z$3-$S$3), 0, -AB97)+PV($C$1, ($Y$3-$S$3), 0, -AB97)+PV($C$1, ($X$3-$S$3), 0, -AB97)+PV($C$1, ($W$3-$S$3), 0, -AB97)+PV($C$1, ($V$3-$S$3), 0, -AB97)+PV($C$1, ($U$3-$S$3), 0, -AB97)+PV($C$1, ($T$3-$S$3), 0, -AB97)+PV($C$1, ($S$3-$S$3), 0, -AB97)</f>
        <v>0</v>
      </c>
      <c r="T180" s="132">
        <f>PV($C$1, ($AB$3-$S$3), 0, -AE97)</f>
        <v>0</v>
      </c>
      <c r="U180" s="20"/>
      <c r="V180" s="20"/>
      <c r="W180" s="20"/>
      <c r="X180" s="20"/>
      <c r="Y180" s="20"/>
      <c r="Z180" s="20"/>
      <c r="AA180" s="20"/>
      <c r="AB180" s="20"/>
      <c r="AC180" s="136"/>
      <c r="AD180" s="20"/>
      <c r="AE180" s="20"/>
    </row>
    <row r="181" spans="2:31" x14ac:dyDescent="0.2">
      <c r="B181" s="20" t="s">
        <v>289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39">
        <f t="shared" si="331"/>
        <v>0</v>
      </c>
      <c r="S181" s="132">
        <f>PV($C$1, ($AB$3-$S$3), 0, -AB98)+PV($C$1, ($AA$3-$S$3), 0, -AB98)+PV($C$1, ($Z$3-$S$3), 0, -AB98)+PV($C$1, ($Y$3-$S$3), 0, -AB98)+PV($C$1, ($X$3-$S$3), 0, -AB98)+PV($C$1, ($W$3-$S$3), 0, -AB98)+PV($C$1, ($V$3-$S$3), 0, -AB98)+PV($C$1, ($U$3-$S$3), 0, -AB98)+PV($C$1, ($T$3-$S$3), 0, -AB98)+PV($C$1, ($S$3-$S$3), 0, -AB98)</f>
        <v>0</v>
      </c>
      <c r="T181" s="132">
        <f>PV($C$1, ($AB$3-$S$3), 0, -AE98)</f>
        <v>0</v>
      </c>
      <c r="U181" s="20"/>
      <c r="V181" s="20"/>
      <c r="W181" s="20"/>
      <c r="X181" s="20"/>
      <c r="Y181" s="20"/>
      <c r="Z181" s="20"/>
      <c r="AA181" s="20"/>
      <c r="AB181" s="20"/>
      <c r="AC181" s="136"/>
      <c r="AD181" s="20"/>
      <c r="AE181" s="20"/>
    </row>
    <row r="182" spans="2:31" x14ac:dyDescent="0.2">
      <c r="B182" s="20" t="s">
        <v>290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39">
        <f t="shared" si="331"/>
        <v>0</v>
      </c>
      <c r="S182" s="132">
        <f>PV($C$1, ($AB$3-$S$3), 0, -AB99)+PV($C$1, ($AA$3-$S$3), 0, -AB99)+PV($C$1, ($Z$3-$S$3), 0, -AB99)+PV($C$1, ($Y$3-$S$3), 0, -AB99)+PV($C$1, ($X$3-$S$3), 0, -AB99)+PV($C$1, ($W$3-$S$3), 0, -AB99)+PV($C$1, ($V$3-$S$3), 0, -AB99)+PV($C$1, ($U$3-$S$3), 0, -AB99)+PV($C$1, ($T$3-$S$3), 0, -AB99)+PV($C$1, ($S$3-$S$3), 0, -AB99)</f>
        <v>0</v>
      </c>
      <c r="T182" s="132">
        <f>PV($C$1, ($AB$3-$S$3), 0, -AE99)</f>
        <v>0</v>
      </c>
      <c r="U182" s="20"/>
      <c r="V182" s="20"/>
      <c r="W182" s="20"/>
      <c r="X182" s="20"/>
      <c r="Y182" s="20"/>
      <c r="Z182" s="20"/>
      <c r="AA182" s="20"/>
      <c r="AB182" s="20"/>
      <c r="AC182" s="136"/>
      <c r="AD182" s="20"/>
      <c r="AE182" s="20"/>
    </row>
    <row r="183" spans="2:31" x14ac:dyDescent="0.2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39"/>
      <c r="S183" s="132"/>
      <c r="T183" s="132"/>
      <c r="U183" s="20"/>
      <c r="V183" s="20"/>
      <c r="W183" s="20"/>
      <c r="X183" s="20"/>
      <c r="Y183" s="20"/>
      <c r="Z183" s="20"/>
      <c r="AA183" s="20"/>
      <c r="AB183" s="20"/>
      <c r="AC183" s="136"/>
      <c r="AD183" s="20"/>
      <c r="AE183" s="20"/>
    </row>
    <row r="184" spans="2:31" x14ac:dyDescent="0.2">
      <c r="B184" s="20" t="s">
        <v>299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39">
        <f>S184+T184</f>
        <v>0</v>
      </c>
      <c r="S184" s="132">
        <f>PV($C$1, ($AB$3-$S$3), 0, -AB100)+PV($C$1, ($AA$3-$S$3), 0, -AB100)+PV($C$1, ($Z$3-$S$3), 0, -AB100)+PV($C$1, ($Y$3-$S$3), 0, -AB100)+PV($C$1, ($X$3-$S$3), 0, -AB100)+PV($C$1, ($W$3-$S$3), 0, -AB100)+PV($C$1, ($V$3-$S$3), 0, -AB100)+PV($C$1, ($U$3-$S$3), 0, -AB100)+PV($C$1, ($T$3-$S$3), 0, -AB100)+PV($C$1, ($S$3-$S$3), 0, -AB100)</f>
        <v>0</v>
      </c>
      <c r="T184" s="132">
        <f>PV($C$1, ($AB$3-$S$3), 0, -AE100)</f>
        <v>0</v>
      </c>
      <c r="U184" s="20"/>
      <c r="V184" s="20"/>
      <c r="W184" s="20"/>
      <c r="X184" s="20"/>
      <c r="Y184" s="20"/>
      <c r="Z184" s="20"/>
      <c r="AA184" s="20"/>
      <c r="AB184" s="20"/>
      <c r="AC184" s="136"/>
      <c r="AD184" s="20"/>
      <c r="AE184" s="20"/>
    </row>
    <row r="185" spans="2:31" x14ac:dyDescent="0.2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88">
        <v>41729</v>
      </c>
      <c r="Q185" s="184">
        <v>620</v>
      </c>
      <c r="R185" s="184"/>
      <c r="S185" s="184"/>
      <c r="T185" s="20"/>
      <c r="U185" s="20"/>
      <c r="V185" s="20"/>
      <c r="W185" s="20"/>
      <c r="X185" s="20"/>
      <c r="Y185" s="20"/>
      <c r="Z185" s="20"/>
      <c r="AA185" s="20"/>
      <c r="AB185" s="20"/>
      <c r="AC185" s="136"/>
      <c r="AD185" s="20"/>
      <c r="AE185" s="20"/>
    </row>
    <row r="186" spans="2:31" x14ac:dyDescent="0.2">
      <c r="B186" s="108" t="s">
        <v>251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85" t="s">
        <v>395</v>
      </c>
      <c r="Q186" s="184">
        <v>680</v>
      </c>
      <c r="R186" s="184" t="s">
        <v>396</v>
      </c>
      <c r="S186" s="185" t="s">
        <v>397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136"/>
      <c r="AD186" s="20"/>
      <c r="AE186" s="20"/>
    </row>
    <row r="187" spans="2:31" x14ac:dyDescent="0.2">
      <c r="B187" s="20" t="s">
        <v>204</v>
      </c>
      <c r="C187" s="22">
        <v>0</v>
      </c>
      <c r="D187" s="22">
        <v>0</v>
      </c>
      <c r="E187" s="22">
        <v>0</v>
      </c>
      <c r="F187" s="22">
        <v>0</v>
      </c>
      <c r="G187" s="22">
        <v>380</v>
      </c>
      <c r="H187" s="22">
        <v>300</v>
      </c>
      <c r="I187" s="22">
        <v>230</v>
      </c>
      <c r="J187" s="22">
        <v>420</v>
      </c>
      <c r="K187" s="22">
        <v>537</v>
      </c>
      <c r="L187" s="22">
        <v>230</v>
      </c>
      <c r="M187" s="22">
        <v>720</v>
      </c>
      <c r="N187" s="22">
        <v>465</v>
      </c>
      <c r="O187" s="22">
        <v>511</v>
      </c>
      <c r="P187" s="22">
        <v>400</v>
      </c>
      <c r="Q187" s="118">
        <f t="shared" ref="Q187:Q192" si="332">((P187/G187)^(1/($H$2-$H$1) ))-1</f>
        <v>5.7155265827482093E-3</v>
      </c>
      <c r="R187" s="31">
        <f>L2-3%</f>
        <v>0.12</v>
      </c>
      <c r="S187" s="119">
        <f t="shared" ref="S187" si="333">P187*(1+$R187)</f>
        <v>448.00000000000006</v>
      </c>
      <c r="T187" s="119">
        <f t="shared" ref="T187:AB187" si="334">S187*(1+$R187)</f>
        <v>501.7600000000001</v>
      </c>
      <c r="U187" s="119">
        <f t="shared" si="334"/>
        <v>561.97120000000018</v>
      </c>
      <c r="V187" s="119">
        <f t="shared" si="334"/>
        <v>629.40774400000021</v>
      </c>
      <c r="W187" s="119">
        <f t="shared" si="334"/>
        <v>704.93667328000026</v>
      </c>
      <c r="X187" s="119">
        <f t="shared" si="334"/>
        <v>789.52907407360033</v>
      </c>
      <c r="Y187" s="119">
        <f t="shared" si="334"/>
        <v>884.2725629624324</v>
      </c>
      <c r="Z187" s="119">
        <f t="shared" si="334"/>
        <v>990.38527051792437</v>
      </c>
      <c r="AA187" s="119">
        <f t="shared" si="334"/>
        <v>1109.2315029800754</v>
      </c>
      <c r="AB187" s="119">
        <f t="shared" si="334"/>
        <v>1242.3392833376847</v>
      </c>
      <c r="AC187" s="137">
        <f t="shared" ref="AC187:AC192" si="335">((AB187/G187)^(1/($AB$3-$H$1) ))-1</f>
        <v>6.4330883757939938E-2</v>
      </c>
      <c r="AD187" s="31">
        <v>0.08</v>
      </c>
      <c r="AE187" s="126">
        <f t="shared" ref="AE187:AE193" si="336">(AB187*(1+AC187))/($C$1-AD187)</f>
        <v>9444.7147668714551</v>
      </c>
    </row>
    <row r="188" spans="2:31" x14ac:dyDescent="0.2">
      <c r="B188" s="20" t="s">
        <v>394</v>
      </c>
      <c r="C188" s="25" t="e">
        <f t="shared" ref="C188:P188" si="337">C187/C74</f>
        <v>#DIV/0!</v>
      </c>
      <c r="D188" s="25" t="e">
        <f t="shared" si="337"/>
        <v>#DIV/0!</v>
      </c>
      <c r="E188" s="25" t="e">
        <f t="shared" si="337"/>
        <v>#DIV/0!</v>
      </c>
      <c r="F188" s="25" t="e">
        <f t="shared" si="337"/>
        <v>#DIV/0!</v>
      </c>
      <c r="G188" s="25">
        <f t="shared" si="337"/>
        <v>1.9424398625429555</v>
      </c>
      <c r="H188" s="25">
        <f t="shared" si="337"/>
        <v>2.1113013698630136</v>
      </c>
      <c r="I188" s="25">
        <f t="shared" si="337"/>
        <v>2.3886394101876673</v>
      </c>
      <c r="J188" s="25">
        <f t="shared" si="337"/>
        <v>3.159446366782007</v>
      </c>
      <c r="K188" s="25">
        <f t="shared" si="337"/>
        <v>2.4104493942946466</v>
      </c>
      <c r="L188" s="25">
        <f t="shared" si="337"/>
        <v>1.1069210416376549</v>
      </c>
      <c r="M188" s="25">
        <f t="shared" si="337"/>
        <v>2.6906280193236718</v>
      </c>
      <c r="N188" s="25">
        <f t="shared" si="337"/>
        <v>3.0974918640390525</v>
      </c>
      <c r="O188" s="25">
        <f t="shared" si="337"/>
        <v>29.085689618074234</v>
      </c>
      <c r="P188" s="25">
        <f t="shared" si="337"/>
        <v>1.8723510971786832</v>
      </c>
      <c r="Q188" s="118">
        <f t="shared" ref="Q188" si="338">((P188/G188)^(1/($H$2-$H$1) ))-1</f>
        <v>-4.0750002950630249E-3</v>
      </c>
      <c r="R188" s="127"/>
      <c r="S188" s="25">
        <f t="shared" ref="S188:AB188" si="339">S187/S74</f>
        <v>2.0970332288401252</v>
      </c>
      <c r="T188" s="25">
        <f t="shared" si="339"/>
        <v>2.3486772163009402</v>
      </c>
      <c r="U188" s="25">
        <f t="shared" si="339"/>
        <v>2.6305184822570533</v>
      </c>
      <c r="V188" s="25">
        <f t="shared" si="339"/>
        <v>2.9461807001279001</v>
      </c>
      <c r="W188" s="25">
        <f t="shared" si="339"/>
        <v>3.2997223841432475</v>
      </c>
      <c r="X188" s="25">
        <f t="shared" si="339"/>
        <v>3.6956890702404377</v>
      </c>
      <c r="Y188" s="25">
        <f t="shared" si="339"/>
        <v>4.1391717586692902</v>
      </c>
      <c r="Z188" s="25">
        <f t="shared" si="339"/>
        <v>4.6358723697096051</v>
      </c>
      <c r="AA188" s="25">
        <f t="shared" si="339"/>
        <v>5.1921770540747589</v>
      </c>
      <c r="AB188" s="25">
        <f t="shared" si="339"/>
        <v>5.815238300563732</v>
      </c>
      <c r="AC188" s="137">
        <f t="shared" ref="AC188" si="340">((AB188/G188)^(1/($AB$3-$H$1) ))-1</f>
        <v>5.9410339182641936E-2</v>
      </c>
      <c r="AD188" s="31">
        <v>0.08</v>
      </c>
      <c r="AE188" s="126">
        <f t="shared" ref="AE188" si="341">(AB188*(1+AC188))/($C$1-AD188)</f>
        <v>44.005168431629379</v>
      </c>
    </row>
    <row r="189" spans="2:31" x14ac:dyDescent="0.2">
      <c r="B189" s="20" t="s">
        <v>42</v>
      </c>
      <c r="C189" s="25" t="e">
        <f t="shared" ref="C189:P189" si="342">C187/C77</f>
        <v>#DIV/0!</v>
      </c>
      <c r="D189" s="25" t="e">
        <f t="shared" si="342"/>
        <v>#DIV/0!</v>
      </c>
      <c r="E189" s="25" t="e">
        <f t="shared" si="342"/>
        <v>#DIV/0!</v>
      </c>
      <c r="F189" s="25" t="e">
        <f t="shared" si="342"/>
        <v>#DIV/0!</v>
      </c>
      <c r="G189" s="25">
        <f t="shared" si="342"/>
        <v>11.282435129740518</v>
      </c>
      <c r="H189" s="25">
        <f t="shared" si="342"/>
        <v>19.067010309278349</v>
      </c>
      <c r="I189" s="25">
        <f t="shared" si="342"/>
        <v>13.473913043478259</v>
      </c>
      <c r="J189" s="25">
        <f t="shared" si="342"/>
        <v>26.137786259541983</v>
      </c>
      <c r="K189" s="25">
        <f t="shared" si="342"/>
        <v>19.316304801670146</v>
      </c>
      <c r="L189" s="25">
        <f t="shared" si="342"/>
        <v>12.191411042944786</v>
      </c>
      <c r="M189" s="25">
        <f t="shared" si="342"/>
        <v>18.887113790504898</v>
      </c>
      <c r="N189" s="25">
        <f t="shared" si="342"/>
        <v>21.838403441682601</v>
      </c>
      <c r="O189" s="25">
        <f t="shared" si="342"/>
        <v>204.59031297297295</v>
      </c>
      <c r="P189" s="25">
        <f t="shared" si="342"/>
        <v>13.549909255898365</v>
      </c>
      <c r="Q189" s="118">
        <f t="shared" si="332"/>
        <v>2.0556516610513054E-2</v>
      </c>
      <c r="R189" s="127"/>
      <c r="S189" s="119">
        <f t="shared" ref="S189:AB189" si="343">S187/S77</f>
        <v>15.175898366606171</v>
      </c>
      <c r="T189" s="119">
        <f t="shared" si="343"/>
        <v>16.997006170598915</v>
      </c>
      <c r="U189" s="119">
        <f t="shared" si="343"/>
        <v>19.036646911070786</v>
      </c>
      <c r="V189" s="119">
        <f t="shared" si="343"/>
        <v>21.321044540399281</v>
      </c>
      <c r="W189" s="119">
        <f t="shared" si="343"/>
        <v>23.879569885247196</v>
      </c>
      <c r="X189" s="119">
        <f t="shared" si="343"/>
        <v>26.745118271476858</v>
      </c>
      <c r="Y189" s="119">
        <f t="shared" si="343"/>
        <v>29.954532464054083</v>
      </c>
      <c r="Z189" s="119">
        <f t="shared" si="343"/>
        <v>33.549076359740575</v>
      </c>
      <c r="AA189" s="119">
        <f t="shared" si="343"/>
        <v>37.574965522909451</v>
      </c>
      <c r="AB189" s="119">
        <f t="shared" si="343"/>
        <v>42.08396138565859</v>
      </c>
      <c r="AC189" s="137">
        <f t="shared" si="335"/>
        <v>7.1741871478404828E-2</v>
      </c>
      <c r="AD189" s="31">
        <v>0.08</v>
      </c>
      <c r="AE189" s="126">
        <f t="shared" si="336"/>
        <v>322.16531096207609</v>
      </c>
    </row>
    <row r="190" spans="2:31" x14ac:dyDescent="0.2">
      <c r="B190" s="20" t="s">
        <v>259</v>
      </c>
      <c r="C190" s="25" t="e">
        <f t="shared" ref="C190:P190" si="344">C187/C79</f>
        <v>#DIV/0!</v>
      </c>
      <c r="D190" s="25" t="e">
        <f t="shared" si="344"/>
        <v>#DIV/0!</v>
      </c>
      <c r="E190" s="25" t="e">
        <f t="shared" si="344"/>
        <v>#DIV/0!</v>
      </c>
      <c r="F190" s="25" t="e">
        <f t="shared" si="344"/>
        <v>#DIV/0!</v>
      </c>
      <c r="G190" s="25">
        <f t="shared" si="344"/>
        <v>1.9226190476190479</v>
      </c>
      <c r="H190" s="25">
        <f t="shared" si="344"/>
        <v>2.7542814594192109</v>
      </c>
      <c r="I190" s="25">
        <f t="shared" si="344"/>
        <v>3.6571062083119545</v>
      </c>
      <c r="J190" s="25">
        <f t="shared" si="344"/>
        <v>4.6665076660988074</v>
      </c>
      <c r="K190" s="25">
        <f t="shared" si="344"/>
        <v>3.3774447891951085</v>
      </c>
      <c r="L190" s="25">
        <f t="shared" si="344"/>
        <v>1.268155711550734</v>
      </c>
      <c r="M190" s="25">
        <f t="shared" si="344"/>
        <v>3.2904293028751477</v>
      </c>
      <c r="N190" s="25">
        <f t="shared" si="344"/>
        <v>3.2343265055691899</v>
      </c>
      <c r="O190" s="25">
        <f t="shared" si="344"/>
        <v>30.20686983240223</v>
      </c>
      <c r="P190" s="25">
        <f t="shared" si="344"/>
        <v>2.00752890561979</v>
      </c>
      <c r="Q190" s="118">
        <f t="shared" si="332"/>
        <v>4.8133495426094797E-3</v>
      </c>
      <c r="R190" s="127"/>
      <c r="S190" s="119">
        <f t="shared" ref="S190:AB190" si="345">S187/S79</f>
        <v>2.2484323742941656</v>
      </c>
      <c r="T190" s="119">
        <f t="shared" si="345"/>
        <v>2.5182442592094656</v>
      </c>
      <c r="U190" s="119">
        <f t="shared" si="345"/>
        <v>2.8204335703146017</v>
      </c>
      <c r="V190" s="119">
        <f t="shared" si="345"/>
        <v>3.1588855987523541</v>
      </c>
      <c r="W190" s="119">
        <f t="shared" si="345"/>
        <v>3.5379518706026367</v>
      </c>
      <c r="X190" s="119">
        <f t="shared" si="345"/>
        <v>3.9625060950749527</v>
      </c>
      <c r="Y190" s="119">
        <f t="shared" si="345"/>
        <v>4.4380068264839467</v>
      </c>
      <c r="Z190" s="119">
        <f t="shared" si="345"/>
        <v>4.9705676456620207</v>
      </c>
      <c r="AA190" s="119">
        <f t="shared" si="345"/>
        <v>5.5670357631414644</v>
      </c>
      <c r="AB190" s="119">
        <f t="shared" si="345"/>
        <v>6.2350800547184422</v>
      </c>
      <c r="AC190" s="137">
        <f t="shared" si="335"/>
        <v>6.3878523185535663E-2</v>
      </c>
      <c r="AD190" s="31">
        <v>0.08</v>
      </c>
      <c r="AE190" s="126">
        <f t="shared" si="336"/>
        <v>47.38119828969603</v>
      </c>
    </row>
    <row r="191" spans="2:31" x14ac:dyDescent="0.2">
      <c r="B191" s="20" t="s">
        <v>260</v>
      </c>
      <c r="C191" s="25" t="e">
        <f t="shared" ref="C191:P191" si="346">C187/C88</f>
        <v>#DIV/0!</v>
      </c>
      <c r="D191" s="25" t="e">
        <f t="shared" si="346"/>
        <v>#DIV/0!</v>
      </c>
      <c r="E191" s="25" t="e">
        <f t="shared" si="346"/>
        <v>#DIV/0!</v>
      </c>
      <c r="F191" s="25" t="e">
        <f t="shared" si="346"/>
        <v>#DIV/0!</v>
      </c>
      <c r="G191" s="25">
        <f t="shared" si="346"/>
        <v>0.62648933222499315</v>
      </c>
      <c r="H191" s="25">
        <f t="shared" si="346"/>
        <v>1.367467652495379</v>
      </c>
      <c r="I191" s="25">
        <f t="shared" si="346"/>
        <v>1.4119849445324881</v>
      </c>
      <c r="J191" s="25">
        <f t="shared" si="346"/>
        <v>1.5004601226993866</v>
      </c>
      <c r="K191" s="25">
        <f t="shared" si="346"/>
        <v>1.4722746439653116</v>
      </c>
      <c r="L191" s="25">
        <f t="shared" si="346"/>
        <v>0.59707053256215736</v>
      </c>
      <c r="M191" s="25">
        <f t="shared" si="346"/>
        <v>1.2863477725313077</v>
      </c>
      <c r="N191" s="25">
        <f t="shared" si="346"/>
        <v>1.3154351581695332</v>
      </c>
      <c r="O191" s="25">
        <f t="shared" si="346"/>
        <v>11.955653515699034</v>
      </c>
      <c r="P191" s="25">
        <f t="shared" si="346"/>
        <v>0.73004620236145401</v>
      </c>
      <c r="Q191" s="118">
        <f t="shared" si="332"/>
        <v>1.7142618578955382E-2</v>
      </c>
      <c r="R191" s="127"/>
      <c r="S191" s="119">
        <f t="shared" ref="S191:AB191" si="347">S187/S88</f>
        <v>0.81765174664482865</v>
      </c>
      <c r="T191" s="119">
        <f t="shared" si="347"/>
        <v>0.91576995624220814</v>
      </c>
      <c r="U191" s="119">
        <f t="shared" si="347"/>
        <v>1.0256623509912732</v>
      </c>
      <c r="V191" s="119">
        <f t="shared" si="347"/>
        <v>1.1487418331102259</v>
      </c>
      <c r="W191" s="119">
        <f t="shared" si="347"/>
        <v>1.2865908530834533</v>
      </c>
      <c r="X191" s="119">
        <f t="shared" si="347"/>
        <v>1.4409817554534678</v>
      </c>
      <c r="Y191" s="119">
        <f t="shared" si="347"/>
        <v>1.6138995661078841</v>
      </c>
      <c r="Z191" s="119">
        <f t="shared" si="347"/>
        <v>1.8075675140408303</v>
      </c>
      <c r="AA191" s="119">
        <f t="shared" si="347"/>
        <v>2.0244756157257302</v>
      </c>
      <c r="AB191" s="119">
        <f t="shared" si="347"/>
        <v>2.2674126896128182</v>
      </c>
      <c r="AC191" s="137">
        <f t="shared" si="335"/>
        <v>7.0042159309000596E-2</v>
      </c>
      <c r="AD191" s="31">
        <v>0.08</v>
      </c>
      <c r="AE191" s="126">
        <f t="shared" si="336"/>
        <v>17.33019407455663</v>
      </c>
    </row>
    <row r="192" spans="2:31" x14ac:dyDescent="0.2">
      <c r="B192" s="20" t="s">
        <v>261</v>
      </c>
      <c r="C192" s="25" t="e">
        <f t="shared" ref="C192:P192" si="348">C187/C90</f>
        <v>#DIV/0!</v>
      </c>
      <c r="D192" s="25" t="e">
        <f t="shared" si="348"/>
        <v>#DIV/0!</v>
      </c>
      <c r="E192" s="25" t="e">
        <f t="shared" si="348"/>
        <v>#DIV/0!</v>
      </c>
      <c r="F192" s="25" t="e">
        <f t="shared" si="348"/>
        <v>#DIV/0!</v>
      </c>
      <c r="G192" s="25" t="e">
        <f t="shared" si="348"/>
        <v>#DIV/0!</v>
      </c>
      <c r="H192" s="25" t="e">
        <f t="shared" si="348"/>
        <v>#DIV/0!</v>
      </c>
      <c r="I192" s="25" t="e">
        <f t="shared" si="348"/>
        <v>#DIV/0!</v>
      </c>
      <c r="J192" s="25" t="e">
        <f t="shared" si="348"/>
        <v>#DIV/0!</v>
      </c>
      <c r="K192" s="25" t="e">
        <f t="shared" si="348"/>
        <v>#DIV/0!</v>
      </c>
      <c r="L192" s="25" t="e">
        <f t="shared" si="348"/>
        <v>#DIV/0!</v>
      </c>
      <c r="M192" s="25" t="e">
        <f t="shared" si="348"/>
        <v>#DIV/0!</v>
      </c>
      <c r="N192" s="25" t="e">
        <f t="shared" si="348"/>
        <v>#DIV/0!</v>
      </c>
      <c r="O192" s="25" t="e">
        <f t="shared" si="348"/>
        <v>#DIV/0!</v>
      </c>
      <c r="P192" s="25" t="e">
        <f t="shared" si="348"/>
        <v>#DIV/0!</v>
      </c>
      <c r="Q192" s="118" t="e">
        <f t="shared" si="332"/>
        <v>#DIV/0!</v>
      </c>
      <c r="R192" s="127"/>
      <c r="S192" s="119" t="e">
        <f t="shared" ref="S192:AB192" si="349">S187/S90</f>
        <v>#DIV/0!</v>
      </c>
      <c r="T192" s="119" t="e">
        <f t="shared" si="349"/>
        <v>#DIV/0!</v>
      </c>
      <c r="U192" s="119" t="e">
        <f t="shared" si="349"/>
        <v>#DIV/0!</v>
      </c>
      <c r="V192" s="119" t="e">
        <f t="shared" si="349"/>
        <v>#DIV/0!</v>
      </c>
      <c r="W192" s="119" t="e">
        <f t="shared" si="349"/>
        <v>#DIV/0!</v>
      </c>
      <c r="X192" s="119" t="e">
        <f t="shared" si="349"/>
        <v>#DIV/0!</v>
      </c>
      <c r="Y192" s="119" t="e">
        <f t="shared" si="349"/>
        <v>#DIV/0!</v>
      </c>
      <c r="Z192" s="119" t="e">
        <f t="shared" si="349"/>
        <v>#DIV/0!</v>
      </c>
      <c r="AA192" s="119" t="e">
        <f t="shared" si="349"/>
        <v>#DIV/0!</v>
      </c>
      <c r="AB192" s="119" t="e">
        <f t="shared" si="349"/>
        <v>#DIV/0!</v>
      </c>
      <c r="AC192" s="137" t="e">
        <f t="shared" si="335"/>
        <v>#DIV/0!</v>
      </c>
      <c r="AD192" s="31">
        <v>0.08</v>
      </c>
      <c r="AE192" s="126" t="e">
        <f t="shared" si="336"/>
        <v>#DIV/0!</v>
      </c>
    </row>
    <row r="193" spans="2:48" x14ac:dyDescent="0.2">
      <c r="B193" s="20" t="s">
        <v>282</v>
      </c>
      <c r="C193" s="25" t="e">
        <f>C189/C137</f>
        <v>#DIV/0!</v>
      </c>
      <c r="D193" s="25" t="e">
        <f>D189/D137</f>
        <v>#DIV/0!</v>
      </c>
      <c r="E193" s="25" t="e">
        <f>E189/E137</f>
        <v>#DIV/0!</v>
      </c>
      <c r="F193" s="25" t="e">
        <f>F189/F137</f>
        <v>#DIV/0!</v>
      </c>
      <c r="G193" s="25">
        <f t="shared" ref="G193:P193" si="350">G187/G84</f>
        <v>-0.37138633377135349</v>
      </c>
      <c r="H193" s="25">
        <f t="shared" si="350"/>
        <v>-0.60798816568047342</v>
      </c>
      <c r="I193" s="25">
        <f t="shared" si="350"/>
        <v>-0.77847313237221483</v>
      </c>
      <c r="J193" s="25">
        <f t="shared" si="350"/>
        <v>-0.83589868782422938</v>
      </c>
      <c r="K193" s="25">
        <f t="shared" si="350"/>
        <v>-0.89908755223010395</v>
      </c>
      <c r="L193" s="25">
        <f t="shared" si="350"/>
        <v>-0.43512152397635212</v>
      </c>
      <c r="M193" s="25">
        <f t="shared" si="350"/>
        <v>-0.90353653700565995</v>
      </c>
      <c r="N193" s="25">
        <f t="shared" si="350"/>
        <v>-0.892605699846302</v>
      </c>
      <c r="O193" s="25">
        <f t="shared" si="350"/>
        <v>-7.1792882966616078</v>
      </c>
      <c r="P193" s="25">
        <f t="shared" si="350"/>
        <v>-0.4188851796785143</v>
      </c>
      <c r="Q193" s="118">
        <f t="shared" ref="Q193" si="351">((P193/G193)^(1/($H$2-$H$1) ))-1</f>
        <v>1.3462480280360456E-2</v>
      </c>
      <c r="R193" s="127"/>
      <c r="S193" s="134">
        <f t="shared" ref="S193:AB193" si="352">S187/S84</f>
        <v>-0.46915140123993615</v>
      </c>
      <c r="T193" s="134">
        <f t="shared" si="352"/>
        <v>-0.52544956938872844</v>
      </c>
      <c r="U193" s="134">
        <f t="shared" si="352"/>
        <v>-0.5885035177153759</v>
      </c>
      <c r="V193" s="134">
        <f t="shared" si="352"/>
        <v>-0.65912393984122108</v>
      </c>
      <c r="W193" s="134">
        <f t="shared" si="352"/>
        <v>-0.7382188126221676</v>
      </c>
      <c r="X193" s="134">
        <f t="shared" si="352"/>
        <v>-0.82680507013682769</v>
      </c>
      <c r="Y193" s="134">
        <f t="shared" si="352"/>
        <v>-0.92602167855324713</v>
      </c>
      <c r="Z193" s="134">
        <f t="shared" si="352"/>
        <v>-1.0371442799796369</v>
      </c>
      <c r="AA193" s="134">
        <f t="shared" si="352"/>
        <v>-1.1616015935771935</v>
      </c>
      <c r="AB193" s="134">
        <f t="shared" si="352"/>
        <v>-1.3009937848064572</v>
      </c>
      <c r="AC193" s="137">
        <f t="shared" ref="AC193" si="353">((AB193/G193)^(1/($AB$3-$H$1) ))-1</f>
        <v>6.8206525034851806E-2</v>
      </c>
      <c r="AD193" s="31">
        <v>0.08</v>
      </c>
      <c r="AE193" s="126">
        <f t="shared" si="336"/>
        <v>-9.9266432140003236</v>
      </c>
    </row>
    <row r="194" spans="2:48" x14ac:dyDescent="0.2">
      <c r="B194" s="183" t="s">
        <v>381</v>
      </c>
      <c r="C194" s="161" t="e">
        <f t="shared" ref="C194:P194" si="354">C77/C187</f>
        <v>#DIV/0!</v>
      </c>
      <c r="D194" s="161" t="e">
        <f t="shared" si="354"/>
        <v>#DIV/0!</v>
      </c>
      <c r="E194" s="161" t="e">
        <f t="shared" si="354"/>
        <v>#DIV/0!</v>
      </c>
      <c r="F194" s="161" t="e">
        <f t="shared" si="354"/>
        <v>#DIV/0!</v>
      </c>
      <c r="G194" s="161">
        <f t="shared" si="354"/>
        <v>8.8633348076072538E-2</v>
      </c>
      <c r="H194" s="161">
        <f t="shared" si="354"/>
        <v>5.2446607191132741E-2</v>
      </c>
      <c r="I194" s="161">
        <f t="shared" si="354"/>
        <v>7.4217489512746052E-2</v>
      </c>
      <c r="J194" s="161">
        <f t="shared" si="354"/>
        <v>3.8258787108833112E-2</v>
      </c>
      <c r="K194" s="161">
        <f t="shared" si="354"/>
        <v>5.1769735995962171E-2</v>
      </c>
      <c r="L194" s="161">
        <f t="shared" si="354"/>
        <v>8.202495974235105E-2</v>
      </c>
      <c r="M194" s="161">
        <f t="shared" si="354"/>
        <v>5.2946152127421875E-2</v>
      </c>
      <c r="N194" s="161">
        <f t="shared" si="354"/>
        <v>4.5790893215724576E-2</v>
      </c>
      <c r="O194" s="161">
        <f t="shared" si="354"/>
        <v>4.8878169521745793E-3</v>
      </c>
      <c r="P194" s="161">
        <f t="shared" si="354"/>
        <v>7.3801232252879725E-2</v>
      </c>
      <c r="Q194" s="127"/>
      <c r="R194" s="127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7"/>
      <c r="AD194" s="31"/>
      <c r="AE194" s="126"/>
    </row>
    <row r="195" spans="2:48" x14ac:dyDescent="0.2">
      <c r="B195" s="20" t="s">
        <v>321</v>
      </c>
      <c r="C195" s="152" t="e">
        <f t="shared" ref="C195:P195" si="355">C71/C187</f>
        <v>#DIV/0!</v>
      </c>
      <c r="D195" s="152" t="e">
        <f t="shared" si="355"/>
        <v>#DIV/0!</v>
      </c>
      <c r="E195" s="152" t="e">
        <f t="shared" si="355"/>
        <v>#DIV/0!</v>
      </c>
      <c r="F195" s="152" t="e">
        <f t="shared" si="355"/>
        <v>#DIV/0!</v>
      </c>
      <c r="G195" s="152">
        <f t="shared" si="355"/>
        <v>6.3157894736842104E-3</v>
      </c>
      <c r="H195" s="152">
        <f t="shared" si="355"/>
        <v>4.1666666666666666E-3</v>
      </c>
      <c r="I195" s="152">
        <f t="shared" si="355"/>
        <v>2.6086956521739128E-3</v>
      </c>
      <c r="J195" s="152">
        <f t="shared" si="355"/>
        <v>1.6666666666666666E-3</v>
      </c>
      <c r="K195" s="152">
        <f t="shared" si="355"/>
        <v>1.3966480446927375E-3</v>
      </c>
      <c r="L195" s="152">
        <f t="shared" si="355"/>
        <v>3.2608695652173911E-3</v>
      </c>
      <c r="M195" s="152">
        <f t="shared" si="355"/>
        <v>1.1805555555555556E-3</v>
      </c>
      <c r="N195" s="152">
        <f t="shared" si="355"/>
        <v>1.0752688172043011E-3</v>
      </c>
      <c r="O195" s="152">
        <f t="shared" si="355"/>
        <v>1.1741682974559687E-3</v>
      </c>
      <c r="P195" s="152">
        <f t="shared" si="355"/>
        <v>1.7499999999999998E-3</v>
      </c>
      <c r="Q195" s="127"/>
      <c r="R195" s="127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7"/>
      <c r="AD195" s="31"/>
      <c r="AE195" s="126"/>
    </row>
    <row r="196" spans="2:48" x14ac:dyDescent="0.2">
      <c r="B196" s="20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27"/>
      <c r="R196" s="127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7"/>
      <c r="AD196" s="31"/>
      <c r="AE196" s="126"/>
    </row>
    <row r="197" spans="2:48" x14ac:dyDescent="0.2">
      <c r="B197" s="20"/>
      <c r="C197" s="128"/>
      <c r="D197" s="128"/>
      <c r="E197" s="128"/>
      <c r="F197" s="128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27"/>
      <c r="R197" s="127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6"/>
      <c r="AD197" s="20"/>
      <c r="AE197" s="126"/>
    </row>
    <row r="198" spans="2:48" x14ac:dyDescent="0.2">
      <c r="B198" s="108" t="s">
        <v>302</v>
      </c>
      <c r="C198" s="20"/>
      <c r="D198" s="20"/>
      <c r="E198" s="20"/>
      <c r="F198" s="20"/>
      <c r="G198" s="20"/>
      <c r="H198" s="20"/>
      <c r="I198" s="20"/>
      <c r="J198" s="20"/>
      <c r="K198" s="229" t="s">
        <v>352</v>
      </c>
      <c r="L198" s="23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36"/>
      <c r="AD198" s="20"/>
      <c r="AE198" s="20"/>
    </row>
    <row r="199" spans="2:48" x14ac:dyDescent="0.2">
      <c r="B199" s="20" t="s">
        <v>300</v>
      </c>
      <c r="C199" s="20" t="s">
        <v>315</v>
      </c>
      <c r="D199" s="20"/>
      <c r="E199" s="20"/>
      <c r="F199" s="20"/>
      <c r="G199" s="20"/>
      <c r="H199" s="20"/>
      <c r="I199" s="20"/>
      <c r="J199" s="20"/>
      <c r="K199" s="20" t="s">
        <v>353</v>
      </c>
      <c r="L199" s="22">
        <v>1</v>
      </c>
      <c r="M199" s="20"/>
      <c r="N199" s="20"/>
      <c r="O199" s="20"/>
      <c r="P199" s="127">
        <f>(P187-R175)/P187</f>
        <v>0.98341580136111961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36"/>
      <c r="AD199" s="20"/>
      <c r="AE199" s="20"/>
    </row>
    <row r="200" spans="2:48" x14ac:dyDescent="0.2">
      <c r="B200" s="20" t="s">
        <v>350</v>
      </c>
      <c r="C200" s="20" t="s">
        <v>315</v>
      </c>
      <c r="D200" s="20"/>
      <c r="E200" s="20"/>
      <c r="F200" s="20"/>
      <c r="G200" s="20"/>
      <c r="H200" s="20"/>
      <c r="I200" s="20"/>
      <c r="J200" s="20"/>
      <c r="K200" s="167">
        <f>L199</f>
        <v>1</v>
      </c>
      <c r="L200" s="20"/>
      <c r="M200" s="127">
        <f>(P187-(K200*R166))/P187</f>
        <v>3.8613925237863111</v>
      </c>
      <c r="N200" s="20"/>
      <c r="O200" s="20"/>
      <c r="P200" s="127">
        <f>(P187-R166)/P187</f>
        <v>3.8613925237863111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36"/>
      <c r="AD200" s="20"/>
      <c r="AE200" s="20"/>
    </row>
    <row r="201" spans="2:48" x14ac:dyDescent="0.2">
      <c r="B201" s="20" t="s">
        <v>351</v>
      </c>
      <c r="C201" s="20" t="s">
        <v>315</v>
      </c>
      <c r="D201" s="20"/>
      <c r="E201" s="20"/>
      <c r="F201" s="20"/>
      <c r="G201" s="20"/>
      <c r="H201" s="20"/>
      <c r="I201" s="20"/>
      <c r="J201" s="20"/>
      <c r="K201" s="167">
        <f>L199</f>
        <v>1</v>
      </c>
      <c r="L201" s="20"/>
      <c r="M201" s="127">
        <f>(P187-(K200*R159))/P187</f>
        <v>0.38725727746169913</v>
      </c>
      <c r="N201" s="20"/>
      <c r="O201" s="20"/>
      <c r="P201" s="127">
        <f>(P187-R159)/P187</f>
        <v>0.38725727746169913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36"/>
      <c r="AD201" s="20"/>
      <c r="AE201" s="20"/>
    </row>
    <row r="202" spans="2:48" x14ac:dyDescent="0.2">
      <c r="B202" s="20" t="s">
        <v>354</v>
      </c>
      <c r="C202" s="20" t="s">
        <v>315</v>
      </c>
      <c r="D202" s="20"/>
      <c r="E202" s="20"/>
      <c r="F202" s="20"/>
      <c r="G202" s="20"/>
      <c r="H202" s="20"/>
      <c r="I202" s="20"/>
      <c r="J202" s="20"/>
      <c r="K202" s="167">
        <f>L199</f>
        <v>1</v>
      </c>
      <c r="L202" s="20"/>
      <c r="M202" s="127">
        <f>(P187-(K200*R172))/P187</f>
        <v>1</v>
      </c>
      <c r="N202" s="20"/>
      <c r="O202" s="20"/>
      <c r="P202" s="127">
        <f>(P187-R172)/P187</f>
        <v>1</v>
      </c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136"/>
      <c r="AD202" s="20"/>
      <c r="AE202" s="20"/>
    </row>
    <row r="203" spans="2:48" x14ac:dyDescent="0.2">
      <c r="B203" s="20" t="s">
        <v>301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5">
        <f>P187/R158</f>
        <v>11.304827855792499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136"/>
      <c r="AD203" s="20"/>
      <c r="AE203" s="20"/>
    </row>
    <row r="204" spans="2:48" x14ac:dyDescent="0.2">
      <c r="B204" s="20" t="s">
        <v>381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152">
        <f>1/P203</f>
        <v>8.8457782175569211E-2</v>
      </c>
      <c r="Q204" s="20"/>
      <c r="R204" s="20"/>
      <c r="S204" s="218" t="s">
        <v>11</v>
      </c>
      <c r="T204" s="218" t="s">
        <v>12</v>
      </c>
      <c r="U204" s="218" t="s">
        <v>13</v>
      </c>
      <c r="V204" s="218" t="s">
        <v>14</v>
      </c>
      <c r="W204" s="218" t="s">
        <v>15</v>
      </c>
      <c r="X204" s="218" t="s">
        <v>234</v>
      </c>
      <c r="Y204" s="218" t="s">
        <v>235</v>
      </c>
      <c r="Z204" s="218" t="s">
        <v>236</v>
      </c>
      <c r="AA204" s="218" t="s">
        <v>237</v>
      </c>
      <c r="AB204" s="218" t="s">
        <v>238</v>
      </c>
      <c r="AC204" s="218" t="s">
        <v>415</v>
      </c>
      <c r="AD204" s="218" t="s">
        <v>416</v>
      </c>
      <c r="AE204" s="218" t="s">
        <v>417</v>
      </c>
      <c r="AF204" s="218" t="s">
        <v>418</v>
      </c>
      <c r="AG204" s="218" t="s">
        <v>419</v>
      </c>
      <c r="AH204" s="218" t="s">
        <v>420</v>
      </c>
      <c r="AI204" s="218" t="s">
        <v>421</v>
      </c>
      <c r="AJ204" s="218" t="s">
        <v>422</v>
      </c>
      <c r="AK204" s="218" t="s">
        <v>423</v>
      </c>
      <c r="AL204" s="218" t="s">
        <v>424</v>
      </c>
      <c r="AM204" s="218" t="s">
        <v>425</v>
      </c>
      <c r="AN204" s="218" t="s">
        <v>426</v>
      </c>
      <c r="AO204" s="218" t="s">
        <v>427</v>
      </c>
      <c r="AP204" s="218" t="s">
        <v>428</v>
      </c>
      <c r="AQ204" s="218" t="s">
        <v>429</v>
      </c>
      <c r="AR204" s="218" t="s">
        <v>430</v>
      </c>
      <c r="AS204" s="218" t="s">
        <v>431</v>
      </c>
      <c r="AT204" s="218" t="s">
        <v>432</v>
      </c>
      <c r="AU204" s="218" t="s">
        <v>433</v>
      </c>
      <c r="AV204" s="218" t="s">
        <v>434</v>
      </c>
    </row>
    <row r="205" spans="2:48" x14ac:dyDescent="0.2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5"/>
      <c r="Q205" s="20"/>
      <c r="R205" s="20"/>
      <c r="S205" s="199">
        <f>$P$187-S206</f>
        <v>373.52180574265236</v>
      </c>
      <c r="T205" s="157">
        <f>S205-T206</f>
        <v>341.74797263383522</v>
      </c>
      <c r="U205" s="157">
        <f t="shared" ref="U205:AV205" si="356">T205-U206</f>
        <v>303.61937290325466</v>
      </c>
      <c r="V205" s="157">
        <f t="shared" si="356"/>
        <v>257.86505322655796</v>
      </c>
      <c r="W205" s="157">
        <f t="shared" si="356"/>
        <v>202.95986961452195</v>
      </c>
      <c r="X205" s="157">
        <f t="shared" si="356"/>
        <v>137.07364928007874</v>
      </c>
      <c r="Y205" s="157">
        <f t="shared" si="356"/>
        <v>58.010184878746898</v>
      </c>
      <c r="Z205" s="157">
        <f t="shared" si="356"/>
        <v>-36.865972402851312</v>
      </c>
      <c r="AA205" s="157">
        <f t="shared" si="356"/>
        <v>-150.71736114076916</v>
      </c>
      <c r="AB205" s="157">
        <f t="shared" si="356"/>
        <v>-287.33902762627054</v>
      </c>
      <c r="AC205" s="157">
        <f t="shared" si="356"/>
        <v>-451.28502740887222</v>
      </c>
      <c r="AD205" s="157">
        <f t="shared" si="356"/>
        <v>-648.02022714799421</v>
      </c>
      <c r="AE205" s="157">
        <f t="shared" si="356"/>
        <v>-884.10246683494063</v>
      </c>
      <c r="AF205" s="157">
        <f t="shared" si="356"/>
        <v>-1167.4011544592763</v>
      </c>
      <c r="AG205" s="157">
        <f t="shared" si="356"/>
        <v>-1507.3595796084792</v>
      </c>
      <c r="AH205" s="157">
        <f t="shared" si="356"/>
        <v>-1915.3096897875225</v>
      </c>
      <c r="AI205" s="157">
        <f t="shared" si="356"/>
        <v>-2404.8498220023744</v>
      </c>
      <c r="AJ205" s="157">
        <f t="shared" si="356"/>
        <v>-2992.297980660197</v>
      </c>
      <c r="AK205" s="157">
        <f t="shared" si="356"/>
        <v>-3697.2357710495839</v>
      </c>
      <c r="AL205" s="157">
        <f t="shared" si="356"/>
        <v>-4543.161119516848</v>
      </c>
      <c r="AM205" s="157">
        <f t="shared" si="356"/>
        <v>-5558.271537677565</v>
      </c>
      <c r="AN205" s="157">
        <f t="shared" si="356"/>
        <v>-6776.4040394704252</v>
      </c>
      <c r="AO205" s="157">
        <f t="shared" si="356"/>
        <v>-8238.1630416218577</v>
      </c>
      <c r="AP205" s="157">
        <f t="shared" si="356"/>
        <v>-9992.273844203577</v>
      </c>
      <c r="AQ205" s="157">
        <f t="shared" si="356"/>
        <v>-12097.20680730164</v>
      </c>
      <c r="AR205" s="157">
        <f t="shared" si="356"/>
        <v>-14623.126363019315</v>
      </c>
      <c r="AS205" s="157">
        <f t="shared" si="356"/>
        <v>-17654.229829880525</v>
      </c>
      <c r="AT205" s="157">
        <f t="shared" si="356"/>
        <v>-21291.553990113978</v>
      </c>
      <c r="AU205" s="157">
        <f t="shared" si="356"/>
        <v>-25656.342982394119</v>
      </c>
      <c r="AV205" s="157">
        <f t="shared" si="356"/>
        <v>-30894.08977313029</v>
      </c>
    </row>
    <row r="206" spans="2:48" s="187" customFormat="1" x14ac:dyDescent="0.2">
      <c r="B206" s="189" t="s">
        <v>398</v>
      </c>
      <c r="C206" s="189"/>
      <c r="D206" s="189"/>
      <c r="E206" s="189"/>
      <c r="F206" s="189"/>
      <c r="G206" s="189"/>
      <c r="H206" s="189"/>
      <c r="I206" s="189"/>
      <c r="J206" s="189"/>
      <c r="K206" s="190">
        <v>0.2</v>
      </c>
      <c r="L206" s="184"/>
      <c r="M206" s="198">
        <f>P187/(Q157*(1+K206)^L206)</f>
        <v>18.128124423243158</v>
      </c>
      <c r="N206" s="184"/>
      <c r="O206" s="184"/>
      <c r="P206" s="186">
        <f>P187/Q157</f>
        <v>18.128124423243158</v>
      </c>
      <c r="Q206" s="184"/>
      <c r="R206" s="184"/>
      <c r="S206" s="199">
        <f>Q157*(1+$K$206)</f>
        <v>26.478194257347614</v>
      </c>
      <c r="T206" s="199">
        <f>S206*(1+$K$206)</f>
        <v>31.773833108817136</v>
      </c>
      <c r="U206" s="199">
        <f t="shared" ref="U206:AE206" si="357">T206*(1+$K$206)</f>
        <v>38.128599730580561</v>
      </c>
      <c r="V206" s="199">
        <f t="shared" si="357"/>
        <v>45.754319676696674</v>
      </c>
      <c r="W206" s="199">
        <f t="shared" si="357"/>
        <v>54.905183612036005</v>
      </c>
      <c r="X206" s="199">
        <f t="shared" si="357"/>
        <v>65.886220334443209</v>
      </c>
      <c r="Y206" s="199">
        <f t="shared" si="357"/>
        <v>79.063464401331842</v>
      </c>
      <c r="Z206" s="199">
        <f t="shared" si="357"/>
        <v>94.876157281598211</v>
      </c>
      <c r="AA206" s="199">
        <f t="shared" si="357"/>
        <v>113.85138873791784</v>
      </c>
      <c r="AB206" s="199">
        <f t="shared" si="357"/>
        <v>136.62166648550141</v>
      </c>
      <c r="AC206" s="199">
        <f t="shared" si="357"/>
        <v>163.94599978260169</v>
      </c>
      <c r="AD206" s="199">
        <f t="shared" si="357"/>
        <v>196.73519973912201</v>
      </c>
      <c r="AE206" s="199">
        <f t="shared" si="357"/>
        <v>236.08223968694639</v>
      </c>
      <c r="AF206" s="199">
        <f t="shared" ref="AF206:AV206" si="358">AE206*(1+$K$206)</f>
        <v>283.29868762433568</v>
      </c>
      <c r="AG206" s="199">
        <f t="shared" si="358"/>
        <v>339.95842514920281</v>
      </c>
      <c r="AH206" s="199">
        <f t="shared" si="358"/>
        <v>407.95011017904335</v>
      </c>
      <c r="AI206" s="199">
        <f t="shared" si="358"/>
        <v>489.54013221485201</v>
      </c>
      <c r="AJ206" s="199">
        <f t="shared" si="358"/>
        <v>587.44815865782243</v>
      </c>
      <c r="AK206" s="199">
        <f t="shared" si="358"/>
        <v>704.93779038938692</v>
      </c>
      <c r="AL206" s="199">
        <f t="shared" si="358"/>
        <v>845.92534846726426</v>
      </c>
      <c r="AM206" s="199">
        <f t="shared" si="358"/>
        <v>1015.110418160717</v>
      </c>
      <c r="AN206" s="199">
        <f t="shared" si="358"/>
        <v>1218.1325017928605</v>
      </c>
      <c r="AO206" s="199">
        <f t="shared" si="358"/>
        <v>1461.7590021514325</v>
      </c>
      <c r="AP206" s="199">
        <f t="shared" si="358"/>
        <v>1754.1108025817189</v>
      </c>
      <c r="AQ206" s="199">
        <f t="shared" si="358"/>
        <v>2104.9329630980624</v>
      </c>
      <c r="AR206" s="199">
        <f t="shared" si="358"/>
        <v>2525.9195557176749</v>
      </c>
      <c r="AS206" s="199">
        <f t="shared" si="358"/>
        <v>3031.1034668612097</v>
      </c>
      <c r="AT206" s="199">
        <f t="shared" si="358"/>
        <v>3637.3241602334515</v>
      </c>
      <c r="AU206" s="199">
        <f t="shared" si="358"/>
        <v>4364.7889922801414</v>
      </c>
      <c r="AV206" s="199">
        <f t="shared" si="358"/>
        <v>5237.7467907361697</v>
      </c>
    </row>
    <row r="207" spans="2:48" s="187" customFormat="1" x14ac:dyDescent="0.2">
      <c r="B207" s="189" t="s">
        <v>399</v>
      </c>
      <c r="C207" s="189"/>
      <c r="D207" s="189"/>
      <c r="E207" s="189"/>
      <c r="F207" s="189"/>
      <c r="G207" s="189"/>
      <c r="H207" s="189"/>
      <c r="I207" s="189"/>
      <c r="J207" s="189"/>
      <c r="K207" s="190">
        <v>0.2</v>
      </c>
      <c r="L207" s="184"/>
      <c r="M207" s="198">
        <f>P187/(P77*(1+K207)^L207)</f>
        <v>13.549909255898365</v>
      </c>
      <c r="N207" s="184"/>
      <c r="O207" s="184"/>
      <c r="P207" s="186">
        <f>P187/P77</f>
        <v>13.549909255898365</v>
      </c>
      <c r="Q207" s="184"/>
      <c r="R207" s="184"/>
      <c r="S207" s="199">
        <f>P77*(1+$K$207)</f>
        <v>35.424591481382265</v>
      </c>
      <c r="T207" s="199">
        <f>S207*(1+$K$207)</f>
        <v>42.509509777658714</v>
      </c>
      <c r="U207" s="199">
        <f t="shared" ref="U207:AE207" si="359">T207*(1+$K$207)</f>
        <v>51.011411733190457</v>
      </c>
      <c r="V207" s="199">
        <f t="shared" si="359"/>
        <v>61.213694079828542</v>
      </c>
      <c r="W207" s="199">
        <f t="shared" si="359"/>
        <v>73.456432895794251</v>
      </c>
      <c r="X207" s="199">
        <f t="shared" si="359"/>
        <v>88.147719474953092</v>
      </c>
      <c r="Y207" s="199">
        <f t="shared" si="359"/>
        <v>105.77726336994371</v>
      </c>
      <c r="Z207" s="199">
        <f t="shared" si="359"/>
        <v>126.93271604393244</v>
      </c>
      <c r="AA207" s="199">
        <f t="shared" si="359"/>
        <v>152.31925925271892</v>
      </c>
      <c r="AB207" s="199">
        <f t="shared" si="359"/>
        <v>182.78311110326271</v>
      </c>
      <c r="AC207" s="199">
        <f t="shared" si="359"/>
        <v>219.33973332391525</v>
      </c>
      <c r="AD207" s="199">
        <f t="shared" si="359"/>
        <v>263.20767998869832</v>
      </c>
      <c r="AE207" s="199">
        <f t="shared" si="359"/>
        <v>315.84921598643797</v>
      </c>
      <c r="AF207" s="199">
        <f t="shared" ref="AF207:AV207" si="360">AE207*(1+$K$207)</f>
        <v>379.01905918372557</v>
      </c>
      <c r="AG207" s="199">
        <f t="shared" si="360"/>
        <v>454.8228710204707</v>
      </c>
      <c r="AH207" s="199">
        <f t="shared" si="360"/>
        <v>545.78744522456486</v>
      </c>
      <c r="AI207" s="199">
        <f t="shared" si="360"/>
        <v>654.94493426947781</v>
      </c>
      <c r="AJ207" s="199">
        <f t="shared" si="360"/>
        <v>785.93392112337335</v>
      </c>
      <c r="AK207" s="199">
        <f t="shared" si="360"/>
        <v>943.12070534804798</v>
      </c>
      <c r="AL207" s="199">
        <f t="shared" si="360"/>
        <v>1131.7448464176575</v>
      </c>
      <c r="AM207" s="199">
        <f t="shared" si="360"/>
        <v>1358.093815701189</v>
      </c>
      <c r="AN207" s="199">
        <f t="shared" si="360"/>
        <v>1629.7125788414266</v>
      </c>
      <c r="AO207" s="199">
        <f t="shared" si="360"/>
        <v>1955.6550946097118</v>
      </c>
      <c r="AP207" s="199">
        <f t="shared" si="360"/>
        <v>2346.7861135316539</v>
      </c>
      <c r="AQ207" s="199">
        <f t="shared" si="360"/>
        <v>2816.1433362379844</v>
      </c>
      <c r="AR207" s="199">
        <f t="shared" si="360"/>
        <v>3379.372003485581</v>
      </c>
      <c r="AS207" s="199">
        <f t="shared" si="360"/>
        <v>4055.246404182697</v>
      </c>
      <c r="AT207" s="199">
        <f t="shared" si="360"/>
        <v>4866.2956850192359</v>
      </c>
      <c r="AU207" s="199">
        <f t="shared" si="360"/>
        <v>5839.554822023083</v>
      </c>
      <c r="AV207" s="199">
        <f t="shared" si="360"/>
        <v>7007.4657864276996</v>
      </c>
    </row>
    <row r="208" spans="2:48" x14ac:dyDescent="0.2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199">
        <f>$P$187-S207</f>
        <v>364.57540851861773</v>
      </c>
      <c r="T208" s="157">
        <f>S208-T207</f>
        <v>322.06589874095903</v>
      </c>
      <c r="U208" s="157">
        <f t="shared" ref="U208:AV208" si="361">T208-U207</f>
        <v>271.05448700776856</v>
      </c>
      <c r="V208" s="157">
        <f t="shared" si="361"/>
        <v>209.84079292794002</v>
      </c>
      <c r="W208" s="157">
        <f t="shared" si="361"/>
        <v>136.38436003214576</v>
      </c>
      <c r="X208" s="157">
        <f t="shared" si="361"/>
        <v>48.236640557192672</v>
      </c>
      <c r="Y208" s="157">
        <f t="shared" si="361"/>
        <v>-57.540622812751039</v>
      </c>
      <c r="Z208" s="157">
        <f t="shared" si="361"/>
        <v>-184.47333885668348</v>
      </c>
      <c r="AA208" s="157">
        <f t="shared" si="361"/>
        <v>-336.79259810940243</v>
      </c>
      <c r="AB208" s="157">
        <f t="shared" si="361"/>
        <v>-519.57570921266517</v>
      </c>
      <c r="AC208" s="157">
        <f t="shared" si="361"/>
        <v>-738.91544253658049</v>
      </c>
      <c r="AD208" s="157">
        <f t="shared" si="361"/>
        <v>-1002.1231225252789</v>
      </c>
      <c r="AE208" s="157">
        <f t="shared" si="361"/>
        <v>-1317.9723385117168</v>
      </c>
      <c r="AF208" s="157">
        <f t="shared" si="361"/>
        <v>-1696.9913976954424</v>
      </c>
      <c r="AG208" s="157">
        <f t="shared" si="361"/>
        <v>-2151.8142687159129</v>
      </c>
      <c r="AH208" s="157">
        <f t="shared" si="361"/>
        <v>-2697.6017139404776</v>
      </c>
      <c r="AI208" s="157">
        <f t="shared" si="361"/>
        <v>-3352.5466482099555</v>
      </c>
      <c r="AJ208" s="157">
        <f t="shared" si="361"/>
        <v>-4138.4805693333292</v>
      </c>
      <c r="AK208" s="157">
        <f t="shared" si="361"/>
        <v>-5081.6012746813776</v>
      </c>
      <c r="AL208" s="157">
        <f t="shared" si="361"/>
        <v>-6213.3461210990354</v>
      </c>
      <c r="AM208" s="157">
        <f t="shared" si="361"/>
        <v>-7571.4399368002241</v>
      </c>
      <c r="AN208" s="157">
        <f t="shared" si="361"/>
        <v>-9201.1525156416501</v>
      </c>
      <c r="AO208" s="157">
        <f t="shared" si="361"/>
        <v>-11156.807610251362</v>
      </c>
      <c r="AP208" s="157">
        <f t="shared" si="361"/>
        <v>-13503.593723783017</v>
      </c>
      <c r="AQ208" s="157">
        <f t="shared" si="361"/>
        <v>-16319.737060021002</v>
      </c>
      <c r="AR208" s="157">
        <f t="shared" si="361"/>
        <v>-19699.109063506581</v>
      </c>
      <c r="AS208" s="157">
        <f t="shared" si="361"/>
        <v>-23754.355467689278</v>
      </c>
      <c r="AT208" s="157">
        <f t="shared" si="361"/>
        <v>-28620.651152708513</v>
      </c>
      <c r="AU208" s="157">
        <f t="shared" si="361"/>
        <v>-34460.205974731594</v>
      </c>
      <c r="AV208" s="157">
        <f t="shared" si="361"/>
        <v>-41467.67176115929</v>
      </c>
    </row>
    <row r="209" spans="2:31" x14ac:dyDescent="0.2">
      <c r="B209" s="108" t="s">
        <v>303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 t="s">
        <v>306</v>
      </c>
      <c r="C210" s="25" t="e">
        <f t="shared" ref="C210:P210" si="362">C10/C7</f>
        <v>#DIV/0!</v>
      </c>
      <c r="D210" s="25" t="e">
        <f t="shared" si="362"/>
        <v>#DIV/0!</v>
      </c>
      <c r="E210" s="25" t="e">
        <f t="shared" si="362"/>
        <v>#DIV/0!</v>
      </c>
      <c r="F210" s="25" t="e">
        <f t="shared" si="362"/>
        <v>#DIV/0!</v>
      </c>
      <c r="G210" s="25">
        <f t="shared" si="362"/>
        <v>5.9255663430420711</v>
      </c>
      <c r="H210" s="25">
        <f t="shared" si="362"/>
        <v>5.1331521739130439</v>
      </c>
      <c r="I210" s="25">
        <f t="shared" si="362"/>
        <v>5.0549158547387067</v>
      </c>
      <c r="J210" s="25">
        <f t="shared" si="362"/>
        <v>6.0245323520392517</v>
      </c>
      <c r="K210" s="25">
        <f t="shared" si="362"/>
        <v>4.4991499489969398</v>
      </c>
      <c r="L210" s="25">
        <f t="shared" si="362"/>
        <v>3.762019957665558</v>
      </c>
      <c r="M210" s="25">
        <f t="shared" si="362"/>
        <v>4.4826114249843068</v>
      </c>
      <c r="N210" s="25">
        <f t="shared" si="362"/>
        <v>4.4900445495045007</v>
      </c>
      <c r="O210" s="25">
        <f t="shared" si="362"/>
        <v>5.075763432547352</v>
      </c>
      <c r="P210" s="25">
        <f t="shared" si="362"/>
        <v>5.6698107028230824</v>
      </c>
      <c r="Q210" s="118">
        <f t="shared" ref="Q210:Q212" si="363">((P210/G210)^(1/($H$2-$H$1) ))-1</f>
        <v>-4.8902852435773747E-3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 t="s">
        <v>307</v>
      </c>
      <c r="C211" s="112" t="e">
        <f>C10/C12</f>
        <v>#DIV/0!</v>
      </c>
      <c r="D211" s="112" t="e">
        <f>D10/D12</f>
        <v>#DIV/0!</v>
      </c>
      <c r="E211" s="112" t="e">
        <f>E10/E12</f>
        <v>#DIV/0!</v>
      </c>
      <c r="F211" s="112" t="e">
        <f>F10/F12</f>
        <v>#DIV/0!</v>
      </c>
      <c r="G211" s="112" t="e">
        <f>G10/G12</f>
        <v>#DIV/0!</v>
      </c>
      <c r="H211" s="112" t="e">
        <f t="shared" ref="H211:P211" si="364">H10/H12</f>
        <v>#DIV/0!</v>
      </c>
      <c r="I211" s="112" t="e">
        <f t="shared" si="364"/>
        <v>#DIV/0!</v>
      </c>
      <c r="J211" s="112" t="e">
        <f t="shared" si="364"/>
        <v>#DIV/0!</v>
      </c>
      <c r="K211" s="112" t="e">
        <f t="shared" si="364"/>
        <v>#DIV/0!</v>
      </c>
      <c r="L211" s="112" t="e">
        <f t="shared" si="364"/>
        <v>#DIV/0!</v>
      </c>
      <c r="M211" s="112" t="e">
        <f t="shared" si="364"/>
        <v>#DIV/0!</v>
      </c>
      <c r="N211" s="112" t="e">
        <f t="shared" si="364"/>
        <v>#DIV/0!</v>
      </c>
      <c r="O211" s="112" t="e">
        <f t="shared" si="364"/>
        <v>#DIV/0!</v>
      </c>
      <c r="P211" s="112" t="e">
        <f t="shared" si="364"/>
        <v>#DIV/0!</v>
      </c>
      <c r="Q211" s="118" t="e">
        <f t="shared" si="363"/>
        <v>#DIV/0!</v>
      </c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 t="s">
        <v>308</v>
      </c>
      <c r="C212" s="25" t="e">
        <f>C10/(C12+C15)</f>
        <v>#DIV/0!</v>
      </c>
      <c r="D212" s="25" t="e">
        <f>D10/(D12+D15)</f>
        <v>#DIV/0!</v>
      </c>
      <c r="E212" s="25" t="e">
        <f>E10/(E12+E15)</f>
        <v>#DIV/0!</v>
      </c>
      <c r="F212" s="25" t="e">
        <f>F10/(F12+F15)</f>
        <v>#DIV/0!</v>
      </c>
      <c r="G212" s="25">
        <f>G10/(G12+G15)</f>
        <v>2.0293710169021888</v>
      </c>
      <c r="H212" s="25">
        <f t="shared" ref="H212:P212" si="365">H10/(H12+H15)</f>
        <v>2.7933456561922365</v>
      </c>
      <c r="I212" s="25">
        <f t="shared" si="365"/>
        <v>2.2610935023771792</v>
      </c>
      <c r="J212" s="25">
        <f t="shared" si="365"/>
        <v>2.1522787028921999</v>
      </c>
      <c r="K212" s="25">
        <f t="shared" si="365"/>
        <v>2.1054976529556848</v>
      </c>
      <c r="L212" s="25">
        <f t="shared" si="365"/>
        <v>1.8690002253436491</v>
      </c>
      <c r="M212" s="25">
        <f t="shared" si="365"/>
        <v>1.832477930609731</v>
      </c>
      <c r="N212" s="25">
        <f t="shared" si="365"/>
        <v>1.8959613022113022</v>
      </c>
      <c r="O212" s="25">
        <f t="shared" si="365"/>
        <v>2.0738833786088824</v>
      </c>
      <c r="P212" s="25">
        <f t="shared" si="365"/>
        <v>2.1160437089006772</v>
      </c>
      <c r="Q212" s="118">
        <f t="shared" si="363"/>
        <v>4.6577324497067973E-3</v>
      </c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8" t="s">
        <v>400</v>
      </c>
      <c r="D215" s="209"/>
      <c r="E215" s="209"/>
      <c r="F215" s="209"/>
      <c r="G215" s="209"/>
      <c r="H215" s="209"/>
      <c r="I215" s="209"/>
      <c r="J215" s="209"/>
      <c r="K215" s="193"/>
      <c r="L215" s="222" t="s">
        <v>338</v>
      </c>
      <c r="M215" s="223"/>
      <c r="N215" s="224"/>
      <c r="O215" s="196" t="s">
        <v>341</v>
      </c>
      <c r="P215" s="193"/>
      <c r="Q215" s="222" t="s">
        <v>339</v>
      </c>
      <c r="R215" s="223"/>
      <c r="S215" s="224"/>
      <c r="T215" s="196" t="s">
        <v>341</v>
      </c>
      <c r="U215" s="193"/>
      <c r="V215" s="193"/>
      <c r="W215" s="193"/>
      <c r="X215" s="193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2" t="s">
        <v>340</v>
      </c>
      <c r="D216" s="202" t="s">
        <v>0</v>
      </c>
      <c r="E216" s="202" t="s">
        <v>401</v>
      </c>
      <c r="F216" s="202" t="s">
        <v>402</v>
      </c>
      <c r="G216" s="202" t="s">
        <v>403</v>
      </c>
      <c r="H216" s="202" t="s">
        <v>404</v>
      </c>
      <c r="I216" s="202" t="s">
        <v>405</v>
      </c>
      <c r="J216" s="202" t="s">
        <v>406</v>
      </c>
      <c r="K216" s="193"/>
      <c r="L216" s="202" t="s">
        <v>340</v>
      </c>
      <c r="M216" s="202"/>
      <c r="N216" s="202" t="s">
        <v>0</v>
      </c>
      <c r="O216" s="202" t="s">
        <v>380</v>
      </c>
      <c r="P216" s="193"/>
      <c r="Q216" s="202" t="s">
        <v>340</v>
      </c>
      <c r="R216" s="202"/>
      <c r="S216" s="202" t="s">
        <v>0</v>
      </c>
      <c r="T216" s="202" t="s">
        <v>380</v>
      </c>
      <c r="U216" s="193"/>
      <c r="V216" s="193"/>
      <c r="W216" s="193"/>
      <c r="X216" s="193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3" t="s">
        <v>342</v>
      </c>
      <c r="D217" s="194">
        <v>1</v>
      </c>
      <c r="E217" s="210" t="s">
        <v>407</v>
      </c>
      <c r="F217" s="195">
        <v>1</v>
      </c>
      <c r="G217" s="195">
        <v>1</v>
      </c>
      <c r="H217" s="215">
        <f>F217/G217</f>
        <v>1</v>
      </c>
      <c r="I217" s="216">
        <f>D218*H217</f>
        <v>1</v>
      </c>
      <c r="J217" s="216">
        <f>SUM(H217:I217)</f>
        <v>2</v>
      </c>
      <c r="K217" s="193"/>
      <c r="L217" s="203" t="s">
        <v>342</v>
      </c>
      <c r="M217" s="203"/>
      <c r="N217" s="194">
        <v>1</v>
      </c>
      <c r="O217" s="207">
        <v>1</v>
      </c>
      <c r="P217" s="193"/>
      <c r="Q217" s="203" t="s">
        <v>342</v>
      </c>
      <c r="R217" s="203"/>
      <c r="S217" s="194">
        <v>1</v>
      </c>
      <c r="T217" s="207">
        <v>1</v>
      </c>
      <c r="U217" s="193"/>
      <c r="V217" s="193"/>
      <c r="W217" s="193"/>
      <c r="X217" s="193"/>
      <c r="Y217" s="20"/>
      <c r="Z217" s="20"/>
      <c r="AA217" s="20"/>
      <c r="AB217" s="20"/>
      <c r="AC217" s="20"/>
      <c r="AD217" s="20"/>
      <c r="AE217" s="20"/>
    </row>
    <row r="218" spans="2:31" x14ac:dyDescent="0.2">
      <c r="B218" s="20"/>
      <c r="C218" s="203" t="s">
        <v>343</v>
      </c>
      <c r="D218" s="194">
        <v>1</v>
      </c>
      <c r="E218" s="210" t="s">
        <v>408</v>
      </c>
      <c r="F218" s="195">
        <v>1</v>
      </c>
      <c r="G218" s="195">
        <v>1</v>
      </c>
      <c r="H218" s="215">
        <f>F218/G218</f>
        <v>1</v>
      </c>
      <c r="I218" s="216">
        <f>H218*J217</f>
        <v>2</v>
      </c>
      <c r="J218" s="216">
        <f>I218+J217</f>
        <v>4</v>
      </c>
      <c r="K218" s="193"/>
      <c r="L218" s="203" t="s">
        <v>343</v>
      </c>
      <c r="M218" s="203"/>
      <c r="N218" s="194">
        <v>1</v>
      </c>
      <c r="O218" s="207">
        <v>1</v>
      </c>
      <c r="P218" s="193"/>
      <c r="Q218" s="203" t="s">
        <v>343</v>
      </c>
      <c r="R218" s="203"/>
      <c r="S218" s="194">
        <v>1</v>
      </c>
      <c r="T218" s="207">
        <v>1</v>
      </c>
      <c r="U218" s="193"/>
      <c r="V218" s="193"/>
      <c r="W218" s="193"/>
      <c r="X218" s="193"/>
      <c r="Y218" s="20"/>
      <c r="Z218" s="20"/>
      <c r="AA218" s="20"/>
      <c r="AB218" s="20"/>
      <c r="AC218" s="20"/>
      <c r="AD218" s="20"/>
      <c r="AE218" s="20"/>
    </row>
    <row r="219" spans="2:31" x14ac:dyDescent="0.2">
      <c r="B219" s="20"/>
      <c r="C219" s="203" t="s">
        <v>345</v>
      </c>
      <c r="D219" s="204">
        <f>D217*D218</f>
        <v>1</v>
      </c>
      <c r="E219" s="210" t="s">
        <v>409</v>
      </c>
      <c r="F219" s="195">
        <v>0</v>
      </c>
      <c r="G219" s="195">
        <v>2</v>
      </c>
      <c r="H219" s="215">
        <f>F219/G219</f>
        <v>0</v>
      </c>
      <c r="I219" s="216">
        <f>H219*J218</f>
        <v>0</v>
      </c>
      <c r="J219" s="216">
        <f>I219+J218</f>
        <v>4</v>
      </c>
      <c r="K219" s="193"/>
      <c r="L219" s="203" t="s">
        <v>344</v>
      </c>
      <c r="M219" s="203"/>
      <c r="N219" s="204">
        <v>1</v>
      </c>
      <c r="O219" s="207">
        <v>1</v>
      </c>
      <c r="P219" s="193"/>
      <c r="Q219" s="203" t="s">
        <v>345</v>
      </c>
      <c r="R219" s="203"/>
      <c r="S219" s="204">
        <v>1</v>
      </c>
      <c r="T219" s="207">
        <v>1</v>
      </c>
      <c r="U219" s="193"/>
      <c r="V219" s="193"/>
      <c r="W219" s="193"/>
      <c r="X219" s="193"/>
      <c r="Y219" s="20"/>
      <c r="Z219" s="20"/>
      <c r="AA219" s="20"/>
      <c r="AB219" s="20"/>
      <c r="AC219" s="20"/>
      <c r="AD219" s="20"/>
      <c r="AE219" s="20"/>
    </row>
    <row r="220" spans="2:31" x14ac:dyDescent="0.2">
      <c r="B220" s="20"/>
      <c r="C220" s="203"/>
      <c r="D220" s="204"/>
      <c r="E220" s="210" t="s">
        <v>410</v>
      </c>
      <c r="F220" s="195">
        <v>10</v>
      </c>
      <c r="G220" s="195">
        <v>2</v>
      </c>
      <c r="H220" s="215">
        <f>F220/G220</f>
        <v>5</v>
      </c>
      <c r="I220" s="216">
        <f>H220*J219</f>
        <v>20</v>
      </c>
      <c r="J220" s="216">
        <f>I220</f>
        <v>20</v>
      </c>
      <c r="K220" s="193"/>
      <c r="L220" s="203" t="s">
        <v>346</v>
      </c>
      <c r="M220" s="203"/>
      <c r="N220" s="194">
        <v>1</v>
      </c>
      <c r="O220" s="194">
        <v>1565</v>
      </c>
      <c r="P220" s="193"/>
      <c r="Q220" s="203" t="s">
        <v>346</v>
      </c>
      <c r="R220" s="203"/>
      <c r="S220" s="194">
        <v>1</v>
      </c>
      <c r="T220" s="194">
        <v>1</v>
      </c>
      <c r="U220" s="193"/>
      <c r="V220" s="193"/>
      <c r="W220" s="193"/>
      <c r="X220" s="193"/>
      <c r="Y220" s="20"/>
      <c r="Z220" s="20"/>
      <c r="AA220" s="20"/>
      <c r="AB220" s="20"/>
      <c r="AC220" s="20"/>
      <c r="AD220" s="20"/>
      <c r="AE220" s="20"/>
    </row>
    <row r="221" spans="2:31" x14ac:dyDescent="0.2">
      <c r="B221" s="20"/>
      <c r="C221" s="203" t="s">
        <v>346</v>
      </c>
      <c r="D221" s="194">
        <v>1</v>
      </c>
      <c r="E221" s="210"/>
      <c r="F221" s="203"/>
      <c r="G221" s="203"/>
      <c r="H221" s="205" t="s">
        <v>411</v>
      </c>
      <c r="I221" s="203"/>
      <c r="J221" s="216">
        <f>J220</f>
        <v>20</v>
      </c>
      <c r="K221" s="193"/>
      <c r="L221" s="203" t="s">
        <v>347</v>
      </c>
      <c r="M221" s="203"/>
      <c r="N221" s="204">
        <v>1</v>
      </c>
      <c r="O221" s="204">
        <v>1565</v>
      </c>
      <c r="P221" s="193"/>
      <c r="Q221" s="203" t="s">
        <v>343</v>
      </c>
      <c r="R221" s="203"/>
      <c r="S221" s="194">
        <v>1</v>
      </c>
      <c r="T221" s="199">
        <v>1</v>
      </c>
      <c r="U221" s="193"/>
      <c r="V221" s="193"/>
      <c r="W221" s="193"/>
      <c r="X221" s="193"/>
      <c r="Y221" s="20"/>
      <c r="Z221" s="20"/>
      <c r="AA221" s="20"/>
      <c r="AB221" s="20"/>
      <c r="AC221" s="20"/>
      <c r="AD221" s="20"/>
      <c r="AE221" s="20"/>
    </row>
    <row r="222" spans="2:31" x14ac:dyDescent="0.2">
      <c r="B222" s="20"/>
      <c r="C222" s="203" t="s">
        <v>343</v>
      </c>
      <c r="D222" s="194">
        <v>1</v>
      </c>
      <c r="E222" s="210" t="s">
        <v>410</v>
      </c>
      <c r="F222" s="195">
        <v>10</v>
      </c>
      <c r="G222" s="195">
        <v>2</v>
      </c>
      <c r="H222" s="203">
        <f>F222/G222</f>
        <v>5</v>
      </c>
      <c r="I222" s="211">
        <f>H222*D218</f>
        <v>5</v>
      </c>
      <c r="J222" s="211">
        <f>I222</f>
        <v>5</v>
      </c>
      <c r="K222" s="193"/>
      <c r="L222" s="203"/>
      <c r="M222" s="203"/>
      <c r="N222" s="204"/>
      <c r="O222" s="204"/>
      <c r="P222" s="193"/>
      <c r="Q222" s="203" t="s">
        <v>345</v>
      </c>
      <c r="R222" s="203"/>
      <c r="S222" s="204">
        <v>1</v>
      </c>
      <c r="T222" s="204">
        <v>1</v>
      </c>
      <c r="U222" s="193"/>
      <c r="V222" s="193"/>
      <c r="W222" s="193"/>
      <c r="X222" s="193"/>
      <c r="Y222" s="20"/>
      <c r="Z222" s="20"/>
      <c r="AA222" s="20"/>
      <c r="AB222" s="20"/>
      <c r="AC222" s="20"/>
      <c r="AD222" s="20"/>
      <c r="AE222" s="20"/>
    </row>
    <row r="223" spans="2:31" x14ac:dyDescent="0.2">
      <c r="B223" s="20"/>
      <c r="C223" s="203" t="s">
        <v>345</v>
      </c>
      <c r="D223" s="204">
        <f>D221*D222</f>
        <v>1</v>
      </c>
      <c r="E223" s="203"/>
      <c r="F223" s="203"/>
      <c r="G223" s="203"/>
      <c r="H223" s="205" t="s">
        <v>411</v>
      </c>
      <c r="I223" s="203"/>
      <c r="J223" s="216">
        <f>J222</f>
        <v>5</v>
      </c>
      <c r="K223" s="193"/>
      <c r="L223" s="203"/>
      <c r="M223" s="203"/>
      <c r="N223" s="204"/>
      <c r="O223" s="204"/>
      <c r="P223" s="193"/>
      <c r="Q223" s="203"/>
      <c r="R223" s="203"/>
      <c r="S223" s="204"/>
      <c r="T223" s="204"/>
      <c r="U223" s="193"/>
      <c r="V223" s="193"/>
      <c r="W223" s="193"/>
      <c r="X223" s="193"/>
      <c r="Y223" s="20"/>
      <c r="Z223" s="20"/>
      <c r="AA223" s="20"/>
      <c r="AB223" s="20"/>
      <c r="AC223" s="20"/>
      <c r="AD223" s="20"/>
      <c r="AE223" s="20"/>
    </row>
    <row r="224" spans="2:31" x14ac:dyDescent="0.2">
      <c r="B224" s="20"/>
      <c r="C224" s="203"/>
      <c r="D224" s="204"/>
      <c r="E224" s="210" t="s">
        <v>410</v>
      </c>
      <c r="F224" s="195">
        <v>10</v>
      </c>
      <c r="G224" s="195">
        <v>2</v>
      </c>
      <c r="H224" s="203">
        <f>F224/G224</f>
        <v>5</v>
      </c>
      <c r="I224" s="216">
        <f>H224*J223</f>
        <v>25</v>
      </c>
      <c r="J224" s="216">
        <f>I224</f>
        <v>25</v>
      </c>
      <c r="K224" s="193"/>
      <c r="L224" s="205" t="s">
        <v>348</v>
      </c>
      <c r="M224" s="205"/>
      <c r="N224" s="206">
        <v>1</v>
      </c>
      <c r="O224" s="206">
        <v>1565</v>
      </c>
      <c r="P224" s="193"/>
      <c r="Q224" s="205" t="s">
        <v>348</v>
      </c>
      <c r="R224" s="205"/>
      <c r="S224" s="206">
        <v>1</v>
      </c>
      <c r="T224" s="206">
        <v>1</v>
      </c>
      <c r="U224" s="193"/>
      <c r="V224" s="193"/>
      <c r="W224" s="193"/>
      <c r="X224" s="193"/>
      <c r="Y224" s="20"/>
      <c r="Z224" s="20"/>
      <c r="AA224" s="20"/>
      <c r="AB224" s="20"/>
      <c r="AC224" s="20"/>
      <c r="AD224" s="20"/>
      <c r="AE224" s="20"/>
    </row>
    <row r="225" spans="2:31" x14ac:dyDescent="0.2">
      <c r="B225" s="20"/>
      <c r="C225" s="205" t="s">
        <v>348</v>
      </c>
      <c r="D225" s="206">
        <v>1</v>
      </c>
      <c r="E225" s="210"/>
      <c r="F225" s="203"/>
      <c r="G225" s="203"/>
      <c r="H225" s="205" t="s">
        <v>411</v>
      </c>
      <c r="I225" s="203"/>
      <c r="J225" s="216">
        <f>J224</f>
        <v>25</v>
      </c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20"/>
      <c r="Z225" s="20"/>
      <c r="AA225" s="20"/>
      <c r="AB225" s="20"/>
      <c r="AC225" s="20"/>
      <c r="AD225" s="20"/>
      <c r="AE225" s="20"/>
    </row>
    <row r="226" spans="2:31" x14ac:dyDescent="0.2"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</row>
    <row r="227" spans="2:31" x14ac:dyDescent="0.2">
      <c r="B227" s="193"/>
      <c r="C227" s="193"/>
      <c r="D227" s="200"/>
      <c r="E227" s="212"/>
      <c r="F227" s="212"/>
      <c r="G227" s="213"/>
      <c r="H227" s="193"/>
      <c r="I227" s="200"/>
      <c r="J227" s="212"/>
      <c r="K227" s="213"/>
      <c r="L227" s="193"/>
      <c r="M227" s="193">
        <v>8</v>
      </c>
      <c r="N227" s="193">
        <v>12</v>
      </c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</row>
    <row r="228" spans="2:31" ht="14.25" x14ac:dyDescent="0.2">
      <c r="B228" s="193"/>
      <c r="C228" s="193"/>
      <c r="D228" s="219" t="s">
        <v>27</v>
      </c>
      <c r="E228" s="220"/>
      <c r="F228" s="220"/>
      <c r="G228" s="221"/>
      <c r="H228" s="193"/>
      <c r="I228" s="219" t="s">
        <v>412</v>
      </c>
      <c r="J228" s="220"/>
      <c r="K228" s="221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</row>
    <row r="229" spans="2:31" x14ac:dyDescent="0.2">
      <c r="B229" s="193"/>
      <c r="C229" s="193"/>
      <c r="D229" s="193" t="s">
        <v>28</v>
      </c>
      <c r="E229" s="199"/>
      <c r="F229" s="199"/>
      <c r="G229" s="194">
        <v>1</v>
      </c>
      <c r="H229" s="193"/>
      <c r="I229" s="193" t="s">
        <v>28</v>
      </c>
      <c r="J229" s="199"/>
      <c r="K229" s="194">
        <v>1</v>
      </c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</row>
    <row r="230" spans="2:31" x14ac:dyDescent="0.2">
      <c r="B230" s="193"/>
      <c r="C230" s="193"/>
      <c r="D230" s="193" t="s">
        <v>29</v>
      </c>
      <c r="E230" s="199"/>
      <c r="F230" s="199"/>
      <c r="G230" s="194">
        <v>1</v>
      </c>
      <c r="H230" s="193"/>
      <c r="I230" s="193" t="s">
        <v>29</v>
      </c>
      <c r="J230" s="193"/>
      <c r="K230" s="194">
        <v>1</v>
      </c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</row>
    <row r="231" spans="2:31" x14ac:dyDescent="0.2">
      <c r="B231" s="193"/>
      <c r="C231" s="193"/>
      <c r="D231" s="193" t="s">
        <v>30</v>
      </c>
      <c r="E231" s="193"/>
      <c r="F231" s="193"/>
      <c r="G231" s="195">
        <v>1</v>
      </c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</row>
    <row r="232" spans="2:31" x14ac:dyDescent="0.2">
      <c r="B232" s="193"/>
      <c r="C232" s="193"/>
      <c r="D232" s="196" t="s">
        <v>31</v>
      </c>
      <c r="E232" s="192"/>
      <c r="F232" s="192"/>
      <c r="G232" s="192">
        <f>((G230/G229)^(1/G231))-1</f>
        <v>0</v>
      </c>
      <c r="H232" s="193"/>
      <c r="I232" s="196" t="s">
        <v>413</v>
      </c>
      <c r="J232" s="196"/>
      <c r="K232" s="214">
        <f>(K230-K229)/K229</f>
        <v>0</v>
      </c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</row>
    <row r="233" spans="2:31" x14ac:dyDescent="0.2">
      <c r="B233" s="193"/>
      <c r="C233" s="193"/>
      <c r="D233" s="196" t="s">
        <v>32</v>
      </c>
      <c r="E233" s="201"/>
      <c r="F233" s="201"/>
      <c r="G233" s="197">
        <f>G231*12</f>
        <v>12</v>
      </c>
      <c r="H233" s="193"/>
      <c r="I233" s="196" t="s">
        <v>414</v>
      </c>
      <c r="J233" s="196"/>
      <c r="K233" s="196">
        <f>K230/K229</f>
        <v>1</v>
      </c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</row>
    <row r="234" spans="2:31" x14ac:dyDescent="0.2">
      <c r="B234" s="193"/>
      <c r="C234" s="193"/>
      <c r="D234" s="193" t="s">
        <v>30</v>
      </c>
      <c r="E234" s="198"/>
      <c r="F234" s="198"/>
      <c r="G234" s="198">
        <f>G233/12</f>
        <v>1</v>
      </c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</row>
    <row r="235" spans="2:31" x14ac:dyDescent="0.2">
      <c r="B235" s="193"/>
      <c r="C235" s="193"/>
      <c r="D235" s="196" t="s">
        <v>33</v>
      </c>
      <c r="E235" s="192"/>
      <c r="F235" s="192"/>
      <c r="G235" s="192">
        <v>0</v>
      </c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</row>
    <row r="236" spans="2:31" x14ac:dyDescent="0.2"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</row>
    <row r="237" spans="2:31" ht="15" x14ac:dyDescent="0.25"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</row>
  </sheetData>
  <mergeCells count="7">
    <mergeCell ref="D228:G228"/>
    <mergeCell ref="I228:K228"/>
    <mergeCell ref="L215:N215"/>
    <mergeCell ref="Q215:S215"/>
    <mergeCell ref="AD2:AE2"/>
    <mergeCell ref="AD3:AE3"/>
    <mergeCell ref="K198:L198"/>
  </mergeCells>
  <pageMargins left="0.7" right="0.7" top="0.75" bottom="0.75" header="0.3" footer="0.3"/>
  <pageSetup orientation="portrait" r:id="rId1"/>
  <ignoredErrors>
    <ignoredError sqref="C189" evalError="1"/>
    <ignoredError sqref="T53 J223 J221 T208 T205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31" t="s">
        <v>27</v>
      </c>
      <c r="K5" s="231"/>
      <c r="M5" s="231" t="s">
        <v>65</v>
      </c>
      <c r="N5" s="23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31" t="s">
        <v>36</v>
      </c>
      <c r="K14" s="231"/>
      <c r="L14" s="23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31" t="s">
        <v>27</v>
      </c>
      <c r="S5" s="23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31" t="s">
        <v>36</v>
      </c>
      <c r="S14" s="231"/>
      <c r="T14" s="23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31" t="s">
        <v>27</v>
      </c>
      <c r="C2" s="231"/>
      <c r="E2" s="231" t="s">
        <v>65</v>
      </c>
      <c r="F2" s="231"/>
      <c r="H2" s="235" t="s">
        <v>36</v>
      </c>
      <c r="I2" s="23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32" t="s">
        <v>68</v>
      </c>
      <c r="E10" s="233"/>
      <c r="F10" s="233"/>
      <c r="G10" s="233"/>
      <c r="H10" s="234"/>
      <c r="I10" s="232" t="s">
        <v>72</v>
      </c>
      <c r="J10" s="233"/>
      <c r="K10" s="233"/>
      <c r="L10" s="23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2014-05-02T18:01:28Z</dcterms:modified>
</cp:coreProperties>
</file>